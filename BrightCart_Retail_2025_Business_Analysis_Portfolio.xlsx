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olaide/Desktop/"/>
    </mc:Choice>
  </mc:AlternateContent>
  <xr:revisionPtr revIDLastSave="0" documentId="13_ncr:1_{F41E371F-F8DB-7240-8CE8-3841F90E939E}" xr6:coauthVersionLast="47" xr6:coauthVersionMax="47" xr10:uidLastSave="{00000000-0000-0000-0000-000000000000}"/>
  <bookViews>
    <workbookView xWindow="0" yWindow="500" windowWidth="25780" windowHeight="19320" firstSheet="1" activeTab="7" xr2:uid="{00000000-000D-0000-FFFF-FFFF00000000}"/>
  </bookViews>
  <sheets>
    <sheet name="00_Project_Brief" sheetId="1" r:id="rId1"/>
    <sheet name="01_Raw_Data" sheetId="2" r:id="rId2"/>
    <sheet name="02_Data_Dictionary" sheetId="3" r:id="rId3"/>
    <sheet name="03_Management_Questions" sheetId="4" r:id="rId4"/>
    <sheet name="Monthly Analysis" sheetId="6" r:id="rId5"/>
    <sheet name="02_Clean_Data" sheetId="5" r:id="rId6"/>
    <sheet name="04_Analysis" sheetId="13" r:id="rId7"/>
    <sheet name="05_Dashboard" sheetId="14" r:id="rId8"/>
  </sheets>
  <definedNames>
    <definedName name="_xlchart.v1.0" hidden="1">'04_Analysis'!$K$40</definedName>
    <definedName name="_xlchart.v1.1" hidden="1">'04_Analysis'!$K$41:$K$51</definedName>
    <definedName name="_xlchart.v1.10" hidden="1">'04_Analysis'!$K$41:$K$51</definedName>
    <definedName name="_xlchart.v1.11" hidden="1">'04_Analysis'!$K$40</definedName>
    <definedName name="_xlchart.v1.12" hidden="1">'04_Analysis'!$K$41:$K$51</definedName>
    <definedName name="_xlchart.v1.13" hidden="1">'04_Analysis'!$K$40</definedName>
    <definedName name="_xlchart.v1.14" hidden="1">'04_Analysis'!$K$41:$K$51</definedName>
    <definedName name="_xlchart.v1.15" hidden="1">'04_Analysis'!$K$40</definedName>
    <definedName name="_xlchart.v1.16" hidden="1">'04_Analysis'!$K$41:$K$51</definedName>
    <definedName name="_xlchart.v1.17" hidden="1">'04_Analysis'!$K$40</definedName>
    <definedName name="_xlchart.v1.18" hidden="1">'04_Analysis'!$K$41:$K$51</definedName>
    <definedName name="_xlchart.v1.2" hidden="1">'04_Analysis'!$K$40</definedName>
    <definedName name="_xlchart.v1.3" hidden="1">'04_Analysis'!$K$41:$K$51</definedName>
    <definedName name="_xlchart.v1.4" hidden="1">'04_Analysis'!$J$17:$J$32</definedName>
    <definedName name="_xlchart.v1.5" hidden="1">'04_Analysis'!$K$16</definedName>
    <definedName name="_xlchart.v1.6" hidden="1">'04_Analysis'!$K$17:$K$32</definedName>
    <definedName name="_xlchart.v1.7" hidden="1">'04_Analysis'!$K$40</definedName>
    <definedName name="_xlchart.v1.8" hidden="1">'04_Analysis'!$K$41:$K$51</definedName>
    <definedName name="_xlchart.v1.9" hidden="1">'04_Analysis'!$K$40</definedName>
  </definedNames>
  <calcPr calcId="191029"/>
  <pivotCaches>
    <pivotCache cacheId="1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96" i="5" l="1"/>
  <c r="AG1821" i="5"/>
  <c r="AE1232" i="5"/>
  <c r="AG1230" i="5"/>
  <c r="D52" i="13"/>
  <c r="D51" i="13"/>
  <c r="D50" i="13"/>
  <c r="D49" i="13"/>
  <c r="D41" i="13"/>
  <c r="D39" i="13"/>
  <c r="D40" i="13"/>
  <c r="D38" i="13"/>
  <c r="D37" i="13"/>
  <c r="D36" i="13"/>
  <c r="D35" i="13"/>
  <c r="D33" i="13"/>
  <c r="D34" i="13"/>
  <c r="D32" i="13"/>
  <c r="D31" i="13"/>
  <c r="D30" i="13"/>
  <c r="D29" i="13"/>
  <c r="D28" i="13"/>
  <c r="D27" i="13"/>
  <c r="D26" i="13"/>
  <c r="D18" i="13"/>
  <c r="D17" i="13"/>
  <c r="D16" i="13"/>
  <c r="D15" i="13"/>
  <c r="D5" i="13"/>
  <c r="D4" i="13"/>
  <c r="D3" i="13"/>
  <c r="D2" i="13"/>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D4" i="6"/>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S2" i="5"/>
  <c r="Z2" i="5" s="1"/>
  <c r="S3" i="5"/>
  <c r="Z3" i="5" s="1"/>
  <c r="S4" i="5"/>
  <c r="Z4" i="5" s="1"/>
  <c r="S5" i="5"/>
  <c r="Z5" i="5" s="1"/>
  <c r="S6" i="5"/>
  <c r="Z6" i="5" s="1"/>
  <c r="S7" i="5"/>
  <c r="Z7" i="5" s="1"/>
  <c r="S8" i="5"/>
  <c r="Z8" i="5" s="1"/>
  <c r="S9" i="5"/>
  <c r="Z9" i="5" s="1"/>
  <c r="S10" i="5"/>
  <c r="Z10" i="5" s="1"/>
  <c r="S11" i="5"/>
  <c r="Z11" i="5" s="1"/>
  <c r="S12" i="5"/>
  <c r="Z12" i="5" s="1"/>
  <c r="S13" i="5"/>
  <c r="Z13" i="5" s="1"/>
  <c r="S14" i="5"/>
  <c r="Z14" i="5" s="1"/>
  <c r="S15" i="5"/>
  <c r="Z15" i="5" s="1"/>
  <c r="S16" i="5"/>
  <c r="Z16" i="5" s="1"/>
  <c r="S17" i="5"/>
  <c r="Z17" i="5" s="1"/>
  <c r="S18" i="5"/>
  <c r="Z18" i="5" s="1"/>
  <c r="S19" i="5"/>
  <c r="Z19" i="5" s="1"/>
  <c r="S20" i="5"/>
  <c r="Z20" i="5" s="1"/>
  <c r="S21" i="5"/>
  <c r="Z21" i="5" s="1"/>
  <c r="S22" i="5"/>
  <c r="Z22" i="5" s="1"/>
  <c r="S23" i="5"/>
  <c r="Z23" i="5" s="1"/>
  <c r="S24" i="5"/>
  <c r="Z24" i="5" s="1"/>
  <c r="S25" i="5"/>
  <c r="Z25" i="5" s="1"/>
  <c r="S26" i="5"/>
  <c r="Z26" i="5" s="1"/>
  <c r="S27" i="5"/>
  <c r="Z27" i="5" s="1"/>
  <c r="S28" i="5"/>
  <c r="Z28" i="5" s="1"/>
  <c r="S29" i="5"/>
  <c r="Z29" i="5" s="1"/>
  <c r="S30" i="5"/>
  <c r="Z30" i="5" s="1"/>
  <c r="S31" i="5"/>
  <c r="Z31" i="5" s="1"/>
  <c r="S32" i="5"/>
  <c r="Z32" i="5" s="1"/>
  <c r="S33" i="5"/>
  <c r="Z33" i="5" s="1"/>
  <c r="S34" i="5"/>
  <c r="Z34" i="5" s="1"/>
  <c r="S35" i="5"/>
  <c r="Z35" i="5" s="1"/>
  <c r="S36" i="5"/>
  <c r="Z36" i="5" s="1"/>
  <c r="S37" i="5"/>
  <c r="Z37" i="5" s="1"/>
  <c r="S38" i="5"/>
  <c r="Z38" i="5" s="1"/>
  <c r="S39" i="5"/>
  <c r="Z39" i="5" s="1"/>
  <c r="S40" i="5"/>
  <c r="Z40" i="5" s="1"/>
  <c r="S41" i="5"/>
  <c r="Z41" i="5" s="1"/>
  <c r="S42" i="5"/>
  <c r="Z42" i="5" s="1"/>
  <c r="S43" i="5"/>
  <c r="Z43" i="5" s="1"/>
  <c r="S44" i="5"/>
  <c r="Z44" i="5" s="1"/>
  <c r="S45" i="5"/>
  <c r="Z45" i="5" s="1"/>
  <c r="S46" i="5"/>
  <c r="Z46" i="5" s="1"/>
  <c r="S47" i="5"/>
  <c r="Z47" i="5" s="1"/>
  <c r="S48" i="5"/>
  <c r="Z48" i="5" s="1"/>
  <c r="S49" i="5"/>
  <c r="Z49" i="5" s="1"/>
  <c r="S50" i="5"/>
  <c r="Z50" i="5" s="1"/>
  <c r="S51" i="5"/>
  <c r="Z51" i="5" s="1"/>
  <c r="S52" i="5"/>
  <c r="Z52" i="5" s="1"/>
  <c r="S53" i="5"/>
  <c r="Z53" i="5" s="1"/>
  <c r="S54" i="5"/>
  <c r="Z54" i="5" s="1"/>
  <c r="S55" i="5"/>
  <c r="Z55" i="5" s="1"/>
  <c r="S56" i="5"/>
  <c r="Z56" i="5" s="1"/>
  <c r="S57" i="5"/>
  <c r="Z57" i="5" s="1"/>
  <c r="S58" i="5"/>
  <c r="Z58" i="5" s="1"/>
  <c r="S59" i="5"/>
  <c r="Z59" i="5" s="1"/>
  <c r="S60" i="5"/>
  <c r="Z60" i="5" s="1"/>
  <c r="S61" i="5"/>
  <c r="Z61" i="5" s="1"/>
  <c r="S62" i="5"/>
  <c r="Z62" i="5" s="1"/>
  <c r="S63" i="5"/>
  <c r="Z63" i="5" s="1"/>
  <c r="S64" i="5"/>
  <c r="Z64" i="5" s="1"/>
  <c r="S65" i="5"/>
  <c r="Z65" i="5" s="1"/>
  <c r="S66" i="5"/>
  <c r="Z66" i="5" s="1"/>
  <c r="S67" i="5"/>
  <c r="Z67" i="5" s="1"/>
  <c r="S68" i="5"/>
  <c r="Z68" i="5" s="1"/>
  <c r="S69" i="5"/>
  <c r="Z69" i="5" s="1"/>
  <c r="S70" i="5"/>
  <c r="Z70" i="5" s="1"/>
  <c r="S71" i="5"/>
  <c r="Z71" i="5" s="1"/>
  <c r="S72" i="5"/>
  <c r="Z72" i="5" s="1"/>
  <c r="S73" i="5"/>
  <c r="Z73" i="5" s="1"/>
  <c r="S74" i="5"/>
  <c r="Z74" i="5" s="1"/>
  <c r="S75" i="5"/>
  <c r="Z75" i="5" s="1"/>
  <c r="S76" i="5"/>
  <c r="Z76" i="5" s="1"/>
  <c r="S77" i="5"/>
  <c r="Z77" i="5" s="1"/>
  <c r="S78" i="5"/>
  <c r="Z78" i="5" s="1"/>
  <c r="S79" i="5"/>
  <c r="Z79" i="5" s="1"/>
  <c r="S80" i="5"/>
  <c r="Z80" i="5" s="1"/>
  <c r="S81" i="5"/>
  <c r="Z81" i="5" s="1"/>
  <c r="S82" i="5"/>
  <c r="Z82" i="5" s="1"/>
  <c r="S83" i="5"/>
  <c r="Z83" i="5" s="1"/>
  <c r="S84" i="5"/>
  <c r="Z84" i="5" s="1"/>
  <c r="S85" i="5"/>
  <c r="Z85" i="5" s="1"/>
  <c r="S86" i="5"/>
  <c r="Z86" i="5" s="1"/>
  <c r="S87" i="5"/>
  <c r="Z87" i="5" s="1"/>
  <c r="S88" i="5"/>
  <c r="Z88" i="5" s="1"/>
  <c r="S89" i="5"/>
  <c r="Z89" i="5" s="1"/>
  <c r="S90" i="5"/>
  <c r="Z90" i="5" s="1"/>
  <c r="S91" i="5"/>
  <c r="Z91" i="5" s="1"/>
  <c r="S92" i="5"/>
  <c r="Z92" i="5" s="1"/>
  <c r="S93" i="5"/>
  <c r="Z93" i="5" s="1"/>
  <c r="S94" i="5"/>
  <c r="Z94" i="5" s="1"/>
  <c r="S95" i="5"/>
  <c r="Z95" i="5" s="1"/>
  <c r="S96" i="5"/>
  <c r="Z96" i="5" s="1"/>
  <c r="S97" i="5"/>
  <c r="Z97" i="5" s="1"/>
  <c r="S98" i="5"/>
  <c r="Z98" i="5" s="1"/>
  <c r="S99" i="5"/>
  <c r="Z99" i="5" s="1"/>
  <c r="S100" i="5"/>
  <c r="Z100" i="5" s="1"/>
  <c r="S101" i="5"/>
  <c r="Z101" i="5" s="1"/>
  <c r="S102" i="5"/>
  <c r="Z102" i="5" s="1"/>
  <c r="S103" i="5"/>
  <c r="Z103" i="5" s="1"/>
  <c r="S104" i="5"/>
  <c r="Z104" i="5" s="1"/>
  <c r="S105" i="5"/>
  <c r="Z105" i="5" s="1"/>
  <c r="S106" i="5"/>
  <c r="Z106" i="5" s="1"/>
  <c r="S107" i="5"/>
  <c r="Z107" i="5" s="1"/>
  <c r="S108" i="5"/>
  <c r="Z108" i="5" s="1"/>
  <c r="S109" i="5"/>
  <c r="Z109" i="5" s="1"/>
  <c r="S110" i="5"/>
  <c r="Z110" i="5" s="1"/>
  <c r="S111" i="5"/>
  <c r="Z111" i="5" s="1"/>
  <c r="S112" i="5"/>
  <c r="Z112" i="5" s="1"/>
  <c r="S113" i="5"/>
  <c r="Z113" i="5" s="1"/>
  <c r="S114" i="5"/>
  <c r="Z114" i="5" s="1"/>
  <c r="S115" i="5"/>
  <c r="Z115" i="5" s="1"/>
  <c r="S116" i="5"/>
  <c r="Z116" i="5" s="1"/>
  <c r="S117" i="5"/>
  <c r="Z117" i="5" s="1"/>
  <c r="S118" i="5"/>
  <c r="Z118" i="5" s="1"/>
  <c r="S119" i="5"/>
  <c r="Z119" i="5" s="1"/>
  <c r="S120" i="5"/>
  <c r="Z120" i="5" s="1"/>
  <c r="S121" i="5"/>
  <c r="Z121" i="5" s="1"/>
  <c r="S122" i="5"/>
  <c r="Z122" i="5" s="1"/>
  <c r="S123" i="5"/>
  <c r="Z123" i="5" s="1"/>
  <c r="S124" i="5"/>
  <c r="Z124" i="5" s="1"/>
  <c r="S125" i="5"/>
  <c r="Z125" i="5" s="1"/>
  <c r="S126" i="5"/>
  <c r="Z126" i="5" s="1"/>
  <c r="S127" i="5"/>
  <c r="Z127" i="5" s="1"/>
  <c r="S128" i="5"/>
  <c r="Z128" i="5" s="1"/>
  <c r="S129" i="5"/>
  <c r="Z129" i="5" s="1"/>
  <c r="S130" i="5"/>
  <c r="Z130" i="5" s="1"/>
  <c r="S131" i="5"/>
  <c r="Z131" i="5" s="1"/>
  <c r="S132" i="5"/>
  <c r="Z132" i="5" s="1"/>
  <c r="S133" i="5"/>
  <c r="Z133" i="5" s="1"/>
  <c r="S134" i="5"/>
  <c r="Z134" i="5" s="1"/>
  <c r="S135" i="5"/>
  <c r="Z135" i="5" s="1"/>
  <c r="S136" i="5"/>
  <c r="Z136" i="5" s="1"/>
  <c r="S137" i="5"/>
  <c r="Z137" i="5" s="1"/>
  <c r="S138" i="5"/>
  <c r="Z138" i="5" s="1"/>
  <c r="S139" i="5"/>
  <c r="Z139" i="5" s="1"/>
  <c r="S140" i="5"/>
  <c r="Z140" i="5" s="1"/>
  <c r="S141" i="5"/>
  <c r="Z141" i="5" s="1"/>
  <c r="S142" i="5"/>
  <c r="Z142" i="5" s="1"/>
  <c r="S143" i="5"/>
  <c r="Z143" i="5" s="1"/>
  <c r="S144" i="5"/>
  <c r="Z144" i="5" s="1"/>
  <c r="S145" i="5"/>
  <c r="Z145" i="5" s="1"/>
  <c r="S146" i="5"/>
  <c r="Z146" i="5" s="1"/>
  <c r="S147" i="5"/>
  <c r="Z147" i="5" s="1"/>
  <c r="S148" i="5"/>
  <c r="Z148" i="5" s="1"/>
  <c r="S149" i="5"/>
  <c r="Z149" i="5" s="1"/>
  <c r="S150" i="5"/>
  <c r="Z150" i="5" s="1"/>
  <c r="S151" i="5"/>
  <c r="Z151" i="5" s="1"/>
  <c r="S152" i="5"/>
  <c r="Z152" i="5" s="1"/>
  <c r="S153" i="5"/>
  <c r="Z153" i="5" s="1"/>
  <c r="S154" i="5"/>
  <c r="Z154" i="5" s="1"/>
  <c r="S155" i="5"/>
  <c r="Z155" i="5" s="1"/>
  <c r="S156" i="5"/>
  <c r="Z156" i="5" s="1"/>
  <c r="S157" i="5"/>
  <c r="Z157" i="5" s="1"/>
  <c r="S158" i="5"/>
  <c r="Z158" i="5" s="1"/>
  <c r="S159" i="5"/>
  <c r="Z159" i="5" s="1"/>
  <c r="S160" i="5"/>
  <c r="Z160" i="5" s="1"/>
  <c r="S161" i="5"/>
  <c r="Z161" i="5" s="1"/>
  <c r="S162" i="5"/>
  <c r="Z162" i="5" s="1"/>
  <c r="S163" i="5"/>
  <c r="Z163" i="5" s="1"/>
  <c r="S164" i="5"/>
  <c r="Z164" i="5" s="1"/>
  <c r="S165" i="5"/>
  <c r="Z165" i="5" s="1"/>
  <c r="S166" i="5"/>
  <c r="Z166" i="5" s="1"/>
  <c r="S167" i="5"/>
  <c r="Z167" i="5" s="1"/>
  <c r="S168" i="5"/>
  <c r="Z168" i="5" s="1"/>
  <c r="S169" i="5"/>
  <c r="Z169" i="5" s="1"/>
  <c r="S170" i="5"/>
  <c r="Z170" i="5" s="1"/>
  <c r="S171" i="5"/>
  <c r="Z171" i="5" s="1"/>
  <c r="S172" i="5"/>
  <c r="Z172" i="5" s="1"/>
  <c r="S173" i="5"/>
  <c r="Z173" i="5" s="1"/>
  <c r="S174" i="5"/>
  <c r="Z174" i="5" s="1"/>
  <c r="S175" i="5"/>
  <c r="Z175" i="5" s="1"/>
  <c r="S176" i="5"/>
  <c r="Z176" i="5" s="1"/>
  <c r="S177" i="5"/>
  <c r="Z177" i="5" s="1"/>
  <c r="S178" i="5"/>
  <c r="Z178" i="5" s="1"/>
  <c r="S179" i="5"/>
  <c r="Z179" i="5" s="1"/>
  <c r="S180" i="5"/>
  <c r="Z180" i="5" s="1"/>
  <c r="S181" i="5"/>
  <c r="Z181" i="5" s="1"/>
  <c r="S182" i="5"/>
  <c r="Z182" i="5" s="1"/>
  <c r="S183" i="5"/>
  <c r="Z183" i="5" s="1"/>
  <c r="S184" i="5"/>
  <c r="Z184" i="5" s="1"/>
  <c r="S185" i="5"/>
  <c r="Z185" i="5" s="1"/>
  <c r="S186" i="5"/>
  <c r="Z186" i="5" s="1"/>
  <c r="S187" i="5"/>
  <c r="Z187" i="5" s="1"/>
  <c r="S188" i="5"/>
  <c r="Z188" i="5" s="1"/>
  <c r="S189" i="5"/>
  <c r="Z189" i="5" s="1"/>
  <c r="S190" i="5"/>
  <c r="Z190" i="5" s="1"/>
  <c r="S191" i="5"/>
  <c r="Z191" i="5" s="1"/>
  <c r="S192" i="5"/>
  <c r="Z192" i="5" s="1"/>
  <c r="S193" i="5"/>
  <c r="Z193" i="5" s="1"/>
  <c r="S194" i="5"/>
  <c r="Z194" i="5" s="1"/>
  <c r="S195" i="5"/>
  <c r="Z195" i="5" s="1"/>
  <c r="S196" i="5"/>
  <c r="Z196" i="5" s="1"/>
  <c r="S197" i="5"/>
  <c r="Z197" i="5" s="1"/>
  <c r="S198" i="5"/>
  <c r="Z198" i="5" s="1"/>
  <c r="S199" i="5"/>
  <c r="Z199" i="5" s="1"/>
  <c r="S200" i="5"/>
  <c r="Z200" i="5" s="1"/>
  <c r="S201" i="5"/>
  <c r="Z201" i="5" s="1"/>
  <c r="S202" i="5"/>
  <c r="Z202" i="5" s="1"/>
  <c r="S203" i="5"/>
  <c r="Z203" i="5" s="1"/>
  <c r="S204" i="5"/>
  <c r="Z204" i="5" s="1"/>
  <c r="S205" i="5"/>
  <c r="Z205" i="5" s="1"/>
  <c r="S206" i="5"/>
  <c r="Z206" i="5" s="1"/>
  <c r="S207" i="5"/>
  <c r="Z207" i="5" s="1"/>
  <c r="S208" i="5"/>
  <c r="Z208" i="5" s="1"/>
  <c r="S209" i="5"/>
  <c r="Z209" i="5" s="1"/>
  <c r="S210" i="5"/>
  <c r="Z210" i="5" s="1"/>
  <c r="S211" i="5"/>
  <c r="Z211" i="5" s="1"/>
  <c r="S212" i="5"/>
  <c r="Z212" i="5" s="1"/>
  <c r="S213" i="5"/>
  <c r="Z213" i="5" s="1"/>
  <c r="S214" i="5"/>
  <c r="Z214" i="5" s="1"/>
  <c r="S215" i="5"/>
  <c r="Z215" i="5" s="1"/>
  <c r="S216" i="5"/>
  <c r="Z216" i="5" s="1"/>
  <c r="S217" i="5"/>
  <c r="Z217" i="5" s="1"/>
  <c r="S218" i="5"/>
  <c r="Z218" i="5" s="1"/>
  <c r="S219" i="5"/>
  <c r="Z219" i="5" s="1"/>
  <c r="S220" i="5"/>
  <c r="Z220" i="5" s="1"/>
  <c r="S221" i="5"/>
  <c r="Z221" i="5" s="1"/>
  <c r="S222" i="5"/>
  <c r="Z222" i="5" s="1"/>
  <c r="S223" i="5"/>
  <c r="Z223" i="5" s="1"/>
  <c r="S224" i="5"/>
  <c r="Z224" i="5" s="1"/>
  <c r="S225" i="5"/>
  <c r="Z225" i="5" s="1"/>
  <c r="S226" i="5"/>
  <c r="Z226" i="5" s="1"/>
  <c r="S227" i="5"/>
  <c r="Z227" i="5" s="1"/>
  <c r="S228" i="5"/>
  <c r="Z228" i="5" s="1"/>
  <c r="S229" i="5"/>
  <c r="Z229" i="5" s="1"/>
  <c r="S230" i="5"/>
  <c r="Z230" i="5" s="1"/>
  <c r="S231" i="5"/>
  <c r="Z231" i="5" s="1"/>
  <c r="S232" i="5"/>
  <c r="Z232" i="5" s="1"/>
  <c r="S233" i="5"/>
  <c r="Z233" i="5" s="1"/>
  <c r="S234" i="5"/>
  <c r="Z234" i="5" s="1"/>
  <c r="S235" i="5"/>
  <c r="Z235" i="5" s="1"/>
  <c r="S236" i="5"/>
  <c r="Z236" i="5" s="1"/>
  <c r="S237" i="5"/>
  <c r="Z237" i="5" s="1"/>
  <c r="S238" i="5"/>
  <c r="Z238" i="5" s="1"/>
  <c r="S239" i="5"/>
  <c r="Z239" i="5" s="1"/>
  <c r="S240" i="5"/>
  <c r="Z240" i="5" s="1"/>
  <c r="S241" i="5"/>
  <c r="Z241" i="5" s="1"/>
  <c r="S242" i="5"/>
  <c r="Z242" i="5" s="1"/>
  <c r="S243" i="5"/>
  <c r="Z243" i="5" s="1"/>
  <c r="S244" i="5"/>
  <c r="Z244" i="5" s="1"/>
  <c r="S245" i="5"/>
  <c r="Z245" i="5" s="1"/>
  <c r="S246" i="5"/>
  <c r="Z246" i="5" s="1"/>
  <c r="S247" i="5"/>
  <c r="Z247" i="5" s="1"/>
  <c r="S248" i="5"/>
  <c r="Z248" i="5" s="1"/>
  <c r="S249" i="5"/>
  <c r="Z249" i="5" s="1"/>
  <c r="S250" i="5"/>
  <c r="Z250" i="5" s="1"/>
  <c r="S251" i="5"/>
  <c r="Z251" i="5" s="1"/>
  <c r="S252" i="5"/>
  <c r="Z252" i="5" s="1"/>
  <c r="S253" i="5"/>
  <c r="Z253" i="5" s="1"/>
  <c r="S254" i="5"/>
  <c r="Z254" i="5" s="1"/>
  <c r="S255" i="5"/>
  <c r="Z255" i="5" s="1"/>
  <c r="S256" i="5"/>
  <c r="Z256" i="5" s="1"/>
  <c r="S257" i="5"/>
  <c r="Z257" i="5" s="1"/>
  <c r="S258" i="5"/>
  <c r="Z258" i="5" s="1"/>
  <c r="S259" i="5"/>
  <c r="Z259" i="5" s="1"/>
  <c r="S260" i="5"/>
  <c r="Z260" i="5" s="1"/>
  <c r="S261" i="5"/>
  <c r="Z261" i="5" s="1"/>
  <c r="S262" i="5"/>
  <c r="Z262" i="5" s="1"/>
  <c r="S263" i="5"/>
  <c r="Z263" i="5" s="1"/>
  <c r="S264" i="5"/>
  <c r="Z264" i="5" s="1"/>
  <c r="S265" i="5"/>
  <c r="Z265" i="5" s="1"/>
  <c r="S266" i="5"/>
  <c r="Z266" i="5" s="1"/>
  <c r="S267" i="5"/>
  <c r="Z267" i="5" s="1"/>
  <c r="S268" i="5"/>
  <c r="Z268" i="5" s="1"/>
  <c r="S269" i="5"/>
  <c r="Z269" i="5" s="1"/>
  <c r="S270" i="5"/>
  <c r="Z270" i="5" s="1"/>
  <c r="S271" i="5"/>
  <c r="Z271" i="5" s="1"/>
  <c r="S272" i="5"/>
  <c r="Z272" i="5" s="1"/>
  <c r="S273" i="5"/>
  <c r="Z273" i="5" s="1"/>
  <c r="S274" i="5"/>
  <c r="Z274" i="5" s="1"/>
  <c r="S275" i="5"/>
  <c r="Z275" i="5" s="1"/>
  <c r="S276" i="5"/>
  <c r="Z276" i="5" s="1"/>
  <c r="S277" i="5"/>
  <c r="Z277" i="5" s="1"/>
  <c r="S278" i="5"/>
  <c r="Z278" i="5" s="1"/>
  <c r="S279" i="5"/>
  <c r="Z279" i="5" s="1"/>
  <c r="S280" i="5"/>
  <c r="Z280" i="5" s="1"/>
  <c r="S281" i="5"/>
  <c r="Z281" i="5" s="1"/>
  <c r="S282" i="5"/>
  <c r="Z282" i="5" s="1"/>
  <c r="S283" i="5"/>
  <c r="Z283" i="5" s="1"/>
  <c r="S284" i="5"/>
  <c r="Z284" i="5" s="1"/>
  <c r="S285" i="5"/>
  <c r="Z285" i="5" s="1"/>
  <c r="S286" i="5"/>
  <c r="Z286" i="5" s="1"/>
  <c r="S287" i="5"/>
  <c r="Z287" i="5" s="1"/>
  <c r="S288" i="5"/>
  <c r="Z288" i="5" s="1"/>
  <c r="S289" i="5"/>
  <c r="Z289" i="5" s="1"/>
  <c r="S290" i="5"/>
  <c r="Z290" i="5" s="1"/>
  <c r="S291" i="5"/>
  <c r="Z291" i="5" s="1"/>
  <c r="S292" i="5"/>
  <c r="Z292" i="5" s="1"/>
  <c r="S293" i="5"/>
  <c r="Z293" i="5" s="1"/>
  <c r="S294" i="5"/>
  <c r="Z294" i="5" s="1"/>
  <c r="S295" i="5"/>
  <c r="Z295" i="5" s="1"/>
  <c r="S296" i="5"/>
  <c r="Z296" i="5" s="1"/>
  <c r="S297" i="5"/>
  <c r="Z297" i="5" s="1"/>
  <c r="S298" i="5"/>
  <c r="Z298" i="5" s="1"/>
  <c r="S299" i="5"/>
  <c r="Z299" i="5" s="1"/>
  <c r="S300" i="5"/>
  <c r="Z300" i="5" s="1"/>
  <c r="S301" i="5"/>
  <c r="Z301" i="5" s="1"/>
  <c r="S302" i="5"/>
  <c r="Z302" i="5" s="1"/>
  <c r="S303" i="5"/>
  <c r="Z303" i="5" s="1"/>
  <c r="S304" i="5"/>
  <c r="Z304" i="5" s="1"/>
  <c r="S305" i="5"/>
  <c r="Z305" i="5" s="1"/>
  <c r="S306" i="5"/>
  <c r="Z306" i="5" s="1"/>
  <c r="S307" i="5"/>
  <c r="Z307" i="5" s="1"/>
  <c r="S308" i="5"/>
  <c r="Z308" i="5" s="1"/>
  <c r="S309" i="5"/>
  <c r="Z309" i="5" s="1"/>
  <c r="S310" i="5"/>
  <c r="Z310" i="5" s="1"/>
  <c r="S311" i="5"/>
  <c r="Z311" i="5" s="1"/>
  <c r="S312" i="5"/>
  <c r="Z312" i="5" s="1"/>
  <c r="S313" i="5"/>
  <c r="Z313" i="5" s="1"/>
  <c r="S314" i="5"/>
  <c r="Z314" i="5" s="1"/>
  <c r="S315" i="5"/>
  <c r="Z315" i="5" s="1"/>
  <c r="S316" i="5"/>
  <c r="Z316" i="5" s="1"/>
  <c r="S317" i="5"/>
  <c r="Z317" i="5" s="1"/>
  <c r="S318" i="5"/>
  <c r="Z318" i="5" s="1"/>
  <c r="S319" i="5"/>
  <c r="Z319" i="5" s="1"/>
  <c r="S320" i="5"/>
  <c r="Z320" i="5" s="1"/>
  <c r="S321" i="5"/>
  <c r="Z321" i="5" s="1"/>
  <c r="S322" i="5"/>
  <c r="Z322" i="5" s="1"/>
  <c r="S323" i="5"/>
  <c r="Z323" i="5" s="1"/>
  <c r="S324" i="5"/>
  <c r="Z324" i="5" s="1"/>
  <c r="S325" i="5"/>
  <c r="Z325" i="5" s="1"/>
  <c r="S326" i="5"/>
  <c r="Z326" i="5" s="1"/>
  <c r="S327" i="5"/>
  <c r="Z327" i="5" s="1"/>
  <c r="S328" i="5"/>
  <c r="Z328" i="5" s="1"/>
  <c r="S329" i="5"/>
  <c r="Z329" i="5" s="1"/>
  <c r="S330" i="5"/>
  <c r="Z330" i="5" s="1"/>
  <c r="S331" i="5"/>
  <c r="Z331" i="5" s="1"/>
  <c r="S332" i="5"/>
  <c r="Z332" i="5" s="1"/>
  <c r="S333" i="5"/>
  <c r="Z333" i="5" s="1"/>
  <c r="S334" i="5"/>
  <c r="Z334" i="5" s="1"/>
  <c r="S335" i="5"/>
  <c r="Z335" i="5" s="1"/>
  <c r="S336" i="5"/>
  <c r="Z336" i="5" s="1"/>
  <c r="S337" i="5"/>
  <c r="Z337" i="5" s="1"/>
  <c r="S338" i="5"/>
  <c r="Z338" i="5" s="1"/>
  <c r="S339" i="5"/>
  <c r="Z339" i="5" s="1"/>
  <c r="S340" i="5"/>
  <c r="Z340" i="5" s="1"/>
  <c r="S341" i="5"/>
  <c r="Z341" i="5" s="1"/>
  <c r="S342" i="5"/>
  <c r="Z342" i="5" s="1"/>
  <c r="S343" i="5"/>
  <c r="Z343" i="5" s="1"/>
  <c r="S344" i="5"/>
  <c r="Z344" i="5" s="1"/>
  <c r="S345" i="5"/>
  <c r="Z345" i="5" s="1"/>
  <c r="S346" i="5"/>
  <c r="Z346" i="5" s="1"/>
  <c r="S347" i="5"/>
  <c r="Z347" i="5" s="1"/>
  <c r="S348" i="5"/>
  <c r="Z348" i="5" s="1"/>
  <c r="S349" i="5"/>
  <c r="Z349" i="5" s="1"/>
  <c r="S350" i="5"/>
  <c r="Z350" i="5" s="1"/>
  <c r="S351" i="5"/>
  <c r="Z351" i="5" s="1"/>
  <c r="S352" i="5"/>
  <c r="Z352" i="5" s="1"/>
  <c r="S353" i="5"/>
  <c r="Z353" i="5" s="1"/>
  <c r="S354" i="5"/>
  <c r="Z354" i="5" s="1"/>
  <c r="S355" i="5"/>
  <c r="Z355" i="5" s="1"/>
  <c r="S356" i="5"/>
  <c r="Z356" i="5" s="1"/>
  <c r="S357" i="5"/>
  <c r="Z357" i="5" s="1"/>
  <c r="S358" i="5"/>
  <c r="Z358" i="5" s="1"/>
  <c r="S359" i="5"/>
  <c r="Z359" i="5" s="1"/>
  <c r="S360" i="5"/>
  <c r="Z360" i="5" s="1"/>
  <c r="S361" i="5"/>
  <c r="Z361" i="5" s="1"/>
  <c r="S362" i="5"/>
  <c r="Z362" i="5" s="1"/>
  <c r="S363" i="5"/>
  <c r="Z363" i="5" s="1"/>
  <c r="S364" i="5"/>
  <c r="Z364" i="5" s="1"/>
  <c r="S365" i="5"/>
  <c r="Z365" i="5" s="1"/>
  <c r="S366" i="5"/>
  <c r="Z366" i="5" s="1"/>
  <c r="S367" i="5"/>
  <c r="Z367" i="5" s="1"/>
  <c r="S368" i="5"/>
  <c r="Z368" i="5" s="1"/>
  <c r="S369" i="5"/>
  <c r="Z369" i="5" s="1"/>
  <c r="S370" i="5"/>
  <c r="Z370" i="5" s="1"/>
  <c r="S371" i="5"/>
  <c r="Z371" i="5" s="1"/>
  <c r="S372" i="5"/>
  <c r="Z372" i="5" s="1"/>
  <c r="S373" i="5"/>
  <c r="Z373" i="5" s="1"/>
  <c r="S374" i="5"/>
  <c r="Z374" i="5" s="1"/>
  <c r="S375" i="5"/>
  <c r="Z375" i="5" s="1"/>
  <c r="S376" i="5"/>
  <c r="Z376" i="5" s="1"/>
  <c r="S377" i="5"/>
  <c r="Z377" i="5" s="1"/>
  <c r="S378" i="5"/>
  <c r="Z378" i="5" s="1"/>
  <c r="S379" i="5"/>
  <c r="Z379" i="5" s="1"/>
  <c r="S380" i="5"/>
  <c r="Z380" i="5" s="1"/>
  <c r="S381" i="5"/>
  <c r="Z381" i="5" s="1"/>
  <c r="S382" i="5"/>
  <c r="Z382" i="5" s="1"/>
  <c r="S383" i="5"/>
  <c r="Z383" i="5" s="1"/>
  <c r="S384" i="5"/>
  <c r="Z384" i="5" s="1"/>
  <c r="S385" i="5"/>
  <c r="Z385" i="5" s="1"/>
  <c r="S386" i="5"/>
  <c r="Z386" i="5" s="1"/>
  <c r="S387" i="5"/>
  <c r="Z387" i="5" s="1"/>
  <c r="S388" i="5"/>
  <c r="Z388" i="5" s="1"/>
  <c r="S389" i="5"/>
  <c r="Z389" i="5" s="1"/>
  <c r="S390" i="5"/>
  <c r="Z390" i="5" s="1"/>
  <c r="S391" i="5"/>
  <c r="Z391" i="5" s="1"/>
  <c r="S392" i="5"/>
  <c r="Z392" i="5" s="1"/>
  <c r="S393" i="5"/>
  <c r="Z393" i="5" s="1"/>
  <c r="S394" i="5"/>
  <c r="Z394" i="5" s="1"/>
  <c r="S395" i="5"/>
  <c r="Z395" i="5" s="1"/>
  <c r="S396" i="5"/>
  <c r="Z396" i="5" s="1"/>
  <c r="S397" i="5"/>
  <c r="Z397" i="5" s="1"/>
  <c r="S398" i="5"/>
  <c r="Z398" i="5" s="1"/>
  <c r="S399" i="5"/>
  <c r="Z399" i="5" s="1"/>
  <c r="S400" i="5"/>
  <c r="Z400" i="5" s="1"/>
  <c r="S401" i="5"/>
  <c r="Z401" i="5" s="1"/>
  <c r="S402" i="5"/>
  <c r="Z402" i="5" s="1"/>
  <c r="S403" i="5"/>
  <c r="Z403" i="5" s="1"/>
  <c r="S404" i="5"/>
  <c r="Z404" i="5" s="1"/>
  <c r="S405" i="5"/>
  <c r="Z405" i="5" s="1"/>
  <c r="S406" i="5"/>
  <c r="Z406" i="5" s="1"/>
  <c r="S407" i="5"/>
  <c r="Z407" i="5" s="1"/>
  <c r="S408" i="5"/>
  <c r="Z408" i="5" s="1"/>
  <c r="S409" i="5"/>
  <c r="Z409" i="5" s="1"/>
  <c r="S410" i="5"/>
  <c r="Z410" i="5" s="1"/>
  <c r="S411" i="5"/>
  <c r="Z411" i="5" s="1"/>
  <c r="S412" i="5"/>
  <c r="Z412" i="5" s="1"/>
  <c r="S413" i="5"/>
  <c r="Z413" i="5" s="1"/>
  <c r="S414" i="5"/>
  <c r="Z414" i="5" s="1"/>
  <c r="S415" i="5"/>
  <c r="Z415" i="5" s="1"/>
  <c r="S416" i="5"/>
  <c r="Z416" i="5" s="1"/>
  <c r="S417" i="5"/>
  <c r="Z417" i="5" s="1"/>
  <c r="S418" i="5"/>
  <c r="Z418" i="5" s="1"/>
  <c r="S419" i="5"/>
  <c r="Z419" i="5" s="1"/>
  <c r="S420" i="5"/>
  <c r="Z420" i="5" s="1"/>
  <c r="S421" i="5"/>
  <c r="Z421" i="5" s="1"/>
  <c r="S422" i="5"/>
  <c r="Z422" i="5" s="1"/>
  <c r="S423" i="5"/>
  <c r="Z423" i="5" s="1"/>
  <c r="S424" i="5"/>
  <c r="Z424" i="5" s="1"/>
  <c r="S425" i="5"/>
  <c r="Z425" i="5" s="1"/>
  <c r="S426" i="5"/>
  <c r="Z426" i="5" s="1"/>
  <c r="S427" i="5"/>
  <c r="Z427" i="5" s="1"/>
  <c r="S428" i="5"/>
  <c r="Z428" i="5" s="1"/>
  <c r="S429" i="5"/>
  <c r="Z429" i="5" s="1"/>
  <c r="S430" i="5"/>
  <c r="Z430" i="5" s="1"/>
  <c r="S431" i="5"/>
  <c r="Z431" i="5" s="1"/>
  <c r="S432" i="5"/>
  <c r="Z432" i="5" s="1"/>
  <c r="S433" i="5"/>
  <c r="Z433" i="5" s="1"/>
  <c r="S434" i="5"/>
  <c r="Z434" i="5" s="1"/>
  <c r="S435" i="5"/>
  <c r="Z435" i="5" s="1"/>
  <c r="S436" i="5"/>
  <c r="Z436" i="5" s="1"/>
  <c r="S437" i="5"/>
  <c r="Z437" i="5" s="1"/>
  <c r="S438" i="5"/>
  <c r="Z438" i="5" s="1"/>
  <c r="S439" i="5"/>
  <c r="Z439" i="5" s="1"/>
  <c r="S440" i="5"/>
  <c r="Z440" i="5" s="1"/>
  <c r="S441" i="5"/>
  <c r="Z441" i="5" s="1"/>
  <c r="S442" i="5"/>
  <c r="Z442" i="5" s="1"/>
  <c r="S443" i="5"/>
  <c r="Z443" i="5" s="1"/>
  <c r="S444" i="5"/>
  <c r="Z444" i="5" s="1"/>
  <c r="S445" i="5"/>
  <c r="Z445" i="5" s="1"/>
  <c r="S446" i="5"/>
  <c r="Z446" i="5" s="1"/>
  <c r="S447" i="5"/>
  <c r="Z447" i="5" s="1"/>
  <c r="S448" i="5"/>
  <c r="Z448" i="5" s="1"/>
  <c r="S449" i="5"/>
  <c r="Z449" i="5" s="1"/>
  <c r="S450" i="5"/>
  <c r="Z450" i="5" s="1"/>
  <c r="S451" i="5"/>
  <c r="Z451" i="5" s="1"/>
  <c r="S452" i="5"/>
  <c r="Z452" i="5" s="1"/>
  <c r="S453" i="5"/>
  <c r="Z453" i="5" s="1"/>
  <c r="S454" i="5"/>
  <c r="Z454" i="5" s="1"/>
  <c r="S455" i="5"/>
  <c r="Z455" i="5" s="1"/>
  <c r="S456" i="5"/>
  <c r="Z456" i="5" s="1"/>
  <c r="S457" i="5"/>
  <c r="Z457" i="5" s="1"/>
  <c r="S458" i="5"/>
  <c r="Z458" i="5" s="1"/>
  <c r="S459" i="5"/>
  <c r="Z459" i="5" s="1"/>
  <c r="S460" i="5"/>
  <c r="Z460" i="5" s="1"/>
  <c r="S461" i="5"/>
  <c r="Z461" i="5" s="1"/>
  <c r="S462" i="5"/>
  <c r="Z462" i="5" s="1"/>
  <c r="S463" i="5"/>
  <c r="Z463" i="5" s="1"/>
  <c r="S464" i="5"/>
  <c r="Z464" i="5" s="1"/>
  <c r="S465" i="5"/>
  <c r="Z465" i="5" s="1"/>
  <c r="S466" i="5"/>
  <c r="Z466" i="5" s="1"/>
  <c r="S467" i="5"/>
  <c r="Z467" i="5" s="1"/>
  <c r="S468" i="5"/>
  <c r="Z468" i="5" s="1"/>
  <c r="S469" i="5"/>
  <c r="Z469" i="5" s="1"/>
  <c r="S470" i="5"/>
  <c r="Z470" i="5" s="1"/>
  <c r="S471" i="5"/>
  <c r="Z471" i="5" s="1"/>
  <c r="S472" i="5"/>
  <c r="Z472" i="5" s="1"/>
  <c r="S473" i="5"/>
  <c r="Z473" i="5" s="1"/>
  <c r="S474" i="5"/>
  <c r="Z474" i="5" s="1"/>
  <c r="S475" i="5"/>
  <c r="Z475" i="5" s="1"/>
  <c r="S476" i="5"/>
  <c r="Z476" i="5" s="1"/>
  <c r="S477" i="5"/>
  <c r="Z477" i="5" s="1"/>
  <c r="S478" i="5"/>
  <c r="Z478" i="5" s="1"/>
  <c r="S479" i="5"/>
  <c r="Z479" i="5" s="1"/>
  <c r="S480" i="5"/>
  <c r="Z480" i="5" s="1"/>
  <c r="S481" i="5"/>
  <c r="Z481" i="5" s="1"/>
  <c r="S482" i="5"/>
  <c r="Z482" i="5" s="1"/>
  <c r="S483" i="5"/>
  <c r="Z483" i="5" s="1"/>
  <c r="S484" i="5"/>
  <c r="Z484" i="5" s="1"/>
  <c r="S485" i="5"/>
  <c r="Z485" i="5" s="1"/>
  <c r="S486" i="5"/>
  <c r="Z486" i="5" s="1"/>
  <c r="S487" i="5"/>
  <c r="Z487" i="5" s="1"/>
  <c r="S488" i="5"/>
  <c r="Z488" i="5" s="1"/>
  <c r="S489" i="5"/>
  <c r="Z489" i="5" s="1"/>
  <c r="S490" i="5"/>
  <c r="Z490" i="5" s="1"/>
  <c r="S491" i="5"/>
  <c r="Z491" i="5" s="1"/>
  <c r="S492" i="5"/>
  <c r="Z492" i="5" s="1"/>
  <c r="S493" i="5"/>
  <c r="Z493" i="5" s="1"/>
  <c r="S494" i="5"/>
  <c r="Z494" i="5" s="1"/>
  <c r="S495" i="5"/>
  <c r="Z495" i="5" s="1"/>
  <c r="S496" i="5"/>
  <c r="Z496" i="5" s="1"/>
  <c r="S497" i="5"/>
  <c r="Z497" i="5" s="1"/>
  <c r="S498" i="5"/>
  <c r="Z498" i="5" s="1"/>
  <c r="S499" i="5"/>
  <c r="Z499" i="5" s="1"/>
  <c r="S500" i="5"/>
  <c r="Z500" i="5" s="1"/>
  <c r="S501" i="5"/>
  <c r="Z501" i="5" s="1"/>
  <c r="S502" i="5"/>
  <c r="Z502" i="5" s="1"/>
  <c r="S503" i="5"/>
  <c r="Z503" i="5" s="1"/>
  <c r="S504" i="5"/>
  <c r="Z504" i="5" s="1"/>
  <c r="S505" i="5"/>
  <c r="Z505" i="5" s="1"/>
  <c r="S506" i="5"/>
  <c r="Z506" i="5" s="1"/>
  <c r="S507" i="5"/>
  <c r="Z507" i="5" s="1"/>
  <c r="S508" i="5"/>
  <c r="Z508" i="5" s="1"/>
  <c r="S509" i="5"/>
  <c r="Z509" i="5" s="1"/>
  <c r="S510" i="5"/>
  <c r="Z510" i="5" s="1"/>
  <c r="S511" i="5"/>
  <c r="Z511" i="5" s="1"/>
  <c r="S512" i="5"/>
  <c r="Z512" i="5" s="1"/>
  <c r="S513" i="5"/>
  <c r="Z513" i="5" s="1"/>
  <c r="S514" i="5"/>
  <c r="Z514" i="5" s="1"/>
  <c r="S515" i="5"/>
  <c r="Z515" i="5" s="1"/>
  <c r="S516" i="5"/>
  <c r="Z516" i="5" s="1"/>
  <c r="S517" i="5"/>
  <c r="Z517" i="5" s="1"/>
  <c r="S518" i="5"/>
  <c r="Z518" i="5" s="1"/>
  <c r="S519" i="5"/>
  <c r="Z519" i="5" s="1"/>
  <c r="S520" i="5"/>
  <c r="Z520" i="5" s="1"/>
  <c r="S521" i="5"/>
  <c r="Z521" i="5" s="1"/>
  <c r="S522" i="5"/>
  <c r="Z522" i="5" s="1"/>
  <c r="S523" i="5"/>
  <c r="Z523" i="5" s="1"/>
  <c r="S524" i="5"/>
  <c r="Z524" i="5" s="1"/>
  <c r="S525" i="5"/>
  <c r="Z525" i="5" s="1"/>
  <c r="S526" i="5"/>
  <c r="Z526" i="5" s="1"/>
  <c r="S527" i="5"/>
  <c r="Z527" i="5" s="1"/>
  <c r="S528" i="5"/>
  <c r="Z528" i="5" s="1"/>
  <c r="S529" i="5"/>
  <c r="Z529" i="5" s="1"/>
  <c r="S530" i="5"/>
  <c r="Z530" i="5" s="1"/>
  <c r="S531" i="5"/>
  <c r="Z531" i="5" s="1"/>
  <c r="S532" i="5"/>
  <c r="Z532" i="5" s="1"/>
  <c r="S533" i="5"/>
  <c r="Z533" i="5" s="1"/>
  <c r="S534" i="5"/>
  <c r="Z534" i="5" s="1"/>
  <c r="S535" i="5"/>
  <c r="Z535" i="5" s="1"/>
  <c r="S536" i="5"/>
  <c r="Z536" i="5" s="1"/>
  <c r="S537" i="5"/>
  <c r="Z537" i="5" s="1"/>
  <c r="S538" i="5"/>
  <c r="Z538" i="5" s="1"/>
  <c r="S539" i="5"/>
  <c r="Z539" i="5" s="1"/>
  <c r="S540" i="5"/>
  <c r="Z540" i="5" s="1"/>
  <c r="S541" i="5"/>
  <c r="Z541" i="5" s="1"/>
  <c r="S542" i="5"/>
  <c r="Z542" i="5" s="1"/>
  <c r="S543" i="5"/>
  <c r="Z543" i="5" s="1"/>
  <c r="S544" i="5"/>
  <c r="Z544" i="5" s="1"/>
  <c r="S545" i="5"/>
  <c r="Z545" i="5" s="1"/>
  <c r="S546" i="5"/>
  <c r="Z546" i="5" s="1"/>
  <c r="S547" i="5"/>
  <c r="Z547" i="5" s="1"/>
  <c r="S548" i="5"/>
  <c r="Z548" i="5" s="1"/>
  <c r="S549" i="5"/>
  <c r="Z549" i="5" s="1"/>
  <c r="S550" i="5"/>
  <c r="Z550" i="5" s="1"/>
  <c r="S551" i="5"/>
  <c r="Z551" i="5" s="1"/>
  <c r="S552" i="5"/>
  <c r="Z552" i="5" s="1"/>
  <c r="S553" i="5"/>
  <c r="Z553" i="5" s="1"/>
  <c r="S554" i="5"/>
  <c r="Z554" i="5" s="1"/>
  <c r="S555" i="5"/>
  <c r="Z555" i="5" s="1"/>
  <c r="S556" i="5"/>
  <c r="Z556" i="5" s="1"/>
  <c r="S557" i="5"/>
  <c r="Z557" i="5" s="1"/>
  <c r="S558" i="5"/>
  <c r="Z558" i="5" s="1"/>
  <c r="S559" i="5"/>
  <c r="Z559" i="5" s="1"/>
  <c r="S560" i="5"/>
  <c r="Z560" i="5" s="1"/>
  <c r="S561" i="5"/>
  <c r="Z561" i="5" s="1"/>
  <c r="S562" i="5"/>
  <c r="Z562" i="5" s="1"/>
  <c r="S563" i="5"/>
  <c r="Z563" i="5" s="1"/>
  <c r="S564" i="5"/>
  <c r="Z564" i="5" s="1"/>
  <c r="S565" i="5"/>
  <c r="Z565" i="5" s="1"/>
  <c r="S566" i="5"/>
  <c r="Z566" i="5" s="1"/>
  <c r="S567" i="5"/>
  <c r="Z567" i="5" s="1"/>
  <c r="S568" i="5"/>
  <c r="Z568" i="5" s="1"/>
  <c r="S569" i="5"/>
  <c r="Z569" i="5" s="1"/>
  <c r="S570" i="5"/>
  <c r="Z570" i="5" s="1"/>
  <c r="S571" i="5"/>
  <c r="Z571" i="5" s="1"/>
  <c r="S572" i="5"/>
  <c r="Z572" i="5" s="1"/>
  <c r="S573" i="5"/>
  <c r="Z573" i="5" s="1"/>
  <c r="S574" i="5"/>
  <c r="Z574" i="5" s="1"/>
  <c r="S575" i="5"/>
  <c r="Z575" i="5" s="1"/>
  <c r="S576" i="5"/>
  <c r="Z576" i="5" s="1"/>
  <c r="S577" i="5"/>
  <c r="Z577" i="5" s="1"/>
  <c r="S578" i="5"/>
  <c r="Z578" i="5" s="1"/>
  <c r="S579" i="5"/>
  <c r="Z579" i="5" s="1"/>
  <c r="S580" i="5"/>
  <c r="Z580" i="5" s="1"/>
  <c r="S581" i="5"/>
  <c r="Z581" i="5" s="1"/>
  <c r="S582" i="5"/>
  <c r="Z582" i="5" s="1"/>
  <c r="S583" i="5"/>
  <c r="Z583" i="5" s="1"/>
  <c r="S584" i="5"/>
  <c r="Z584" i="5" s="1"/>
  <c r="S585" i="5"/>
  <c r="Z585" i="5" s="1"/>
  <c r="S586" i="5"/>
  <c r="Z586" i="5" s="1"/>
  <c r="S587" i="5"/>
  <c r="Z587" i="5" s="1"/>
  <c r="S588" i="5"/>
  <c r="Z588" i="5" s="1"/>
  <c r="S589" i="5"/>
  <c r="Z589" i="5" s="1"/>
  <c r="S590" i="5"/>
  <c r="Z590" i="5" s="1"/>
  <c r="S591" i="5"/>
  <c r="Z591" i="5" s="1"/>
  <c r="S592" i="5"/>
  <c r="Z592" i="5" s="1"/>
  <c r="S593" i="5"/>
  <c r="Z593" i="5" s="1"/>
  <c r="S594" i="5"/>
  <c r="Z594" i="5" s="1"/>
  <c r="S595" i="5"/>
  <c r="Z595" i="5" s="1"/>
  <c r="S596" i="5"/>
  <c r="Z596" i="5" s="1"/>
  <c r="S597" i="5"/>
  <c r="Z597" i="5" s="1"/>
  <c r="S598" i="5"/>
  <c r="Z598" i="5" s="1"/>
  <c r="S599" i="5"/>
  <c r="Z599" i="5" s="1"/>
  <c r="S600" i="5"/>
  <c r="Z600" i="5" s="1"/>
  <c r="S601" i="5"/>
  <c r="Z601" i="5" s="1"/>
  <c r="S602" i="5"/>
  <c r="Z602" i="5" s="1"/>
  <c r="S603" i="5"/>
  <c r="Z603" i="5" s="1"/>
  <c r="S604" i="5"/>
  <c r="Z604" i="5" s="1"/>
  <c r="S605" i="5"/>
  <c r="Z605" i="5" s="1"/>
  <c r="S606" i="5"/>
  <c r="Z606" i="5" s="1"/>
  <c r="S607" i="5"/>
  <c r="Z607" i="5" s="1"/>
  <c r="S608" i="5"/>
  <c r="Z608" i="5" s="1"/>
  <c r="S609" i="5"/>
  <c r="Z609" i="5" s="1"/>
  <c r="S610" i="5"/>
  <c r="Z610" i="5" s="1"/>
  <c r="S611" i="5"/>
  <c r="Z611" i="5" s="1"/>
  <c r="S612" i="5"/>
  <c r="Z612" i="5" s="1"/>
  <c r="S613" i="5"/>
  <c r="Z613" i="5" s="1"/>
  <c r="S614" i="5"/>
  <c r="Z614" i="5" s="1"/>
  <c r="S615" i="5"/>
  <c r="Z615" i="5" s="1"/>
  <c r="S616" i="5"/>
  <c r="Z616" i="5" s="1"/>
  <c r="S617" i="5"/>
  <c r="Z617" i="5" s="1"/>
  <c r="S618" i="5"/>
  <c r="Z618" i="5" s="1"/>
  <c r="S619" i="5"/>
  <c r="Z619" i="5" s="1"/>
  <c r="S620" i="5"/>
  <c r="Z620" i="5" s="1"/>
  <c r="S621" i="5"/>
  <c r="Z621" i="5" s="1"/>
  <c r="S622" i="5"/>
  <c r="Z622" i="5" s="1"/>
  <c r="S623" i="5"/>
  <c r="Z623" i="5" s="1"/>
  <c r="S624" i="5"/>
  <c r="Z624" i="5" s="1"/>
  <c r="S625" i="5"/>
  <c r="Z625" i="5" s="1"/>
  <c r="S626" i="5"/>
  <c r="Z626" i="5" s="1"/>
  <c r="S627" i="5"/>
  <c r="Z627" i="5" s="1"/>
  <c r="S628" i="5"/>
  <c r="Z628" i="5" s="1"/>
  <c r="S629" i="5"/>
  <c r="Z629" i="5" s="1"/>
  <c r="S630" i="5"/>
  <c r="Z630" i="5" s="1"/>
  <c r="S631" i="5"/>
  <c r="Z631" i="5" s="1"/>
  <c r="S632" i="5"/>
  <c r="Z632" i="5" s="1"/>
  <c r="S633" i="5"/>
  <c r="Z633" i="5" s="1"/>
  <c r="S634" i="5"/>
  <c r="Z634" i="5" s="1"/>
  <c r="S635" i="5"/>
  <c r="Z635" i="5" s="1"/>
  <c r="S636" i="5"/>
  <c r="Z636" i="5" s="1"/>
  <c r="S637" i="5"/>
  <c r="Z637" i="5" s="1"/>
  <c r="S638" i="5"/>
  <c r="Z638" i="5" s="1"/>
  <c r="S639" i="5"/>
  <c r="Z639" i="5" s="1"/>
  <c r="S640" i="5"/>
  <c r="Z640" i="5" s="1"/>
  <c r="S641" i="5"/>
  <c r="Z641" i="5" s="1"/>
  <c r="S642" i="5"/>
  <c r="Z642" i="5" s="1"/>
  <c r="S643" i="5"/>
  <c r="Z643" i="5" s="1"/>
  <c r="S644" i="5"/>
  <c r="Z644" i="5" s="1"/>
  <c r="S645" i="5"/>
  <c r="Z645" i="5" s="1"/>
  <c r="S646" i="5"/>
  <c r="Z646" i="5" s="1"/>
  <c r="S647" i="5"/>
  <c r="Z647" i="5" s="1"/>
  <c r="S648" i="5"/>
  <c r="Z648" i="5" s="1"/>
  <c r="S649" i="5"/>
  <c r="Z649" i="5" s="1"/>
  <c r="S650" i="5"/>
  <c r="Z650" i="5" s="1"/>
  <c r="S651" i="5"/>
  <c r="Z651" i="5" s="1"/>
  <c r="S652" i="5"/>
  <c r="Z652" i="5" s="1"/>
  <c r="S653" i="5"/>
  <c r="Z653" i="5" s="1"/>
  <c r="S654" i="5"/>
  <c r="Z654" i="5" s="1"/>
  <c r="S655" i="5"/>
  <c r="Z655" i="5" s="1"/>
  <c r="S656" i="5"/>
  <c r="Z656" i="5" s="1"/>
  <c r="S657" i="5"/>
  <c r="Z657" i="5" s="1"/>
  <c r="S658" i="5"/>
  <c r="Z658" i="5" s="1"/>
  <c r="S659" i="5"/>
  <c r="Z659" i="5" s="1"/>
  <c r="S660" i="5"/>
  <c r="Z660" i="5" s="1"/>
  <c r="S661" i="5"/>
  <c r="Z661" i="5" s="1"/>
  <c r="S662" i="5"/>
  <c r="Z662" i="5" s="1"/>
  <c r="S663" i="5"/>
  <c r="Z663" i="5" s="1"/>
  <c r="S664" i="5"/>
  <c r="Z664" i="5" s="1"/>
  <c r="S665" i="5"/>
  <c r="Z665" i="5" s="1"/>
  <c r="S666" i="5"/>
  <c r="Z666" i="5" s="1"/>
  <c r="S667" i="5"/>
  <c r="Z667" i="5" s="1"/>
  <c r="S668" i="5"/>
  <c r="Z668" i="5" s="1"/>
  <c r="S669" i="5"/>
  <c r="Z669" i="5" s="1"/>
  <c r="S670" i="5"/>
  <c r="Z670" i="5" s="1"/>
  <c r="S671" i="5"/>
  <c r="Z671" i="5" s="1"/>
  <c r="S672" i="5"/>
  <c r="Z672" i="5" s="1"/>
  <c r="S673" i="5"/>
  <c r="Z673" i="5" s="1"/>
  <c r="S674" i="5"/>
  <c r="Z674" i="5" s="1"/>
  <c r="S675" i="5"/>
  <c r="Z675" i="5" s="1"/>
  <c r="S676" i="5"/>
  <c r="Z676" i="5" s="1"/>
  <c r="S677" i="5"/>
  <c r="Z677" i="5" s="1"/>
  <c r="S678" i="5"/>
  <c r="Z678" i="5" s="1"/>
  <c r="S679" i="5"/>
  <c r="Z679" i="5" s="1"/>
  <c r="S680" i="5"/>
  <c r="Z680" i="5" s="1"/>
  <c r="S681" i="5"/>
  <c r="Z681" i="5" s="1"/>
  <c r="S682" i="5"/>
  <c r="Z682" i="5" s="1"/>
  <c r="S683" i="5"/>
  <c r="Z683" i="5" s="1"/>
  <c r="S684" i="5"/>
  <c r="Z684" i="5" s="1"/>
  <c r="S685" i="5"/>
  <c r="Z685" i="5" s="1"/>
  <c r="S686" i="5"/>
  <c r="Z686" i="5" s="1"/>
  <c r="S687" i="5"/>
  <c r="Z687" i="5" s="1"/>
  <c r="S688" i="5"/>
  <c r="Z688" i="5" s="1"/>
  <c r="S689" i="5"/>
  <c r="Z689" i="5" s="1"/>
  <c r="S690" i="5"/>
  <c r="Z690" i="5" s="1"/>
  <c r="S691" i="5"/>
  <c r="Z691" i="5" s="1"/>
  <c r="S692" i="5"/>
  <c r="Z692" i="5" s="1"/>
  <c r="S693" i="5"/>
  <c r="Z693" i="5" s="1"/>
  <c r="S694" i="5"/>
  <c r="Z694" i="5" s="1"/>
  <c r="S695" i="5"/>
  <c r="Z695" i="5" s="1"/>
  <c r="S696" i="5"/>
  <c r="Z696" i="5" s="1"/>
  <c r="S697" i="5"/>
  <c r="Z697" i="5" s="1"/>
  <c r="S698" i="5"/>
  <c r="Z698" i="5" s="1"/>
  <c r="S699" i="5"/>
  <c r="Z699" i="5" s="1"/>
  <c r="S700" i="5"/>
  <c r="Z700" i="5" s="1"/>
  <c r="S701" i="5"/>
  <c r="Z701" i="5" s="1"/>
  <c r="S702" i="5"/>
  <c r="Z702" i="5" s="1"/>
  <c r="S703" i="5"/>
  <c r="Z703" i="5" s="1"/>
  <c r="S704" i="5"/>
  <c r="Z704" i="5" s="1"/>
  <c r="S705" i="5"/>
  <c r="Z705" i="5" s="1"/>
  <c r="S706" i="5"/>
  <c r="Z706" i="5" s="1"/>
  <c r="S707" i="5"/>
  <c r="Z707" i="5" s="1"/>
  <c r="S708" i="5"/>
  <c r="Z708" i="5" s="1"/>
  <c r="S709" i="5"/>
  <c r="Z709" i="5" s="1"/>
  <c r="S710" i="5"/>
  <c r="Z710" i="5" s="1"/>
  <c r="S711" i="5"/>
  <c r="Z711" i="5" s="1"/>
  <c r="S712" i="5"/>
  <c r="Z712" i="5" s="1"/>
  <c r="S713" i="5"/>
  <c r="Z713" i="5" s="1"/>
  <c r="S714" i="5"/>
  <c r="Z714" i="5" s="1"/>
  <c r="S715" i="5"/>
  <c r="Z715" i="5" s="1"/>
  <c r="S716" i="5"/>
  <c r="Z716" i="5" s="1"/>
  <c r="S717" i="5"/>
  <c r="Z717" i="5" s="1"/>
  <c r="S718" i="5"/>
  <c r="Z718" i="5" s="1"/>
  <c r="S719" i="5"/>
  <c r="Z719" i="5" s="1"/>
  <c r="S720" i="5"/>
  <c r="Z720" i="5" s="1"/>
  <c r="S721" i="5"/>
  <c r="Z721" i="5" s="1"/>
  <c r="S722" i="5"/>
  <c r="Z722" i="5" s="1"/>
  <c r="S723" i="5"/>
  <c r="Z723" i="5" s="1"/>
  <c r="S724" i="5"/>
  <c r="Z724" i="5" s="1"/>
  <c r="S725" i="5"/>
  <c r="Z725" i="5" s="1"/>
  <c r="S726" i="5"/>
  <c r="Z726" i="5" s="1"/>
  <c r="S727" i="5"/>
  <c r="Z727" i="5" s="1"/>
  <c r="S728" i="5"/>
  <c r="Z728" i="5" s="1"/>
  <c r="S729" i="5"/>
  <c r="Z729" i="5" s="1"/>
  <c r="S730" i="5"/>
  <c r="Z730" i="5" s="1"/>
  <c r="S731" i="5"/>
  <c r="Z731" i="5" s="1"/>
  <c r="S732" i="5"/>
  <c r="Z732" i="5" s="1"/>
  <c r="S733" i="5"/>
  <c r="Z733" i="5" s="1"/>
  <c r="S734" i="5"/>
  <c r="Z734" i="5" s="1"/>
  <c r="S735" i="5"/>
  <c r="Z735" i="5" s="1"/>
  <c r="S736" i="5"/>
  <c r="Z736" i="5" s="1"/>
  <c r="S737" i="5"/>
  <c r="Z737" i="5" s="1"/>
  <c r="S738" i="5"/>
  <c r="Z738" i="5" s="1"/>
  <c r="S739" i="5"/>
  <c r="Z739" i="5" s="1"/>
  <c r="S740" i="5"/>
  <c r="Z740" i="5" s="1"/>
  <c r="S741" i="5"/>
  <c r="Z741" i="5" s="1"/>
  <c r="S742" i="5"/>
  <c r="Z742" i="5" s="1"/>
  <c r="S743" i="5"/>
  <c r="Z743" i="5" s="1"/>
  <c r="S744" i="5"/>
  <c r="Z744" i="5" s="1"/>
  <c r="S745" i="5"/>
  <c r="Z745" i="5" s="1"/>
  <c r="S746" i="5"/>
  <c r="Z746" i="5" s="1"/>
  <c r="S747" i="5"/>
  <c r="Z747" i="5" s="1"/>
  <c r="S748" i="5"/>
  <c r="Z748" i="5" s="1"/>
  <c r="S749" i="5"/>
  <c r="Z749" i="5" s="1"/>
  <c r="S750" i="5"/>
  <c r="Z750" i="5" s="1"/>
  <c r="S751" i="5"/>
  <c r="Z751" i="5" s="1"/>
  <c r="S752" i="5"/>
  <c r="Z752" i="5" s="1"/>
  <c r="S753" i="5"/>
  <c r="Z753" i="5" s="1"/>
  <c r="S754" i="5"/>
  <c r="Z754" i="5" s="1"/>
  <c r="S755" i="5"/>
  <c r="Z755" i="5" s="1"/>
  <c r="S756" i="5"/>
  <c r="Z756" i="5" s="1"/>
  <c r="S757" i="5"/>
  <c r="Z757" i="5" s="1"/>
  <c r="S758" i="5"/>
  <c r="Z758" i="5" s="1"/>
  <c r="S759" i="5"/>
  <c r="Z759" i="5" s="1"/>
  <c r="S760" i="5"/>
  <c r="Z760" i="5" s="1"/>
  <c r="S761" i="5"/>
  <c r="Z761" i="5" s="1"/>
  <c r="S762" i="5"/>
  <c r="Z762" i="5" s="1"/>
  <c r="S763" i="5"/>
  <c r="Z763" i="5" s="1"/>
  <c r="S764" i="5"/>
  <c r="Z764" i="5" s="1"/>
  <c r="S765" i="5"/>
  <c r="Z765" i="5" s="1"/>
  <c r="S766" i="5"/>
  <c r="Z766" i="5" s="1"/>
  <c r="S767" i="5"/>
  <c r="Z767" i="5" s="1"/>
  <c r="S768" i="5"/>
  <c r="Z768" i="5" s="1"/>
  <c r="S769" i="5"/>
  <c r="Z769" i="5" s="1"/>
  <c r="S770" i="5"/>
  <c r="Z770" i="5" s="1"/>
  <c r="S771" i="5"/>
  <c r="Z771" i="5" s="1"/>
  <c r="S772" i="5"/>
  <c r="Z772" i="5" s="1"/>
  <c r="S773" i="5"/>
  <c r="Z773" i="5" s="1"/>
  <c r="S774" i="5"/>
  <c r="Z774" i="5" s="1"/>
  <c r="S775" i="5"/>
  <c r="Z775" i="5" s="1"/>
  <c r="S776" i="5"/>
  <c r="Z776" i="5" s="1"/>
  <c r="S777" i="5"/>
  <c r="Z777" i="5" s="1"/>
  <c r="S778" i="5"/>
  <c r="Z778" i="5" s="1"/>
  <c r="S779" i="5"/>
  <c r="Z779" i="5" s="1"/>
  <c r="S780" i="5"/>
  <c r="Z780" i="5" s="1"/>
  <c r="S781" i="5"/>
  <c r="Z781" i="5" s="1"/>
  <c r="S782" i="5"/>
  <c r="Z782" i="5" s="1"/>
  <c r="S783" i="5"/>
  <c r="Z783" i="5" s="1"/>
  <c r="S784" i="5"/>
  <c r="Z784" i="5" s="1"/>
  <c r="S785" i="5"/>
  <c r="Z785" i="5" s="1"/>
  <c r="S786" i="5"/>
  <c r="Z786" i="5" s="1"/>
  <c r="S787" i="5"/>
  <c r="Z787" i="5" s="1"/>
  <c r="S788" i="5"/>
  <c r="Z788" i="5" s="1"/>
  <c r="S789" i="5"/>
  <c r="Z789" i="5" s="1"/>
  <c r="S790" i="5"/>
  <c r="Z790" i="5" s="1"/>
  <c r="S791" i="5"/>
  <c r="Z791" i="5" s="1"/>
  <c r="S792" i="5"/>
  <c r="Z792" i="5" s="1"/>
  <c r="S793" i="5"/>
  <c r="Z793" i="5" s="1"/>
  <c r="S794" i="5"/>
  <c r="Z794" i="5" s="1"/>
  <c r="S795" i="5"/>
  <c r="Z795" i="5" s="1"/>
  <c r="S796" i="5"/>
  <c r="Z796" i="5" s="1"/>
  <c r="S797" i="5"/>
  <c r="Z797" i="5" s="1"/>
  <c r="S798" i="5"/>
  <c r="Z798" i="5" s="1"/>
  <c r="S799" i="5"/>
  <c r="Z799" i="5" s="1"/>
  <c r="S800" i="5"/>
  <c r="Z800" i="5" s="1"/>
  <c r="S801" i="5"/>
  <c r="Z801" i="5" s="1"/>
  <c r="S802" i="5"/>
  <c r="Z802" i="5" s="1"/>
  <c r="S803" i="5"/>
  <c r="Z803" i="5" s="1"/>
  <c r="S804" i="5"/>
  <c r="Z804" i="5" s="1"/>
  <c r="S805" i="5"/>
  <c r="Z805" i="5" s="1"/>
  <c r="S806" i="5"/>
  <c r="Z806" i="5" s="1"/>
  <c r="S807" i="5"/>
  <c r="Z807" i="5" s="1"/>
  <c r="S808" i="5"/>
  <c r="Z808" i="5" s="1"/>
  <c r="S809" i="5"/>
  <c r="Z809" i="5" s="1"/>
  <c r="S810" i="5"/>
  <c r="Z810" i="5" s="1"/>
  <c r="S811" i="5"/>
  <c r="Z811" i="5" s="1"/>
  <c r="S812" i="5"/>
  <c r="Z812" i="5" s="1"/>
  <c r="S813" i="5"/>
  <c r="Z813" i="5" s="1"/>
  <c r="S814" i="5"/>
  <c r="Z814" i="5" s="1"/>
  <c r="S815" i="5"/>
  <c r="Z815" i="5" s="1"/>
  <c r="S816" i="5"/>
  <c r="Z816" i="5" s="1"/>
  <c r="S817" i="5"/>
  <c r="Z817" i="5" s="1"/>
  <c r="S818" i="5"/>
  <c r="Z818" i="5" s="1"/>
  <c r="S819" i="5"/>
  <c r="Z819" i="5" s="1"/>
  <c r="S820" i="5"/>
  <c r="Z820" i="5" s="1"/>
  <c r="S821" i="5"/>
  <c r="Z821" i="5" s="1"/>
  <c r="S822" i="5"/>
  <c r="Z822" i="5" s="1"/>
  <c r="S823" i="5"/>
  <c r="Z823" i="5" s="1"/>
  <c r="S824" i="5"/>
  <c r="Z824" i="5" s="1"/>
  <c r="S825" i="5"/>
  <c r="Z825" i="5" s="1"/>
  <c r="S826" i="5"/>
  <c r="Z826" i="5" s="1"/>
  <c r="S827" i="5"/>
  <c r="Z827" i="5" s="1"/>
  <c r="S828" i="5"/>
  <c r="Z828" i="5" s="1"/>
  <c r="S829" i="5"/>
  <c r="Z829" i="5" s="1"/>
  <c r="S830" i="5"/>
  <c r="Z830" i="5" s="1"/>
  <c r="S831" i="5"/>
  <c r="Z831" i="5" s="1"/>
  <c r="S832" i="5"/>
  <c r="Z832" i="5" s="1"/>
  <c r="S833" i="5"/>
  <c r="Z833" i="5" s="1"/>
  <c r="S834" i="5"/>
  <c r="Z834" i="5" s="1"/>
  <c r="S835" i="5"/>
  <c r="Z835" i="5" s="1"/>
  <c r="S836" i="5"/>
  <c r="Z836" i="5" s="1"/>
  <c r="S837" i="5"/>
  <c r="Z837" i="5" s="1"/>
  <c r="S838" i="5"/>
  <c r="Z838" i="5" s="1"/>
  <c r="S839" i="5"/>
  <c r="Z839" i="5" s="1"/>
  <c r="S840" i="5"/>
  <c r="Z840" i="5" s="1"/>
  <c r="S841" i="5"/>
  <c r="Z841" i="5" s="1"/>
  <c r="S842" i="5"/>
  <c r="Z842" i="5" s="1"/>
  <c r="S843" i="5"/>
  <c r="Z843" i="5" s="1"/>
  <c r="S844" i="5"/>
  <c r="Z844" i="5" s="1"/>
  <c r="S845" i="5"/>
  <c r="Z845" i="5" s="1"/>
  <c r="S846" i="5"/>
  <c r="Z846" i="5" s="1"/>
  <c r="S847" i="5"/>
  <c r="Z847" i="5" s="1"/>
  <c r="S848" i="5"/>
  <c r="Z848" i="5" s="1"/>
  <c r="S849" i="5"/>
  <c r="Z849" i="5" s="1"/>
  <c r="S850" i="5"/>
  <c r="Z850" i="5" s="1"/>
  <c r="S851" i="5"/>
  <c r="Z851" i="5" s="1"/>
  <c r="S852" i="5"/>
  <c r="Z852" i="5" s="1"/>
  <c r="S853" i="5"/>
  <c r="Z853" i="5" s="1"/>
  <c r="S854" i="5"/>
  <c r="Z854" i="5" s="1"/>
  <c r="S855" i="5"/>
  <c r="Z855" i="5" s="1"/>
  <c r="S856" i="5"/>
  <c r="Z856" i="5" s="1"/>
  <c r="S857" i="5"/>
  <c r="Z857" i="5" s="1"/>
  <c r="S858" i="5"/>
  <c r="Z858" i="5" s="1"/>
  <c r="S859" i="5"/>
  <c r="Z859" i="5" s="1"/>
  <c r="S860" i="5"/>
  <c r="Z860" i="5" s="1"/>
  <c r="S861" i="5"/>
  <c r="Z861" i="5" s="1"/>
  <c r="S862" i="5"/>
  <c r="Z862" i="5" s="1"/>
  <c r="S863" i="5"/>
  <c r="Z863" i="5" s="1"/>
  <c r="S864" i="5"/>
  <c r="Z864" i="5" s="1"/>
  <c r="S865" i="5"/>
  <c r="Z865" i="5" s="1"/>
  <c r="S866" i="5"/>
  <c r="Z866" i="5" s="1"/>
  <c r="S867" i="5"/>
  <c r="Z867" i="5" s="1"/>
  <c r="S868" i="5"/>
  <c r="Z868" i="5" s="1"/>
  <c r="S869" i="5"/>
  <c r="Z869" i="5" s="1"/>
  <c r="S870" i="5"/>
  <c r="Z870" i="5" s="1"/>
  <c r="S871" i="5"/>
  <c r="Z871" i="5" s="1"/>
  <c r="S872" i="5"/>
  <c r="Z872" i="5" s="1"/>
  <c r="S873" i="5"/>
  <c r="Z873" i="5" s="1"/>
  <c r="S874" i="5"/>
  <c r="Z874" i="5" s="1"/>
  <c r="S875" i="5"/>
  <c r="Z875" i="5" s="1"/>
  <c r="S876" i="5"/>
  <c r="Z876" i="5" s="1"/>
  <c r="S877" i="5"/>
  <c r="Z877" i="5" s="1"/>
  <c r="S878" i="5"/>
  <c r="Z878" i="5" s="1"/>
  <c r="S879" i="5"/>
  <c r="Z879" i="5" s="1"/>
  <c r="S880" i="5"/>
  <c r="Z880" i="5" s="1"/>
  <c r="S881" i="5"/>
  <c r="Z881" i="5" s="1"/>
  <c r="S882" i="5"/>
  <c r="Z882" i="5" s="1"/>
  <c r="S883" i="5"/>
  <c r="Z883" i="5" s="1"/>
  <c r="S884" i="5"/>
  <c r="Z884" i="5" s="1"/>
  <c r="S885" i="5"/>
  <c r="Z885" i="5" s="1"/>
  <c r="S886" i="5"/>
  <c r="Z886" i="5" s="1"/>
  <c r="S887" i="5"/>
  <c r="Z887" i="5" s="1"/>
  <c r="S888" i="5"/>
  <c r="Z888" i="5" s="1"/>
  <c r="S889" i="5"/>
  <c r="Z889" i="5" s="1"/>
  <c r="S890" i="5"/>
  <c r="Z890" i="5" s="1"/>
  <c r="S891" i="5"/>
  <c r="Z891" i="5" s="1"/>
  <c r="S892" i="5"/>
  <c r="Z892" i="5" s="1"/>
  <c r="S893" i="5"/>
  <c r="Z893" i="5" s="1"/>
  <c r="S894" i="5"/>
  <c r="Z894" i="5" s="1"/>
  <c r="S895" i="5"/>
  <c r="Z895" i="5" s="1"/>
  <c r="S896" i="5"/>
  <c r="Z896" i="5" s="1"/>
  <c r="S897" i="5"/>
  <c r="Z897" i="5" s="1"/>
  <c r="S898" i="5"/>
  <c r="Z898" i="5" s="1"/>
  <c r="S899" i="5"/>
  <c r="Z899" i="5" s="1"/>
  <c r="S900" i="5"/>
  <c r="Z900" i="5" s="1"/>
  <c r="S901" i="5"/>
  <c r="Z901" i="5" s="1"/>
  <c r="S902" i="5"/>
  <c r="Z902" i="5" s="1"/>
  <c r="S903" i="5"/>
  <c r="Z903" i="5" s="1"/>
  <c r="S904" i="5"/>
  <c r="Z904" i="5" s="1"/>
  <c r="S905" i="5"/>
  <c r="Z905" i="5" s="1"/>
  <c r="S906" i="5"/>
  <c r="Z906" i="5" s="1"/>
  <c r="S907" i="5"/>
  <c r="Z907" i="5" s="1"/>
  <c r="S908" i="5"/>
  <c r="Z908" i="5" s="1"/>
  <c r="S909" i="5"/>
  <c r="Z909" i="5" s="1"/>
  <c r="S910" i="5"/>
  <c r="Z910" i="5" s="1"/>
  <c r="S911" i="5"/>
  <c r="Z911" i="5" s="1"/>
  <c r="S912" i="5"/>
  <c r="Z912" i="5" s="1"/>
  <c r="S913" i="5"/>
  <c r="Z913" i="5" s="1"/>
  <c r="S914" i="5"/>
  <c r="Z914" i="5" s="1"/>
  <c r="S915" i="5"/>
  <c r="Z915" i="5" s="1"/>
  <c r="S916" i="5"/>
  <c r="Z916" i="5" s="1"/>
  <c r="S917" i="5"/>
  <c r="Z917" i="5" s="1"/>
  <c r="S918" i="5"/>
  <c r="Z918" i="5" s="1"/>
  <c r="S919" i="5"/>
  <c r="Z919" i="5" s="1"/>
  <c r="S920" i="5"/>
  <c r="Z920" i="5" s="1"/>
  <c r="S921" i="5"/>
  <c r="Z921" i="5" s="1"/>
  <c r="S922" i="5"/>
  <c r="Z922" i="5" s="1"/>
  <c r="S923" i="5"/>
  <c r="Z923" i="5" s="1"/>
  <c r="S924" i="5"/>
  <c r="Z924" i="5" s="1"/>
  <c r="S925" i="5"/>
  <c r="Z925" i="5" s="1"/>
  <c r="S926" i="5"/>
  <c r="Z926" i="5" s="1"/>
  <c r="S927" i="5"/>
  <c r="Z927" i="5" s="1"/>
  <c r="S928" i="5"/>
  <c r="Z928" i="5" s="1"/>
  <c r="S929" i="5"/>
  <c r="Z929" i="5" s="1"/>
  <c r="S930" i="5"/>
  <c r="Z930" i="5" s="1"/>
  <c r="S931" i="5"/>
  <c r="Z931" i="5" s="1"/>
  <c r="S932" i="5"/>
  <c r="Z932" i="5" s="1"/>
  <c r="S933" i="5"/>
  <c r="Z933" i="5" s="1"/>
  <c r="S934" i="5"/>
  <c r="Z934" i="5" s="1"/>
  <c r="S935" i="5"/>
  <c r="Z935" i="5" s="1"/>
  <c r="S936" i="5"/>
  <c r="Z936" i="5" s="1"/>
  <c r="S937" i="5"/>
  <c r="Z937" i="5" s="1"/>
  <c r="S938" i="5"/>
  <c r="Z938" i="5" s="1"/>
  <c r="S939" i="5"/>
  <c r="Z939" i="5" s="1"/>
  <c r="S940" i="5"/>
  <c r="Z940" i="5" s="1"/>
  <c r="S941" i="5"/>
  <c r="Z941" i="5" s="1"/>
  <c r="S942" i="5"/>
  <c r="Z942" i="5" s="1"/>
  <c r="S943" i="5"/>
  <c r="Z943" i="5" s="1"/>
  <c r="S944" i="5"/>
  <c r="Z944" i="5" s="1"/>
  <c r="S945" i="5"/>
  <c r="Z945" i="5" s="1"/>
  <c r="S946" i="5"/>
  <c r="Z946" i="5" s="1"/>
  <c r="S947" i="5"/>
  <c r="Z947" i="5" s="1"/>
  <c r="S948" i="5"/>
  <c r="Z948" i="5" s="1"/>
  <c r="S949" i="5"/>
  <c r="Z949" i="5" s="1"/>
  <c r="S950" i="5"/>
  <c r="Z950" i="5" s="1"/>
  <c r="S951" i="5"/>
  <c r="Z951" i="5" s="1"/>
  <c r="S952" i="5"/>
  <c r="Z952" i="5" s="1"/>
  <c r="S953" i="5"/>
  <c r="Z953" i="5" s="1"/>
  <c r="S954" i="5"/>
  <c r="Z954" i="5" s="1"/>
  <c r="S955" i="5"/>
  <c r="Z955" i="5" s="1"/>
  <c r="S956" i="5"/>
  <c r="Z956" i="5" s="1"/>
  <c r="S957" i="5"/>
  <c r="Z957" i="5" s="1"/>
  <c r="S958" i="5"/>
  <c r="Z958" i="5" s="1"/>
  <c r="S959" i="5"/>
  <c r="Z959" i="5" s="1"/>
  <c r="S960" i="5"/>
  <c r="Z960" i="5" s="1"/>
  <c r="S961" i="5"/>
  <c r="Z961" i="5" s="1"/>
  <c r="S962" i="5"/>
  <c r="Z962" i="5" s="1"/>
  <c r="S963" i="5"/>
  <c r="Z963" i="5" s="1"/>
  <c r="S964" i="5"/>
  <c r="Z964" i="5" s="1"/>
  <c r="S965" i="5"/>
  <c r="Z965" i="5" s="1"/>
  <c r="S966" i="5"/>
  <c r="Z966" i="5" s="1"/>
  <c r="S967" i="5"/>
  <c r="Z967" i="5" s="1"/>
  <c r="S968" i="5"/>
  <c r="Z968" i="5" s="1"/>
  <c r="S969" i="5"/>
  <c r="Z969" i="5" s="1"/>
  <c r="S970" i="5"/>
  <c r="Z970" i="5" s="1"/>
  <c r="S971" i="5"/>
  <c r="Z971" i="5" s="1"/>
  <c r="S972" i="5"/>
  <c r="Z972" i="5" s="1"/>
  <c r="S973" i="5"/>
  <c r="Z973" i="5" s="1"/>
  <c r="S974" i="5"/>
  <c r="Z974" i="5" s="1"/>
  <c r="S975" i="5"/>
  <c r="Z975" i="5" s="1"/>
  <c r="S976" i="5"/>
  <c r="Z976" i="5" s="1"/>
  <c r="S977" i="5"/>
  <c r="Z977" i="5" s="1"/>
  <c r="S978" i="5"/>
  <c r="Z978" i="5" s="1"/>
  <c r="S979" i="5"/>
  <c r="Z979" i="5" s="1"/>
  <c r="S980" i="5"/>
  <c r="Z980" i="5" s="1"/>
  <c r="S981" i="5"/>
  <c r="Z981" i="5" s="1"/>
  <c r="S982" i="5"/>
  <c r="Z982" i="5" s="1"/>
  <c r="S983" i="5"/>
  <c r="Z983" i="5" s="1"/>
  <c r="S984" i="5"/>
  <c r="Z984" i="5" s="1"/>
  <c r="S985" i="5"/>
  <c r="Z985" i="5" s="1"/>
  <c r="S986" i="5"/>
  <c r="Z986" i="5" s="1"/>
  <c r="S987" i="5"/>
  <c r="Z987" i="5" s="1"/>
  <c r="S988" i="5"/>
  <c r="Z988" i="5" s="1"/>
  <c r="S989" i="5"/>
  <c r="Z989" i="5" s="1"/>
  <c r="S990" i="5"/>
  <c r="Z990" i="5" s="1"/>
  <c r="S991" i="5"/>
  <c r="Z991" i="5" s="1"/>
  <c r="S992" i="5"/>
  <c r="Z992" i="5" s="1"/>
  <c r="S993" i="5"/>
  <c r="Z993" i="5" s="1"/>
  <c r="S994" i="5"/>
  <c r="Z994" i="5" s="1"/>
  <c r="S995" i="5"/>
  <c r="Z995" i="5" s="1"/>
  <c r="S996" i="5"/>
  <c r="Z996" i="5" s="1"/>
  <c r="S997" i="5"/>
  <c r="Z997" i="5" s="1"/>
  <c r="S998" i="5"/>
  <c r="Z998" i="5" s="1"/>
  <c r="S999" i="5"/>
  <c r="Z999" i="5" s="1"/>
  <c r="S1000" i="5"/>
  <c r="Z1000" i="5" s="1"/>
  <c r="S1001" i="5"/>
  <c r="Z1001" i="5" s="1"/>
  <c r="S1002" i="5"/>
  <c r="Z1002" i="5" s="1"/>
  <c r="S1003" i="5"/>
  <c r="Z1003" i="5" s="1"/>
  <c r="S1004" i="5"/>
  <c r="Z1004" i="5" s="1"/>
  <c r="S1005" i="5"/>
  <c r="Z1005" i="5" s="1"/>
  <c r="S1006" i="5"/>
  <c r="Z1006" i="5" s="1"/>
  <c r="S1007" i="5"/>
  <c r="Z1007" i="5" s="1"/>
  <c r="S1008" i="5"/>
  <c r="Z1008" i="5" s="1"/>
  <c r="S1009" i="5"/>
  <c r="Z1009" i="5" s="1"/>
  <c r="S1010" i="5"/>
  <c r="Z1010" i="5" s="1"/>
  <c r="S1011" i="5"/>
  <c r="Z1011" i="5" s="1"/>
  <c r="S1012" i="5"/>
  <c r="Z1012" i="5" s="1"/>
  <c r="S1013" i="5"/>
  <c r="Z1013" i="5" s="1"/>
  <c r="S1014" i="5"/>
  <c r="Z1014" i="5" s="1"/>
  <c r="S1015" i="5"/>
  <c r="Z1015" i="5" s="1"/>
  <c r="S1016" i="5"/>
  <c r="Z1016" i="5" s="1"/>
  <c r="S1017" i="5"/>
  <c r="Z1017" i="5" s="1"/>
  <c r="S1018" i="5"/>
  <c r="Z1018" i="5" s="1"/>
  <c r="S1019" i="5"/>
  <c r="Z1019" i="5" s="1"/>
  <c r="S1020" i="5"/>
  <c r="Z1020" i="5" s="1"/>
  <c r="S1021" i="5"/>
  <c r="Z1021" i="5" s="1"/>
  <c r="S1022" i="5"/>
  <c r="Z1022" i="5" s="1"/>
  <c r="S1023" i="5"/>
  <c r="Z1023" i="5" s="1"/>
  <c r="S1024" i="5"/>
  <c r="Z1024" i="5" s="1"/>
  <c r="S1025" i="5"/>
  <c r="Z1025" i="5" s="1"/>
  <c r="S1026" i="5"/>
  <c r="Z1026" i="5" s="1"/>
  <c r="S1027" i="5"/>
  <c r="Z1027" i="5" s="1"/>
  <c r="S1028" i="5"/>
  <c r="Z1028" i="5" s="1"/>
  <c r="S1029" i="5"/>
  <c r="Z1029" i="5" s="1"/>
  <c r="S1030" i="5"/>
  <c r="Z1030" i="5" s="1"/>
  <c r="S1031" i="5"/>
  <c r="Z1031" i="5" s="1"/>
  <c r="S1032" i="5"/>
  <c r="Z1032" i="5" s="1"/>
  <c r="S1033" i="5"/>
  <c r="Z1033" i="5" s="1"/>
  <c r="S1034" i="5"/>
  <c r="Z1034" i="5" s="1"/>
  <c r="S1035" i="5"/>
  <c r="Z1035" i="5" s="1"/>
  <c r="S1036" i="5"/>
  <c r="Z1036" i="5" s="1"/>
  <c r="S1037" i="5"/>
  <c r="Z1037" i="5" s="1"/>
  <c r="S1038" i="5"/>
  <c r="Z1038" i="5" s="1"/>
  <c r="S1039" i="5"/>
  <c r="Z1039" i="5" s="1"/>
  <c r="S1040" i="5"/>
  <c r="Z1040" i="5" s="1"/>
  <c r="S1041" i="5"/>
  <c r="Z1041" i="5" s="1"/>
  <c r="S1042" i="5"/>
  <c r="Z1042" i="5" s="1"/>
  <c r="S1043" i="5"/>
  <c r="Z1043" i="5" s="1"/>
  <c r="S1044" i="5"/>
  <c r="Z1044" i="5" s="1"/>
  <c r="S1045" i="5"/>
  <c r="Z1045" i="5" s="1"/>
  <c r="S1046" i="5"/>
  <c r="Z1046" i="5" s="1"/>
  <c r="S1047" i="5"/>
  <c r="Z1047" i="5" s="1"/>
  <c r="S1048" i="5"/>
  <c r="Z1048" i="5" s="1"/>
  <c r="S1049" i="5"/>
  <c r="Z1049" i="5" s="1"/>
  <c r="S1050" i="5"/>
  <c r="Z1050" i="5" s="1"/>
  <c r="S1051" i="5"/>
  <c r="Z1051" i="5" s="1"/>
  <c r="S1052" i="5"/>
  <c r="Z1052" i="5" s="1"/>
  <c r="S1053" i="5"/>
  <c r="Z1053" i="5" s="1"/>
  <c r="S1054" i="5"/>
  <c r="Z1054" i="5" s="1"/>
  <c r="S1055" i="5"/>
  <c r="Z1055" i="5" s="1"/>
  <c r="S1056" i="5"/>
  <c r="Z1056" i="5" s="1"/>
  <c r="S1057" i="5"/>
  <c r="Z1057" i="5" s="1"/>
  <c r="S1058" i="5"/>
  <c r="Z1058" i="5" s="1"/>
  <c r="S1059" i="5"/>
  <c r="Z1059" i="5" s="1"/>
  <c r="S1060" i="5"/>
  <c r="Z1060" i="5" s="1"/>
  <c r="S1061" i="5"/>
  <c r="Z1061" i="5" s="1"/>
  <c r="S1062" i="5"/>
  <c r="Z1062" i="5" s="1"/>
  <c r="S1063" i="5"/>
  <c r="Z1063" i="5" s="1"/>
  <c r="S1064" i="5"/>
  <c r="Z1064" i="5" s="1"/>
  <c r="S1065" i="5"/>
  <c r="Z1065" i="5" s="1"/>
  <c r="S1066" i="5"/>
  <c r="Z1066" i="5" s="1"/>
  <c r="S1067" i="5"/>
  <c r="Z1067" i="5" s="1"/>
  <c r="S1068" i="5"/>
  <c r="Z1068" i="5" s="1"/>
  <c r="S1069" i="5"/>
  <c r="Z1069" i="5" s="1"/>
  <c r="S1070" i="5"/>
  <c r="Z1070" i="5" s="1"/>
  <c r="S1071" i="5"/>
  <c r="Z1071" i="5" s="1"/>
  <c r="S1072" i="5"/>
  <c r="Z1072" i="5" s="1"/>
  <c r="S1073" i="5"/>
  <c r="Z1073" i="5" s="1"/>
  <c r="S1074" i="5"/>
  <c r="Z1074" i="5" s="1"/>
  <c r="S1075" i="5"/>
  <c r="Z1075" i="5" s="1"/>
  <c r="S1076" i="5"/>
  <c r="Z1076" i="5" s="1"/>
  <c r="S1077" i="5"/>
  <c r="Z1077" i="5" s="1"/>
  <c r="S1078" i="5"/>
  <c r="Z1078" i="5" s="1"/>
  <c r="S1079" i="5"/>
  <c r="Z1079" i="5" s="1"/>
  <c r="S1080" i="5"/>
  <c r="Z1080" i="5" s="1"/>
  <c r="S1081" i="5"/>
  <c r="Z1081" i="5" s="1"/>
  <c r="S1082" i="5"/>
  <c r="Z1082" i="5" s="1"/>
  <c r="S1083" i="5"/>
  <c r="Z1083" i="5" s="1"/>
  <c r="S1084" i="5"/>
  <c r="Z1084" i="5" s="1"/>
  <c r="S1085" i="5"/>
  <c r="Z1085" i="5" s="1"/>
  <c r="S1086" i="5"/>
  <c r="Z1086" i="5" s="1"/>
  <c r="S1087" i="5"/>
  <c r="Z1087" i="5" s="1"/>
  <c r="S1088" i="5"/>
  <c r="Z1088" i="5" s="1"/>
  <c r="S1089" i="5"/>
  <c r="Z1089" i="5" s="1"/>
  <c r="S1090" i="5"/>
  <c r="Z1090" i="5" s="1"/>
  <c r="S1091" i="5"/>
  <c r="Z1091" i="5" s="1"/>
  <c r="S1092" i="5"/>
  <c r="Z1092" i="5" s="1"/>
  <c r="S1093" i="5"/>
  <c r="Z1093" i="5" s="1"/>
  <c r="S1094" i="5"/>
  <c r="Z1094" i="5" s="1"/>
  <c r="S1095" i="5"/>
  <c r="Z1095" i="5" s="1"/>
  <c r="S1096" i="5"/>
  <c r="Z1096" i="5" s="1"/>
  <c r="S1097" i="5"/>
  <c r="Z1097" i="5" s="1"/>
  <c r="S1098" i="5"/>
  <c r="Z1098" i="5" s="1"/>
  <c r="S1099" i="5"/>
  <c r="Z1099" i="5" s="1"/>
  <c r="S1100" i="5"/>
  <c r="Z1100" i="5" s="1"/>
  <c r="S1101" i="5"/>
  <c r="Z1101" i="5" s="1"/>
  <c r="S1102" i="5"/>
  <c r="Z1102" i="5" s="1"/>
  <c r="S1103" i="5"/>
  <c r="Z1103" i="5" s="1"/>
  <c r="S1104" i="5"/>
  <c r="Z1104" i="5" s="1"/>
  <c r="S1105" i="5"/>
  <c r="Z1105" i="5" s="1"/>
  <c r="S1106" i="5"/>
  <c r="Z1106" i="5" s="1"/>
  <c r="S1107" i="5"/>
  <c r="Z1107" i="5" s="1"/>
  <c r="S1108" i="5"/>
  <c r="Z1108" i="5" s="1"/>
  <c r="S1109" i="5"/>
  <c r="Z1109" i="5" s="1"/>
  <c r="S1110" i="5"/>
  <c r="Z1110" i="5" s="1"/>
  <c r="S1111" i="5"/>
  <c r="Z1111" i="5" s="1"/>
  <c r="S1112" i="5"/>
  <c r="Z1112" i="5" s="1"/>
  <c r="S1113" i="5"/>
  <c r="Z1113" i="5" s="1"/>
  <c r="S1114" i="5"/>
  <c r="Z1114" i="5" s="1"/>
  <c r="S1115" i="5"/>
  <c r="Z1115" i="5" s="1"/>
  <c r="S1116" i="5"/>
  <c r="Z1116" i="5" s="1"/>
  <c r="S1117" i="5"/>
  <c r="Z1117" i="5" s="1"/>
  <c r="S1118" i="5"/>
  <c r="Z1118" i="5" s="1"/>
  <c r="S1119" i="5"/>
  <c r="Z1119" i="5" s="1"/>
  <c r="S1120" i="5"/>
  <c r="Z1120" i="5" s="1"/>
  <c r="S1121" i="5"/>
  <c r="Z1121" i="5" s="1"/>
  <c r="S1122" i="5"/>
  <c r="Z1122" i="5" s="1"/>
  <c r="S1123" i="5"/>
  <c r="Z1123" i="5" s="1"/>
  <c r="S1124" i="5"/>
  <c r="Z1124" i="5" s="1"/>
  <c r="S1125" i="5"/>
  <c r="Z1125" i="5" s="1"/>
  <c r="S1126" i="5"/>
  <c r="Z1126" i="5" s="1"/>
  <c r="S1127" i="5"/>
  <c r="Z1127" i="5" s="1"/>
  <c r="S1128" i="5"/>
  <c r="Z1128" i="5" s="1"/>
  <c r="S1129" i="5"/>
  <c r="Z1129" i="5" s="1"/>
  <c r="S1130" i="5"/>
  <c r="Z1130" i="5" s="1"/>
  <c r="S1131" i="5"/>
  <c r="Z1131" i="5" s="1"/>
  <c r="S1132" i="5"/>
  <c r="Z1132" i="5" s="1"/>
  <c r="S1133" i="5"/>
  <c r="Z1133" i="5" s="1"/>
  <c r="S1134" i="5"/>
  <c r="Z1134" i="5" s="1"/>
  <c r="S1135" i="5"/>
  <c r="Z1135" i="5" s="1"/>
  <c r="S1136" i="5"/>
  <c r="Z1136" i="5" s="1"/>
  <c r="S1137" i="5"/>
  <c r="Z1137" i="5" s="1"/>
  <c r="S1138" i="5"/>
  <c r="Z1138" i="5" s="1"/>
  <c r="S1139" i="5"/>
  <c r="Z1139" i="5" s="1"/>
  <c r="S1140" i="5"/>
  <c r="Z1140" i="5" s="1"/>
  <c r="S1141" i="5"/>
  <c r="Z1141" i="5" s="1"/>
  <c r="S1142" i="5"/>
  <c r="Z1142" i="5" s="1"/>
  <c r="S1143" i="5"/>
  <c r="Z1143" i="5" s="1"/>
  <c r="S1144" i="5"/>
  <c r="Z1144" i="5" s="1"/>
  <c r="S1145" i="5"/>
  <c r="Z1145" i="5" s="1"/>
  <c r="S1146" i="5"/>
  <c r="Z1146" i="5" s="1"/>
  <c r="S1147" i="5"/>
  <c r="Z1147" i="5" s="1"/>
  <c r="S1148" i="5"/>
  <c r="Z1148" i="5" s="1"/>
  <c r="S1149" i="5"/>
  <c r="Z1149" i="5" s="1"/>
  <c r="S1150" i="5"/>
  <c r="Z1150" i="5" s="1"/>
  <c r="S1151" i="5"/>
  <c r="Z1151" i="5" s="1"/>
  <c r="S1152" i="5"/>
  <c r="Z1152" i="5" s="1"/>
  <c r="S1153" i="5"/>
  <c r="Z1153" i="5" s="1"/>
  <c r="S1154" i="5"/>
  <c r="Z1154" i="5" s="1"/>
  <c r="S1155" i="5"/>
  <c r="Z1155" i="5" s="1"/>
  <c r="S1156" i="5"/>
  <c r="Z1156" i="5" s="1"/>
  <c r="S1157" i="5"/>
  <c r="Z1157" i="5" s="1"/>
  <c r="S1158" i="5"/>
  <c r="Z1158" i="5" s="1"/>
  <c r="S1159" i="5"/>
  <c r="Z1159" i="5" s="1"/>
  <c r="S1160" i="5"/>
  <c r="Z1160" i="5" s="1"/>
  <c r="S1161" i="5"/>
  <c r="Z1161" i="5" s="1"/>
  <c r="S1162" i="5"/>
  <c r="Z1162" i="5" s="1"/>
  <c r="S1163" i="5"/>
  <c r="Z1163" i="5" s="1"/>
  <c r="S1164" i="5"/>
  <c r="Z1164" i="5" s="1"/>
  <c r="S1165" i="5"/>
  <c r="Z1165" i="5" s="1"/>
  <c r="S1166" i="5"/>
  <c r="Z1166" i="5" s="1"/>
  <c r="S1167" i="5"/>
  <c r="Z1167" i="5" s="1"/>
  <c r="S1168" i="5"/>
  <c r="Z1168" i="5" s="1"/>
  <c r="S1169" i="5"/>
  <c r="Z1169" i="5" s="1"/>
  <c r="S1170" i="5"/>
  <c r="Z1170" i="5" s="1"/>
  <c r="S1171" i="5"/>
  <c r="Z1171" i="5" s="1"/>
  <c r="S1172" i="5"/>
  <c r="Z1172" i="5" s="1"/>
  <c r="S1173" i="5"/>
  <c r="Z1173" i="5" s="1"/>
  <c r="S1174" i="5"/>
  <c r="Z1174" i="5" s="1"/>
  <c r="S1175" i="5"/>
  <c r="Z1175" i="5" s="1"/>
  <c r="S1176" i="5"/>
  <c r="Z1176" i="5" s="1"/>
  <c r="S1177" i="5"/>
  <c r="Z1177" i="5" s="1"/>
  <c r="S1178" i="5"/>
  <c r="Z1178" i="5" s="1"/>
  <c r="S1179" i="5"/>
  <c r="Z1179" i="5" s="1"/>
  <c r="S1180" i="5"/>
  <c r="Z1180" i="5" s="1"/>
  <c r="S1181" i="5"/>
  <c r="Z1181" i="5" s="1"/>
  <c r="S1182" i="5"/>
  <c r="Z1182" i="5" s="1"/>
  <c r="S1183" i="5"/>
  <c r="Z1183" i="5" s="1"/>
  <c r="S1184" i="5"/>
  <c r="Z1184" i="5" s="1"/>
  <c r="S1185" i="5"/>
  <c r="Z1185" i="5" s="1"/>
  <c r="S1186" i="5"/>
  <c r="Z1186" i="5" s="1"/>
  <c r="S1187" i="5"/>
  <c r="Z1187" i="5" s="1"/>
  <c r="S1188" i="5"/>
  <c r="Z1188" i="5" s="1"/>
  <c r="S1189" i="5"/>
  <c r="Z1189" i="5" s="1"/>
  <c r="S1190" i="5"/>
  <c r="Z1190" i="5" s="1"/>
  <c r="S1191" i="5"/>
  <c r="Z1191" i="5" s="1"/>
  <c r="S1192" i="5"/>
  <c r="Z1192" i="5" s="1"/>
  <c r="S1193" i="5"/>
  <c r="Z1193" i="5" s="1"/>
  <c r="S1194" i="5"/>
  <c r="Z1194" i="5" s="1"/>
  <c r="S1195" i="5"/>
  <c r="Z1195" i="5" s="1"/>
  <c r="S1196" i="5"/>
  <c r="Z1196" i="5" s="1"/>
  <c r="S1197" i="5"/>
  <c r="Z1197" i="5" s="1"/>
  <c r="S1198" i="5"/>
  <c r="Z1198" i="5" s="1"/>
  <c r="S1199" i="5"/>
  <c r="Z1199" i="5" s="1"/>
  <c r="S1200" i="5"/>
  <c r="Z1200" i="5" s="1"/>
  <c r="S1201" i="5"/>
  <c r="Z1201" i="5" s="1"/>
  <c r="S1202" i="5"/>
  <c r="Z1202" i="5" s="1"/>
  <c r="S1203" i="5"/>
  <c r="Z1203" i="5" s="1"/>
  <c r="S1204" i="5"/>
  <c r="Z1204" i="5" s="1"/>
  <c r="S1205" i="5"/>
  <c r="Z1205" i="5" s="1"/>
  <c r="S1206" i="5"/>
  <c r="Z1206" i="5" s="1"/>
  <c r="S1207" i="5"/>
  <c r="Z1207" i="5" s="1"/>
  <c r="S1208" i="5"/>
  <c r="Z1208" i="5" s="1"/>
  <c r="S1209" i="5"/>
  <c r="Z1209" i="5" s="1"/>
  <c r="S1210" i="5"/>
  <c r="Z1210" i="5" s="1"/>
  <c r="S1211" i="5"/>
  <c r="Z1211" i="5" s="1"/>
  <c r="S1212" i="5"/>
  <c r="Z1212" i="5" s="1"/>
  <c r="S1213" i="5"/>
  <c r="Z1213" i="5" s="1"/>
  <c r="S1214" i="5"/>
  <c r="Z1214" i="5" s="1"/>
  <c r="S1215" i="5"/>
  <c r="Z1215" i="5" s="1"/>
  <c r="S1216" i="5"/>
  <c r="Z1216" i="5" s="1"/>
  <c r="S1217" i="5"/>
  <c r="Z1217" i="5" s="1"/>
  <c r="S1218" i="5"/>
  <c r="Z1218" i="5" s="1"/>
  <c r="S1219" i="5"/>
  <c r="Z1219" i="5" s="1"/>
  <c r="S1220" i="5"/>
  <c r="Z1220" i="5" s="1"/>
  <c r="S1221" i="5"/>
  <c r="Z1221" i="5" s="1"/>
  <c r="S1222" i="5"/>
  <c r="Z1222" i="5" s="1"/>
  <c r="S1223" i="5"/>
  <c r="Z1223" i="5" s="1"/>
  <c r="S1224" i="5"/>
  <c r="Z1224" i="5" s="1"/>
  <c r="S1225" i="5"/>
  <c r="Z1225" i="5" s="1"/>
  <c r="S1226" i="5"/>
  <c r="Z1226" i="5" s="1"/>
  <c r="S1227" i="5"/>
  <c r="Z1227" i="5" s="1"/>
  <c r="S1228" i="5"/>
  <c r="Z1228" i="5" s="1"/>
  <c r="S1229" i="5"/>
  <c r="Z1229" i="5" s="1"/>
  <c r="S1230" i="5"/>
  <c r="Z1230" i="5" s="1"/>
  <c r="S1231" i="5"/>
  <c r="Z1231" i="5" s="1"/>
  <c r="S1232" i="5"/>
  <c r="Z1232" i="5" s="1"/>
  <c r="S1233" i="5"/>
  <c r="Z1233" i="5" s="1"/>
  <c r="S1234" i="5"/>
  <c r="Z1234" i="5" s="1"/>
  <c r="S1235" i="5"/>
  <c r="Z1235" i="5" s="1"/>
  <c r="S1236" i="5"/>
  <c r="Z1236" i="5" s="1"/>
  <c r="S1237" i="5"/>
  <c r="Z1237" i="5" s="1"/>
  <c r="S1238" i="5"/>
  <c r="Z1238" i="5" s="1"/>
  <c r="S1239" i="5"/>
  <c r="Z1239" i="5" s="1"/>
  <c r="S1240" i="5"/>
  <c r="Z1240" i="5" s="1"/>
  <c r="S1241" i="5"/>
  <c r="Z1241" i="5" s="1"/>
  <c r="S1242" i="5"/>
  <c r="Z1242" i="5" s="1"/>
  <c r="S1243" i="5"/>
  <c r="Z1243" i="5" s="1"/>
  <c r="S1244" i="5"/>
  <c r="Z1244" i="5" s="1"/>
  <c r="S1245" i="5"/>
  <c r="Z1245" i="5" s="1"/>
  <c r="S1246" i="5"/>
  <c r="Z1246" i="5" s="1"/>
  <c r="S1247" i="5"/>
  <c r="Z1247" i="5" s="1"/>
  <c r="S1248" i="5"/>
  <c r="Z1248" i="5" s="1"/>
  <c r="S1249" i="5"/>
  <c r="Z1249" i="5" s="1"/>
  <c r="S1250" i="5"/>
  <c r="Z1250" i="5" s="1"/>
  <c r="S1251" i="5"/>
  <c r="Z1251" i="5" s="1"/>
  <c r="S1252" i="5"/>
  <c r="Z1252" i="5" s="1"/>
  <c r="S1253" i="5"/>
  <c r="Z1253" i="5" s="1"/>
  <c r="S1254" i="5"/>
  <c r="Z1254" i="5" s="1"/>
  <c r="S1255" i="5"/>
  <c r="Z1255" i="5" s="1"/>
  <c r="S1256" i="5"/>
  <c r="Z1256" i="5" s="1"/>
  <c r="S1257" i="5"/>
  <c r="Z1257" i="5" s="1"/>
  <c r="S1258" i="5"/>
  <c r="Z1258" i="5" s="1"/>
  <c r="S1259" i="5"/>
  <c r="Z1259" i="5" s="1"/>
  <c r="S1260" i="5"/>
  <c r="Z1260" i="5" s="1"/>
  <c r="S1261" i="5"/>
  <c r="Z1261" i="5" s="1"/>
  <c r="S1262" i="5"/>
  <c r="Z1262" i="5" s="1"/>
  <c r="S1263" i="5"/>
  <c r="Z1263" i="5" s="1"/>
  <c r="S1264" i="5"/>
  <c r="Z1264" i="5" s="1"/>
  <c r="S1265" i="5"/>
  <c r="Z1265" i="5" s="1"/>
  <c r="S1266" i="5"/>
  <c r="Z1266" i="5" s="1"/>
  <c r="S1267" i="5"/>
  <c r="Z1267" i="5" s="1"/>
  <c r="S1268" i="5"/>
  <c r="Z1268" i="5" s="1"/>
  <c r="S1269" i="5"/>
  <c r="Z1269" i="5" s="1"/>
  <c r="S1270" i="5"/>
  <c r="Z1270" i="5" s="1"/>
  <c r="S1271" i="5"/>
  <c r="Z1271" i="5" s="1"/>
  <c r="S1272" i="5"/>
  <c r="Z1272" i="5" s="1"/>
  <c r="S1273" i="5"/>
  <c r="Z1273" i="5" s="1"/>
  <c r="S1274" i="5"/>
  <c r="Z1274" i="5" s="1"/>
  <c r="S1275" i="5"/>
  <c r="Z1275" i="5" s="1"/>
  <c r="S1276" i="5"/>
  <c r="Z1276" i="5" s="1"/>
  <c r="S1277" i="5"/>
  <c r="Z1277" i="5" s="1"/>
  <c r="S1278" i="5"/>
  <c r="Z1278" i="5" s="1"/>
  <c r="S1279" i="5"/>
  <c r="Z1279" i="5" s="1"/>
  <c r="S1280" i="5"/>
  <c r="Z1280" i="5" s="1"/>
  <c r="S1281" i="5"/>
  <c r="Z1281" i="5" s="1"/>
  <c r="S1282" i="5"/>
  <c r="Z1282" i="5" s="1"/>
  <c r="S1283" i="5"/>
  <c r="Z1283" i="5" s="1"/>
  <c r="S1284" i="5"/>
  <c r="Z1284" i="5" s="1"/>
  <c r="S1285" i="5"/>
  <c r="Z1285" i="5" s="1"/>
  <c r="S1286" i="5"/>
  <c r="Z1286" i="5" s="1"/>
  <c r="S1287" i="5"/>
  <c r="Z1287" i="5" s="1"/>
  <c r="S1288" i="5"/>
  <c r="Z1288" i="5" s="1"/>
  <c r="S1289" i="5"/>
  <c r="Z1289" i="5" s="1"/>
  <c r="S1290" i="5"/>
  <c r="Z1290" i="5" s="1"/>
  <c r="S1291" i="5"/>
  <c r="Z1291" i="5" s="1"/>
  <c r="S1292" i="5"/>
  <c r="Z1292" i="5" s="1"/>
  <c r="S1293" i="5"/>
  <c r="Z1293" i="5" s="1"/>
  <c r="S1294" i="5"/>
  <c r="Z1294" i="5" s="1"/>
  <c r="S1295" i="5"/>
  <c r="Z1295" i="5" s="1"/>
  <c r="S1296" i="5"/>
  <c r="Z1296" i="5" s="1"/>
  <c r="S1297" i="5"/>
  <c r="Z1297" i="5" s="1"/>
  <c r="S1298" i="5"/>
  <c r="Z1298" i="5" s="1"/>
  <c r="S1299" i="5"/>
  <c r="Z1299" i="5" s="1"/>
  <c r="S1300" i="5"/>
  <c r="Z1300" i="5" s="1"/>
  <c r="S1301" i="5"/>
  <c r="Z1301" i="5" s="1"/>
  <c r="S1302" i="5"/>
  <c r="Z1302" i="5" s="1"/>
  <c r="S1303" i="5"/>
  <c r="Z1303" i="5" s="1"/>
  <c r="S1304" i="5"/>
  <c r="Z1304" i="5" s="1"/>
  <c r="S1305" i="5"/>
  <c r="Z1305" i="5" s="1"/>
  <c r="S1306" i="5"/>
  <c r="Z1306" i="5" s="1"/>
  <c r="S1307" i="5"/>
  <c r="Z1307" i="5" s="1"/>
  <c r="S1308" i="5"/>
  <c r="Z1308" i="5" s="1"/>
  <c r="S1309" i="5"/>
  <c r="Z1309" i="5" s="1"/>
  <c r="S1310" i="5"/>
  <c r="Z1310" i="5" s="1"/>
  <c r="S1311" i="5"/>
  <c r="Z1311" i="5" s="1"/>
  <c r="S1312" i="5"/>
  <c r="Z1312" i="5" s="1"/>
  <c r="S1313" i="5"/>
  <c r="Z1313" i="5" s="1"/>
  <c r="S1314" i="5"/>
  <c r="Z1314" i="5" s="1"/>
  <c r="S1315" i="5"/>
  <c r="Z1315" i="5" s="1"/>
  <c r="S1316" i="5"/>
  <c r="Z1316" i="5" s="1"/>
  <c r="S1317" i="5"/>
  <c r="Z1317" i="5" s="1"/>
  <c r="S1318" i="5"/>
  <c r="Z1318" i="5" s="1"/>
  <c r="S1319" i="5"/>
  <c r="Z1319" i="5" s="1"/>
  <c r="S1320" i="5"/>
  <c r="Z1320" i="5" s="1"/>
  <c r="S1321" i="5"/>
  <c r="Z1321" i="5" s="1"/>
  <c r="S1322" i="5"/>
  <c r="Z1322" i="5" s="1"/>
  <c r="S1323" i="5"/>
  <c r="Z1323" i="5" s="1"/>
  <c r="S1324" i="5"/>
  <c r="Z1324" i="5" s="1"/>
  <c r="S1325" i="5"/>
  <c r="Z1325" i="5" s="1"/>
  <c r="S1326" i="5"/>
  <c r="Z1326" i="5" s="1"/>
  <c r="S1327" i="5"/>
  <c r="Z1327" i="5" s="1"/>
  <c r="S1328" i="5"/>
  <c r="Z1328" i="5" s="1"/>
  <c r="S1329" i="5"/>
  <c r="Z1329" i="5" s="1"/>
  <c r="S1330" i="5"/>
  <c r="Z1330" i="5" s="1"/>
  <c r="S1331" i="5"/>
  <c r="Z1331" i="5" s="1"/>
  <c r="S1332" i="5"/>
  <c r="Z1332" i="5" s="1"/>
  <c r="S1333" i="5"/>
  <c r="Z1333" i="5" s="1"/>
  <c r="S1334" i="5"/>
  <c r="Z1334" i="5" s="1"/>
  <c r="S1335" i="5"/>
  <c r="Z1335" i="5" s="1"/>
  <c r="S1336" i="5"/>
  <c r="Z1336" i="5" s="1"/>
  <c r="S1337" i="5"/>
  <c r="Z1337" i="5" s="1"/>
  <c r="S1338" i="5"/>
  <c r="Z1338" i="5" s="1"/>
  <c r="S1339" i="5"/>
  <c r="Z1339" i="5" s="1"/>
  <c r="S1340" i="5"/>
  <c r="Z1340" i="5" s="1"/>
  <c r="S1341" i="5"/>
  <c r="Z1341" i="5" s="1"/>
  <c r="S1342" i="5"/>
  <c r="Z1342" i="5" s="1"/>
  <c r="S1343" i="5"/>
  <c r="Z1343" i="5" s="1"/>
  <c r="S1344" i="5"/>
  <c r="Z1344" i="5" s="1"/>
  <c r="S1345" i="5"/>
  <c r="Z1345" i="5" s="1"/>
  <c r="S1346" i="5"/>
  <c r="Z1346" i="5" s="1"/>
  <c r="S1347" i="5"/>
  <c r="Z1347" i="5" s="1"/>
  <c r="S1348" i="5"/>
  <c r="Z1348" i="5" s="1"/>
  <c r="S1349" i="5"/>
  <c r="Z1349" i="5" s="1"/>
  <c r="S1350" i="5"/>
  <c r="Z1350" i="5" s="1"/>
  <c r="S1351" i="5"/>
  <c r="Z1351" i="5" s="1"/>
  <c r="S1352" i="5"/>
  <c r="Z1352" i="5" s="1"/>
  <c r="S1353" i="5"/>
  <c r="Z1353" i="5" s="1"/>
  <c r="S1354" i="5"/>
  <c r="Z1354" i="5" s="1"/>
  <c r="S1355" i="5"/>
  <c r="Z1355" i="5" s="1"/>
  <c r="S1356" i="5"/>
  <c r="Z1356" i="5" s="1"/>
  <c r="S1357" i="5"/>
  <c r="Z1357" i="5" s="1"/>
  <c r="S1358" i="5"/>
  <c r="Z1358" i="5" s="1"/>
  <c r="S1359" i="5"/>
  <c r="Z1359" i="5" s="1"/>
  <c r="S1360" i="5"/>
  <c r="Z1360" i="5" s="1"/>
  <c r="S1361" i="5"/>
  <c r="Z1361" i="5" s="1"/>
  <c r="S1362" i="5"/>
  <c r="Z1362" i="5" s="1"/>
  <c r="S1363" i="5"/>
  <c r="Z1363" i="5" s="1"/>
  <c r="S1364" i="5"/>
  <c r="Z1364" i="5" s="1"/>
  <c r="S1365" i="5"/>
  <c r="Z1365" i="5" s="1"/>
  <c r="S1366" i="5"/>
  <c r="Z1366" i="5" s="1"/>
  <c r="S1367" i="5"/>
  <c r="Z1367" i="5" s="1"/>
  <c r="S1368" i="5"/>
  <c r="Z1368" i="5" s="1"/>
  <c r="S1369" i="5"/>
  <c r="Z1369" i="5" s="1"/>
  <c r="S1370" i="5"/>
  <c r="Z1370" i="5" s="1"/>
  <c r="S1371" i="5"/>
  <c r="Z1371" i="5" s="1"/>
  <c r="S1372" i="5"/>
  <c r="Z1372" i="5" s="1"/>
  <c r="S1373" i="5"/>
  <c r="Z1373" i="5" s="1"/>
  <c r="S1374" i="5"/>
  <c r="Z1374" i="5" s="1"/>
  <c r="S1375" i="5"/>
  <c r="Z1375" i="5" s="1"/>
  <c r="S1376" i="5"/>
  <c r="Z1376" i="5" s="1"/>
  <c r="S1377" i="5"/>
  <c r="Z1377" i="5" s="1"/>
  <c r="S1378" i="5"/>
  <c r="Z1378" i="5" s="1"/>
  <c r="S1379" i="5"/>
  <c r="Z1379" i="5" s="1"/>
  <c r="S1380" i="5"/>
  <c r="Z1380" i="5" s="1"/>
  <c r="S1381" i="5"/>
  <c r="Z1381" i="5" s="1"/>
  <c r="S1382" i="5"/>
  <c r="Z1382" i="5" s="1"/>
  <c r="S1383" i="5"/>
  <c r="Z1383" i="5" s="1"/>
  <c r="S1384" i="5"/>
  <c r="Z1384" i="5" s="1"/>
  <c r="S1385" i="5"/>
  <c r="Z1385" i="5" s="1"/>
  <c r="S1386" i="5"/>
  <c r="Z1386" i="5" s="1"/>
  <c r="S1387" i="5"/>
  <c r="Z1387" i="5" s="1"/>
  <c r="S1388" i="5"/>
  <c r="Z1388" i="5" s="1"/>
  <c r="S1389" i="5"/>
  <c r="Z1389" i="5" s="1"/>
  <c r="S1390" i="5"/>
  <c r="Z1390" i="5" s="1"/>
  <c r="S1391" i="5"/>
  <c r="Z1391" i="5" s="1"/>
  <c r="S1392" i="5"/>
  <c r="Z1392" i="5" s="1"/>
  <c r="S1393" i="5"/>
  <c r="Z1393" i="5" s="1"/>
  <c r="S1394" i="5"/>
  <c r="Z1394" i="5" s="1"/>
  <c r="S1395" i="5"/>
  <c r="Z1395" i="5" s="1"/>
  <c r="S1396" i="5"/>
  <c r="Z1396" i="5" s="1"/>
  <c r="S1397" i="5"/>
  <c r="Z1397" i="5" s="1"/>
  <c r="S1398" i="5"/>
  <c r="Z1398" i="5" s="1"/>
  <c r="S1399" i="5"/>
  <c r="Z1399" i="5" s="1"/>
  <c r="S1400" i="5"/>
  <c r="Z1400" i="5" s="1"/>
  <c r="S1401" i="5"/>
  <c r="Z1401" i="5" s="1"/>
  <c r="S1402" i="5"/>
  <c r="Z1402" i="5" s="1"/>
  <c r="S1403" i="5"/>
  <c r="Z1403" i="5" s="1"/>
  <c r="S1404" i="5"/>
  <c r="Z1404" i="5" s="1"/>
  <c r="S1405" i="5"/>
  <c r="Z1405" i="5" s="1"/>
  <c r="S1406" i="5"/>
  <c r="Z1406" i="5" s="1"/>
  <c r="S1407" i="5"/>
  <c r="Z1407" i="5" s="1"/>
  <c r="S1408" i="5"/>
  <c r="Z1408" i="5" s="1"/>
  <c r="S1409" i="5"/>
  <c r="Z1409" i="5" s="1"/>
  <c r="S1410" i="5"/>
  <c r="Z1410" i="5" s="1"/>
  <c r="S1411" i="5"/>
  <c r="Z1411" i="5" s="1"/>
  <c r="S1412" i="5"/>
  <c r="Z1412" i="5" s="1"/>
  <c r="S1413" i="5"/>
  <c r="Z1413" i="5" s="1"/>
  <c r="S1414" i="5"/>
  <c r="Z1414" i="5" s="1"/>
  <c r="S1415" i="5"/>
  <c r="Z1415" i="5" s="1"/>
  <c r="S1416" i="5"/>
  <c r="Z1416" i="5" s="1"/>
  <c r="S1417" i="5"/>
  <c r="Z1417" i="5" s="1"/>
  <c r="S1418" i="5"/>
  <c r="Z1418" i="5" s="1"/>
  <c r="S1419" i="5"/>
  <c r="Z1419" i="5" s="1"/>
  <c r="S1420" i="5"/>
  <c r="Z1420" i="5" s="1"/>
  <c r="S1421" i="5"/>
  <c r="Z1421" i="5" s="1"/>
  <c r="S1422" i="5"/>
  <c r="Z1422" i="5" s="1"/>
  <c r="S1423" i="5"/>
  <c r="Z1423" i="5" s="1"/>
  <c r="S1424" i="5"/>
  <c r="Z1424" i="5" s="1"/>
  <c r="S1425" i="5"/>
  <c r="Z1425" i="5" s="1"/>
  <c r="S1426" i="5"/>
  <c r="Z1426" i="5" s="1"/>
  <c r="S1427" i="5"/>
  <c r="Z1427" i="5" s="1"/>
  <c r="S1428" i="5"/>
  <c r="Z1428" i="5" s="1"/>
  <c r="S1429" i="5"/>
  <c r="Z1429" i="5" s="1"/>
  <c r="S1430" i="5"/>
  <c r="Z1430" i="5" s="1"/>
  <c r="S1431" i="5"/>
  <c r="Z1431" i="5" s="1"/>
  <c r="S1432" i="5"/>
  <c r="Z1432" i="5" s="1"/>
  <c r="S1433" i="5"/>
  <c r="Z1433" i="5" s="1"/>
  <c r="S1434" i="5"/>
  <c r="Z1434" i="5" s="1"/>
  <c r="S1435" i="5"/>
  <c r="Z1435" i="5" s="1"/>
  <c r="S1436" i="5"/>
  <c r="Z1436" i="5" s="1"/>
  <c r="S1437" i="5"/>
  <c r="Z1437" i="5" s="1"/>
  <c r="S1438" i="5"/>
  <c r="Z1438" i="5" s="1"/>
  <c r="S1439" i="5"/>
  <c r="Z1439" i="5" s="1"/>
  <c r="S1440" i="5"/>
  <c r="Z1440" i="5" s="1"/>
  <c r="S1441" i="5"/>
  <c r="Z1441" i="5" s="1"/>
  <c r="S1442" i="5"/>
  <c r="Z1442" i="5" s="1"/>
  <c r="S1443" i="5"/>
  <c r="Z1443" i="5" s="1"/>
  <c r="S1444" i="5"/>
  <c r="Z1444" i="5" s="1"/>
  <c r="S1445" i="5"/>
  <c r="Z1445" i="5" s="1"/>
  <c r="S1446" i="5"/>
  <c r="Z1446" i="5" s="1"/>
  <c r="S1447" i="5"/>
  <c r="Z1447" i="5" s="1"/>
  <c r="S1448" i="5"/>
  <c r="Z1448" i="5" s="1"/>
  <c r="S1449" i="5"/>
  <c r="Z1449" i="5" s="1"/>
  <c r="S1450" i="5"/>
  <c r="Z1450" i="5" s="1"/>
  <c r="S1451" i="5"/>
  <c r="Z1451" i="5" s="1"/>
  <c r="S1452" i="5"/>
  <c r="Z1452" i="5" s="1"/>
  <c r="S1453" i="5"/>
  <c r="Z1453" i="5" s="1"/>
  <c r="S1454" i="5"/>
  <c r="Z1454" i="5" s="1"/>
  <c r="S1455" i="5"/>
  <c r="Z1455" i="5" s="1"/>
  <c r="S1456" i="5"/>
  <c r="Z1456" i="5" s="1"/>
  <c r="S1457" i="5"/>
  <c r="Z1457" i="5" s="1"/>
  <c r="S1458" i="5"/>
  <c r="Z1458" i="5" s="1"/>
  <c r="S1459" i="5"/>
  <c r="Z1459" i="5" s="1"/>
  <c r="S1460" i="5"/>
  <c r="Z1460" i="5" s="1"/>
  <c r="S1461" i="5"/>
  <c r="Z1461" i="5" s="1"/>
  <c r="S1462" i="5"/>
  <c r="Z1462" i="5" s="1"/>
  <c r="S1463" i="5"/>
  <c r="Z1463" i="5" s="1"/>
  <c r="S1464" i="5"/>
  <c r="Z1464" i="5" s="1"/>
  <c r="S1465" i="5"/>
  <c r="Z1465" i="5" s="1"/>
  <c r="S1466" i="5"/>
  <c r="Z1466" i="5" s="1"/>
  <c r="S1467" i="5"/>
  <c r="Z1467" i="5" s="1"/>
  <c r="S1468" i="5"/>
  <c r="Z1468" i="5" s="1"/>
  <c r="S1469" i="5"/>
  <c r="Z1469" i="5" s="1"/>
  <c r="S1470" i="5"/>
  <c r="Z1470" i="5" s="1"/>
  <c r="S1471" i="5"/>
  <c r="Z1471" i="5" s="1"/>
  <c r="S1472" i="5"/>
  <c r="Z1472" i="5" s="1"/>
  <c r="S1473" i="5"/>
  <c r="Z1473" i="5" s="1"/>
  <c r="S1474" i="5"/>
  <c r="Z1474" i="5" s="1"/>
  <c r="S1475" i="5"/>
  <c r="Z1475" i="5" s="1"/>
  <c r="S1476" i="5"/>
  <c r="Z1476" i="5" s="1"/>
  <c r="S1477" i="5"/>
  <c r="Z1477" i="5" s="1"/>
  <c r="S1478" i="5"/>
  <c r="Z1478" i="5" s="1"/>
  <c r="S1479" i="5"/>
  <c r="Z1479" i="5" s="1"/>
  <c r="S1480" i="5"/>
  <c r="Z1480" i="5" s="1"/>
  <c r="S1481" i="5"/>
  <c r="Z1481" i="5" s="1"/>
  <c r="S1482" i="5"/>
  <c r="Z1482" i="5" s="1"/>
  <c r="S1483" i="5"/>
  <c r="Z1483" i="5" s="1"/>
  <c r="S1484" i="5"/>
  <c r="Z1484" i="5" s="1"/>
  <c r="S1485" i="5"/>
  <c r="Z1485" i="5" s="1"/>
  <c r="S1486" i="5"/>
  <c r="Z1486" i="5" s="1"/>
  <c r="S1487" i="5"/>
  <c r="Z1487" i="5" s="1"/>
  <c r="S1488" i="5"/>
  <c r="Z1488" i="5" s="1"/>
  <c r="S1489" i="5"/>
  <c r="Z1489" i="5" s="1"/>
  <c r="S1490" i="5"/>
  <c r="Z1490" i="5" s="1"/>
  <c r="S1491" i="5"/>
  <c r="Z1491" i="5" s="1"/>
  <c r="S1492" i="5"/>
  <c r="Z1492" i="5" s="1"/>
  <c r="S1493" i="5"/>
  <c r="Z1493" i="5" s="1"/>
  <c r="S1494" i="5"/>
  <c r="Z1494" i="5" s="1"/>
  <c r="S1495" i="5"/>
  <c r="Z1495" i="5" s="1"/>
  <c r="S1496" i="5"/>
  <c r="Z1496" i="5" s="1"/>
  <c r="S1497" i="5"/>
  <c r="Z1497" i="5" s="1"/>
  <c r="S1498" i="5"/>
  <c r="Z1498" i="5" s="1"/>
  <c r="S1499" i="5"/>
  <c r="Z1499" i="5" s="1"/>
  <c r="S1500" i="5"/>
  <c r="Z1500" i="5" s="1"/>
  <c r="S1501" i="5"/>
  <c r="Z1501" i="5" s="1"/>
  <c r="S1502" i="5"/>
  <c r="Z1502" i="5" s="1"/>
  <c r="S1503" i="5"/>
  <c r="Z1503" i="5" s="1"/>
  <c r="S1504" i="5"/>
  <c r="Z1504" i="5" s="1"/>
  <c r="S1505" i="5"/>
  <c r="Z1505" i="5" s="1"/>
  <c r="S1506" i="5"/>
  <c r="Z1506" i="5" s="1"/>
  <c r="S1507" i="5"/>
  <c r="Z1507" i="5" s="1"/>
  <c r="S1508" i="5"/>
  <c r="Z1508" i="5" s="1"/>
  <c r="S1509" i="5"/>
  <c r="Z1509" i="5" s="1"/>
  <c r="S1510" i="5"/>
  <c r="Z1510" i="5" s="1"/>
  <c r="S1511" i="5"/>
  <c r="Z1511" i="5" s="1"/>
  <c r="S1512" i="5"/>
  <c r="Z1512" i="5" s="1"/>
  <c r="S1513" i="5"/>
  <c r="Z1513" i="5" s="1"/>
  <c r="S1514" i="5"/>
  <c r="Z1514" i="5" s="1"/>
  <c r="S1515" i="5"/>
  <c r="Z1515" i="5" s="1"/>
  <c r="S1516" i="5"/>
  <c r="Z1516" i="5" s="1"/>
  <c r="S1517" i="5"/>
  <c r="Z1517" i="5" s="1"/>
  <c r="S1518" i="5"/>
  <c r="Z1518" i="5" s="1"/>
  <c r="S1519" i="5"/>
  <c r="Z1519" i="5" s="1"/>
  <c r="S1520" i="5"/>
  <c r="Z1520" i="5" s="1"/>
  <c r="S1521" i="5"/>
  <c r="Z1521" i="5" s="1"/>
  <c r="S1522" i="5"/>
  <c r="Z1522" i="5" s="1"/>
  <c r="S1523" i="5"/>
  <c r="Z1523" i="5" s="1"/>
  <c r="S1524" i="5"/>
  <c r="Z1524" i="5" s="1"/>
  <c r="S1525" i="5"/>
  <c r="Z1525" i="5" s="1"/>
  <c r="S1526" i="5"/>
  <c r="Z1526" i="5" s="1"/>
  <c r="S1527" i="5"/>
  <c r="Z1527" i="5" s="1"/>
  <c r="S1528" i="5"/>
  <c r="Z1528" i="5" s="1"/>
  <c r="S1529" i="5"/>
  <c r="Z1529" i="5" s="1"/>
  <c r="S1530" i="5"/>
  <c r="Z1530" i="5" s="1"/>
  <c r="S1531" i="5"/>
  <c r="Z1531" i="5" s="1"/>
  <c r="S1532" i="5"/>
  <c r="Z1532" i="5" s="1"/>
  <c r="S1533" i="5"/>
  <c r="Z1533" i="5" s="1"/>
  <c r="S1534" i="5"/>
  <c r="Z1534" i="5" s="1"/>
  <c r="S1535" i="5"/>
  <c r="Z1535" i="5" s="1"/>
  <c r="S1536" i="5"/>
  <c r="Z1536" i="5" s="1"/>
  <c r="S1537" i="5"/>
  <c r="Z1537" i="5" s="1"/>
  <c r="S1538" i="5"/>
  <c r="Z1538" i="5" s="1"/>
  <c r="S1539" i="5"/>
  <c r="Z1539" i="5" s="1"/>
  <c r="S1540" i="5"/>
  <c r="Z1540" i="5" s="1"/>
  <c r="S1541" i="5"/>
  <c r="Z1541" i="5" s="1"/>
  <c r="S1542" i="5"/>
  <c r="Z1542" i="5" s="1"/>
  <c r="S1543" i="5"/>
  <c r="Z1543" i="5" s="1"/>
  <c r="S1544" i="5"/>
  <c r="Z1544" i="5" s="1"/>
  <c r="S1545" i="5"/>
  <c r="Z1545" i="5" s="1"/>
  <c r="S1546" i="5"/>
  <c r="Z1546" i="5" s="1"/>
  <c r="S1547" i="5"/>
  <c r="Z1547" i="5" s="1"/>
  <c r="S1548" i="5"/>
  <c r="Z1548" i="5" s="1"/>
  <c r="S1549" i="5"/>
  <c r="Z1549" i="5" s="1"/>
  <c r="S1550" i="5"/>
  <c r="Z1550" i="5" s="1"/>
  <c r="S1551" i="5"/>
  <c r="Z1551" i="5" s="1"/>
  <c r="S1552" i="5"/>
  <c r="Z1552" i="5" s="1"/>
  <c r="S1553" i="5"/>
  <c r="Z1553" i="5" s="1"/>
  <c r="S1554" i="5"/>
  <c r="Z1554" i="5" s="1"/>
  <c r="S1555" i="5"/>
  <c r="Z1555" i="5" s="1"/>
  <c r="S1556" i="5"/>
  <c r="Z1556" i="5" s="1"/>
  <c r="S1557" i="5"/>
  <c r="Z1557" i="5" s="1"/>
  <c r="S1558" i="5"/>
  <c r="Z1558" i="5" s="1"/>
  <c r="S1559" i="5"/>
  <c r="Z1559" i="5" s="1"/>
  <c r="S1560" i="5"/>
  <c r="Z1560" i="5" s="1"/>
  <c r="S1561" i="5"/>
  <c r="Z1561" i="5" s="1"/>
  <c r="S1562" i="5"/>
  <c r="Z1562" i="5" s="1"/>
  <c r="S1563" i="5"/>
  <c r="Z1563" i="5" s="1"/>
  <c r="S1564" i="5"/>
  <c r="Z1564" i="5" s="1"/>
  <c r="S1565" i="5"/>
  <c r="Z1565" i="5" s="1"/>
  <c r="S1566" i="5"/>
  <c r="Z1566" i="5" s="1"/>
  <c r="S1567" i="5"/>
  <c r="Z1567" i="5" s="1"/>
  <c r="S1568" i="5"/>
  <c r="Z1568" i="5" s="1"/>
  <c r="S1569" i="5"/>
  <c r="Z1569" i="5" s="1"/>
  <c r="S1570" i="5"/>
  <c r="Z1570" i="5" s="1"/>
  <c r="S1571" i="5"/>
  <c r="Z1571" i="5" s="1"/>
  <c r="S1572" i="5"/>
  <c r="Z1572" i="5" s="1"/>
  <c r="S1573" i="5"/>
  <c r="Z1573" i="5" s="1"/>
  <c r="S1574" i="5"/>
  <c r="Z1574" i="5" s="1"/>
  <c r="S1575" i="5"/>
  <c r="Z1575" i="5" s="1"/>
  <c r="S1576" i="5"/>
  <c r="Z1576" i="5" s="1"/>
  <c r="S1577" i="5"/>
  <c r="Z1577" i="5" s="1"/>
  <c r="S1578" i="5"/>
  <c r="Z1578" i="5" s="1"/>
  <c r="S1579" i="5"/>
  <c r="Z1579" i="5" s="1"/>
  <c r="S1580" i="5"/>
  <c r="Z1580" i="5" s="1"/>
  <c r="S1581" i="5"/>
  <c r="Z1581" i="5" s="1"/>
  <c r="S1582" i="5"/>
  <c r="Z1582" i="5" s="1"/>
  <c r="S1583" i="5"/>
  <c r="Z1583" i="5" s="1"/>
  <c r="S1584" i="5"/>
  <c r="Z1584" i="5" s="1"/>
  <c r="S1585" i="5"/>
  <c r="Z1585" i="5" s="1"/>
  <c r="S1586" i="5"/>
  <c r="Z1586" i="5" s="1"/>
  <c r="S1587" i="5"/>
  <c r="Z1587" i="5" s="1"/>
  <c r="S1588" i="5"/>
  <c r="Z1588" i="5" s="1"/>
  <c r="S1589" i="5"/>
  <c r="Z1589" i="5" s="1"/>
  <c r="S1590" i="5"/>
  <c r="Z1590" i="5" s="1"/>
  <c r="S1591" i="5"/>
  <c r="Z1591" i="5" s="1"/>
  <c r="S1592" i="5"/>
  <c r="Z1592" i="5" s="1"/>
  <c r="S1593" i="5"/>
  <c r="Z1593" i="5" s="1"/>
  <c r="S1594" i="5"/>
  <c r="Z1594" i="5" s="1"/>
  <c r="S1595" i="5"/>
  <c r="Z1595" i="5" s="1"/>
  <c r="S1596" i="5"/>
  <c r="Z1596" i="5" s="1"/>
  <c r="S1597" i="5"/>
  <c r="Z1597" i="5" s="1"/>
  <c r="S1598" i="5"/>
  <c r="Z1598" i="5" s="1"/>
  <c r="S1599" i="5"/>
  <c r="Z1599" i="5" s="1"/>
  <c r="S1600" i="5"/>
  <c r="Z1600" i="5" s="1"/>
  <c r="S1601" i="5"/>
  <c r="Z1601" i="5" s="1"/>
  <c r="S1602" i="5"/>
  <c r="Z1602" i="5" s="1"/>
  <c r="S1603" i="5"/>
  <c r="Z1603" i="5" s="1"/>
  <c r="S1604" i="5"/>
  <c r="Z1604" i="5" s="1"/>
  <c r="S1605" i="5"/>
  <c r="Z1605" i="5" s="1"/>
  <c r="S1606" i="5"/>
  <c r="Z1606" i="5" s="1"/>
  <c r="S1607" i="5"/>
  <c r="Z1607" i="5" s="1"/>
  <c r="S1608" i="5"/>
  <c r="Z1608" i="5" s="1"/>
  <c r="S1609" i="5"/>
  <c r="Z1609" i="5" s="1"/>
  <c r="S1610" i="5"/>
  <c r="Z1610" i="5" s="1"/>
  <c r="S1611" i="5"/>
  <c r="Z1611" i="5" s="1"/>
  <c r="S1612" i="5"/>
  <c r="Z1612" i="5" s="1"/>
  <c r="S1613" i="5"/>
  <c r="Z1613" i="5" s="1"/>
  <c r="S1614" i="5"/>
  <c r="Z1614" i="5" s="1"/>
  <c r="S1615" i="5"/>
  <c r="Z1615" i="5" s="1"/>
  <c r="S1616" i="5"/>
  <c r="Z1616" i="5" s="1"/>
  <c r="S1617" i="5"/>
  <c r="Z1617" i="5" s="1"/>
  <c r="S1618" i="5"/>
  <c r="Z1618" i="5" s="1"/>
  <c r="S1619" i="5"/>
  <c r="Z1619" i="5" s="1"/>
  <c r="S1620" i="5"/>
  <c r="Z1620" i="5" s="1"/>
  <c r="S1621" i="5"/>
  <c r="Z1621" i="5" s="1"/>
  <c r="S1622" i="5"/>
  <c r="Z1622" i="5" s="1"/>
  <c r="S1623" i="5"/>
  <c r="Z1623" i="5" s="1"/>
  <c r="S1624" i="5"/>
  <c r="Z1624" i="5" s="1"/>
  <c r="S1625" i="5"/>
  <c r="Z1625" i="5" s="1"/>
  <c r="S1626" i="5"/>
  <c r="Z1626" i="5" s="1"/>
  <c r="S1627" i="5"/>
  <c r="Z1627" i="5" s="1"/>
  <c r="S1628" i="5"/>
  <c r="Z1628" i="5" s="1"/>
  <c r="S1629" i="5"/>
  <c r="Z1629" i="5" s="1"/>
  <c r="S1630" i="5"/>
  <c r="Z1630" i="5" s="1"/>
  <c r="S1631" i="5"/>
  <c r="Z1631" i="5" s="1"/>
  <c r="S1632" i="5"/>
  <c r="Z1632" i="5" s="1"/>
  <c r="S1633" i="5"/>
  <c r="Z1633" i="5" s="1"/>
  <c r="S1634" i="5"/>
  <c r="Z1634" i="5" s="1"/>
  <c r="S1635" i="5"/>
  <c r="Z1635" i="5" s="1"/>
  <c r="S1636" i="5"/>
  <c r="Z1636" i="5" s="1"/>
  <c r="S1637" i="5"/>
  <c r="Z1637" i="5" s="1"/>
  <c r="S1638" i="5"/>
  <c r="Z1638" i="5" s="1"/>
  <c r="S1639" i="5"/>
  <c r="Z1639" i="5" s="1"/>
  <c r="S1640" i="5"/>
  <c r="Z1640" i="5" s="1"/>
  <c r="S1641" i="5"/>
  <c r="Z1641" i="5" s="1"/>
  <c r="S1642" i="5"/>
  <c r="Z1642" i="5" s="1"/>
  <c r="S1643" i="5"/>
  <c r="Z1643" i="5" s="1"/>
  <c r="S1644" i="5"/>
  <c r="Z1644" i="5" s="1"/>
  <c r="S1645" i="5"/>
  <c r="Z1645" i="5" s="1"/>
  <c r="S1646" i="5"/>
  <c r="Z1646" i="5" s="1"/>
  <c r="S1647" i="5"/>
  <c r="Z1647" i="5" s="1"/>
  <c r="S1648" i="5"/>
  <c r="Z1648" i="5" s="1"/>
  <c r="S1649" i="5"/>
  <c r="Z1649" i="5" s="1"/>
  <c r="S1650" i="5"/>
  <c r="Z1650" i="5" s="1"/>
  <c r="S1651" i="5"/>
  <c r="Z1651" i="5" s="1"/>
  <c r="S1652" i="5"/>
  <c r="Z1652" i="5" s="1"/>
  <c r="S1653" i="5"/>
  <c r="Z1653" i="5" s="1"/>
  <c r="S1654" i="5"/>
  <c r="Z1654" i="5" s="1"/>
  <c r="S1655" i="5"/>
  <c r="Z1655" i="5" s="1"/>
  <c r="S1656" i="5"/>
  <c r="Z1656" i="5" s="1"/>
  <c r="S1657" i="5"/>
  <c r="Z1657" i="5" s="1"/>
  <c r="S1658" i="5"/>
  <c r="Z1658" i="5" s="1"/>
  <c r="S1659" i="5"/>
  <c r="Z1659" i="5" s="1"/>
  <c r="S1660" i="5"/>
  <c r="Z1660" i="5" s="1"/>
  <c r="S1661" i="5"/>
  <c r="Z1661" i="5" s="1"/>
  <c r="S1662" i="5"/>
  <c r="Z1662" i="5" s="1"/>
  <c r="S1663" i="5"/>
  <c r="Z1663" i="5" s="1"/>
  <c r="S1664" i="5"/>
  <c r="Z1664" i="5" s="1"/>
  <c r="S1665" i="5"/>
  <c r="Z1665" i="5" s="1"/>
  <c r="S1666" i="5"/>
  <c r="Z1666" i="5" s="1"/>
  <c r="S1667" i="5"/>
  <c r="Z1667" i="5" s="1"/>
  <c r="S1668" i="5"/>
  <c r="Z1668" i="5" s="1"/>
  <c r="S1669" i="5"/>
  <c r="Z1669" i="5" s="1"/>
  <c r="S1670" i="5"/>
  <c r="Z1670" i="5" s="1"/>
  <c r="S1671" i="5"/>
  <c r="Z1671" i="5" s="1"/>
  <c r="S1672" i="5"/>
  <c r="Z1672" i="5" s="1"/>
  <c r="S1673" i="5"/>
  <c r="Z1673" i="5" s="1"/>
  <c r="S1674" i="5"/>
  <c r="Z1674" i="5" s="1"/>
  <c r="S1675" i="5"/>
  <c r="Z1675" i="5" s="1"/>
  <c r="S1676" i="5"/>
  <c r="Z1676" i="5" s="1"/>
  <c r="S1677" i="5"/>
  <c r="Z1677" i="5" s="1"/>
  <c r="S1678" i="5"/>
  <c r="Z1678" i="5" s="1"/>
  <c r="S1679" i="5"/>
  <c r="Z1679" i="5" s="1"/>
  <c r="S1680" i="5"/>
  <c r="Z1680" i="5" s="1"/>
  <c r="S1681" i="5"/>
  <c r="Z1681" i="5" s="1"/>
  <c r="S1682" i="5"/>
  <c r="Z1682" i="5" s="1"/>
  <c r="S1683" i="5"/>
  <c r="Z1683" i="5" s="1"/>
  <c r="S1684" i="5"/>
  <c r="Z1684" i="5" s="1"/>
  <c r="S1685" i="5"/>
  <c r="Z1685" i="5" s="1"/>
  <c r="S1686" i="5"/>
  <c r="Z1686" i="5" s="1"/>
  <c r="S1687" i="5"/>
  <c r="Z1687" i="5" s="1"/>
  <c r="S1688" i="5"/>
  <c r="Z1688" i="5" s="1"/>
  <c r="S1689" i="5"/>
  <c r="Z1689" i="5" s="1"/>
  <c r="S1690" i="5"/>
  <c r="Z1690" i="5" s="1"/>
  <c r="S1691" i="5"/>
  <c r="Z1691" i="5" s="1"/>
  <c r="S1692" i="5"/>
  <c r="Z1692" i="5" s="1"/>
  <c r="S1693" i="5"/>
  <c r="Z1693" i="5" s="1"/>
  <c r="S1694" i="5"/>
  <c r="Z1694" i="5" s="1"/>
  <c r="S1695" i="5"/>
  <c r="Z1695" i="5" s="1"/>
  <c r="S1696" i="5"/>
  <c r="Z1696" i="5" s="1"/>
  <c r="S1697" i="5"/>
  <c r="Z1697" i="5" s="1"/>
  <c r="S1698" i="5"/>
  <c r="Z1698" i="5" s="1"/>
  <c r="S1699" i="5"/>
  <c r="Z1699" i="5" s="1"/>
  <c r="S1700" i="5"/>
  <c r="Z1700" i="5" s="1"/>
  <c r="S1701" i="5"/>
  <c r="Z1701" i="5" s="1"/>
  <c r="S1702" i="5"/>
  <c r="Z1702" i="5" s="1"/>
  <c r="S1703" i="5"/>
  <c r="Z1703" i="5" s="1"/>
  <c r="S1704" i="5"/>
  <c r="Z1704" i="5" s="1"/>
  <c r="S1705" i="5"/>
  <c r="Z1705" i="5" s="1"/>
  <c r="S1706" i="5"/>
  <c r="Z1706" i="5" s="1"/>
  <c r="S1707" i="5"/>
  <c r="Z1707" i="5" s="1"/>
  <c r="S1708" i="5"/>
  <c r="Z1708" i="5" s="1"/>
  <c r="S1709" i="5"/>
  <c r="Z1709" i="5" s="1"/>
  <c r="S1710" i="5"/>
  <c r="Z1710" i="5" s="1"/>
  <c r="S1711" i="5"/>
  <c r="Z1711" i="5" s="1"/>
  <c r="S1712" i="5"/>
  <c r="Z1712" i="5" s="1"/>
  <c r="S1713" i="5"/>
  <c r="Z1713" i="5" s="1"/>
  <c r="S1714" i="5"/>
  <c r="Z1714" i="5" s="1"/>
  <c r="S1715" i="5"/>
  <c r="Z1715" i="5" s="1"/>
  <c r="S1716" i="5"/>
  <c r="Z1716" i="5" s="1"/>
  <c r="S1717" i="5"/>
  <c r="Z1717" i="5" s="1"/>
  <c r="S1718" i="5"/>
  <c r="Z1718" i="5" s="1"/>
  <c r="S1719" i="5"/>
  <c r="Z1719" i="5" s="1"/>
  <c r="S1720" i="5"/>
  <c r="Z1720" i="5" s="1"/>
  <c r="S1721" i="5"/>
  <c r="Z1721" i="5" s="1"/>
  <c r="S1722" i="5"/>
  <c r="Z1722" i="5" s="1"/>
  <c r="S1723" i="5"/>
  <c r="Z1723" i="5" s="1"/>
  <c r="S1724" i="5"/>
  <c r="Z1724" i="5" s="1"/>
  <c r="S1725" i="5"/>
  <c r="Z1725" i="5" s="1"/>
  <c r="S1726" i="5"/>
  <c r="Z1726" i="5" s="1"/>
  <c r="S1727" i="5"/>
  <c r="Z1727" i="5" s="1"/>
  <c r="S1728" i="5"/>
  <c r="Z1728" i="5" s="1"/>
  <c r="S1729" i="5"/>
  <c r="Z1729" i="5" s="1"/>
  <c r="S1730" i="5"/>
  <c r="Z1730" i="5" s="1"/>
  <c r="S1731" i="5"/>
  <c r="Z1731" i="5" s="1"/>
  <c r="S1732" i="5"/>
  <c r="Z1732" i="5" s="1"/>
  <c r="S1733" i="5"/>
  <c r="Z1733" i="5" s="1"/>
  <c r="S1734" i="5"/>
  <c r="Z1734" i="5" s="1"/>
  <c r="S1735" i="5"/>
  <c r="Z1735" i="5" s="1"/>
  <c r="S1736" i="5"/>
  <c r="Z1736" i="5" s="1"/>
  <c r="S1737" i="5"/>
  <c r="Z1737" i="5" s="1"/>
  <c r="S1738" i="5"/>
  <c r="Z1738" i="5" s="1"/>
  <c r="S1739" i="5"/>
  <c r="Z1739" i="5" s="1"/>
  <c r="S1740" i="5"/>
  <c r="Z1740" i="5" s="1"/>
  <c r="S1741" i="5"/>
  <c r="Z1741" i="5" s="1"/>
  <c r="S1742" i="5"/>
  <c r="Z1742" i="5" s="1"/>
  <c r="S1743" i="5"/>
  <c r="Z1743" i="5" s="1"/>
  <c r="S1744" i="5"/>
  <c r="Z1744" i="5" s="1"/>
  <c r="S1745" i="5"/>
  <c r="Z1745" i="5" s="1"/>
  <c r="S1746" i="5"/>
  <c r="Z1746" i="5" s="1"/>
  <c r="S1747" i="5"/>
  <c r="Z1747" i="5" s="1"/>
  <c r="S1748" i="5"/>
  <c r="Z1748" i="5" s="1"/>
  <c r="S1749" i="5"/>
  <c r="Z1749" i="5" s="1"/>
  <c r="S1750" i="5"/>
  <c r="Z1750" i="5" s="1"/>
  <c r="S1751" i="5"/>
  <c r="Z1751" i="5" s="1"/>
  <c r="S1752" i="5"/>
  <c r="Z1752" i="5" s="1"/>
  <c r="S1753" i="5"/>
  <c r="Z1753" i="5" s="1"/>
  <c r="S1754" i="5"/>
  <c r="Z1754" i="5" s="1"/>
  <c r="S1755" i="5"/>
  <c r="Z1755" i="5" s="1"/>
  <c r="S1756" i="5"/>
  <c r="Z1756" i="5" s="1"/>
  <c r="S1757" i="5"/>
  <c r="Z1757" i="5" s="1"/>
  <c r="S1758" i="5"/>
  <c r="Z1758" i="5" s="1"/>
  <c r="S1759" i="5"/>
  <c r="Z1759" i="5" s="1"/>
  <c r="S1760" i="5"/>
  <c r="Z1760" i="5" s="1"/>
  <c r="S1761" i="5"/>
  <c r="Z1761" i="5" s="1"/>
  <c r="S1762" i="5"/>
  <c r="Z1762" i="5" s="1"/>
  <c r="S1763" i="5"/>
  <c r="Z1763" i="5" s="1"/>
  <c r="S1764" i="5"/>
  <c r="Z1764" i="5" s="1"/>
  <c r="S1765" i="5"/>
  <c r="Z1765" i="5" s="1"/>
  <c r="S1766" i="5"/>
  <c r="Z1766" i="5" s="1"/>
  <c r="S1767" i="5"/>
  <c r="Z1767" i="5" s="1"/>
  <c r="S1768" i="5"/>
  <c r="Z1768" i="5" s="1"/>
  <c r="S1769" i="5"/>
  <c r="Z1769" i="5" s="1"/>
  <c r="S1770" i="5"/>
  <c r="Z1770" i="5" s="1"/>
  <c r="S1771" i="5"/>
  <c r="Z1771" i="5" s="1"/>
  <c r="S1772" i="5"/>
  <c r="Z1772" i="5" s="1"/>
  <c r="S1773" i="5"/>
  <c r="Z1773" i="5" s="1"/>
  <c r="S1774" i="5"/>
  <c r="Z1774" i="5" s="1"/>
  <c r="S1775" i="5"/>
  <c r="Z1775" i="5" s="1"/>
  <c r="S1776" i="5"/>
  <c r="Z1776" i="5" s="1"/>
  <c r="S1777" i="5"/>
  <c r="Z1777" i="5" s="1"/>
  <c r="S1778" i="5"/>
  <c r="Z1778" i="5" s="1"/>
  <c r="S1779" i="5"/>
  <c r="Z1779" i="5" s="1"/>
  <c r="S1780" i="5"/>
  <c r="Z1780" i="5" s="1"/>
  <c r="S1781" i="5"/>
  <c r="Z1781" i="5" s="1"/>
  <c r="S1782" i="5"/>
  <c r="Z1782" i="5" s="1"/>
  <c r="S1783" i="5"/>
  <c r="Z1783" i="5" s="1"/>
  <c r="S1784" i="5"/>
  <c r="Z1784" i="5" s="1"/>
  <c r="S1785" i="5"/>
  <c r="Z1785" i="5" s="1"/>
  <c r="S1786" i="5"/>
  <c r="Z1786" i="5" s="1"/>
  <c r="S1787" i="5"/>
  <c r="Z1787" i="5" s="1"/>
  <c r="S1788" i="5"/>
  <c r="Z1788" i="5" s="1"/>
  <c r="S1789" i="5"/>
  <c r="Z1789" i="5" s="1"/>
  <c r="S1790" i="5"/>
  <c r="Z1790" i="5" s="1"/>
  <c r="S1791" i="5"/>
  <c r="Z1791" i="5" s="1"/>
  <c r="S1792" i="5"/>
  <c r="Z1792" i="5" s="1"/>
  <c r="S1793" i="5"/>
  <c r="Z1793" i="5" s="1"/>
  <c r="S1794" i="5"/>
  <c r="Z1794" i="5" s="1"/>
  <c r="S1795" i="5"/>
  <c r="Z1795" i="5" s="1"/>
  <c r="S1796" i="5"/>
  <c r="Z1796" i="5" s="1"/>
  <c r="S1797" i="5"/>
  <c r="Z1797" i="5" s="1"/>
  <c r="S1798" i="5"/>
  <c r="Z1798" i="5" s="1"/>
  <c r="S1799" i="5"/>
  <c r="Z1799" i="5" s="1"/>
  <c r="S1800" i="5"/>
  <c r="Z1800" i="5" s="1"/>
  <c r="S1801" i="5"/>
  <c r="Z1801" i="5" s="1"/>
  <c r="S1802" i="5"/>
  <c r="Z1802" i="5" s="1"/>
  <c r="S1803" i="5"/>
  <c r="Z1803" i="5" s="1"/>
  <c r="S1804" i="5"/>
  <c r="Z1804" i="5" s="1"/>
  <c r="S1805" i="5"/>
  <c r="Z1805" i="5" s="1"/>
  <c r="S1806" i="5"/>
  <c r="Z1806" i="5" s="1"/>
  <c r="S1807" i="5"/>
  <c r="Z1807" i="5" s="1"/>
  <c r="S1808" i="5"/>
  <c r="Z1808" i="5" s="1"/>
  <c r="S1809" i="5"/>
  <c r="Z1809" i="5" s="1"/>
  <c r="S1810" i="5"/>
  <c r="Z1810" i="5" s="1"/>
  <c r="S1811" i="5"/>
  <c r="Z1811" i="5" s="1"/>
  <c r="S1812" i="5"/>
  <c r="Z1812" i="5" s="1"/>
  <c r="S1813" i="5"/>
  <c r="Z1813" i="5" s="1"/>
  <c r="S1814" i="5"/>
  <c r="Z1814" i="5" s="1"/>
  <c r="S1815" i="5"/>
  <c r="Z1815" i="5" s="1"/>
  <c r="S1816" i="5"/>
  <c r="Z1816" i="5" s="1"/>
  <c r="S1817" i="5"/>
  <c r="Z1817" i="5" s="1"/>
  <c r="S1818" i="5"/>
  <c r="Z1818" i="5" s="1"/>
  <c r="S1819" i="5"/>
  <c r="Z1819" i="5" s="1"/>
  <c r="S1820" i="5"/>
  <c r="Z1820" i="5" s="1"/>
  <c r="S1821" i="5"/>
  <c r="Z1821" i="5" s="1"/>
  <c r="S1822" i="5"/>
  <c r="Z1822" i="5" s="1"/>
  <c r="S1823" i="5"/>
  <c r="Z1823" i="5" s="1"/>
  <c r="S1824" i="5"/>
  <c r="Z1824" i="5" s="1"/>
  <c r="S1825" i="5"/>
  <c r="Z1825" i="5" s="1"/>
  <c r="S1826" i="5"/>
  <c r="Z1826" i="5" s="1"/>
  <c r="S1827" i="5"/>
  <c r="Z1827" i="5" s="1"/>
  <c r="S1828" i="5"/>
  <c r="Z1828" i="5" s="1"/>
  <c r="S1829" i="5"/>
  <c r="Z1829" i="5" s="1"/>
  <c r="S1830" i="5"/>
  <c r="Z1830" i="5" s="1"/>
  <c r="S1831" i="5"/>
  <c r="Z1831" i="5" s="1"/>
  <c r="S1832" i="5"/>
  <c r="Z1832" i="5" s="1"/>
  <c r="S1833" i="5"/>
  <c r="Z1833" i="5" s="1"/>
  <c r="S1834" i="5"/>
  <c r="Z1834" i="5" s="1"/>
  <c r="S1835" i="5"/>
  <c r="Z1835" i="5" s="1"/>
  <c r="S1836" i="5"/>
  <c r="Z1836" i="5" s="1"/>
  <c r="S1837" i="5"/>
  <c r="Z1837" i="5" s="1"/>
  <c r="S1838" i="5"/>
  <c r="Z1838" i="5" s="1"/>
  <c r="S1839" i="5"/>
  <c r="Z1839" i="5" s="1"/>
  <c r="S1840" i="5"/>
  <c r="Z1840" i="5" s="1"/>
  <c r="S1841" i="5"/>
  <c r="Z1841" i="5" s="1"/>
  <c r="S1842" i="5"/>
  <c r="Z1842" i="5" s="1"/>
  <c r="S1843" i="5"/>
  <c r="Z1843" i="5" s="1"/>
  <c r="S1844" i="5"/>
  <c r="Z1844" i="5" s="1"/>
  <c r="S1845" i="5"/>
  <c r="Z1845" i="5" s="1"/>
  <c r="S1846" i="5"/>
  <c r="Z1846" i="5" s="1"/>
  <c r="S1847" i="5"/>
  <c r="Z1847" i="5" s="1"/>
  <c r="S1848" i="5"/>
  <c r="Z1848" i="5" s="1"/>
  <c r="S1849" i="5"/>
  <c r="Z1849" i="5" s="1"/>
  <c r="S1850" i="5"/>
  <c r="Z1850" i="5" s="1"/>
  <c r="S1851" i="5"/>
  <c r="Z1851" i="5" s="1"/>
  <c r="S1852" i="5"/>
  <c r="Z1852" i="5" s="1"/>
  <c r="S1853" i="5"/>
  <c r="Z1853" i="5" s="1"/>
  <c r="S1854" i="5"/>
  <c r="Z1854" i="5" s="1"/>
  <c r="S1855" i="5"/>
  <c r="Z1855" i="5" s="1"/>
  <c r="S1856" i="5"/>
  <c r="Z1856" i="5" s="1"/>
  <c r="S1857" i="5"/>
  <c r="Z1857" i="5" s="1"/>
  <c r="S1858" i="5"/>
  <c r="Z1858" i="5" s="1"/>
  <c r="S1859" i="5"/>
  <c r="Z1859" i="5" s="1"/>
  <c r="S1860" i="5"/>
  <c r="Z1860" i="5" s="1"/>
  <c r="S1861" i="5"/>
  <c r="Z1861" i="5" s="1"/>
  <c r="S1862" i="5"/>
  <c r="Z1862" i="5" s="1"/>
  <c r="S1863" i="5"/>
  <c r="Z1863" i="5" s="1"/>
  <c r="S1864" i="5"/>
  <c r="Z1864" i="5" s="1"/>
  <c r="S1865" i="5"/>
  <c r="Z1865" i="5" s="1"/>
  <c r="S1866" i="5"/>
  <c r="Z1866" i="5" s="1"/>
  <c r="S1867" i="5"/>
  <c r="Z1867" i="5" s="1"/>
  <c r="S1868" i="5"/>
  <c r="Z1868" i="5" s="1"/>
  <c r="S1869" i="5"/>
  <c r="Z1869" i="5" s="1"/>
  <c r="S1870" i="5"/>
  <c r="Z1870" i="5" s="1"/>
  <c r="S1871" i="5"/>
  <c r="Z1871" i="5" s="1"/>
  <c r="S1872" i="5"/>
  <c r="Z1872" i="5" s="1"/>
  <c r="S1873" i="5"/>
  <c r="Z1873" i="5" s="1"/>
  <c r="S1874" i="5"/>
  <c r="Z1874" i="5" s="1"/>
  <c r="S1875" i="5"/>
  <c r="Z1875" i="5" s="1"/>
  <c r="S1876" i="5"/>
  <c r="Z1876" i="5" s="1"/>
  <c r="S1877" i="5"/>
  <c r="Z1877" i="5" s="1"/>
  <c r="S1878" i="5"/>
  <c r="Z1878" i="5" s="1"/>
  <c r="S1879" i="5"/>
  <c r="Z1879" i="5" s="1"/>
  <c r="S1880" i="5"/>
  <c r="Z1880" i="5" s="1"/>
  <c r="S1881" i="5"/>
  <c r="Z1881" i="5" s="1"/>
  <c r="S1882" i="5"/>
  <c r="Z1882" i="5" s="1"/>
  <c r="S1883" i="5"/>
  <c r="Z1883" i="5" s="1"/>
  <c r="S1884" i="5"/>
  <c r="Z1884" i="5" s="1"/>
  <c r="S1885" i="5"/>
  <c r="Z1885" i="5" s="1"/>
  <c r="S1886" i="5"/>
  <c r="Z1886" i="5" s="1"/>
  <c r="S1887" i="5"/>
  <c r="Z1887" i="5" s="1"/>
  <c r="S1888" i="5"/>
  <c r="Z1888" i="5" s="1"/>
  <c r="S1889" i="5"/>
  <c r="Z1889" i="5" s="1"/>
  <c r="S1890" i="5"/>
  <c r="Z1890" i="5" s="1"/>
  <c r="S1891" i="5"/>
  <c r="Z1891" i="5" s="1"/>
  <c r="S1892" i="5"/>
  <c r="Z1892" i="5" s="1"/>
  <c r="S1893" i="5"/>
  <c r="Z1893" i="5" s="1"/>
  <c r="S1894" i="5"/>
  <c r="Z1894" i="5" s="1"/>
  <c r="S1895" i="5"/>
  <c r="Z1895" i="5" s="1"/>
  <c r="S1896" i="5"/>
  <c r="Z1896" i="5" s="1"/>
  <c r="S1897" i="5"/>
  <c r="Z1897" i="5" s="1"/>
  <c r="S1898" i="5"/>
  <c r="Z1898" i="5" s="1"/>
  <c r="S1899" i="5"/>
  <c r="Z1899" i="5" s="1"/>
  <c r="S1900" i="5"/>
  <c r="Z1900" i="5" s="1"/>
  <c r="S1901" i="5"/>
  <c r="Z1901" i="5" s="1"/>
  <c r="S1902" i="5"/>
  <c r="Z1902" i="5" s="1"/>
  <c r="S1903" i="5"/>
  <c r="Z1903" i="5" s="1"/>
  <c r="S1904" i="5"/>
  <c r="Z1904" i="5" s="1"/>
  <c r="S1905" i="5"/>
  <c r="Z1905" i="5" s="1"/>
  <c r="S1906" i="5"/>
  <c r="Z1906" i="5" s="1"/>
  <c r="S1907" i="5"/>
  <c r="Z1907" i="5" s="1"/>
  <c r="S1908" i="5"/>
  <c r="Z1908" i="5" s="1"/>
  <c r="S1909" i="5"/>
  <c r="Z1909" i="5" s="1"/>
  <c r="S1910" i="5"/>
  <c r="Z1910" i="5" s="1"/>
  <c r="S1911" i="5"/>
  <c r="Z1911" i="5" s="1"/>
  <c r="S1912" i="5"/>
  <c r="Z1912" i="5" s="1"/>
  <c r="S1913" i="5"/>
  <c r="Z1913" i="5" s="1"/>
  <c r="S1914" i="5"/>
  <c r="Z1914" i="5" s="1"/>
  <c r="S1915" i="5"/>
  <c r="Z1915" i="5" s="1"/>
  <c r="S1916" i="5"/>
  <c r="Z1916" i="5" s="1"/>
  <c r="S1917" i="5"/>
  <c r="Z1917" i="5" s="1"/>
  <c r="S1918" i="5"/>
  <c r="Z1918" i="5" s="1"/>
  <c r="S1919" i="5"/>
  <c r="Z1919" i="5" s="1"/>
  <c r="S1920" i="5"/>
  <c r="Z1920" i="5" s="1"/>
  <c r="S1921" i="5"/>
  <c r="Z1921" i="5" s="1"/>
  <c r="S1922" i="5"/>
  <c r="Z1922" i="5" s="1"/>
  <c r="S1923" i="5"/>
  <c r="Z1923" i="5" s="1"/>
  <c r="S1924" i="5"/>
  <c r="Z1924" i="5" s="1"/>
  <c r="S1925" i="5"/>
  <c r="Z1925" i="5" s="1"/>
  <c r="S1926" i="5"/>
  <c r="Z1926" i="5" s="1"/>
  <c r="S1927" i="5"/>
  <c r="Z1927" i="5" s="1"/>
  <c r="S1928" i="5"/>
  <c r="Z1928" i="5" s="1"/>
  <c r="S1929" i="5"/>
  <c r="Z1929" i="5" s="1"/>
  <c r="S1930" i="5"/>
  <c r="Z1930" i="5" s="1"/>
  <c r="S1931" i="5"/>
  <c r="Z1931" i="5" s="1"/>
  <c r="S1932" i="5"/>
  <c r="Z1932" i="5" s="1"/>
  <c r="S1933" i="5"/>
  <c r="Z1933" i="5" s="1"/>
  <c r="S1934" i="5"/>
  <c r="Z1934" i="5" s="1"/>
  <c r="S1935" i="5"/>
  <c r="Z1935" i="5" s="1"/>
  <c r="S1936" i="5"/>
  <c r="Z1936" i="5" s="1"/>
  <c r="S1937" i="5"/>
  <c r="Z1937" i="5" s="1"/>
  <c r="S1938" i="5"/>
  <c r="Z1938" i="5" s="1"/>
  <c r="S1939" i="5"/>
  <c r="Z1939" i="5" s="1"/>
  <c r="S1940" i="5"/>
  <c r="Z1940" i="5" s="1"/>
  <c r="S1941" i="5"/>
  <c r="Z1941" i="5" s="1"/>
  <c r="S1942" i="5"/>
  <c r="Z1942" i="5" s="1"/>
  <c r="S1943" i="5"/>
  <c r="Z1943" i="5" s="1"/>
  <c r="S1944" i="5"/>
  <c r="Z1944" i="5" s="1"/>
  <c r="S1945" i="5"/>
  <c r="Z1945" i="5" s="1"/>
  <c r="S1946" i="5"/>
  <c r="Z1946" i="5" s="1"/>
  <c r="S1947" i="5"/>
  <c r="Z1947" i="5" s="1"/>
  <c r="S1948" i="5"/>
  <c r="Z1948" i="5" s="1"/>
  <c r="S1949" i="5"/>
  <c r="Z1949" i="5" s="1"/>
  <c r="S1950" i="5"/>
  <c r="Z1950" i="5" s="1"/>
  <c r="S1951" i="5"/>
  <c r="Z1951" i="5" s="1"/>
  <c r="S1952" i="5"/>
  <c r="Z1952" i="5" s="1"/>
  <c r="S1953" i="5"/>
  <c r="Z1953" i="5" s="1"/>
  <c r="S1954" i="5"/>
  <c r="Z1954" i="5" s="1"/>
  <c r="S1955" i="5"/>
  <c r="Z1955" i="5" s="1"/>
  <c r="S1956" i="5"/>
  <c r="Z1956" i="5" s="1"/>
  <c r="S1957" i="5"/>
  <c r="Z1957" i="5" s="1"/>
  <c r="S1958" i="5"/>
  <c r="Z1958" i="5" s="1"/>
  <c r="S1959" i="5"/>
  <c r="Z1959" i="5" s="1"/>
  <c r="S1960" i="5"/>
  <c r="Z1960" i="5" s="1"/>
  <c r="S1961" i="5"/>
  <c r="Z1961" i="5" s="1"/>
  <c r="S1962" i="5"/>
  <c r="Z1962" i="5" s="1"/>
  <c r="S1963" i="5"/>
  <c r="Z1963" i="5" s="1"/>
  <c r="S1964" i="5"/>
  <c r="Z1964" i="5" s="1"/>
  <c r="S1965" i="5"/>
  <c r="Z1965" i="5" s="1"/>
  <c r="S1966" i="5"/>
  <c r="Z1966" i="5" s="1"/>
  <c r="S1967" i="5"/>
  <c r="Z1967" i="5" s="1"/>
  <c r="S1968" i="5"/>
  <c r="Z1968" i="5" s="1"/>
  <c r="S1969" i="5"/>
  <c r="Z1969" i="5" s="1"/>
  <c r="S1970" i="5"/>
  <c r="Z1970" i="5" s="1"/>
  <c r="S1971" i="5"/>
  <c r="Z1971" i="5" s="1"/>
  <c r="S1972" i="5"/>
  <c r="Z1972" i="5" s="1"/>
  <c r="S1973" i="5"/>
  <c r="Z1973" i="5" s="1"/>
  <c r="S1974" i="5"/>
  <c r="Z1974" i="5" s="1"/>
  <c r="S1975" i="5"/>
  <c r="Z1975" i="5" s="1"/>
  <c r="S1976" i="5"/>
  <c r="Z1976" i="5" s="1"/>
  <c r="S1977" i="5"/>
  <c r="Z1977" i="5" s="1"/>
  <c r="S1978" i="5"/>
  <c r="Z1978" i="5" s="1"/>
  <c r="S1979" i="5"/>
  <c r="Z1979" i="5" s="1"/>
  <c r="S1980" i="5"/>
  <c r="Z1980" i="5" s="1"/>
  <c r="S1981" i="5"/>
  <c r="Z1981" i="5" s="1"/>
  <c r="S1982" i="5"/>
  <c r="Z1982" i="5" s="1"/>
  <c r="S1983" i="5"/>
  <c r="Z1983" i="5" s="1"/>
  <c r="S1984" i="5"/>
  <c r="Z1984" i="5" s="1"/>
  <c r="S1985" i="5"/>
  <c r="Z1985" i="5" s="1"/>
  <c r="S1986" i="5"/>
  <c r="Z1986" i="5" s="1"/>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X1986" i="5" l="1"/>
  <c r="Y1986" i="5" s="1"/>
  <c r="X1978" i="5"/>
  <c r="Y1978" i="5" s="1"/>
  <c r="X1970" i="5"/>
  <c r="Y1970" i="5" s="1"/>
  <c r="X1962" i="5"/>
  <c r="Y1962" i="5" s="1"/>
  <c r="X1954" i="5"/>
  <c r="Y1954" i="5" s="1"/>
  <c r="X1946" i="5"/>
  <c r="Y1946" i="5" s="1"/>
  <c r="X1938" i="5"/>
  <c r="Y1938" i="5" s="1"/>
  <c r="X1930" i="5"/>
  <c r="Y1930" i="5" s="1"/>
  <c r="X1922" i="5"/>
  <c r="Y1922" i="5" s="1"/>
  <c r="X1914" i="5"/>
  <c r="Y1914" i="5" s="1"/>
  <c r="X1906" i="5"/>
  <c r="Y1906" i="5" s="1"/>
  <c r="X1898" i="5"/>
  <c r="Y1898" i="5" s="1"/>
  <c r="X1890" i="5"/>
  <c r="Y1890" i="5" s="1"/>
  <c r="X1882" i="5"/>
  <c r="Y1882" i="5" s="1"/>
  <c r="X1874" i="5"/>
  <c r="Y1874" i="5" s="1"/>
  <c r="X1866" i="5"/>
  <c r="Y1866" i="5" s="1"/>
  <c r="X1858" i="5"/>
  <c r="Y1858" i="5" s="1"/>
  <c r="X1850" i="5"/>
  <c r="Y1850" i="5" s="1"/>
  <c r="X1842" i="5"/>
  <c r="Y1842" i="5" s="1"/>
  <c r="X1834" i="5"/>
  <c r="Y1834" i="5" s="1"/>
  <c r="X1826" i="5"/>
  <c r="Y1826" i="5" s="1"/>
  <c r="X1818" i="5"/>
  <c r="Y1818" i="5" s="1"/>
  <c r="X1810" i="5"/>
  <c r="Y1810" i="5" s="1"/>
  <c r="X1802" i="5"/>
  <c r="Y1802" i="5" s="1"/>
  <c r="X1794" i="5"/>
  <c r="Y1794" i="5" s="1"/>
  <c r="X1786" i="5"/>
  <c r="Y1786" i="5" s="1"/>
  <c r="X1778" i="5"/>
  <c r="Y1778" i="5" s="1"/>
  <c r="X1770" i="5"/>
  <c r="Y1770" i="5" s="1"/>
  <c r="X1762" i="5"/>
  <c r="Y1762" i="5" s="1"/>
  <c r="X1754" i="5"/>
  <c r="Y1754" i="5" s="1"/>
  <c r="X1746" i="5"/>
  <c r="Y1746" i="5" s="1"/>
  <c r="X1738" i="5"/>
  <c r="Y1738" i="5" s="1"/>
  <c r="X1730" i="5"/>
  <c r="Y1730" i="5" s="1"/>
  <c r="X1722" i="5"/>
  <c r="Y1722" i="5" s="1"/>
  <c r="X1714" i="5"/>
  <c r="Y1714" i="5" s="1"/>
  <c r="X1706" i="5"/>
  <c r="Y1706" i="5" s="1"/>
  <c r="X1698" i="5"/>
  <c r="Y1698" i="5" s="1"/>
  <c r="X1690" i="5"/>
  <c r="Y1690" i="5" s="1"/>
  <c r="X1682" i="5"/>
  <c r="Y1682" i="5" s="1"/>
  <c r="X1674" i="5"/>
  <c r="Y1674" i="5" s="1"/>
  <c r="X1666" i="5"/>
  <c r="Y1666" i="5" s="1"/>
  <c r="X1658" i="5"/>
  <c r="Y1658" i="5" s="1"/>
  <c r="X1650" i="5"/>
  <c r="Y1650" i="5" s="1"/>
  <c r="X1642" i="5"/>
  <c r="Y1642" i="5" s="1"/>
  <c r="X1634" i="5"/>
  <c r="Y1634" i="5" s="1"/>
  <c r="X1626" i="5"/>
  <c r="Y1626" i="5" s="1"/>
  <c r="X1618" i="5"/>
  <c r="Y1618" i="5" s="1"/>
  <c r="X1610" i="5"/>
  <c r="Y1610" i="5" s="1"/>
  <c r="X1602" i="5"/>
  <c r="Y1602" i="5" s="1"/>
  <c r="X1594" i="5"/>
  <c r="Y1594" i="5" s="1"/>
  <c r="X1586" i="5"/>
  <c r="Y1586" i="5" s="1"/>
  <c r="X1578" i="5"/>
  <c r="Y1578" i="5" s="1"/>
  <c r="X1570" i="5"/>
  <c r="Y1570" i="5" s="1"/>
  <c r="X1562" i="5"/>
  <c r="Y1562" i="5" s="1"/>
  <c r="X1554" i="5"/>
  <c r="Y1554" i="5" s="1"/>
  <c r="X1546" i="5"/>
  <c r="Y1546" i="5" s="1"/>
  <c r="X1538" i="5"/>
  <c r="Y1538" i="5" s="1"/>
  <c r="X1530" i="5"/>
  <c r="Y1530" i="5" s="1"/>
  <c r="X1522" i="5"/>
  <c r="Y1522" i="5" s="1"/>
  <c r="X1514" i="5"/>
  <c r="Y1514" i="5" s="1"/>
  <c r="X1506" i="5"/>
  <c r="Y1506" i="5" s="1"/>
  <c r="X1498" i="5"/>
  <c r="Y1498" i="5" s="1"/>
  <c r="X1490" i="5"/>
  <c r="Y1490" i="5" s="1"/>
  <c r="X1482" i="5"/>
  <c r="Y1482" i="5" s="1"/>
  <c r="X1474" i="5"/>
  <c r="Y1474" i="5" s="1"/>
  <c r="X1466" i="5"/>
  <c r="Y1466" i="5" s="1"/>
  <c r="X1458" i="5"/>
  <c r="Y1458" i="5" s="1"/>
  <c r="X1450" i="5"/>
  <c r="Y1450" i="5" s="1"/>
  <c r="X1442" i="5"/>
  <c r="Y1442" i="5" s="1"/>
  <c r="X1434" i="5"/>
  <c r="Y1434" i="5" s="1"/>
  <c r="X1426" i="5"/>
  <c r="Y1426" i="5" s="1"/>
  <c r="X1418" i="5"/>
  <c r="Y1418" i="5" s="1"/>
  <c r="X1410" i="5"/>
  <c r="Y1410" i="5" s="1"/>
  <c r="X1402" i="5"/>
  <c r="Y1402" i="5" s="1"/>
  <c r="X1394" i="5"/>
  <c r="Y1394" i="5" s="1"/>
  <c r="X1386" i="5"/>
  <c r="Y1386" i="5" s="1"/>
  <c r="X1378" i="5"/>
  <c r="Y1378" i="5" s="1"/>
  <c r="X1370" i="5"/>
  <c r="Y1370" i="5" s="1"/>
  <c r="X1362" i="5"/>
  <c r="Y1362" i="5" s="1"/>
  <c r="X1354" i="5"/>
  <c r="Y1354" i="5" s="1"/>
  <c r="X1346" i="5"/>
  <c r="Y1346" i="5" s="1"/>
  <c r="X1338" i="5"/>
  <c r="Y1338" i="5" s="1"/>
  <c r="X1330" i="5"/>
  <c r="Y1330" i="5" s="1"/>
  <c r="X1322" i="5"/>
  <c r="Y1322" i="5" s="1"/>
  <c r="X1314" i="5"/>
  <c r="Y1314" i="5" s="1"/>
  <c r="X1306" i="5"/>
  <c r="Y1306" i="5" s="1"/>
  <c r="X1298" i="5"/>
  <c r="Y1298" i="5" s="1"/>
  <c r="X1290" i="5"/>
  <c r="Y1290" i="5" s="1"/>
  <c r="X1282" i="5"/>
  <c r="Y1282" i="5" s="1"/>
  <c r="X1274" i="5"/>
  <c r="Y1274" i="5" s="1"/>
  <c r="X1266" i="5"/>
  <c r="Y1266" i="5" s="1"/>
  <c r="X1258" i="5"/>
  <c r="Y1258" i="5" s="1"/>
  <c r="X1250" i="5"/>
  <c r="Y1250" i="5" s="1"/>
  <c r="X1242" i="5"/>
  <c r="Y1242" i="5" s="1"/>
  <c r="X1234" i="5"/>
  <c r="Y1234" i="5" s="1"/>
  <c r="X1226" i="5"/>
  <c r="Y1226" i="5" s="1"/>
  <c r="X1218" i="5"/>
  <c r="Y1218" i="5" s="1"/>
  <c r="X1210" i="5"/>
  <c r="Y1210" i="5" s="1"/>
  <c r="X1202" i="5"/>
  <c r="Y1202" i="5" s="1"/>
  <c r="X1194" i="5"/>
  <c r="Y1194" i="5" s="1"/>
  <c r="X1186" i="5"/>
  <c r="Y1186" i="5" s="1"/>
  <c r="X1178" i="5"/>
  <c r="Y1178" i="5" s="1"/>
  <c r="X1980" i="5"/>
  <c r="Y1980" i="5" s="1"/>
  <c r="X1972" i="5"/>
  <c r="Y1972" i="5" s="1"/>
  <c r="X1964" i="5"/>
  <c r="Y1964" i="5" s="1"/>
  <c r="X1956" i="5"/>
  <c r="Y1956" i="5" s="1"/>
  <c r="X1948" i="5"/>
  <c r="Y1948" i="5" s="1"/>
  <c r="X1940" i="5"/>
  <c r="Y1940" i="5" s="1"/>
  <c r="X1932" i="5"/>
  <c r="Y1932" i="5" s="1"/>
  <c r="X1924" i="5"/>
  <c r="Y1924" i="5" s="1"/>
  <c r="X1916" i="5"/>
  <c r="Y1916" i="5" s="1"/>
  <c r="X1908" i="5"/>
  <c r="Y1908" i="5" s="1"/>
  <c r="X1900" i="5"/>
  <c r="Y1900" i="5" s="1"/>
  <c r="X1892" i="5"/>
  <c r="Y1892" i="5" s="1"/>
  <c r="X1884" i="5"/>
  <c r="Y1884" i="5" s="1"/>
  <c r="X1876" i="5"/>
  <c r="Y1876" i="5" s="1"/>
  <c r="X1868" i="5"/>
  <c r="Y1868" i="5" s="1"/>
  <c r="X1860" i="5"/>
  <c r="Y1860" i="5" s="1"/>
  <c r="X1852" i="5"/>
  <c r="Y1852" i="5" s="1"/>
  <c r="X1844" i="5"/>
  <c r="Y1844" i="5" s="1"/>
  <c r="X1836" i="5"/>
  <c r="Y1836" i="5" s="1"/>
  <c r="X1828" i="5"/>
  <c r="Y1828" i="5" s="1"/>
  <c r="X1820" i="5"/>
  <c r="Y1820" i="5" s="1"/>
  <c r="X1812" i="5"/>
  <c r="Y1812" i="5" s="1"/>
  <c r="X1804" i="5"/>
  <c r="Y1804" i="5" s="1"/>
  <c r="X1796" i="5"/>
  <c r="Y1796" i="5" s="1"/>
  <c r="X1788" i="5"/>
  <c r="Y1788" i="5" s="1"/>
  <c r="X1780" i="5"/>
  <c r="Y1780" i="5" s="1"/>
  <c r="X1772" i="5"/>
  <c r="Y1772" i="5" s="1"/>
  <c r="X1764" i="5"/>
  <c r="Y1764" i="5" s="1"/>
  <c r="X1756" i="5"/>
  <c r="Y1756" i="5" s="1"/>
  <c r="X1748" i="5"/>
  <c r="Y1748" i="5" s="1"/>
  <c r="X1740" i="5"/>
  <c r="Y1740" i="5" s="1"/>
  <c r="X1732" i="5"/>
  <c r="Y1732" i="5" s="1"/>
  <c r="X1724" i="5"/>
  <c r="Y1724" i="5" s="1"/>
  <c r="X1716" i="5"/>
  <c r="Y1716" i="5" s="1"/>
  <c r="X1708" i="5"/>
  <c r="Y1708" i="5" s="1"/>
  <c r="X1700" i="5"/>
  <c r="Y1700" i="5" s="1"/>
  <c r="X1692" i="5"/>
  <c r="Y1692" i="5" s="1"/>
  <c r="X1684" i="5"/>
  <c r="Y1684" i="5" s="1"/>
  <c r="X1676" i="5"/>
  <c r="Y1676" i="5" s="1"/>
  <c r="X1668" i="5"/>
  <c r="Y1668" i="5" s="1"/>
  <c r="X1660" i="5"/>
  <c r="Y1660" i="5" s="1"/>
  <c r="X1652" i="5"/>
  <c r="Y1652" i="5" s="1"/>
  <c r="X1644" i="5"/>
  <c r="Y1644" i="5" s="1"/>
  <c r="X1636" i="5"/>
  <c r="Y1636" i="5" s="1"/>
  <c r="X1628" i="5"/>
  <c r="Y1628" i="5" s="1"/>
  <c r="X1620" i="5"/>
  <c r="Y1620" i="5" s="1"/>
  <c r="X1612" i="5"/>
  <c r="Y1612" i="5" s="1"/>
  <c r="X1604" i="5"/>
  <c r="Y1604" i="5" s="1"/>
  <c r="X1596" i="5"/>
  <c r="Y1596" i="5" s="1"/>
  <c r="X1588" i="5"/>
  <c r="Y1588" i="5" s="1"/>
  <c r="X1580" i="5"/>
  <c r="Y1580" i="5" s="1"/>
  <c r="X1572" i="5"/>
  <c r="Y1572" i="5" s="1"/>
  <c r="X1564" i="5"/>
  <c r="Y1564" i="5" s="1"/>
  <c r="X1556" i="5"/>
  <c r="Y1556" i="5" s="1"/>
  <c r="X1548" i="5"/>
  <c r="Y1548" i="5" s="1"/>
  <c r="X1540" i="5"/>
  <c r="Y1540" i="5" s="1"/>
  <c r="X1532" i="5"/>
  <c r="Y1532" i="5" s="1"/>
  <c r="X1524" i="5"/>
  <c r="Y1524" i="5" s="1"/>
  <c r="X1516" i="5"/>
  <c r="Y1516" i="5" s="1"/>
  <c r="X1508" i="5"/>
  <c r="Y1508" i="5" s="1"/>
  <c r="X1500" i="5"/>
  <c r="Y1500" i="5" s="1"/>
  <c r="X1492" i="5"/>
  <c r="Y1492" i="5" s="1"/>
  <c r="X1484" i="5"/>
  <c r="Y1484" i="5" s="1"/>
  <c r="X1476" i="5"/>
  <c r="Y1476" i="5" s="1"/>
  <c r="X1468" i="5"/>
  <c r="Y1468" i="5" s="1"/>
  <c r="X1460" i="5"/>
  <c r="Y1460" i="5" s="1"/>
  <c r="X1452" i="5"/>
  <c r="Y1452" i="5" s="1"/>
  <c r="X1444" i="5"/>
  <c r="Y1444" i="5" s="1"/>
  <c r="X1436" i="5"/>
  <c r="Y1436" i="5" s="1"/>
  <c r="X1428" i="5"/>
  <c r="Y1428" i="5" s="1"/>
  <c r="X1420" i="5"/>
  <c r="Y1420" i="5" s="1"/>
  <c r="X1412" i="5"/>
  <c r="Y1412" i="5" s="1"/>
  <c r="X1404" i="5"/>
  <c r="Y1404" i="5" s="1"/>
  <c r="X1396" i="5"/>
  <c r="Y1396" i="5" s="1"/>
  <c r="X1388" i="5"/>
  <c r="Y1388" i="5" s="1"/>
  <c r="X1380" i="5"/>
  <c r="Y1380" i="5" s="1"/>
  <c r="X1372" i="5"/>
  <c r="Y1372" i="5" s="1"/>
  <c r="X1364" i="5"/>
  <c r="Y1364" i="5" s="1"/>
  <c r="X1356" i="5"/>
  <c r="Y1356" i="5" s="1"/>
  <c r="X1348" i="5"/>
  <c r="Y1348" i="5" s="1"/>
  <c r="X1340" i="5"/>
  <c r="Y1340" i="5" s="1"/>
  <c r="X1332" i="5"/>
  <c r="Y1332" i="5" s="1"/>
  <c r="X1324" i="5"/>
  <c r="Y1324" i="5" s="1"/>
  <c r="X1316" i="5"/>
  <c r="Y1316" i="5" s="1"/>
  <c r="X1308" i="5"/>
  <c r="Y1308" i="5" s="1"/>
  <c r="X1300" i="5"/>
  <c r="Y1300" i="5" s="1"/>
  <c r="X1292" i="5"/>
  <c r="Y1292" i="5" s="1"/>
  <c r="X1284" i="5"/>
  <c r="Y1284" i="5" s="1"/>
  <c r="X1276" i="5"/>
  <c r="Y1276" i="5" s="1"/>
  <c r="X1268" i="5"/>
  <c r="Y1268" i="5" s="1"/>
  <c r="X1260" i="5"/>
  <c r="Y1260" i="5" s="1"/>
  <c r="X1252" i="5"/>
  <c r="Y1252" i="5" s="1"/>
  <c r="X1244" i="5"/>
  <c r="Y1244" i="5" s="1"/>
  <c r="X1236" i="5"/>
  <c r="Y1236" i="5" s="1"/>
  <c r="X1228" i="5"/>
  <c r="Y1228" i="5" s="1"/>
  <c r="X1220" i="5"/>
  <c r="Y1220" i="5" s="1"/>
  <c r="X1212" i="5"/>
  <c r="Y1212" i="5" s="1"/>
  <c r="X1204" i="5"/>
  <c r="Y1204" i="5" s="1"/>
  <c r="X1196" i="5"/>
  <c r="Y1196" i="5" s="1"/>
  <c r="X1188" i="5"/>
  <c r="Y1188" i="5" s="1"/>
  <c r="X1180" i="5"/>
  <c r="Y1180" i="5" s="1"/>
  <c r="X1172" i="5"/>
  <c r="Y1172" i="5" s="1"/>
  <c r="X1164" i="5"/>
  <c r="Y1164" i="5" s="1"/>
  <c r="X1156" i="5"/>
  <c r="Y1156" i="5" s="1"/>
  <c r="X1148" i="5"/>
  <c r="Y1148" i="5" s="1"/>
  <c r="X1140" i="5"/>
  <c r="Y1140" i="5" s="1"/>
  <c r="X1132" i="5"/>
  <c r="Y1132" i="5" s="1"/>
  <c r="X1124" i="5"/>
  <c r="Y1124" i="5" s="1"/>
  <c r="X1116" i="5"/>
  <c r="Y1116" i="5" s="1"/>
  <c r="X1108" i="5"/>
  <c r="Y1108" i="5" s="1"/>
  <c r="X1100" i="5"/>
  <c r="Y1100" i="5" s="1"/>
  <c r="X1092" i="5"/>
  <c r="Y1092" i="5" s="1"/>
  <c r="X1084" i="5"/>
  <c r="Y1084" i="5" s="1"/>
  <c r="X1076" i="5"/>
  <c r="Y1076" i="5" s="1"/>
  <c r="X1068" i="5"/>
  <c r="Y1068" i="5" s="1"/>
  <c r="X1060" i="5"/>
  <c r="Y1060" i="5" s="1"/>
  <c r="X1052" i="5"/>
  <c r="Y1052" i="5" s="1"/>
  <c r="X1044" i="5"/>
  <c r="Y1044" i="5" s="1"/>
  <c r="X1984" i="5"/>
  <c r="Y1984" i="5" s="1"/>
  <c r="X1976" i="5"/>
  <c r="Y1976" i="5" s="1"/>
  <c r="X1968" i="5"/>
  <c r="Y1968" i="5" s="1"/>
  <c r="X1960" i="5"/>
  <c r="Y1960" i="5" s="1"/>
  <c r="X1952" i="5"/>
  <c r="Y1952" i="5" s="1"/>
  <c r="X1944" i="5"/>
  <c r="Y1944" i="5" s="1"/>
  <c r="X1936" i="5"/>
  <c r="Y1936" i="5" s="1"/>
  <c r="X1928" i="5"/>
  <c r="Y1928" i="5" s="1"/>
  <c r="X1920" i="5"/>
  <c r="Y1920" i="5" s="1"/>
  <c r="X1912" i="5"/>
  <c r="Y1912" i="5" s="1"/>
  <c r="X1904" i="5"/>
  <c r="Y1904" i="5" s="1"/>
  <c r="X1896" i="5"/>
  <c r="Y1896" i="5" s="1"/>
  <c r="X1888" i="5"/>
  <c r="Y1888" i="5" s="1"/>
  <c r="X1880" i="5"/>
  <c r="Y1880" i="5" s="1"/>
  <c r="X1872" i="5"/>
  <c r="Y1872" i="5" s="1"/>
  <c r="X1864" i="5"/>
  <c r="Y1864" i="5" s="1"/>
  <c r="X1856" i="5"/>
  <c r="Y1856" i="5" s="1"/>
  <c r="X1848" i="5"/>
  <c r="Y1848" i="5" s="1"/>
  <c r="X1840" i="5"/>
  <c r="Y1840" i="5" s="1"/>
  <c r="X1832" i="5"/>
  <c r="Y1832" i="5" s="1"/>
  <c r="X1824" i="5"/>
  <c r="Y1824" i="5" s="1"/>
  <c r="X1816" i="5"/>
  <c r="Y1816" i="5" s="1"/>
  <c r="X1808" i="5"/>
  <c r="Y1808" i="5" s="1"/>
  <c r="X1800" i="5"/>
  <c r="Y1800" i="5" s="1"/>
  <c r="X1792" i="5"/>
  <c r="Y1792" i="5" s="1"/>
  <c r="X1784" i="5"/>
  <c r="Y1784" i="5" s="1"/>
  <c r="X1776" i="5"/>
  <c r="Y1776" i="5" s="1"/>
  <c r="X1768" i="5"/>
  <c r="Y1768" i="5" s="1"/>
  <c r="X1760" i="5"/>
  <c r="Y1760" i="5" s="1"/>
  <c r="X1752" i="5"/>
  <c r="Y1752" i="5" s="1"/>
  <c r="X1744" i="5"/>
  <c r="Y1744" i="5" s="1"/>
  <c r="X1736" i="5"/>
  <c r="Y1736" i="5" s="1"/>
  <c r="X1728" i="5"/>
  <c r="Y1728" i="5" s="1"/>
  <c r="X1720" i="5"/>
  <c r="Y1720" i="5" s="1"/>
  <c r="X1712" i="5"/>
  <c r="Y1712" i="5" s="1"/>
  <c r="X1704" i="5"/>
  <c r="Y1704" i="5" s="1"/>
  <c r="X1696" i="5"/>
  <c r="Y1696" i="5" s="1"/>
  <c r="X1688" i="5"/>
  <c r="Y1688" i="5" s="1"/>
  <c r="X1680" i="5"/>
  <c r="Y1680" i="5" s="1"/>
  <c r="X1672" i="5"/>
  <c r="Y1672" i="5" s="1"/>
  <c r="X1664" i="5"/>
  <c r="Y1664" i="5" s="1"/>
  <c r="X1656" i="5"/>
  <c r="Y1656" i="5" s="1"/>
  <c r="X1648" i="5"/>
  <c r="Y1648" i="5" s="1"/>
  <c r="X1640" i="5"/>
  <c r="Y1640" i="5" s="1"/>
  <c r="X1632" i="5"/>
  <c r="Y1632" i="5" s="1"/>
  <c r="X1624" i="5"/>
  <c r="Y1624" i="5" s="1"/>
  <c r="X1036" i="5"/>
  <c r="Y1036" i="5" s="1"/>
  <c r="X1028" i="5"/>
  <c r="Y1028" i="5" s="1"/>
  <c r="X1020" i="5"/>
  <c r="Y1020" i="5" s="1"/>
  <c r="X1012" i="5"/>
  <c r="Y1012" i="5" s="1"/>
  <c r="X1004" i="5"/>
  <c r="Y1004" i="5" s="1"/>
  <c r="X996" i="5"/>
  <c r="Y996" i="5" s="1"/>
  <c r="X988" i="5"/>
  <c r="Y988" i="5" s="1"/>
  <c r="X980" i="5"/>
  <c r="Y980" i="5" s="1"/>
  <c r="X972" i="5"/>
  <c r="Y972" i="5" s="1"/>
  <c r="X964" i="5"/>
  <c r="Y964" i="5" s="1"/>
  <c r="X956" i="5"/>
  <c r="Y956" i="5" s="1"/>
  <c r="X948" i="5"/>
  <c r="Y948" i="5" s="1"/>
  <c r="X940" i="5"/>
  <c r="Y940" i="5" s="1"/>
  <c r="X932" i="5"/>
  <c r="Y932" i="5" s="1"/>
  <c r="X924" i="5"/>
  <c r="Y924" i="5" s="1"/>
  <c r="X916" i="5"/>
  <c r="Y916" i="5" s="1"/>
  <c r="X908" i="5"/>
  <c r="Y908" i="5" s="1"/>
  <c r="X900" i="5"/>
  <c r="Y900" i="5" s="1"/>
  <c r="X892" i="5"/>
  <c r="Y892" i="5" s="1"/>
  <c r="X884" i="5"/>
  <c r="Y884" i="5" s="1"/>
  <c r="X876" i="5"/>
  <c r="Y876" i="5" s="1"/>
  <c r="X868" i="5"/>
  <c r="Y868" i="5" s="1"/>
  <c r="X860" i="5"/>
  <c r="Y860" i="5" s="1"/>
  <c r="X852" i="5"/>
  <c r="Y852" i="5" s="1"/>
  <c r="X844" i="5"/>
  <c r="Y844" i="5" s="1"/>
  <c r="X836" i="5"/>
  <c r="Y836" i="5" s="1"/>
  <c r="X828" i="5"/>
  <c r="Y828" i="5" s="1"/>
  <c r="X820" i="5"/>
  <c r="Y820" i="5" s="1"/>
  <c r="X812" i="5"/>
  <c r="Y812" i="5" s="1"/>
  <c r="X804" i="5"/>
  <c r="Y804" i="5" s="1"/>
  <c r="X796" i="5"/>
  <c r="Y796" i="5" s="1"/>
  <c r="X788" i="5"/>
  <c r="Y788" i="5" s="1"/>
  <c r="X780" i="5"/>
  <c r="Y780" i="5" s="1"/>
  <c r="X772" i="5"/>
  <c r="Y772" i="5" s="1"/>
  <c r="X764" i="5"/>
  <c r="Y764" i="5" s="1"/>
  <c r="X756" i="5"/>
  <c r="Y756" i="5" s="1"/>
  <c r="X748" i="5"/>
  <c r="Y748" i="5" s="1"/>
  <c r="X740" i="5"/>
  <c r="Y740" i="5" s="1"/>
  <c r="X732" i="5"/>
  <c r="Y732" i="5" s="1"/>
  <c r="X724" i="5"/>
  <c r="Y724" i="5" s="1"/>
  <c r="X716" i="5"/>
  <c r="Y716" i="5" s="1"/>
  <c r="X708" i="5"/>
  <c r="Y708" i="5" s="1"/>
  <c r="X700" i="5"/>
  <c r="Y700" i="5" s="1"/>
  <c r="X692" i="5"/>
  <c r="Y692" i="5" s="1"/>
  <c r="X684" i="5"/>
  <c r="Y684" i="5" s="1"/>
  <c r="X676" i="5"/>
  <c r="Y676" i="5" s="1"/>
  <c r="X668" i="5"/>
  <c r="Y668" i="5" s="1"/>
  <c r="X660" i="5"/>
  <c r="Y660" i="5" s="1"/>
  <c r="X652" i="5"/>
  <c r="Y652" i="5" s="1"/>
  <c r="X644" i="5"/>
  <c r="Y644" i="5" s="1"/>
  <c r="X636" i="5"/>
  <c r="Y636" i="5" s="1"/>
  <c r="X628" i="5"/>
  <c r="Y628" i="5" s="1"/>
  <c r="X620" i="5"/>
  <c r="Y620" i="5" s="1"/>
  <c r="X612" i="5"/>
  <c r="Y612" i="5" s="1"/>
  <c r="X604" i="5"/>
  <c r="Y604" i="5" s="1"/>
  <c r="X596" i="5"/>
  <c r="Y596" i="5" s="1"/>
  <c r="X588" i="5"/>
  <c r="Y588" i="5" s="1"/>
  <c r="X580" i="5"/>
  <c r="Y580" i="5" s="1"/>
  <c r="X572" i="5"/>
  <c r="Y572" i="5" s="1"/>
  <c r="X564" i="5"/>
  <c r="Y564" i="5" s="1"/>
  <c r="X556" i="5"/>
  <c r="Y556" i="5" s="1"/>
  <c r="X548" i="5"/>
  <c r="Y548" i="5" s="1"/>
  <c r="X540" i="5"/>
  <c r="Y540" i="5" s="1"/>
  <c r="X532" i="5"/>
  <c r="Y532" i="5" s="1"/>
  <c r="X524" i="5"/>
  <c r="Y524" i="5" s="1"/>
  <c r="X516" i="5"/>
  <c r="Y516" i="5" s="1"/>
  <c r="X508" i="5"/>
  <c r="Y508" i="5" s="1"/>
  <c r="X500" i="5"/>
  <c r="Y500" i="5" s="1"/>
  <c r="X492" i="5"/>
  <c r="Y492" i="5" s="1"/>
  <c r="X484" i="5"/>
  <c r="Y484" i="5" s="1"/>
  <c r="X476" i="5"/>
  <c r="Y476" i="5" s="1"/>
  <c r="X468" i="5"/>
  <c r="Y468" i="5" s="1"/>
  <c r="X460" i="5"/>
  <c r="Y460" i="5" s="1"/>
  <c r="X452" i="5"/>
  <c r="Y452" i="5" s="1"/>
  <c r="X444" i="5"/>
  <c r="Y444" i="5" s="1"/>
  <c r="X436" i="5"/>
  <c r="Y436" i="5" s="1"/>
  <c r="X428" i="5"/>
  <c r="Y428" i="5" s="1"/>
  <c r="X420" i="5"/>
  <c r="Y420" i="5" s="1"/>
  <c r="X412" i="5"/>
  <c r="Y412" i="5" s="1"/>
  <c r="X404" i="5"/>
  <c r="Y404" i="5" s="1"/>
  <c r="X396" i="5"/>
  <c r="Y396" i="5" s="1"/>
  <c r="X388" i="5"/>
  <c r="Y388" i="5" s="1"/>
  <c r="X380" i="5"/>
  <c r="Y380" i="5" s="1"/>
  <c r="X372" i="5"/>
  <c r="Y372" i="5" s="1"/>
  <c r="X364" i="5"/>
  <c r="Y364" i="5" s="1"/>
  <c r="X1616" i="5"/>
  <c r="Y1616" i="5" s="1"/>
  <c r="X1608" i="5"/>
  <c r="Y1608" i="5" s="1"/>
  <c r="X1600" i="5"/>
  <c r="Y1600" i="5" s="1"/>
  <c r="X1592" i="5"/>
  <c r="Y1592" i="5" s="1"/>
  <c r="X1584" i="5"/>
  <c r="Y1584" i="5" s="1"/>
  <c r="X1576" i="5"/>
  <c r="Y1576" i="5" s="1"/>
  <c r="X1568" i="5"/>
  <c r="Y1568" i="5" s="1"/>
  <c r="X1560" i="5"/>
  <c r="Y1560" i="5" s="1"/>
  <c r="X1552" i="5"/>
  <c r="Y1552" i="5" s="1"/>
  <c r="X1544" i="5"/>
  <c r="Y1544" i="5" s="1"/>
  <c r="X1536" i="5"/>
  <c r="Y1536" i="5" s="1"/>
  <c r="X1528" i="5"/>
  <c r="Y1528" i="5" s="1"/>
  <c r="X1520" i="5"/>
  <c r="Y1520" i="5" s="1"/>
  <c r="X1512" i="5"/>
  <c r="Y1512" i="5" s="1"/>
  <c r="X1504" i="5"/>
  <c r="Y1504" i="5" s="1"/>
  <c r="X1496" i="5"/>
  <c r="Y1496" i="5" s="1"/>
  <c r="X1488" i="5"/>
  <c r="Y1488" i="5" s="1"/>
  <c r="X1480" i="5"/>
  <c r="Y1480" i="5" s="1"/>
  <c r="X1472" i="5"/>
  <c r="Y1472" i="5" s="1"/>
  <c r="X1464" i="5"/>
  <c r="Y1464" i="5" s="1"/>
  <c r="X1456" i="5"/>
  <c r="Y1456" i="5" s="1"/>
  <c r="X1448" i="5"/>
  <c r="Y1448" i="5" s="1"/>
  <c r="X1440" i="5"/>
  <c r="Y1440" i="5" s="1"/>
  <c r="X1432" i="5"/>
  <c r="Y1432" i="5" s="1"/>
  <c r="X1424" i="5"/>
  <c r="Y1424" i="5" s="1"/>
  <c r="X1416" i="5"/>
  <c r="Y1416" i="5" s="1"/>
  <c r="X1408" i="5"/>
  <c r="Y1408" i="5" s="1"/>
  <c r="X1400" i="5"/>
  <c r="Y1400" i="5" s="1"/>
  <c r="X1392" i="5"/>
  <c r="Y1392" i="5" s="1"/>
  <c r="X1384" i="5"/>
  <c r="Y1384" i="5" s="1"/>
  <c r="X1376" i="5"/>
  <c r="Y1376" i="5" s="1"/>
  <c r="X1368" i="5"/>
  <c r="Y1368" i="5" s="1"/>
  <c r="X1360" i="5"/>
  <c r="Y1360" i="5" s="1"/>
  <c r="X1352" i="5"/>
  <c r="Y1352" i="5" s="1"/>
  <c r="X1344" i="5"/>
  <c r="Y1344" i="5" s="1"/>
  <c r="X1336" i="5"/>
  <c r="Y1336" i="5" s="1"/>
  <c r="X1328" i="5"/>
  <c r="Y1328" i="5" s="1"/>
  <c r="X1320" i="5"/>
  <c r="Y1320" i="5" s="1"/>
  <c r="X1312" i="5"/>
  <c r="Y1312" i="5" s="1"/>
  <c r="X1304" i="5"/>
  <c r="Y1304" i="5" s="1"/>
  <c r="X1296" i="5"/>
  <c r="Y1296" i="5" s="1"/>
  <c r="X1288" i="5"/>
  <c r="Y1288" i="5" s="1"/>
  <c r="X1280" i="5"/>
  <c r="Y1280" i="5" s="1"/>
  <c r="X1272" i="5"/>
  <c r="Y1272" i="5" s="1"/>
  <c r="X1264" i="5"/>
  <c r="Y1264" i="5" s="1"/>
  <c r="X1256" i="5"/>
  <c r="Y1256" i="5" s="1"/>
  <c r="X1248" i="5"/>
  <c r="Y1248" i="5" s="1"/>
  <c r="X1240" i="5"/>
  <c r="Y1240" i="5" s="1"/>
  <c r="X1232" i="5"/>
  <c r="Y1232" i="5" s="1"/>
  <c r="X1224" i="5"/>
  <c r="Y1224" i="5" s="1"/>
  <c r="X1216" i="5"/>
  <c r="Y1216" i="5" s="1"/>
  <c r="X1208" i="5"/>
  <c r="Y1208" i="5" s="1"/>
  <c r="X1200" i="5"/>
  <c r="Y1200" i="5" s="1"/>
  <c r="X1192" i="5"/>
  <c r="Y1192" i="5" s="1"/>
  <c r="X1184" i="5"/>
  <c r="Y1184" i="5" s="1"/>
  <c r="X1176" i="5"/>
  <c r="Y1176" i="5" s="1"/>
  <c r="X1168" i="5"/>
  <c r="Y1168" i="5" s="1"/>
  <c r="X1160" i="5"/>
  <c r="Y1160" i="5" s="1"/>
  <c r="X1152" i="5"/>
  <c r="Y1152" i="5" s="1"/>
  <c r="X1144" i="5"/>
  <c r="Y1144" i="5" s="1"/>
  <c r="X1136" i="5"/>
  <c r="Y1136" i="5" s="1"/>
  <c r="X1128" i="5"/>
  <c r="Y1128" i="5" s="1"/>
  <c r="X1120" i="5"/>
  <c r="Y1120" i="5" s="1"/>
  <c r="X1112" i="5"/>
  <c r="Y1112" i="5" s="1"/>
  <c r="X1104" i="5"/>
  <c r="Y1104" i="5" s="1"/>
  <c r="X1096" i="5"/>
  <c r="Y1096" i="5" s="1"/>
  <c r="X1088" i="5"/>
  <c r="Y1088" i="5" s="1"/>
  <c r="X1080" i="5"/>
  <c r="Y1080" i="5" s="1"/>
  <c r="X1072" i="5"/>
  <c r="Y1072" i="5" s="1"/>
  <c r="X1064" i="5"/>
  <c r="Y1064" i="5" s="1"/>
  <c r="X1056" i="5"/>
  <c r="Y1056" i="5" s="1"/>
  <c r="X1048" i="5"/>
  <c r="Y1048" i="5" s="1"/>
  <c r="X1040" i="5"/>
  <c r="Y1040" i="5" s="1"/>
  <c r="X1032" i="5"/>
  <c r="Y1032" i="5" s="1"/>
  <c r="X1024" i="5"/>
  <c r="Y1024" i="5" s="1"/>
  <c r="X1016" i="5"/>
  <c r="Y1016" i="5" s="1"/>
  <c r="X1008" i="5"/>
  <c r="Y1008" i="5" s="1"/>
  <c r="X1000" i="5"/>
  <c r="Y1000" i="5" s="1"/>
  <c r="X992" i="5"/>
  <c r="Y992" i="5" s="1"/>
  <c r="X984" i="5"/>
  <c r="Y984" i="5" s="1"/>
  <c r="X976" i="5"/>
  <c r="Y976" i="5" s="1"/>
  <c r="X968" i="5"/>
  <c r="Y968" i="5" s="1"/>
  <c r="X960" i="5"/>
  <c r="Y960" i="5" s="1"/>
  <c r="X952" i="5"/>
  <c r="Y952" i="5" s="1"/>
  <c r="X944" i="5"/>
  <c r="Y944" i="5" s="1"/>
  <c r="X936" i="5"/>
  <c r="Y936" i="5" s="1"/>
  <c r="X928" i="5"/>
  <c r="Y928" i="5" s="1"/>
  <c r="X920" i="5"/>
  <c r="Y920" i="5" s="1"/>
  <c r="X912" i="5"/>
  <c r="Y912" i="5" s="1"/>
  <c r="X904" i="5"/>
  <c r="Y904" i="5" s="1"/>
  <c r="X896" i="5"/>
  <c r="Y896" i="5" s="1"/>
  <c r="X888" i="5"/>
  <c r="Y888" i="5" s="1"/>
  <c r="X880" i="5"/>
  <c r="Y880" i="5" s="1"/>
  <c r="X872" i="5"/>
  <c r="Y872" i="5" s="1"/>
  <c r="X864" i="5"/>
  <c r="Y864" i="5" s="1"/>
  <c r="X856" i="5"/>
  <c r="Y856" i="5" s="1"/>
  <c r="X848" i="5"/>
  <c r="Y848" i="5" s="1"/>
  <c r="X840" i="5"/>
  <c r="Y840" i="5" s="1"/>
  <c r="X832" i="5"/>
  <c r="Y832" i="5" s="1"/>
  <c r="X824" i="5"/>
  <c r="Y824" i="5" s="1"/>
  <c r="X816" i="5"/>
  <c r="Y816" i="5" s="1"/>
  <c r="X356" i="5"/>
  <c r="Y356" i="5" s="1"/>
  <c r="X348" i="5"/>
  <c r="Y348" i="5" s="1"/>
  <c r="X340" i="5"/>
  <c r="Y340" i="5" s="1"/>
  <c r="X332" i="5"/>
  <c r="Y332" i="5" s="1"/>
  <c r="X324" i="5"/>
  <c r="Y324" i="5" s="1"/>
  <c r="X316" i="5"/>
  <c r="Y316" i="5" s="1"/>
  <c r="X308" i="5"/>
  <c r="Y308" i="5" s="1"/>
  <c r="X300" i="5"/>
  <c r="Y300" i="5" s="1"/>
  <c r="X292" i="5"/>
  <c r="Y292" i="5" s="1"/>
  <c r="X284" i="5"/>
  <c r="Y284" i="5" s="1"/>
  <c r="X276" i="5"/>
  <c r="Y276" i="5" s="1"/>
  <c r="X268" i="5"/>
  <c r="Y268" i="5" s="1"/>
  <c r="X260" i="5"/>
  <c r="Y260" i="5" s="1"/>
  <c r="X252" i="5"/>
  <c r="Y252" i="5" s="1"/>
  <c r="X244" i="5"/>
  <c r="Y244" i="5" s="1"/>
  <c r="X236" i="5"/>
  <c r="Y236" i="5" s="1"/>
  <c r="X228" i="5"/>
  <c r="Y228" i="5" s="1"/>
  <c r="X220" i="5"/>
  <c r="Y220" i="5" s="1"/>
  <c r="X212" i="5"/>
  <c r="Y212" i="5" s="1"/>
  <c r="X204" i="5"/>
  <c r="Y204" i="5" s="1"/>
  <c r="X196" i="5"/>
  <c r="Y196" i="5" s="1"/>
  <c r="X188" i="5"/>
  <c r="Y188" i="5" s="1"/>
  <c r="X180" i="5"/>
  <c r="Y180" i="5" s="1"/>
  <c r="X172" i="5"/>
  <c r="Y172" i="5" s="1"/>
  <c r="X164" i="5"/>
  <c r="Y164" i="5" s="1"/>
  <c r="X156" i="5"/>
  <c r="Y156" i="5" s="1"/>
  <c r="X148" i="5"/>
  <c r="Y148" i="5" s="1"/>
  <c r="X140" i="5"/>
  <c r="Y140" i="5" s="1"/>
  <c r="X132" i="5"/>
  <c r="Y132" i="5" s="1"/>
  <c r="X124" i="5"/>
  <c r="Y124" i="5" s="1"/>
  <c r="X116" i="5"/>
  <c r="Y116" i="5" s="1"/>
  <c r="X108" i="5"/>
  <c r="Y108" i="5" s="1"/>
  <c r="X100" i="5"/>
  <c r="Y100" i="5" s="1"/>
  <c r="X92" i="5"/>
  <c r="Y92" i="5" s="1"/>
  <c r="X84" i="5"/>
  <c r="Y84" i="5" s="1"/>
  <c r="X76" i="5"/>
  <c r="Y76" i="5" s="1"/>
  <c r="X68" i="5"/>
  <c r="Y68" i="5" s="1"/>
  <c r="X60" i="5"/>
  <c r="Y60" i="5" s="1"/>
  <c r="X52" i="5"/>
  <c r="Y52" i="5" s="1"/>
  <c r="X44" i="5"/>
  <c r="Y44" i="5" s="1"/>
  <c r="X36" i="5"/>
  <c r="Y36" i="5" s="1"/>
  <c r="X28" i="5"/>
  <c r="Y28" i="5" s="1"/>
  <c r="X20" i="5"/>
  <c r="Y20" i="5" s="1"/>
  <c r="X12" i="5"/>
  <c r="X4" i="5"/>
  <c r="X808" i="5"/>
  <c r="Y808" i="5" s="1"/>
  <c r="X800" i="5"/>
  <c r="Y800" i="5" s="1"/>
  <c r="X792" i="5"/>
  <c r="Y792" i="5" s="1"/>
  <c r="X784" i="5"/>
  <c r="Y784" i="5" s="1"/>
  <c r="X776" i="5"/>
  <c r="Y776" i="5" s="1"/>
  <c r="X768" i="5"/>
  <c r="Y768" i="5" s="1"/>
  <c r="X760" i="5"/>
  <c r="Y760" i="5" s="1"/>
  <c r="X752" i="5"/>
  <c r="Y752" i="5" s="1"/>
  <c r="X744" i="5"/>
  <c r="Y744" i="5" s="1"/>
  <c r="X736" i="5"/>
  <c r="Y736" i="5" s="1"/>
  <c r="X728" i="5"/>
  <c r="Y728" i="5" s="1"/>
  <c r="X720" i="5"/>
  <c r="Y720" i="5" s="1"/>
  <c r="X712" i="5"/>
  <c r="Y712" i="5" s="1"/>
  <c r="X704" i="5"/>
  <c r="Y704" i="5" s="1"/>
  <c r="X696" i="5"/>
  <c r="Y696" i="5" s="1"/>
  <c r="X688" i="5"/>
  <c r="Y688" i="5" s="1"/>
  <c r="X680" i="5"/>
  <c r="Y680" i="5" s="1"/>
  <c r="X672" i="5"/>
  <c r="Y672" i="5" s="1"/>
  <c r="X664" i="5"/>
  <c r="Y664" i="5" s="1"/>
  <c r="X656" i="5"/>
  <c r="Y656" i="5" s="1"/>
  <c r="X648" i="5"/>
  <c r="Y648" i="5" s="1"/>
  <c r="X640" i="5"/>
  <c r="Y640" i="5" s="1"/>
  <c r="X632" i="5"/>
  <c r="Y632" i="5" s="1"/>
  <c r="X624" i="5"/>
  <c r="Y624" i="5" s="1"/>
  <c r="X616" i="5"/>
  <c r="Y616" i="5" s="1"/>
  <c r="X608" i="5"/>
  <c r="Y608" i="5" s="1"/>
  <c r="X600" i="5"/>
  <c r="Y600" i="5" s="1"/>
  <c r="X592" i="5"/>
  <c r="Y592" i="5" s="1"/>
  <c r="X584" i="5"/>
  <c r="Y584" i="5" s="1"/>
  <c r="X576" i="5"/>
  <c r="Y576" i="5" s="1"/>
  <c r="X568" i="5"/>
  <c r="Y568" i="5" s="1"/>
  <c r="X560" i="5"/>
  <c r="Y560" i="5" s="1"/>
  <c r="X552" i="5"/>
  <c r="Y552" i="5" s="1"/>
  <c r="X544" i="5"/>
  <c r="Y544" i="5" s="1"/>
  <c r="X536" i="5"/>
  <c r="Y536" i="5" s="1"/>
  <c r="X528" i="5"/>
  <c r="Y528" i="5" s="1"/>
  <c r="X520" i="5"/>
  <c r="Y520" i="5" s="1"/>
  <c r="X512" i="5"/>
  <c r="Y512" i="5" s="1"/>
  <c r="X504" i="5"/>
  <c r="Y504" i="5" s="1"/>
  <c r="X496" i="5"/>
  <c r="Y496" i="5" s="1"/>
  <c r="X488" i="5"/>
  <c r="Y488" i="5" s="1"/>
  <c r="X480" i="5"/>
  <c r="Y480" i="5" s="1"/>
  <c r="X472" i="5"/>
  <c r="Y472" i="5" s="1"/>
  <c r="X464" i="5"/>
  <c r="Y464" i="5" s="1"/>
  <c r="X456" i="5"/>
  <c r="Y456" i="5" s="1"/>
  <c r="X448" i="5"/>
  <c r="Y448" i="5" s="1"/>
  <c r="X440" i="5"/>
  <c r="Y440" i="5" s="1"/>
  <c r="X432" i="5"/>
  <c r="Y432" i="5" s="1"/>
  <c r="X424" i="5"/>
  <c r="Y424" i="5" s="1"/>
  <c r="X416" i="5"/>
  <c r="Y416" i="5" s="1"/>
  <c r="X408" i="5"/>
  <c r="Y408" i="5" s="1"/>
  <c r="X400" i="5"/>
  <c r="Y400" i="5" s="1"/>
  <c r="X392" i="5"/>
  <c r="Y392" i="5" s="1"/>
  <c r="X384" i="5"/>
  <c r="Y384" i="5" s="1"/>
  <c r="X376" i="5"/>
  <c r="Y376" i="5" s="1"/>
  <c r="X368" i="5"/>
  <c r="Y368" i="5" s="1"/>
  <c r="X360" i="5"/>
  <c r="Y360" i="5" s="1"/>
  <c r="X352" i="5"/>
  <c r="Y352" i="5" s="1"/>
  <c r="X344" i="5"/>
  <c r="Y344" i="5" s="1"/>
  <c r="X336" i="5"/>
  <c r="Y336" i="5" s="1"/>
  <c r="X328" i="5"/>
  <c r="Y328" i="5" s="1"/>
  <c r="X320" i="5"/>
  <c r="Y320" i="5" s="1"/>
  <c r="X312" i="5"/>
  <c r="Y312" i="5" s="1"/>
  <c r="X304" i="5"/>
  <c r="Y304" i="5" s="1"/>
  <c r="X296" i="5"/>
  <c r="Y296" i="5" s="1"/>
  <c r="X288" i="5"/>
  <c r="Y288" i="5" s="1"/>
  <c r="X280" i="5"/>
  <c r="Y280" i="5" s="1"/>
  <c r="X272" i="5"/>
  <c r="Y272" i="5" s="1"/>
  <c r="X264" i="5"/>
  <c r="Y264" i="5" s="1"/>
  <c r="X256" i="5"/>
  <c r="Y256" i="5" s="1"/>
  <c r="X248" i="5"/>
  <c r="Y248" i="5" s="1"/>
  <c r="X240" i="5"/>
  <c r="Y240" i="5" s="1"/>
  <c r="X232" i="5"/>
  <c r="Y232" i="5" s="1"/>
  <c r="X224" i="5"/>
  <c r="Y224" i="5" s="1"/>
  <c r="X216" i="5"/>
  <c r="Y216" i="5" s="1"/>
  <c r="X208" i="5"/>
  <c r="Y208" i="5" s="1"/>
  <c r="X200" i="5"/>
  <c r="Y200" i="5" s="1"/>
  <c r="X192" i="5"/>
  <c r="Y192" i="5" s="1"/>
  <c r="X184" i="5"/>
  <c r="Y184" i="5" s="1"/>
  <c r="X176" i="5"/>
  <c r="Y176" i="5" s="1"/>
  <c r="X168" i="5"/>
  <c r="Y168" i="5" s="1"/>
  <c r="X160" i="5"/>
  <c r="Y160" i="5" s="1"/>
  <c r="X152" i="5"/>
  <c r="Y152" i="5" s="1"/>
  <c r="X144" i="5"/>
  <c r="Y144" i="5" s="1"/>
  <c r="X136" i="5"/>
  <c r="Y136" i="5" s="1"/>
  <c r="X128" i="5"/>
  <c r="Y128" i="5" s="1"/>
  <c r="X120" i="5"/>
  <c r="Y120" i="5" s="1"/>
  <c r="X112" i="5"/>
  <c r="Y112" i="5" s="1"/>
  <c r="X104" i="5"/>
  <c r="Y104" i="5" s="1"/>
  <c r="X96" i="5"/>
  <c r="Y96" i="5" s="1"/>
  <c r="X88" i="5"/>
  <c r="Y88" i="5" s="1"/>
  <c r="X80" i="5"/>
  <c r="Y80" i="5" s="1"/>
  <c r="X72" i="5"/>
  <c r="Y72" i="5" s="1"/>
  <c r="X64" i="5"/>
  <c r="Y64" i="5" s="1"/>
  <c r="X56" i="5"/>
  <c r="Y56" i="5" s="1"/>
  <c r="X48" i="5"/>
  <c r="Y48" i="5" s="1"/>
  <c r="X40" i="5"/>
  <c r="Y40" i="5" s="1"/>
  <c r="X32" i="5"/>
  <c r="Y32" i="5" s="1"/>
  <c r="X24" i="5"/>
  <c r="X16" i="5"/>
  <c r="Y16" i="5" s="1"/>
  <c r="X8" i="5"/>
  <c r="X1985" i="5"/>
  <c r="Y1985" i="5" s="1"/>
  <c r="X1977" i="5"/>
  <c r="Y1977" i="5" s="1"/>
  <c r="X1969" i="5"/>
  <c r="Y1969" i="5" s="1"/>
  <c r="X1961" i="5"/>
  <c r="Y1961" i="5" s="1"/>
  <c r="X1953" i="5"/>
  <c r="Y1953" i="5" s="1"/>
  <c r="X1945" i="5"/>
  <c r="Y1945" i="5" s="1"/>
  <c r="X1937" i="5"/>
  <c r="Y1937" i="5" s="1"/>
  <c r="X1929" i="5"/>
  <c r="Y1929" i="5" s="1"/>
  <c r="X1921" i="5"/>
  <c r="Y1921" i="5" s="1"/>
  <c r="X1913" i="5"/>
  <c r="Y1913" i="5" s="1"/>
  <c r="X1905" i="5"/>
  <c r="Y1905" i="5" s="1"/>
  <c r="X1897" i="5"/>
  <c r="Y1897" i="5" s="1"/>
  <c r="X1889" i="5"/>
  <c r="Y1889" i="5" s="1"/>
  <c r="X1881" i="5"/>
  <c r="Y1881" i="5" s="1"/>
  <c r="X1873" i="5"/>
  <c r="Y1873" i="5" s="1"/>
  <c r="X1865" i="5"/>
  <c r="Y1865" i="5" s="1"/>
  <c r="X1857" i="5"/>
  <c r="Y1857" i="5" s="1"/>
  <c r="X1849" i="5"/>
  <c r="Y1849" i="5" s="1"/>
  <c r="X1841" i="5"/>
  <c r="Y1841" i="5" s="1"/>
  <c r="X1833" i="5"/>
  <c r="Y1833" i="5" s="1"/>
  <c r="X1825" i="5"/>
  <c r="Y1825" i="5" s="1"/>
  <c r="X1817" i="5"/>
  <c r="Y1817" i="5" s="1"/>
  <c r="X1809" i="5"/>
  <c r="Y1809" i="5" s="1"/>
  <c r="X1801" i="5"/>
  <c r="Y1801" i="5" s="1"/>
  <c r="X1793" i="5"/>
  <c r="Y1793" i="5" s="1"/>
  <c r="X1785" i="5"/>
  <c r="Y1785" i="5" s="1"/>
  <c r="X1777" i="5"/>
  <c r="Y1777" i="5" s="1"/>
  <c r="X1769" i="5"/>
  <c r="Y1769" i="5" s="1"/>
  <c r="X1761" i="5"/>
  <c r="Y1761" i="5" s="1"/>
  <c r="X1753" i="5"/>
  <c r="Y1753" i="5" s="1"/>
  <c r="X1745" i="5"/>
  <c r="Y1745" i="5" s="1"/>
  <c r="X1737" i="5"/>
  <c r="Y1737" i="5" s="1"/>
  <c r="X1729" i="5"/>
  <c r="Y1729" i="5" s="1"/>
  <c r="X1721" i="5"/>
  <c r="Y1721" i="5" s="1"/>
  <c r="X1713" i="5"/>
  <c r="Y1713" i="5" s="1"/>
  <c r="X1705" i="5"/>
  <c r="Y1705" i="5" s="1"/>
  <c r="X1697" i="5"/>
  <c r="Y1697" i="5" s="1"/>
  <c r="X1689" i="5"/>
  <c r="Y1689" i="5" s="1"/>
  <c r="X1681" i="5"/>
  <c r="Y1681" i="5" s="1"/>
  <c r="X1673" i="5"/>
  <c r="Y1673" i="5" s="1"/>
  <c r="X1665" i="5"/>
  <c r="Y1665" i="5" s="1"/>
  <c r="X1657" i="5"/>
  <c r="Y1657" i="5" s="1"/>
  <c r="X1649" i="5"/>
  <c r="Y1649" i="5" s="1"/>
  <c r="X1641" i="5"/>
  <c r="Y1641" i="5" s="1"/>
  <c r="X1633" i="5"/>
  <c r="Y1633" i="5" s="1"/>
  <c r="X1625" i="5"/>
  <c r="Y1625" i="5" s="1"/>
  <c r="X1617" i="5"/>
  <c r="Y1617" i="5" s="1"/>
  <c r="X1609" i="5"/>
  <c r="Y1609" i="5" s="1"/>
  <c r="X1601" i="5"/>
  <c r="Y1601" i="5" s="1"/>
  <c r="X1593" i="5"/>
  <c r="Y1593" i="5" s="1"/>
  <c r="X1585" i="5"/>
  <c r="Y1585" i="5" s="1"/>
  <c r="X1577" i="5"/>
  <c r="Y1577" i="5" s="1"/>
  <c r="X1569" i="5"/>
  <c r="Y1569" i="5" s="1"/>
  <c r="X1561" i="5"/>
  <c r="Y1561" i="5" s="1"/>
  <c r="X1553" i="5"/>
  <c r="Y1553" i="5" s="1"/>
  <c r="X1545" i="5"/>
  <c r="Y1545" i="5" s="1"/>
  <c r="X1537" i="5"/>
  <c r="Y1537" i="5" s="1"/>
  <c r="X1529" i="5"/>
  <c r="Y1529" i="5" s="1"/>
  <c r="X1521" i="5"/>
  <c r="Y1521" i="5" s="1"/>
  <c r="X1513" i="5"/>
  <c r="Y1513" i="5" s="1"/>
  <c r="X1505" i="5"/>
  <c r="Y1505" i="5" s="1"/>
  <c r="X1497" i="5"/>
  <c r="Y1497" i="5" s="1"/>
  <c r="X1489" i="5"/>
  <c r="Y1489" i="5" s="1"/>
  <c r="X1481" i="5"/>
  <c r="Y1481" i="5" s="1"/>
  <c r="X1473" i="5"/>
  <c r="Y1473" i="5" s="1"/>
  <c r="X1465" i="5"/>
  <c r="Y1465" i="5" s="1"/>
  <c r="X1457" i="5"/>
  <c r="Y1457" i="5" s="1"/>
  <c r="X1449" i="5"/>
  <c r="Y1449" i="5" s="1"/>
  <c r="X1441" i="5"/>
  <c r="Y1441" i="5" s="1"/>
  <c r="X1433" i="5"/>
  <c r="Y1433" i="5" s="1"/>
  <c r="X1425" i="5"/>
  <c r="Y1425" i="5" s="1"/>
  <c r="X1417" i="5"/>
  <c r="Y1417" i="5" s="1"/>
  <c r="X1409" i="5"/>
  <c r="Y1409" i="5" s="1"/>
  <c r="X1401" i="5"/>
  <c r="Y1401" i="5" s="1"/>
  <c r="X1393" i="5"/>
  <c r="Y1393" i="5" s="1"/>
  <c r="X1385" i="5"/>
  <c r="Y1385" i="5" s="1"/>
  <c r="X1377" i="5"/>
  <c r="Y1377" i="5" s="1"/>
  <c r="X1369" i="5"/>
  <c r="Y1369" i="5" s="1"/>
  <c r="X1361" i="5"/>
  <c r="Y1361" i="5" s="1"/>
  <c r="X1353" i="5"/>
  <c r="Y1353" i="5" s="1"/>
  <c r="X1345" i="5"/>
  <c r="Y1345" i="5" s="1"/>
  <c r="X1337" i="5"/>
  <c r="Y1337" i="5" s="1"/>
  <c r="X1329" i="5"/>
  <c r="Y1329" i="5" s="1"/>
  <c r="X1321" i="5"/>
  <c r="Y1321" i="5" s="1"/>
  <c r="X1313" i="5"/>
  <c r="Y1313" i="5" s="1"/>
  <c r="X1305" i="5"/>
  <c r="Y1305" i="5" s="1"/>
  <c r="X1297" i="5"/>
  <c r="Y1297" i="5" s="1"/>
  <c r="X1289" i="5"/>
  <c r="Y1289" i="5" s="1"/>
  <c r="X1281" i="5"/>
  <c r="Y1281" i="5" s="1"/>
  <c r="X1273" i="5"/>
  <c r="Y1273" i="5" s="1"/>
  <c r="X1265" i="5"/>
  <c r="Y1265" i="5" s="1"/>
  <c r="X1257" i="5"/>
  <c r="Y1257" i="5" s="1"/>
  <c r="X1249" i="5"/>
  <c r="Y1249" i="5" s="1"/>
  <c r="X1241" i="5"/>
  <c r="Y1241" i="5" s="1"/>
  <c r="X1233" i="5"/>
  <c r="Y1233" i="5" s="1"/>
  <c r="X1225" i="5"/>
  <c r="Y1225" i="5" s="1"/>
  <c r="X1217" i="5"/>
  <c r="Y1217" i="5" s="1"/>
  <c r="X1209" i="5"/>
  <c r="Y1209" i="5" s="1"/>
  <c r="X1201" i="5"/>
  <c r="Y1201" i="5" s="1"/>
  <c r="X1193" i="5"/>
  <c r="Y1193" i="5" s="1"/>
  <c r="X1185" i="5"/>
  <c r="Y1185" i="5" s="1"/>
  <c r="X1177" i="5"/>
  <c r="Y1177" i="5" s="1"/>
  <c r="X1169" i="5"/>
  <c r="Y1169" i="5" s="1"/>
  <c r="X1161" i="5"/>
  <c r="Y1161" i="5" s="1"/>
  <c r="X1153" i="5"/>
  <c r="Y1153" i="5" s="1"/>
  <c r="X1145" i="5"/>
  <c r="Y1145" i="5" s="1"/>
  <c r="X1137" i="5"/>
  <c r="Y1137" i="5" s="1"/>
  <c r="X1129" i="5"/>
  <c r="Y1129" i="5" s="1"/>
  <c r="X1121" i="5"/>
  <c r="Y1121" i="5" s="1"/>
  <c r="X1113" i="5"/>
  <c r="Y1113" i="5" s="1"/>
  <c r="X1105" i="5"/>
  <c r="Y1105" i="5" s="1"/>
  <c r="X1097" i="5"/>
  <c r="Y1097" i="5" s="1"/>
  <c r="X1089" i="5"/>
  <c r="Y1089" i="5" s="1"/>
  <c r="X1081" i="5"/>
  <c r="Y1081" i="5" s="1"/>
  <c r="X1073" i="5"/>
  <c r="Y1073" i="5" s="1"/>
  <c r="X1065" i="5"/>
  <c r="Y1065" i="5" s="1"/>
  <c r="X1057" i="5"/>
  <c r="Y1057" i="5" s="1"/>
  <c r="X1049" i="5"/>
  <c r="Y1049" i="5" s="1"/>
  <c r="X1041" i="5"/>
  <c r="Y1041" i="5" s="1"/>
  <c r="X1033" i="5"/>
  <c r="Y1033" i="5" s="1"/>
  <c r="X1025" i="5"/>
  <c r="Y1025" i="5" s="1"/>
  <c r="X1017" i="5"/>
  <c r="Y1017" i="5" s="1"/>
  <c r="X1009" i="5"/>
  <c r="Y1009" i="5" s="1"/>
  <c r="X1001" i="5"/>
  <c r="Y1001" i="5" s="1"/>
  <c r="X993" i="5"/>
  <c r="Y993" i="5" s="1"/>
  <c r="X985" i="5"/>
  <c r="Y985" i="5" s="1"/>
  <c r="X977" i="5"/>
  <c r="Y977" i="5" s="1"/>
  <c r="X969" i="5"/>
  <c r="Y969" i="5" s="1"/>
  <c r="X961" i="5"/>
  <c r="Y961" i="5" s="1"/>
  <c r="X953" i="5"/>
  <c r="Y953" i="5" s="1"/>
  <c r="X945" i="5"/>
  <c r="Y945" i="5" s="1"/>
  <c r="X937" i="5"/>
  <c r="Y937" i="5" s="1"/>
  <c r="X929" i="5"/>
  <c r="Y929" i="5" s="1"/>
  <c r="X921" i="5"/>
  <c r="Y921" i="5" s="1"/>
  <c r="X913" i="5"/>
  <c r="Y913" i="5" s="1"/>
  <c r="X905" i="5"/>
  <c r="Y905" i="5" s="1"/>
  <c r="X897" i="5"/>
  <c r="Y897" i="5" s="1"/>
  <c r="X889" i="5"/>
  <c r="Y889" i="5" s="1"/>
  <c r="X881" i="5"/>
  <c r="Y881" i="5" s="1"/>
  <c r="X873" i="5"/>
  <c r="Y873" i="5" s="1"/>
  <c r="X865" i="5"/>
  <c r="Y865" i="5" s="1"/>
  <c r="X857" i="5"/>
  <c r="Y857" i="5" s="1"/>
  <c r="X849" i="5"/>
  <c r="Y849" i="5" s="1"/>
  <c r="X841" i="5"/>
  <c r="Y841" i="5" s="1"/>
  <c r="X833" i="5"/>
  <c r="Y833" i="5" s="1"/>
  <c r="X825" i="5"/>
  <c r="Y825" i="5" s="1"/>
  <c r="X817" i="5"/>
  <c r="Y817" i="5" s="1"/>
  <c r="X809" i="5"/>
  <c r="Y809" i="5" s="1"/>
  <c r="X801" i="5"/>
  <c r="Y801" i="5" s="1"/>
  <c r="X793" i="5"/>
  <c r="Y793" i="5" s="1"/>
  <c r="X785" i="5"/>
  <c r="Y785" i="5" s="1"/>
  <c r="X777" i="5"/>
  <c r="Y777" i="5" s="1"/>
  <c r="X769" i="5"/>
  <c r="Y769" i="5" s="1"/>
  <c r="X761" i="5"/>
  <c r="Y761" i="5" s="1"/>
  <c r="X753" i="5"/>
  <c r="Y753" i="5" s="1"/>
  <c r="X745" i="5"/>
  <c r="Y745" i="5" s="1"/>
  <c r="X737" i="5"/>
  <c r="Y737" i="5" s="1"/>
  <c r="X729" i="5"/>
  <c r="Y729" i="5" s="1"/>
  <c r="X721" i="5"/>
  <c r="Y721" i="5" s="1"/>
  <c r="X713" i="5"/>
  <c r="Y713" i="5" s="1"/>
  <c r="X705" i="5"/>
  <c r="Y705" i="5" s="1"/>
  <c r="X697" i="5"/>
  <c r="Y697" i="5" s="1"/>
  <c r="X689" i="5"/>
  <c r="Y689" i="5" s="1"/>
  <c r="X681" i="5"/>
  <c r="Y681" i="5" s="1"/>
  <c r="X673" i="5"/>
  <c r="Y673" i="5" s="1"/>
  <c r="X665" i="5"/>
  <c r="Y665" i="5" s="1"/>
  <c r="X657" i="5"/>
  <c r="Y657" i="5" s="1"/>
  <c r="X649" i="5"/>
  <c r="Y649" i="5" s="1"/>
  <c r="X641" i="5"/>
  <c r="Y641" i="5" s="1"/>
  <c r="X633" i="5"/>
  <c r="Y633" i="5" s="1"/>
  <c r="X625" i="5"/>
  <c r="Y625" i="5" s="1"/>
  <c r="X617" i="5"/>
  <c r="Y617" i="5" s="1"/>
  <c r="X609" i="5"/>
  <c r="Y609" i="5" s="1"/>
  <c r="X601" i="5"/>
  <c r="Y601" i="5" s="1"/>
  <c r="X593" i="5"/>
  <c r="Y593" i="5" s="1"/>
  <c r="X585" i="5"/>
  <c r="Y585" i="5" s="1"/>
  <c r="X577" i="5"/>
  <c r="Y577" i="5" s="1"/>
  <c r="X569" i="5"/>
  <c r="Y569" i="5" s="1"/>
  <c r="X561" i="5"/>
  <c r="Y561" i="5" s="1"/>
  <c r="X553" i="5"/>
  <c r="Y553" i="5" s="1"/>
  <c r="X545" i="5"/>
  <c r="Y545" i="5" s="1"/>
  <c r="X537" i="5"/>
  <c r="Y537" i="5" s="1"/>
  <c r="X529" i="5"/>
  <c r="Y529" i="5" s="1"/>
  <c r="X521" i="5"/>
  <c r="Y521" i="5" s="1"/>
  <c r="X513" i="5"/>
  <c r="Y513" i="5" s="1"/>
  <c r="X505" i="5"/>
  <c r="Y505" i="5" s="1"/>
  <c r="X497" i="5"/>
  <c r="Y497" i="5" s="1"/>
  <c r="X489" i="5"/>
  <c r="Y489" i="5" s="1"/>
  <c r="X481" i="5"/>
  <c r="Y481" i="5" s="1"/>
  <c r="X473" i="5"/>
  <c r="Y473" i="5" s="1"/>
  <c r="X465" i="5"/>
  <c r="Y465" i="5" s="1"/>
  <c r="X457" i="5"/>
  <c r="Y457" i="5" s="1"/>
  <c r="X449" i="5"/>
  <c r="Y449" i="5" s="1"/>
  <c r="X441" i="5"/>
  <c r="Y441" i="5" s="1"/>
  <c r="X433" i="5"/>
  <c r="Y433" i="5" s="1"/>
  <c r="X425" i="5"/>
  <c r="Y425" i="5" s="1"/>
  <c r="X417" i="5"/>
  <c r="Y417" i="5" s="1"/>
  <c r="X409" i="5"/>
  <c r="Y409" i="5" s="1"/>
  <c r="X401" i="5"/>
  <c r="Y401" i="5" s="1"/>
  <c r="X393" i="5"/>
  <c r="Y393" i="5" s="1"/>
  <c r="X385" i="5"/>
  <c r="Y385" i="5" s="1"/>
  <c r="X377" i="5"/>
  <c r="Y377" i="5" s="1"/>
  <c r="X369" i="5"/>
  <c r="Y369" i="5" s="1"/>
  <c r="X361" i="5"/>
  <c r="Y361" i="5" s="1"/>
  <c r="X353" i="5"/>
  <c r="Y353" i="5" s="1"/>
  <c r="X345" i="5"/>
  <c r="Y345" i="5" s="1"/>
  <c r="X337" i="5"/>
  <c r="Y337" i="5" s="1"/>
  <c r="X329" i="5"/>
  <c r="Y329" i="5" s="1"/>
  <c r="X321" i="5"/>
  <c r="Y321" i="5" s="1"/>
  <c r="X313" i="5"/>
  <c r="Y313" i="5" s="1"/>
  <c r="X305" i="5"/>
  <c r="Y305" i="5" s="1"/>
  <c r="X297" i="5"/>
  <c r="Y297" i="5" s="1"/>
  <c r="X289" i="5"/>
  <c r="Y289" i="5" s="1"/>
  <c r="X281" i="5"/>
  <c r="Y281" i="5" s="1"/>
  <c r="X273" i="5"/>
  <c r="Y273" i="5" s="1"/>
  <c r="X265" i="5"/>
  <c r="Y265" i="5" s="1"/>
  <c r="X257" i="5"/>
  <c r="Y257" i="5" s="1"/>
  <c r="X249" i="5"/>
  <c r="Y249" i="5" s="1"/>
  <c r="X241" i="5"/>
  <c r="Y241" i="5" s="1"/>
  <c r="X233" i="5"/>
  <c r="Y233" i="5" s="1"/>
  <c r="X225" i="5"/>
  <c r="Y225" i="5" s="1"/>
  <c r="X217" i="5"/>
  <c r="Y217" i="5" s="1"/>
  <c r="X209" i="5"/>
  <c r="Y209" i="5" s="1"/>
  <c r="X201" i="5"/>
  <c r="Y201" i="5" s="1"/>
  <c r="X193" i="5"/>
  <c r="Y193" i="5" s="1"/>
  <c r="X185" i="5"/>
  <c r="Y185" i="5" s="1"/>
  <c r="X177" i="5"/>
  <c r="Y177" i="5" s="1"/>
  <c r="X169" i="5"/>
  <c r="Y169" i="5" s="1"/>
  <c r="X161" i="5"/>
  <c r="Y161" i="5" s="1"/>
  <c r="X153" i="5"/>
  <c r="Y153" i="5" s="1"/>
  <c r="X145" i="5"/>
  <c r="Y145" i="5" s="1"/>
  <c r="X137" i="5"/>
  <c r="Y137" i="5" s="1"/>
  <c r="X129" i="5"/>
  <c r="Y129" i="5" s="1"/>
  <c r="X121" i="5"/>
  <c r="Y121" i="5" s="1"/>
  <c r="X113" i="5"/>
  <c r="Y113" i="5" s="1"/>
  <c r="X105" i="5"/>
  <c r="Y105" i="5" s="1"/>
  <c r="X97" i="5"/>
  <c r="Y97" i="5" s="1"/>
  <c r="X89" i="5"/>
  <c r="Y89" i="5" s="1"/>
  <c r="X81" i="5"/>
  <c r="Y81" i="5" s="1"/>
  <c r="X73" i="5"/>
  <c r="Y73" i="5" s="1"/>
  <c r="X65" i="5"/>
  <c r="Y65" i="5" s="1"/>
  <c r="X57" i="5"/>
  <c r="Y57" i="5" s="1"/>
  <c r="X49" i="5"/>
  <c r="Y49" i="5" s="1"/>
  <c r="X41" i="5"/>
  <c r="Y41" i="5" s="1"/>
  <c r="X33" i="5"/>
  <c r="Y33" i="5" s="1"/>
  <c r="X25" i="5"/>
  <c r="Y25" i="5" s="1"/>
  <c r="X17" i="5"/>
  <c r="X9" i="5"/>
  <c r="X1981" i="5"/>
  <c r="Y1981" i="5" s="1"/>
  <c r="X1973" i="5"/>
  <c r="Y1973" i="5" s="1"/>
  <c r="X1965" i="5"/>
  <c r="Y1965" i="5" s="1"/>
  <c r="X1957" i="5"/>
  <c r="Y1957" i="5" s="1"/>
  <c r="X1949" i="5"/>
  <c r="Y1949" i="5" s="1"/>
  <c r="X1941" i="5"/>
  <c r="Y1941" i="5" s="1"/>
  <c r="X1933" i="5"/>
  <c r="Y1933" i="5" s="1"/>
  <c r="X1925" i="5"/>
  <c r="Y1925" i="5" s="1"/>
  <c r="X1917" i="5"/>
  <c r="Y1917" i="5" s="1"/>
  <c r="X1909" i="5"/>
  <c r="Y1909" i="5" s="1"/>
  <c r="X1901" i="5"/>
  <c r="Y1901" i="5" s="1"/>
  <c r="X1893" i="5"/>
  <c r="Y1893" i="5" s="1"/>
  <c r="X1885" i="5"/>
  <c r="Y1885" i="5" s="1"/>
  <c r="X1877" i="5"/>
  <c r="Y1877" i="5" s="1"/>
  <c r="X1869" i="5"/>
  <c r="Y1869" i="5" s="1"/>
  <c r="X1861" i="5"/>
  <c r="Y1861" i="5" s="1"/>
  <c r="X1853" i="5"/>
  <c r="Y1853" i="5" s="1"/>
  <c r="X1845" i="5"/>
  <c r="Y1845" i="5" s="1"/>
  <c r="X1837" i="5"/>
  <c r="Y1837" i="5" s="1"/>
  <c r="X1829" i="5"/>
  <c r="Y1829" i="5" s="1"/>
  <c r="X1821" i="5"/>
  <c r="Y1821" i="5" s="1"/>
  <c r="X1813" i="5"/>
  <c r="Y1813" i="5" s="1"/>
  <c r="X1805" i="5"/>
  <c r="Y1805" i="5" s="1"/>
  <c r="X1797" i="5"/>
  <c r="Y1797" i="5" s="1"/>
  <c r="X1789" i="5"/>
  <c r="Y1789" i="5" s="1"/>
  <c r="X1781" i="5"/>
  <c r="Y1781" i="5" s="1"/>
  <c r="X1773" i="5"/>
  <c r="Y1773" i="5" s="1"/>
  <c r="X1765" i="5"/>
  <c r="Y1765" i="5" s="1"/>
  <c r="X1757" i="5"/>
  <c r="Y1757" i="5" s="1"/>
  <c r="X1749" i="5"/>
  <c r="Y1749" i="5" s="1"/>
  <c r="X1741" i="5"/>
  <c r="Y1741" i="5" s="1"/>
  <c r="X1733" i="5"/>
  <c r="Y1733" i="5" s="1"/>
  <c r="X1725" i="5"/>
  <c r="Y1725" i="5" s="1"/>
  <c r="X1717" i="5"/>
  <c r="Y1717" i="5" s="1"/>
  <c r="X1709" i="5"/>
  <c r="Y1709" i="5" s="1"/>
  <c r="X1701" i="5"/>
  <c r="Y1701" i="5" s="1"/>
  <c r="X1693" i="5"/>
  <c r="Y1693" i="5" s="1"/>
  <c r="X1685" i="5"/>
  <c r="Y1685" i="5" s="1"/>
  <c r="X1677" i="5"/>
  <c r="Y1677" i="5" s="1"/>
  <c r="X1669" i="5"/>
  <c r="Y1669" i="5" s="1"/>
  <c r="X1661" i="5"/>
  <c r="Y1661" i="5" s="1"/>
  <c r="X1653" i="5"/>
  <c r="Y1653" i="5" s="1"/>
  <c r="X1645" i="5"/>
  <c r="Y1645" i="5" s="1"/>
  <c r="X1637" i="5"/>
  <c r="Y1637" i="5" s="1"/>
  <c r="X1629" i="5"/>
  <c r="Y1629" i="5" s="1"/>
  <c r="X1621" i="5"/>
  <c r="Y1621" i="5" s="1"/>
  <c r="X1613" i="5"/>
  <c r="Y1613" i="5" s="1"/>
  <c r="X1605" i="5"/>
  <c r="Y1605" i="5" s="1"/>
  <c r="X1597" i="5"/>
  <c r="Y1597" i="5" s="1"/>
  <c r="X1589" i="5"/>
  <c r="Y1589" i="5" s="1"/>
  <c r="X1581" i="5"/>
  <c r="Y1581" i="5" s="1"/>
  <c r="X1573" i="5"/>
  <c r="Y1573" i="5" s="1"/>
  <c r="X1565" i="5"/>
  <c r="Y1565" i="5" s="1"/>
  <c r="X1557" i="5"/>
  <c r="Y1557" i="5" s="1"/>
  <c r="X1549" i="5"/>
  <c r="Y1549" i="5" s="1"/>
  <c r="X1541" i="5"/>
  <c r="Y1541" i="5" s="1"/>
  <c r="X1533" i="5"/>
  <c r="Y1533" i="5" s="1"/>
  <c r="X1525" i="5"/>
  <c r="Y1525" i="5" s="1"/>
  <c r="X1517" i="5"/>
  <c r="Y1517" i="5" s="1"/>
  <c r="X1509" i="5"/>
  <c r="Y1509" i="5" s="1"/>
  <c r="X1501" i="5"/>
  <c r="Y1501" i="5" s="1"/>
  <c r="X1493" i="5"/>
  <c r="Y1493" i="5" s="1"/>
  <c r="X1485" i="5"/>
  <c r="Y1485" i="5" s="1"/>
  <c r="X1477" i="5"/>
  <c r="Y1477" i="5" s="1"/>
  <c r="X1469" i="5"/>
  <c r="Y1469" i="5" s="1"/>
  <c r="X1461" i="5"/>
  <c r="Y1461" i="5" s="1"/>
  <c r="X1453" i="5"/>
  <c r="Y1453" i="5" s="1"/>
  <c r="X1445" i="5"/>
  <c r="Y1445" i="5" s="1"/>
  <c r="X1437" i="5"/>
  <c r="Y1437" i="5" s="1"/>
  <c r="X1429" i="5"/>
  <c r="Y1429" i="5" s="1"/>
  <c r="X1421" i="5"/>
  <c r="Y1421" i="5" s="1"/>
  <c r="X1413" i="5"/>
  <c r="Y1413" i="5" s="1"/>
  <c r="X1405" i="5"/>
  <c r="Y1405" i="5" s="1"/>
  <c r="X1397" i="5"/>
  <c r="Y1397" i="5" s="1"/>
  <c r="X1389" i="5"/>
  <c r="Y1389" i="5" s="1"/>
  <c r="X1381" i="5"/>
  <c r="Y1381" i="5" s="1"/>
  <c r="X1373" i="5"/>
  <c r="Y1373" i="5" s="1"/>
  <c r="X1365" i="5"/>
  <c r="Y1365" i="5" s="1"/>
  <c r="X1357" i="5"/>
  <c r="Y1357" i="5" s="1"/>
  <c r="X1349" i="5"/>
  <c r="Y1349" i="5" s="1"/>
  <c r="X1341" i="5"/>
  <c r="Y1341" i="5" s="1"/>
  <c r="X1333" i="5"/>
  <c r="Y1333" i="5" s="1"/>
  <c r="X1325" i="5"/>
  <c r="Y1325" i="5" s="1"/>
  <c r="X1317" i="5"/>
  <c r="Y1317" i="5" s="1"/>
  <c r="X1309" i="5"/>
  <c r="Y1309" i="5" s="1"/>
  <c r="X1301" i="5"/>
  <c r="Y1301" i="5" s="1"/>
  <c r="X1293" i="5"/>
  <c r="Y1293" i="5" s="1"/>
  <c r="X1285" i="5"/>
  <c r="Y1285" i="5" s="1"/>
  <c r="X1277" i="5"/>
  <c r="Y1277" i="5" s="1"/>
  <c r="X1269" i="5"/>
  <c r="Y1269" i="5" s="1"/>
  <c r="X1261" i="5"/>
  <c r="Y1261" i="5" s="1"/>
  <c r="X1253" i="5"/>
  <c r="Y1253" i="5" s="1"/>
  <c r="X1245" i="5"/>
  <c r="Y1245" i="5" s="1"/>
  <c r="X1237" i="5"/>
  <c r="Y1237" i="5" s="1"/>
  <c r="X1229" i="5"/>
  <c r="Y1229" i="5" s="1"/>
  <c r="X1221" i="5"/>
  <c r="Y1221" i="5" s="1"/>
  <c r="X1213" i="5"/>
  <c r="Y1213" i="5" s="1"/>
  <c r="X1205" i="5"/>
  <c r="Y1205" i="5" s="1"/>
  <c r="X1197" i="5"/>
  <c r="Y1197" i="5" s="1"/>
  <c r="X1189" i="5"/>
  <c r="Y1189" i="5" s="1"/>
  <c r="X1181" i="5"/>
  <c r="Y1181" i="5" s="1"/>
  <c r="X1173" i="5"/>
  <c r="Y1173" i="5" s="1"/>
  <c r="X1165" i="5"/>
  <c r="Y1165" i="5" s="1"/>
  <c r="X1157" i="5"/>
  <c r="Y1157" i="5" s="1"/>
  <c r="X1149" i="5"/>
  <c r="Y1149" i="5" s="1"/>
  <c r="X1141" i="5"/>
  <c r="Y1141" i="5" s="1"/>
  <c r="X1133" i="5"/>
  <c r="Y1133" i="5" s="1"/>
  <c r="X1125" i="5"/>
  <c r="Y1125" i="5" s="1"/>
  <c r="X1117" i="5"/>
  <c r="Y1117" i="5" s="1"/>
  <c r="X1109" i="5"/>
  <c r="Y1109" i="5" s="1"/>
  <c r="X1101" i="5"/>
  <c r="Y1101" i="5" s="1"/>
  <c r="X1093" i="5"/>
  <c r="Y1093" i="5" s="1"/>
  <c r="X1085" i="5"/>
  <c r="Y1085" i="5" s="1"/>
  <c r="X1077" i="5"/>
  <c r="Y1077" i="5" s="1"/>
  <c r="X1069" i="5"/>
  <c r="Y1069" i="5" s="1"/>
  <c r="X1061" i="5"/>
  <c r="Y1061" i="5" s="1"/>
  <c r="X1053" i="5"/>
  <c r="Y1053" i="5" s="1"/>
  <c r="X1045" i="5"/>
  <c r="Y1045" i="5" s="1"/>
  <c r="X1037" i="5"/>
  <c r="Y1037" i="5" s="1"/>
  <c r="X1029" i="5"/>
  <c r="Y1029" i="5" s="1"/>
  <c r="X1021" i="5"/>
  <c r="Y1021" i="5" s="1"/>
  <c r="X1013" i="5"/>
  <c r="Y1013" i="5" s="1"/>
  <c r="X1005" i="5"/>
  <c r="Y1005" i="5" s="1"/>
  <c r="X997" i="5"/>
  <c r="Y997" i="5" s="1"/>
  <c r="X989" i="5"/>
  <c r="Y989" i="5" s="1"/>
  <c r="X981" i="5"/>
  <c r="Y981" i="5" s="1"/>
  <c r="X973" i="5"/>
  <c r="Y973" i="5" s="1"/>
  <c r="X965" i="5"/>
  <c r="Y965" i="5" s="1"/>
  <c r="X957" i="5"/>
  <c r="Y957" i="5" s="1"/>
  <c r="X949" i="5"/>
  <c r="Y949" i="5" s="1"/>
  <c r="X941" i="5"/>
  <c r="Y941" i="5" s="1"/>
  <c r="X933" i="5"/>
  <c r="Y933" i="5" s="1"/>
  <c r="X925" i="5"/>
  <c r="Y925" i="5" s="1"/>
  <c r="X917" i="5"/>
  <c r="Y917" i="5" s="1"/>
  <c r="X909" i="5"/>
  <c r="Y909" i="5" s="1"/>
  <c r="X901" i="5"/>
  <c r="Y901" i="5" s="1"/>
  <c r="X893" i="5"/>
  <c r="Y893" i="5" s="1"/>
  <c r="X885" i="5"/>
  <c r="Y885" i="5" s="1"/>
  <c r="X877" i="5"/>
  <c r="Y877" i="5" s="1"/>
  <c r="X869" i="5"/>
  <c r="Y869" i="5" s="1"/>
  <c r="X861" i="5"/>
  <c r="Y861" i="5" s="1"/>
  <c r="X853" i="5"/>
  <c r="Y853" i="5" s="1"/>
  <c r="X845" i="5"/>
  <c r="Y845" i="5" s="1"/>
  <c r="X837" i="5"/>
  <c r="Y837" i="5" s="1"/>
  <c r="X829" i="5"/>
  <c r="Y829" i="5" s="1"/>
  <c r="X821" i="5"/>
  <c r="Y821" i="5" s="1"/>
  <c r="X813" i="5"/>
  <c r="Y813" i="5" s="1"/>
  <c r="X805" i="5"/>
  <c r="Y805" i="5" s="1"/>
  <c r="X797" i="5"/>
  <c r="Y797" i="5" s="1"/>
  <c r="X789" i="5"/>
  <c r="Y789" i="5" s="1"/>
  <c r="X781" i="5"/>
  <c r="Y781" i="5" s="1"/>
  <c r="X773" i="5"/>
  <c r="Y773" i="5" s="1"/>
  <c r="X765" i="5"/>
  <c r="Y765" i="5" s="1"/>
  <c r="X757" i="5"/>
  <c r="Y757" i="5" s="1"/>
  <c r="X749" i="5"/>
  <c r="Y749" i="5" s="1"/>
  <c r="X741" i="5"/>
  <c r="Y741" i="5" s="1"/>
  <c r="X733" i="5"/>
  <c r="Y733" i="5" s="1"/>
  <c r="X725" i="5"/>
  <c r="Y725" i="5" s="1"/>
  <c r="X717" i="5"/>
  <c r="Y717" i="5" s="1"/>
  <c r="X709" i="5"/>
  <c r="Y709" i="5" s="1"/>
  <c r="X701" i="5"/>
  <c r="Y701" i="5" s="1"/>
  <c r="X693" i="5"/>
  <c r="Y693" i="5" s="1"/>
  <c r="X685" i="5"/>
  <c r="Y685" i="5" s="1"/>
  <c r="X677" i="5"/>
  <c r="Y677" i="5" s="1"/>
  <c r="X669" i="5"/>
  <c r="Y669" i="5" s="1"/>
  <c r="X661" i="5"/>
  <c r="Y661" i="5" s="1"/>
  <c r="X653" i="5"/>
  <c r="Y653" i="5" s="1"/>
  <c r="X645" i="5"/>
  <c r="Y645" i="5" s="1"/>
  <c r="X637" i="5"/>
  <c r="Y637" i="5" s="1"/>
  <c r="X629" i="5"/>
  <c r="Y629" i="5" s="1"/>
  <c r="X621" i="5"/>
  <c r="Y621" i="5" s="1"/>
  <c r="X613" i="5"/>
  <c r="Y613" i="5" s="1"/>
  <c r="X605" i="5"/>
  <c r="Y605" i="5" s="1"/>
  <c r="X597" i="5"/>
  <c r="Y597" i="5" s="1"/>
  <c r="X589" i="5"/>
  <c r="Y589" i="5" s="1"/>
  <c r="X581" i="5"/>
  <c r="Y581" i="5" s="1"/>
  <c r="X573" i="5"/>
  <c r="Y573" i="5" s="1"/>
  <c r="X565" i="5"/>
  <c r="Y565" i="5" s="1"/>
  <c r="X557" i="5"/>
  <c r="Y557" i="5" s="1"/>
  <c r="X549" i="5"/>
  <c r="Y549" i="5" s="1"/>
  <c r="X541" i="5"/>
  <c r="Y541" i="5" s="1"/>
  <c r="X533" i="5"/>
  <c r="Y533" i="5" s="1"/>
  <c r="X525" i="5"/>
  <c r="Y525" i="5" s="1"/>
  <c r="X517" i="5"/>
  <c r="Y517" i="5" s="1"/>
  <c r="X509" i="5"/>
  <c r="Y509" i="5" s="1"/>
  <c r="X501" i="5"/>
  <c r="Y501" i="5" s="1"/>
  <c r="X493" i="5"/>
  <c r="Y493" i="5" s="1"/>
  <c r="X485" i="5"/>
  <c r="Y485" i="5" s="1"/>
  <c r="X477" i="5"/>
  <c r="Y477" i="5" s="1"/>
  <c r="X469" i="5"/>
  <c r="Y469" i="5" s="1"/>
  <c r="X461" i="5"/>
  <c r="Y461" i="5" s="1"/>
  <c r="X453" i="5"/>
  <c r="Y453" i="5" s="1"/>
  <c r="X445" i="5"/>
  <c r="Y445" i="5" s="1"/>
  <c r="X437" i="5"/>
  <c r="Y437" i="5" s="1"/>
  <c r="X429" i="5"/>
  <c r="Y429" i="5" s="1"/>
  <c r="X421" i="5"/>
  <c r="Y421" i="5" s="1"/>
  <c r="X413" i="5"/>
  <c r="Y413" i="5" s="1"/>
  <c r="X405" i="5"/>
  <c r="Y405" i="5" s="1"/>
  <c r="X1983" i="5"/>
  <c r="Y1983" i="5" s="1"/>
  <c r="X1975" i="5"/>
  <c r="Y1975" i="5" s="1"/>
  <c r="X1967" i="5"/>
  <c r="Y1967" i="5" s="1"/>
  <c r="X1959" i="5"/>
  <c r="Y1959" i="5" s="1"/>
  <c r="X1951" i="5"/>
  <c r="Y1951" i="5" s="1"/>
  <c r="X1943" i="5"/>
  <c r="Y1943" i="5" s="1"/>
  <c r="X1935" i="5"/>
  <c r="Y1935" i="5" s="1"/>
  <c r="X1927" i="5"/>
  <c r="Y1927" i="5" s="1"/>
  <c r="X1919" i="5"/>
  <c r="Y1919" i="5" s="1"/>
  <c r="X1911" i="5"/>
  <c r="Y1911" i="5" s="1"/>
  <c r="X1903" i="5"/>
  <c r="Y1903" i="5" s="1"/>
  <c r="X1895" i="5"/>
  <c r="Y1895" i="5" s="1"/>
  <c r="X1887" i="5"/>
  <c r="Y1887" i="5" s="1"/>
  <c r="X1879" i="5"/>
  <c r="Y1879" i="5" s="1"/>
  <c r="X1871" i="5"/>
  <c r="Y1871" i="5" s="1"/>
  <c r="X1863" i="5"/>
  <c r="Y1863" i="5" s="1"/>
  <c r="X1855" i="5"/>
  <c r="Y1855" i="5" s="1"/>
  <c r="X1847" i="5"/>
  <c r="Y1847" i="5" s="1"/>
  <c r="X1839" i="5"/>
  <c r="Y1839" i="5" s="1"/>
  <c r="X1831" i="5"/>
  <c r="Y1831" i="5" s="1"/>
  <c r="X1823" i="5"/>
  <c r="Y1823" i="5" s="1"/>
  <c r="X1815" i="5"/>
  <c r="Y1815" i="5" s="1"/>
  <c r="X1807" i="5"/>
  <c r="Y1807" i="5" s="1"/>
  <c r="X1799" i="5"/>
  <c r="Y1799" i="5" s="1"/>
  <c r="X1791" i="5"/>
  <c r="Y1791" i="5" s="1"/>
  <c r="X1783" i="5"/>
  <c r="Y1783" i="5" s="1"/>
  <c r="X1775" i="5"/>
  <c r="Y1775" i="5" s="1"/>
  <c r="X1767" i="5"/>
  <c r="Y1767" i="5" s="1"/>
  <c r="X1759" i="5"/>
  <c r="Y1759" i="5" s="1"/>
  <c r="X1751" i="5"/>
  <c r="Y1751" i="5" s="1"/>
  <c r="X1743" i="5"/>
  <c r="Y1743" i="5" s="1"/>
  <c r="X1735" i="5"/>
  <c r="Y1735" i="5" s="1"/>
  <c r="X1727" i="5"/>
  <c r="Y1727" i="5" s="1"/>
  <c r="X1719" i="5"/>
  <c r="Y1719" i="5" s="1"/>
  <c r="X1711" i="5"/>
  <c r="Y1711" i="5" s="1"/>
  <c r="X1703" i="5"/>
  <c r="Y1703" i="5" s="1"/>
  <c r="X1695" i="5"/>
  <c r="Y1695" i="5" s="1"/>
  <c r="X1687" i="5"/>
  <c r="Y1687" i="5" s="1"/>
  <c r="X1679" i="5"/>
  <c r="Y1679" i="5" s="1"/>
  <c r="X1671" i="5"/>
  <c r="Y1671" i="5" s="1"/>
  <c r="X1663" i="5"/>
  <c r="Y1663" i="5" s="1"/>
  <c r="X1655" i="5"/>
  <c r="Y1655" i="5" s="1"/>
  <c r="X1647" i="5"/>
  <c r="Y1647" i="5" s="1"/>
  <c r="X1639" i="5"/>
  <c r="Y1639" i="5" s="1"/>
  <c r="X1631" i="5"/>
  <c r="Y1631" i="5" s="1"/>
  <c r="X1623" i="5"/>
  <c r="Y1623" i="5" s="1"/>
  <c r="X1615" i="5"/>
  <c r="Y1615" i="5" s="1"/>
  <c r="X1607" i="5"/>
  <c r="Y1607" i="5" s="1"/>
  <c r="X1599" i="5"/>
  <c r="Y1599" i="5" s="1"/>
  <c r="X1591" i="5"/>
  <c r="Y1591" i="5" s="1"/>
  <c r="X1583" i="5"/>
  <c r="Y1583" i="5" s="1"/>
  <c r="X1575" i="5"/>
  <c r="Y1575" i="5" s="1"/>
  <c r="X1567" i="5"/>
  <c r="Y1567" i="5" s="1"/>
  <c r="X1559" i="5"/>
  <c r="Y1559" i="5" s="1"/>
  <c r="X1551" i="5"/>
  <c r="Y1551" i="5" s="1"/>
  <c r="X1543" i="5"/>
  <c r="Y1543" i="5" s="1"/>
  <c r="X1535" i="5"/>
  <c r="Y1535" i="5" s="1"/>
  <c r="X1527" i="5"/>
  <c r="Y1527" i="5" s="1"/>
  <c r="X1519" i="5"/>
  <c r="Y1519" i="5" s="1"/>
  <c r="X1511" i="5"/>
  <c r="Y1511" i="5" s="1"/>
  <c r="X1503" i="5"/>
  <c r="Y1503" i="5" s="1"/>
  <c r="X1495" i="5"/>
  <c r="Y1495" i="5" s="1"/>
  <c r="X1487" i="5"/>
  <c r="Y1487" i="5" s="1"/>
  <c r="X1479" i="5"/>
  <c r="Y1479" i="5" s="1"/>
  <c r="X1471" i="5"/>
  <c r="Y1471" i="5" s="1"/>
  <c r="X1463" i="5"/>
  <c r="Y1463" i="5" s="1"/>
  <c r="X1455" i="5"/>
  <c r="Y1455" i="5" s="1"/>
  <c r="X1447" i="5"/>
  <c r="Y1447" i="5" s="1"/>
  <c r="X1439" i="5"/>
  <c r="Y1439" i="5" s="1"/>
  <c r="X1431" i="5"/>
  <c r="Y1431" i="5" s="1"/>
  <c r="X1423" i="5"/>
  <c r="Y1423" i="5" s="1"/>
  <c r="X1415" i="5"/>
  <c r="Y1415" i="5" s="1"/>
  <c r="X1407" i="5"/>
  <c r="Y1407" i="5" s="1"/>
  <c r="X1399" i="5"/>
  <c r="Y1399" i="5" s="1"/>
  <c r="X1391" i="5"/>
  <c r="Y1391" i="5" s="1"/>
  <c r="X1383" i="5"/>
  <c r="Y1383" i="5" s="1"/>
  <c r="X1375" i="5"/>
  <c r="Y1375" i="5" s="1"/>
  <c r="X1367" i="5"/>
  <c r="Y1367" i="5" s="1"/>
  <c r="X1359" i="5"/>
  <c r="Y1359" i="5" s="1"/>
  <c r="X1351" i="5"/>
  <c r="Y1351" i="5" s="1"/>
  <c r="X1343" i="5"/>
  <c r="Y1343" i="5" s="1"/>
  <c r="X1335" i="5"/>
  <c r="Y1335" i="5" s="1"/>
  <c r="X1327" i="5"/>
  <c r="Y1327" i="5" s="1"/>
  <c r="X1319" i="5"/>
  <c r="Y1319" i="5" s="1"/>
  <c r="X1311" i="5"/>
  <c r="Y1311" i="5" s="1"/>
  <c r="X1303" i="5"/>
  <c r="Y1303" i="5" s="1"/>
  <c r="X1295" i="5"/>
  <c r="Y1295" i="5" s="1"/>
  <c r="X1287" i="5"/>
  <c r="Y1287" i="5" s="1"/>
  <c r="X1279" i="5"/>
  <c r="Y1279" i="5" s="1"/>
  <c r="X1271" i="5"/>
  <c r="Y1271" i="5" s="1"/>
  <c r="X1263" i="5"/>
  <c r="Y1263" i="5" s="1"/>
  <c r="X1255" i="5"/>
  <c r="Y1255" i="5" s="1"/>
  <c r="X1247" i="5"/>
  <c r="Y1247" i="5" s="1"/>
  <c r="X1239" i="5"/>
  <c r="Y1239" i="5" s="1"/>
  <c r="X1231" i="5"/>
  <c r="Y1231" i="5" s="1"/>
  <c r="X1223" i="5"/>
  <c r="Y1223" i="5" s="1"/>
  <c r="X1215" i="5"/>
  <c r="Y1215" i="5" s="1"/>
  <c r="X1207" i="5"/>
  <c r="Y1207" i="5" s="1"/>
  <c r="X1199" i="5"/>
  <c r="Y1199" i="5" s="1"/>
  <c r="X1191" i="5"/>
  <c r="Y1191" i="5" s="1"/>
  <c r="X1183" i="5"/>
  <c r="Y1183" i="5" s="1"/>
  <c r="X1175" i="5"/>
  <c r="Y1175" i="5" s="1"/>
  <c r="X1167" i="5"/>
  <c r="Y1167" i="5" s="1"/>
  <c r="X1159" i="5"/>
  <c r="Y1159" i="5" s="1"/>
  <c r="X1151" i="5"/>
  <c r="Y1151" i="5" s="1"/>
  <c r="X1143" i="5"/>
  <c r="Y1143" i="5" s="1"/>
  <c r="X1135" i="5"/>
  <c r="Y1135" i="5" s="1"/>
  <c r="X1127" i="5"/>
  <c r="Y1127" i="5" s="1"/>
  <c r="X1119" i="5"/>
  <c r="Y1119" i="5" s="1"/>
  <c r="X1111" i="5"/>
  <c r="Y1111" i="5" s="1"/>
  <c r="X1103" i="5"/>
  <c r="Y1103" i="5" s="1"/>
  <c r="X1095" i="5"/>
  <c r="Y1095" i="5" s="1"/>
  <c r="X1087" i="5"/>
  <c r="Y1087" i="5" s="1"/>
  <c r="X1079" i="5"/>
  <c r="Y1079" i="5" s="1"/>
  <c r="X1071" i="5"/>
  <c r="Y1071" i="5" s="1"/>
  <c r="X1063" i="5"/>
  <c r="Y1063" i="5" s="1"/>
  <c r="X1055" i="5"/>
  <c r="Y1055" i="5" s="1"/>
  <c r="X1047" i="5"/>
  <c r="Y1047" i="5" s="1"/>
  <c r="X1039" i="5"/>
  <c r="Y1039" i="5" s="1"/>
  <c r="X1031" i="5"/>
  <c r="Y1031" i="5" s="1"/>
  <c r="X1023" i="5"/>
  <c r="Y1023" i="5" s="1"/>
  <c r="X1015" i="5"/>
  <c r="Y1015" i="5" s="1"/>
  <c r="X1007" i="5"/>
  <c r="Y1007" i="5" s="1"/>
  <c r="X999" i="5"/>
  <c r="Y999" i="5" s="1"/>
  <c r="X991" i="5"/>
  <c r="Y991" i="5" s="1"/>
  <c r="X983" i="5"/>
  <c r="Y983" i="5" s="1"/>
  <c r="X975" i="5"/>
  <c r="Y975" i="5" s="1"/>
  <c r="X967" i="5"/>
  <c r="Y967" i="5" s="1"/>
  <c r="X959" i="5"/>
  <c r="Y959" i="5" s="1"/>
  <c r="X951" i="5"/>
  <c r="Y951" i="5" s="1"/>
  <c r="X943" i="5"/>
  <c r="Y943" i="5" s="1"/>
  <c r="X935" i="5"/>
  <c r="Y935" i="5" s="1"/>
  <c r="X927" i="5"/>
  <c r="Y927" i="5" s="1"/>
  <c r="X919" i="5"/>
  <c r="Y919" i="5" s="1"/>
  <c r="X911" i="5"/>
  <c r="Y911" i="5" s="1"/>
  <c r="X903" i="5"/>
  <c r="Y903" i="5" s="1"/>
  <c r="X895" i="5"/>
  <c r="Y895" i="5" s="1"/>
  <c r="X887" i="5"/>
  <c r="Y887" i="5" s="1"/>
  <c r="X879" i="5"/>
  <c r="Y879" i="5" s="1"/>
  <c r="X871" i="5"/>
  <c r="Y871" i="5" s="1"/>
  <c r="X863" i="5"/>
  <c r="Y863" i="5" s="1"/>
  <c r="X855" i="5"/>
  <c r="Y855" i="5" s="1"/>
  <c r="X847" i="5"/>
  <c r="Y847" i="5" s="1"/>
  <c r="X839" i="5"/>
  <c r="Y839" i="5" s="1"/>
  <c r="X831" i="5"/>
  <c r="Y831" i="5" s="1"/>
  <c r="X823" i="5"/>
  <c r="Y823" i="5" s="1"/>
  <c r="X815" i="5"/>
  <c r="Y815" i="5" s="1"/>
  <c r="X807" i="5"/>
  <c r="Y807" i="5" s="1"/>
  <c r="X799" i="5"/>
  <c r="Y799" i="5" s="1"/>
  <c r="X791" i="5"/>
  <c r="Y791" i="5" s="1"/>
  <c r="X783" i="5"/>
  <c r="Y783" i="5" s="1"/>
  <c r="X775" i="5"/>
  <c r="Y775" i="5" s="1"/>
  <c r="X767" i="5"/>
  <c r="Y767" i="5" s="1"/>
  <c r="X759" i="5"/>
  <c r="Y759" i="5" s="1"/>
  <c r="X751" i="5"/>
  <c r="Y751" i="5" s="1"/>
  <c r="X743" i="5"/>
  <c r="Y743" i="5" s="1"/>
  <c r="X735" i="5"/>
  <c r="Y735" i="5" s="1"/>
  <c r="X727" i="5"/>
  <c r="Y727" i="5" s="1"/>
  <c r="X719" i="5"/>
  <c r="Y719" i="5" s="1"/>
  <c r="X711" i="5"/>
  <c r="Y711" i="5" s="1"/>
  <c r="X703" i="5"/>
  <c r="Y703" i="5" s="1"/>
  <c r="X695" i="5"/>
  <c r="Y695" i="5" s="1"/>
  <c r="X687" i="5"/>
  <c r="Y687" i="5" s="1"/>
  <c r="X679" i="5"/>
  <c r="Y679" i="5" s="1"/>
  <c r="X671" i="5"/>
  <c r="Y671" i="5" s="1"/>
  <c r="X663" i="5"/>
  <c r="Y663" i="5" s="1"/>
  <c r="X655" i="5"/>
  <c r="Y655" i="5" s="1"/>
  <c r="X647" i="5"/>
  <c r="Y647" i="5" s="1"/>
  <c r="X639" i="5"/>
  <c r="Y639" i="5" s="1"/>
  <c r="X631" i="5"/>
  <c r="Y631" i="5" s="1"/>
  <c r="X623" i="5"/>
  <c r="Y623" i="5" s="1"/>
  <c r="X615" i="5"/>
  <c r="Y615" i="5" s="1"/>
  <c r="X607" i="5"/>
  <c r="Y607" i="5" s="1"/>
  <c r="X599" i="5"/>
  <c r="Y599" i="5" s="1"/>
  <c r="X591" i="5"/>
  <c r="Y591" i="5" s="1"/>
  <c r="X583" i="5"/>
  <c r="Y583" i="5" s="1"/>
  <c r="X575" i="5"/>
  <c r="Y575" i="5" s="1"/>
  <c r="X567" i="5"/>
  <c r="Y567" i="5" s="1"/>
  <c r="X559" i="5"/>
  <c r="Y559" i="5" s="1"/>
  <c r="X551" i="5"/>
  <c r="Y551" i="5" s="1"/>
  <c r="X543" i="5"/>
  <c r="Y543" i="5" s="1"/>
  <c r="X535" i="5"/>
  <c r="Y535" i="5" s="1"/>
  <c r="X527" i="5"/>
  <c r="Y527" i="5" s="1"/>
  <c r="X519" i="5"/>
  <c r="Y519" i="5" s="1"/>
  <c r="X511" i="5"/>
  <c r="Y511" i="5" s="1"/>
  <c r="X503" i="5"/>
  <c r="Y503" i="5" s="1"/>
  <c r="X495" i="5"/>
  <c r="Y495" i="5" s="1"/>
  <c r="X487" i="5"/>
  <c r="Y487" i="5" s="1"/>
  <c r="X479" i="5"/>
  <c r="Y479" i="5" s="1"/>
  <c r="X471" i="5"/>
  <c r="Y471" i="5" s="1"/>
  <c r="X463" i="5"/>
  <c r="Y463" i="5" s="1"/>
  <c r="X455" i="5"/>
  <c r="Y455" i="5" s="1"/>
  <c r="X447" i="5"/>
  <c r="Y447" i="5" s="1"/>
  <c r="X439" i="5"/>
  <c r="Y439" i="5" s="1"/>
  <c r="X431" i="5"/>
  <c r="Y431" i="5" s="1"/>
  <c r="X423" i="5"/>
  <c r="Y423" i="5" s="1"/>
  <c r="X415" i="5"/>
  <c r="Y415" i="5" s="1"/>
  <c r="X407" i="5"/>
  <c r="Y407" i="5" s="1"/>
  <c r="X399" i="5"/>
  <c r="Y399" i="5" s="1"/>
  <c r="X391" i="5"/>
  <c r="Y391" i="5" s="1"/>
  <c r="X383" i="5"/>
  <c r="Y383" i="5" s="1"/>
  <c r="X375" i="5"/>
  <c r="Y375" i="5" s="1"/>
  <c r="X367" i="5"/>
  <c r="Y367" i="5" s="1"/>
  <c r="X359" i="5"/>
  <c r="Y359" i="5" s="1"/>
  <c r="X351" i="5"/>
  <c r="Y351" i="5" s="1"/>
  <c r="X343" i="5"/>
  <c r="Y343" i="5" s="1"/>
  <c r="X335" i="5"/>
  <c r="Y335" i="5" s="1"/>
  <c r="X327" i="5"/>
  <c r="Y327" i="5" s="1"/>
  <c r="X319" i="5"/>
  <c r="Y319" i="5" s="1"/>
  <c r="X311" i="5"/>
  <c r="Y311" i="5" s="1"/>
  <c r="X303" i="5"/>
  <c r="Y303" i="5" s="1"/>
  <c r="X295" i="5"/>
  <c r="Y295" i="5" s="1"/>
  <c r="X287" i="5"/>
  <c r="Y287" i="5" s="1"/>
  <c r="X279" i="5"/>
  <c r="Y279" i="5" s="1"/>
  <c r="X271" i="5"/>
  <c r="Y271" i="5" s="1"/>
  <c r="X263" i="5"/>
  <c r="Y263" i="5" s="1"/>
  <c r="X255" i="5"/>
  <c r="Y255" i="5" s="1"/>
  <c r="X247" i="5"/>
  <c r="Y247" i="5" s="1"/>
  <c r="X239" i="5"/>
  <c r="Y239" i="5" s="1"/>
  <c r="X231" i="5"/>
  <c r="Y231" i="5" s="1"/>
  <c r="X223" i="5"/>
  <c r="Y223" i="5" s="1"/>
  <c r="X215" i="5"/>
  <c r="Y215" i="5" s="1"/>
  <c r="X207" i="5"/>
  <c r="Y207" i="5" s="1"/>
  <c r="X199" i="5"/>
  <c r="Y199" i="5" s="1"/>
  <c r="X191" i="5"/>
  <c r="Y191" i="5" s="1"/>
  <c r="X183" i="5"/>
  <c r="Y183" i="5" s="1"/>
  <c r="X175" i="5"/>
  <c r="Y175" i="5" s="1"/>
  <c r="X167" i="5"/>
  <c r="Y167" i="5" s="1"/>
  <c r="X159" i="5"/>
  <c r="Y159" i="5" s="1"/>
  <c r="X151" i="5"/>
  <c r="Y151" i="5" s="1"/>
  <c r="X143" i="5"/>
  <c r="Y143" i="5" s="1"/>
  <c r="X135" i="5"/>
  <c r="Y135" i="5" s="1"/>
  <c r="X127" i="5"/>
  <c r="Y127" i="5" s="1"/>
  <c r="X119" i="5"/>
  <c r="Y119" i="5" s="1"/>
  <c r="X111" i="5"/>
  <c r="Y111" i="5" s="1"/>
  <c r="X103" i="5"/>
  <c r="Y103" i="5" s="1"/>
  <c r="X95" i="5"/>
  <c r="Y95" i="5" s="1"/>
  <c r="X87" i="5"/>
  <c r="Y87" i="5" s="1"/>
  <c r="X79" i="5"/>
  <c r="Y79" i="5" s="1"/>
  <c r="X71" i="5"/>
  <c r="Y71" i="5" s="1"/>
  <c r="X63" i="5"/>
  <c r="Y63" i="5" s="1"/>
  <c r="X55" i="5"/>
  <c r="Y55" i="5" s="1"/>
  <c r="X47" i="5"/>
  <c r="Y47" i="5" s="1"/>
  <c r="X39" i="5"/>
  <c r="Y39" i="5" s="1"/>
  <c r="X31" i="5"/>
  <c r="Y31" i="5" s="1"/>
  <c r="X23" i="5"/>
  <c r="Y23" i="5" s="1"/>
  <c r="X15" i="5"/>
  <c r="X7" i="5"/>
  <c r="X1170" i="5"/>
  <c r="Y1170" i="5" s="1"/>
  <c r="X1162" i="5"/>
  <c r="Y1162" i="5" s="1"/>
  <c r="X1154" i="5"/>
  <c r="Y1154" i="5" s="1"/>
  <c r="X1146" i="5"/>
  <c r="Y1146" i="5" s="1"/>
  <c r="X1138" i="5"/>
  <c r="Y1138" i="5" s="1"/>
  <c r="X1130" i="5"/>
  <c r="Y1130" i="5" s="1"/>
  <c r="X1122" i="5"/>
  <c r="Y1122" i="5" s="1"/>
  <c r="X1114" i="5"/>
  <c r="Y1114" i="5" s="1"/>
  <c r="X1106" i="5"/>
  <c r="Y1106" i="5" s="1"/>
  <c r="X1098" i="5"/>
  <c r="Y1098" i="5" s="1"/>
  <c r="X1090" i="5"/>
  <c r="Y1090" i="5" s="1"/>
  <c r="X1082" i="5"/>
  <c r="Y1082" i="5" s="1"/>
  <c r="X1074" i="5"/>
  <c r="Y1074" i="5" s="1"/>
  <c r="X1066" i="5"/>
  <c r="Y1066" i="5" s="1"/>
  <c r="X1058" i="5"/>
  <c r="Y1058" i="5" s="1"/>
  <c r="X1050" i="5"/>
  <c r="Y1050" i="5" s="1"/>
  <c r="X1042" i="5"/>
  <c r="Y1042" i="5" s="1"/>
  <c r="X1034" i="5"/>
  <c r="Y1034" i="5" s="1"/>
  <c r="X1026" i="5"/>
  <c r="Y1026" i="5" s="1"/>
  <c r="X1018" i="5"/>
  <c r="Y1018" i="5" s="1"/>
  <c r="X1010" i="5"/>
  <c r="Y1010" i="5" s="1"/>
  <c r="X1002" i="5"/>
  <c r="Y1002" i="5" s="1"/>
  <c r="X994" i="5"/>
  <c r="Y994" i="5" s="1"/>
  <c r="X986" i="5"/>
  <c r="Y986" i="5" s="1"/>
  <c r="X978" i="5"/>
  <c r="Y978" i="5" s="1"/>
  <c r="X970" i="5"/>
  <c r="Y970" i="5" s="1"/>
  <c r="X962" i="5"/>
  <c r="Y962" i="5" s="1"/>
  <c r="X954" i="5"/>
  <c r="Y954" i="5" s="1"/>
  <c r="X946" i="5"/>
  <c r="Y946" i="5" s="1"/>
  <c r="X938" i="5"/>
  <c r="Y938" i="5" s="1"/>
  <c r="X930" i="5"/>
  <c r="Y930" i="5" s="1"/>
  <c r="X922" i="5"/>
  <c r="Y922" i="5" s="1"/>
  <c r="X914" i="5"/>
  <c r="Y914" i="5" s="1"/>
  <c r="X906" i="5"/>
  <c r="Y906" i="5" s="1"/>
  <c r="X898" i="5"/>
  <c r="Y898" i="5" s="1"/>
  <c r="X890" i="5"/>
  <c r="Y890" i="5" s="1"/>
  <c r="X882" i="5"/>
  <c r="Y882" i="5" s="1"/>
  <c r="X874" i="5"/>
  <c r="Y874" i="5" s="1"/>
  <c r="X866" i="5"/>
  <c r="Y866" i="5" s="1"/>
  <c r="X858" i="5"/>
  <c r="Y858" i="5" s="1"/>
  <c r="X850" i="5"/>
  <c r="Y850" i="5" s="1"/>
  <c r="X842" i="5"/>
  <c r="Y842" i="5" s="1"/>
  <c r="X834" i="5"/>
  <c r="Y834" i="5" s="1"/>
  <c r="X826" i="5"/>
  <c r="Y826" i="5" s="1"/>
  <c r="X818" i="5"/>
  <c r="Y818" i="5" s="1"/>
  <c r="X810" i="5"/>
  <c r="Y810" i="5" s="1"/>
  <c r="X802" i="5"/>
  <c r="Y802" i="5" s="1"/>
  <c r="X794" i="5"/>
  <c r="Y794" i="5" s="1"/>
  <c r="X786" i="5"/>
  <c r="Y786" i="5" s="1"/>
  <c r="X778" i="5"/>
  <c r="Y778" i="5" s="1"/>
  <c r="X770" i="5"/>
  <c r="Y770" i="5" s="1"/>
  <c r="X762" i="5"/>
  <c r="Y762" i="5" s="1"/>
  <c r="X754" i="5"/>
  <c r="Y754" i="5" s="1"/>
  <c r="X746" i="5"/>
  <c r="Y746" i="5" s="1"/>
  <c r="X738" i="5"/>
  <c r="Y738" i="5" s="1"/>
  <c r="X730" i="5"/>
  <c r="Y730" i="5" s="1"/>
  <c r="X722" i="5"/>
  <c r="Y722" i="5" s="1"/>
  <c r="X714" i="5"/>
  <c r="Y714" i="5" s="1"/>
  <c r="X706" i="5"/>
  <c r="Y706" i="5" s="1"/>
  <c r="X698" i="5"/>
  <c r="Y698" i="5" s="1"/>
  <c r="X690" i="5"/>
  <c r="Y690" i="5" s="1"/>
  <c r="X682" i="5"/>
  <c r="Y682" i="5" s="1"/>
  <c r="X397" i="5"/>
  <c r="Y397" i="5" s="1"/>
  <c r="X389" i="5"/>
  <c r="Y389" i="5" s="1"/>
  <c r="X381" i="5"/>
  <c r="Y381" i="5" s="1"/>
  <c r="X373" i="5"/>
  <c r="Y373" i="5" s="1"/>
  <c r="X365" i="5"/>
  <c r="Y365" i="5" s="1"/>
  <c r="X357" i="5"/>
  <c r="Y357" i="5" s="1"/>
  <c r="X349" i="5"/>
  <c r="Y349" i="5" s="1"/>
  <c r="X341" i="5"/>
  <c r="Y341" i="5" s="1"/>
  <c r="X333" i="5"/>
  <c r="Y333" i="5" s="1"/>
  <c r="X325" i="5"/>
  <c r="Y325" i="5" s="1"/>
  <c r="X317" i="5"/>
  <c r="Y317" i="5" s="1"/>
  <c r="X309" i="5"/>
  <c r="Y309" i="5" s="1"/>
  <c r="X301" i="5"/>
  <c r="Y301" i="5" s="1"/>
  <c r="X293" i="5"/>
  <c r="Y293" i="5" s="1"/>
  <c r="X285" i="5"/>
  <c r="Y285" i="5" s="1"/>
  <c r="X277" i="5"/>
  <c r="Y277" i="5" s="1"/>
  <c r="X269" i="5"/>
  <c r="Y269" i="5" s="1"/>
  <c r="X261" i="5"/>
  <c r="Y261" i="5" s="1"/>
  <c r="X253" i="5"/>
  <c r="Y253" i="5" s="1"/>
  <c r="X245" i="5"/>
  <c r="Y245" i="5" s="1"/>
  <c r="X237" i="5"/>
  <c r="Y237" i="5" s="1"/>
  <c r="X229" i="5"/>
  <c r="Y229" i="5" s="1"/>
  <c r="X221" i="5"/>
  <c r="Y221" i="5" s="1"/>
  <c r="X213" i="5"/>
  <c r="Y213" i="5" s="1"/>
  <c r="X205" i="5"/>
  <c r="Y205" i="5" s="1"/>
  <c r="X197" i="5"/>
  <c r="Y197" i="5" s="1"/>
  <c r="X189" i="5"/>
  <c r="Y189" i="5" s="1"/>
  <c r="X181" i="5"/>
  <c r="Y181" i="5" s="1"/>
  <c r="X173" i="5"/>
  <c r="Y173" i="5" s="1"/>
  <c r="X165" i="5"/>
  <c r="Y165" i="5" s="1"/>
  <c r="X157" i="5"/>
  <c r="Y157" i="5" s="1"/>
  <c r="X149" i="5"/>
  <c r="Y149" i="5" s="1"/>
  <c r="X141" i="5"/>
  <c r="Y141" i="5" s="1"/>
  <c r="X133" i="5"/>
  <c r="Y133" i="5" s="1"/>
  <c r="X125" i="5"/>
  <c r="Y125" i="5" s="1"/>
  <c r="X117" i="5"/>
  <c r="Y117" i="5" s="1"/>
  <c r="X109" i="5"/>
  <c r="Y109" i="5" s="1"/>
  <c r="X101" i="5"/>
  <c r="Y101" i="5" s="1"/>
  <c r="X93" i="5"/>
  <c r="Y93" i="5" s="1"/>
  <c r="X85" i="5"/>
  <c r="Y85" i="5" s="1"/>
  <c r="X77" i="5"/>
  <c r="Y77" i="5" s="1"/>
  <c r="X69" i="5"/>
  <c r="Y69" i="5" s="1"/>
  <c r="X61" i="5"/>
  <c r="Y61" i="5" s="1"/>
  <c r="X53" i="5"/>
  <c r="Y53" i="5" s="1"/>
  <c r="X45" i="5"/>
  <c r="Y45" i="5" s="1"/>
  <c r="X37" i="5"/>
  <c r="Y37" i="5" s="1"/>
  <c r="X29" i="5"/>
  <c r="Y29" i="5" s="1"/>
  <c r="X21" i="5"/>
  <c r="Y21" i="5" s="1"/>
  <c r="X13" i="5"/>
  <c r="Y13" i="5" s="1"/>
  <c r="X5" i="5"/>
  <c r="X674" i="5"/>
  <c r="Y674" i="5" s="1"/>
  <c r="X666" i="5"/>
  <c r="Y666" i="5" s="1"/>
  <c r="X658" i="5"/>
  <c r="Y658" i="5" s="1"/>
  <c r="X650" i="5"/>
  <c r="Y650" i="5" s="1"/>
  <c r="X642" i="5"/>
  <c r="Y642" i="5" s="1"/>
  <c r="X634" i="5"/>
  <c r="Y634" i="5" s="1"/>
  <c r="X626" i="5"/>
  <c r="Y626" i="5" s="1"/>
  <c r="X618" i="5"/>
  <c r="Y618" i="5" s="1"/>
  <c r="X610" i="5"/>
  <c r="Y610" i="5" s="1"/>
  <c r="X602" i="5"/>
  <c r="Y602" i="5" s="1"/>
  <c r="X594" i="5"/>
  <c r="Y594" i="5" s="1"/>
  <c r="X586" i="5"/>
  <c r="Y586" i="5" s="1"/>
  <c r="X578" i="5"/>
  <c r="Y578" i="5" s="1"/>
  <c r="X570" i="5"/>
  <c r="Y570" i="5" s="1"/>
  <c r="X562" i="5"/>
  <c r="Y562" i="5" s="1"/>
  <c r="X554" i="5"/>
  <c r="Y554" i="5" s="1"/>
  <c r="X546" i="5"/>
  <c r="Y546" i="5" s="1"/>
  <c r="X538" i="5"/>
  <c r="Y538" i="5" s="1"/>
  <c r="X530" i="5"/>
  <c r="Y530" i="5" s="1"/>
  <c r="X522" i="5"/>
  <c r="Y522" i="5" s="1"/>
  <c r="X514" i="5"/>
  <c r="Y514" i="5" s="1"/>
  <c r="X506" i="5"/>
  <c r="Y506" i="5" s="1"/>
  <c r="X498" i="5"/>
  <c r="Y498" i="5" s="1"/>
  <c r="X490" i="5"/>
  <c r="Y490" i="5" s="1"/>
  <c r="X482" i="5"/>
  <c r="Y482" i="5" s="1"/>
  <c r="X474" i="5"/>
  <c r="Y474" i="5" s="1"/>
  <c r="X466" i="5"/>
  <c r="Y466" i="5" s="1"/>
  <c r="X458" i="5"/>
  <c r="Y458" i="5" s="1"/>
  <c r="X450" i="5"/>
  <c r="Y450" i="5" s="1"/>
  <c r="X442" i="5"/>
  <c r="Y442" i="5" s="1"/>
  <c r="X434" i="5"/>
  <c r="Y434" i="5" s="1"/>
  <c r="X426" i="5"/>
  <c r="Y426" i="5" s="1"/>
  <c r="X418" i="5"/>
  <c r="Y418" i="5" s="1"/>
  <c r="X410" i="5"/>
  <c r="Y410" i="5" s="1"/>
  <c r="X402" i="5"/>
  <c r="Y402" i="5" s="1"/>
  <c r="X394" i="5"/>
  <c r="Y394" i="5" s="1"/>
  <c r="X386" i="5"/>
  <c r="Y386" i="5" s="1"/>
  <c r="X378" i="5"/>
  <c r="Y378" i="5" s="1"/>
  <c r="X370" i="5"/>
  <c r="Y370" i="5" s="1"/>
  <c r="X362" i="5"/>
  <c r="Y362" i="5" s="1"/>
  <c r="X354" i="5"/>
  <c r="Y354" i="5" s="1"/>
  <c r="X346" i="5"/>
  <c r="Y346" i="5" s="1"/>
  <c r="X338" i="5"/>
  <c r="Y338" i="5" s="1"/>
  <c r="X330" i="5"/>
  <c r="Y330" i="5" s="1"/>
  <c r="X322" i="5"/>
  <c r="Y322" i="5" s="1"/>
  <c r="X314" i="5"/>
  <c r="Y314" i="5" s="1"/>
  <c r="X306" i="5"/>
  <c r="Y306" i="5" s="1"/>
  <c r="X298" i="5"/>
  <c r="Y298" i="5" s="1"/>
  <c r="X290" i="5"/>
  <c r="Y290" i="5" s="1"/>
  <c r="X282" i="5"/>
  <c r="Y282" i="5" s="1"/>
  <c r="X274" i="5"/>
  <c r="Y274" i="5" s="1"/>
  <c r="X266" i="5"/>
  <c r="Y266" i="5" s="1"/>
  <c r="X258" i="5"/>
  <c r="Y258" i="5" s="1"/>
  <c r="X250" i="5"/>
  <c r="Y250" i="5" s="1"/>
  <c r="X242" i="5"/>
  <c r="Y242" i="5" s="1"/>
  <c r="X234" i="5"/>
  <c r="Y234" i="5" s="1"/>
  <c r="X226" i="5"/>
  <c r="Y226" i="5" s="1"/>
  <c r="X218" i="5"/>
  <c r="Y218" i="5" s="1"/>
  <c r="X210" i="5"/>
  <c r="Y210" i="5" s="1"/>
  <c r="X202" i="5"/>
  <c r="Y202" i="5" s="1"/>
  <c r="X194" i="5"/>
  <c r="Y194" i="5" s="1"/>
  <c r="X186" i="5"/>
  <c r="Y186" i="5" s="1"/>
  <c r="X178" i="5"/>
  <c r="Y178" i="5" s="1"/>
  <c r="X170" i="5"/>
  <c r="Y170" i="5" s="1"/>
  <c r="X162" i="5"/>
  <c r="Y162" i="5" s="1"/>
  <c r="X154" i="5"/>
  <c r="Y154" i="5" s="1"/>
  <c r="X146" i="5"/>
  <c r="Y146" i="5" s="1"/>
  <c r="X138" i="5"/>
  <c r="Y138" i="5" s="1"/>
  <c r="X130" i="5"/>
  <c r="Y130" i="5" s="1"/>
  <c r="X122" i="5"/>
  <c r="Y122" i="5" s="1"/>
  <c r="X114" i="5"/>
  <c r="Y114" i="5" s="1"/>
  <c r="X106" i="5"/>
  <c r="Y106" i="5" s="1"/>
  <c r="X98" i="5"/>
  <c r="Y98" i="5" s="1"/>
  <c r="X90" i="5"/>
  <c r="Y90" i="5" s="1"/>
  <c r="X82" i="5"/>
  <c r="Y82" i="5" s="1"/>
  <c r="X74" i="5"/>
  <c r="Y74" i="5" s="1"/>
  <c r="X66" i="5"/>
  <c r="Y66" i="5" s="1"/>
  <c r="X58" i="5"/>
  <c r="X50" i="5"/>
  <c r="Y50" i="5" s="1"/>
  <c r="X42" i="5"/>
  <c r="X34" i="5"/>
  <c r="Y34" i="5" s="1"/>
  <c r="X26" i="5"/>
  <c r="Y26" i="5" s="1"/>
  <c r="X18" i="5"/>
  <c r="Y18" i="5" s="1"/>
  <c r="X10" i="5"/>
  <c r="X2" i="5"/>
  <c r="X1979" i="5"/>
  <c r="Y1979" i="5" s="1"/>
  <c r="X1971" i="5"/>
  <c r="Y1971" i="5" s="1"/>
  <c r="X1963" i="5"/>
  <c r="Y1963" i="5" s="1"/>
  <c r="X1955" i="5"/>
  <c r="Y1955" i="5" s="1"/>
  <c r="X1947" i="5"/>
  <c r="Y1947" i="5" s="1"/>
  <c r="X1939" i="5"/>
  <c r="Y1939" i="5" s="1"/>
  <c r="X1931" i="5"/>
  <c r="Y1931" i="5" s="1"/>
  <c r="X1923" i="5"/>
  <c r="Y1923" i="5" s="1"/>
  <c r="X1915" i="5"/>
  <c r="Y1915" i="5" s="1"/>
  <c r="X1907" i="5"/>
  <c r="Y1907" i="5" s="1"/>
  <c r="X1899" i="5"/>
  <c r="Y1899" i="5" s="1"/>
  <c r="X1891" i="5"/>
  <c r="Y1891" i="5" s="1"/>
  <c r="X1883" i="5"/>
  <c r="Y1883" i="5" s="1"/>
  <c r="X1875" i="5"/>
  <c r="Y1875" i="5" s="1"/>
  <c r="X1867" i="5"/>
  <c r="Y1867" i="5" s="1"/>
  <c r="X1859" i="5"/>
  <c r="Y1859" i="5" s="1"/>
  <c r="X1851" i="5"/>
  <c r="Y1851" i="5" s="1"/>
  <c r="X1843" i="5"/>
  <c r="Y1843" i="5" s="1"/>
  <c r="X1835" i="5"/>
  <c r="Y1835" i="5" s="1"/>
  <c r="X1827" i="5"/>
  <c r="Y1827" i="5" s="1"/>
  <c r="X1819" i="5"/>
  <c r="Y1819" i="5" s="1"/>
  <c r="X1811" i="5"/>
  <c r="Y1811" i="5" s="1"/>
  <c r="X1803" i="5"/>
  <c r="Y1803" i="5" s="1"/>
  <c r="X1795" i="5"/>
  <c r="Y1795" i="5" s="1"/>
  <c r="X1787" i="5"/>
  <c r="Y1787" i="5" s="1"/>
  <c r="X1779" i="5"/>
  <c r="Y1779" i="5" s="1"/>
  <c r="X1771" i="5"/>
  <c r="Y1771" i="5" s="1"/>
  <c r="X1763" i="5"/>
  <c r="Y1763" i="5" s="1"/>
  <c r="X1755" i="5"/>
  <c r="Y1755" i="5" s="1"/>
  <c r="X1747" i="5"/>
  <c r="Y1747" i="5" s="1"/>
  <c r="X1739" i="5"/>
  <c r="Y1739" i="5" s="1"/>
  <c r="X1731" i="5"/>
  <c r="Y1731" i="5" s="1"/>
  <c r="X1723" i="5"/>
  <c r="Y1723" i="5" s="1"/>
  <c r="X1715" i="5"/>
  <c r="Y1715" i="5" s="1"/>
  <c r="X1707" i="5"/>
  <c r="Y1707" i="5" s="1"/>
  <c r="X1699" i="5"/>
  <c r="Y1699" i="5" s="1"/>
  <c r="X1691" i="5"/>
  <c r="Y1691" i="5" s="1"/>
  <c r="X1683" i="5"/>
  <c r="Y1683" i="5" s="1"/>
  <c r="X1675" i="5"/>
  <c r="Y1675" i="5" s="1"/>
  <c r="X1667" i="5"/>
  <c r="Y1667" i="5" s="1"/>
  <c r="X1659" i="5"/>
  <c r="Y1659" i="5" s="1"/>
  <c r="X1651" i="5"/>
  <c r="Y1651" i="5" s="1"/>
  <c r="X1643" i="5"/>
  <c r="Y1643" i="5" s="1"/>
  <c r="X1635" i="5"/>
  <c r="Y1635" i="5" s="1"/>
  <c r="X1627" i="5"/>
  <c r="Y1627" i="5" s="1"/>
  <c r="X1619" i="5"/>
  <c r="Y1619" i="5" s="1"/>
  <c r="X1611" i="5"/>
  <c r="Y1611" i="5" s="1"/>
  <c r="X1603" i="5"/>
  <c r="Y1603" i="5" s="1"/>
  <c r="X1595" i="5"/>
  <c r="Y1595" i="5" s="1"/>
  <c r="X1587" i="5"/>
  <c r="Y1587" i="5" s="1"/>
  <c r="X1579" i="5"/>
  <c r="Y1579" i="5" s="1"/>
  <c r="X1571" i="5"/>
  <c r="Y1571" i="5" s="1"/>
  <c r="X1563" i="5"/>
  <c r="Y1563" i="5" s="1"/>
  <c r="X1555" i="5"/>
  <c r="Y1555" i="5" s="1"/>
  <c r="X1547" i="5"/>
  <c r="Y1547" i="5" s="1"/>
  <c r="X1539" i="5"/>
  <c r="Y1539" i="5" s="1"/>
  <c r="X1531" i="5"/>
  <c r="Y1531" i="5" s="1"/>
  <c r="X1523" i="5"/>
  <c r="Y1523" i="5" s="1"/>
  <c r="X1515" i="5"/>
  <c r="Y1515" i="5" s="1"/>
  <c r="X1507" i="5"/>
  <c r="Y1507" i="5" s="1"/>
  <c r="X1499" i="5"/>
  <c r="Y1499" i="5" s="1"/>
  <c r="X1491" i="5"/>
  <c r="Y1491" i="5" s="1"/>
  <c r="X1483" i="5"/>
  <c r="Y1483" i="5" s="1"/>
  <c r="X1475" i="5"/>
  <c r="Y1475" i="5" s="1"/>
  <c r="X1467" i="5"/>
  <c r="Y1467" i="5" s="1"/>
  <c r="X1459" i="5"/>
  <c r="Y1459" i="5" s="1"/>
  <c r="X1451" i="5"/>
  <c r="Y1451" i="5" s="1"/>
  <c r="X1443" i="5"/>
  <c r="Y1443" i="5" s="1"/>
  <c r="X1435" i="5"/>
  <c r="Y1435" i="5" s="1"/>
  <c r="X1427" i="5"/>
  <c r="Y1427" i="5" s="1"/>
  <c r="X1419" i="5"/>
  <c r="Y1419" i="5" s="1"/>
  <c r="X1411" i="5"/>
  <c r="Y1411" i="5" s="1"/>
  <c r="X1403" i="5"/>
  <c r="Y1403" i="5" s="1"/>
  <c r="X1395" i="5"/>
  <c r="Y1395" i="5" s="1"/>
  <c r="X1387" i="5"/>
  <c r="Y1387" i="5" s="1"/>
  <c r="X1379" i="5"/>
  <c r="Y1379" i="5" s="1"/>
  <c r="X1371" i="5"/>
  <c r="Y1371" i="5" s="1"/>
  <c r="X1363" i="5"/>
  <c r="Y1363" i="5" s="1"/>
  <c r="X1355" i="5"/>
  <c r="Y1355" i="5" s="1"/>
  <c r="X1347" i="5"/>
  <c r="Y1347" i="5" s="1"/>
  <c r="X1339" i="5"/>
  <c r="Y1339" i="5" s="1"/>
  <c r="X1331" i="5"/>
  <c r="Y1331" i="5" s="1"/>
  <c r="X1323" i="5"/>
  <c r="Y1323" i="5" s="1"/>
  <c r="X1315" i="5"/>
  <c r="Y1315" i="5" s="1"/>
  <c r="X1307" i="5"/>
  <c r="Y1307" i="5" s="1"/>
  <c r="X1299" i="5"/>
  <c r="Y1299" i="5" s="1"/>
  <c r="X1291" i="5"/>
  <c r="Y1291" i="5" s="1"/>
  <c r="X1283" i="5"/>
  <c r="Y1283" i="5" s="1"/>
  <c r="X1275" i="5"/>
  <c r="Y1275" i="5" s="1"/>
  <c r="X1267" i="5"/>
  <c r="Y1267" i="5" s="1"/>
  <c r="X1259" i="5"/>
  <c r="Y1259" i="5" s="1"/>
  <c r="X1251" i="5"/>
  <c r="Y1251" i="5" s="1"/>
  <c r="X1243" i="5"/>
  <c r="Y1243" i="5" s="1"/>
  <c r="X1235" i="5"/>
  <c r="Y1235" i="5" s="1"/>
  <c r="X1227" i="5"/>
  <c r="Y1227" i="5" s="1"/>
  <c r="X1219" i="5"/>
  <c r="Y1219" i="5" s="1"/>
  <c r="X1211" i="5"/>
  <c r="Y1211" i="5" s="1"/>
  <c r="X1203" i="5"/>
  <c r="Y1203" i="5" s="1"/>
  <c r="X1195" i="5"/>
  <c r="Y1195" i="5" s="1"/>
  <c r="X1187" i="5"/>
  <c r="Y1187" i="5" s="1"/>
  <c r="X1179" i="5"/>
  <c r="Y1179" i="5" s="1"/>
  <c r="X1171" i="5"/>
  <c r="Y1171" i="5" s="1"/>
  <c r="X1163" i="5"/>
  <c r="Y1163" i="5" s="1"/>
  <c r="X1155" i="5"/>
  <c r="Y1155" i="5" s="1"/>
  <c r="X1147" i="5"/>
  <c r="Y1147" i="5" s="1"/>
  <c r="X1139" i="5"/>
  <c r="Y1139" i="5" s="1"/>
  <c r="X1131" i="5"/>
  <c r="Y1131" i="5" s="1"/>
  <c r="X1123" i="5"/>
  <c r="Y1123" i="5" s="1"/>
  <c r="X1115" i="5"/>
  <c r="Y1115" i="5" s="1"/>
  <c r="X1107" i="5"/>
  <c r="Y1107" i="5" s="1"/>
  <c r="X1099" i="5"/>
  <c r="Y1099" i="5" s="1"/>
  <c r="X1091" i="5"/>
  <c r="Y1091" i="5" s="1"/>
  <c r="X1083" i="5"/>
  <c r="Y1083" i="5" s="1"/>
  <c r="X1075" i="5"/>
  <c r="Y1075" i="5" s="1"/>
  <c r="X1067" i="5"/>
  <c r="Y1067" i="5" s="1"/>
  <c r="X1059" i="5"/>
  <c r="Y1059" i="5" s="1"/>
  <c r="X1051" i="5"/>
  <c r="Y1051" i="5" s="1"/>
  <c r="X1043" i="5"/>
  <c r="Y1043" i="5" s="1"/>
  <c r="X1035" i="5"/>
  <c r="Y1035" i="5" s="1"/>
  <c r="X1027" i="5"/>
  <c r="Y1027" i="5" s="1"/>
  <c r="X1019" i="5"/>
  <c r="Y1019" i="5" s="1"/>
  <c r="X1011" i="5"/>
  <c r="Y1011" i="5" s="1"/>
  <c r="X1003" i="5"/>
  <c r="Y1003" i="5" s="1"/>
  <c r="X995" i="5"/>
  <c r="Y995" i="5" s="1"/>
  <c r="X987" i="5"/>
  <c r="Y987" i="5" s="1"/>
  <c r="X979" i="5"/>
  <c r="Y979" i="5" s="1"/>
  <c r="X971" i="5"/>
  <c r="Y971" i="5" s="1"/>
  <c r="X963" i="5"/>
  <c r="Y963" i="5" s="1"/>
  <c r="X955" i="5"/>
  <c r="Y955" i="5" s="1"/>
  <c r="X947" i="5"/>
  <c r="Y947" i="5" s="1"/>
  <c r="X939" i="5"/>
  <c r="Y939" i="5" s="1"/>
  <c r="X931" i="5"/>
  <c r="Y931" i="5" s="1"/>
  <c r="X923" i="5"/>
  <c r="Y923" i="5" s="1"/>
  <c r="X915" i="5"/>
  <c r="Y915" i="5" s="1"/>
  <c r="X907" i="5"/>
  <c r="Y907" i="5" s="1"/>
  <c r="X899" i="5"/>
  <c r="Y899" i="5" s="1"/>
  <c r="X891" i="5"/>
  <c r="Y891" i="5" s="1"/>
  <c r="X883" i="5"/>
  <c r="Y883" i="5" s="1"/>
  <c r="X875" i="5"/>
  <c r="Y875" i="5" s="1"/>
  <c r="X867" i="5"/>
  <c r="Y867" i="5" s="1"/>
  <c r="X859" i="5"/>
  <c r="Y859" i="5" s="1"/>
  <c r="X851" i="5"/>
  <c r="Y851" i="5" s="1"/>
  <c r="X843" i="5"/>
  <c r="Y843" i="5" s="1"/>
  <c r="X835" i="5"/>
  <c r="Y835" i="5" s="1"/>
  <c r="X827" i="5"/>
  <c r="Y827" i="5" s="1"/>
  <c r="X819" i="5"/>
  <c r="Y819" i="5" s="1"/>
  <c r="X811" i="5"/>
  <c r="Y811" i="5" s="1"/>
  <c r="X803" i="5"/>
  <c r="Y803" i="5" s="1"/>
  <c r="X795" i="5"/>
  <c r="Y795" i="5" s="1"/>
  <c r="X787" i="5"/>
  <c r="Y787" i="5" s="1"/>
  <c r="X779" i="5"/>
  <c r="Y779" i="5" s="1"/>
  <c r="X771" i="5"/>
  <c r="Y771" i="5" s="1"/>
  <c r="X763" i="5"/>
  <c r="Y763" i="5" s="1"/>
  <c r="X755" i="5"/>
  <c r="Y755" i="5" s="1"/>
  <c r="X747" i="5"/>
  <c r="Y747" i="5" s="1"/>
  <c r="X739" i="5"/>
  <c r="Y739" i="5" s="1"/>
  <c r="X731" i="5"/>
  <c r="Y731" i="5" s="1"/>
  <c r="X723" i="5"/>
  <c r="Y723" i="5" s="1"/>
  <c r="X715" i="5"/>
  <c r="Y715" i="5" s="1"/>
  <c r="X707" i="5"/>
  <c r="Y707" i="5" s="1"/>
  <c r="X699" i="5"/>
  <c r="Y699" i="5" s="1"/>
  <c r="X691" i="5"/>
  <c r="Y691" i="5" s="1"/>
  <c r="X683" i="5"/>
  <c r="Y683" i="5" s="1"/>
  <c r="X675" i="5"/>
  <c r="Y675" i="5" s="1"/>
  <c r="X667" i="5"/>
  <c r="Y667" i="5" s="1"/>
  <c r="X659" i="5"/>
  <c r="Y659" i="5" s="1"/>
  <c r="X651" i="5"/>
  <c r="Y651" i="5" s="1"/>
  <c r="X643" i="5"/>
  <c r="Y643" i="5" s="1"/>
  <c r="X635" i="5"/>
  <c r="Y635" i="5" s="1"/>
  <c r="X627" i="5"/>
  <c r="Y627" i="5" s="1"/>
  <c r="X619" i="5"/>
  <c r="Y619" i="5" s="1"/>
  <c r="X611" i="5"/>
  <c r="Y611" i="5" s="1"/>
  <c r="X603" i="5"/>
  <c r="Y603" i="5" s="1"/>
  <c r="X595" i="5"/>
  <c r="Y595" i="5" s="1"/>
  <c r="X587" i="5"/>
  <c r="Y587" i="5" s="1"/>
  <c r="X579" i="5"/>
  <c r="Y579" i="5" s="1"/>
  <c r="X571" i="5"/>
  <c r="Y571" i="5" s="1"/>
  <c r="X563" i="5"/>
  <c r="Y563" i="5" s="1"/>
  <c r="X555" i="5"/>
  <c r="Y555" i="5" s="1"/>
  <c r="X547" i="5"/>
  <c r="Y547" i="5" s="1"/>
  <c r="X539" i="5"/>
  <c r="Y539" i="5" s="1"/>
  <c r="X531" i="5"/>
  <c r="Y531" i="5" s="1"/>
  <c r="X523" i="5"/>
  <c r="Y523" i="5" s="1"/>
  <c r="X515" i="5"/>
  <c r="Y515" i="5" s="1"/>
  <c r="X507" i="5"/>
  <c r="Y507" i="5" s="1"/>
  <c r="X499" i="5"/>
  <c r="Y499" i="5" s="1"/>
  <c r="X491" i="5"/>
  <c r="Y491" i="5" s="1"/>
  <c r="X483" i="5"/>
  <c r="Y483" i="5" s="1"/>
  <c r="X475" i="5"/>
  <c r="Y475" i="5" s="1"/>
  <c r="X467" i="5"/>
  <c r="Y467" i="5" s="1"/>
  <c r="X459" i="5"/>
  <c r="Y459" i="5" s="1"/>
  <c r="X451" i="5"/>
  <c r="Y451" i="5" s="1"/>
  <c r="X443" i="5"/>
  <c r="Y443" i="5" s="1"/>
  <c r="X435" i="5"/>
  <c r="Y435" i="5" s="1"/>
  <c r="X427" i="5"/>
  <c r="Y427" i="5" s="1"/>
  <c r="X419" i="5"/>
  <c r="Y419" i="5" s="1"/>
  <c r="X411" i="5"/>
  <c r="Y411" i="5" s="1"/>
  <c r="X403" i="5"/>
  <c r="Y403" i="5" s="1"/>
  <c r="X395" i="5"/>
  <c r="Y395" i="5" s="1"/>
  <c r="X387" i="5"/>
  <c r="Y387" i="5" s="1"/>
  <c r="X379" i="5"/>
  <c r="Y379" i="5" s="1"/>
  <c r="X371" i="5"/>
  <c r="Y371" i="5" s="1"/>
  <c r="X363" i="5"/>
  <c r="Y363" i="5" s="1"/>
  <c r="X355" i="5"/>
  <c r="Y355" i="5" s="1"/>
  <c r="X347" i="5"/>
  <c r="Y347" i="5" s="1"/>
  <c r="X339" i="5"/>
  <c r="Y339" i="5" s="1"/>
  <c r="X331" i="5"/>
  <c r="Y331" i="5" s="1"/>
  <c r="X323" i="5"/>
  <c r="Y323" i="5" s="1"/>
  <c r="X315" i="5"/>
  <c r="Y315" i="5" s="1"/>
  <c r="X307" i="5"/>
  <c r="Y307" i="5" s="1"/>
  <c r="X299" i="5"/>
  <c r="Y299" i="5" s="1"/>
  <c r="X291" i="5"/>
  <c r="Y291" i="5" s="1"/>
  <c r="X283" i="5"/>
  <c r="Y283" i="5" s="1"/>
  <c r="X275" i="5"/>
  <c r="Y275" i="5" s="1"/>
  <c r="X267" i="5"/>
  <c r="Y267" i="5" s="1"/>
  <c r="X259" i="5"/>
  <c r="Y259" i="5" s="1"/>
  <c r="X251" i="5"/>
  <c r="Y251" i="5" s="1"/>
  <c r="X243" i="5"/>
  <c r="Y243" i="5" s="1"/>
  <c r="X235" i="5"/>
  <c r="Y235" i="5" s="1"/>
  <c r="X227" i="5"/>
  <c r="Y227" i="5" s="1"/>
  <c r="X219" i="5"/>
  <c r="Y219" i="5" s="1"/>
  <c r="X211" i="5"/>
  <c r="Y211" i="5" s="1"/>
  <c r="X203" i="5"/>
  <c r="Y203" i="5" s="1"/>
  <c r="X195" i="5"/>
  <c r="Y195" i="5" s="1"/>
  <c r="X187" i="5"/>
  <c r="Y187" i="5" s="1"/>
  <c r="X179" i="5"/>
  <c r="Y179" i="5" s="1"/>
  <c r="X171" i="5"/>
  <c r="Y171" i="5" s="1"/>
  <c r="X163" i="5"/>
  <c r="Y163" i="5" s="1"/>
  <c r="X155" i="5"/>
  <c r="Y155" i="5" s="1"/>
  <c r="X147" i="5"/>
  <c r="Y147" i="5" s="1"/>
  <c r="X139" i="5"/>
  <c r="Y139" i="5" s="1"/>
  <c r="X131" i="5"/>
  <c r="Y131" i="5" s="1"/>
  <c r="X123" i="5"/>
  <c r="Y123" i="5" s="1"/>
  <c r="X115" i="5"/>
  <c r="Y115" i="5" s="1"/>
  <c r="X107" i="5"/>
  <c r="Y107" i="5" s="1"/>
  <c r="X99" i="5"/>
  <c r="Y99" i="5" s="1"/>
  <c r="X91" i="5"/>
  <c r="Y91" i="5" s="1"/>
  <c r="X83" i="5"/>
  <c r="Y83" i="5" s="1"/>
  <c r="X75" i="5"/>
  <c r="Y75" i="5" s="1"/>
  <c r="X67" i="5"/>
  <c r="Y67" i="5" s="1"/>
  <c r="X59" i="5"/>
  <c r="Y59" i="5" s="1"/>
  <c r="X51" i="5"/>
  <c r="Y51" i="5" s="1"/>
  <c r="X43" i="5"/>
  <c r="Y43" i="5" s="1"/>
  <c r="X35" i="5"/>
  <c r="Y35" i="5" s="1"/>
  <c r="X27" i="5"/>
  <c r="Y27" i="5" s="1"/>
  <c r="X19" i="5"/>
  <c r="Y19" i="5" s="1"/>
  <c r="X11" i="5"/>
  <c r="Y11" i="5" s="1"/>
  <c r="X3" i="5"/>
  <c r="X1974" i="5"/>
  <c r="Y1974" i="5" s="1"/>
  <c r="X1966" i="5"/>
  <c r="Y1966" i="5" s="1"/>
  <c r="X1958" i="5"/>
  <c r="Y1958" i="5" s="1"/>
  <c r="X1950" i="5"/>
  <c r="Y1950" i="5" s="1"/>
  <c r="X1942" i="5"/>
  <c r="Y1942" i="5" s="1"/>
  <c r="X1910" i="5"/>
  <c r="Y1910" i="5" s="1"/>
  <c r="X1902" i="5"/>
  <c r="Y1902" i="5" s="1"/>
  <c r="X1894" i="5"/>
  <c r="Y1894" i="5" s="1"/>
  <c r="X1886" i="5"/>
  <c r="Y1886" i="5" s="1"/>
  <c r="X1878" i="5"/>
  <c r="Y1878" i="5" s="1"/>
  <c r="X1846" i="5"/>
  <c r="Y1846" i="5" s="1"/>
  <c r="X1838" i="5"/>
  <c r="Y1838" i="5" s="1"/>
  <c r="X1814" i="5"/>
  <c r="Y1814" i="5" s="1"/>
  <c r="X1806" i="5"/>
  <c r="Y1806" i="5" s="1"/>
  <c r="X1782" i="5"/>
  <c r="Y1782" i="5" s="1"/>
  <c r="X1774" i="5"/>
  <c r="Y1774" i="5" s="1"/>
  <c r="X1750" i="5"/>
  <c r="Y1750" i="5" s="1"/>
  <c r="X1742" i="5"/>
  <c r="Y1742" i="5" s="1"/>
  <c r="X1718" i="5"/>
  <c r="Y1718" i="5" s="1"/>
  <c r="X1710" i="5"/>
  <c r="Y1710" i="5" s="1"/>
  <c r="X1686" i="5"/>
  <c r="Y1686" i="5" s="1"/>
  <c r="X1678" i="5"/>
  <c r="Y1678" i="5" s="1"/>
  <c r="X1654" i="5"/>
  <c r="Y1654" i="5" s="1"/>
  <c r="X1646" i="5"/>
  <c r="Y1646" i="5" s="1"/>
  <c r="X1622" i="5"/>
  <c r="Y1622" i="5" s="1"/>
  <c r="X1614" i="5"/>
  <c r="Y1614" i="5" s="1"/>
  <c r="X1590" i="5"/>
  <c r="Y1590" i="5" s="1"/>
  <c r="X1582" i="5"/>
  <c r="Y1582" i="5" s="1"/>
  <c r="X1558" i="5"/>
  <c r="Y1558" i="5" s="1"/>
  <c r="X1550" i="5"/>
  <c r="Y1550" i="5" s="1"/>
  <c r="X1526" i="5"/>
  <c r="Y1526" i="5" s="1"/>
  <c r="X1510" i="5"/>
  <c r="Y1510" i="5" s="1"/>
  <c r="X1494" i="5"/>
  <c r="Y1494" i="5" s="1"/>
  <c r="X1478" i="5"/>
  <c r="Y1478" i="5" s="1"/>
  <c r="X1462" i="5"/>
  <c r="Y1462" i="5" s="1"/>
  <c r="X1446" i="5"/>
  <c r="Y1446" i="5" s="1"/>
  <c r="X1430" i="5"/>
  <c r="Y1430" i="5" s="1"/>
  <c r="X1414" i="5"/>
  <c r="Y1414" i="5" s="1"/>
  <c r="X1398" i="5"/>
  <c r="Y1398" i="5" s="1"/>
  <c r="X1358" i="5"/>
  <c r="Y1358" i="5" s="1"/>
  <c r="X1342" i="5"/>
  <c r="Y1342" i="5" s="1"/>
  <c r="X1294" i="5"/>
  <c r="Y1294" i="5" s="1"/>
  <c r="X1286" i="5"/>
  <c r="Y1286" i="5" s="1"/>
  <c r="X1270" i="5"/>
  <c r="Y1270" i="5" s="1"/>
  <c r="X1230" i="5"/>
  <c r="Y1230" i="5" s="1"/>
  <c r="X1214" i="5"/>
  <c r="Y1214" i="5" s="1"/>
  <c r="X1166" i="5"/>
  <c r="Y1166" i="5" s="1"/>
  <c r="X1158" i="5"/>
  <c r="Y1158" i="5" s="1"/>
  <c r="X1142" i="5"/>
  <c r="Y1142" i="5" s="1"/>
  <c r="X1102" i="5"/>
  <c r="Y1102" i="5" s="1"/>
  <c r="X1086" i="5"/>
  <c r="Y1086" i="5" s="1"/>
  <c r="X1038" i="5"/>
  <c r="Y1038" i="5" s="1"/>
  <c r="X1030" i="5"/>
  <c r="Y1030" i="5" s="1"/>
  <c r="X1014" i="5"/>
  <c r="Y1014" i="5" s="1"/>
  <c r="X974" i="5"/>
  <c r="Y974" i="5" s="1"/>
  <c r="X958" i="5"/>
  <c r="Y958" i="5" s="1"/>
  <c r="X910" i="5"/>
  <c r="Y910" i="5" s="1"/>
  <c r="X902" i="5"/>
  <c r="Y902" i="5" s="1"/>
  <c r="X886" i="5"/>
  <c r="Y886" i="5" s="1"/>
  <c r="X846" i="5"/>
  <c r="Y846" i="5" s="1"/>
  <c r="X830" i="5"/>
  <c r="Y830" i="5" s="1"/>
  <c r="X782" i="5"/>
  <c r="Y782" i="5" s="1"/>
  <c r="X774" i="5"/>
  <c r="Y774" i="5" s="1"/>
  <c r="X758" i="5"/>
  <c r="Y758" i="5" s="1"/>
  <c r="X718" i="5"/>
  <c r="Y718" i="5" s="1"/>
  <c r="X702" i="5"/>
  <c r="Y702" i="5" s="1"/>
  <c r="X678" i="5"/>
  <c r="Y678" i="5" s="1"/>
  <c r="X662" i="5"/>
  <c r="Y662" i="5" s="1"/>
  <c r="X646" i="5"/>
  <c r="Y646" i="5" s="1"/>
  <c r="X590" i="5"/>
  <c r="Y590" i="5" s="1"/>
  <c r="X574" i="5"/>
  <c r="Y574" i="5" s="1"/>
  <c r="X470" i="5"/>
  <c r="Y470" i="5" s="1"/>
  <c r="X462" i="5"/>
  <c r="Y462" i="5" s="1"/>
  <c r="X198" i="5"/>
  <c r="Y198" i="5" s="1"/>
  <c r="X190" i="5"/>
  <c r="Y190" i="5" s="1"/>
  <c r="X110" i="5"/>
  <c r="Y110" i="5" s="1"/>
  <c r="X46" i="5"/>
  <c r="Y46" i="5" s="1"/>
  <c r="AC1820" i="5"/>
  <c r="AC1983" i="5"/>
  <c r="AC1975" i="5"/>
  <c r="AC1967" i="5"/>
  <c r="AC1959" i="5"/>
  <c r="AC1951" i="5"/>
  <c r="AC1943" i="5"/>
  <c r="AC1935" i="5"/>
  <c r="AC1927" i="5"/>
  <c r="AC1919" i="5"/>
  <c r="AC1911" i="5"/>
  <c r="AC1903" i="5"/>
  <c r="AC1895" i="5"/>
  <c r="AC1883" i="5"/>
  <c r="AC1870" i="5"/>
  <c r="AC1858" i="5"/>
  <c r="AC1842" i="5"/>
  <c r="AC1982" i="5"/>
  <c r="AC1974" i="5"/>
  <c r="AC1966" i="5"/>
  <c r="AC1958" i="5"/>
  <c r="AC1950" i="5"/>
  <c r="AC1942" i="5"/>
  <c r="AC1934" i="5"/>
  <c r="AC1926" i="5"/>
  <c r="AC1918" i="5"/>
  <c r="AC1910" i="5"/>
  <c r="AC1902" i="5"/>
  <c r="AC1894" i="5"/>
  <c r="AC1882" i="5"/>
  <c r="AC1868" i="5"/>
  <c r="AC1857" i="5"/>
  <c r="AC1841" i="5"/>
  <c r="AC1981" i="5"/>
  <c r="AC1973" i="5"/>
  <c r="AC1965" i="5"/>
  <c r="AC1957" i="5"/>
  <c r="AC1949" i="5"/>
  <c r="AC1941" i="5"/>
  <c r="AC1933" i="5"/>
  <c r="AC1925" i="5"/>
  <c r="AC1917" i="5"/>
  <c r="AC1909" i="5"/>
  <c r="AC1901" i="5"/>
  <c r="AC1892" i="5"/>
  <c r="AC1881" i="5"/>
  <c r="AC1867" i="5"/>
  <c r="AC1854" i="5"/>
  <c r="AC1836" i="5"/>
  <c r="AC1980" i="5"/>
  <c r="AC1972" i="5"/>
  <c r="AC1964" i="5"/>
  <c r="AC1956" i="5"/>
  <c r="AC1948" i="5"/>
  <c r="AC1940" i="5"/>
  <c r="AC1932" i="5"/>
  <c r="AC1924" i="5"/>
  <c r="AC1916" i="5"/>
  <c r="AC1908" i="5"/>
  <c r="AC1900" i="5"/>
  <c r="AC1891" i="5"/>
  <c r="AC1878" i="5"/>
  <c r="AC1866" i="5"/>
  <c r="AC1852" i="5"/>
  <c r="AC1833" i="5"/>
  <c r="AC1979" i="5"/>
  <c r="AC1971" i="5"/>
  <c r="AC1963" i="5"/>
  <c r="AC1955" i="5"/>
  <c r="AC1947" i="5"/>
  <c r="AC1939" i="5"/>
  <c r="AC1931" i="5"/>
  <c r="AC1923" i="5"/>
  <c r="AC1915" i="5"/>
  <c r="AC1907" i="5"/>
  <c r="AC1899" i="5"/>
  <c r="AC1890" i="5"/>
  <c r="AC1876" i="5"/>
  <c r="AC1865" i="5"/>
  <c r="AC1851" i="5"/>
  <c r="AC1828" i="5"/>
  <c r="AC1986" i="5"/>
  <c r="AC1978" i="5"/>
  <c r="AC1970" i="5"/>
  <c r="AC1962" i="5"/>
  <c r="AC1954" i="5"/>
  <c r="AC1946" i="5"/>
  <c r="AC1938" i="5"/>
  <c r="AC1930" i="5"/>
  <c r="AC1922" i="5"/>
  <c r="AC1914" i="5"/>
  <c r="AC1906" i="5"/>
  <c r="AC1898" i="5"/>
  <c r="AC1889" i="5"/>
  <c r="AC1875" i="5"/>
  <c r="AC1862" i="5"/>
  <c r="AC1850" i="5"/>
  <c r="AC18" i="5"/>
  <c r="AC26" i="5"/>
  <c r="AC34" i="5"/>
  <c r="AC42" i="5"/>
  <c r="AC50" i="5"/>
  <c r="AC58" i="5"/>
  <c r="AC66" i="5"/>
  <c r="AC74" i="5"/>
  <c r="AC82" i="5"/>
  <c r="AC90" i="5"/>
  <c r="AC98" i="5"/>
  <c r="AC106" i="5"/>
  <c r="AC114" i="5"/>
  <c r="AC122" i="5"/>
  <c r="AC130" i="5"/>
  <c r="AC138" i="5"/>
  <c r="AC146" i="5"/>
  <c r="AC154" i="5"/>
  <c r="AC162" i="5"/>
  <c r="AC170" i="5"/>
  <c r="AC178" i="5"/>
  <c r="AC186" i="5"/>
  <c r="AC194" i="5"/>
  <c r="AC202" i="5"/>
  <c r="AC210" i="5"/>
  <c r="AC218" i="5"/>
  <c r="AC226" i="5"/>
  <c r="AC234" i="5"/>
  <c r="AC242" i="5"/>
  <c r="AC250" i="5"/>
  <c r="AC258" i="5"/>
  <c r="AC266" i="5"/>
  <c r="AC274" i="5"/>
  <c r="AC282" i="5"/>
  <c r="AC290" i="5"/>
  <c r="AC298" i="5"/>
  <c r="AC306" i="5"/>
  <c r="AC314" i="5"/>
  <c r="AC322" i="5"/>
  <c r="AC330" i="5"/>
  <c r="AC338" i="5"/>
  <c r="AC346" i="5"/>
  <c r="AC354" i="5"/>
  <c r="AC362" i="5"/>
  <c r="AC370" i="5"/>
  <c r="AC378" i="5"/>
  <c r="AC386" i="5"/>
  <c r="AC394" i="5"/>
  <c r="AC402" i="5"/>
  <c r="AC410" i="5"/>
  <c r="AC418" i="5"/>
  <c r="AC426" i="5"/>
  <c r="AC434" i="5"/>
  <c r="AC442" i="5"/>
  <c r="AC450" i="5"/>
  <c r="AC458" i="5"/>
  <c r="AC466" i="5"/>
  <c r="AC474" i="5"/>
  <c r="AC482" i="5"/>
  <c r="AC490" i="5"/>
  <c r="AC498" i="5"/>
  <c r="AC506" i="5"/>
  <c r="AC514" i="5"/>
  <c r="AC522" i="5"/>
  <c r="AC530" i="5"/>
  <c r="AC538" i="5"/>
  <c r="AC546" i="5"/>
  <c r="AC554" i="5"/>
  <c r="AC562" i="5"/>
  <c r="AC570" i="5"/>
  <c r="AC578" i="5"/>
  <c r="AC586" i="5"/>
  <c r="AC594" i="5"/>
  <c r="AC602" i="5"/>
  <c r="AC610" i="5"/>
  <c r="AC618" i="5"/>
  <c r="AC626" i="5"/>
  <c r="AC634" i="5"/>
  <c r="AC642" i="5"/>
  <c r="AC650" i="5"/>
  <c r="AC658" i="5"/>
  <c r="AC19" i="5"/>
  <c r="AC27" i="5"/>
  <c r="AC35" i="5"/>
  <c r="AC43" i="5"/>
  <c r="AC51" i="5"/>
  <c r="AC59" i="5"/>
  <c r="AC67" i="5"/>
  <c r="AC75" i="5"/>
  <c r="AC83" i="5"/>
  <c r="AC91" i="5"/>
  <c r="AC99" i="5"/>
  <c r="AC107" i="5"/>
  <c r="AC115" i="5"/>
  <c r="AC123" i="5"/>
  <c r="AC131" i="5"/>
  <c r="AC139" i="5"/>
  <c r="AC147" i="5"/>
  <c r="AC155" i="5"/>
  <c r="AC163" i="5"/>
  <c r="AC171" i="5"/>
  <c r="AC179" i="5"/>
  <c r="AC187" i="5"/>
  <c r="AC195" i="5"/>
  <c r="AC203" i="5"/>
  <c r="AC211" i="5"/>
  <c r="AC219" i="5"/>
  <c r="AC227" i="5"/>
  <c r="AC235" i="5"/>
  <c r="AC243" i="5"/>
  <c r="AC251" i="5"/>
  <c r="AC259" i="5"/>
  <c r="AC267" i="5"/>
  <c r="AC275" i="5"/>
  <c r="AC283" i="5"/>
  <c r="AC291" i="5"/>
  <c r="AC299" i="5"/>
  <c r="AC307" i="5"/>
  <c r="AC315" i="5"/>
  <c r="AC323" i="5"/>
  <c r="AC331" i="5"/>
  <c r="AC339" i="5"/>
  <c r="AC347" i="5"/>
  <c r="AC355" i="5"/>
  <c r="AC363" i="5"/>
  <c r="AC371" i="5"/>
  <c r="AC379" i="5"/>
  <c r="AC387" i="5"/>
  <c r="AC395" i="5"/>
  <c r="AC403" i="5"/>
  <c r="AC411" i="5"/>
  <c r="AC419" i="5"/>
  <c r="AC427" i="5"/>
  <c r="AC435" i="5"/>
  <c r="AC443" i="5"/>
  <c r="AC451" i="5"/>
  <c r="AC459" i="5"/>
  <c r="AC467" i="5"/>
  <c r="AC475" i="5"/>
  <c r="AC483" i="5"/>
  <c r="AC491" i="5"/>
  <c r="AC499" i="5"/>
  <c r="AC507" i="5"/>
  <c r="AC515" i="5"/>
  <c r="AC523" i="5"/>
  <c r="AC531" i="5"/>
  <c r="AC20" i="5"/>
  <c r="AC28" i="5"/>
  <c r="AC36" i="5"/>
  <c r="AC44" i="5"/>
  <c r="AC52" i="5"/>
  <c r="AC60" i="5"/>
  <c r="AC68" i="5"/>
  <c r="AC76" i="5"/>
  <c r="AC84" i="5"/>
  <c r="AC92" i="5"/>
  <c r="AC100" i="5"/>
  <c r="AC108" i="5"/>
  <c r="AC116" i="5"/>
  <c r="AC124" i="5"/>
  <c r="AC132" i="5"/>
  <c r="AC140" i="5"/>
  <c r="AC148" i="5"/>
  <c r="AC156" i="5"/>
  <c r="AC164" i="5"/>
  <c r="AC172" i="5"/>
  <c r="AC180" i="5"/>
  <c r="AC188" i="5"/>
  <c r="AC196" i="5"/>
  <c r="AC204" i="5"/>
  <c r="AC212" i="5"/>
  <c r="AC220" i="5"/>
  <c r="AC228" i="5"/>
  <c r="AC236" i="5"/>
  <c r="AC244" i="5"/>
  <c r="AC252" i="5"/>
  <c r="AC260" i="5"/>
  <c r="AC268" i="5"/>
  <c r="AC276" i="5"/>
  <c r="AC284" i="5"/>
  <c r="AC292" i="5"/>
  <c r="AC300" i="5"/>
  <c r="AC308" i="5"/>
  <c r="AC316" i="5"/>
  <c r="AC324" i="5"/>
  <c r="AC332" i="5"/>
  <c r="AC340" i="5"/>
  <c r="AC348" i="5"/>
  <c r="AC356" i="5"/>
  <c r="AC364" i="5"/>
  <c r="AC372" i="5"/>
  <c r="AC380" i="5"/>
  <c r="AC388" i="5"/>
  <c r="AC396" i="5"/>
  <c r="AC404" i="5"/>
  <c r="AC412" i="5"/>
  <c r="AC420" i="5"/>
  <c r="AC428" i="5"/>
  <c r="AC436" i="5"/>
  <c r="AC444" i="5"/>
  <c r="AC452" i="5"/>
  <c r="AC460" i="5"/>
  <c r="AC468" i="5"/>
  <c r="AC476" i="5"/>
  <c r="AC484" i="5"/>
  <c r="AC492" i="5"/>
  <c r="AC500" i="5"/>
  <c r="AC21" i="5"/>
  <c r="AC29" i="5"/>
  <c r="AC37" i="5"/>
  <c r="AC45" i="5"/>
  <c r="AC53" i="5"/>
  <c r="AC61" i="5"/>
  <c r="AC69" i="5"/>
  <c r="AC77" i="5"/>
  <c r="AC85" i="5"/>
  <c r="AC93" i="5"/>
  <c r="AC101" i="5"/>
  <c r="AC109" i="5"/>
  <c r="AC117" i="5"/>
  <c r="AC125" i="5"/>
  <c r="AC133" i="5"/>
  <c r="AC141" i="5"/>
  <c r="AC149" i="5"/>
  <c r="AC157" i="5"/>
  <c r="AC165" i="5"/>
  <c r="AC173" i="5"/>
  <c r="AC181" i="5"/>
  <c r="AC189" i="5"/>
  <c r="AC197" i="5"/>
  <c r="AC205" i="5"/>
  <c r="AC213" i="5"/>
  <c r="AC221" i="5"/>
  <c r="AC229" i="5"/>
  <c r="AC237" i="5"/>
  <c r="AC245" i="5"/>
  <c r="AC253" i="5"/>
  <c r="AC261" i="5"/>
  <c r="AC269" i="5"/>
  <c r="AC277" i="5"/>
  <c r="AC285" i="5"/>
  <c r="AC293" i="5"/>
  <c r="AC301" i="5"/>
  <c r="AC309" i="5"/>
  <c r="AC317" i="5"/>
  <c r="AC325" i="5"/>
  <c r="AC333" i="5"/>
  <c r="AC341" i="5"/>
  <c r="AC349" i="5"/>
  <c r="AC357" i="5"/>
  <c r="AC365" i="5"/>
  <c r="AC373" i="5"/>
  <c r="AC381" i="5"/>
  <c r="AC389" i="5"/>
  <c r="AC397" i="5"/>
  <c r="AC405" i="5"/>
  <c r="AC413" i="5"/>
  <c r="AC421" i="5"/>
  <c r="AC429" i="5"/>
  <c r="AC437" i="5"/>
  <c r="AC445" i="5"/>
  <c r="AC453" i="5"/>
  <c r="AC461" i="5"/>
  <c r="AC469" i="5"/>
  <c r="AC477" i="5"/>
  <c r="AC485" i="5"/>
  <c r="AC493" i="5"/>
  <c r="AC501" i="5"/>
  <c r="AC509" i="5"/>
  <c r="AC517" i="5"/>
  <c r="AC525" i="5"/>
  <c r="AC533" i="5"/>
  <c r="AC541" i="5"/>
  <c r="AC549" i="5"/>
  <c r="AC557" i="5"/>
  <c r="AC565" i="5"/>
  <c r="AC573" i="5"/>
  <c r="AC581" i="5"/>
  <c r="AC589" i="5"/>
  <c r="AC597" i="5"/>
  <c r="AC605" i="5"/>
  <c r="AC613" i="5"/>
  <c r="AC621" i="5"/>
  <c r="AC629" i="5"/>
  <c r="AC637" i="5"/>
  <c r="AC645" i="5"/>
  <c r="AC14" i="5"/>
  <c r="AC22" i="5"/>
  <c r="AC30" i="5"/>
  <c r="AC38" i="5"/>
  <c r="AC46" i="5"/>
  <c r="AC54" i="5"/>
  <c r="AC62" i="5"/>
  <c r="AC70" i="5"/>
  <c r="AC78" i="5"/>
  <c r="AC86" i="5"/>
  <c r="AC94" i="5"/>
  <c r="AC102" i="5"/>
  <c r="AC110" i="5"/>
  <c r="AC118" i="5"/>
  <c r="AC126" i="5"/>
  <c r="AC134" i="5"/>
  <c r="AC142" i="5"/>
  <c r="AC150" i="5"/>
  <c r="AC158" i="5"/>
  <c r="AC166" i="5"/>
  <c r="AC174" i="5"/>
  <c r="AC182" i="5"/>
  <c r="AC190" i="5"/>
  <c r="AC198" i="5"/>
  <c r="AC206" i="5"/>
  <c r="AC214" i="5"/>
  <c r="AC222" i="5"/>
  <c r="AC230" i="5"/>
  <c r="AC238" i="5"/>
  <c r="AC246" i="5"/>
  <c r="AC254" i="5"/>
  <c r="AC262" i="5"/>
  <c r="AC270" i="5"/>
  <c r="AC278" i="5"/>
  <c r="AC286" i="5"/>
  <c r="AC294" i="5"/>
  <c r="AC302" i="5"/>
  <c r="AC310" i="5"/>
  <c r="AC318" i="5"/>
  <c r="AC326" i="5"/>
  <c r="AC334" i="5"/>
  <c r="AC342" i="5"/>
  <c r="AC350" i="5"/>
  <c r="AC358" i="5"/>
  <c r="AC366" i="5"/>
  <c r="AC374" i="5"/>
  <c r="AC382" i="5"/>
  <c r="AC390" i="5"/>
  <c r="AC398" i="5"/>
  <c r="AC406" i="5"/>
  <c r="AC414" i="5"/>
  <c r="AC422" i="5"/>
  <c r="AC430" i="5"/>
  <c r="AC438" i="5"/>
  <c r="AC446" i="5"/>
  <c r="AC454" i="5"/>
  <c r="AC462" i="5"/>
  <c r="AC470" i="5"/>
  <c r="AC478" i="5"/>
  <c r="AC486" i="5"/>
  <c r="AC494" i="5"/>
  <c r="AC502" i="5"/>
  <c r="AC510" i="5"/>
  <c r="AC518" i="5"/>
  <c r="AC526" i="5"/>
  <c r="AC534" i="5"/>
  <c r="AC542" i="5"/>
  <c r="AC550" i="5"/>
  <c r="AC558" i="5"/>
  <c r="AC566" i="5"/>
  <c r="AC574" i="5"/>
  <c r="AC582" i="5"/>
  <c r="AC590" i="5"/>
  <c r="AC598" i="5"/>
  <c r="AC606" i="5"/>
  <c r="AC614" i="5"/>
  <c r="AC622" i="5"/>
  <c r="AC630" i="5"/>
  <c r="AC638" i="5"/>
  <c r="AC646" i="5"/>
  <c r="AC654" i="5"/>
  <c r="AC662" i="5"/>
  <c r="AC670" i="5"/>
  <c r="AC678" i="5"/>
  <c r="AC15" i="5"/>
  <c r="AC23" i="5"/>
  <c r="AC31" i="5"/>
  <c r="AC39" i="5"/>
  <c r="AC47" i="5"/>
  <c r="AC55" i="5"/>
  <c r="AC63" i="5"/>
  <c r="AC71" i="5"/>
  <c r="AC79" i="5"/>
  <c r="AC87" i="5"/>
  <c r="AC95" i="5"/>
  <c r="AC103" i="5"/>
  <c r="AC111" i="5"/>
  <c r="AC119" i="5"/>
  <c r="AC127" i="5"/>
  <c r="AC135" i="5"/>
  <c r="AC143" i="5"/>
  <c r="AC151" i="5"/>
  <c r="AC159" i="5"/>
  <c r="AC167" i="5"/>
  <c r="AC175" i="5"/>
  <c r="AC183" i="5"/>
  <c r="AC191" i="5"/>
  <c r="AC199" i="5"/>
  <c r="AC207" i="5"/>
  <c r="AC215" i="5"/>
  <c r="AC223" i="5"/>
  <c r="AC231" i="5"/>
  <c r="AC239" i="5"/>
  <c r="AC247" i="5"/>
  <c r="AC255" i="5"/>
  <c r="AC263" i="5"/>
  <c r="AC271" i="5"/>
  <c r="AC279" i="5"/>
  <c r="AC287" i="5"/>
  <c r="AC295" i="5"/>
  <c r="AC303" i="5"/>
  <c r="AC311" i="5"/>
  <c r="AC319" i="5"/>
  <c r="AC327" i="5"/>
  <c r="AC335" i="5"/>
  <c r="AC343" i="5"/>
  <c r="AC351" i="5"/>
  <c r="AC359" i="5"/>
  <c r="AC367" i="5"/>
  <c r="AC375" i="5"/>
  <c r="AC383" i="5"/>
  <c r="AC391" i="5"/>
  <c r="AC399" i="5"/>
  <c r="AC407" i="5"/>
  <c r="AC415" i="5"/>
  <c r="AC423" i="5"/>
  <c r="AC431" i="5"/>
  <c r="AC439" i="5"/>
  <c r="AC447" i="5"/>
  <c r="AC455" i="5"/>
  <c r="AC463" i="5"/>
  <c r="AC471" i="5"/>
  <c r="AC479" i="5"/>
  <c r="AC487" i="5"/>
  <c r="AC495" i="5"/>
  <c r="AC503" i="5"/>
  <c r="AC511" i="5"/>
  <c r="AC519" i="5"/>
  <c r="AC527" i="5"/>
  <c r="AC535" i="5"/>
  <c r="AC543" i="5"/>
  <c r="AC551" i="5"/>
  <c r="AC16" i="5"/>
  <c r="AC24" i="5"/>
  <c r="AC32" i="5"/>
  <c r="AC40" i="5"/>
  <c r="AC48" i="5"/>
  <c r="AC56" i="5"/>
  <c r="AC64" i="5"/>
  <c r="AC72" i="5"/>
  <c r="AC80" i="5"/>
  <c r="AC88" i="5"/>
  <c r="AC96" i="5"/>
  <c r="AC104" i="5"/>
  <c r="AC112" i="5"/>
  <c r="AC120" i="5"/>
  <c r="AC128" i="5"/>
  <c r="AC136" i="5"/>
  <c r="AC144" i="5"/>
  <c r="AC152" i="5"/>
  <c r="AC160" i="5"/>
  <c r="AC168" i="5"/>
  <c r="AC176" i="5"/>
  <c r="AC184" i="5"/>
  <c r="AC192" i="5"/>
  <c r="AC200" i="5"/>
  <c r="AC208" i="5"/>
  <c r="AC216" i="5"/>
  <c r="AC224" i="5"/>
  <c r="AC232" i="5"/>
  <c r="AC240" i="5"/>
  <c r="AC248" i="5"/>
  <c r="AC256" i="5"/>
  <c r="AC264" i="5"/>
  <c r="AC272" i="5"/>
  <c r="AC280" i="5"/>
  <c r="AC288" i="5"/>
  <c r="AC296" i="5"/>
  <c r="AC304" i="5"/>
  <c r="AC312" i="5"/>
  <c r="AC320" i="5"/>
  <c r="AC328" i="5"/>
  <c r="AC336" i="5"/>
  <c r="AC344" i="5"/>
  <c r="AC352" i="5"/>
  <c r="AC360" i="5"/>
  <c r="AC368" i="5"/>
  <c r="AC376" i="5"/>
  <c r="AC384" i="5"/>
  <c r="AC392" i="5"/>
  <c r="AC400" i="5"/>
  <c r="AC408" i="5"/>
  <c r="AC416" i="5"/>
  <c r="AC424" i="5"/>
  <c r="AC432" i="5"/>
  <c r="AC440" i="5"/>
  <c r="AC448" i="5"/>
  <c r="AC456" i="5"/>
  <c r="AC464" i="5"/>
  <c r="AC472" i="5"/>
  <c r="AC480" i="5"/>
  <c r="AC488" i="5"/>
  <c r="AC496" i="5"/>
  <c r="AC504" i="5"/>
  <c r="AC512" i="5"/>
  <c r="AC17" i="5"/>
  <c r="AC25" i="5"/>
  <c r="AC33" i="5"/>
  <c r="AC41" i="5"/>
  <c r="AC49" i="5"/>
  <c r="AC57" i="5"/>
  <c r="AC65" i="5"/>
  <c r="AC73" i="5"/>
  <c r="AC81" i="5"/>
  <c r="AC89" i="5"/>
  <c r="AC97" i="5"/>
  <c r="AC105" i="5"/>
  <c r="AC113" i="5"/>
  <c r="AC121" i="5"/>
  <c r="AC129" i="5"/>
  <c r="AC137" i="5"/>
  <c r="AC145" i="5"/>
  <c r="AC153" i="5"/>
  <c r="AC161" i="5"/>
  <c r="AC169" i="5"/>
  <c r="AC177" i="5"/>
  <c r="AC185" i="5"/>
  <c r="AC193" i="5"/>
  <c r="AC201" i="5"/>
  <c r="AC209" i="5"/>
  <c r="AC217" i="5"/>
  <c r="AC225" i="5"/>
  <c r="AC233" i="5"/>
  <c r="AC241" i="5"/>
  <c r="AC249" i="5"/>
  <c r="AC257" i="5"/>
  <c r="AC265" i="5"/>
  <c r="AC273" i="5"/>
  <c r="AC281" i="5"/>
  <c r="AC289" i="5"/>
  <c r="AC297" i="5"/>
  <c r="AC305" i="5"/>
  <c r="AC313" i="5"/>
  <c r="AC321" i="5"/>
  <c r="AC329" i="5"/>
  <c r="AC337" i="5"/>
  <c r="AC345" i="5"/>
  <c r="AC353" i="5"/>
  <c r="AC361" i="5"/>
  <c r="AC369" i="5"/>
  <c r="AC377" i="5"/>
  <c r="AC385" i="5"/>
  <c r="AC393" i="5"/>
  <c r="AC401" i="5"/>
  <c r="AC409" i="5"/>
  <c r="AC417" i="5"/>
  <c r="AC425" i="5"/>
  <c r="AC433" i="5"/>
  <c r="AC441" i="5"/>
  <c r="AC449" i="5"/>
  <c r="AC457" i="5"/>
  <c r="AC465" i="5"/>
  <c r="AC473" i="5"/>
  <c r="AC481" i="5"/>
  <c r="AC489" i="5"/>
  <c r="AC497" i="5"/>
  <c r="AC505" i="5"/>
  <c r="AC513" i="5"/>
  <c r="AC521" i="5"/>
  <c r="AC529" i="5"/>
  <c r="AC537" i="5"/>
  <c r="AC545" i="5"/>
  <c r="AC553" i="5"/>
  <c r="AC561" i="5"/>
  <c r="AC569" i="5"/>
  <c r="AC577" i="5"/>
  <c r="AC508" i="5"/>
  <c r="AC540" i="5"/>
  <c r="AC560" i="5"/>
  <c r="AC576" i="5"/>
  <c r="AC591" i="5"/>
  <c r="AC603" i="5"/>
  <c r="AC616" i="5"/>
  <c r="AC628" i="5"/>
  <c r="AC641" i="5"/>
  <c r="AC653" i="5"/>
  <c r="AC664" i="5"/>
  <c r="AC673" i="5"/>
  <c r="AC682" i="5"/>
  <c r="AC690" i="5"/>
  <c r="AC698" i="5"/>
  <c r="AC706" i="5"/>
  <c r="AC714" i="5"/>
  <c r="AC722" i="5"/>
  <c r="AC730" i="5"/>
  <c r="AC738" i="5"/>
  <c r="AC746" i="5"/>
  <c r="AC754" i="5"/>
  <c r="AC762" i="5"/>
  <c r="AC770" i="5"/>
  <c r="AC778" i="5"/>
  <c r="AC786" i="5"/>
  <c r="AC794" i="5"/>
  <c r="AC802" i="5"/>
  <c r="AC810" i="5"/>
  <c r="AC818" i="5"/>
  <c r="AC826" i="5"/>
  <c r="AC834" i="5"/>
  <c r="AC842" i="5"/>
  <c r="AC850" i="5"/>
  <c r="AC858" i="5"/>
  <c r="AC866" i="5"/>
  <c r="AC874" i="5"/>
  <c r="AC882" i="5"/>
  <c r="AC890" i="5"/>
  <c r="AC898" i="5"/>
  <c r="AC906" i="5"/>
  <c r="AC914" i="5"/>
  <c r="AC922" i="5"/>
  <c r="AC930" i="5"/>
  <c r="AC938" i="5"/>
  <c r="AC946" i="5"/>
  <c r="AC954" i="5"/>
  <c r="AC962" i="5"/>
  <c r="AC970" i="5"/>
  <c r="AC978" i="5"/>
  <c r="AC986" i="5"/>
  <c r="AC994" i="5"/>
  <c r="AC1002" i="5"/>
  <c r="AC1010" i="5"/>
  <c r="AC1018" i="5"/>
  <c r="AC1026" i="5"/>
  <c r="AC1034" i="5"/>
  <c r="AC1042" i="5"/>
  <c r="AC1050" i="5"/>
  <c r="AC1058" i="5"/>
  <c r="AC1066" i="5"/>
  <c r="AC1074" i="5"/>
  <c r="AC1082" i="5"/>
  <c r="AC1090" i="5"/>
  <c r="AC1098" i="5"/>
  <c r="AC1106" i="5"/>
  <c r="AC1114" i="5"/>
  <c r="AC1122" i="5"/>
  <c r="AC1130" i="5"/>
  <c r="AC1138" i="5"/>
  <c r="AC1146" i="5"/>
  <c r="AC1154" i="5"/>
  <c r="AC1162" i="5"/>
  <c r="AC1170" i="5"/>
  <c r="AC1178" i="5"/>
  <c r="AC1186" i="5"/>
  <c r="AC1194" i="5"/>
  <c r="AC1202" i="5"/>
  <c r="AC1210" i="5"/>
  <c r="AC1218" i="5"/>
  <c r="AC1226" i="5"/>
  <c r="AC1234" i="5"/>
  <c r="AC1242" i="5"/>
  <c r="AC516" i="5"/>
  <c r="AC544" i="5"/>
  <c r="AC563" i="5"/>
  <c r="AC579" i="5"/>
  <c r="AC592" i="5"/>
  <c r="AC604" i="5"/>
  <c r="AC617" i="5"/>
  <c r="AC631" i="5"/>
  <c r="AC643" i="5"/>
  <c r="AC655" i="5"/>
  <c r="AC665" i="5"/>
  <c r="AC674" i="5"/>
  <c r="AC683" i="5"/>
  <c r="AC691" i="5"/>
  <c r="AC699" i="5"/>
  <c r="AC707" i="5"/>
  <c r="AC715" i="5"/>
  <c r="AC723" i="5"/>
  <c r="AC731" i="5"/>
  <c r="AC739" i="5"/>
  <c r="AC747" i="5"/>
  <c r="AC755" i="5"/>
  <c r="AC763" i="5"/>
  <c r="AC771" i="5"/>
  <c r="AC779" i="5"/>
  <c r="AC787" i="5"/>
  <c r="AC795" i="5"/>
  <c r="AC803" i="5"/>
  <c r="AC811" i="5"/>
  <c r="AC819" i="5"/>
  <c r="AC827" i="5"/>
  <c r="AC835" i="5"/>
  <c r="AC843" i="5"/>
  <c r="AC851" i="5"/>
  <c r="AC859" i="5"/>
  <c r="AC867" i="5"/>
  <c r="AC875" i="5"/>
  <c r="AC883" i="5"/>
  <c r="AC891" i="5"/>
  <c r="AC899" i="5"/>
  <c r="AC907" i="5"/>
  <c r="AC915" i="5"/>
  <c r="AC923" i="5"/>
  <c r="AC931" i="5"/>
  <c r="AC939" i="5"/>
  <c r="AC947" i="5"/>
  <c r="AC955" i="5"/>
  <c r="AC963" i="5"/>
  <c r="AC971" i="5"/>
  <c r="AC979" i="5"/>
  <c r="AC987" i="5"/>
  <c r="AC995" i="5"/>
  <c r="AC1003" i="5"/>
  <c r="AC1011" i="5"/>
  <c r="AC1019" i="5"/>
  <c r="AC1027" i="5"/>
  <c r="AC1035" i="5"/>
  <c r="AC1043" i="5"/>
  <c r="AC1051" i="5"/>
  <c r="AC1059" i="5"/>
  <c r="AC1067" i="5"/>
  <c r="AC1075" i="5"/>
  <c r="AC1083" i="5"/>
  <c r="AC1091" i="5"/>
  <c r="AC1099" i="5"/>
  <c r="AC1107" i="5"/>
  <c r="AC1115" i="5"/>
  <c r="AC1123" i="5"/>
  <c r="AC1131" i="5"/>
  <c r="AC1139" i="5"/>
  <c r="AC1147" i="5"/>
  <c r="AC1155" i="5"/>
  <c r="AC520" i="5"/>
  <c r="AC547" i="5"/>
  <c r="AC564" i="5"/>
  <c r="AC580" i="5"/>
  <c r="AC593" i="5"/>
  <c r="AC607" i="5"/>
  <c r="AC619" i="5"/>
  <c r="AC632" i="5"/>
  <c r="AC644" i="5"/>
  <c r="AC656" i="5"/>
  <c r="AC666" i="5"/>
  <c r="AC675" i="5"/>
  <c r="AC684" i="5"/>
  <c r="AC692" i="5"/>
  <c r="AC700" i="5"/>
  <c r="AC708" i="5"/>
  <c r="AC716" i="5"/>
  <c r="AC724" i="5"/>
  <c r="AC732" i="5"/>
  <c r="AC740" i="5"/>
  <c r="AC748" i="5"/>
  <c r="AC756" i="5"/>
  <c r="AC764" i="5"/>
  <c r="AC772" i="5"/>
  <c r="AC780" i="5"/>
  <c r="AC788" i="5"/>
  <c r="AC796" i="5"/>
  <c r="AC804" i="5"/>
  <c r="AC812" i="5"/>
  <c r="AC820" i="5"/>
  <c r="AC828" i="5"/>
  <c r="AC836" i="5"/>
  <c r="AC844" i="5"/>
  <c r="AC852" i="5"/>
  <c r="AC860" i="5"/>
  <c r="AC868" i="5"/>
  <c r="AC876" i="5"/>
  <c r="AC884" i="5"/>
  <c r="AC892" i="5"/>
  <c r="AC900" i="5"/>
  <c r="AC908" i="5"/>
  <c r="AC916" i="5"/>
  <c r="AC924" i="5"/>
  <c r="AC932" i="5"/>
  <c r="AC940" i="5"/>
  <c r="AC948" i="5"/>
  <c r="AC956" i="5"/>
  <c r="AC964" i="5"/>
  <c r="AC972" i="5"/>
  <c r="AC980" i="5"/>
  <c r="AC988" i="5"/>
  <c r="AC996" i="5"/>
  <c r="AC1004" i="5"/>
  <c r="AC1012" i="5"/>
  <c r="AC1020" i="5"/>
  <c r="AC1028" i="5"/>
  <c r="AC1036" i="5"/>
  <c r="AC1044" i="5"/>
  <c r="AC1052" i="5"/>
  <c r="AC1060" i="5"/>
  <c r="AC1068" i="5"/>
  <c r="AC1076" i="5"/>
  <c r="AC1084" i="5"/>
  <c r="AC1092" i="5"/>
  <c r="AC1100" i="5"/>
  <c r="AC1108" i="5"/>
  <c r="AC1116" i="5"/>
  <c r="AC1124" i="5"/>
  <c r="AC1132" i="5"/>
  <c r="AC1140" i="5"/>
  <c r="AC1148" i="5"/>
  <c r="AC1156" i="5"/>
  <c r="AC1164" i="5"/>
  <c r="AC1172" i="5"/>
  <c r="AC1180" i="5"/>
  <c r="AC1188" i="5"/>
  <c r="AC1196" i="5"/>
  <c r="AC1204" i="5"/>
  <c r="AC524" i="5"/>
  <c r="AC548" i="5"/>
  <c r="AC567" i="5"/>
  <c r="AC583" i="5"/>
  <c r="AC595" i="5"/>
  <c r="AC608" i="5"/>
  <c r="AC620" i="5"/>
  <c r="AC633" i="5"/>
  <c r="AC647" i="5"/>
  <c r="AC657" i="5"/>
  <c r="AC667" i="5"/>
  <c r="AC676" i="5"/>
  <c r="AC685" i="5"/>
  <c r="AC693" i="5"/>
  <c r="AC701" i="5"/>
  <c r="AC709" i="5"/>
  <c r="AC717" i="5"/>
  <c r="AC725" i="5"/>
  <c r="AC733" i="5"/>
  <c r="AC741" i="5"/>
  <c r="AC749" i="5"/>
  <c r="AC757" i="5"/>
  <c r="AC765" i="5"/>
  <c r="AC773" i="5"/>
  <c r="AC781" i="5"/>
  <c r="AC789" i="5"/>
  <c r="AC797" i="5"/>
  <c r="AC805" i="5"/>
  <c r="AC813" i="5"/>
  <c r="AC821" i="5"/>
  <c r="AC829" i="5"/>
  <c r="AC837" i="5"/>
  <c r="AC845" i="5"/>
  <c r="AC853" i="5"/>
  <c r="AC861" i="5"/>
  <c r="AC869" i="5"/>
  <c r="AC877" i="5"/>
  <c r="AC885" i="5"/>
  <c r="AC893" i="5"/>
  <c r="AC901" i="5"/>
  <c r="AC909" i="5"/>
  <c r="AC917" i="5"/>
  <c r="AC925" i="5"/>
  <c r="AC933" i="5"/>
  <c r="AC941" i="5"/>
  <c r="AC949" i="5"/>
  <c r="AC957" i="5"/>
  <c r="AC965" i="5"/>
  <c r="AC973" i="5"/>
  <c r="AC981" i="5"/>
  <c r="AC989" i="5"/>
  <c r="AC997" i="5"/>
  <c r="AC1005" i="5"/>
  <c r="AC1013" i="5"/>
  <c r="AC1021" i="5"/>
  <c r="AC1029" i="5"/>
  <c r="AC1037" i="5"/>
  <c r="AC1045" i="5"/>
  <c r="AC1053" i="5"/>
  <c r="AC1061" i="5"/>
  <c r="AC1069" i="5"/>
  <c r="AC1077" i="5"/>
  <c r="AC1085" i="5"/>
  <c r="AC1093" i="5"/>
  <c r="AC1101" i="5"/>
  <c r="AC1109" i="5"/>
  <c r="AC1117" i="5"/>
  <c r="AC1125" i="5"/>
  <c r="AC1133" i="5"/>
  <c r="AC1141" i="5"/>
  <c r="AC1149" i="5"/>
  <c r="AC1157" i="5"/>
  <c r="AC1165" i="5"/>
  <c r="AC1173" i="5"/>
  <c r="AC1181" i="5"/>
  <c r="AC1189" i="5"/>
  <c r="AC1197" i="5"/>
  <c r="AC1205" i="5"/>
  <c r="AC1213" i="5"/>
  <c r="AC1221" i="5"/>
  <c r="AC1229" i="5"/>
  <c r="AC1237" i="5"/>
  <c r="AC1245" i="5"/>
  <c r="AC1253" i="5"/>
  <c r="AC1261" i="5"/>
  <c r="AC528" i="5"/>
  <c r="AC552" i="5"/>
  <c r="AC568" i="5"/>
  <c r="AC584" i="5"/>
  <c r="AC596" i="5"/>
  <c r="AC609" i="5"/>
  <c r="AC623" i="5"/>
  <c r="AC635" i="5"/>
  <c r="AC648" i="5"/>
  <c r="AC659" i="5"/>
  <c r="AC668" i="5"/>
  <c r="AC677" i="5"/>
  <c r="AC686" i="5"/>
  <c r="AC694" i="5"/>
  <c r="AC702" i="5"/>
  <c r="AC710" i="5"/>
  <c r="AC718" i="5"/>
  <c r="AC726" i="5"/>
  <c r="AC734" i="5"/>
  <c r="AC742" i="5"/>
  <c r="AC750" i="5"/>
  <c r="AC758" i="5"/>
  <c r="AC766" i="5"/>
  <c r="AC774" i="5"/>
  <c r="AC782" i="5"/>
  <c r="AC790" i="5"/>
  <c r="AC798" i="5"/>
  <c r="AC806" i="5"/>
  <c r="AC814" i="5"/>
  <c r="AC822" i="5"/>
  <c r="AC830" i="5"/>
  <c r="AC838" i="5"/>
  <c r="AC846" i="5"/>
  <c r="AC854" i="5"/>
  <c r="AC862" i="5"/>
  <c r="AC870" i="5"/>
  <c r="AC878" i="5"/>
  <c r="AC886" i="5"/>
  <c r="AC894" i="5"/>
  <c r="AC902" i="5"/>
  <c r="AC910" i="5"/>
  <c r="AC918" i="5"/>
  <c r="AC926" i="5"/>
  <c r="AC934" i="5"/>
  <c r="AC942" i="5"/>
  <c r="AC950" i="5"/>
  <c r="AC958" i="5"/>
  <c r="AC966" i="5"/>
  <c r="AC974" i="5"/>
  <c r="AC982" i="5"/>
  <c r="AC990" i="5"/>
  <c r="AC998" i="5"/>
  <c r="AC1006" i="5"/>
  <c r="AC1014" i="5"/>
  <c r="AC1022" i="5"/>
  <c r="AC1030" i="5"/>
  <c r="AC1038" i="5"/>
  <c r="AC1046" i="5"/>
  <c r="AC1054" i="5"/>
  <c r="AC1062" i="5"/>
  <c r="AC1070" i="5"/>
  <c r="AC1078" i="5"/>
  <c r="AC1086" i="5"/>
  <c r="AC1094" i="5"/>
  <c r="AC1102" i="5"/>
  <c r="AC1110" i="5"/>
  <c r="AC1118" i="5"/>
  <c r="AC1126" i="5"/>
  <c r="AC1134" i="5"/>
  <c r="AC1142" i="5"/>
  <c r="AC1150" i="5"/>
  <c r="AC1158" i="5"/>
  <c r="AC1166" i="5"/>
  <c r="AC1174" i="5"/>
  <c r="AC1182" i="5"/>
  <c r="AC1190" i="5"/>
  <c r="AC1198" i="5"/>
  <c r="AC1206" i="5"/>
  <c r="AC532" i="5"/>
  <c r="AC555" i="5"/>
  <c r="AC571" i="5"/>
  <c r="AC585" i="5"/>
  <c r="AC599" i="5"/>
  <c r="AC611" i="5"/>
  <c r="AC624" i="5"/>
  <c r="AC636" i="5"/>
  <c r="AC649" i="5"/>
  <c r="AC660" i="5"/>
  <c r="AC669" i="5"/>
  <c r="AC679" i="5"/>
  <c r="AC687" i="5"/>
  <c r="AC695" i="5"/>
  <c r="AC703" i="5"/>
  <c r="AC711" i="5"/>
  <c r="AC719" i="5"/>
  <c r="AC727" i="5"/>
  <c r="AC735" i="5"/>
  <c r="AC743" i="5"/>
  <c r="AC751" i="5"/>
  <c r="AC759" i="5"/>
  <c r="AC767" i="5"/>
  <c r="AC775" i="5"/>
  <c r="AC783" i="5"/>
  <c r="AC791" i="5"/>
  <c r="AC799" i="5"/>
  <c r="AC807" i="5"/>
  <c r="AC815" i="5"/>
  <c r="AC823" i="5"/>
  <c r="AC831" i="5"/>
  <c r="AC839" i="5"/>
  <c r="AC847" i="5"/>
  <c r="AC855" i="5"/>
  <c r="AC863" i="5"/>
  <c r="AC871" i="5"/>
  <c r="AC879" i="5"/>
  <c r="AC887" i="5"/>
  <c r="AC895" i="5"/>
  <c r="AC903" i="5"/>
  <c r="AC911" i="5"/>
  <c r="AC919" i="5"/>
  <c r="AC927" i="5"/>
  <c r="AC935" i="5"/>
  <c r="AC943" i="5"/>
  <c r="AC951" i="5"/>
  <c r="AC959" i="5"/>
  <c r="AC967" i="5"/>
  <c r="AC975" i="5"/>
  <c r="AC983" i="5"/>
  <c r="AC991" i="5"/>
  <c r="AC999" i="5"/>
  <c r="AC1007" i="5"/>
  <c r="AC1015" i="5"/>
  <c r="AC1023" i="5"/>
  <c r="AC1031" i="5"/>
  <c r="AC1039" i="5"/>
  <c r="AC1047" i="5"/>
  <c r="AC1055" i="5"/>
  <c r="AC1063" i="5"/>
  <c r="AC1071" i="5"/>
  <c r="AC1079" i="5"/>
  <c r="AC1087" i="5"/>
  <c r="AC1095" i="5"/>
  <c r="AC1103" i="5"/>
  <c r="AC1111" i="5"/>
  <c r="AC1119" i="5"/>
  <c r="AC1127" i="5"/>
  <c r="AC1135" i="5"/>
  <c r="AC1143" i="5"/>
  <c r="AC1151" i="5"/>
  <c r="AC1159" i="5"/>
  <c r="AC1167" i="5"/>
  <c r="AC1175" i="5"/>
  <c r="AC1183" i="5"/>
  <c r="AC1191" i="5"/>
  <c r="AC1199" i="5"/>
  <c r="AC1207" i="5"/>
  <c r="AC1215" i="5"/>
  <c r="AC1223" i="5"/>
  <c r="AC1231" i="5"/>
  <c r="AC536" i="5"/>
  <c r="AC556" i="5"/>
  <c r="AC572" i="5"/>
  <c r="AC587" i="5"/>
  <c r="AC600" i="5"/>
  <c r="AC612" i="5"/>
  <c r="AC625" i="5"/>
  <c r="AC639" i="5"/>
  <c r="AC651" i="5"/>
  <c r="AC661" i="5"/>
  <c r="AC671" i="5"/>
  <c r="AC680" i="5"/>
  <c r="AC688" i="5"/>
  <c r="AC696" i="5"/>
  <c r="AC704" i="5"/>
  <c r="AC712" i="5"/>
  <c r="AC720" i="5"/>
  <c r="AC728" i="5"/>
  <c r="AC736" i="5"/>
  <c r="AC744" i="5"/>
  <c r="AC752" i="5"/>
  <c r="AC760" i="5"/>
  <c r="AC768" i="5"/>
  <c r="AC776" i="5"/>
  <c r="AC784" i="5"/>
  <c r="AC792" i="5"/>
  <c r="AC800" i="5"/>
  <c r="AC808" i="5"/>
  <c r="AC816" i="5"/>
  <c r="AC824" i="5"/>
  <c r="AC832" i="5"/>
  <c r="AC840" i="5"/>
  <c r="AC848" i="5"/>
  <c r="AC856" i="5"/>
  <c r="AC864" i="5"/>
  <c r="AC872" i="5"/>
  <c r="AC880" i="5"/>
  <c r="AC888" i="5"/>
  <c r="AC896" i="5"/>
  <c r="AC904" i="5"/>
  <c r="AC912" i="5"/>
  <c r="AC920" i="5"/>
  <c r="AC928" i="5"/>
  <c r="AC936" i="5"/>
  <c r="AC944" i="5"/>
  <c r="AC952" i="5"/>
  <c r="AC960" i="5"/>
  <c r="AC968" i="5"/>
  <c r="AC976" i="5"/>
  <c r="AC984" i="5"/>
  <c r="AC992" i="5"/>
  <c r="AC1000" i="5"/>
  <c r="AC1008" i="5"/>
  <c r="AC1016" i="5"/>
  <c r="AC1024" i="5"/>
  <c r="AC1032" i="5"/>
  <c r="AC1040" i="5"/>
  <c r="AC1048" i="5"/>
  <c r="AC1056" i="5"/>
  <c r="AC1064" i="5"/>
  <c r="AC1072" i="5"/>
  <c r="AC1080" i="5"/>
  <c r="AC1088" i="5"/>
  <c r="AC1096" i="5"/>
  <c r="AC1104" i="5"/>
  <c r="AC1112" i="5"/>
  <c r="AC1120" i="5"/>
  <c r="AC1128" i="5"/>
  <c r="AC1136" i="5"/>
  <c r="AC1144" i="5"/>
  <c r="AC1152" i="5"/>
  <c r="AC1160" i="5"/>
  <c r="AC1168" i="5"/>
  <c r="AC1176" i="5"/>
  <c r="AC1184" i="5"/>
  <c r="AC1192" i="5"/>
  <c r="AC1200" i="5"/>
  <c r="AC1208" i="5"/>
  <c r="AC1216" i="5"/>
  <c r="AC1224" i="5"/>
  <c r="AC1232" i="5"/>
  <c r="AC539" i="5"/>
  <c r="AC559" i="5"/>
  <c r="AC575" i="5"/>
  <c r="AC588" i="5"/>
  <c r="AC601" i="5"/>
  <c r="AC615" i="5"/>
  <c r="AC627" i="5"/>
  <c r="AC640" i="5"/>
  <c r="AC652" i="5"/>
  <c r="AC663" i="5"/>
  <c r="AC672" i="5"/>
  <c r="AC681" i="5"/>
  <c r="AC689" i="5"/>
  <c r="AC697" i="5"/>
  <c r="AC705" i="5"/>
  <c r="AC713" i="5"/>
  <c r="AC721" i="5"/>
  <c r="AC729" i="5"/>
  <c r="AC737" i="5"/>
  <c r="AC745" i="5"/>
  <c r="AC753" i="5"/>
  <c r="AC761" i="5"/>
  <c r="AC769" i="5"/>
  <c r="AC777" i="5"/>
  <c r="AC785" i="5"/>
  <c r="AC793" i="5"/>
  <c r="AC801" i="5"/>
  <c r="AC809" i="5"/>
  <c r="AC817" i="5"/>
  <c r="AC825" i="5"/>
  <c r="AC833" i="5"/>
  <c r="AC841" i="5"/>
  <c r="AC849" i="5"/>
  <c r="AC857" i="5"/>
  <c r="AC865" i="5"/>
  <c r="AC873" i="5"/>
  <c r="AC881" i="5"/>
  <c r="AC889" i="5"/>
  <c r="AC897" i="5"/>
  <c r="AC905" i="5"/>
  <c r="AC913" i="5"/>
  <c r="AC921" i="5"/>
  <c r="AC929" i="5"/>
  <c r="AC937" i="5"/>
  <c r="AC945" i="5"/>
  <c r="AC953" i="5"/>
  <c r="AC961" i="5"/>
  <c r="AC969" i="5"/>
  <c r="AC977" i="5"/>
  <c r="AC985" i="5"/>
  <c r="AC993" i="5"/>
  <c r="AC1001" i="5"/>
  <c r="AC1009" i="5"/>
  <c r="AC1017" i="5"/>
  <c r="AC1025" i="5"/>
  <c r="AC1033" i="5"/>
  <c r="AC1041" i="5"/>
  <c r="AC1049" i="5"/>
  <c r="AC1057" i="5"/>
  <c r="AC1065" i="5"/>
  <c r="AC1073" i="5"/>
  <c r="AC1081" i="5"/>
  <c r="AC1089" i="5"/>
  <c r="AC1097" i="5"/>
  <c r="AC1105" i="5"/>
  <c r="AC1113" i="5"/>
  <c r="AC1121" i="5"/>
  <c r="AC1129" i="5"/>
  <c r="AC1137" i="5"/>
  <c r="AC1145" i="5"/>
  <c r="AC1153" i="5"/>
  <c r="AC1161" i="5"/>
  <c r="AC1193" i="5"/>
  <c r="AC1217" i="5"/>
  <c r="AC1233" i="5"/>
  <c r="AC1244" i="5"/>
  <c r="AC1254" i="5"/>
  <c r="AC1263" i="5"/>
  <c r="AC1271" i="5"/>
  <c r="AC1279" i="5"/>
  <c r="AC1287" i="5"/>
  <c r="AC1295" i="5"/>
  <c r="AC1303" i="5"/>
  <c r="AC1311" i="5"/>
  <c r="AC1319" i="5"/>
  <c r="AC1327" i="5"/>
  <c r="AC1335" i="5"/>
  <c r="AC1343" i="5"/>
  <c r="AC1351" i="5"/>
  <c r="AC1359" i="5"/>
  <c r="AC1367" i="5"/>
  <c r="AC1375" i="5"/>
  <c r="AC1383" i="5"/>
  <c r="AC1391" i="5"/>
  <c r="AC1399" i="5"/>
  <c r="AC1407" i="5"/>
  <c r="AC1415" i="5"/>
  <c r="AC1423" i="5"/>
  <c r="AC1431" i="5"/>
  <c r="AC1439" i="5"/>
  <c r="AC1447" i="5"/>
  <c r="AC1455" i="5"/>
  <c r="AC1463" i="5"/>
  <c r="AC1471" i="5"/>
  <c r="AC1479" i="5"/>
  <c r="AC1487" i="5"/>
  <c r="AC1495" i="5"/>
  <c r="AC1503" i="5"/>
  <c r="AC1511" i="5"/>
  <c r="AC1519" i="5"/>
  <c r="AC1527" i="5"/>
  <c r="AC1535" i="5"/>
  <c r="AC1543" i="5"/>
  <c r="AC1551" i="5"/>
  <c r="AC1559" i="5"/>
  <c r="AC1567" i="5"/>
  <c r="AC1575" i="5"/>
  <c r="AC1583" i="5"/>
  <c r="AC1591" i="5"/>
  <c r="AC1599" i="5"/>
  <c r="AC1607" i="5"/>
  <c r="AC1615" i="5"/>
  <c r="AC1623" i="5"/>
  <c r="AC1631" i="5"/>
  <c r="AC1639" i="5"/>
  <c r="AC1647" i="5"/>
  <c r="AC1655" i="5"/>
  <c r="AC1663" i="5"/>
  <c r="AC1671" i="5"/>
  <c r="AC1679" i="5"/>
  <c r="AC1687" i="5"/>
  <c r="AC1695" i="5"/>
  <c r="AC1703" i="5"/>
  <c r="AC1711" i="5"/>
  <c r="AC1719" i="5"/>
  <c r="AC1727" i="5"/>
  <c r="AC1735" i="5"/>
  <c r="AC1743" i="5"/>
  <c r="AC1751" i="5"/>
  <c r="AC1759" i="5"/>
  <c r="AC1767" i="5"/>
  <c r="AC1775" i="5"/>
  <c r="AC1783" i="5"/>
  <c r="AC1791" i="5"/>
  <c r="AC1799" i="5"/>
  <c r="AC1807" i="5"/>
  <c r="AC1815" i="5"/>
  <c r="AC1823" i="5"/>
  <c r="AC1831" i="5"/>
  <c r="AC1839" i="5"/>
  <c r="AC1847" i="5"/>
  <c r="AC1855" i="5"/>
  <c r="AC1863" i="5"/>
  <c r="AC1871" i="5"/>
  <c r="AC1879" i="5"/>
  <c r="AC1887" i="5"/>
  <c r="AC1163" i="5"/>
  <c r="AC1195" i="5"/>
  <c r="AC1219" i="5"/>
  <c r="AC1235" i="5"/>
  <c r="AC1246" i="5"/>
  <c r="AC1255" i="5"/>
  <c r="AC1264" i="5"/>
  <c r="AC1272" i="5"/>
  <c r="AC1280" i="5"/>
  <c r="AC1288" i="5"/>
  <c r="AC1296" i="5"/>
  <c r="AC1304" i="5"/>
  <c r="AC1312" i="5"/>
  <c r="AC1320" i="5"/>
  <c r="AC1328" i="5"/>
  <c r="AC1336" i="5"/>
  <c r="AC1344" i="5"/>
  <c r="AC1352" i="5"/>
  <c r="AC1360" i="5"/>
  <c r="AC1368" i="5"/>
  <c r="AC1376" i="5"/>
  <c r="AC1384" i="5"/>
  <c r="AC1392" i="5"/>
  <c r="AC1400" i="5"/>
  <c r="AC1408" i="5"/>
  <c r="AC1416" i="5"/>
  <c r="AC1424" i="5"/>
  <c r="AC1432" i="5"/>
  <c r="AC1440" i="5"/>
  <c r="AC1448" i="5"/>
  <c r="AC1456" i="5"/>
  <c r="AC1464" i="5"/>
  <c r="AC1472" i="5"/>
  <c r="AC1480" i="5"/>
  <c r="AC1488" i="5"/>
  <c r="AC1496" i="5"/>
  <c r="AC1504" i="5"/>
  <c r="AC1512" i="5"/>
  <c r="AC1520" i="5"/>
  <c r="AC1528" i="5"/>
  <c r="AC1536" i="5"/>
  <c r="AC1544" i="5"/>
  <c r="AC1552" i="5"/>
  <c r="AC1560" i="5"/>
  <c r="AC1568" i="5"/>
  <c r="AC1576" i="5"/>
  <c r="AC1584" i="5"/>
  <c r="AC1592" i="5"/>
  <c r="AC1600" i="5"/>
  <c r="AC1608" i="5"/>
  <c r="AC1616" i="5"/>
  <c r="AC1624" i="5"/>
  <c r="AC1632" i="5"/>
  <c r="AC1640" i="5"/>
  <c r="AC1648" i="5"/>
  <c r="AC1656" i="5"/>
  <c r="AC1664" i="5"/>
  <c r="AC1672" i="5"/>
  <c r="AC1680" i="5"/>
  <c r="AC1688" i="5"/>
  <c r="AC1696" i="5"/>
  <c r="AC1704" i="5"/>
  <c r="AC1712" i="5"/>
  <c r="AC1720" i="5"/>
  <c r="AC1728" i="5"/>
  <c r="AC1736" i="5"/>
  <c r="AC1744" i="5"/>
  <c r="AC1752" i="5"/>
  <c r="AC1760" i="5"/>
  <c r="AC1768" i="5"/>
  <c r="AC1776" i="5"/>
  <c r="AC1784" i="5"/>
  <c r="AC1792" i="5"/>
  <c r="AC1800" i="5"/>
  <c r="AC1808" i="5"/>
  <c r="AC1816" i="5"/>
  <c r="AC1824" i="5"/>
  <c r="AC1832" i="5"/>
  <c r="AC1840" i="5"/>
  <c r="AC1848" i="5"/>
  <c r="AC1856" i="5"/>
  <c r="AC1864" i="5"/>
  <c r="AC1872" i="5"/>
  <c r="AC1880" i="5"/>
  <c r="AC1888" i="5"/>
  <c r="AC1169" i="5"/>
  <c r="AC1201" i="5"/>
  <c r="AC1220" i="5"/>
  <c r="AC1236" i="5"/>
  <c r="AC1247" i="5"/>
  <c r="AC1256" i="5"/>
  <c r="AC1265" i="5"/>
  <c r="AC1273" i="5"/>
  <c r="AC1281" i="5"/>
  <c r="AC1289" i="5"/>
  <c r="AC1297" i="5"/>
  <c r="AC1305" i="5"/>
  <c r="AC1313" i="5"/>
  <c r="AC1321" i="5"/>
  <c r="AC1329" i="5"/>
  <c r="AC1337" i="5"/>
  <c r="AC1345" i="5"/>
  <c r="AC1353" i="5"/>
  <c r="AC1361" i="5"/>
  <c r="AC1369" i="5"/>
  <c r="AC1377" i="5"/>
  <c r="AC1385" i="5"/>
  <c r="AC1393" i="5"/>
  <c r="AC1401" i="5"/>
  <c r="AC1409" i="5"/>
  <c r="AC1417" i="5"/>
  <c r="AC1425" i="5"/>
  <c r="AC1433" i="5"/>
  <c r="AC1441" i="5"/>
  <c r="AC1449" i="5"/>
  <c r="AC1457" i="5"/>
  <c r="AC1465" i="5"/>
  <c r="AC1473" i="5"/>
  <c r="AC1481" i="5"/>
  <c r="AC1489" i="5"/>
  <c r="AC1497" i="5"/>
  <c r="AC1505" i="5"/>
  <c r="AC1513" i="5"/>
  <c r="AC1521" i="5"/>
  <c r="AC1529" i="5"/>
  <c r="AC1537" i="5"/>
  <c r="AC1545" i="5"/>
  <c r="AC1553" i="5"/>
  <c r="AC1561" i="5"/>
  <c r="AC1569" i="5"/>
  <c r="AC1577" i="5"/>
  <c r="AC1585" i="5"/>
  <c r="AC1593" i="5"/>
  <c r="AC1601" i="5"/>
  <c r="AC1609" i="5"/>
  <c r="AC1617" i="5"/>
  <c r="AC1625" i="5"/>
  <c r="AC1633" i="5"/>
  <c r="AC1641" i="5"/>
  <c r="AC1649" i="5"/>
  <c r="AC1657" i="5"/>
  <c r="AC1665" i="5"/>
  <c r="AC1673" i="5"/>
  <c r="AC1681" i="5"/>
  <c r="AC1689" i="5"/>
  <c r="AC1697" i="5"/>
  <c r="AC1705" i="5"/>
  <c r="AC1713" i="5"/>
  <c r="AC1721" i="5"/>
  <c r="AC1729" i="5"/>
  <c r="AC1737" i="5"/>
  <c r="AC1745" i="5"/>
  <c r="AC1753" i="5"/>
  <c r="AC1761" i="5"/>
  <c r="AC1769" i="5"/>
  <c r="AC1777" i="5"/>
  <c r="AC1785" i="5"/>
  <c r="AC1793" i="5"/>
  <c r="AC1801" i="5"/>
  <c r="AC1809" i="5"/>
  <c r="AC1817" i="5"/>
  <c r="AC1825" i="5"/>
  <c r="AC1171" i="5"/>
  <c r="AC1203" i="5"/>
  <c r="AC1222" i="5"/>
  <c r="AC1238" i="5"/>
  <c r="AC1248" i="5"/>
  <c r="AC1257" i="5"/>
  <c r="AC1266" i="5"/>
  <c r="AC1274" i="5"/>
  <c r="AC1282" i="5"/>
  <c r="AC1290" i="5"/>
  <c r="AC1298" i="5"/>
  <c r="AC1306" i="5"/>
  <c r="AC1314" i="5"/>
  <c r="AC1322" i="5"/>
  <c r="AC1330" i="5"/>
  <c r="AC1338" i="5"/>
  <c r="AC1346" i="5"/>
  <c r="AC1354" i="5"/>
  <c r="AC1362" i="5"/>
  <c r="AC1370" i="5"/>
  <c r="AC1378" i="5"/>
  <c r="AC1386" i="5"/>
  <c r="AC1394" i="5"/>
  <c r="AC1402" i="5"/>
  <c r="AC1410" i="5"/>
  <c r="AC1418" i="5"/>
  <c r="AC1426" i="5"/>
  <c r="AC1434" i="5"/>
  <c r="AC1442" i="5"/>
  <c r="AC1450" i="5"/>
  <c r="AC1458" i="5"/>
  <c r="AC1466" i="5"/>
  <c r="AC1474" i="5"/>
  <c r="AC1482" i="5"/>
  <c r="AC1490" i="5"/>
  <c r="AC1498" i="5"/>
  <c r="AC1506" i="5"/>
  <c r="AC1514" i="5"/>
  <c r="AC1522" i="5"/>
  <c r="AC1530" i="5"/>
  <c r="AC1538" i="5"/>
  <c r="AC1546" i="5"/>
  <c r="AC1554" i="5"/>
  <c r="AC1562" i="5"/>
  <c r="AC1570" i="5"/>
  <c r="AC1578" i="5"/>
  <c r="AC1586" i="5"/>
  <c r="AC1594" i="5"/>
  <c r="AC1602" i="5"/>
  <c r="AC1610" i="5"/>
  <c r="AC1618" i="5"/>
  <c r="AC1626" i="5"/>
  <c r="AC1634" i="5"/>
  <c r="AC1642" i="5"/>
  <c r="AC1650" i="5"/>
  <c r="AC1658" i="5"/>
  <c r="AC1666" i="5"/>
  <c r="AC1674" i="5"/>
  <c r="AC1682" i="5"/>
  <c r="AC1690" i="5"/>
  <c r="AC1698" i="5"/>
  <c r="AC1706" i="5"/>
  <c r="AC1714" i="5"/>
  <c r="AC1722" i="5"/>
  <c r="AC1730" i="5"/>
  <c r="AC1738" i="5"/>
  <c r="AC1746" i="5"/>
  <c r="AC1754" i="5"/>
  <c r="AC1762" i="5"/>
  <c r="AC1770" i="5"/>
  <c r="AC1778" i="5"/>
  <c r="AC1786" i="5"/>
  <c r="AC1794" i="5"/>
  <c r="AC1802" i="5"/>
  <c r="AC1810" i="5"/>
  <c r="AC1818" i="5"/>
  <c r="AC1826" i="5"/>
  <c r="AC1834" i="5"/>
  <c r="AC1177" i="5"/>
  <c r="AC1209" i="5"/>
  <c r="AC1225" i="5"/>
  <c r="AC1239" i="5"/>
  <c r="AC1249" i="5"/>
  <c r="AC1258" i="5"/>
  <c r="AC1267" i="5"/>
  <c r="AC1275" i="5"/>
  <c r="AC1283" i="5"/>
  <c r="AC1291" i="5"/>
  <c r="AC1299" i="5"/>
  <c r="AC1307" i="5"/>
  <c r="AC1315" i="5"/>
  <c r="AC1323" i="5"/>
  <c r="AC1331" i="5"/>
  <c r="AC1339" i="5"/>
  <c r="AC1347" i="5"/>
  <c r="AC1355" i="5"/>
  <c r="AC1363" i="5"/>
  <c r="AC1371" i="5"/>
  <c r="AC1379" i="5"/>
  <c r="AC1387" i="5"/>
  <c r="AC1395" i="5"/>
  <c r="AC1403" i="5"/>
  <c r="AC1411" i="5"/>
  <c r="AC1419" i="5"/>
  <c r="AC1427" i="5"/>
  <c r="AC1435" i="5"/>
  <c r="AC1443" i="5"/>
  <c r="AC1451" i="5"/>
  <c r="AC1459" i="5"/>
  <c r="AC1467" i="5"/>
  <c r="AC1475" i="5"/>
  <c r="AC1483" i="5"/>
  <c r="AC1491" i="5"/>
  <c r="AC1499" i="5"/>
  <c r="AC1507" i="5"/>
  <c r="AC1515" i="5"/>
  <c r="AC1523" i="5"/>
  <c r="AC1531" i="5"/>
  <c r="AC1539" i="5"/>
  <c r="AC1547" i="5"/>
  <c r="AC1555" i="5"/>
  <c r="AC1563" i="5"/>
  <c r="AC1571" i="5"/>
  <c r="AC1579" i="5"/>
  <c r="AC1587" i="5"/>
  <c r="AC1595" i="5"/>
  <c r="AC1603" i="5"/>
  <c r="AC1611" i="5"/>
  <c r="AC1619" i="5"/>
  <c r="AC1627" i="5"/>
  <c r="AC1635" i="5"/>
  <c r="AC1643" i="5"/>
  <c r="AC1651" i="5"/>
  <c r="AC1659" i="5"/>
  <c r="AC1667" i="5"/>
  <c r="AC1675" i="5"/>
  <c r="AC1683" i="5"/>
  <c r="AC1691" i="5"/>
  <c r="AC1699" i="5"/>
  <c r="AC1707" i="5"/>
  <c r="AC1715" i="5"/>
  <c r="AC1723" i="5"/>
  <c r="AC1731" i="5"/>
  <c r="AC1739" i="5"/>
  <c r="AC1747" i="5"/>
  <c r="AC1755" i="5"/>
  <c r="AC1763" i="5"/>
  <c r="AC1771" i="5"/>
  <c r="AC1779" i="5"/>
  <c r="AC1787" i="5"/>
  <c r="AC1795" i="5"/>
  <c r="AC1803" i="5"/>
  <c r="AC1811" i="5"/>
  <c r="AC1819" i="5"/>
  <c r="AC1827" i="5"/>
  <c r="AC1835" i="5"/>
  <c r="AC1843" i="5"/>
  <c r="AC1179" i="5"/>
  <c r="AC1211" i="5"/>
  <c r="AC1227" i="5"/>
  <c r="AC1240" i="5"/>
  <c r="AC1250" i="5"/>
  <c r="AC1259" i="5"/>
  <c r="AC1268" i="5"/>
  <c r="AC1276" i="5"/>
  <c r="AC1284" i="5"/>
  <c r="AC1292" i="5"/>
  <c r="AC1300" i="5"/>
  <c r="AC1308" i="5"/>
  <c r="AC1316" i="5"/>
  <c r="AC1324" i="5"/>
  <c r="AC1332" i="5"/>
  <c r="AC1340" i="5"/>
  <c r="AC1348" i="5"/>
  <c r="AC1356" i="5"/>
  <c r="AC1364" i="5"/>
  <c r="AC1372" i="5"/>
  <c r="AC1380" i="5"/>
  <c r="AC1388" i="5"/>
  <c r="AC1396" i="5"/>
  <c r="AC1404" i="5"/>
  <c r="AC1412" i="5"/>
  <c r="AC1420" i="5"/>
  <c r="AC1428" i="5"/>
  <c r="AC1436" i="5"/>
  <c r="AC1444" i="5"/>
  <c r="AC1452" i="5"/>
  <c r="AC1460" i="5"/>
  <c r="AC1468" i="5"/>
  <c r="AC1476" i="5"/>
  <c r="AC1484" i="5"/>
  <c r="AC1492" i="5"/>
  <c r="AC1500" i="5"/>
  <c r="AC1508" i="5"/>
  <c r="AC1516" i="5"/>
  <c r="AC1524" i="5"/>
  <c r="AC1532" i="5"/>
  <c r="AC1540" i="5"/>
  <c r="AC1548" i="5"/>
  <c r="AC1556" i="5"/>
  <c r="AC1564" i="5"/>
  <c r="AC1572" i="5"/>
  <c r="AC1580" i="5"/>
  <c r="AC1588" i="5"/>
  <c r="AC1596" i="5"/>
  <c r="AC1604" i="5"/>
  <c r="AC1612" i="5"/>
  <c r="AC1620" i="5"/>
  <c r="AC1628" i="5"/>
  <c r="AC1636" i="5"/>
  <c r="AC1644" i="5"/>
  <c r="AC1652" i="5"/>
  <c r="AC1660" i="5"/>
  <c r="AC1668" i="5"/>
  <c r="AC1676" i="5"/>
  <c r="AC1684" i="5"/>
  <c r="AC1692" i="5"/>
  <c r="AC1700" i="5"/>
  <c r="AC1708" i="5"/>
  <c r="AC1716" i="5"/>
  <c r="AC1724" i="5"/>
  <c r="AC1732" i="5"/>
  <c r="AC1740" i="5"/>
  <c r="AC1748" i="5"/>
  <c r="AC1756" i="5"/>
  <c r="AC1764" i="5"/>
  <c r="AC1772" i="5"/>
  <c r="AC1780" i="5"/>
  <c r="AC1788" i="5"/>
  <c r="AC1796" i="5"/>
  <c r="AC1185" i="5"/>
  <c r="AC1212" i="5"/>
  <c r="AC1228" i="5"/>
  <c r="AC1241" i="5"/>
  <c r="AC1251" i="5"/>
  <c r="AC1260" i="5"/>
  <c r="AC1269" i="5"/>
  <c r="AC1277" i="5"/>
  <c r="AC1285" i="5"/>
  <c r="AC1293" i="5"/>
  <c r="AC1301" i="5"/>
  <c r="AC1309" i="5"/>
  <c r="AC1317" i="5"/>
  <c r="AC1325" i="5"/>
  <c r="AC1333" i="5"/>
  <c r="AC1341" i="5"/>
  <c r="AC1349" i="5"/>
  <c r="AC1357" i="5"/>
  <c r="AC1365" i="5"/>
  <c r="AC1373" i="5"/>
  <c r="AC1381" i="5"/>
  <c r="AC1389" i="5"/>
  <c r="AC1397" i="5"/>
  <c r="AC1405" i="5"/>
  <c r="AC1413" i="5"/>
  <c r="AC1421" i="5"/>
  <c r="AC1429" i="5"/>
  <c r="AC1437" i="5"/>
  <c r="AC1445" i="5"/>
  <c r="AC1453" i="5"/>
  <c r="AC1461" i="5"/>
  <c r="AC1469" i="5"/>
  <c r="AC1477" i="5"/>
  <c r="AC1485" i="5"/>
  <c r="AC1493" i="5"/>
  <c r="AC1501" i="5"/>
  <c r="AC1509" i="5"/>
  <c r="AC1517" i="5"/>
  <c r="AC1525" i="5"/>
  <c r="AC1533" i="5"/>
  <c r="AC1541" i="5"/>
  <c r="AC1549" i="5"/>
  <c r="AC1557" i="5"/>
  <c r="AC1565" i="5"/>
  <c r="AC1573" i="5"/>
  <c r="AC1581" i="5"/>
  <c r="AC1589" i="5"/>
  <c r="AC1597" i="5"/>
  <c r="AC1605" i="5"/>
  <c r="AC1613" i="5"/>
  <c r="AC1621" i="5"/>
  <c r="AC1629" i="5"/>
  <c r="AC1637" i="5"/>
  <c r="AC1645" i="5"/>
  <c r="AC1653" i="5"/>
  <c r="AC1661" i="5"/>
  <c r="AC1669" i="5"/>
  <c r="AC1677" i="5"/>
  <c r="AC1685" i="5"/>
  <c r="AC1693" i="5"/>
  <c r="AC1701" i="5"/>
  <c r="AC1709" i="5"/>
  <c r="AC1717" i="5"/>
  <c r="AC1725" i="5"/>
  <c r="AC1733" i="5"/>
  <c r="AC1741" i="5"/>
  <c r="AC1749" i="5"/>
  <c r="AC1757" i="5"/>
  <c r="AC1765" i="5"/>
  <c r="AC1773" i="5"/>
  <c r="AC1781" i="5"/>
  <c r="AC1789" i="5"/>
  <c r="AC1797" i="5"/>
  <c r="AC1805" i="5"/>
  <c r="AC1813" i="5"/>
  <c r="AC1821" i="5"/>
  <c r="AC1829" i="5"/>
  <c r="AC1837" i="5"/>
  <c r="AC1845" i="5"/>
  <c r="AC1853" i="5"/>
  <c r="AC1861" i="5"/>
  <c r="AC1869" i="5"/>
  <c r="AC1877" i="5"/>
  <c r="AC1885" i="5"/>
  <c r="AC1893" i="5"/>
  <c r="AC1187" i="5"/>
  <c r="AC1214" i="5"/>
  <c r="AC1230" i="5"/>
  <c r="AC1243" i="5"/>
  <c r="AC1252" i="5"/>
  <c r="AC1262" i="5"/>
  <c r="AC1270" i="5"/>
  <c r="AC1278" i="5"/>
  <c r="AC1286" i="5"/>
  <c r="AC1294" i="5"/>
  <c r="AC1302" i="5"/>
  <c r="AC1310" i="5"/>
  <c r="AC1318" i="5"/>
  <c r="AC1326" i="5"/>
  <c r="AC1334" i="5"/>
  <c r="AC1342" i="5"/>
  <c r="AC1350" i="5"/>
  <c r="AC1358" i="5"/>
  <c r="AC1366" i="5"/>
  <c r="AC1374" i="5"/>
  <c r="AC1382" i="5"/>
  <c r="AC1390" i="5"/>
  <c r="AC1398" i="5"/>
  <c r="AC1406" i="5"/>
  <c r="AC1414" i="5"/>
  <c r="AC1422" i="5"/>
  <c r="AC1430" i="5"/>
  <c r="AC1438" i="5"/>
  <c r="AC1446" i="5"/>
  <c r="AC1454" i="5"/>
  <c r="AC1462" i="5"/>
  <c r="AC1470" i="5"/>
  <c r="AC1478" i="5"/>
  <c r="AC1486" i="5"/>
  <c r="AC1494" i="5"/>
  <c r="AC1502" i="5"/>
  <c r="AC1510" i="5"/>
  <c r="AC1518" i="5"/>
  <c r="AC1526" i="5"/>
  <c r="AC1534" i="5"/>
  <c r="AC1542" i="5"/>
  <c r="AC1550" i="5"/>
  <c r="AC1558" i="5"/>
  <c r="AC1566" i="5"/>
  <c r="AC1574" i="5"/>
  <c r="AC1582" i="5"/>
  <c r="AC1590" i="5"/>
  <c r="AC1598" i="5"/>
  <c r="AC1606" i="5"/>
  <c r="AC1614" i="5"/>
  <c r="AC1622" i="5"/>
  <c r="AC1630" i="5"/>
  <c r="AC1638" i="5"/>
  <c r="AC1646" i="5"/>
  <c r="AC1654" i="5"/>
  <c r="AC1662" i="5"/>
  <c r="AC1670" i="5"/>
  <c r="AC1678" i="5"/>
  <c r="AC1686" i="5"/>
  <c r="AC1694" i="5"/>
  <c r="AC1702" i="5"/>
  <c r="AC1710" i="5"/>
  <c r="AC1718" i="5"/>
  <c r="AC1726" i="5"/>
  <c r="AC1734" i="5"/>
  <c r="AC1742" i="5"/>
  <c r="AC1750" i="5"/>
  <c r="AC1758" i="5"/>
  <c r="AC1766" i="5"/>
  <c r="AC1774" i="5"/>
  <c r="AC1782" i="5"/>
  <c r="AC1790" i="5"/>
  <c r="AC1798" i="5"/>
  <c r="AC1806" i="5"/>
  <c r="AC1814" i="5"/>
  <c r="AC1822" i="5"/>
  <c r="AC1830" i="5"/>
  <c r="AC1838" i="5"/>
  <c r="AC1846" i="5"/>
  <c r="AC1985" i="5"/>
  <c r="AC1977" i="5"/>
  <c r="AC1969" i="5"/>
  <c r="AC1961" i="5"/>
  <c r="AC1953" i="5"/>
  <c r="AC1945" i="5"/>
  <c r="AC1937" i="5"/>
  <c r="AC1929" i="5"/>
  <c r="AC1921" i="5"/>
  <c r="AC1913" i="5"/>
  <c r="AC1905" i="5"/>
  <c r="AC1897" i="5"/>
  <c r="AC1886" i="5"/>
  <c r="AC1874" i="5"/>
  <c r="AC1860" i="5"/>
  <c r="AC1849" i="5"/>
  <c r="AC1812" i="5"/>
  <c r="AC1984" i="5"/>
  <c r="AC1976" i="5"/>
  <c r="AC1968" i="5"/>
  <c r="AC1960" i="5"/>
  <c r="AC1952" i="5"/>
  <c r="AC1944" i="5"/>
  <c r="AC1936" i="5"/>
  <c r="AC1928" i="5"/>
  <c r="AC1920" i="5"/>
  <c r="AC1912" i="5"/>
  <c r="AC1904" i="5"/>
  <c r="AC1896" i="5"/>
  <c r="AC1884" i="5"/>
  <c r="AC1873" i="5"/>
  <c r="AC1859" i="5"/>
  <c r="AC1844" i="5"/>
  <c r="AC1804" i="5"/>
  <c r="AB2" i="5"/>
  <c r="AB10" i="5"/>
  <c r="AB18" i="5"/>
  <c r="AB26" i="5"/>
  <c r="AB34" i="5"/>
  <c r="AB42" i="5"/>
  <c r="AB50" i="5"/>
  <c r="AB58" i="5"/>
  <c r="AB66" i="5"/>
  <c r="AB74" i="5"/>
  <c r="AB82" i="5"/>
  <c r="AB90" i="5"/>
  <c r="AB98" i="5"/>
  <c r="AB106" i="5"/>
  <c r="AB114" i="5"/>
  <c r="AB122" i="5"/>
  <c r="AB130" i="5"/>
  <c r="AB138" i="5"/>
  <c r="AB146" i="5"/>
  <c r="AB154" i="5"/>
  <c r="AB162" i="5"/>
  <c r="AB170" i="5"/>
  <c r="AB178" i="5"/>
  <c r="AB186" i="5"/>
  <c r="AB194" i="5"/>
  <c r="AB202" i="5"/>
  <c r="AB210" i="5"/>
  <c r="AB218" i="5"/>
  <c r="AB226" i="5"/>
  <c r="AB234" i="5"/>
  <c r="AB242" i="5"/>
  <c r="AB250" i="5"/>
  <c r="AB258" i="5"/>
  <c r="AB266" i="5"/>
  <c r="AB274" i="5"/>
  <c r="AB282" i="5"/>
  <c r="AB290" i="5"/>
  <c r="AB298" i="5"/>
  <c r="AB306" i="5"/>
  <c r="AB314" i="5"/>
  <c r="AB322" i="5"/>
  <c r="AB330" i="5"/>
  <c r="AB338" i="5"/>
  <c r="AB346" i="5"/>
  <c r="AB354" i="5"/>
  <c r="AB362" i="5"/>
  <c r="AB370" i="5"/>
  <c r="AB378" i="5"/>
  <c r="AB386" i="5"/>
  <c r="AB394" i="5"/>
  <c r="AB402" i="5"/>
  <c r="AB410" i="5"/>
  <c r="AB418" i="5"/>
  <c r="AB426" i="5"/>
  <c r="AB434" i="5"/>
  <c r="AB442" i="5"/>
  <c r="AB450" i="5"/>
  <c r="AB458" i="5"/>
  <c r="AB466" i="5"/>
  <c r="AB474" i="5"/>
  <c r="AB482" i="5"/>
  <c r="AB490" i="5"/>
  <c r="AB498" i="5"/>
  <c r="AB506" i="5"/>
  <c r="AB514" i="5"/>
  <c r="AB522" i="5"/>
  <c r="AB530" i="5"/>
  <c r="AB538" i="5"/>
  <c r="AB546" i="5"/>
  <c r="AB554" i="5"/>
  <c r="AB562" i="5"/>
  <c r="AB570" i="5"/>
  <c r="AB578" i="5"/>
  <c r="AB586" i="5"/>
  <c r="AB594" i="5"/>
  <c r="AB602" i="5"/>
  <c r="AB610" i="5"/>
  <c r="AB618" i="5"/>
  <c r="AB626" i="5"/>
  <c r="AB634" i="5"/>
  <c r="AB642" i="5"/>
  <c r="AB650" i="5"/>
  <c r="AB3" i="5"/>
  <c r="AB11" i="5"/>
  <c r="AB27" i="5"/>
  <c r="AB35" i="5"/>
  <c r="AB43" i="5"/>
  <c r="AB51" i="5"/>
  <c r="AB59" i="5"/>
  <c r="AB67" i="5"/>
  <c r="AB75" i="5"/>
  <c r="AB83" i="5"/>
  <c r="AB91" i="5"/>
  <c r="AB99" i="5"/>
  <c r="AB107" i="5"/>
  <c r="AB115" i="5"/>
  <c r="AB123" i="5"/>
  <c r="AB131" i="5"/>
  <c r="AB139" i="5"/>
  <c r="AB147" i="5"/>
  <c r="AB155" i="5"/>
  <c r="AB163" i="5"/>
  <c r="AB171" i="5"/>
  <c r="AB179" i="5"/>
  <c r="AB187" i="5"/>
  <c r="AB195" i="5"/>
  <c r="AB203" i="5"/>
  <c r="AB211" i="5"/>
  <c r="AB219" i="5"/>
  <c r="AB227" i="5"/>
  <c r="AB235" i="5"/>
  <c r="AB243" i="5"/>
  <c r="AB251" i="5"/>
  <c r="AB259" i="5"/>
  <c r="AB267" i="5"/>
  <c r="AB275" i="5"/>
  <c r="AB283" i="5"/>
  <c r="AB291" i="5"/>
  <c r="AB299" i="5"/>
  <c r="AB307" i="5"/>
  <c r="AB315" i="5"/>
  <c r="AB323" i="5"/>
  <c r="AB331" i="5"/>
  <c r="AB339" i="5"/>
  <c r="AB347" i="5"/>
  <c r="AB355" i="5"/>
  <c r="AB363" i="5"/>
  <c r="AB371" i="5"/>
  <c r="AB379" i="5"/>
  <c r="AB387" i="5"/>
  <c r="AB395" i="5"/>
  <c r="AB403" i="5"/>
  <c r="AB411" i="5"/>
  <c r="AB419" i="5"/>
  <c r="AB427" i="5"/>
  <c r="AB435" i="5"/>
  <c r="AB443" i="5"/>
  <c r="AB451" i="5"/>
  <c r="AB459" i="5"/>
  <c r="AB467" i="5"/>
  <c r="AB475" i="5"/>
  <c r="AB483" i="5"/>
  <c r="AB491" i="5"/>
  <c r="AB499" i="5"/>
  <c r="AB507" i="5"/>
  <c r="AB515" i="5"/>
  <c r="AB523" i="5"/>
  <c r="AB531" i="5"/>
  <c r="AB539" i="5"/>
  <c r="AB547" i="5"/>
  <c r="AB555" i="5"/>
  <c r="AB563" i="5"/>
  <c r="AB571" i="5"/>
  <c r="AB579" i="5"/>
  <c r="AB587" i="5"/>
  <c r="AB595" i="5"/>
  <c r="AB603" i="5"/>
  <c r="AB611" i="5"/>
  <c r="AB619" i="5"/>
  <c r="AB627" i="5"/>
  <c r="AB635" i="5"/>
  <c r="AB643" i="5"/>
  <c r="AB651" i="5"/>
  <c r="AB659" i="5"/>
  <c r="AB667" i="5"/>
  <c r="AB675" i="5"/>
  <c r="AB4" i="5"/>
  <c r="AB12" i="5"/>
  <c r="AB20" i="5"/>
  <c r="AB28" i="5"/>
  <c r="AB36" i="5"/>
  <c r="AB44" i="5"/>
  <c r="AB52" i="5"/>
  <c r="AB60" i="5"/>
  <c r="AB68" i="5"/>
  <c r="AB76" i="5"/>
  <c r="AB84" i="5"/>
  <c r="AB92" i="5"/>
  <c r="AB100" i="5"/>
  <c r="AB108" i="5"/>
  <c r="AB116" i="5"/>
  <c r="AB124" i="5"/>
  <c r="AB132" i="5"/>
  <c r="AB140" i="5"/>
  <c r="AB148" i="5"/>
  <c r="AB156" i="5"/>
  <c r="AB164" i="5"/>
  <c r="AB172" i="5"/>
  <c r="AB180" i="5"/>
  <c r="AB188" i="5"/>
  <c r="AB196" i="5"/>
  <c r="AB204" i="5"/>
  <c r="AB212" i="5"/>
  <c r="AB220" i="5"/>
  <c r="AB228" i="5"/>
  <c r="AB236" i="5"/>
  <c r="AB244" i="5"/>
  <c r="AB252" i="5"/>
  <c r="AB260" i="5"/>
  <c r="AB268" i="5"/>
  <c r="AB276" i="5"/>
  <c r="AB284" i="5"/>
  <c r="AB292" i="5"/>
  <c r="AB300" i="5"/>
  <c r="AB308" i="5"/>
  <c r="AB316" i="5"/>
  <c r="AB324" i="5"/>
  <c r="AB332" i="5"/>
  <c r="AB340" i="5"/>
  <c r="AB348" i="5"/>
  <c r="AB356" i="5"/>
  <c r="AB364" i="5"/>
  <c r="AB372" i="5"/>
  <c r="AB380" i="5"/>
  <c r="AB388" i="5"/>
  <c r="AB396" i="5"/>
  <c r="AB404" i="5"/>
  <c r="AB412" i="5"/>
  <c r="AB420" i="5"/>
  <c r="AB428" i="5"/>
  <c r="AB436" i="5"/>
  <c r="AB444" i="5"/>
  <c r="AB452" i="5"/>
  <c r="AB460" i="5"/>
  <c r="AB468" i="5"/>
  <c r="AB476" i="5"/>
  <c r="AB484" i="5"/>
  <c r="AB492" i="5"/>
  <c r="AB500" i="5"/>
  <c r="AB508" i="5"/>
  <c r="AB516" i="5"/>
  <c r="AB524" i="5"/>
  <c r="AB532" i="5"/>
  <c r="AB540" i="5"/>
  <c r="AB548" i="5"/>
  <c r="AB556" i="5"/>
  <c r="AB564" i="5"/>
  <c r="AB572" i="5"/>
  <c r="AB580" i="5"/>
  <c r="AB588" i="5"/>
  <c r="AB596" i="5"/>
  <c r="AB604" i="5"/>
  <c r="AB612" i="5"/>
  <c r="AB620" i="5"/>
  <c r="AB628" i="5"/>
  <c r="AB5" i="5"/>
  <c r="AB13" i="5"/>
  <c r="AB21" i="5"/>
  <c r="AB29" i="5"/>
  <c r="AB37" i="5"/>
  <c r="AB45" i="5"/>
  <c r="AB53" i="5"/>
  <c r="AB61" i="5"/>
  <c r="AB69" i="5"/>
  <c r="AB77" i="5"/>
  <c r="AB85" i="5"/>
  <c r="AB93" i="5"/>
  <c r="AB101" i="5"/>
  <c r="AB109" i="5"/>
  <c r="AB117" i="5"/>
  <c r="AB125" i="5"/>
  <c r="AB133" i="5"/>
  <c r="AB141" i="5"/>
  <c r="AB149" i="5"/>
  <c r="AB157" i="5"/>
  <c r="AB165" i="5"/>
  <c r="AB173" i="5"/>
  <c r="AB181" i="5"/>
  <c r="AB189" i="5"/>
  <c r="AB197" i="5"/>
  <c r="AB205" i="5"/>
  <c r="AB213" i="5"/>
  <c r="AB221" i="5"/>
  <c r="AB229" i="5"/>
  <c r="AB237" i="5"/>
  <c r="AB245" i="5"/>
  <c r="AB253" i="5"/>
  <c r="AB261" i="5"/>
  <c r="AB269" i="5"/>
  <c r="AB277" i="5"/>
  <c r="AB285" i="5"/>
  <c r="AB293" i="5"/>
  <c r="AB301" i="5"/>
  <c r="AB309" i="5"/>
  <c r="AB317" i="5"/>
  <c r="AB325" i="5"/>
  <c r="AB333" i="5"/>
  <c r="AB341" i="5"/>
  <c r="AB349" i="5"/>
  <c r="AB357" i="5"/>
  <c r="AB365" i="5"/>
  <c r="AB373" i="5"/>
  <c r="AB381" i="5"/>
  <c r="AB389" i="5"/>
  <c r="AB397" i="5"/>
  <c r="AB405" i="5"/>
  <c r="AB413" i="5"/>
  <c r="AB421" i="5"/>
  <c r="AB429" i="5"/>
  <c r="AB437" i="5"/>
  <c r="AB445" i="5"/>
  <c r="AB453" i="5"/>
  <c r="AB461" i="5"/>
  <c r="AB469" i="5"/>
  <c r="AB477" i="5"/>
  <c r="AB485" i="5"/>
  <c r="AB493" i="5"/>
  <c r="AB501" i="5"/>
  <c r="AB509" i="5"/>
  <c r="AB517" i="5"/>
  <c r="AB525" i="5"/>
  <c r="AB533" i="5"/>
  <c r="AB541" i="5"/>
  <c r="AB549" i="5"/>
  <c r="AB557" i="5"/>
  <c r="AB565" i="5"/>
  <c r="AB573" i="5"/>
  <c r="AB581" i="5"/>
  <c r="AB589" i="5"/>
  <c r="AB597" i="5"/>
  <c r="AB605" i="5"/>
  <c r="AB613" i="5"/>
  <c r="AB621" i="5"/>
  <c r="AB629" i="5"/>
  <c r="AB637" i="5"/>
  <c r="AB645" i="5"/>
  <c r="AB653" i="5"/>
  <c r="AB661" i="5"/>
  <c r="AB669" i="5"/>
  <c r="AB6" i="5"/>
  <c r="AB14" i="5"/>
  <c r="AB22" i="5"/>
  <c r="AB30" i="5"/>
  <c r="AB38" i="5"/>
  <c r="AB46" i="5"/>
  <c r="AB54" i="5"/>
  <c r="AB62" i="5"/>
  <c r="AB70" i="5"/>
  <c r="AB78" i="5"/>
  <c r="AB86" i="5"/>
  <c r="AB94" i="5"/>
  <c r="AB102" i="5"/>
  <c r="AB110" i="5"/>
  <c r="AB118" i="5"/>
  <c r="AB126" i="5"/>
  <c r="AB134" i="5"/>
  <c r="AB142" i="5"/>
  <c r="AB150" i="5"/>
  <c r="AB158" i="5"/>
  <c r="AB166" i="5"/>
  <c r="AB174" i="5"/>
  <c r="AB182" i="5"/>
  <c r="AB190" i="5"/>
  <c r="AB198" i="5"/>
  <c r="AB206" i="5"/>
  <c r="AB214" i="5"/>
  <c r="AB222" i="5"/>
  <c r="AB230" i="5"/>
  <c r="AB238" i="5"/>
  <c r="AB246" i="5"/>
  <c r="AB254" i="5"/>
  <c r="AB262" i="5"/>
  <c r="AB270" i="5"/>
  <c r="AB278" i="5"/>
  <c r="AB286" i="5"/>
  <c r="AB294" i="5"/>
  <c r="AB302" i="5"/>
  <c r="AB310" i="5"/>
  <c r="AB318" i="5"/>
  <c r="AB326" i="5"/>
  <c r="AB334" i="5"/>
  <c r="AB342" i="5"/>
  <c r="AB350" i="5"/>
  <c r="AB358" i="5"/>
  <c r="AB366" i="5"/>
  <c r="AB374" i="5"/>
  <c r="AB382" i="5"/>
  <c r="AB390" i="5"/>
  <c r="AB398" i="5"/>
  <c r="AB406" i="5"/>
  <c r="AB414" i="5"/>
  <c r="AB422" i="5"/>
  <c r="AB430" i="5"/>
  <c r="AB438" i="5"/>
  <c r="AB446" i="5"/>
  <c r="AB454" i="5"/>
  <c r="AB462" i="5"/>
  <c r="AB470" i="5"/>
  <c r="AB478" i="5"/>
  <c r="AB486" i="5"/>
  <c r="AB494" i="5"/>
  <c r="AB502" i="5"/>
  <c r="AB510" i="5"/>
  <c r="AB518" i="5"/>
  <c r="AB526" i="5"/>
  <c r="AB534" i="5"/>
  <c r="AB542" i="5"/>
  <c r="AB550" i="5"/>
  <c r="AB558" i="5"/>
  <c r="AB566" i="5"/>
  <c r="AB574" i="5"/>
  <c r="AB582" i="5"/>
  <c r="AB590" i="5"/>
  <c r="AB598" i="5"/>
  <c r="AB606" i="5"/>
  <c r="AB614" i="5"/>
  <c r="AB7" i="5"/>
  <c r="AB15" i="5"/>
  <c r="AB23" i="5"/>
  <c r="AB31" i="5"/>
  <c r="AB39" i="5"/>
  <c r="AB47" i="5"/>
  <c r="AB55" i="5"/>
  <c r="AB63" i="5"/>
  <c r="AB71" i="5"/>
  <c r="AB79" i="5"/>
  <c r="AB87" i="5"/>
  <c r="AB95" i="5"/>
  <c r="AB103" i="5"/>
  <c r="AB111" i="5"/>
  <c r="AB119" i="5"/>
  <c r="AB127" i="5"/>
  <c r="AB135" i="5"/>
  <c r="AB143" i="5"/>
  <c r="AB151" i="5"/>
  <c r="AB159" i="5"/>
  <c r="AB167" i="5"/>
  <c r="AB175" i="5"/>
  <c r="AB183" i="5"/>
  <c r="AB191" i="5"/>
  <c r="AB199" i="5"/>
  <c r="AB207" i="5"/>
  <c r="AB215" i="5"/>
  <c r="AB223" i="5"/>
  <c r="AB231" i="5"/>
  <c r="AB239" i="5"/>
  <c r="AB247" i="5"/>
  <c r="AB255" i="5"/>
  <c r="AB263" i="5"/>
  <c r="AB271" i="5"/>
  <c r="AB279" i="5"/>
  <c r="AB287" i="5"/>
  <c r="AB295" i="5"/>
  <c r="AB303" i="5"/>
  <c r="AB311" i="5"/>
  <c r="AB319" i="5"/>
  <c r="AB327" i="5"/>
  <c r="AB335" i="5"/>
  <c r="AB343" i="5"/>
  <c r="AB351" i="5"/>
  <c r="AB359" i="5"/>
  <c r="AB367" i="5"/>
  <c r="AB375" i="5"/>
  <c r="AB383" i="5"/>
  <c r="AB391" i="5"/>
  <c r="AB399" i="5"/>
  <c r="AB407" i="5"/>
  <c r="AB415" i="5"/>
  <c r="AB423" i="5"/>
  <c r="AB431" i="5"/>
  <c r="AB439" i="5"/>
  <c r="AB447" i="5"/>
  <c r="AB455" i="5"/>
  <c r="AB463" i="5"/>
  <c r="AB471" i="5"/>
  <c r="AB479" i="5"/>
  <c r="AB487" i="5"/>
  <c r="AB495" i="5"/>
  <c r="AB503" i="5"/>
  <c r="AB511" i="5"/>
  <c r="AB519" i="5"/>
  <c r="AB527" i="5"/>
  <c r="AB535" i="5"/>
  <c r="AB543" i="5"/>
  <c r="AB551" i="5"/>
  <c r="AB559" i="5"/>
  <c r="AB567" i="5"/>
  <c r="AB575" i="5"/>
  <c r="AB583" i="5"/>
  <c r="AB591" i="5"/>
  <c r="AB599" i="5"/>
  <c r="AB607" i="5"/>
  <c r="AB615" i="5"/>
  <c r="AB623" i="5"/>
  <c r="AB631" i="5"/>
  <c r="AB8" i="5"/>
  <c r="AB16" i="5"/>
  <c r="AB24" i="5"/>
  <c r="AB32" i="5"/>
  <c r="AB40" i="5"/>
  <c r="AB48" i="5"/>
  <c r="AB56" i="5"/>
  <c r="AB64" i="5"/>
  <c r="AB72" i="5"/>
  <c r="AB80" i="5"/>
  <c r="AB88" i="5"/>
  <c r="AB96" i="5"/>
  <c r="AB104" i="5"/>
  <c r="AB112" i="5"/>
  <c r="AB120" i="5"/>
  <c r="AB128" i="5"/>
  <c r="AB136" i="5"/>
  <c r="AB144" i="5"/>
  <c r="AB152" i="5"/>
  <c r="AB160" i="5"/>
  <c r="AB168" i="5"/>
  <c r="AB176" i="5"/>
  <c r="AB184" i="5"/>
  <c r="AB192" i="5"/>
  <c r="AB200" i="5"/>
  <c r="AB208" i="5"/>
  <c r="AB216" i="5"/>
  <c r="AB224" i="5"/>
  <c r="AB232" i="5"/>
  <c r="AB240" i="5"/>
  <c r="AB248" i="5"/>
  <c r="AB256" i="5"/>
  <c r="AB264" i="5"/>
  <c r="AB272" i="5"/>
  <c r="AB280" i="5"/>
  <c r="AB288" i="5"/>
  <c r="AB296" i="5"/>
  <c r="AB304" i="5"/>
  <c r="AB312" i="5"/>
  <c r="AB320" i="5"/>
  <c r="AB328" i="5"/>
  <c r="AB336" i="5"/>
  <c r="AB344" i="5"/>
  <c r="AB352" i="5"/>
  <c r="AB360" i="5"/>
  <c r="AB368" i="5"/>
  <c r="AB376" i="5"/>
  <c r="AB384" i="5"/>
  <c r="AB392" i="5"/>
  <c r="AB400" i="5"/>
  <c r="AB408" i="5"/>
  <c r="AB416" i="5"/>
  <c r="AB424" i="5"/>
  <c r="AB432" i="5"/>
  <c r="AB440" i="5"/>
  <c r="AB448" i="5"/>
  <c r="AB456" i="5"/>
  <c r="AB464" i="5"/>
  <c r="AB472" i="5"/>
  <c r="AB480" i="5"/>
  <c r="AB488" i="5"/>
  <c r="AB496" i="5"/>
  <c r="AB504" i="5"/>
  <c r="AB512" i="5"/>
  <c r="AB520" i="5"/>
  <c r="AB528" i="5"/>
  <c r="AB536" i="5"/>
  <c r="AB544" i="5"/>
  <c r="AB552" i="5"/>
  <c r="AB560" i="5"/>
  <c r="AB568" i="5"/>
  <c r="AB576" i="5"/>
  <c r="AB9" i="5"/>
  <c r="AB17" i="5"/>
  <c r="AB25" i="5"/>
  <c r="AB33" i="5"/>
  <c r="AB41" i="5"/>
  <c r="AB49" i="5"/>
  <c r="AB57" i="5"/>
  <c r="AB65" i="5"/>
  <c r="AB73" i="5"/>
  <c r="AB81" i="5"/>
  <c r="AB89" i="5"/>
  <c r="AB97" i="5"/>
  <c r="AB105" i="5"/>
  <c r="AB113" i="5"/>
  <c r="AB121" i="5"/>
  <c r="AB129" i="5"/>
  <c r="AB137" i="5"/>
  <c r="AB145" i="5"/>
  <c r="AB153" i="5"/>
  <c r="AB161" i="5"/>
  <c r="AB169" i="5"/>
  <c r="AB177" i="5"/>
  <c r="AB185" i="5"/>
  <c r="AB193" i="5"/>
  <c r="AB201" i="5"/>
  <c r="AB209" i="5"/>
  <c r="AB217" i="5"/>
  <c r="AB225" i="5"/>
  <c r="AB233" i="5"/>
  <c r="AB241" i="5"/>
  <c r="AB249" i="5"/>
  <c r="AB257" i="5"/>
  <c r="AB265" i="5"/>
  <c r="AB273" i="5"/>
  <c r="AB281" i="5"/>
  <c r="AB289" i="5"/>
  <c r="AB297" i="5"/>
  <c r="AB305" i="5"/>
  <c r="AB313" i="5"/>
  <c r="AB321" i="5"/>
  <c r="AB329" i="5"/>
  <c r="AB337" i="5"/>
  <c r="AB345" i="5"/>
  <c r="AB353" i="5"/>
  <c r="AB361" i="5"/>
  <c r="AB369" i="5"/>
  <c r="AB377" i="5"/>
  <c r="AB385" i="5"/>
  <c r="AB393" i="5"/>
  <c r="AB401" i="5"/>
  <c r="AB409" i="5"/>
  <c r="AB417" i="5"/>
  <c r="AB425" i="5"/>
  <c r="AB433" i="5"/>
  <c r="AB441" i="5"/>
  <c r="AB449" i="5"/>
  <c r="AB457" i="5"/>
  <c r="AB465" i="5"/>
  <c r="AB473" i="5"/>
  <c r="AB481" i="5"/>
  <c r="AB489" i="5"/>
  <c r="AB497" i="5"/>
  <c r="AB505" i="5"/>
  <c r="AB513" i="5"/>
  <c r="AB521" i="5"/>
  <c r="AB529" i="5"/>
  <c r="AB537" i="5"/>
  <c r="AB545" i="5"/>
  <c r="AB553" i="5"/>
  <c r="AB561" i="5"/>
  <c r="AB569" i="5"/>
  <c r="AB577" i="5"/>
  <c r="AB585" i="5"/>
  <c r="AB593" i="5"/>
  <c r="AB584" i="5"/>
  <c r="AB622" i="5"/>
  <c r="AB639" i="5"/>
  <c r="AB652" i="5"/>
  <c r="AB663" i="5"/>
  <c r="AB673" i="5"/>
  <c r="AB682" i="5"/>
  <c r="AB690" i="5"/>
  <c r="AB698" i="5"/>
  <c r="AB706" i="5"/>
  <c r="AB714" i="5"/>
  <c r="AB722" i="5"/>
  <c r="AB730" i="5"/>
  <c r="AB738" i="5"/>
  <c r="AB746" i="5"/>
  <c r="AB754" i="5"/>
  <c r="AB762" i="5"/>
  <c r="AB770" i="5"/>
  <c r="AB778" i="5"/>
  <c r="AB786" i="5"/>
  <c r="AB794" i="5"/>
  <c r="AB802" i="5"/>
  <c r="AB810" i="5"/>
  <c r="AB818" i="5"/>
  <c r="AB826" i="5"/>
  <c r="AB834" i="5"/>
  <c r="AB842" i="5"/>
  <c r="AB850" i="5"/>
  <c r="AB858" i="5"/>
  <c r="AB866" i="5"/>
  <c r="AB874" i="5"/>
  <c r="AB882" i="5"/>
  <c r="AB890" i="5"/>
  <c r="AB898" i="5"/>
  <c r="AB906" i="5"/>
  <c r="AB914" i="5"/>
  <c r="AB922" i="5"/>
  <c r="AB930" i="5"/>
  <c r="AB938" i="5"/>
  <c r="AB946" i="5"/>
  <c r="AB954" i="5"/>
  <c r="AB962" i="5"/>
  <c r="AB970" i="5"/>
  <c r="AB978" i="5"/>
  <c r="AB986" i="5"/>
  <c r="AB994" i="5"/>
  <c r="AB1002" i="5"/>
  <c r="AB1010" i="5"/>
  <c r="AB1018" i="5"/>
  <c r="AB1026" i="5"/>
  <c r="AB1034" i="5"/>
  <c r="AB1042" i="5"/>
  <c r="AB1050" i="5"/>
  <c r="AB1058" i="5"/>
  <c r="AB1066" i="5"/>
  <c r="AB1074" i="5"/>
  <c r="AB1082" i="5"/>
  <c r="AB1090" i="5"/>
  <c r="AB1098" i="5"/>
  <c r="AB1106" i="5"/>
  <c r="AB1114" i="5"/>
  <c r="AB1122" i="5"/>
  <c r="AB1130" i="5"/>
  <c r="AB1138" i="5"/>
  <c r="AB1146" i="5"/>
  <c r="AB1154" i="5"/>
  <c r="AB1162" i="5"/>
  <c r="AB1170" i="5"/>
  <c r="AB1178" i="5"/>
  <c r="AB1186" i="5"/>
  <c r="AB1194" i="5"/>
  <c r="AB1202" i="5"/>
  <c r="AB1210" i="5"/>
  <c r="AB1218" i="5"/>
  <c r="AB1226" i="5"/>
  <c r="AB1234" i="5"/>
  <c r="AB1242" i="5"/>
  <c r="AB1250" i="5"/>
  <c r="AB1258" i="5"/>
  <c r="AB1266" i="5"/>
  <c r="AB1274" i="5"/>
  <c r="AB1282" i="5"/>
  <c r="AB1290" i="5"/>
  <c r="AB1298" i="5"/>
  <c r="AB592" i="5"/>
  <c r="AB624" i="5"/>
  <c r="AB640" i="5"/>
  <c r="AB654" i="5"/>
  <c r="AB664" i="5"/>
  <c r="AB674" i="5"/>
  <c r="AB683" i="5"/>
  <c r="AB691" i="5"/>
  <c r="AB699" i="5"/>
  <c r="AB707" i="5"/>
  <c r="AB715" i="5"/>
  <c r="AB723" i="5"/>
  <c r="AB731" i="5"/>
  <c r="AB739" i="5"/>
  <c r="AB747" i="5"/>
  <c r="AB755" i="5"/>
  <c r="AB763" i="5"/>
  <c r="AB771" i="5"/>
  <c r="AB779" i="5"/>
  <c r="AB787" i="5"/>
  <c r="AB795" i="5"/>
  <c r="AB803" i="5"/>
  <c r="AB811" i="5"/>
  <c r="AB819" i="5"/>
  <c r="AB827" i="5"/>
  <c r="AB835" i="5"/>
  <c r="AB843" i="5"/>
  <c r="AB851" i="5"/>
  <c r="AB859" i="5"/>
  <c r="AB867" i="5"/>
  <c r="AB875" i="5"/>
  <c r="AB883" i="5"/>
  <c r="AB891" i="5"/>
  <c r="AB899" i="5"/>
  <c r="AB907" i="5"/>
  <c r="AB915" i="5"/>
  <c r="AB923" i="5"/>
  <c r="AB931" i="5"/>
  <c r="AB939" i="5"/>
  <c r="AB947" i="5"/>
  <c r="AB955" i="5"/>
  <c r="AB963" i="5"/>
  <c r="AB971" i="5"/>
  <c r="AB979" i="5"/>
  <c r="AB987" i="5"/>
  <c r="AB995" i="5"/>
  <c r="AB1003" i="5"/>
  <c r="AB1011" i="5"/>
  <c r="AB1019" i="5"/>
  <c r="AB1027" i="5"/>
  <c r="AB1035" i="5"/>
  <c r="AB1043" i="5"/>
  <c r="AB1051" i="5"/>
  <c r="AB1059" i="5"/>
  <c r="AB1067" i="5"/>
  <c r="AB1075" i="5"/>
  <c r="AB1083" i="5"/>
  <c r="AB1091" i="5"/>
  <c r="AB1099" i="5"/>
  <c r="AB1107" i="5"/>
  <c r="AB1115" i="5"/>
  <c r="AB1123" i="5"/>
  <c r="AB1131" i="5"/>
  <c r="AB1139" i="5"/>
  <c r="AB1147" i="5"/>
  <c r="AB1155" i="5"/>
  <c r="AB1163" i="5"/>
  <c r="AB1171" i="5"/>
  <c r="AB1179" i="5"/>
  <c r="AB1187" i="5"/>
  <c r="AB1195" i="5"/>
  <c r="AB1203" i="5"/>
  <c r="AB1211" i="5"/>
  <c r="AB1219" i="5"/>
  <c r="AB1227" i="5"/>
  <c r="AB1235" i="5"/>
  <c r="AB1243" i="5"/>
  <c r="AB1251" i="5"/>
  <c r="AB600" i="5"/>
  <c r="AB625" i="5"/>
  <c r="AB641" i="5"/>
  <c r="AB655" i="5"/>
  <c r="AB665" i="5"/>
  <c r="AB676" i="5"/>
  <c r="AB684" i="5"/>
  <c r="AB692" i="5"/>
  <c r="AB700" i="5"/>
  <c r="AB708" i="5"/>
  <c r="AB716" i="5"/>
  <c r="AB724" i="5"/>
  <c r="AB732" i="5"/>
  <c r="AB740" i="5"/>
  <c r="AB748" i="5"/>
  <c r="AB756" i="5"/>
  <c r="AB764" i="5"/>
  <c r="AB772" i="5"/>
  <c r="AB780" i="5"/>
  <c r="AB788" i="5"/>
  <c r="AB796" i="5"/>
  <c r="AB804" i="5"/>
  <c r="AB812" i="5"/>
  <c r="AB820" i="5"/>
  <c r="AB828" i="5"/>
  <c r="AB836" i="5"/>
  <c r="AB844" i="5"/>
  <c r="AB852" i="5"/>
  <c r="AB860" i="5"/>
  <c r="AB868" i="5"/>
  <c r="AB876" i="5"/>
  <c r="AB884" i="5"/>
  <c r="AB892" i="5"/>
  <c r="AB900" i="5"/>
  <c r="AB908" i="5"/>
  <c r="AB916" i="5"/>
  <c r="AB924" i="5"/>
  <c r="AB932" i="5"/>
  <c r="AB940" i="5"/>
  <c r="AB948" i="5"/>
  <c r="AB956" i="5"/>
  <c r="AB964" i="5"/>
  <c r="AB972" i="5"/>
  <c r="AB980" i="5"/>
  <c r="AB988" i="5"/>
  <c r="AB996" i="5"/>
  <c r="AB1004" i="5"/>
  <c r="AB1012" i="5"/>
  <c r="AB1020" i="5"/>
  <c r="AB1028" i="5"/>
  <c r="AB1036" i="5"/>
  <c r="AB1044" i="5"/>
  <c r="AB1052" i="5"/>
  <c r="AB1060" i="5"/>
  <c r="AB1068" i="5"/>
  <c r="AB1076" i="5"/>
  <c r="AB1084" i="5"/>
  <c r="AB1092" i="5"/>
  <c r="AB1100" i="5"/>
  <c r="AB1108" i="5"/>
  <c r="AB1116" i="5"/>
  <c r="AB1124" i="5"/>
  <c r="AB1132" i="5"/>
  <c r="AB1140" i="5"/>
  <c r="AB1148" i="5"/>
  <c r="AB1156" i="5"/>
  <c r="AB1164" i="5"/>
  <c r="AB1172" i="5"/>
  <c r="AB1180" i="5"/>
  <c r="AB1188" i="5"/>
  <c r="AB1196" i="5"/>
  <c r="AB1204" i="5"/>
  <c r="AB1212" i="5"/>
  <c r="AB1220" i="5"/>
  <c r="AB1228" i="5"/>
  <c r="AB1236" i="5"/>
  <c r="AB1244" i="5"/>
  <c r="AB1252" i="5"/>
  <c r="AB1260" i="5"/>
  <c r="AB1268" i="5"/>
  <c r="AB1276" i="5"/>
  <c r="AB1284" i="5"/>
  <c r="AB1292" i="5"/>
  <c r="AB1300" i="5"/>
  <c r="AB601" i="5"/>
  <c r="AB630" i="5"/>
  <c r="AB644" i="5"/>
  <c r="AB656" i="5"/>
  <c r="AB666" i="5"/>
  <c r="AB677" i="5"/>
  <c r="AB685" i="5"/>
  <c r="AB693" i="5"/>
  <c r="AB701" i="5"/>
  <c r="AB709" i="5"/>
  <c r="AB717" i="5"/>
  <c r="AB725" i="5"/>
  <c r="AB733" i="5"/>
  <c r="AB741" i="5"/>
  <c r="AB749" i="5"/>
  <c r="AB757" i="5"/>
  <c r="AB765" i="5"/>
  <c r="AB773" i="5"/>
  <c r="AB781" i="5"/>
  <c r="AB789" i="5"/>
  <c r="AB797" i="5"/>
  <c r="AB805" i="5"/>
  <c r="AB813" i="5"/>
  <c r="AB821" i="5"/>
  <c r="AB829" i="5"/>
  <c r="AB837" i="5"/>
  <c r="AB845" i="5"/>
  <c r="AB853" i="5"/>
  <c r="AB861" i="5"/>
  <c r="AB869" i="5"/>
  <c r="AB877" i="5"/>
  <c r="AB885" i="5"/>
  <c r="AB893" i="5"/>
  <c r="AB901" i="5"/>
  <c r="AB909" i="5"/>
  <c r="AB917" i="5"/>
  <c r="AB925" i="5"/>
  <c r="AB933" i="5"/>
  <c r="AB941" i="5"/>
  <c r="AB949" i="5"/>
  <c r="AB957" i="5"/>
  <c r="AB965" i="5"/>
  <c r="AB973" i="5"/>
  <c r="AB981" i="5"/>
  <c r="AB989" i="5"/>
  <c r="AB997" i="5"/>
  <c r="AB1005" i="5"/>
  <c r="AB1013" i="5"/>
  <c r="AB1021" i="5"/>
  <c r="AB1029" i="5"/>
  <c r="AB1037" i="5"/>
  <c r="AB1045" i="5"/>
  <c r="AB1053" i="5"/>
  <c r="AB1061" i="5"/>
  <c r="AB1069" i="5"/>
  <c r="AB1077" i="5"/>
  <c r="AB1085" i="5"/>
  <c r="AB1093" i="5"/>
  <c r="AB1101" i="5"/>
  <c r="AB1109" i="5"/>
  <c r="AB1117" i="5"/>
  <c r="AB1125" i="5"/>
  <c r="AB1133" i="5"/>
  <c r="AB1141" i="5"/>
  <c r="AB1149" i="5"/>
  <c r="AB1157" i="5"/>
  <c r="AB1165" i="5"/>
  <c r="AB1173" i="5"/>
  <c r="AB1181" i="5"/>
  <c r="AB1189" i="5"/>
  <c r="AB1197" i="5"/>
  <c r="AB1205" i="5"/>
  <c r="AB1213" i="5"/>
  <c r="AB1221" i="5"/>
  <c r="AB1229" i="5"/>
  <c r="AB1237" i="5"/>
  <c r="AB1245" i="5"/>
  <c r="AB1253" i="5"/>
  <c r="AB1261" i="5"/>
  <c r="AB1269" i="5"/>
  <c r="AB1277" i="5"/>
  <c r="AB1285" i="5"/>
  <c r="AB1293" i="5"/>
  <c r="AB1301" i="5"/>
  <c r="AB608" i="5"/>
  <c r="AB632" i="5"/>
  <c r="AB646" i="5"/>
  <c r="AB657" i="5"/>
  <c r="AB668" i="5"/>
  <c r="AB678" i="5"/>
  <c r="AB686" i="5"/>
  <c r="AB694" i="5"/>
  <c r="AB702" i="5"/>
  <c r="AB710" i="5"/>
  <c r="AB718" i="5"/>
  <c r="AB726" i="5"/>
  <c r="AB734" i="5"/>
  <c r="AB742" i="5"/>
  <c r="AB750" i="5"/>
  <c r="AB758" i="5"/>
  <c r="AB766" i="5"/>
  <c r="AB774" i="5"/>
  <c r="AB782" i="5"/>
  <c r="AB790" i="5"/>
  <c r="AB798" i="5"/>
  <c r="AB806" i="5"/>
  <c r="AB814" i="5"/>
  <c r="AB822" i="5"/>
  <c r="AB830" i="5"/>
  <c r="AB838" i="5"/>
  <c r="AB846" i="5"/>
  <c r="AB854" i="5"/>
  <c r="AB862" i="5"/>
  <c r="AB870" i="5"/>
  <c r="AB878" i="5"/>
  <c r="AB886" i="5"/>
  <c r="AB894" i="5"/>
  <c r="AB902" i="5"/>
  <c r="AB910" i="5"/>
  <c r="AB918" i="5"/>
  <c r="AB926" i="5"/>
  <c r="AB934" i="5"/>
  <c r="AB942" i="5"/>
  <c r="AB950" i="5"/>
  <c r="AB958" i="5"/>
  <c r="AB966" i="5"/>
  <c r="AB974" i="5"/>
  <c r="AB982" i="5"/>
  <c r="AB990" i="5"/>
  <c r="AB998" i="5"/>
  <c r="AB1006" i="5"/>
  <c r="AB1014" i="5"/>
  <c r="AB1022" i="5"/>
  <c r="AB1030" i="5"/>
  <c r="AB1038" i="5"/>
  <c r="AB1046" i="5"/>
  <c r="AB1054" i="5"/>
  <c r="AB1062" i="5"/>
  <c r="AB1070" i="5"/>
  <c r="AB1078" i="5"/>
  <c r="AB1086" i="5"/>
  <c r="AB1094" i="5"/>
  <c r="AB1102" i="5"/>
  <c r="AB1110" i="5"/>
  <c r="AB1118" i="5"/>
  <c r="AB1126" i="5"/>
  <c r="AB1134" i="5"/>
  <c r="AB1142" i="5"/>
  <c r="AB1150" i="5"/>
  <c r="AB1158" i="5"/>
  <c r="AB1166" i="5"/>
  <c r="AB1174" i="5"/>
  <c r="AB1182" i="5"/>
  <c r="AB1190" i="5"/>
  <c r="AB1198" i="5"/>
  <c r="AB1206" i="5"/>
  <c r="AB1214" i="5"/>
  <c r="AB1222" i="5"/>
  <c r="AB1230" i="5"/>
  <c r="AB1238" i="5"/>
  <c r="AB1246" i="5"/>
  <c r="AB1254" i="5"/>
  <c r="AB1262" i="5"/>
  <c r="AB609" i="5"/>
  <c r="AB633" i="5"/>
  <c r="AB647" i="5"/>
  <c r="AB658" i="5"/>
  <c r="AB670" i="5"/>
  <c r="AB679" i="5"/>
  <c r="AB687" i="5"/>
  <c r="AB695" i="5"/>
  <c r="AB703" i="5"/>
  <c r="AB711" i="5"/>
  <c r="AB719" i="5"/>
  <c r="AB727" i="5"/>
  <c r="AB735" i="5"/>
  <c r="AB743" i="5"/>
  <c r="AB751" i="5"/>
  <c r="AB759" i="5"/>
  <c r="AB767" i="5"/>
  <c r="AB775" i="5"/>
  <c r="AB783" i="5"/>
  <c r="AB791" i="5"/>
  <c r="AB799" i="5"/>
  <c r="AB807" i="5"/>
  <c r="AB815" i="5"/>
  <c r="AB823" i="5"/>
  <c r="AB831" i="5"/>
  <c r="AB839" i="5"/>
  <c r="AB847" i="5"/>
  <c r="AB855" i="5"/>
  <c r="AB863" i="5"/>
  <c r="AB871" i="5"/>
  <c r="AB879" i="5"/>
  <c r="AB887" i="5"/>
  <c r="AB895" i="5"/>
  <c r="AB903" i="5"/>
  <c r="AB911" i="5"/>
  <c r="AB919" i="5"/>
  <c r="AB927" i="5"/>
  <c r="AB935" i="5"/>
  <c r="AB943" i="5"/>
  <c r="AB951" i="5"/>
  <c r="AB959" i="5"/>
  <c r="AB967" i="5"/>
  <c r="AB975" i="5"/>
  <c r="AB983" i="5"/>
  <c r="AB991" i="5"/>
  <c r="AB999" i="5"/>
  <c r="AB1007" i="5"/>
  <c r="AB1015" i="5"/>
  <c r="AB1023" i="5"/>
  <c r="AB1031" i="5"/>
  <c r="AB1039" i="5"/>
  <c r="AB1047" i="5"/>
  <c r="AB1055" i="5"/>
  <c r="AB1063" i="5"/>
  <c r="AB1071" i="5"/>
  <c r="AB1079" i="5"/>
  <c r="AB1087" i="5"/>
  <c r="AB1095" i="5"/>
  <c r="AB1103" i="5"/>
  <c r="AB1111" i="5"/>
  <c r="AB1119" i="5"/>
  <c r="AB1127" i="5"/>
  <c r="AB1135" i="5"/>
  <c r="AB1143" i="5"/>
  <c r="AB1151" i="5"/>
  <c r="AB1159" i="5"/>
  <c r="AB1167" i="5"/>
  <c r="AB1175" i="5"/>
  <c r="AB1183" i="5"/>
  <c r="AB1191" i="5"/>
  <c r="AB1199" i="5"/>
  <c r="AB1207" i="5"/>
  <c r="AB1215" i="5"/>
  <c r="AB1223" i="5"/>
  <c r="AB1231" i="5"/>
  <c r="AB1239" i="5"/>
  <c r="AB1247" i="5"/>
  <c r="AB1255" i="5"/>
  <c r="AB1263" i="5"/>
  <c r="AB1271" i="5"/>
  <c r="AB1279" i="5"/>
  <c r="AB1287" i="5"/>
  <c r="AB1295" i="5"/>
  <c r="AB616" i="5"/>
  <c r="AB636" i="5"/>
  <c r="AB648" i="5"/>
  <c r="AB660" i="5"/>
  <c r="AB671" i="5"/>
  <c r="AB680" i="5"/>
  <c r="AB688" i="5"/>
  <c r="AB696" i="5"/>
  <c r="AB704" i="5"/>
  <c r="AB712" i="5"/>
  <c r="AB720" i="5"/>
  <c r="AB728" i="5"/>
  <c r="AB736" i="5"/>
  <c r="AB744" i="5"/>
  <c r="AB752" i="5"/>
  <c r="AB760" i="5"/>
  <c r="AB768" i="5"/>
  <c r="AB776" i="5"/>
  <c r="AB784" i="5"/>
  <c r="AB792" i="5"/>
  <c r="AB800" i="5"/>
  <c r="AB808" i="5"/>
  <c r="AB816" i="5"/>
  <c r="AB824" i="5"/>
  <c r="AB832" i="5"/>
  <c r="AB840" i="5"/>
  <c r="AB848" i="5"/>
  <c r="AB856" i="5"/>
  <c r="AB864" i="5"/>
  <c r="AB872" i="5"/>
  <c r="AB880" i="5"/>
  <c r="AB888" i="5"/>
  <c r="AB896" i="5"/>
  <c r="AB904" i="5"/>
  <c r="AB912" i="5"/>
  <c r="AB920" i="5"/>
  <c r="AB928" i="5"/>
  <c r="AB936" i="5"/>
  <c r="AB944" i="5"/>
  <c r="AB952" i="5"/>
  <c r="AB960" i="5"/>
  <c r="AB968" i="5"/>
  <c r="AB976" i="5"/>
  <c r="AB984" i="5"/>
  <c r="AB992" i="5"/>
  <c r="AB1000" i="5"/>
  <c r="AB1008" i="5"/>
  <c r="AB1016" i="5"/>
  <c r="AB1024" i="5"/>
  <c r="AB1032" i="5"/>
  <c r="AB1040" i="5"/>
  <c r="AB1048" i="5"/>
  <c r="AB1056" i="5"/>
  <c r="AB1064" i="5"/>
  <c r="AB1072" i="5"/>
  <c r="AB1080" i="5"/>
  <c r="AB1088" i="5"/>
  <c r="AB1096" i="5"/>
  <c r="AB1104" i="5"/>
  <c r="AB1112" i="5"/>
  <c r="AB1120" i="5"/>
  <c r="AB1128" i="5"/>
  <c r="AB1136" i="5"/>
  <c r="AB1144" i="5"/>
  <c r="AB1152" i="5"/>
  <c r="AB1160" i="5"/>
  <c r="AB1168" i="5"/>
  <c r="AB1176" i="5"/>
  <c r="AB1184" i="5"/>
  <c r="AB1192" i="5"/>
  <c r="AB1200" i="5"/>
  <c r="AB1208" i="5"/>
  <c r="AB1216" i="5"/>
  <c r="AB1224" i="5"/>
  <c r="AB1232" i="5"/>
  <c r="AB1240" i="5"/>
  <c r="AB1248" i="5"/>
  <c r="AB1256" i="5"/>
  <c r="AB1264" i="5"/>
  <c r="AB1272" i="5"/>
  <c r="AB1280" i="5"/>
  <c r="AB1288" i="5"/>
  <c r="AB1296" i="5"/>
  <c r="AB1304" i="5"/>
  <c r="AB1312" i="5"/>
  <c r="AB617" i="5"/>
  <c r="AB638" i="5"/>
  <c r="AB649" i="5"/>
  <c r="AB662" i="5"/>
  <c r="AB672" i="5"/>
  <c r="AB681" i="5"/>
  <c r="AB689" i="5"/>
  <c r="AB697" i="5"/>
  <c r="AB705" i="5"/>
  <c r="AB713" i="5"/>
  <c r="AB721" i="5"/>
  <c r="AB729" i="5"/>
  <c r="AB737" i="5"/>
  <c r="AB745" i="5"/>
  <c r="AB753" i="5"/>
  <c r="AB761" i="5"/>
  <c r="AB769" i="5"/>
  <c r="AB777" i="5"/>
  <c r="AB785" i="5"/>
  <c r="AB793" i="5"/>
  <c r="AB801" i="5"/>
  <c r="AB809" i="5"/>
  <c r="AB817" i="5"/>
  <c r="AB825" i="5"/>
  <c r="AB833" i="5"/>
  <c r="AB841" i="5"/>
  <c r="AB849" i="5"/>
  <c r="AB857" i="5"/>
  <c r="AB865" i="5"/>
  <c r="AB873" i="5"/>
  <c r="AB881" i="5"/>
  <c r="AB889" i="5"/>
  <c r="AB897" i="5"/>
  <c r="AB905" i="5"/>
  <c r="AB913" i="5"/>
  <c r="AB921" i="5"/>
  <c r="AB929" i="5"/>
  <c r="AB937" i="5"/>
  <c r="AB945" i="5"/>
  <c r="AB953" i="5"/>
  <c r="AB961" i="5"/>
  <c r="AB969" i="5"/>
  <c r="AB977" i="5"/>
  <c r="AB985" i="5"/>
  <c r="AB993" i="5"/>
  <c r="AB1001" i="5"/>
  <c r="AB1009" i="5"/>
  <c r="AB1017" i="5"/>
  <c r="AB1025" i="5"/>
  <c r="AB1033" i="5"/>
  <c r="AB1041" i="5"/>
  <c r="AB1049" i="5"/>
  <c r="AB1057" i="5"/>
  <c r="AB1065" i="5"/>
  <c r="AB1073" i="5"/>
  <c r="AB1081" i="5"/>
  <c r="AB1089" i="5"/>
  <c r="AB1097" i="5"/>
  <c r="AB1105" i="5"/>
  <c r="AB1113" i="5"/>
  <c r="AB1121" i="5"/>
  <c r="AB1129" i="5"/>
  <c r="AB1137" i="5"/>
  <c r="AB1145" i="5"/>
  <c r="AB1153" i="5"/>
  <c r="AB1161" i="5"/>
  <c r="AB1169" i="5"/>
  <c r="AB1177" i="5"/>
  <c r="AB1185" i="5"/>
  <c r="AB1193" i="5"/>
  <c r="AB1201" i="5"/>
  <c r="AB1209" i="5"/>
  <c r="AB1217" i="5"/>
  <c r="AB1225" i="5"/>
  <c r="AB1233" i="5"/>
  <c r="AB1241" i="5"/>
  <c r="AB1275" i="5"/>
  <c r="AB1297" i="5"/>
  <c r="AB1309" i="5"/>
  <c r="AB1318" i="5"/>
  <c r="AB1326" i="5"/>
  <c r="AB1334" i="5"/>
  <c r="AB1342" i="5"/>
  <c r="AB1350" i="5"/>
  <c r="AB1358" i="5"/>
  <c r="AB1366" i="5"/>
  <c r="AB1374" i="5"/>
  <c r="AB1382" i="5"/>
  <c r="AB1390" i="5"/>
  <c r="AB1398" i="5"/>
  <c r="AB1406" i="5"/>
  <c r="AB1414" i="5"/>
  <c r="AB1422" i="5"/>
  <c r="AB1430" i="5"/>
  <c r="AB1438" i="5"/>
  <c r="AB1446" i="5"/>
  <c r="AB1454" i="5"/>
  <c r="AB1462" i="5"/>
  <c r="AB1470" i="5"/>
  <c r="AB1478" i="5"/>
  <c r="AB1486" i="5"/>
  <c r="AB1494" i="5"/>
  <c r="AB1502" i="5"/>
  <c r="AB1510" i="5"/>
  <c r="AB1518" i="5"/>
  <c r="AB1526" i="5"/>
  <c r="AB1534" i="5"/>
  <c r="AB1542" i="5"/>
  <c r="AB1550" i="5"/>
  <c r="AB1558" i="5"/>
  <c r="AB1566" i="5"/>
  <c r="AB1574" i="5"/>
  <c r="AB1582" i="5"/>
  <c r="AB1590" i="5"/>
  <c r="AB1598" i="5"/>
  <c r="AB1606" i="5"/>
  <c r="AB1614" i="5"/>
  <c r="AB1622" i="5"/>
  <c r="AB1630" i="5"/>
  <c r="AB1638" i="5"/>
  <c r="AB1646" i="5"/>
  <c r="AB1654" i="5"/>
  <c r="AB1662" i="5"/>
  <c r="AB1670" i="5"/>
  <c r="AB1678" i="5"/>
  <c r="AB1686" i="5"/>
  <c r="AB1694" i="5"/>
  <c r="AB1702" i="5"/>
  <c r="AB1710" i="5"/>
  <c r="AB1718" i="5"/>
  <c r="AB1726" i="5"/>
  <c r="AB1734" i="5"/>
  <c r="AB1742" i="5"/>
  <c r="AB1750" i="5"/>
  <c r="AB1758" i="5"/>
  <c r="AB1766" i="5"/>
  <c r="AB1774" i="5"/>
  <c r="AB1782" i="5"/>
  <c r="AB1790" i="5"/>
  <c r="AB1798" i="5"/>
  <c r="AB1806" i="5"/>
  <c r="AB1814" i="5"/>
  <c r="AB1822" i="5"/>
  <c r="AB1830" i="5"/>
  <c r="AB1838" i="5"/>
  <c r="AB1846" i="5"/>
  <c r="AB1854" i="5"/>
  <c r="AB1862" i="5"/>
  <c r="AB1870" i="5"/>
  <c r="AB1878" i="5"/>
  <c r="AB1886" i="5"/>
  <c r="AB1894" i="5"/>
  <c r="AB1902" i="5"/>
  <c r="AB1910" i="5"/>
  <c r="AB1918" i="5"/>
  <c r="AB1926" i="5"/>
  <c r="AB1934" i="5"/>
  <c r="AB1249" i="5"/>
  <c r="AB1278" i="5"/>
  <c r="AB1299" i="5"/>
  <c r="AB1310" i="5"/>
  <c r="AB1319" i="5"/>
  <c r="AB1327" i="5"/>
  <c r="AB1335" i="5"/>
  <c r="AB1343" i="5"/>
  <c r="AB1351" i="5"/>
  <c r="AB1359" i="5"/>
  <c r="AB1367" i="5"/>
  <c r="AB1375" i="5"/>
  <c r="AB1383" i="5"/>
  <c r="AB1391" i="5"/>
  <c r="AB1399" i="5"/>
  <c r="AB1407" i="5"/>
  <c r="AB1415" i="5"/>
  <c r="AB1423" i="5"/>
  <c r="AB1431" i="5"/>
  <c r="AB1439" i="5"/>
  <c r="AB1447" i="5"/>
  <c r="AB1455" i="5"/>
  <c r="AB1463" i="5"/>
  <c r="AB1471" i="5"/>
  <c r="AB1479" i="5"/>
  <c r="AB1487" i="5"/>
  <c r="AB1495" i="5"/>
  <c r="AB1503" i="5"/>
  <c r="AB1511" i="5"/>
  <c r="AB1519" i="5"/>
  <c r="AB1527" i="5"/>
  <c r="AB1535" i="5"/>
  <c r="AB1543" i="5"/>
  <c r="AB1551" i="5"/>
  <c r="AB1559" i="5"/>
  <c r="AB1567" i="5"/>
  <c r="AB1575" i="5"/>
  <c r="AB1583" i="5"/>
  <c r="AB1591" i="5"/>
  <c r="AB1599" i="5"/>
  <c r="AB1607" i="5"/>
  <c r="AB1615" i="5"/>
  <c r="AB1623" i="5"/>
  <c r="AB1631" i="5"/>
  <c r="AB1639" i="5"/>
  <c r="AB1647" i="5"/>
  <c r="AB1655" i="5"/>
  <c r="AB1663" i="5"/>
  <c r="AB1671" i="5"/>
  <c r="AB1679" i="5"/>
  <c r="AB1687" i="5"/>
  <c r="AB1695" i="5"/>
  <c r="AB1703" i="5"/>
  <c r="AB1711" i="5"/>
  <c r="AB1719" i="5"/>
  <c r="AB1727" i="5"/>
  <c r="AB1735" i="5"/>
  <c r="AB1743" i="5"/>
  <c r="AB1751" i="5"/>
  <c r="AB1759" i="5"/>
  <c r="AB1767" i="5"/>
  <c r="AB1775" i="5"/>
  <c r="AB1783" i="5"/>
  <c r="AB1791" i="5"/>
  <c r="AB1799" i="5"/>
  <c r="AB1807" i="5"/>
  <c r="AB1815" i="5"/>
  <c r="AB1823" i="5"/>
  <c r="AB1831" i="5"/>
  <c r="AB1839" i="5"/>
  <c r="AB1847" i="5"/>
  <c r="AB1855" i="5"/>
  <c r="AB1863" i="5"/>
  <c r="AB1871" i="5"/>
  <c r="AB1879" i="5"/>
  <c r="AB1887" i="5"/>
  <c r="AB1895" i="5"/>
  <c r="AB1903" i="5"/>
  <c r="AB1911" i="5"/>
  <c r="AB1919" i="5"/>
  <c r="AB1927" i="5"/>
  <c r="AB1935" i="5"/>
  <c r="AB1943" i="5"/>
  <c r="AB1257" i="5"/>
  <c r="AB1281" i="5"/>
  <c r="AB1302" i="5"/>
  <c r="AB1311" i="5"/>
  <c r="AB1320" i="5"/>
  <c r="AB1328" i="5"/>
  <c r="AB1336" i="5"/>
  <c r="AB1344" i="5"/>
  <c r="AB1352" i="5"/>
  <c r="AB1360" i="5"/>
  <c r="AB1368" i="5"/>
  <c r="AB1376" i="5"/>
  <c r="AB1384" i="5"/>
  <c r="AB1392" i="5"/>
  <c r="AB1400" i="5"/>
  <c r="AB1408" i="5"/>
  <c r="AB1416" i="5"/>
  <c r="AB1424" i="5"/>
  <c r="AB1432" i="5"/>
  <c r="AB1440" i="5"/>
  <c r="AB1448" i="5"/>
  <c r="AB1456" i="5"/>
  <c r="AB1464" i="5"/>
  <c r="AB1472" i="5"/>
  <c r="AB1480" i="5"/>
  <c r="AB1488" i="5"/>
  <c r="AB1496" i="5"/>
  <c r="AB1504" i="5"/>
  <c r="AB1512" i="5"/>
  <c r="AB1520" i="5"/>
  <c r="AB1528" i="5"/>
  <c r="AB1536" i="5"/>
  <c r="AB1544" i="5"/>
  <c r="AB1552" i="5"/>
  <c r="AB1560" i="5"/>
  <c r="AB1568" i="5"/>
  <c r="AB1576" i="5"/>
  <c r="AB1584" i="5"/>
  <c r="AB1592" i="5"/>
  <c r="AB1600" i="5"/>
  <c r="AB1608" i="5"/>
  <c r="AB1616" i="5"/>
  <c r="AB1624" i="5"/>
  <c r="AB1632" i="5"/>
  <c r="AB1640" i="5"/>
  <c r="AB1648" i="5"/>
  <c r="AB1656" i="5"/>
  <c r="AB1664" i="5"/>
  <c r="AB1672" i="5"/>
  <c r="AB1680" i="5"/>
  <c r="AB1688" i="5"/>
  <c r="AB1696" i="5"/>
  <c r="AB1704" i="5"/>
  <c r="AB1712" i="5"/>
  <c r="AB1720" i="5"/>
  <c r="AB1728" i="5"/>
  <c r="AB1736" i="5"/>
  <c r="AB1744" i="5"/>
  <c r="AB1752" i="5"/>
  <c r="AB1760" i="5"/>
  <c r="AB1768" i="5"/>
  <c r="AB1776" i="5"/>
  <c r="AB1784" i="5"/>
  <c r="AB1792" i="5"/>
  <c r="AB1800" i="5"/>
  <c r="AB1808" i="5"/>
  <c r="AB1816" i="5"/>
  <c r="AB1824" i="5"/>
  <c r="AB1832" i="5"/>
  <c r="AB1840" i="5"/>
  <c r="AB1848" i="5"/>
  <c r="AB1856" i="5"/>
  <c r="AB1864" i="5"/>
  <c r="AB1872" i="5"/>
  <c r="AB1880" i="5"/>
  <c r="AB1888" i="5"/>
  <c r="AB1896" i="5"/>
  <c r="AB1904" i="5"/>
  <c r="AB1912" i="5"/>
  <c r="AB1920" i="5"/>
  <c r="AB1928" i="5"/>
  <c r="AB1936" i="5"/>
  <c r="AB1944" i="5"/>
  <c r="AB1952" i="5"/>
  <c r="AB1960" i="5"/>
  <c r="AB1259" i="5"/>
  <c r="AB1283" i="5"/>
  <c r="AB1303" i="5"/>
  <c r="AB1313" i="5"/>
  <c r="AB1321" i="5"/>
  <c r="AB1329" i="5"/>
  <c r="AB1337" i="5"/>
  <c r="AB1345" i="5"/>
  <c r="AB1353" i="5"/>
  <c r="AB1361" i="5"/>
  <c r="AB1369" i="5"/>
  <c r="AB1377" i="5"/>
  <c r="AB1385" i="5"/>
  <c r="AB1393" i="5"/>
  <c r="AB1401" i="5"/>
  <c r="AB1409" i="5"/>
  <c r="AB1417" i="5"/>
  <c r="AB1425" i="5"/>
  <c r="AB1433" i="5"/>
  <c r="AB1441" i="5"/>
  <c r="AB1449" i="5"/>
  <c r="AB1457" i="5"/>
  <c r="AB1465" i="5"/>
  <c r="AB1473" i="5"/>
  <c r="AB1481" i="5"/>
  <c r="AB1489" i="5"/>
  <c r="AB1497" i="5"/>
  <c r="AB1505" i="5"/>
  <c r="AB1513" i="5"/>
  <c r="AB1521" i="5"/>
  <c r="AB1529" i="5"/>
  <c r="AB1537" i="5"/>
  <c r="AB1545" i="5"/>
  <c r="AB1553" i="5"/>
  <c r="AB1561" i="5"/>
  <c r="AB1569" i="5"/>
  <c r="AB1577" i="5"/>
  <c r="AB1585" i="5"/>
  <c r="AB1593" i="5"/>
  <c r="AB1601" i="5"/>
  <c r="AB1609" i="5"/>
  <c r="AB1617" i="5"/>
  <c r="AB1625" i="5"/>
  <c r="AB1633" i="5"/>
  <c r="AB1641" i="5"/>
  <c r="AB1649" i="5"/>
  <c r="AB1657" i="5"/>
  <c r="AB1665" i="5"/>
  <c r="AB1673" i="5"/>
  <c r="AB1681" i="5"/>
  <c r="AB1689" i="5"/>
  <c r="AB1697" i="5"/>
  <c r="AB1705" i="5"/>
  <c r="AB1713" i="5"/>
  <c r="AB1721" i="5"/>
  <c r="AB1729" i="5"/>
  <c r="AB1737" i="5"/>
  <c r="AB1745" i="5"/>
  <c r="AB1753" i="5"/>
  <c r="AB1761" i="5"/>
  <c r="AB1769" i="5"/>
  <c r="AB1777" i="5"/>
  <c r="AB1785" i="5"/>
  <c r="AB1793" i="5"/>
  <c r="AB1801" i="5"/>
  <c r="AB1809" i="5"/>
  <c r="AB1817" i="5"/>
  <c r="AB1825" i="5"/>
  <c r="AB1833" i="5"/>
  <c r="AB1841" i="5"/>
  <c r="AB1849" i="5"/>
  <c r="AB1857" i="5"/>
  <c r="AB1865" i="5"/>
  <c r="AB1873" i="5"/>
  <c r="AB1881" i="5"/>
  <c r="AB1889" i="5"/>
  <c r="AB1897" i="5"/>
  <c r="AB1905" i="5"/>
  <c r="AB1265" i="5"/>
  <c r="AB1286" i="5"/>
  <c r="AB1305" i="5"/>
  <c r="AB1314" i="5"/>
  <c r="AB1322" i="5"/>
  <c r="AB1330" i="5"/>
  <c r="AB1338" i="5"/>
  <c r="AB1346" i="5"/>
  <c r="AB1354" i="5"/>
  <c r="AB1362" i="5"/>
  <c r="AB1370" i="5"/>
  <c r="AB1378" i="5"/>
  <c r="AB1386" i="5"/>
  <c r="AB1394" i="5"/>
  <c r="AB1402" i="5"/>
  <c r="AB1410" i="5"/>
  <c r="AB1418" i="5"/>
  <c r="AB1426" i="5"/>
  <c r="AB1434" i="5"/>
  <c r="AB1442" i="5"/>
  <c r="AB1450" i="5"/>
  <c r="AB1458" i="5"/>
  <c r="AB1466" i="5"/>
  <c r="AB1474" i="5"/>
  <c r="AB1482" i="5"/>
  <c r="AB1490" i="5"/>
  <c r="AB1498" i="5"/>
  <c r="AB1506" i="5"/>
  <c r="AB1514" i="5"/>
  <c r="AB1522" i="5"/>
  <c r="AB1530" i="5"/>
  <c r="AB1538" i="5"/>
  <c r="AB1546" i="5"/>
  <c r="AB1554" i="5"/>
  <c r="AB1562" i="5"/>
  <c r="AB1570" i="5"/>
  <c r="AB1578" i="5"/>
  <c r="AB1586" i="5"/>
  <c r="AB1594" i="5"/>
  <c r="AB1602" i="5"/>
  <c r="AB1610" i="5"/>
  <c r="AB1618" i="5"/>
  <c r="AB1626" i="5"/>
  <c r="AB1634" i="5"/>
  <c r="AB1642" i="5"/>
  <c r="AB1650" i="5"/>
  <c r="AB1658" i="5"/>
  <c r="AB1666" i="5"/>
  <c r="AB1674" i="5"/>
  <c r="AB1682" i="5"/>
  <c r="AB1690" i="5"/>
  <c r="AB1698" i="5"/>
  <c r="AB1706" i="5"/>
  <c r="AB1714" i="5"/>
  <c r="AB1722" i="5"/>
  <c r="AB1730" i="5"/>
  <c r="AB1738" i="5"/>
  <c r="AB1746" i="5"/>
  <c r="AB1754" i="5"/>
  <c r="AB1762" i="5"/>
  <c r="AB1770" i="5"/>
  <c r="AB1778" i="5"/>
  <c r="AB1786" i="5"/>
  <c r="AB1794" i="5"/>
  <c r="AB1802" i="5"/>
  <c r="AB1810" i="5"/>
  <c r="AB1818" i="5"/>
  <c r="AB1826" i="5"/>
  <c r="AB1834" i="5"/>
  <c r="AB1842" i="5"/>
  <c r="AB1850" i="5"/>
  <c r="AB1858" i="5"/>
  <c r="AB1866" i="5"/>
  <c r="AB1874" i="5"/>
  <c r="AB1882" i="5"/>
  <c r="AB1890" i="5"/>
  <c r="AB1898" i="5"/>
  <c r="AB1906" i="5"/>
  <c r="AB1914" i="5"/>
  <c r="AB1922" i="5"/>
  <c r="AB1930" i="5"/>
  <c r="AB1267" i="5"/>
  <c r="AB1289" i="5"/>
  <c r="AB1306" i="5"/>
  <c r="AB1315" i="5"/>
  <c r="AB1323" i="5"/>
  <c r="AB1331" i="5"/>
  <c r="AB1339" i="5"/>
  <c r="AB1347" i="5"/>
  <c r="AB1355" i="5"/>
  <c r="AB1363" i="5"/>
  <c r="AB1371" i="5"/>
  <c r="AB1379" i="5"/>
  <c r="AB1387" i="5"/>
  <c r="AB1395" i="5"/>
  <c r="AB1403" i="5"/>
  <c r="AB1411" i="5"/>
  <c r="AB1419" i="5"/>
  <c r="AB1427" i="5"/>
  <c r="AB1435" i="5"/>
  <c r="AB1443" i="5"/>
  <c r="AB1451" i="5"/>
  <c r="AB1459" i="5"/>
  <c r="AB1467" i="5"/>
  <c r="AB1475" i="5"/>
  <c r="AB1483" i="5"/>
  <c r="AB1491" i="5"/>
  <c r="AB1499" i="5"/>
  <c r="AB1507" i="5"/>
  <c r="AB1515" i="5"/>
  <c r="AB1523" i="5"/>
  <c r="AB1531" i="5"/>
  <c r="AB1539" i="5"/>
  <c r="AB1547" i="5"/>
  <c r="AB1555" i="5"/>
  <c r="AB1563" i="5"/>
  <c r="AB1571" i="5"/>
  <c r="AB1579" i="5"/>
  <c r="AB1587" i="5"/>
  <c r="AB1595" i="5"/>
  <c r="AB1603" i="5"/>
  <c r="AB1611" i="5"/>
  <c r="AB1619" i="5"/>
  <c r="AB1627" i="5"/>
  <c r="AB1635" i="5"/>
  <c r="AB1643" i="5"/>
  <c r="AB1651" i="5"/>
  <c r="AB1659" i="5"/>
  <c r="AB1667" i="5"/>
  <c r="AB1675" i="5"/>
  <c r="AB1683" i="5"/>
  <c r="AB1691" i="5"/>
  <c r="AB1699" i="5"/>
  <c r="AB1707" i="5"/>
  <c r="AB1715" i="5"/>
  <c r="AB1723" i="5"/>
  <c r="AB1731" i="5"/>
  <c r="AB1739" i="5"/>
  <c r="AB1747" i="5"/>
  <c r="AB1755" i="5"/>
  <c r="AB1763" i="5"/>
  <c r="AB1771" i="5"/>
  <c r="AB1779" i="5"/>
  <c r="AB1787" i="5"/>
  <c r="AB1795" i="5"/>
  <c r="AB1803" i="5"/>
  <c r="AB1811" i="5"/>
  <c r="AB1819" i="5"/>
  <c r="AB1827" i="5"/>
  <c r="AB1835" i="5"/>
  <c r="AB1843" i="5"/>
  <c r="AB1851" i="5"/>
  <c r="AB1859" i="5"/>
  <c r="AB1867" i="5"/>
  <c r="AB1875" i="5"/>
  <c r="AB1883" i="5"/>
  <c r="AB1891" i="5"/>
  <c r="AB1899" i="5"/>
  <c r="AB1907" i="5"/>
  <c r="AB1915" i="5"/>
  <c r="AB1923" i="5"/>
  <c r="AB1931" i="5"/>
  <c r="AB1939" i="5"/>
  <c r="AB1947" i="5"/>
  <c r="AB1955" i="5"/>
  <c r="AB1963" i="5"/>
  <c r="AB1270" i="5"/>
  <c r="AB1291" i="5"/>
  <c r="AB1307" i="5"/>
  <c r="AB1316" i="5"/>
  <c r="AB1324" i="5"/>
  <c r="AB1332" i="5"/>
  <c r="AB1340" i="5"/>
  <c r="AB1348" i="5"/>
  <c r="AB1356" i="5"/>
  <c r="AB1364" i="5"/>
  <c r="AB1372" i="5"/>
  <c r="AB1380" i="5"/>
  <c r="AB1388" i="5"/>
  <c r="AB1396" i="5"/>
  <c r="AB1404" i="5"/>
  <c r="AB1412" i="5"/>
  <c r="AB1420" i="5"/>
  <c r="AB1428" i="5"/>
  <c r="AB1436" i="5"/>
  <c r="AB1444" i="5"/>
  <c r="AB1452" i="5"/>
  <c r="AB1460" i="5"/>
  <c r="AB1468" i="5"/>
  <c r="AB1476" i="5"/>
  <c r="AB1484" i="5"/>
  <c r="AB1492" i="5"/>
  <c r="AB1500" i="5"/>
  <c r="AB1508" i="5"/>
  <c r="AB1516" i="5"/>
  <c r="AB1524" i="5"/>
  <c r="AB1532" i="5"/>
  <c r="AB1540" i="5"/>
  <c r="AB1548" i="5"/>
  <c r="AB1556" i="5"/>
  <c r="AB1564" i="5"/>
  <c r="AB1572" i="5"/>
  <c r="AB1580" i="5"/>
  <c r="AB1588" i="5"/>
  <c r="AB1596" i="5"/>
  <c r="AB1604" i="5"/>
  <c r="AB1612" i="5"/>
  <c r="AB1620" i="5"/>
  <c r="AB1628" i="5"/>
  <c r="AB1636" i="5"/>
  <c r="AB1644" i="5"/>
  <c r="AB1652" i="5"/>
  <c r="AB1660" i="5"/>
  <c r="AB1668" i="5"/>
  <c r="AB1676" i="5"/>
  <c r="AB1684" i="5"/>
  <c r="AB1692" i="5"/>
  <c r="AB1700" i="5"/>
  <c r="AB1708" i="5"/>
  <c r="AB1716" i="5"/>
  <c r="AB1724" i="5"/>
  <c r="AB1732" i="5"/>
  <c r="AB1740" i="5"/>
  <c r="AB1748" i="5"/>
  <c r="AB1756" i="5"/>
  <c r="AB1764" i="5"/>
  <c r="AB1772" i="5"/>
  <c r="AB1780" i="5"/>
  <c r="AB1788" i="5"/>
  <c r="AB1796" i="5"/>
  <c r="AB1804" i="5"/>
  <c r="AB1812" i="5"/>
  <c r="AB1820" i="5"/>
  <c r="AB1828" i="5"/>
  <c r="AB1836" i="5"/>
  <c r="AB1844" i="5"/>
  <c r="AB1852" i="5"/>
  <c r="AB1860" i="5"/>
  <c r="AB1868" i="5"/>
  <c r="AB1876" i="5"/>
  <c r="AB1884" i="5"/>
  <c r="AB1892" i="5"/>
  <c r="AB1900" i="5"/>
  <c r="AB1908" i="5"/>
  <c r="AB1916" i="5"/>
  <c r="AB1924" i="5"/>
  <c r="AB1932" i="5"/>
  <c r="AB1940" i="5"/>
  <c r="AB1948" i="5"/>
  <c r="AB1956" i="5"/>
  <c r="AB1964" i="5"/>
  <c r="AB1273" i="5"/>
  <c r="AB1294" i="5"/>
  <c r="AB1308" i="5"/>
  <c r="AB1317" i="5"/>
  <c r="AB1325" i="5"/>
  <c r="AB1333" i="5"/>
  <c r="AB1341" i="5"/>
  <c r="AB1349" i="5"/>
  <c r="AB1357" i="5"/>
  <c r="AB1365" i="5"/>
  <c r="AB1373" i="5"/>
  <c r="AB1381" i="5"/>
  <c r="AB1389" i="5"/>
  <c r="AB1397" i="5"/>
  <c r="AB1405" i="5"/>
  <c r="AB1413" i="5"/>
  <c r="AB1421" i="5"/>
  <c r="AB1429" i="5"/>
  <c r="AB1437" i="5"/>
  <c r="AB1445" i="5"/>
  <c r="AB1453" i="5"/>
  <c r="AB1461" i="5"/>
  <c r="AB1469" i="5"/>
  <c r="AB1477" i="5"/>
  <c r="AB1485" i="5"/>
  <c r="AB1493" i="5"/>
  <c r="AB1501" i="5"/>
  <c r="AB1509" i="5"/>
  <c r="AB1517" i="5"/>
  <c r="AB1525" i="5"/>
  <c r="AB1533" i="5"/>
  <c r="AB1541" i="5"/>
  <c r="AB1549" i="5"/>
  <c r="AB1557" i="5"/>
  <c r="AB1565" i="5"/>
  <c r="AB1573" i="5"/>
  <c r="AB1581" i="5"/>
  <c r="AB1589" i="5"/>
  <c r="AB1597" i="5"/>
  <c r="AB1605" i="5"/>
  <c r="AB1613" i="5"/>
  <c r="AB1621" i="5"/>
  <c r="AB1629" i="5"/>
  <c r="AB1637" i="5"/>
  <c r="AB1645" i="5"/>
  <c r="AB1653" i="5"/>
  <c r="AB1661" i="5"/>
  <c r="AB1669" i="5"/>
  <c r="AB1677" i="5"/>
  <c r="AB1685" i="5"/>
  <c r="AB1693" i="5"/>
  <c r="AB1701" i="5"/>
  <c r="AB1709" i="5"/>
  <c r="AB1717" i="5"/>
  <c r="AB1725" i="5"/>
  <c r="AB1733" i="5"/>
  <c r="AB1741" i="5"/>
  <c r="AB1749" i="5"/>
  <c r="AB1757" i="5"/>
  <c r="AB1765" i="5"/>
  <c r="AB1773" i="5"/>
  <c r="AB1781" i="5"/>
  <c r="AB1789" i="5"/>
  <c r="AB1797" i="5"/>
  <c r="AB1805" i="5"/>
  <c r="AB1813" i="5"/>
  <c r="AB1821" i="5"/>
  <c r="AB1829" i="5"/>
  <c r="AB1837" i="5"/>
  <c r="AB1845" i="5"/>
  <c r="AB1853" i="5"/>
  <c r="AB1861" i="5"/>
  <c r="AB1869" i="5"/>
  <c r="AB1877" i="5"/>
  <c r="AB1885" i="5"/>
  <c r="AB1893" i="5"/>
  <c r="AB1901" i="5"/>
  <c r="AB1909" i="5"/>
  <c r="AB1917" i="5"/>
  <c r="AB1925" i="5"/>
  <c r="AB1933" i="5"/>
  <c r="AB1985" i="5"/>
  <c r="AB1977" i="5"/>
  <c r="AB1969" i="5"/>
  <c r="AB1958" i="5"/>
  <c r="AB1945" i="5"/>
  <c r="AB1984" i="5"/>
  <c r="AB1976" i="5"/>
  <c r="AB1968" i="5"/>
  <c r="AB1957" i="5"/>
  <c r="AB1942" i="5"/>
  <c r="AB1983" i="5"/>
  <c r="AB1975" i="5"/>
  <c r="AB1967" i="5"/>
  <c r="AB1954" i="5"/>
  <c r="AB1941" i="5"/>
  <c r="AB1982" i="5"/>
  <c r="AB1974" i="5"/>
  <c r="AB1966" i="5"/>
  <c r="AB1953" i="5"/>
  <c r="AB1938" i="5"/>
  <c r="AB1981" i="5"/>
  <c r="AB1973" i="5"/>
  <c r="AB1965" i="5"/>
  <c r="AB1951" i="5"/>
  <c r="AB1937" i="5"/>
  <c r="AB1980" i="5"/>
  <c r="AB1972" i="5"/>
  <c r="AB1962" i="5"/>
  <c r="AB1950" i="5"/>
  <c r="AB1929" i="5"/>
  <c r="AB1979" i="5"/>
  <c r="AB1971" i="5"/>
  <c r="AB1961" i="5"/>
  <c r="AB1949" i="5"/>
  <c r="AB1921" i="5"/>
  <c r="AB1986" i="5"/>
  <c r="AB1978" i="5"/>
  <c r="AB1970" i="5"/>
  <c r="AB1959" i="5"/>
  <c r="AB1946" i="5"/>
  <c r="AB1913" i="5"/>
  <c r="X1982" i="5"/>
  <c r="Y1982" i="5" s="1"/>
  <c r="X1934" i="5"/>
  <c r="Y1934" i="5" s="1"/>
  <c r="X1926" i="5"/>
  <c r="Y1926" i="5" s="1"/>
  <c r="X1918" i="5"/>
  <c r="Y1918" i="5" s="1"/>
  <c r="X1870" i="5"/>
  <c r="Y1870" i="5" s="1"/>
  <c r="X1862" i="5"/>
  <c r="Y1862" i="5" s="1"/>
  <c r="X1854" i="5"/>
  <c r="Y1854" i="5" s="1"/>
  <c r="X1830" i="5"/>
  <c r="Y1830" i="5" s="1"/>
  <c r="X1822" i="5"/>
  <c r="Y1822" i="5" s="1"/>
  <c r="X1798" i="5"/>
  <c r="Y1798" i="5" s="1"/>
  <c r="X1790" i="5"/>
  <c r="Y1790" i="5" s="1"/>
  <c r="X1766" i="5"/>
  <c r="Y1766" i="5" s="1"/>
  <c r="X1758" i="5"/>
  <c r="Y1758" i="5" s="1"/>
  <c r="X1734" i="5"/>
  <c r="Y1734" i="5" s="1"/>
  <c r="X1726" i="5"/>
  <c r="Y1726" i="5" s="1"/>
  <c r="X1702" i="5"/>
  <c r="Y1702" i="5" s="1"/>
  <c r="X1694" i="5"/>
  <c r="Y1694" i="5" s="1"/>
  <c r="X1670" i="5"/>
  <c r="Y1670" i="5" s="1"/>
  <c r="X1662" i="5"/>
  <c r="Y1662" i="5" s="1"/>
  <c r="X1638" i="5"/>
  <c r="Y1638" i="5" s="1"/>
  <c r="X1630" i="5"/>
  <c r="Y1630" i="5" s="1"/>
  <c r="X1606" i="5"/>
  <c r="Y1606" i="5" s="1"/>
  <c r="X1598" i="5"/>
  <c r="Y1598" i="5" s="1"/>
  <c r="X1574" i="5"/>
  <c r="Y1574" i="5" s="1"/>
  <c r="X1566" i="5"/>
  <c r="Y1566" i="5" s="1"/>
  <c r="X1542" i="5"/>
  <c r="Y1542" i="5" s="1"/>
  <c r="X1534" i="5"/>
  <c r="Y1534" i="5" s="1"/>
  <c r="X1518" i="5"/>
  <c r="Y1518" i="5" s="1"/>
  <c r="X1502" i="5"/>
  <c r="Y1502" i="5" s="1"/>
  <c r="X1486" i="5"/>
  <c r="Y1486" i="5" s="1"/>
  <c r="X1470" i="5"/>
  <c r="Y1470" i="5" s="1"/>
  <c r="X1454" i="5"/>
  <c r="Y1454" i="5" s="1"/>
  <c r="X1438" i="5"/>
  <c r="Y1438" i="5" s="1"/>
  <c r="X1422" i="5"/>
  <c r="Y1422" i="5" s="1"/>
  <c r="X1406" i="5"/>
  <c r="Y1406" i="5" s="1"/>
  <c r="X1350" i="5"/>
  <c r="Y1350" i="5" s="1"/>
  <c r="X1334" i="5"/>
  <c r="Y1334" i="5" s="1"/>
  <c r="X1278" i="5"/>
  <c r="Y1278" i="5" s="1"/>
  <c r="X1222" i="5"/>
  <c r="Y1222" i="5" s="1"/>
  <c r="X1206" i="5"/>
  <c r="Y1206" i="5" s="1"/>
  <c r="X1150" i="5"/>
  <c r="Y1150" i="5" s="1"/>
  <c r="X1094" i="5"/>
  <c r="Y1094" i="5" s="1"/>
  <c r="X1078" i="5"/>
  <c r="Y1078" i="5" s="1"/>
  <c r="X1022" i="5"/>
  <c r="Y1022" i="5" s="1"/>
  <c r="X966" i="5"/>
  <c r="Y966" i="5" s="1"/>
  <c r="X950" i="5"/>
  <c r="Y950" i="5" s="1"/>
  <c r="X894" i="5"/>
  <c r="Y894" i="5" s="1"/>
  <c r="X838" i="5"/>
  <c r="Y838" i="5" s="1"/>
  <c r="X822" i="5"/>
  <c r="Y822" i="5" s="1"/>
  <c r="X766" i="5"/>
  <c r="Y766" i="5" s="1"/>
  <c r="X710" i="5"/>
  <c r="Y710" i="5" s="1"/>
  <c r="X598" i="5"/>
  <c r="Y598" i="5" s="1"/>
  <c r="X518" i="5"/>
  <c r="Y518" i="5" s="1"/>
  <c r="X446" i="5"/>
  <c r="Y446" i="5" s="1"/>
  <c r="X390" i="5"/>
  <c r="Y390" i="5" s="1"/>
  <c r="X382" i="5"/>
  <c r="Y382" i="5" s="1"/>
  <c r="X78" i="5"/>
  <c r="Y78" i="5" s="1"/>
  <c r="X1390" i="5"/>
  <c r="Y1390" i="5" s="1"/>
  <c r="X1382" i="5"/>
  <c r="Y1382" i="5" s="1"/>
  <c r="X1374" i="5"/>
  <c r="Y1374" i="5" s="1"/>
  <c r="X1366" i="5"/>
  <c r="Y1366" i="5" s="1"/>
  <c r="X1326" i="5"/>
  <c r="Y1326" i="5" s="1"/>
  <c r="X1318" i="5"/>
  <c r="Y1318" i="5" s="1"/>
  <c r="X1310" i="5"/>
  <c r="Y1310" i="5" s="1"/>
  <c r="X1302" i="5"/>
  <c r="Y1302" i="5" s="1"/>
  <c r="X1262" i="5"/>
  <c r="Y1262" i="5" s="1"/>
  <c r="X1254" i="5"/>
  <c r="Y1254" i="5" s="1"/>
  <c r="X1246" i="5"/>
  <c r="Y1246" i="5" s="1"/>
  <c r="X1238" i="5"/>
  <c r="Y1238" i="5" s="1"/>
  <c r="X1198" i="5"/>
  <c r="Y1198" i="5" s="1"/>
  <c r="X1190" i="5"/>
  <c r="Y1190" i="5" s="1"/>
  <c r="X1182" i="5"/>
  <c r="Y1182" i="5" s="1"/>
  <c r="X1174" i="5"/>
  <c r="Y1174" i="5" s="1"/>
  <c r="X1134" i="5"/>
  <c r="Y1134" i="5" s="1"/>
  <c r="X1126" i="5"/>
  <c r="Y1126" i="5" s="1"/>
  <c r="X1118" i="5"/>
  <c r="Y1118" i="5" s="1"/>
  <c r="X1110" i="5"/>
  <c r="Y1110" i="5" s="1"/>
  <c r="X1070" i="5"/>
  <c r="Y1070" i="5" s="1"/>
  <c r="X1062" i="5"/>
  <c r="Y1062" i="5" s="1"/>
  <c r="X1054" i="5"/>
  <c r="Y1054" i="5" s="1"/>
  <c r="X1046" i="5"/>
  <c r="Y1046" i="5" s="1"/>
  <c r="X1006" i="5"/>
  <c r="Y1006" i="5" s="1"/>
  <c r="X998" i="5"/>
  <c r="Y998" i="5" s="1"/>
  <c r="X990" i="5"/>
  <c r="Y990" i="5" s="1"/>
  <c r="X982" i="5"/>
  <c r="Y982" i="5" s="1"/>
  <c r="X942" i="5"/>
  <c r="Y942" i="5" s="1"/>
  <c r="X934" i="5"/>
  <c r="Y934" i="5" s="1"/>
  <c r="X926" i="5"/>
  <c r="Y926" i="5" s="1"/>
  <c r="X918" i="5"/>
  <c r="Y918" i="5" s="1"/>
  <c r="X878" i="5"/>
  <c r="Y878" i="5" s="1"/>
  <c r="X870" i="5"/>
  <c r="Y870" i="5" s="1"/>
  <c r="X862" i="5"/>
  <c r="Y862" i="5" s="1"/>
  <c r="X854" i="5"/>
  <c r="Y854" i="5" s="1"/>
  <c r="X814" i="5"/>
  <c r="Y814" i="5" s="1"/>
  <c r="X806" i="5"/>
  <c r="Y806" i="5" s="1"/>
  <c r="X798" i="5"/>
  <c r="Y798" i="5" s="1"/>
  <c r="X790" i="5"/>
  <c r="Y790" i="5" s="1"/>
  <c r="X750" i="5"/>
  <c r="Y750" i="5" s="1"/>
  <c r="X742" i="5"/>
  <c r="Y742" i="5" s="1"/>
  <c r="X734" i="5"/>
  <c r="Y734" i="5" s="1"/>
  <c r="X726" i="5"/>
  <c r="Y726" i="5" s="1"/>
  <c r="X694" i="5"/>
  <c r="Y694" i="5" s="1"/>
  <c r="X686" i="5"/>
  <c r="Y686" i="5" s="1"/>
  <c r="X670" i="5"/>
  <c r="Y670" i="5" s="1"/>
  <c r="X654" i="5"/>
  <c r="Y654" i="5" s="1"/>
  <c r="X638" i="5"/>
  <c r="Y638" i="5" s="1"/>
  <c r="X630" i="5"/>
  <c r="Y630" i="5" s="1"/>
  <c r="X622" i="5"/>
  <c r="Y622" i="5" s="1"/>
  <c r="X614" i="5"/>
  <c r="Y614" i="5" s="1"/>
  <c r="X606" i="5"/>
  <c r="Y606" i="5" s="1"/>
  <c r="X582" i="5"/>
  <c r="Y582" i="5" s="1"/>
  <c r="X566" i="5"/>
  <c r="Y566" i="5" s="1"/>
  <c r="X558" i="5"/>
  <c r="Y558" i="5" s="1"/>
  <c r="X550" i="5"/>
  <c r="Y550" i="5" s="1"/>
  <c r="X542" i="5"/>
  <c r="Y542" i="5" s="1"/>
  <c r="X534" i="5"/>
  <c r="Y534" i="5" s="1"/>
  <c r="X526" i="5"/>
  <c r="Y526" i="5" s="1"/>
  <c r="X510" i="5"/>
  <c r="Y510" i="5" s="1"/>
  <c r="X502" i="5"/>
  <c r="Y502" i="5" s="1"/>
  <c r="X494" i="5"/>
  <c r="Y494" i="5" s="1"/>
  <c r="X486" i="5"/>
  <c r="Y486" i="5" s="1"/>
  <c r="X478" i="5"/>
  <c r="Y478" i="5" s="1"/>
  <c r="X454" i="5"/>
  <c r="Y454" i="5" s="1"/>
  <c r="X438" i="5"/>
  <c r="Y438" i="5" s="1"/>
  <c r="X430" i="5"/>
  <c r="Y430" i="5" s="1"/>
  <c r="X422" i="5"/>
  <c r="Y422" i="5" s="1"/>
  <c r="X414" i="5"/>
  <c r="Y414" i="5" s="1"/>
  <c r="X406" i="5"/>
  <c r="Y406" i="5" s="1"/>
  <c r="X398" i="5"/>
  <c r="Y398" i="5" s="1"/>
  <c r="X374" i="5"/>
  <c r="Y374" i="5" s="1"/>
  <c r="X366" i="5"/>
  <c r="Y366" i="5" s="1"/>
  <c r="X358" i="5"/>
  <c r="Y358" i="5" s="1"/>
  <c r="X350" i="5"/>
  <c r="Y350" i="5" s="1"/>
  <c r="X342" i="5"/>
  <c r="Y342" i="5" s="1"/>
  <c r="X334" i="5"/>
  <c r="Y334" i="5" s="1"/>
  <c r="X326" i="5"/>
  <c r="Y326" i="5" s="1"/>
  <c r="X318" i="5"/>
  <c r="Y318" i="5" s="1"/>
  <c r="X310" i="5"/>
  <c r="Y310" i="5" s="1"/>
  <c r="X302" i="5"/>
  <c r="Y302" i="5" s="1"/>
  <c r="X294" i="5"/>
  <c r="Y294" i="5" s="1"/>
  <c r="X286" i="5"/>
  <c r="Y286" i="5" s="1"/>
  <c r="X278" i="5"/>
  <c r="Y278" i="5" s="1"/>
  <c r="X270" i="5"/>
  <c r="Y270" i="5" s="1"/>
  <c r="X262" i="5"/>
  <c r="Y262" i="5" s="1"/>
  <c r="X254" i="5"/>
  <c r="Y254" i="5" s="1"/>
  <c r="X246" i="5"/>
  <c r="Y246" i="5" s="1"/>
  <c r="X238" i="5"/>
  <c r="Y238" i="5" s="1"/>
  <c r="X230" i="5"/>
  <c r="Y230" i="5" s="1"/>
  <c r="X222" i="5"/>
  <c r="Y222" i="5" s="1"/>
  <c r="X214" i="5"/>
  <c r="Y214" i="5" s="1"/>
  <c r="X206" i="5"/>
  <c r="Y206" i="5" s="1"/>
  <c r="X182" i="5"/>
  <c r="Y182" i="5" s="1"/>
  <c r="X174" i="5"/>
  <c r="Y174" i="5" s="1"/>
  <c r="X166" i="5"/>
  <c r="Y166" i="5" s="1"/>
  <c r="X158" i="5"/>
  <c r="Y158" i="5" s="1"/>
  <c r="X150" i="5"/>
  <c r="Y150" i="5" s="1"/>
  <c r="X142" i="5"/>
  <c r="Y142" i="5" s="1"/>
  <c r="X134" i="5"/>
  <c r="Y134" i="5" s="1"/>
  <c r="X126" i="5"/>
  <c r="Y126" i="5" s="1"/>
  <c r="X118" i="5"/>
  <c r="Y118" i="5" s="1"/>
  <c r="X102" i="5"/>
  <c r="Y102" i="5" s="1"/>
  <c r="X94" i="5"/>
  <c r="Y94" i="5" s="1"/>
  <c r="X86" i="5"/>
  <c r="Y86" i="5" s="1"/>
  <c r="X70" i="5"/>
  <c r="Y70" i="5" s="1"/>
  <c r="X62" i="5"/>
  <c r="Y62" i="5" s="1"/>
  <c r="X54" i="5"/>
  <c r="Y54" i="5" s="1"/>
  <c r="X38" i="5"/>
  <c r="Y38" i="5" s="1"/>
  <c r="X30" i="5"/>
  <c r="X22" i="5"/>
  <c r="Y22" i="5" s="1"/>
  <c r="X14" i="5"/>
  <c r="X6" i="5"/>
  <c r="Y6" i="5" s="1"/>
  <c r="Y3" i="5" l="1"/>
  <c r="Y42" i="5"/>
  <c r="Y30" i="5"/>
  <c r="Y10" i="5"/>
  <c r="Y8" i="5"/>
  <c r="Y14" i="5"/>
  <c r="Y5" i="5"/>
  <c r="Y15" i="5"/>
  <c r="Y24" i="5"/>
  <c r="Y12" i="5"/>
  <c r="Y9" i="5"/>
  <c r="Y58" i="5"/>
  <c r="Y7" i="5"/>
  <c r="Y17" i="5"/>
  <c r="Y4" i="5"/>
  <c r="Y2" i="5"/>
  <c r="AC12" i="5"/>
  <c r="AC6" i="5"/>
  <c r="AC13" i="5"/>
  <c r="AC4" i="5"/>
  <c r="AC5" i="5"/>
  <c r="AC11" i="5"/>
  <c r="AC7" i="5"/>
  <c r="AC3" i="5"/>
  <c r="AC10" i="5"/>
  <c r="AC9" i="5"/>
  <c r="AC8" i="5"/>
  <c r="AC2" i="5"/>
</calcChain>
</file>

<file path=xl/sharedStrings.xml><?xml version="1.0" encoding="utf-8"?>
<sst xmlns="http://schemas.openxmlformats.org/spreadsheetml/2006/main" count="32238" uniqueCount="2253">
  <si>
    <t>PROJECT 1 — BUSINESS SALES &amp; CUSTOMER PERFORMANCE ANALYSIS</t>
  </si>
  <si>
    <t>BrightCart Retail Ltd.</t>
  </si>
  <si>
    <t>BUSINESS SCENARIO</t>
  </si>
  <si>
    <t>Background</t>
  </si>
  <si>
    <t>BrightCart Retail Ltd. is a fictional UK retailer selling electronics, office equipment, home &amp; kitchen products and furniture through online, store and phone channels. Sales grew during 2025, but management is concerned that profit has not grown at the same pace and customer complaints have increased.</t>
  </si>
  <si>
    <t>Your Role</t>
  </si>
  <si>
    <t>You have joined BrightCart as a Junior Business Analyst. The Operations Director has asked you to review the 2025 transaction data and identify what is driving performance, where problems exist, and what management should do next.</t>
  </si>
  <si>
    <t>Your Objective</t>
  </si>
  <si>
    <t>Clean and analyse the dataset, build a clear Excel management dashboard, identify meaningful business insights, and present evidence-based recommendations.</t>
  </si>
  <si>
    <t>Important</t>
  </si>
  <si>
    <t>The raw dataset is intentionally imperfect. Do not change the 01_Raw_Data sheet. Create your own cleaned/working sheet when you begin the analysis.</t>
  </si>
  <si>
    <t>EXPECTED DELIVERABLES</t>
  </si>
  <si>
    <t>1</t>
  </si>
  <si>
    <t>A cleaned dataset with documented data-quality decisions.</t>
  </si>
  <si>
    <t>2</t>
  </si>
  <si>
    <t>Calculated fields for Revenue, Total Cost, Profit and Profit Margin.</t>
  </si>
  <si>
    <t>3</t>
  </si>
  <si>
    <t>Analysis answering the management questions on the 03_Management_Questions sheet.</t>
  </si>
  <si>
    <t>4</t>
  </si>
  <si>
    <t>A one-page Excel dashboard with management KPIs, charts and useful filters/slicers.</t>
  </si>
  <si>
    <t>5</t>
  </si>
  <si>
    <t>A short Insights &amp; Recommendations section explaining what management should do.</t>
  </si>
  <si>
    <t>CORE CALCULATIONS</t>
  </si>
  <si>
    <t>Revenue</t>
  </si>
  <si>
    <t>Quantity × Unit Price × (1 − Discount %)</t>
  </si>
  <si>
    <t>Total Cost</t>
  </si>
  <si>
    <t>Quantity × Unit Cost</t>
  </si>
  <si>
    <t>Profit</t>
  </si>
  <si>
    <t>Revenue − Total Cost</t>
  </si>
  <si>
    <t>Profit Margin</t>
  </si>
  <si>
    <t>Profit ÷ Revenue</t>
  </si>
  <si>
    <t>Average Order Value</t>
  </si>
  <si>
    <t>Total Revenue ÷ Number of unique orders</t>
  </si>
  <si>
    <t>Return Rate</t>
  </si>
  <si>
    <t>Returned orders ÷ Number of unique orders</t>
  </si>
  <si>
    <t>PORTFOLIO GOAL</t>
  </si>
  <si>
    <t>Outcome</t>
  </si>
  <si>
    <t>By the end of the project you should be able to explain the business problem, how you checked and cleaned the data, how you analysed it, what you discovered, and why your recommendations follow from the evidence.</t>
  </si>
  <si>
    <t>Order_ID</t>
  </si>
  <si>
    <t>Order_Date</t>
  </si>
  <si>
    <t>Region</t>
  </si>
  <si>
    <t>Customer_Type</t>
  </si>
  <si>
    <t>Product_Category</t>
  </si>
  <si>
    <t>Product</t>
  </si>
  <si>
    <t>Quantity</t>
  </si>
  <si>
    <t>Unit_Price_GBP</t>
  </si>
  <si>
    <t>Unit_Cost_GBP</t>
  </si>
  <si>
    <t>Discount_Pct</t>
  </si>
  <si>
    <t>Delivery_Days</t>
  </si>
  <si>
    <t>Satisfaction_Score</t>
  </si>
  <si>
    <t>Returned</t>
  </si>
  <si>
    <t>Sales_Channel</t>
  </si>
  <si>
    <t>Payment_Method</t>
  </si>
  <si>
    <t>BC-100691</t>
  </si>
  <si>
    <t>North</t>
  </si>
  <si>
    <t>Small Business</t>
  </si>
  <si>
    <t>Home &amp; Kitchen</t>
  </si>
  <si>
    <t>Air Fryer</t>
  </si>
  <si>
    <t>No</t>
  </si>
  <si>
    <t>Online</t>
  </si>
  <si>
    <t>Bank Transfer</t>
  </si>
  <si>
    <t>BC-101866</t>
  </si>
  <si>
    <t>Individual</t>
  </si>
  <si>
    <t>Electric Kettle</t>
  </si>
  <si>
    <t>Card</t>
  </si>
  <si>
    <t>BC-100051</t>
  </si>
  <si>
    <t>South</t>
  </si>
  <si>
    <t>Office</t>
  </si>
  <si>
    <t>Desk Lamp</t>
  </si>
  <si>
    <t>Store</t>
  </si>
  <si>
    <t>BC-101817</t>
  </si>
  <si>
    <t>Ergonomic Keyboard</t>
  </si>
  <si>
    <t>BC-101554</t>
  </si>
  <si>
    <t>Digital Wallet</t>
  </si>
  <si>
    <t>BC-101391</t>
  </si>
  <si>
    <t>Furniture</t>
  </si>
  <si>
    <t>Bookshelf</t>
  </si>
  <si>
    <t>BC-101154</t>
  </si>
  <si>
    <t>London</t>
  </si>
  <si>
    <t>Electronics</t>
  </si>
  <si>
    <t>Portable Speaker</t>
  </si>
  <si>
    <t>BC-100593</t>
  </si>
  <si>
    <t>Midlands</t>
  </si>
  <si>
    <t>Blender</t>
  </si>
  <si>
    <t>BC-101468</t>
  </si>
  <si>
    <t>SmartHome Hub</t>
  </si>
  <si>
    <t>BC-100811</t>
  </si>
  <si>
    <t>Phone</t>
  </si>
  <si>
    <t>BC-101203</t>
  </si>
  <si>
    <t>Coffee Maker</t>
  </si>
  <si>
    <t>BC-100965</t>
  </si>
  <si>
    <t>BC-101789</t>
  </si>
  <si>
    <t>Webcam</t>
  </si>
  <si>
    <t>BC-101681</t>
  </si>
  <si>
    <t>Wireless Mouse</t>
  </si>
  <si>
    <t>BC-100524</t>
  </si>
  <si>
    <t>BC-100268</t>
  </si>
  <si>
    <t>Side Table</t>
  </si>
  <si>
    <t>BC-100763</t>
  </si>
  <si>
    <t>Home &amp; kitchen</t>
  </si>
  <si>
    <t>BC-101409</t>
  </si>
  <si>
    <t>27/09/2025</t>
  </si>
  <si>
    <t>BC-100252</t>
  </si>
  <si>
    <t>BC-101759</t>
  </si>
  <si>
    <t>BC-101436</t>
  </si>
  <si>
    <t>BC-100867</t>
  </si>
  <si>
    <t>BC-101398</t>
  </si>
  <si>
    <t>Laptop Stand</t>
  </si>
  <si>
    <t>BC-100207</t>
  </si>
  <si>
    <t>BC-100091</t>
  </si>
  <si>
    <t>Storage Cabinet</t>
  </si>
  <si>
    <t>BC-101231</t>
  </si>
  <si>
    <t>BC-101490</t>
  </si>
  <si>
    <t>BC-100148</t>
  </si>
  <si>
    <t>BC-101135</t>
  </si>
  <si>
    <t>Wireless Headset</t>
  </si>
  <si>
    <t>BC-100478</t>
  </si>
  <si>
    <t>BC-101084</t>
  </si>
  <si>
    <t>BC-100778</t>
  </si>
  <si>
    <t>BC-101877</t>
  </si>
  <si>
    <t>BC-100134</t>
  </si>
  <si>
    <t>BC-101121</t>
  </si>
  <si>
    <t>BC-100399</t>
  </si>
  <si>
    <t>BC-100022</t>
  </si>
  <si>
    <t>BC-100457</t>
  </si>
  <si>
    <t>BC-101160</t>
  </si>
  <si>
    <t>Yes</t>
  </si>
  <si>
    <t>BC-100474</t>
  </si>
  <si>
    <t>BC-101079</t>
  </si>
  <si>
    <t>Corporate</t>
  </si>
  <si>
    <t>BC-100477</t>
  </si>
  <si>
    <t>BC-100652</t>
  </si>
  <si>
    <t>BC-101845</t>
  </si>
  <si>
    <t>BC-100547</t>
  </si>
  <si>
    <t>BC-101836</t>
  </si>
  <si>
    <t>BC-100553</t>
  </si>
  <si>
    <t>BC-100615</t>
  </si>
  <si>
    <t>BC-100088</t>
  </si>
  <si>
    <t>BC-101416</t>
  </si>
  <si>
    <t>BC-101380</t>
  </si>
  <si>
    <t>BC-100419</t>
  </si>
  <si>
    <t>BC-101109</t>
  </si>
  <si>
    <t>BC-100372</t>
  </si>
  <si>
    <t>BC-100196</t>
  </si>
  <si>
    <t>BC-101424</t>
  </si>
  <si>
    <t>BC-101211</t>
  </si>
  <si>
    <t>Office Chair</t>
  </si>
  <si>
    <t>BC-100472</t>
  </si>
  <si>
    <t>Mid lands</t>
  </si>
  <si>
    <t>BC-100946</t>
  </si>
  <si>
    <t>BC-100265</t>
  </si>
  <si>
    <t>BC-100807</t>
  </si>
  <si>
    <t>BC-101712</t>
  </si>
  <si>
    <t>BC-100128</t>
  </si>
  <si>
    <t>BC-100467</t>
  </si>
  <si>
    <t>BC-100027</t>
  </si>
  <si>
    <t>BC-101875</t>
  </si>
  <si>
    <t>BC-100458</t>
  </si>
  <si>
    <t>BC-101222</t>
  </si>
  <si>
    <t>BC-101390</t>
  </si>
  <si>
    <t>BC-101687</t>
  </si>
  <si>
    <t>BC-101670</t>
  </si>
  <si>
    <t>BC-101132</t>
  </si>
  <si>
    <t>BC-100728</t>
  </si>
  <si>
    <t>BC-101671</t>
  </si>
  <si>
    <t>BC-100775</t>
  </si>
  <si>
    <t>BC-100858</t>
  </si>
  <si>
    <t>BC-101052</t>
  </si>
  <si>
    <t>BC-101806</t>
  </si>
  <si>
    <t>BC-100448</t>
  </si>
  <si>
    <t>BC-101487</t>
  </si>
  <si>
    <t>BC-101536</t>
  </si>
  <si>
    <t>BC-101441</t>
  </si>
  <si>
    <t>BC-101283</t>
  </si>
  <si>
    <t>BC-100071</t>
  </si>
  <si>
    <t>BC-101766</t>
  </si>
  <si>
    <t>BC-101026</t>
  </si>
  <si>
    <t>BC-100201</t>
  </si>
  <si>
    <t>BC-100944</t>
  </si>
  <si>
    <t>BC-100282</t>
  </si>
  <si>
    <t>BC-100857</t>
  </si>
  <si>
    <t>BC-100725</t>
  </si>
  <si>
    <t>BC-101956</t>
  </si>
  <si>
    <t>BC-100808</t>
  </si>
  <si>
    <t>BC-100459</t>
  </si>
  <si>
    <t>BC-101425</t>
  </si>
  <si>
    <t>BC-101060</t>
  </si>
  <si>
    <t>BC-101374</t>
  </si>
  <si>
    <t>BC-100277</t>
  </si>
  <si>
    <t>BC-101619</t>
  </si>
  <si>
    <t>BC-100891</t>
  </si>
  <si>
    <t>BC-101886</t>
  </si>
  <si>
    <t>BC-101571</t>
  </si>
  <si>
    <t>BC-100863</t>
  </si>
  <si>
    <t>BC-100950</t>
  </si>
  <si>
    <t>BC-101768</t>
  </si>
  <si>
    <t>BC-101085</t>
  </si>
  <si>
    <t>BC-100225</t>
  </si>
  <si>
    <t>BC-101770</t>
  </si>
  <si>
    <t>BC-101196</t>
  </si>
  <si>
    <t>BC-101963</t>
  </si>
  <si>
    <t>BC-100227</t>
  </si>
  <si>
    <t>BC-100658</t>
  </si>
  <si>
    <t>BC-100798</t>
  </si>
  <si>
    <t>BC-100382</t>
  </si>
  <si>
    <t>BC-100564</t>
  </si>
  <si>
    <t>09/03/2025</t>
  </si>
  <si>
    <t>BC-100041</t>
  </si>
  <si>
    <t>BC-100339</t>
  </si>
  <si>
    <t>midlands</t>
  </si>
  <si>
    <t>BC-100200</t>
  </si>
  <si>
    <t>BC-101896</t>
  </si>
  <si>
    <t>BC-100882</t>
  </si>
  <si>
    <t>BC-100989</t>
  </si>
  <si>
    <t>BC-101830</t>
  </si>
  <si>
    <t>BC-101531</t>
  </si>
  <si>
    <t>BC-100358</t>
  </si>
  <si>
    <t>BC-100226</t>
  </si>
  <si>
    <t>BC-100186</t>
  </si>
  <si>
    <t>BC-100855</t>
  </si>
  <si>
    <t>BC-100908</t>
  </si>
  <si>
    <t>25/02/2025</t>
  </si>
  <si>
    <t>BC-100122</t>
  </si>
  <si>
    <t>BC-100559</t>
  </si>
  <si>
    <t>BC-100988</t>
  </si>
  <si>
    <t>BC-101719</t>
  </si>
  <si>
    <t>BC-101794</t>
  </si>
  <si>
    <t>electronics</t>
  </si>
  <si>
    <t>BC-101262</t>
  </si>
  <si>
    <t>BC-101787</t>
  </si>
  <si>
    <t>BC-100924</t>
  </si>
  <si>
    <t>BC-101021</t>
  </si>
  <si>
    <t>BC-101127</t>
  </si>
  <si>
    <t>BC-100371</t>
  </si>
  <si>
    <t>BC-101747</t>
  </si>
  <si>
    <t>BC-100580</t>
  </si>
  <si>
    <t>BC-101494</t>
  </si>
  <si>
    <t>BC-100111</t>
  </si>
  <si>
    <t>BC-101447</t>
  </si>
  <si>
    <t>BC-100342</t>
  </si>
  <si>
    <t>BC-101950</t>
  </si>
  <si>
    <t>BC-101144</t>
  </si>
  <si>
    <t>BC-101150</t>
  </si>
  <si>
    <t>BC-101206</t>
  </si>
  <si>
    <t>BC-101604</t>
  </si>
  <si>
    <t>BC-100579</t>
  </si>
  <si>
    <t>BC-100731</t>
  </si>
  <si>
    <t>BC-100120</t>
  </si>
  <si>
    <t>BC-100534</t>
  </si>
  <si>
    <t>BC-100598</t>
  </si>
  <si>
    <t>BC-100841</t>
  </si>
  <si>
    <t>BC-100550</t>
  </si>
  <si>
    <t>BC-101965</t>
  </si>
  <si>
    <t>BC-100557</t>
  </si>
  <si>
    <t>BC-100818</t>
  </si>
  <si>
    <t>BC-101515</t>
  </si>
  <si>
    <t>BC-101914</t>
  </si>
  <si>
    <t>BC-100814</t>
  </si>
  <si>
    <t>BC-100970</t>
  </si>
  <si>
    <t>BC-100360</t>
  </si>
  <si>
    <t>BC-100192</t>
  </si>
  <si>
    <t>BC-100493</t>
  </si>
  <si>
    <t>BC-100913</t>
  </si>
  <si>
    <t>BC-101924</t>
  </si>
  <si>
    <t>BC-100918</t>
  </si>
  <si>
    <t>BC-101115</t>
  </si>
  <si>
    <t>BC-100065</t>
  </si>
  <si>
    <t>BC-100113</t>
  </si>
  <si>
    <t>BC-101226</t>
  </si>
  <si>
    <t>BC-101229</t>
  </si>
  <si>
    <t>BC-100447</t>
  </si>
  <si>
    <t>BC-101078</t>
  </si>
  <si>
    <t>BC-100830</t>
  </si>
  <si>
    <t>BC-100945</t>
  </si>
  <si>
    <t>BC-100208</t>
  </si>
  <si>
    <t>BC-100513</t>
  </si>
  <si>
    <t>BC-100936</t>
  </si>
  <si>
    <t>BC-100402</t>
  </si>
  <si>
    <t>BC-101384</t>
  </si>
  <si>
    <t>19/09/2025</t>
  </si>
  <si>
    <t>BC-100366</t>
  </si>
  <si>
    <t>BC-101099</t>
  </si>
  <si>
    <t>BC-100019</t>
  </si>
  <si>
    <t>BC-100407</t>
  </si>
  <si>
    <t>BC-100533</t>
  </si>
  <si>
    <t>BC-100043</t>
  </si>
  <si>
    <t>BC-100206</t>
  </si>
  <si>
    <t>BC-101435</t>
  </si>
  <si>
    <t>BC-101480</t>
  </si>
  <si>
    <t>BC-100185</t>
  </si>
  <si>
    <t>BC-100317</t>
  </si>
  <si>
    <t>BC-101612</t>
  </si>
  <si>
    <t>BC-100669</t>
  </si>
  <si>
    <t>BC-101157</t>
  </si>
  <si>
    <t>BC-100053</t>
  </si>
  <si>
    <t>BC-101309</t>
  </si>
  <si>
    <t>BC-101603</t>
  </si>
  <si>
    <t>03/12/2025</t>
  </si>
  <si>
    <t>BC-100519</t>
  </si>
  <si>
    <t>BC-101936</t>
  </si>
  <si>
    <t>BC-101422</t>
  </si>
  <si>
    <t>BC-101701</t>
  </si>
  <si>
    <t>BC-101657</t>
  </si>
  <si>
    <t>BC-100873</t>
  </si>
  <si>
    <t>BC-100827</t>
  </si>
  <si>
    <t>london</t>
  </si>
  <si>
    <t>BC-100155</t>
  </si>
  <si>
    <t>BC-101171</t>
  </si>
  <si>
    <t>BC-101816</t>
  </si>
  <si>
    <t>BC-101147</t>
  </si>
  <si>
    <t>BC-100494</t>
  </si>
  <si>
    <t>BC-101960</t>
  </si>
  <si>
    <t>BC-101815</t>
  </si>
  <si>
    <t>BC-101107</t>
  </si>
  <si>
    <t>BC-101797</t>
  </si>
  <si>
    <t>BC-100509</t>
  </si>
  <si>
    <t>BC-100726</t>
  </si>
  <si>
    <t>BC-100430</t>
  </si>
  <si>
    <t>BC-100072</t>
  </si>
  <si>
    <t>BC-101803</t>
  </si>
  <si>
    <t>BC-100548</t>
  </si>
  <si>
    <t>BC-100782</t>
  </si>
  <si>
    <t>BC-100621</t>
  </si>
  <si>
    <t>BC-100283</t>
  </si>
  <si>
    <t>BC-101354</t>
  </si>
  <si>
    <t>BC-101674</t>
  </si>
  <si>
    <t>BC-101951</t>
  </si>
  <si>
    <t>BC-100823</t>
  </si>
  <si>
    <t>BC-101607</t>
  </si>
  <si>
    <t>BC-101313</t>
  </si>
  <si>
    <t>BC-101213</t>
  </si>
  <si>
    <t>BC-101641</t>
  </si>
  <si>
    <t>BC-100717</t>
  </si>
  <si>
    <t>BC-100915</t>
  </si>
  <si>
    <t>BC-100013</t>
  </si>
  <si>
    <t>BC-101507</t>
  </si>
  <si>
    <t>BC-101847</t>
  </si>
  <si>
    <t>BC-100664</t>
  </si>
  <si>
    <t>BC-101072</t>
  </si>
  <si>
    <t>BC-100588</t>
  </si>
  <si>
    <t>BC-100062</t>
  </si>
  <si>
    <t>BC-100299</t>
  </si>
  <si>
    <t>BC-101141</t>
  </si>
  <si>
    <t>BC-100183</t>
  </si>
  <si>
    <t>BC-100746</t>
  </si>
  <si>
    <t>BC-100138</t>
  </si>
  <si>
    <t>BC-100753</t>
  </si>
  <si>
    <t>BC-100611</t>
  </si>
  <si>
    <t>BC-100806</t>
  </si>
  <si>
    <t>BC-101382</t>
  </si>
  <si>
    <t>BC-100982</t>
  </si>
  <si>
    <t>BC-100756</t>
  </si>
  <si>
    <t>BC-100751</t>
  </si>
  <si>
    <t>BC-101088</t>
  </si>
  <si>
    <t>BC-101483</t>
  </si>
  <si>
    <t>BC-101522</t>
  </si>
  <si>
    <t>BC-101975</t>
  </si>
  <si>
    <t>BC-100712</t>
  </si>
  <si>
    <t>BC-100300</t>
  </si>
  <si>
    <t>BC-100017</t>
  </si>
  <si>
    <t>BC-101693</t>
  </si>
  <si>
    <t>BC-101976</t>
  </si>
  <si>
    <t>BC-100416</t>
  </si>
  <si>
    <t>BC-100903</t>
  </si>
  <si>
    <t>BC-101194</t>
  </si>
  <si>
    <t>BC-100217</t>
  </si>
  <si>
    <t>BC-101549</t>
  </si>
  <si>
    <t>BC-100958</t>
  </si>
  <si>
    <t>BC-100828</t>
  </si>
  <si>
    <t>BC-100767</t>
  </si>
  <si>
    <t>BC-100170</t>
  </si>
  <si>
    <t>BC-101808</t>
  </si>
  <si>
    <t>BC-100021</t>
  </si>
  <si>
    <t>BC-100177</t>
  </si>
  <si>
    <t>BC-100333</t>
  </si>
  <si>
    <t>BC-101387</t>
  </si>
  <si>
    <t>BC-100026</t>
  </si>
  <si>
    <t>BC-101812</t>
  </si>
  <si>
    <t>BC-100720</t>
  </si>
  <si>
    <t>BC-100552</t>
  </si>
  <si>
    <t>BC-100401</t>
  </si>
  <si>
    <t>BC-100573</t>
  </si>
  <si>
    <t>BC-101506</t>
  </si>
  <si>
    <t>BC-100291</t>
  </si>
  <si>
    <t>BC-101270</t>
  </si>
  <si>
    <t>BC-101397</t>
  </si>
  <si>
    <t>BC-100066</t>
  </si>
  <si>
    <t>BC-100929</t>
  </si>
  <si>
    <t>BC-100771</t>
  </si>
  <si>
    <t>BC-100639</t>
  </si>
  <si>
    <t>BC-101897</t>
  </si>
  <si>
    <t>BC-101744</t>
  </si>
  <si>
    <t>BC-101353</t>
  </si>
  <si>
    <t>BC-101697</t>
  </si>
  <si>
    <t>BC-100876</t>
  </si>
  <si>
    <t>BC-100815</t>
  </si>
  <si>
    <t>BC-101173</t>
  </si>
  <si>
    <t>BC-100081</t>
  </si>
  <si>
    <t>BC-101779</t>
  </si>
  <si>
    <t>BC-100492</t>
  </si>
  <si>
    <t>BC-100892</t>
  </si>
  <si>
    <t>BC-100269</t>
  </si>
  <si>
    <t>office</t>
  </si>
  <si>
    <t>BC-101030</t>
  </si>
  <si>
    <t>BC-101066</t>
  </si>
  <si>
    <t>BC-100117</t>
  </si>
  <si>
    <t>BC-101259</t>
  </si>
  <si>
    <t>BC-100590</t>
  </si>
  <si>
    <t>BC-101793</t>
  </si>
  <si>
    <t>BC-100796</t>
  </si>
  <si>
    <t>BC-101934</t>
  </si>
  <si>
    <t>BC-100697</t>
  </si>
  <si>
    <t>BC-101520</t>
  </si>
  <si>
    <t>BC-100554</t>
  </si>
  <si>
    <t>BC-101498</t>
  </si>
  <si>
    <t>BC-100760</t>
  </si>
  <si>
    <t>BC-100520</t>
  </si>
  <si>
    <t>BC-101703</t>
  </si>
  <si>
    <t>BC-100415</t>
  </si>
  <si>
    <t>BC-101888</t>
  </si>
  <si>
    <t>BC-101460</t>
  </si>
  <si>
    <t>BC-100352</t>
  </si>
  <si>
    <t>BC-101200</t>
  </si>
  <si>
    <t>BC-100650</t>
  </si>
  <si>
    <t>BC-101599</t>
  </si>
  <si>
    <t>BC-101020</t>
  </si>
  <si>
    <t>BC-100255</t>
  </si>
  <si>
    <t>BC-101152</t>
  </si>
  <si>
    <t>BC-100437</t>
  </si>
  <si>
    <t>BC-101451</t>
  </si>
  <si>
    <t>BC-101251</t>
  </si>
  <si>
    <t>BC-101809</t>
  </si>
  <si>
    <t>BC-100092</t>
  </si>
  <si>
    <t>BC-101615</t>
  </si>
  <si>
    <t>BC-100409</t>
  </si>
  <si>
    <t>BC-101297</t>
  </si>
  <si>
    <t>BC-100042</t>
  </si>
  <si>
    <t>BC-100121</t>
  </si>
  <si>
    <t>BC-100632</t>
  </si>
  <si>
    <t>BC-101176</t>
  </si>
  <si>
    <t>BC-100449</t>
  </si>
  <si>
    <t>BC-100531</t>
  </si>
  <si>
    <t>BC-101639</t>
  </si>
  <si>
    <t>BC-101818</t>
  </si>
  <si>
    <t>BC-100330</t>
  </si>
  <si>
    <t>BC-101172</t>
  </si>
  <si>
    <t>BC-101889</t>
  </si>
  <si>
    <t>BC-100505</t>
  </si>
  <si>
    <t>BC-101948</t>
  </si>
  <si>
    <t>BC-101253</t>
  </si>
  <si>
    <t>BC-101037</t>
  </si>
  <si>
    <t>BC-101288</t>
  </si>
  <si>
    <t>BC-101618</t>
  </si>
  <si>
    <t>BC-101249</t>
  </si>
  <si>
    <t>BC-101242</t>
  </si>
  <si>
    <t>BC-101822</t>
  </si>
  <si>
    <t>BC-100917</t>
  </si>
  <si>
    <t>BC-100628</t>
  </si>
  <si>
    <t>BC-100235</t>
  </si>
  <si>
    <t>BC-100999</t>
  </si>
  <si>
    <t>BC-100776</t>
  </si>
  <si>
    <t>BC-100435</t>
  </si>
  <si>
    <t>BC-100821</t>
  </si>
  <si>
    <t>BC-101617</t>
  </si>
  <si>
    <t>BC-100922</t>
  </si>
  <si>
    <t>BC-100390</t>
  </si>
  <si>
    <t>BC-101677</t>
  </si>
  <si>
    <t>BC-100230</t>
  </si>
  <si>
    <t>BC-101682</t>
  </si>
  <si>
    <t>BC-100674</t>
  </si>
  <si>
    <t>BC-101651</t>
  </si>
  <si>
    <t>BC-100803</t>
  </si>
  <si>
    <t>BC-101839</t>
  </si>
  <si>
    <t>BC-100144</t>
  </si>
  <si>
    <t>BC-100463</t>
  </si>
  <si>
    <t>BC-100511</t>
  </si>
  <si>
    <t>BC-100033</t>
  </si>
  <si>
    <t>BC-101159</t>
  </si>
  <si>
    <t>BC-101278</t>
  </si>
  <si>
    <t>BC-100216</t>
  </si>
  <si>
    <t>BC-100866</t>
  </si>
  <si>
    <t>BC-100869</t>
  </si>
  <si>
    <t>BC-100202</t>
  </si>
  <si>
    <t>BC-100642</t>
  </si>
  <si>
    <t>BC-101563</t>
  </si>
  <si>
    <t>BC-100701</t>
  </si>
  <si>
    <t>BC-100729</t>
  </si>
  <si>
    <t>BC-101096</t>
  </si>
  <si>
    <t>BC-101537</t>
  </si>
  <si>
    <t>BC-100214</t>
  </si>
  <si>
    <t>BC-100953</t>
  </si>
  <si>
    <t>BC-100884</t>
  </si>
  <si>
    <t>BC-101209</t>
  </si>
  <si>
    <t>BC-101086</t>
  </si>
  <si>
    <t>BC-101280</t>
  </si>
  <si>
    <t>BC-101371</t>
  </si>
  <si>
    <t>BC-101912</t>
  </si>
  <si>
    <t>BC-100905</t>
  </si>
  <si>
    <t>BC-100619</t>
  </si>
  <si>
    <t>BC-100203</t>
  </si>
  <si>
    <t>BC-100608</t>
  </si>
  <si>
    <t>BC-101953</t>
  </si>
  <si>
    <t>BC-101197</t>
  </si>
  <si>
    <t>BC-100191</t>
  </si>
  <si>
    <t>BC-101462</t>
  </si>
  <si>
    <t>BC-101844</t>
  </si>
  <si>
    <t>BC-100059</t>
  </si>
  <si>
    <t>BC-100210</t>
  </si>
  <si>
    <t>BC-100651</t>
  </si>
  <si>
    <t>BC-100645</t>
  </si>
  <si>
    <t>BC-100318</t>
  </si>
  <si>
    <t>BC-101984</t>
  </si>
  <si>
    <t>BC-101227</t>
  </si>
  <si>
    <t>BC-100248</t>
  </si>
  <si>
    <t>BC-100150</t>
  </si>
  <si>
    <t>BC-100750</t>
  </si>
  <si>
    <t>BC-101646</t>
  </si>
  <si>
    <t>BC-100003</t>
  </si>
  <si>
    <t>BC-100332</t>
  </si>
  <si>
    <t>BC-100075</t>
  </si>
  <si>
    <t>BC-100801</t>
  </si>
  <si>
    <t>BC-101949</t>
  </si>
  <si>
    <t>BC-100721</t>
  </si>
  <si>
    <t>BC-100320</t>
  </si>
  <si>
    <t>BC-101104</t>
  </si>
  <si>
    <t>BC-100107</t>
  </si>
  <si>
    <t>BC-100397</t>
  </si>
  <si>
    <t>BC-100570</t>
  </si>
  <si>
    <t>BC-101961</t>
  </si>
  <si>
    <t>BC-100240</t>
  </si>
  <si>
    <t>BC-101247</t>
  </si>
  <si>
    <t>BC-101879</t>
  </si>
  <si>
    <t>BC-101638</t>
  </si>
  <si>
    <t>BC-100085</t>
  </si>
  <si>
    <t>BC-100362</t>
  </si>
  <si>
    <t>BC-101407</t>
  </si>
  <si>
    <t>BC-100345</t>
  </si>
  <si>
    <t>BC-101567</t>
  </si>
  <si>
    <t>BC-101894</t>
  </si>
  <si>
    <t>BC-101408</t>
  </si>
  <si>
    <t>BC-100700</t>
  </si>
  <si>
    <t>BC-100657</t>
  </si>
  <si>
    <t>BC-100014</t>
  </si>
  <si>
    <t>BC-100404</t>
  </si>
  <si>
    <t>BC-101926</t>
  </si>
  <si>
    <t>BC-100551</t>
  </si>
  <si>
    <t>BC-101216</t>
  </si>
  <si>
    <t>BC-101048</t>
  </si>
  <si>
    <t>BC-100194</t>
  </si>
  <si>
    <t>BC-101557</t>
  </si>
  <si>
    <t>BC-100500</t>
  </si>
  <si>
    <t>BC-101906</t>
  </si>
  <si>
    <t>BC-101974</t>
  </si>
  <si>
    <t>BC-101717</t>
  </si>
  <si>
    <t>BC-100335</t>
  </si>
  <si>
    <t>BC-101967</t>
  </si>
  <si>
    <t>BC-101675</t>
  </si>
  <si>
    <t>BC-100462</t>
  </si>
  <si>
    <t>BC-100692</t>
  </si>
  <si>
    <t>BC-100172</t>
  </si>
  <si>
    <t>BC-100648</t>
  </si>
  <si>
    <t>BC-100541</t>
  </si>
  <si>
    <t>BC-100683</t>
  </si>
  <si>
    <t>BC-100012</t>
  </si>
  <si>
    <t>BC-100838</t>
  </si>
  <si>
    <t>BC-100972</t>
  </si>
  <si>
    <t>BC-100052</t>
  </si>
  <si>
    <t>BC-101760</t>
  </si>
  <si>
    <t>BC-101643</t>
  </si>
  <si>
    <t>BC-100502</t>
  </si>
  <si>
    <t>BC-100287</t>
  </si>
  <si>
    <t>BC-100789</t>
  </si>
  <si>
    <t>BC-100423</t>
  </si>
  <si>
    <t>BC-101189</t>
  </si>
  <si>
    <t>BC-100544</t>
  </si>
  <si>
    <t>BC-100451</t>
  </si>
  <si>
    <t>BC-101745</t>
  </si>
  <si>
    <t>BC-100864</t>
  </si>
  <si>
    <t>BC-101402</t>
  </si>
  <si>
    <t>BC-101606</t>
  </si>
  <si>
    <t>BC-100770</t>
  </si>
  <si>
    <t>BC-101164</t>
  </si>
  <si>
    <t>BC-101437</t>
  </si>
  <si>
    <t>BC-100575</t>
  </si>
  <si>
    <t>BC-101718</t>
  </si>
  <si>
    <t>BC-100849</t>
  </si>
  <si>
    <t>BC-100971</t>
  </si>
  <si>
    <t>BC-100273</t>
  </si>
  <si>
    <t>BC-101328</t>
  </si>
  <si>
    <t>BC-101867</t>
  </si>
  <si>
    <t>BC-101909</t>
  </si>
  <si>
    <t>BC-100367</t>
  </si>
  <si>
    <t>BC-100431</t>
  </si>
  <si>
    <t>BC-100323</t>
  </si>
  <si>
    <t>BC-101012</t>
  </si>
  <si>
    <t>BC-100455</t>
  </si>
  <si>
    <t>BC-100303</t>
  </si>
  <si>
    <t>BC-101156</t>
  </si>
  <si>
    <t>BC-101255</t>
  </si>
  <si>
    <t>BC-101523</t>
  </si>
  <si>
    <t>BC-101783</t>
  </si>
  <si>
    <t>BC-101420</t>
  </si>
  <si>
    <t>BC-100338</t>
  </si>
  <si>
    <t>BC-101850</t>
  </si>
  <si>
    <t>BC-100329</t>
  </si>
  <si>
    <t>BC-100899</t>
  </si>
  <si>
    <t>BC-100152</t>
  </si>
  <si>
    <t>BC-100179</t>
  </si>
  <si>
    <t>13/03/2025</t>
  </si>
  <si>
    <t>BC-100136</t>
  </si>
  <si>
    <t>BC-101239</t>
  </si>
  <si>
    <t>BC-100356</t>
  </si>
  <si>
    <t>BC-101439</t>
  </si>
  <si>
    <t>BC-101081</t>
  </si>
  <si>
    <t>BC-101884</t>
  </si>
  <si>
    <t>BC-100802</t>
  </si>
  <si>
    <t>BC-100935</t>
  </si>
  <si>
    <t>BC-100444</t>
  </si>
  <si>
    <t>BC-100768</t>
  </si>
  <si>
    <t>BC-100786</t>
  </si>
  <si>
    <t>BC-101898</t>
  </si>
  <si>
    <t>BC-100779</t>
  </si>
  <si>
    <t>BC-101466</t>
  </si>
  <si>
    <t>BC-101273</t>
  </si>
  <si>
    <t>BC-101321</t>
  </si>
  <si>
    <t>BC-101872</t>
  </si>
  <si>
    <t>BC-101097</t>
  </si>
  <si>
    <t>BC-100910</t>
  </si>
  <si>
    <t>BC-100471</t>
  </si>
  <si>
    <t>BC-100080</t>
  </si>
  <si>
    <t>BC-101592</t>
  </si>
  <si>
    <t>BC-101862</t>
  </si>
  <si>
    <t>BC-101301</t>
  </si>
  <si>
    <t>BC-100086</t>
  </si>
  <si>
    <t>BC-101807</t>
  </si>
  <si>
    <t>BC-100737</t>
  </si>
  <si>
    <t>BC-100221</t>
  </si>
  <si>
    <t>BC-101011</t>
  </si>
  <si>
    <t>BC-100442</t>
  </si>
  <si>
    <t>BC-100681</t>
  </si>
  <si>
    <t>BC-100510</t>
  </si>
  <si>
    <t>BC-100618</t>
  </si>
  <si>
    <t>BC-101635</t>
  </si>
  <si>
    <t>BC-101942</t>
  </si>
  <si>
    <t>BC-101265</t>
  </si>
  <si>
    <t>BC-100689</t>
  </si>
  <si>
    <t>BC-100842</t>
  </si>
  <si>
    <t>BC-101632</t>
  </si>
  <si>
    <t>BC-100979</t>
  </si>
  <si>
    <t>BC-100734</t>
  </si>
  <si>
    <t>BC-100077</t>
  </si>
  <si>
    <t>BC-101823</t>
  </si>
  <si>
    <t>BC-100495</t>
  </si>
  <si>
    <t>BC-101015</t>
  </si>
  <si>
    <t>BC-101300</t>
  </si>
  <si>
    <t>BC-100975</t>
  </si>
  <si>
    <t>BC-100438</t>
  </si>
  <si>
    <t>BC-100773</t>
  </si>
  <si>
    <t>BC-100597</t>
  </si>
  <si>
    <t>BC-101655</t>
  </si>
  <si>
    <t>BC-101291</t>
  </si>
  <si>
    <t>BC-100239</t>
  </si>
  <si>
    <t>BC-101841</t>
  </si>
  <si>
    <t>BC-101201</t>
  </si>
  <si>
    <t>BC-101556</t>
  </si>
  <si>
    <t>BC-101443</t>
  </si>
  <si>
    <t>BC-100190</t>
  </si>
  <si>
    <t>BC-100433</t>
  </si>
  <si>
    <t>BC-101025</t>
  </si>
  <si>
    <t>BC-100073</t>
  </si>
  <si>
    <t>BC-101824</t>
  </si>
  <si>
    <t>BC-100641</t>
  </si>
  <si>
    <t>BC-100810</t>
  </si>
  <si>
    <t>BC-100578</t>
  </si>
  <si>
    <t>BC-101649</t>
  </si>
  <si>
    <t>BC-101902</t>
  </si>
  <si>
    <t>BC-100872</t>
  </si>
  <si>
    <t>BC-100966</t>
  </si>
  <si>
    <t>BC-101061</t>
  </si>
  <si>
    <t>BC-101852</t>
  </si>
  <si>
    <t>BC-101117</t>
  </si>
  <si>
    <t>BC-100271</t>
  </si>
  <si>
    <t>BC-101063</t>
  </si>
  <si>
    <t>BC-100167</t>
  </si>
  <si>
    <t>BC-101379</t>
  </si>
  <si>
    <t>10/09/2025</t>
  </si>
  <si>
    <t>BC-100341</t>
  </si>
  <si>
    <t>BC-101429</t>
  </si>
  <si>
    <t>BC-101883</t>
  </si>
  <si>
    <t>BC-100661</t>
  </si>
  <si>
    <t>BC-100161</t>
  </si>
  <si>
    <t>BC-100353</t>
  </si>
  <si>
    <t>BC-100879</t>
  </si>
  <si>
    <t>BC-100127</t>
  </si>
  <si>
    <t>BC-100156</t>
  </si>
  <si>
    <t>BC-100928</t>
  </si>
  <si>
    <t>BC-101753</t>
  </si>
  <si>
    <t>BC-100035</t>
  </si>
  <si>
    <t>BC-100529</t>
  </si>
  <si>
    <t>BC-100654</t>
  </si>
  <si>
    <t>BC-100020</t>
  </si>
  <si>
    <t>BC-101286</t>
  </si>
  <si>
    <t>BC-101622</t>
  </si>
  <si>
    <t>BC-101791</t>
  </si>
  <si>
    <t>BC-101187</t>
  </si>
  <si>
    <t>BC-100754</t>
  </si>
  <si>
    <t>BC-100316</t>
  </si>
  <si>
    <t>BC-100850</t>
  </si>
  <si>
    <t>BC-101133</t>
  </si>
  <si>
    <t>BC-100545</t>
  </si>
  <si>
    <t>BC-101022</t>
  </si>
  <si>
    <t>BC-100794</t>
  </si>
  <si>
    <t>BC-100890</t>
  </si>
  <si>
    <t>BC-100410</t>
  </si>
  <si>
    <t>BC-100604</t>
  </si>
  <si>
    <t>BC-101801</t>
  </si>
  <si>
    <t>BC-101870</t>
  </si>
  <si>
    <t>BC-100386</t>
  </si>
  <si>
    <t>BC-101057</t>
  </si>
  <si>
    <t>BC-100350</t>
  </si>
  <si>
    <t>BC-101977</t>
  </si>
  <si>
    <t>BC-100784</t>
  </si>
  <si>
    <t>BC-100002</t>
  </si>
  <si>
    <t>BC-101605</t>
  </si>
  <si>
    <t>BC-100741</t>
  </si>
  <si>
    <t>BC-100904</t>
  </si>
  <si>
    <t>BC-101393</t>
  </si>
  <si>
    <t>BC-101775</t>
  </si>
  <si>
    <t>BC-101195</t>
  </si>
  <si>
    <t>BC-100229</t>
  </si>
  <si>
    <t>BC-101495</t>
  </si>
  <si>
    <t>BC-101730</t>
  </si>
  <si>
    <t>BC-101254</t>
  </si>
  <si>
    <t>BC-101901</t>
  </si>
  <si>
    <t>BC-100755</t>
  </si>
  <si>
    <t>BC-100388</t>
  </si>
  <si>
    <t>BC-100998</t>
  </si>
  <si>
    <t>BC-101569</t>
  </si>
  <si>
    <t>BC-101679</t>
  </si>
  <si>
    <t>BC-101972</t>
  </si>
  <si>
    <t>BC-101467</t>
  </si>
  <si>
    <t>BC-101559</t>
  </si>
  <si>
    <t>BC-101723</t>
  </si>
  <si>
    <t>BC-100176</t>
  </si>
  <si>
    <t>BC-101568</t>
  </si>
  <si>
    <t>BC-101834</t>
  </si>
  <si>
    <t>BC-100130</t>
  </si>
  <si>
    <t>BC-100197</t>
  </si>
  <si>
    <t>BC-100154</t>
  </si>
  <si>
    <t>BC-100682</t>
  </si>
  <si>
    <t>BC-101736</t>
  </si>
  <si>
    <t>BC-100135</t>
  </si>
  <si>
    <t>BC-101312</t>
  </si>
  <si>
    <t>BC-101413</t>
  </si>
  <si>
    <t>BC-100363</t>
  </si>
  <si>
    <t>BC-101399</t>
  </si>
  <si>
    <t>BC-101114</t>
  </si>
  <si>
    <t>BC-101355</t>
  </si>
  <si>
    <t>BC-101750</t>
  </si>
  <si>
    <t>BC-101205</t>
  </si>
  <si>
    <t>BC-100359</t>
  </si>
  <si>
    <t>BC-101167</t>
  </si>
  <si>
    <t>BC-101257</t>
  </si>
  <si>
    <t>BC-100898</t>
  </si>
  <si>
    <t>BC-100164</t>
  </si>
  <si>
    <t>BC-101922</t>
  </si>
  <si>
    <t>BC-101376</t>
  </si>
  <si>
    <t>BC-100436</t>
  </si>
  <si>
    <t>BC-100108</t>
  </si>
  <si>
    <t>BC-100425</t>
  </si>
  <si>
    <t>BC-101728</t>
  </si>
  <si>
    <t>BC-100672</t>
  </si>
  <si>
    <t>BC-101349</t>
  </si>
  <si>
    <t>BC-101652</t>
  </si>
  <si>
    <t>BC-101073</t>
  </si>
  <si>
    <t>BC-101005</t>
  </si>
  <si>
    <t>BC-101945</t>
  </si>
  <si>
    <t>BC-100723</t>
  </si>
  <si>
    <t>BC-101362</t>
  </si>
  <si>
    <t>BC-100045</t>
  </si>
  <si>
    <t>BC-100749</t>
  </si>
  <si>
    <t>BC-101431</t>
  </si>
  <si>
    <t>BC-100018</t>
  </si>
  <si>
    <t>BC-101461</t>
  </si>
  <si>
    <t>BC-100704</t>
  </si>
  <si>
    <t>BC-100102</t>
  </si>
  <si>
    <t>BC-101933</t>
  </si>
  <si>
    <t>BC-101621</t>
  </si>
  <si>
    <t>BC-101970</t>
  </si>
  <si>
    <t>BC-101672</t>
  </si>
  <si>
    <t>BC-101118</t>
  </si>
  <si>
    <t>BC-101233</t>
  </si>
  <si>
    <t>BC-100781</t>
  </si>
  <si>
    <t>furniture</t>
  </si>
  <si>
    <t>BC-100344</t>
  </si>
  <si>
    <t>BC-100993</t>
  </si>
  <si>
    <t>BC-101751</t>
  </si>
  <si>
    <t>BC-100769</t>
  </si>
  <si>
    <t>BC-101045</t>
  </si>
  <si>
    <t>BC-101411</t>
  </si>
  <si>
    <t>BC-100234</t>
  </si>
  <si>
    <t>BC-100123</t>
  </si>
  <si>
    <t>BC-101668</t>
  </si>
  <si>
    <t>BC-101869</t>
  </si>
  <si>
    <t>BC-100678</t>
  </si>
  <si>
    <t>BC-101885</t>
  </si>
  <si>
    <t>BC-100963</t>
  </si>
  <si>
    <t>BC-101663</t>
  </si>
  <si>
    <t>BC-101943</t>
  </si>
  <si>
    <t>BC-100925</t>
  </si>
  <si>
    <t>BC-101790</t>
  </si>
  <si>
    <t>BC-101566</t>
  </si>
  <si>
    <t>BC-101755</t>
  </si>
  <si>
    <t>BC-100266</t>
  </si>
  <si>
    <t>BC-101292</t>
  </si>
  <si>
    <t>BC-101825</t>
  </si>
  <si>
    <t>BC-100302</t>
  </si>
  <si>
    <t>BC-100797</t>
  </si>
  <si>
    <t>BC-101220</t>
  </si>
  <si>
    <t>BC-101777</t>
  </si>
  <si>
    <t>BC-101921</t>
  </si>
  <si>
    <t>BC-100696</t>
  </si>
  <si>
    <t>BC-100491</t>
  </si>
  <si>
    <t>BC-101598</t>
  </si>
  <si>
    <t>BC-100629</t>
  </si>
  <si>
    <t>BC-100623</t>
  </si>
  <si>
    <t>BC-100349</t>
  </si>
  <si>
    <t>BC-100902</t>
  </si>
  <si>
    <t>BC-100238</t>
  </si>
  <si>
    <t>BC-101212</t>
  </si>
  <si>
    <t>BC-101272</t>
  </si>
  <si>
    <t>BC-100680</t>
  </si>
  <si>
    <t>BC-101594</t>
  </si>
  <si>
    <t>BC-101501</t>
  </si>
  <si>
    <t>BC-101092</t>
  </si>
  <si>
    <t>BC-100414</t>
  </si>
  <si>
    <t>BC-101210</t>
  </si>
  <si>
    <t>BC-101101</t>
  </si>
  <si>
    <t>BC-101918</t>
  </si>
  <si>
    <t>BC-101068</t>
  </si>
  <si>
    <t>BC-100015</t>
  </si>
  <si>
    <t>BC-100421</t>
  </si>
  <si>
    <t>BC-101415</t>
  </si>
  <si>
    <t>BC-101204</t>
  </si>
  <si>
    <t>BC-101244</t>
  </si>
  <si>
    <t>BC-100209</t>
  </si>
  <si>
    <t>BC-101069</t>
  </si>
  <si>
    <t>BC-100526</t>
  </si>
  <si>
    <t>BC-101489</t>
  </si>
  <si>
    <t>BC-100920</t>
  </si>
  <si>
    <t>BC-101190</t>
  </si>
  <si>
    <t>BC-101765</t>
  </si>
  <si>
    <t>BC-101170</t>
  </si>
  <si>
    <t>BC-100218</t>
  </si>
  <si>
    <t>BC-101637</t>
  </si>
  <si>
    <t>BC-100787</t>
  </si>
  <si>
    <t>BC-100340</t>
  </si>
  <si>
    <t>BC-100880</t>
  </si>
  <si>
    <t>BC-100184</t>
  </si>
  <si>
    <t>BC-101630</t>
  </si>
  <si>
    <t>BC-101616</t>
  </si>
  <si>
    <t>BC-100280</t>
  </si>
  <si>
    <t>BC-100586</t>
  </si>
  <si>
    <t>BC-101678</t>
  </si>
  <si>
    <t>BC-101202</t>
  </si>
  <si>
    <t>BC-100612</t>
  </si>
  <si>
    <t>BC-100673</t>
  </si>
  <si>
    <t>BC-101653</t>
  </si>
  <si>
    <t>BC-101688</t>
  </si>
  <si>
    <t>BC-101059</t>
  </si>
  <si>
    <t>BC-100911</t>
  </si>
  <si>
    <t>BC-100594</t>
  </si>
  <si>
    <t>BC-101476</t>
  </si>
  <si>
    <t>BC-100800</t>
  </si>
  <si>
    <t>BC-101112</t>
  </si>
  <si>
    <t>BC-101485</t>
  </si>
  <si>
    <t>BC-101470</t>
  </si>
  <si>
    <t>BC-101375</t>
  </si>
  <si>
    <t>BC-100630</t>
  </si>
  <si>
    <t>BC-100261</t>
  </si>
  <si>
    <t>BC-101900</t>
  </si>
  <si>
    <t>BC-100655</t>
  </si>
  <si>
    <t>BC-100389</t>
  </si>
  <si>
    <t>BC-100670</t>
  </si>
  <si>
    <t>BC-101838</t>
  </si>
  <si>
    <t>BC-101491</t>
  </si>
  <si>
    <t>BC-101519</t>
  </si>
  <si>
    <t>BC-100456</t>
  </si>
  <si>
    <t>BC-101350</t>
  </si>
  <si>
    <t>BC-100276</t>
  </si>
  <si>
    <t>BC-100384</t>
  </si>
  <si>
    <t>BC-100831</t>
  </si>
  <si>
    <t>BC-101396</t>
  </si>
  <si>
    <t>BC-101763</t>
  </si>
  <si>
    <t>BC-100319</t>
  </si>
  <si>
    <t>BC-100485</t>
  </si>
  <si>
    <t>BC-100405</t>
  </si>
  <si>
    <t>BC-100106</t>
  </si>
  <si>
    <t>BC-101014</t>
  </si>
  <si>
    <t>BC-101007</t>
  </si>
  <si>
    <t>BC-100408</t>
  </si>
  <si>
    <t>BC-100149</t>
  </si>
  <si>
    <t>BC-101508</t>
  </si>
  <si>
    <t>BC-101863</t>
  </si>
  <si>
    <t>BC-100174</t>
  </si>
  <si>
    <t>BC-100212</t>
  </si>
  <si>
    <t>BC-101829</t>
  </si>
  <si>
    <t>BC-101725</t>
  </si>
  <si>
    <t>BC-100347</t>
  </si>
  <si>
    <t>BC-100418</t>
  </si>
  <si>
    <t>BC-101488</t>
  </si>
  <si>
    <t>BC-101100</t>
  </si>
  <si>
    <t>BC-100233</t>
  </si>
  <si>
    <t>BC-100468</t>
  </si>
  <si>
    <t>BC-101484</t>
  </si>
  <si>
    <t>BC-101798</t>
  </si>
  <si>
    <t>BC-100307</t>
  </si>
  <si>
    <t>BC-100452</t>
  </si>
  <si>
    <t>BC-101329</t>
  </si>
  <si>
    <t>BC-100204</t>
  </si>
  <si>
    <t>BC-101237</t>
  </si>
  <si>
    <t>BC-100049</t>
  </si>
  <si>
    <t>BC-101188</t>
  </si>
  <si>
    <t>BC-101666</t>
  </si>
  <si>
    <t>BC-101452</t>
  </si>
  <si>
    <t>BC-101345</t>
  </si>
  <si>
    <t>BC-100602</t>
  </si>
  <si>
    <t>BC-101252</t>
  </si>
  <si>
    <t>BC-101958</t>
  </si>
  <si>
    <t>BC-100006</t>
  </si>
  <si>
    <t>BC-100242</t>
  </si>
  <si>
    <t>BC-100930</t>
  </si>
  <si>
    <t>BC-100705</t>
  </si>
  <si>
    <t>BC-100139</t>
  </si>
  <si>
    <t>BC-100383</t>
  </si>
  <si>
    <t>BC-101008</t>
  </si>
  <si>
    <t>BC-101334</t>
  </si>
  <si>
    <t>BC-101236</t>
  </si>
  <si>
    <t>BC-101103</t>
  </si>
  <si>
    <t>BC-100376</t>
  </si>
  <si>
    <t>BC-100865</t>
  </si>
  <si>
    <t>BC-101543</t>
  </si>
  <si>
    <t>BC-100396</t>
  </si>
  <si>
    <t>BC-100690</t>
  </si>
  <si>
    <t>BC-101831</t>
  </si>
  <si>
    <t>BC-100706</t>
  </si>
  <si>
    <t>BC-100740</t>
  </si>
  <si>
    <t>BC-101281</t>
  </si>
  <si>
    <t>BC-100395</t>
  </si>
  <si>
    <t>BC-100284</t>
  </si>
  <si>
    <t>BC-100585</t>
  </si>
  <si>
    <t>BC-101722</t>
  </si>
  <si>
    <t>BC-100980</t>
  </si>
  <si>
    <t>BC-100566</t>
  </si>
  <si>
    <t>BC-100145</t>
  </si>
  <si>
    <t>BC-101310</t>
  </si>
  <si>
    <t>BC-101035</t>
  </si>
  <si>
    <t>BC-101039</t>
  </si>
  <si>
    <t>BC-101432</t>
  </si>
  <si>
    <t>BC-101624</t>
  </si>
  <si>
    <t>BC-101199</t>
  </si>
  <si>
    <t>BC-101561</t>
  </si>
  <si>
    <t>BC-101095</t>
  </si>
  <si>
    <t>BC-101782</t>
  </si>
  <si>
    <t>BC-101043</t>
  </si>
  <si>
    <t>BC-101968</t>
  </si>
  <si>
    <t>BC-100450</t>
  </si>
  <si>
    <t>BC-100537</t>
  </si>
  <si>
    <t>BC-100685</t>
  </si>
  <si>
    <t>BC-100990</t>
  </si>
  <si>
    <t>BC-101930</t>
  </si>
  <si>
    <t>BC-100028</t>
  </si>
  <si>
    <t>BC-100237</t>
  </si>
  <si>
    <t>BC-100118</t>
  </si>
  <si>
    <t>BC-100351</t>
  </si>
  <si>
    <t>BC-101041</t>
  </si>
  <si>
    <t>BC-101130</t>
  </si>
  <si>
    <t>BC-100009</t>
  </si>
  <si>
    <t>BC-101733</t>
  </si>
  <si>
    <t>BC-100007</t>
  </si>
  <si>
    <t>BC-100622</t>
  </si>
  <si>
    <t>BC-101151</t>
  </si>
  <si>
    <t>BC-100563</t>
  </si>
  <si>
    <t>BC-100104</t>
  </si>
  <si>
    <t>BC-101694</t>
  </si>
  <si>
    <t>BC-100572</t>
  </si>
  <si>
    <t>BC-101843</t>
  </si>
  <si>
    <t>BC-101455</t>
  </si>
  <si>
    <t>BC-100254</t>
  </si>
  <si>
    <t>BC-101070</t>
  </si>
  <si>
    <t>BC-100169</t>
  </si>
  <si>
    <t>BC-100096</t>
  </si>
  <si>
    <t>BC-100129</t>
  </si>
  <si>
    <t>BC-100334</t>
  </si>
  <si>
    <t>BC-100465</t>
  </si>
  <si>
    <t>BC-101685</t>
  </si>
  <si>
    <t>BC-101054</t>
  </si>
  <si>
    <t>BC-100289</t>
  </si>
  <si>
    <t>BC-101464</t>
  </si>
  <si>
    <t>BC-101093</t>
  </si>
  <si>
    <t>BC-100826</t>
  </si>
  <si>
    <t>BC-101813</t>
  </si>
  <si>
    <t>BC-100852</t>
  </si>
  <si>
    <t>BC-101929</t>
  </si>
  <si>
    <t>BC-101193</t>
  </si>
  <si>
    <t>BC-100906</t>
  </si>
  <si>
    <t>BC-101473</t>
  </si>
  <si>
    <t>BC-100663</t>
  </si>
  <si>
    <t>BC-100393</t>
  </si>
  <si>
    <t>BC-100488</t>
  </si>
  <si>
    <t>BC-101076</t>
  </si>
  <si>
    <t>BC-100834</t>
  </si>
  <si>
    <t>BC-100346</t>
  </si>
  <si>
    <t>BC-101448</t>
  </si>
  <si>
    <t>BC-101260</t>
  </si>
  <si>
    <t>BC-100839</t>
  </si>
  <si>
    <t>BC-100644</t>
  </si>
  <si>
    <t>BC-100004</t>
  </si>
  <si>
    <t>BC-100232</t>
  </si>
  <si>
    <t>BC-100064</t>
  </si>
  <si>
    <t>BC-101294</t>
  </si>
  <si>
    <t>BC-101062</t>
  </si>
  <si>
    <t>BC-101153</t>
  </si>
  <si>
    <t>BC-101964</t>
  </si>
  <si>
    <t>BC-101534</t>
  </si>
  <si>
    <t>BC-101181</t>
  </si>
  <si>
    <t>BC-101802</t>
  </si>
  <si>
    <t>BC-101596</t>
  </si>
  <si>
    <t>BC-100955</t>
  </si>
  <si>
    <t>BC-101386</t>
  </si>
  <si>
    <t>BC-100693</t>
  </si>
  <si>
    <t>BC-101442</t>
  </si>
  <si>
    <t>BC-100992</t>
  </si>
  <si>
    <t>BC-101250</t>
  </si>
  <si>
    <t>BC-100625</t>
  </si>
  <si>
    <t>BC-100048</t>
  </si>
  <si>
    <t>BC-100868</t>
  </si>
  <si>
    <t>BC-101580</t>
  </si>
  <si>
    <t>NORTH</t>
  </si>
  <si>
    <t>BC-100090</t>
  </si>
  <si>
    <t>BC-101923</t>
  </si>
  <si>
    <t>BC-100757</t>
  </si>
  <si>
    <t>BC-101004</t>
  </si>
  <si>
    <t>BC-101263</t>
  </si>
  <si>
    <t>BC-100688</t>
  </si>
  <si>
    <t>BC-100825</t>
  </si>
  <si>
    <t>BC-101418</t>
  </si>
  <si>
    <t>BC-100199</t>
  </si>
  <si>
    <t>BC-101256</t>
  </si>
  <si>
    <t>BC-100328</t>
  </si>
  <si>
    <t>BC-100251</t>
  </si>
  <si>
    <t>BC-101275</t>
  </si>
  <si>
    <t>BC-101636</t>
  </si>
  <si>
    <t>BC-100030</t>
  </si>
  <si>
    <t>BC-101634</t>
  </si>
  <si>
    <t>BC-100560</t>
  </si>
  <si>
    <t>BC-101705</t>
  </si>
  <si>
    <t>BC-101178</t>
  </si>
  <si>
    <t>BC-101917</t>
  </si>
  <si>
    <t>BC-101786</t>
  </si>
  <si>
    <t>BC-101535</t>
  </si>
  <si>
    <t>BC-100445</t>
  </si>
  <si>
    <t>BC-100914</t>
  </si>
  <si>
    <t>BC-101704</t>
  </si>
  <si>
    <t>BC-100001</t>
  </si>
  <si>
    <t>BC-101689</t>
  </si>
  <si>
    <t>BC-100087</t>
  </si>
  <si>
    <t>BC-101361</t>
  </si>
  <si>
    <t>BC-100977</t>
  </si>
  <si>
    <t>BC-100508</t>
  </si>
  <si>
    <t>BC-100571</t>
  </si>
  <si>
    <t>BC-101336</t>
  </si>
  <si>
    <t>BC-101368</t>
  </si>
  <si>
    <t>BC-101602</t>
  </si>
  <si>
    <t>BC-101169</t>
  </si>
  <si>
    <t>BC-101676</t>
  </si>
  <si>
    <t>BC-101446</t>
  </si>
  <si>
    <t>BC-100270</t>
  </si>
  <si>
    <t>BC-101347</t>
  </si>
  <si>
    <t>BC-101365</t>
  </si>
  <si>
    <t>BC-101629</t>
  </si>
  <si>
    <t>BC-100157</t>
  </si>
  <si>
    <t>BC-100257</t>
  </si>
  <si>
    <t>BC-101400</t>
  </si>
  <si>
    <t>BC-100976</t>
  </si>
  <si>
    <t>BC-101475</t>
  </si>
  <si>
    <t>BC-100116</t>
  </si>
  <si>
    <t>BC-101299</t>
  </si>
  <si>
    <t>BC-101049</t>
  </si>
  <si>
    <t>BC-101525</t>
  </si>
  <si>
    <t>BC-101322</t>
  </si>
  <si>
    <t>BC-101453</t>
  </si>
  <si>
    <t>BC-101871</t>
  </si>
  <si>
    <t>BC-100497</t>
  </si>
  <si>
    <t>BC-101482</t>
  </si>
  <si>
    <t>BC-101266</t>
  </si>
  <si>
    <t>BC-100460</t>
  </si>
  <si>
    <t>BC-101935</t>
  </si>
  <si>
    <t>BC-101143</t>
  </si>
  <si>
    <t>BC-101868</t>
  </si>
  <si>
    <t>BC-100986</t>
  </si>
  <si>
    <t>BC-101090</t>
  </si>
  <si>
    <t>BC-101947</t>
  </si>
  <si>
    <t>BC-100527</t>
  </si>
  <si>
    <t>BC-100038</t>
  </si>
  <si>
    <t>BC-100379</t>
  </si>
  <si>
    <t>BC-100188</t>
  </si>
  <si>
    <t>BC-100887</t>
  </si>
  <si>
    <t>BC-101874</t>
  </si>
  <si>
    <t>BC-101589</t>
  </si>
  <si>
    <t>BC-101623</t>
  </si>
  <si>
    <t>BC-101774</t>
  </si>
  <si>
    <t>BC-101550</t>
  </si>
  <si>
    <t>BC-101001</t>
  </si>
  <si>
    <t>BC-101509</t>
  </si>
  <si>
    <t>BC-100394</t>
  </si>
  <si>
    <t>BC-101752</t>
  </si>
  <si>
    <t>BC-101438</t>
  </si>
  <si>
    <t>BC-101658</t>
  </si>
  <si>
    <t>BC-101973</t>
  </si>
  <si>
    <t>BC-101702</t>
  </si>
  <si>
    <t>BC-101119</t>
  </si>
  <si>
    <t>BC-101450</t>
  </si>
  <si>
    <t>BC-101042</t>
  </si>
  <si>
    <t>BC-101111</t>
  </si>
  <si>
    <t>BC-100878</t>
  </si>
  <si>
    <t>BC-101837</t>
  </si>
  <si>
    <t>BC-100743</t>
  </si>
  <si>
    <t>08/08/2025</t>
  </si>
  <si>
    <t>BC-100900</t>
  </si>
  <si>
    <t>BC-101140</t>
  </si>
  <si>
    <t>BC-100454</t>
  </si>
  <si>
    <t>BC-101124</t>
  </si>
  <si>
    <t>BC-100222</t>
  </si>
  <si>
    <t>BC-100777</t>
  </si>
  <si>
    <t>BC-101773</t>
  </si>
  <si>
    <t>BC-101481</t>
  </si>
  <si>
    <t>BC-100985</t>
  </si>
  <si>
    <t>BC-100304</t>
  </si>
  <si>
    <t>BC-101087</t>
  </si>
  <si>
    <t>BC-100595</t>
  </si>
  <si>
    <t>BC-101337</t>
  </si>
  <si>
    <t>BC-101526</t>
  </si>
  <si>
    <t>BC-101071</t>
  </si>
  <si>
    <t>BC-100095</t>
  </si>
  <si>
    <t>BC-100011</t>
  </si>
  <si>
    <t>BC-100267</t>
  </si>
  <si>
    <t>BC-101298</t>
  </si>
  <si>
    <t>BC-100182</t>
  </si>
  <si>
    <t>BC-100381</t>
  </si>
  <si>
    <t>BC-101427</t>
  </si>
  <si>
    <t>BC-100124</t>
  </si>
  <si>
    <t>BC-101644</t>
  </si>
  <si>
    <t>BC-101051</t>
  </si>
  <si>
    <t>BC-100576</t>
  </si>
  <si>
    <t>BC-101739</t>
  </si>
  <si>
    <t>BC-100846</t>
  </si>
  <si>
    <t>BC-100079</t>
  </si>
  <si>
    <t>BC-100213</t>
  </si>
  <si>
    <t>BC-100747</t>
  </si>
  <si>
    <t>BC-100984</t>
  </si>
  <si>
    <t>BC-101474</t>
  </si>
  <si>
    <t>BC-100962</t>
  </si>
  <si>
    <t>BC-100272</t>
  </si>
  <si>
    <t>BC-100851</t>
  </si>
  <si>
    <t>BC-100635</t>
  </si>
  <si>
    <t>BC-101927</t>
  </si>
  <si>
    <t>BC-101880</t>
  </si>
  <si>
    <t>BC-101742</t>
  </si>
  <si>
    <t>BC-101326</t>
  </si>
  <si>
    <t>BC-101713</t>
  </si>
  <si>
    <t>BC-100819</t>
  </si>
  <si>
    <t>BC-100713</t>
  </si>
  <si>
    <t>BC-101620</t>
  </si>
  <si>
    <t>BC-100370</t>
  </si>
  <si>
    <t>BC-101891</t>
  </si>
  <si>
    <t>BC-101756</t>
  </si>
  <si>
    <t>BC-101684</t>
  </si>
  <si>
    <t>BC-100158</t>
  </si>
  <si>
    <t>BC-101426</t>
  </si>
  <si>
    <t>BC-100894</t>
  </si>
  <si>
    <t>BC-101186</t>
  </si>
  <si>
    <t>BC-100417</t>
  </si>
  <si>
    <t>BC-101218</t>
  </si>
  <si>
    <t>BC-101748</t>
  </si>
  <si>
    <t>BC-101138</t>
  </si>
  <si>
    <t>BC-101821</t>
  </si>
  <si>
    <t>BC-100498</t>
  </si>
  <si>
    <t>BC-100326</t>
  </si>
  <si>
    <t>BC-101955</t>
  </si>
  <si>
    <t>BC-100748</t>
  </si>
  <si>
    <t>BC-100173</t>
  </si>
  <si>
    <t>north</t>
  </si>
  <si>
    <t>BC-100772</t>
  </si>
  <si>
    <t>BC-100469</t>
  </si>
  <si>
    <t>BC-101166</t>
  </si>
  <si>
    <t>BC-101769</t>
  </si>
  <si>
    <t>BC-101383</t>
  </si>
  <si>
    <t>BC-101512</t>
  </si>
  <si>
    <t>BC-100715</t>
  </si>
  <si>
    <t>BC-100146</t>
  </si>
  <si>
    <t>BC-101738</t>
  </si>
  <si>
    <t>BC-100193</t>
  </si>
  <si>
    <t>BC-101028</t>
  </si>
  <si>
    <t>BC-101019</t>
  </si>
  <si>
    <t>BC-100783</t>
  </si>
  <si>
    <t>BC-101128</t>
  </si>
  <si>
    <t>BC-101814</t>
  </si>
  <si>
    <t>BC-100147</t>
  </si>
  <si>
    <t>BC-101033</t>
  </si>
  <si>
    <t>BC-100716</t>
  </si>
  <si>
    <t>BC-100496</t>
  </si>
  <si>
    <t>BC-100380</t>
  </si>
  <si>
    <t>BC-100024</t>
  </si>
  <si>
    <t>BC-101545</t>
  </si>
  <si>
    <t>BC-100567</t>
  </si>
  <si>
    <t>BC-101264</t>
  </si>
  <si>
    <t>BC-100486</t>
  </si>
  <si>
    <t>BC-100774</t>
  </si>
  <si>
    <t>BC-101564</t>
  </si>
  <si>
    <t>BC-100626</t>
  </si>
  <si>
    <t>BC-100137</t>
  </si>
  <si>
    <t>BC-100249</t>
  </si>
  <si>
    <t>BC-101034</t>
  </si>
  <si>
    <t>BC-101332</t>
  </si>
  <si>
    <t>BC-101311</t>
  </si>
  <si>
    <t>BC-100974</t>
  </si>
  <si>
    <t>BC-100969</t>
  </si>
  <si>
    <t>BC-101941</t>
  </si>
  <si>
    <t>BC-100546</t>
  </si>
  <si>
    <t>BC-100637</t>
  </si>
  <si>
    <t>BC-100392</t>
  </si>
  <si>
    <t>BC-100094</t>
  </si>
  <si>
    <t>BC-100847</t>
  </si>
  <si>
    <t>BC-101711</t>
  </si>
  <si>
    <t>BC-101937</t>
  </si>
  <si>
    <t>BC-100023</t>
  </si>
  <si>
    <t>BC-101471</t>
  </si>
  <si>
    <t>BC-100916</t>
  </si>
  <si>
    <t>BC-101544</t>
  </si>
  <si>
    <t>BC-101796</t>
  </si>
  <si>
    <t>BC-101686</t>
  </si>
  <si>
    <t>BC-100589</t>
  </si>
  <si>
    <t>BC-100607</t>
  </si>
  <si>
    <t>BC-100724</t>
  </si>
  <si>
    <t>BC-100306</t>
  </si>
  <si>
    <t>BC-101074</t>
  </si>
  <si>
    <t>BC-100103</t>
  </si>
  <si>
    <t>BC-101832</t>
  </si>
  <si>
    <t>BC-100036</t>
  </si>
  <si>
    <t>BC-100337</t>
  </si>
  <si>
    <t>BC-101784</t>
  </si>
  <si>
    <t>BC-100711</t>
  </si>
  <si>
    <t>BC-101248</t>
  </si>
  <si>
    <t>BC-101221</t>
  </si>
  <si>
    <t>BC-101873</t>
  </si>
  <si>
    <t>BC-100605</t>
  </si>
  <si>
    <t>BC-101749</t>
  </si>
  <si>
    <t>BC-100540</t>
  </si>
  <si>
    <t>BC-100078</t>
  </si>
  <si>
    <t>BC-100761</t>
  </si>
  <si>
    <t>BC-100954</t>
  </si>
  <si>
    <t>BC-100710</t>
  </si>
  <si>
    <t>BC-100833</t>
  </si>
  <si>
    <t>BC-100736</t>
  </si>
  <si>
    <t>BC-101957</t>
  </si>
  <si>
    <t>BC-101631</t>
  </si>
  <si>
    <t>BC-101335</t>
  </si>
  <si>
    <t>BC-100074</t>
  </si>
  <si>
    <t>BC-101890</t>
  </si>
  <si>
    <t>BC-100813</t>
  </si>
  <si>
    <t>BC-100809</t>
  </si>
  <si>
    <t>BC-100853</t>
  </si>
  <si>
    <t>BC-100325</t>
  </si>
  <si>
    <t>BC-101077</t>
  </si>
  <si>
    <t>BC-101895</t>
  </si>
  <si>
    <t>BC-101013</t>
  </si>
  <si>
    <t>BC-100536</t>
  </si>
  <si>
    <t>BC-100461</t>
  </si>
  <si>
    <t>BC-100475</t>
  </si>
  <si>
    <t>BC-100309</t>
  </si>
  <si>
    <t>BC-100343</t>
  </si>
  <si>
    <t>BC-100937</t>
  </si>
  <si>
    <t>BC-101055</t>
  </si>
  <si>
    <t>BC-100256</t>
  </si>
  <si>
    <t>BC-101131</t>
  </si>
  <si>
    <t>BC-101064</t>
  </si>
  <si>
    <t>BC-101401</t>
  </si>
  <si>
    <t>BC-101320</t>
  </si>
  <si>
    <t>BC-101940</t>
  </si>
  <si>
    <t>BC-100600</t>
  </si>
  <si>
    <t>BC-101590</t>
  </si>
  <si>
    <t>BC-100114</t>
  </si>
  <si>
    <t>BC-101761</t>
  </si>
  <si>
    <t>BC-101595</t>
  </si>
  <si>
    <t>BC-101360</t>
  </si>
  <si>
    <t>BC-101050</t>
  </si>
  <si>
    <t>BC-100069</t>
  </si>
  <si>
    <t>BC-101627</t>
  </si>
  <si>
    <t>BC-100115</t>
  </si>
  <si>
    <t>BC-100050</t>
  </si>
  <si>
    <t>BC-100909</t>
  </si>
  <si>
    <t>BC-100793</t>
  </si>
  <si>
    <t>BC-100063</t>
  </si>
  <si>
    <t>BC-101758</t>
  </si>
  <si>
    <t>BC-100501</t>
  </si>
  <si>
    <t>BC-101882</t>
  </si>
  <si>
    <t>BC-101878</t>
  </si>
  <si>
    <t>BC-101593</t>
  </si>
  <si>
    <t>BC-101363</t>
  </si>
  <si>
    <t>BC-101706</t>
  </si>
  <si>
    <t>BC-100647</t>
  </si>
  <si>
    <t>BC-100098</t>
  </si>
  <si>
    <t>BC-100479</t>
  </si>
  <si>
    <t>BC-100609</t>
  </si>
  <si>
    <t>BC-101584</t>
  </si>
  <si>
    <t>BC-100968</t>
  </si>
  <si>
    <t>BC-101113</t>
  </si>
  <si>
    <t>BC-101458</t>
  </si>
  <si>
    <t>BC-101609</t>
  </si>
  <si>
    <t>BC-101006</t>
  </si>
  <si>
    <t>BC-101403</t>
  </si>
  <si>
    <t>BC-100893</t>
  </si>
  <si>
    <t>BC-100824</t>
  </si>
  <si>
    <t>BC-100523</t>
  </si>
  <si>
    <t>BC-101899</t>
  </si>
  <si>
    <t>BC-101351</t>
  </si>
  <si>
    <t>BC-101833</t>
  </si>
  <si>
    <t>BC-101539</t>
  </si>
  <si>
    <t>BC-100476</t>
  </si>
  <si>
    <t>BC-100695</t>
  </si>
  <si>
    <t>BC-101788</t>
  </si>
  <si>
    <t>BC-100722</t>
  </si>
  <si>
    <t>BC-101911</t>
  </si>
  <si>
    <t>BC-100820</t>
  </si>
  <si>
    <t>20/05/2025</t>
  </si>
  <si>
    <t>BC-100640</t>
  </si>
  <si>
    <t>23/03/2025</t>
  </si>
  <si>
    <t>BC-101496</t>
  </si>
  <si>
    <t>BC-101277</t>
  </si>
  <si>
    <t>BC-101165</t>
  </si>
  <si>
    <t>BC-101129</t>
  </si>
  <si>
    <t>BC-100412</t>
  </si>
  <si>
    <t>BC-100294</t>
  </si>
  <si>
    <t>BC-100886</t>
  </si>
  <si>
    <t>BC-100952</t>
  </si>
  <si>
    <t>BC-100708</t>
  </si>
  <si>
    <t>BC-101146</t>
  </si>
  <si>
    <t>BC-100719</t>
  </si>
  <si>
    <t>BC-101289</t>
  </si>
  <si>
    <t>BC-100667</t>
  </si>
  <si>
    <t>BC-100856</t>
  </si>
  <si>
    <t>BC-101038</t>
  </si>
  <si>
    <t>BC-101306</t>
  </si>
  <si>
    <t>BC-100133</t>
  </si>
  <si>
    <t>BC-101385</t>
  </si>
  <si>
    <t>BC-100008</t>
  </si>
  <si>
    <t>BC-101472</t>
  </si>
  <si>
    <t>BC-100584</t>
  </si>
  <si>
    <t>BC-101529</t>
  </si>
  <si>
    <t>BC-100140</t>
  </si>
  <si>
    <t>BC-101881</t>
  </si>
  <si>
    <t>BC-100766</t>
  </si>
  <si>
    <t>BC-100198</t>
  </si>
  <si>
    <t>BC-100236</t>
  </si>
  <si>
    <t>BC-101497</t>
  </si>
  <si>
    <t>BC-100322</t>
  </si>
  <si>
    <t>BC-101504</t>
  </si>
  <si>
    <t>BC-100141</t>
  </si>
  <si>
    <t>BC-101716</t>
  </si>
  <si>
    <t>BC-100926</t>
  </si>
  <si>
    <t>BC-101486</t>
  </si>
  <si>
    <t>BC-101572</t>
  </si>
  <si>
    <t>BC-101377</t>
  </si>
  <si>
    <t>BC-101533</t>
  </si>
  <si>
    <t>BC-100859</t>
  </si>
  <si>
    <t>BC-101661</t>
  </si>
  <si>
    <t>BC-100620</t>
  </si>
  <si>
    <t>BC-100499</t>
  </si>
  <si>
    <t>BC-101031</t>
  </si>
  <si>
    <t>BC-100060</t>
  </si>
  <si>
    <t>BC-101500</t>
  </si>
  <si>
    <t>BC-101552</t>
  </si>
  <si>
    <t>BC-100391</t>
  </si>
  <si>
    <t>BC-101098</t>
  </si>
  <si>
    <t>BC-100987</t>
  </si>
  <si>
    <t>BC-101373</t>
  </si>
  <si>
    <t>BC-101578</t>
  </si>
  <si>
    <t>BC-100061</t>
  </si>
  <si>
    <t>BC-101680</t>
  </si>
  <si>
    <t>BC-100195</t>
  </si>
  <si>
    <t>BC-100473</t>
  </si>
  <si>
    <t>BC-100244</t>
  </si>
  <si>
    <t>BC-101511</t>
  </si>
  <si>
    <t>BC-100286</t>
  </si>
  <si>
    <t>BC-100671</t>
  </si>
  <si>
    <t>BC-101514</t>
  </si>
  <si>
    <t>BC-100709</t>
  </si>
  <si>
    <t>BC-101848</t>
  </si>
  <si>
    <t>BC-100636</t>
  </si>
  <si>
    <t>BC-100707</t>
  </si>
  <si>
    <t>BC-100569</t>
  </si>
  <si>
    <t>BC-100219</t>
  </si>
  <si>
    <t>BC-101982</t>
  </si>
  <si>
    <t>BC-101428</t>
  </si>
  <si>
    <t>BC-100679</t>
  </si>
  <si>
    <t>BC-100844</t>
  </si>
  <si>
    <t>BC-101378</t>
  </si>
  <si>
    <t>BC-101762</t>
  </si>
  <si>
    <t>BC-100159</t>
  </si>
  <si>
    <t>BC-101214</t>
  </si>
  <si>
    <t>BC-101574</t>
  </si>
  <si>
    <t>BC-101577</t>
  </si>
  <si>
    <t>BC-101528</t>
  </si>
  <si>
    <t>BC-100153</t>
  </si>
  <si>
    <t>BC-101105</t>
  </si>
  <si>
    <t>BC-100742</t>
  </si>
  <si>
    <t>BC-101136</t>
  </si>
  <si>
    <t>BC-101083</t>
  </si>
  <si>
    <t>BC-101583</t>
  </si>
  <si>
    <t>BC-100132</t>
  </si>
  <si>
    <t>BC-101046</t>
  </si>
  <si>
    <t>BC-101343</t>
  </si>
  <si>
    <t>BC-101232</t>
  </si>
  <si>
    <t>BC-100614</t>
  </si>
  <si>
    <t>BC-100610</t>
  </si>
  <si>
    <t>BC-100601</t>
  </si>
  <si>
    <t>BC-100659</t>
  </si>
  <si>
    <t>BC-100861</t>
  </si>
  <si>
    <t>BC-101338</t>
  </si>
  <si>
    <t>BC-100994</t>
  </si>
  <si>
    <t>BC-100243</t>
  </si>
  <si>
    <t>BC-101342</t>
  </si>
  <si>
    <t>BC-100241</t>
  </si>
  <si>
    <t>BC-100321</t>
  </si>
  <si>
    <t>BC-100290</t>
  </si>
  <si>
    <t>BC-101586</t>
  </si>
  <si>
    <t>BC-101946</t>
  </si>
  <si>
    <t>BC-101003</t>
  </si>
  <si>
    <t>BC-100956</t>
  </si>
  <si>
    <t>BC-100110</t>
  </si>
  <si>
    <t>BC-100518</t>
  </si>
  <si>
    <t>BC-101555</t>
  </si>
  <si>
    <t>BC-101724</t>
  </si>
  <si>
    <t>BC-101331</t>
  </si>
  <si>
    <t>BC-101983</t>
  </si>
  <si>
    <t>BC-101576</t>
  </si>
  <si>
    <t>south</t>
  </si>
  <si>
    <t>BC-100583</t>
  </si>
  <si>
    <t>BC-100400</t>
  </si>
  <si>
    <t>BC-101971</t>
  </si>
  <si>
    <t>BC-101324</t>
  </si>
  <si>
    <t>BC-101389</t>
  </si>
  <si>
    <t>BC-100634</t>
  </si>
  <si>
    <t>BC-100599</t>
  </si>
  <si>
    <t>BC-100870</t>
  </si>
  <si>
    <t>BC-101333</t>
  </si>
  <si>
    <t>BC-100871</t>
  </si>
  <si>
    <t>BC-101781</t>
  </si>
  <si>
    <t>BC-100361</t>
  </si>
  <si>
    <t>BC-101317</t>
  </si>
  <si>
    <t>BC-101650</t>
  </si>
  <si>
    <t>BC-101540</t>
  </si>
  <si>
    <t>BC-100055</t>
  </si>
  <si>
    <t>BC-101356</t>
  </si>
  <si>
    <t>BC-101179</t>
  </si>
  <si>
    <t>BC-100565</t>
  </si>
  <si>
    <t>BC-100422</t>
  </si>
  <si>
    <t>BC-101695</t>
  </si>
  <si>
    <t>BC-101000</t>
  </si>
  <si>
    <t>BC-101279</t>
  </si>
  <si>
    <t>BC-100921</t>
  </si>
  <si>
    <t>BC-101478</t>
  </si>
  <si>
    <t>BC-100504</t>
  </si>
  <si>
    <t>BC-100348</t>
  </si>
  <si>
    <t>BC-101434</t>
  </si>
  <si>
    <t>BC-101938</t>
  </si>
  <si>
    <t>BC-101162</t>
  </si>
  <si>
    <t>BC-101645</t>
  </si>
  <si>
    <t>BC-101168</t>
  </si>
  <si>
    <t>BC-100315</t>
  </si>
  <si>
    <t>BC-101185</t>
  </si>
  <si>
    <t>BC-101811</t>
  </si>
  <si>
    <t>BC-100223</t>
  </si>
  <si>
    <t>BC-101392</t>
  </si>
  <si>
    <t>BC-100627</t>
  </si>
  <si>
    <t>BC-101849</t>
  </si>
  <si>
    <t>BC-101285</t>
  </si>
  <si>
    <t>BC-100246</t>
  </si>
  <si>
    <t>BC-100187</t>
  </si>
  <si>
    <t>BC-100070</t>
  </si>
  <si>
    <t>BC-101931</t>
  </si>
  <si>
    <t>BC-101002</t>
  </si>
  <si>
    <t>BC-100668</t>
  </si>
  <si>
    <t>BC-101163</t>
  </si>
  <si>
    <t>BC-101547</t>
  </si>
  <si>
    <t>BC-101669</t>
  </si>
  <si>
    <t>BC-101601</t>
  </si>
  <si>
    <t>BC-101709</t>
  </si>
  <si>
    <t>BC-100727</t>
  </si>
  <si>
    <t>BC-100577</t>
  </si>
  <si>
    <t>BC-101510</t>
  </si>
  <si>
    <t>BC-101610</t>
  </si>
  <si>
    <t>BC-101177</t>
  </si>
  <si>
    <t>BC-101726</t>
  </si>
  <si>
    <t>BC-101224</t>
  </si>
  <si>
    <t>BC-100515</t>
  </si>
  <si>
    <t>BC-100745</t>
  </si>
  <si>
    <t>BC-101864</t>
  </si>
  <si>
    <t>BC-101757</t>
  </si>
  <si>
    <t>BC-101691</t>
  </si>
  <si>
    <t>BC-101423</t>
  </si>
  <si>
    <t>BC-100220</t>
  </si>
  <si>
    <t>BC-101023</t>
  </si>
  <si>
    <t>BC-101217</t>
  </si>
  <si>
    <t>BC-100109</t>
  </si>
  <si>
    <t>BC-101876</t>
  </si>
  <si>
    <t>BC-101149</t>
  </si>
  <si>
    <t>BC-100684</t>
  </si>
  <si>
    <t>BC-101835</t>
  </si>
  <si>
    <t>BC-100995</t>
  </si>
  <si>
    <t>BC-100385</t>
  </si>
  <si>
    <t>BC-101820</t>
  </si>
  <si>
    <t>BC-101180</t>
  </si>
  <si>
    <t>BC-100532</t>
  </si>
  <si>
    <t>BC-100411</t>
  </si>
  <si>
    <t>BC-100368</t>
  </si>
  <si>
    <t>BC-101588</t>
  </si>
  <si>
    <t>BC-100262</t>
  </si>
  <si>
    <t>BC-101904</t>
  </si>
  <si>
    <t>BC-100843</t>
  </si>
  <si>
    <t>BC-101463</t>
  </si>
  <si>
    <t>BC-100093</t>
  </si>
  <si>
    <t>BC-100466</t>
  </si>
  <si>
    <t>BC-100762</t>
  </si>
  <si>
    <t>BC-100582</t>
  </si>
  <si>
    <t>BC-101449</t>
  </si>
  <si>
    <t>BC-101036</t>
  </si>
  <si>
    <t>BC-100973</t>
  </si>
  <si>
    <t>BC-100943</t>
  </si>
  <si>
    <t>BC-101295</t>
  </si>
  <si>
    <t>BC-100587</t>
  </si>
  <si>
    <t>BC-100313</t>
  </si>
  <si>
    <t>BC-101548</t>
  </si>
  <si>
    <t>BC-100406</t>
  </si>
  <si>
    <t>BC-101417</t>
  </si>
  <si>
    <t>BC-101268</t>
  </si>
  <si>
    <t>BC-101341</t>
  </si>
  <si>
    <t>BC-101740</t>
  </si>
  <si>
    <t>BC-100997</t>
  </si>
  <si>
    <t>BC-101274</t>
  </si>
  <si>
    <t>BC-101913</t>
  </si>
  <si>
    <t>BC-100555</t>
  </si>
  <si>
    <t>BC-100785</t>
  </si>
  <si>
    <t>BC-101932</t>
  </si>
  <si>
    <t>BC-101445</t>
  </si>
  <si>
    <t>BC-100327</t>
  </si>
  <si>
    <t>BC-101110</t>
  </si>
  <si>
    <t>BC-101665</t>
  </si>
  <si>
    <t>BC-100016</t>
  </si>
  <si>
    <t>BC-100373</t>
  </si>
  <si>
    <t>BC-100067</t>
  </si>
  <si>
    <t>BC-101381</t>
  </si>
  <si>
    <t>BC-100470</t>
  </si>
  <si>
    <t>BC-100211</t>
  </si>
  <si>
    <t>BC-100278</t>
  </si>
  <si>
    <t>BC-100293</t>
  </si>
  <si>
    <t>BC-101359</t>
  </si>
  <si>
    <t>BC-101715</t>
  </si>
  <si>
    <t>BC-100032</t>
  </si>
  <si>
    <t>BC-100795</t>
  </si>
  <si>
    <t>BC-100539</t>
  </si>
  <si>
    <t>BC-101570</t>
  </si>
  <si>
    <t>BC-100788</t>
  </si>
  <si>
    <t>BC-101240</t>
  </si>
  <si>
    <t>BC-100991</t>
  </si>
  <si>
    <t>BC-100799</t>
  </si>
  <si>
    <t>BC-101296</t>
  </si>
  <si>
    <t>BC-101089</t>
  </si>
  <si>
    <t>BC-101527</t>
  </si>
  <si>
    <t>MIDLANDS</t>
  </si>
  <si>
    <t>BC-101541</t>
  </si>
  <si>
    <t>BC-101215</t>
  </si>
  <si>
    <t>BC-100888</t>
  </si>
  <si>
    <t>BC-100231</t>
  </si>
  <si>
    <t>BC-101741</t>
  </si>
  <si>
    <t>BC-100558</t>
  </si>
  <si>
    <t>BC-101573</t>
  </si>
  <si>
    <t>22/03/2025</t>
  </si>
  <si>
    <t>BC-100441</t>
  </si>
  <si>
    <t>BC-101246</t>
  </si>
  <si>
    <t>BC-100764</t>
  </si>
  <si>
    <t>BC-101305</t>
  </si>
  <si>
    <t>BC-101743</t>
  </si>
  <si>
    <t>BC-100295</t>
  </si>
  <si>
    <t>06/07/2025</t>
  </si>
  <si>
    <t>BC-101780</t>
  </si>
  <si>
    <t>BC-101920</t>
  </si>
  <si>
    <t>BC-101352</t>
  </si>
  <si>
    <t>BC-100483</t>
  </si>
  <si>
    <t>BC-101699</t>
  </si>
  <si>
    <t>BC-101024</t>
  </si>
  <si>
    <t>BC-101954</t>
  </si>
  <si>
    <t>BC-101827</t>
  </si>
  <si>
    <t>BC-101558</t>
  </si>
  <si>
    <t>BC-100046</t>
  </si>
  <si>
    <t>BC-100733</t>
  </si>
  <si>
    <t>BC-100901</t>
  </si>
  <si>
    <t>BC-100275</t>
  </si>
  <si>
    <t>BC-101908</t>
  </si>
  <si>
    <t>BC-100959</t>
  </si>
  <si>
    <t>BC-101729</t>
  </si>
  <si>
    <t>BC-101287</t>
  </si>
  <si>
    <t>BC-101388</t>
  </si>
  <si>
    <t>BC-100464</t>
  </si>
  <si>
    <t>BC-101925</t>
  </si>
  <si>
    <t>BC-100759</t>
  </si>
  <si>
    <t>BC-100804</t>
  </si>
  <si>
    <t>BC-100274</t>
  </si>
  <si>
    <t>BC-100057</t>
  </si>
  <si>
    <t>BC-100143</t>
  </si>
  <si>
    <t>BC-101290</t>
  </si>
  <si>
    <t>BC-100931</t>
  </si>
  <si>
    <t>BC-101861</t>
  </si>
  <si>
    <t>BC-100617</t>
  </si>
  <si>
    <t>BC-101235</t>
  </si>
  <si>
    <t>BC-100665</t>
  </si>
  <si>
    <t>BC-101800</t>
  </si>
  <si>
    <t>BC-100288</t>
  </si>
  <si>
    <t>BC-101805</t>
  </si>
  <si>
    <t>BC-100596</t>
  </si>
  <si>
    <t>BC-101228</t>
  </si>
  <si>
    <t>BC-101980</t>
  </si>
  <si>
    <t>BC-101454</t>
  </si>
  <si>
    <t>BC-101565</t>
  </si>
  <si>
    <t>BC-100507</t>
  </si>
  <si>
    <t>BC-100698</t>
  </si>
  <si>
    <t>BC-101546</t>
  </si>
  <si>
    <t>BC-101582</t>
  </si>
  <si>
    <t>BC-100933</t>
  </si>
  <si>
    <t>BC-100424</t>
  </si>
  <si>
    <t>BC-101865</t>
  </si>
  <si>
    <t>BC-101764</t>
  </si>
  <si>
    <t>BC-101502</t>
  </si>
  <si>
    <t>BC-100420</t>
  </si>
  <si>
    <t>BC-100446</t>
  </si>
  <si>
    <t>BC-100718</t>
  </si>
  <si>
    <t>BC-101134</t>
  </si>
  <si>
    <t>BC-101184</t>
  </si>
  <si>
    <t>BC-101267</t>
  </si>
  <si>
    <t>BC-101029</t>
  </si>
  <si>
    <t>BC-100264</t>
  </si>
  <si>
    <t>BC-101367</t>
  </si>
  <si>
    <t>BC-100556</t>
  </si>
  <si>
    <t>BC-101959</t>
  </si>
  <si>
    <t>BC-100336</t>
  </si>
  <si>
    <t>BC-100836</t>
  </si>
  <si>
    <t>BC-101370</t>
  </si>
  <si>
    <t>BC-100228</t>
  </si>
  <si>
    <t>BC-100730</t>
  </si>
  <si>
    <t>BC-100964</t>
  </si>
  <si>
    <t>BC-101366</t>
  </si>
  <si>
    <t>BC-101225</t>
  </si>
  <si>
    <t>BC-101792</t>
  </si>
  <si>
    <t>BC-101979</t>
  </si>
  <si>
    <t>BC-101907</t>
  </si>
  <si>
    <t>BC-100105</t>
  </si>
  <si>
    <t>BC-101858</t>
  </si>
  <si>
    <t>BC-100168</t>
  </si>
  <si>
    <t>BC-101772</t>
  </si>
  <si>
    <t>BC-101860</t>
  </si>
  <si>
    <t>BC-101364</t>
  </si>
  <si>
    <t>BC-100938</t>
  </si>
  <si>
    <t>BC-101660</t>
  </si>
  <si>
    <t>BC-100037</t>
  </si>
  <si>
    <t>BC-101198</t>
  </si>
  <si>
    <t>BC-100649</t>
  </si>
  <si>
    <t>BC-101708</t>
  </si>
  <si>
    <t>BC-101524</t>
  </si>
  <si>
    <t>BC-101721</t>
  </si>
  <si>
    <t>BC-100355</t>
  </si>
  <si>
    <t>BC-101137</t>
  </si>
  <si>
    <t>BC-100934</t>
  </si>
  <si>
    <t>BC-101778</t>
  </si>
  <si>
    <t>BC-100039</t>
  </si>
  <si>
    <t>BC-101683</t>
  </si>
  <si>
    <t>BC-100889</t>
  </si>
  <si>
    <t>BC-100666</t>
  </si>
  <si>
    <t>BC-101319</t>
  </si>
  <si>
    <t>BC-100919</t>
  </si>
  <si>
    <t>26/11/2025</t>
  </si>
  <si>
    <t>BC-100076</t>
  </si>
  <si>
    <t>BC-101710</t>
  </si>
  <si>
    <t>BC-100735</t>
  </si>
  <si>
    <t>BC-100263</t>
  </si>
  <si>
    <t>BC-100907</t>
  </si>
  <si>
    <t>BC-100535</t>
  </si>
  <si>
    <t>BC-100791</t>
  </si>
  <si>
    <t>BC-100189</t>
  </si>
  <si>
    <t>BC-100676</t>
  </si>
  <si>
    <t>BC-101346</t>
  </si>
  <si>
    <t>BC-100357</t>
  </si>
  <si>
    <t>BC-100481</t>
  </si>
  <si>
    <t>BC-101939</t>
  </si>
  <si>
    <t>BC-101903</t>
  </si>
  <si>
    <t>BC-101978</t>
  </si>
  <si>
    <t>BC-101887</t>
  </si>
  <si>
    <t>BC-101698</t>
  </si>
  <si>
    <t>BC-101116</t>
  </si>
  <si>
    <t>BC-100099</t>
  </si>
  <si>
    <t>BC-100047</t>
  </si>
  <si>
    <t>BC-100005</t>
  </si>
  <si>
    <t>BC-100312</t>
  </si>
  <si>
    <t>BC-100181</t>
  </si>
  <si>
    <t>BC-100941</t>
  </si>
  <si>
    <t>BC-100543</t>
  </si>
  <si>
    <t>BC-101499</t>
  </si>
  <si>
    <t>BC-100025</t>
  </si>
  <si>
    <t>BC-101585</t>
  </si>
  <si>
    <t>BC-101191</t>
  </si>
  <si>
    <t>BC-101735</t>
  </si>
  <si>
    <t>BC-101303</t>
  </si>
  <si>
    <t>BC-100426</t>
  </si>
  <si>
    <t>BC-101302</t>
  </si>
  <si>
    <t>BC-100439</t>
  </si>
  <si>
    <t>BC-100354</t>
  </si>
  <si>
    <t>BC-101714</t>
  </si>
  <si>
    <t>BC-100881</t>
  </si>
  <si>
    <t>BC-101804</t>
  </si>
  <si>
    <t>BC-101122</t>
  </si>
  <si>
    <t>BC-100837</t>
  </si>
  <si>
    <t>BC-100482</t>
  </si>
  <si>
    <t>BC-101339</t>
  </si>
  <si>
    <t>BC-100957</t>
  </si>
  <si>
    <t>BC-100517</t>
  </si>
  <si>
    <t>BC-100058</t>
  </si>
  <si>
    <t>BC-100403</t>
  </si>
  <si>
    <t>BC-100816</t>
  </si>
  <si>
    <t>BC-100822</t>
  </si>
  <si>
    <t>BC-100427</t>
  </si>
  <si>
    <t>BC-101158</t>
  </si>
  <si>
    <t>BC-100883</t>
  </si>
  <si>
    <t>BC-100829</t>
  </si>
  <si>
    <t>BC-101047</t>
  </si>
  <si>
    <t>BC-101587</t>
  </si>
  <si>
    <t>BC-100034</t>
  </si>
  <si>
    <t>BC-101962</t>
  </si>
  <si>
    <t>BC-100428</t>
  </si>
  <si>
    <t>BC-100443</t>
  </si>
  <si>
    <t>BC-101327</t>
  </si>
  <si>
    <t>BC-100305</t>
  </si>
  <si>
    <t>BC-100490</t>
  </si>
  <si>
    <t>BC-100542</t>
  </si>
  <si>
    <t>BC-100624</t>
  </si>
  <si>
    <t>BC-100927</t>
  </si>
  <si>
    <t>BC-100631</t>
  </si>
  <si>
    <t>BC-100101</t>
  </si>
  <si>
    <t>BC-101600</t>
  </si>
  <si>
    <t>BC-100877</t>
  </si>
  <si>
    <t>BC-100574</t>
  </si>
  <si>
    <t>BC-101857</t>
  </si>
  <si>
    <t>BC-101919</t>
  </si>
  <si>
    <t>BC-101633</t>
  </si>
  <si>
    <t>BC-101720</t>
  </si>
  <si>
    <t>BC-100126</t>
  </si>
  <si>
    <t>BC-100714</t>
  </si>
  <si>
    <t>BC-101647</t>
  </si>
  <si>
    <t>BC-101608</t>
  </si>
  <si>
    <t>BC-101183</t>
  </si>
  <si>
    <t>BC-100947</t>
  </si>
  <si>
    <t>BC-101258</t>
  </si>
  <si>
    <t>BC-100948</t>
  </si>
  <si>
    <t>BC-101828</t>
  </si>
  <si>
    <t>BC-101667</t>
  </si>
  <si>
    <t>BC-100744</t>
  </si>
  <si>
    <t>BC-101819</t>
  </si>
  <si>
    <t>BC-101707</t>
  </si>
  <si>
    <t>HOME &amp; KITCHEN</t>
  </si>
  <si>
    <t>BC-101516</t>
  </si>
  <si>
    <t>BC-101659</t>
  </si>
  <si>
    <t>BC-101969</t>
  </si>
  <si>
    <t>BC-101465</t>
  </si>
  <si>
    <t>BC-100739</t>
  </si>
  <si>
    <t>BC-100897</t>
  </si>
  <si>
    <t>BC-101091</t>
  </si>
  <si>
    <t>BC-101056</t>
  </si>
  <si>
    <t>BC-100568</t>
  </si>
  <si>
    <t>BC-101223</t>
  </si>
  <si>
    <t>BC-101810</t>
  </si>
  <si>
    <t>BC-100805</t>
  </si>
  <si>
    <t>BC-100646</t>
  </si>
  <si>
    <t>BC-100097</t>
  </si>
  <si>
    <t>BC-101562</t>
  </si>
  <si>
    <t>BC-101613</t>
  </si>
  <si>
    <t>BC-100686</t>
  </si>
  <si>
    <t>BC-101560</t>
  </si>
  <si>
    <t>BC-101854</t>
  </si>
  <si>
    <t>BC-100896</t>
  </si>
  <si>
    <t>BC-100514</t>
  </si>
  <si>
    <t>BC-100413</t>
  </si>
  <si>
    <t>BC-101673</t>
  </si>
  <si>
    <t>BC-100752</t>
  </si>
  <si>
    <t>BC-101307</t>
  </si>
  <si>
    <t>BC-101492</t>
  </si>
  <si>
    <t>BC-100687</t>
  </si>
  <si>
    <t>BC-101840</t>
  </si>
  <si>
    <t>BC-100675</t>
  </si>
  <si>
    <t>BC-100845</t>
  </si>
  <si>
    <t>BC-101430</t>
  </si>
  <si>
    <t>BC-101080</t>
  </si>
  <si>
    <t>BC-101579</t>
  </si>
  <si>
    <t>BC-100432</t>
  </si>
  <si>
    <t>BC-101175</t>
  </si>
  <si>
    <t>BC-100377</t>
  </si>
  <si>
    <t>BC-100832</t>
  </si>
  <si>
    <t>BC-101406</t>
  </si>
  <si>
    <t>BC-101591</t>
  </si>
  <si>
    <t>BC-100516</t>
  </si>
  <si>
    <t>BC-100324</t>
  </si>
  <si>
    <t>BC-101414</t>
  </si>
  <si>
    <t>BC-101846</t>
  </si>
  <si>
    <t>BC-101145</t>
  </si>
  <si>
    <t>BC-101126</t>
  </si>
  <si>
    <t>BC-100224</t>
  </si>
  <si>
    <t>BC-100125</t>
  </si>
  <si>
    <t>BC-101308</t>
  </si>
  <si>
    <t>BC-101405</t>
  </si>
  <si>
    <t>BC-101538</t>
  </si>
  <si>
    <t>BC-100660</t>
  </si>
  <si>
    <t>BC-101075</t>
  </si>
  <si>
    <t>BC-100503</t>
  </si>
  <si>
    <t>BC-101444</t>
  </si>
  <si>
    <t>BC-100592</t>
  </si>
  <si>
    <t>BC-101410</t>
  </si>
  <si>
    <t>BC-101542</t>
  </si>
  <si>
    <t>BC-101737</t>
  </si>
  <si>
    <t>BC-100581</t>
  </si>
  <si>
    <t>BC-100310</t>
  </si>
  <si>
    <t>BC-100923</t>
  </si>
  <si>
    <t>BC-100398</t>
  </si>
  <si>
    <t>BC-101238</t>
  </si>
  <si>
    <t>BC-101700</t>
  </si>
  <si>
    <t>BC-100653</t>
  </si>
  <si>
    <t>BC-101664</t>
  </si>
  <si>
    <t>BC-101230</t>
  </si>
  <si>
    <t>BC-101625</t>
  </si>
  <si>
    <t>BC-100279</t>
  </si>
  <si>
    <t>BC-101421</t>
  </si>
  <si>
    <t>BC-101044</t>
  </si>
  <si>
    <t>BC-100178</t>
  </si>
  <si>
    <t>BC-100089</t>
  </si>
  <si>
    <t>BC-101108</t>
  </si>
  <si>
    <t>BC-100738</t>
  </si>
  <si>
    <t>BC-100862</t>
  </si>
  <si>
    <t>BC-101853</t>
  </si>
  <si>
    <t>BC-100296</t>
  </si>
  <si>
    <t>BC-101952</t>
  </si>
  <si>
    <t>BC-100961</t>
  </si>
  <si>
    <t>BC-100205</t>
  </si>
  <si>
    <t>BC-101505</t>
  </si>
  <si>
    <t>BC-100163</t>
  </si>
  <si>
    <t>BC-100703</t>
  </si>
  <si>
    <t>BC-101690</t>
  </si>
  <si>
    <t>BC-100484</t>
  </si>
  <si>
    <t>BC-101611</t>
  </si>
  <si>
    <t>BC-101234</t>
  </si>
  <si>
    <t>BC-101245</t>
  </si>
  <si>
    <t>BC-101148</t>
  </si>
  <si>
    <t>BC-100260</t>
  </si>
  <si>
    <t>BC-100840</t>
  </si>
  <si>
    <t>BC-101010</t>
  </si>
  <si>
    <t>BC-100084</t>
  </si>
  <si>
    <t>BC-100633</t>
  </si>
  <si>
    <t>BC-100082</t>
  </si>
  <si>
    <t>BC-100100</t>
  </si>
  <si>
    <t>BC-101192</t>
  </si>
  <si>
    <t>BC-100029</t>
  </si>
  <si>
    <t>BC-101517</t>
  </si>
  <si>
    <t>BC-100083</t>
  </si>
  <si>
    <t>BC-100162</t>
  </si>
  <si>
    <t>BC-101575</t>
  </si>
  <si>
    <t>BC-100489</t>
  </si>
  <si>
    <t>BC-101433</t>
  </si>
  <si>
    <t>BC-101094</t>
  </si>
  <si>
    <t>BC-101734</t>
  </si>
  <si>
    <t>26/05/2025</t>
  </si>
  <si>
    <t>BC-101985</t>
  </si>
  <si>
    <t>BC-100561</t>
  </si>
  <si>
    <t>BC-100562</t>
  </si>
  <si>
    <t>BC-101696</t>
  </si>
  <si>
    <t>BC-101269</t>
  </si>
  <si>
    <t>BC-100331</t>
  </si>
  <si>
    <t>BC-101826</t>
  </si>
  <si>
    <t>BC-101271</t>
  </si>
  <si>
    <t>16/09/2025</t>
  </si>
  <si>
    <t>BC-100374</t>
  </si>
  <si>
    <t>BC-101123</t>
  </si>
  <si>
    <t>BC-100010</t>
  </si>
  <si>
    <t>BC-101916</t>
  </si>
  <si>
    <t>BC-100758</t>
  </si>
  <si>
    <t>BC-101656</t>
  </si>
  <si>
    <t>BC-100311</t>
  </si>
  <si>
    <t>BC-101325</t>
  </si>
  <si>
    <t>BC-101241</t>
  </si>
  <si>
    <t>BC-100068</t>
  </si>
  <si>
    <t>BC-101795</t>
  </si>
  <si>
    <t>BC-100165</t>
  </si>
  <si>
    <t>BC-100613</t>
  </si>
  <si>
    <t>BC-100365</t>
  </si>
  <si>
    <t>BC-101799</t>
  </si>
  <si>
    <t>BC-101404</t>
  </si>
  <si>
    <t>BC-101082</t>
  </si>
  <si>
    <t>BC-101530</t>
  </si>
  <si>
    <t>BC-100160</t>
  </si>
  <si>
    <t>BC-101851</t>
  </si>
  <si>
    <t>BC-100434</t>
  </si>
  <si>
    <t>BC-101018</t>
  </si>
  <si>
    <t>BC-101293</t>
  </si>
  <si>
    <t>BC-100854</t>
  </si>
  <si>
    <t>BC-100606</t>
  </si>
  <si>
    <t>BC-100480</t>
  </si>
  <si>
    <t>BC-100522</t>
  </si>
  <si>
    <t>BC-100297</t>
  </si>
  <si>
    <t>BC-101842</t>
  </si>
  <si>
    <t>BC-101276</t>
  </si>
  <si>
    <t>BC-100949</t>
  </si>
  <si>
    <t>BC-100702</t>
  </si>
  <si>
    <t>BC-101648</t>
  </si>
  <si>
    <t>BC-101732</t>
  </si>
  <si>
    <t>BC-101394</t>
  </si>
  <si>
    <t>BC-101182</t>
  </si>
  <si>
    <t>BC-101330</t>
  </si>
  <si>
    <t>BC-101208</t>
  </si>
  <si>
    <t>BC-101521</t>
  </si>
  <si>
    <t>BC-100119</t>
  </si>
  <si>
    <t>BC-100983</t>
  </si>
  <si>
    <t>BC-100054</t>
  </si>
  <si>
    <t>BC-100885</t>
  </si>
  <si>
    <t>BC-101027</t>
  </si>
  <si>
    <t>BC-100677</t>
  </si>
  <si>
    <t>BC-100530</t>
  </si>
  <si>
    <t>BC-101477</t>
  </si>
  <si>
    <t>BC-100790</t>
  </si>
  <si>
    <t>BC-100912</t>
  </si>
  <si>
    <t>BC-100308</t>
  </si>
  <si>
    <t>BC-100895</t>
  </si>
  <si>
    <t>BC-101174</t>
  </si>
  <si>
    <t>BC-101058</t>
  </si>
  <si>
    <t>BC-100874</t>
  </si>
  <si>
    <t>BC-101928</t>
  </si>
  <si>
    <t>BC-101318</t>
  </si>
  <si>
    <t>BC-100175</t>
  </si>
  <si>
    <t>BC-100040</t>
  </si>
  <si>
    <t>BC-101981</t>
  </si>
  <si>
    <t>BC-101581</t>
  </si>
  <si>
    <t>BC-101614</t>
  </si>
  <si>
    <t>BC-100044</t>
  </si>
  <si>
    <t>BC-100616</t>
  </si>
  <si>
    <t>BC-101493</t>
  </si>
  <si>
    <t>BC-101106</t>
  </si>
  <si>
    <t>BC-101905</t>
  </si>
  <si>
    <t>BC-101142</t>
  </si>
  <si>
    <t>BC-101102</t>
  </si>
  <si>
    <t>BC-101662</t>
  </si>
  <si>
    <t>BC-100378</t>
  </si>
  <si>
    <t>BC-100875</t>
  </si>
  <si>
    <t>BC-100298</t>
  </si>
  <si>
    <t>BC-100643</t>
  </si>
  <si>
    <t>BC-101040</t>
  </si>
  <si>
    <t>BC-101892</t>
  </si>
  <si>
    <t>BC-101120</t>
  </si>
  <si>
    <t>BC-101261</t>
  </si>
  <si>
    <t>BC-101009</t>
  </si>
  <si>
    <t>BC-100364</t>
  </si>
  <si>
    <t>BC-100538</t>
  </si>
  <si>
    <t>BC-101551</t>
  </si>
  <si>
    <t>BC-101513</t>
  </si>
  <si>
    <t>BC-100656</t>
  </si>
  <si>
    <t>BC-100939</t>
  </si>
  <si>
    <t>BC-101125</t>
  </si>
  <si>
    <t>BC-100792</t>
  </si>
  <si>
    <t>BC-101459</t>
  </si>
  <si>
    <t>BC-101207</t>
  </si>
  <si>
    <t>BC-100848</t>
  </si>
  <si>
    <t>BC-101369</t>
  </si>
  <si>
    <t>BC-101161</t>
  </si>
  <si>
    <t>BC-101626</t>
  </si>
  <si>
    <t>BC-100112</t>
  </si>
  <si>
    <t>BC-100247</t>
  </si>
  <si>
    <t>BC-101357</t>
  </si>
  <si>
    <t>BC-101771</t>
  </si>
  <si>
    <t>BC-101316</t>
  </si>
  <si>
    <t>BC-101412</t>
  </si>
  <si>
    <t>BC-100056</t>
  </si>
  <si>
    <t>BC-100259</t>
  </si>
  <si>
    <t>BC-101532</t>
  </si>
  <si>
    <t>BC-100932</t>
  </si>
  <si>
    <t>BC-100699</t>
  </si>
  <si>
    <t>BC-100662</t>
  </si>
  <si>
    <t>BC-101456</t>
  </si>
  <si>
    <t>BC-101314</t>
  </si>
  <si>
    <t>BC-101395</t>
  </si>
  <si>
    <t>BC-101910</t>
  </si>
  <si>
    <t>BC-101372</t>
  </si>
  <si>
    <t>BC-101348</t>
  </si>
  <si>
    <t>BC-101754</t>
  </si>
  <si>
    <t>BC-100817</t>
  </si>
  <si>
    <t>BC-100549</t>
  </si>
  <si>
    <t>BC-101344</t>
  </si>
  <si>
    <t>BC-101503</t>
  </si>
  <si>
    <t>BC-101859</t>
  </si>
  <si>
    <t>BC-100765</t>
  </si>
  <si>
    <t>BC-101966</t>
  </si>
  <si>
    <t>BC-101944</t>
  </si>
  <si>
    <t>BC-100860</t>
  </si>
  <si>
    <t>BC-101282</t>
  </si>
  <si>
    <t>BC-100245</t>
  </si>
  <si>
    <t>BC-101323</t>
  </si>
  <si>
    <t>BC-100258</t>
  </si>
  <si>
    <t>BC-100591</t>
  </si>
  <si>
    <t>BC-101017</t>
  </si>
  <si>
    <t>BC-101340</t>
  </si>
  <si>
    <t>BC-100387</t>
  </si>
  <si>
    <t>BC-101628</t>
  </si>
  <si>
    <t>BC-100301</t>
  </si>
  <si>
    <t>BC-101219</t>
  </si>
  <si>
    <t>BC-100512</t>
  </si>
  <si>
    <t>BC-101785</t>
  </si>
  <si>
    <t>BC-100429</t>
  </si>
  <si>
    <t>BC-101553</t>
  </si>
  <si>
    <t>BC-100521</t>
  </si>
  <si>
    <t>BC-100638</t>
  </si>
  <si>
    <t>BC-101893</t>
  </si>
  <si>
    <t>BC-100960</t>
  </si>
  <si>
    <t>27/10/2025</t>
  </si>
  <si>
    <t>BC-101915</t>
  </si>
  <si>
    <t>BC-101642</t>
  </si>
  <si>
    <t>BC-100281</t>
  </si>
  <si>
    <t>BC-100171</t>
  </si>
  <si>
    <t>BC-100031</t>
  </si>
  <si>
    <t>BC-101597</t>
  </si>
  <si>
    <t>BC-100180</t>
  </si>
  <si>
    <t>BC-101243</t>
  </si>
  <si>
    <t>BC-100525</t>
  </si>
  <si>
    <t>BC-100253</t>
  </si>
  <si>
    <t>BC-100940</t>
  </si>
  <si>
    <t>BC-101692</t>
  </si>
  <si>
    <t>BC-101053</t>
  </si>
  <si>
    <t>BC-101479</t>
  </si>
  <si>
    <t>BC-100453</t>
  </si>
  <si>
    <t>BC-100951</t>
  </si>
  <si>
    <t>BC-101776</t>
  </si>
  <si>
    <t>BC-101358</t>
  </si>
  <si>
    <t>BC-101155</t>
  </si>
  <si>
    <t>BC-100250</t>
  </si>
  <si>
    <t>BC-100440</t>
  </si>
  <si>
    <t>BC-101139</t>
  </si>
  <si>
    <t>BC-100369</t>
  </si>
  <si>
    <t>BC-100732</t>
  </si>
  <si>
    <t>BC-100694</t>
  </si>
  <si>
    <t>BC-100142</t>
  </si>
  <si>
    <t>BC-101315</t>
  </si>
  <si>
    <t>BC-100603</t>
  </si>
  <si>
    <t>BC-101304</t>
  </si>
  <si>
    <t>BC-101469</t>
  </si>
  <si>
    <t>BC-101419</t>
  </si>
  <si>
    <t>BC-100996</t>
  </si>
  <si>
    <t>BC-100981</t>
  </si>
  <si>
    <t>BC-101284</t>
  </si>
  <si>
    <t>BC-100166</t>
  </si>
  <si>
    <t>BC-100131</t>
  </si>
  <si>
    <t>BC-100942</t>
  </si>
  <si>
    <t>BC-101746</t>
  </si>
  <si>
    <t>BC-101065</t>
  </si>
  <si>
    <t>BC-100487</t>
  </si>
  <si>
    <t>BC-101856</t>
  </si>
  <si>
    <t>BC-101731</t>
  </si>
  <si>
    <t>BC-100292</t>
  </si>
  <si>
    <t>BC-101855</t>
  </si>
  <si>
    <t>BC-100506</t>
  </si>
  <si>
    <t>BC-101067</t>
  </si>
  <si>
    <t>BC-100967</t>
  </si>
  <si>
    <t>BC-101654</t>
  </si>
  <si>
    <t>BC-101767</t>
  </si>
  <si>
    <t>BC-100375</t>
  </si>
  <si>
    <t>BC-100812</t>
  </si>
  <si>
    <t>BC-100285</t>
  </si>
  <si>
    <t>BC-100835</t>
  </si>
  <si>
    <t>BC-101032</t>
  </si>
  <si>
    <t>BC-101518</t>
  </si>
  <si>
    <t>BC-101440</t>
  </si>
  <si>
    <t>BC-100528</t>
  </si>
  <si>
    <t>BC-101457</t>
  </si>
  <si>
    <t>BC-100780</t>
  </si>
  <si>
    <t>BC-101640</t>
  </si>
  <si>
    <t>BC-101727</t>
  </si>
  <si>
    <t>BC-100314</t>
  </si>
  <si>
    <t>BC-100215</t>
  </si>
  <si>
    <t>SOUTH</t>
  </si>
  <si>
    <t>BC-100978</t>
  </si>
  <si>
    <t>BC-101016</t>
  </si>
  <si>
    <t>BC-100151</t>
  </si>
  <si>
    <t>Field</t>
  </si>
  <si>
    <t>Meaning</t>
  </si>
  <si>
    <t>Expected Type / Format</t>
  </si>
  <si>
    <t>Notes</t>
  </si>
  <si>
    <t>Transaction/order identifier</t>
  </si>
  <si>
    <t>Text</t>
  </si>
  <si>
    <t>Should uniquely identify an order; check for duplicates.</t>
  </si>
  <si>
    <t>Date the order was placed</t>
  </si>
  <si>
    <t>Date (dd/mm/yyyy)</t>
  </si>
  <si>
    <t>Used for monthly/seasonal trend analysis.</t>
  </si>
  <si>
    <t>UK sales region</t>
  </si>
  <si>
    <t>Category</t>
  </si>
  <si>
    <t>Expected categories: North, South, Midlands, London.</t>
  </si>
  <si>
    <t>Customer segment</t>
  </si>
  <si>
    <t>Individual, Small Business, Corporate.</t>
  </si>
  <si>
    <t>High-level product group</t>
  </si>
  <si>
    <t>Electronics, Office, Home &amp; Kitchen, Furniture.</t>
  </si>
  <si>
    <t>Product purchased</t>
  </si>
  <si>
    <t>Product name.</t>
  </si>
  <si>
    <t>Units purchased in the order</t>
  </si>
  <si>
    <t>Whole number</t>
  </si>
  <si>
    <t>Used in revenue and cost calculations.</t>
  </si>
  <si>
    <t>Selling price per unit before discount</t>
  </si>
  <si>
    <t>Currency (£)</t>
  </si>
  <si>
    <t>May vary slightly by transaction.</t>
  </si>
  <si>
    <t>Estimated business cost per unit</t>
  </si>
  <si>
    <t>Used to calculate total cost and profit.</t>
  </si>
  <si>
    <t>Discount applied to the order</t>
  </si>
  <si>
    <t>Percentage</t>
  </si>
  <si>
    <t>Use when calculating net revenue.</t>
  </si>
  <si>
    <t>Days from order to fulfilment/delivery</t>
  </si>
  <si>
    <t>Store purchases may have very low values.</t>
  </si>
  <si>
    <t>Customer rating after purchase</t>
  </si>
  <si>
    <t>1–5</t>
  </si>
  <si>
    <t>Some records may not contain a score.</t>
  </si>
  <si>
    <t>Whether the order was returned</t>
  </si>
  <si>
    <t>Yes/No</t>
  </si>
  <si>
    <t>Used to calculate return rate.</t>
  </si>
  <si>
    <t>How the order was placed</t>
  </si>
  <si>
    <t>Online, Store, Phone.</t>
  </si>
  <si>
    <t>How the customer paid</t>
  </si>
  <si>
    <t>Card, Bank Transfer, Digital Wallet.</t>
  </si>
  <si>
    <t>MANAGEMENT QUESTIONS — YOUR ANALYSIS BRIEF</t>
  </si>
  <si>
    <t>No.</t>
  </si>
  <si>
    <t>Management Question</t>
  </si>
  <si>
    <t>Your Finding</t>
  </si>
  <si>
    <t>Evidence / Metric</t>
  </si>
  <si>
    <t>Recommended Action</t>
  </si>
  <si>
    <t>What are total revenue, total profit, profit margin and the number of unique orders?</t>
  </si>
  <si>
    <t>How do revenue and profit change month by month? Are there seasonal patterns?</t>
  </si>
  <si>
    <t>Which regions perform best and worst on revenue and profitability?</t>
  </si>
  <si>
    <t>Which product categories generate the most revenue and profit?</t>
  </si>
  <si>
    <t>Are there products with strong sales but weak profitability?</t>
  </si>
  <si>
    <t>Which customer type contributes the most revenue and profit?</t>
  </si>
  <si>
    <t>Which regions, categories or products have unusually high return rates?</t>
  </si>
  <si>
    <t>Is there evidence that longer delivery times are linked with lower customer satisfaction?</t>
  </si>
  <si>
    <t>Which products or areas appear to be driving customer dissatisfaction?</t>
  </si>
  <si>
    <t>What are the three most important actions management should take based on your analysis?</t>
  </si>
  <si>
    <t>Customer_Type clean</t>
  </si>
  <si>
    <t>Region _ Clean</t>
  </si>
  <si>
    <t>Product_ Category</t>
  </si>
  <si>
    <t>Order_Date_Clean</t>
  </si>
  <si>
    <t>Duplicate_Check</t>
  </si>
  <si>
    <t>Product_Clean</t>
  </si>
  <si>
    <t>Total_Cost</t>
  </si>
  <si>
    <t>Profit_Margin</t>
  </si>
  <si>
    <t>Count of Order_ID</t>
  </si>
  <si>
    <t>Sum of Revenue</t>
  </si>
  <si>
    <t>Sum of Profit</t>
  </si>
  <si>
    <t>Month</t>
  </si>
  <si>
    <t>Month Analysis</t>
  </si>
  <si>
    <t>Monthly Revenue</t>
  </si>
  <si>
    <t>Monthly Profit</t>
  </si>
  <si>
    <t>Revenue and profit generally increased towards the end of 2025, with a particularly strong rise in September, November and December. December recorded the highest revenue (£43,503.26) and profit (£14,783.08), while February recorded the lowest revenue (£18,837.46) and profit (£7,185.14). This indicates a strong year-end seasonal pattern, although the relationship between increased sales and profitability requires further investigation.</t>
  </si>
  <si>
    <t>Lowest: Feb — £18,837.46 revenue / £7,185.14 profit. Highest: Dec — £43,503.26 revenue / £14,783.08 profit.</t>
  </si>
  <si>
    <t>BrightCart processed 1,985 valid orders in 2025, generating total revenue of £331,552.88 and total profit of £123,547.26, with an overall profit margin of 37.26%.</t>
  </si>
  <si>
    <t>Orders: 1,985 | Revenue: £331,552.88 | Profit: £123,547.26 | Profit Margin: 37.26%</t>
  </si>
  <si>
    <t>London generated the highest revenue (£94,673.78) and the highest total profit (£36,002.34). However, Midlands achieved the highest profit margin at 38.58%. South generated almost as much revenue as London (£94,091.64) but had the lowest profit margin at 35.00%, suggesting weaker profitability despite strong sales.</t>
  </si>
  <si>
    <t>Highest revenue/profit: London — £94,673.78 revenue, £36,002.34 profit. Highest margin: Midlands — 38.58%. Lowest margin: South — 35.00%.</t>
  </si>
  <si>
    <t>Product Category</t>
  </si>
  <si>
    <t>ProfitMargin</t>
  </si>
  <si>
    <t>Furniture generated the highest revenue at £102,600.00, while Electronics generated the highest total profit at £36,267.85. Office generated the lowest revenue (£45,243.49) but achieved the highest profit margin at 46.00%. Furniture had the lowest profit margin at 33.27% despite having the highest revenue, indicating that strong sales volume does not necessarily translate into the strongest profitability.</t>
  </si>
  <si>
    <t>Highest revenue: Furniture — £102,600.00. Highest profit: Electronics — £36,267.85. Highest margin: Office — 46.00%. Lowest margin: Furniture — 33.27%.</t>
  </si>
  <si>
    <t>Question 4</t>
  </si>
  <si>
    <t>Question 5</t>
  </si>
  <si>
    <t>Smarthome Hub</t>
  </si>
  <si>
    <t>Ergonomic Keybored</t>
  </si>
  <si>
    <t>SmartHome Hub showed the clearest evidence of strong sales but weak profitability. It generated the highest individual product revenue at £40,967.26 but achieved a profit margin of only 29.28%, below the company’s overall margin of 37.26%. Storage Cabinet also generated strong revenue of £36,266.77 with a relatively low profit margin of 32.38%, while Office Chair generated £28,326.44 at a 32.34% margin.</t>
  </si>
  <si>
    <t>SmartHome Hub: £40,967.26 revenue / 29.28% margin. Storage Cabinet: £36,266.77 / 32.38%. Office Chair: £28,326.44 / 32.34%. Overall company margin: 37.26%.</t>
  </si>
  <si>
    <t>Question 6</t>
  </si>
  <si>
    <t>Customer</t>
  </si>
  <si>
    <t>Unknown</t>
  </si>
  <si>
    <t>Individual customers contributed the most revenue and profit, generating £164,250.70 in revenue and £61,819.15 in profit. Small Business customers were the second-largest contributor, while Corporate customers generated the lowest revenue and profit among the identified customer segments. However, Small Business customers achieved a slightly higher profit margin than Individual customers.</t>
  </si>
  <si>
    <t>Individual: £164,250.70 revenue / £61,819.15 profit / 37.64% margin. Small Business: £105,611.60 / £40,070.69 / 37.94%. Corporate: £61,063.94 / £21,</t>
  </si>
  <si>
    <t>Qyestion 7</t>
  </si>
  <si>
    <t>Area</t>
  </si>
  <si>
    <t>Retrun Rate</t>
  </si>
  <si>
    <t>32/401x100</t>
  </si>
  <si>
    <t>66/561x100</t>
  </si>
  <si>
    <t>34/437x100</t>
  </si>
  <si>
    <t>44/586x100</t>
  </si>
  <si>
    <t>72/616x100</t>
  </si>
  <si>
    <t>40/465x100</t>
  </si>
  <si>
    <t>38/530x100</t>
  </si>
  <si>
    <t>26/374x100</t>
  </si>
  <si>
    <t>16/155x100</t>
  </si>
  <si>
    <t>27/144x100</t>
  </si>
  <si>
    <t>15/165xx100</t>
  </si>
  <si>
    <t>14/152x100</t>
  </si>
  <si>
    <t>10/121x100</t>
  </si>
  <si>
    <t>6/108x100</t>
  </si>
  <si>
    <t>16/106x100</t>
  </si>
  <si>
    <t>8/130x100</t>
  </si>
  <si>
    <t>7/136x100</t>
  </si>
  <si>
    <t>11/140x100</t>
  </si>
  <si>
    <t>7/122x100</t>
  </si>
  <si>
    <t>13/132x100</t>
  </si>
  <si>
    <t>9/87x100</t>
  </si>
  <si>
    <t>3/88x100</t>
  </si>
  <si>
    <t>7/100x100</t>
  </si>
  <si>
    <t>7/99x100</t>
  </si>
  <si>
    <t>South recorded the highest regional return rate at 11.76%, compared with 7.98% in North, 7.78% in Midlands and 7.51% in London. Electronics had the highest category return rate at 11.69%. At product level, SmartHome Hub had the highest return rate at 18.75%, followed by Desk Lamp at 15.09%. Office Chair (10.34%) and Wireless Headset (10.32%) also recorded relatively high return rates. This suggests that the high Electronics return rate is particularly influenced by SmartHome Hub.</t>
  </si>
  <si>
    <t>South: 11.76% | Electronics: 11.69% | SmartHome Hub: 18.75% | Desk Lamp: 15.09% | Office Chair: 10.34% | Wireless Headset: 10.32%</t>
  </si>
  <si>
    <t>Question 8</t>
  </si>
  <si>
    <t>Delivery Days</t>
  </si>
  <si>
    <t>Average Satisfaction</t>
  </si>
  <si>
    <t>Customer satisfaction remained relatively high and stable for deliveries completed within 1–5 days, with average satisfaction scores ranging from 4.15 to 4.27. From 6 days onward, satisfaction declined sharply, falling to 3.68 at 6 days, 3.19 at 8 days, and 3.00 by 10–11 days. This suggests that delivery times longer than five days are associated with lower customer satisfaction.</t>
  </si>
  <si>
    <t>1 day: 4.15 | 2 days: 4.27 | 3 days: 4.24 | 4 days: 4.23 | 5 days: 4.24 | 6 days: 3.68 | 7 days: 3.61 | 8 days: 3.19 | 9 days: 3.10 | 10 days: 3.00 | 11 days: 3.00</t>
  </si>
  <si>
    <t>Question 9</t>
  </si>
  <si>
    <t>Air Flyer</t>
  </si>
  <si>
    <t>Electric kettle</t>
  </si>
  <si>
    <t>Customer dissatisfaction appears to be concentrated in the South region and in specific products. South recorded the lowest regional average satisfaction score at 4.07. At category level, Furniture recorded the lowest average satisfaction at 3.99, followed by Electronics at 4.10. At product level, SmartHome Hub had the lowest average satisfaction score at 3.76, followed by Side Table at 3.94, Office Chair at 3.96 and Bookshelf at 3.99.</t>
  </si>
  <si>
    <t>South: 4.07 | Furniture: 3.99 | Electronics: 4.10 | SmartHome Hub: 3.76 | Side Table: 3.94 | Office Chair: 3.96 | Bookshelf: 3.99</t>
  </si>
  <si>
    <t>The analysis highlights three main areas that management should prioritise: delivery performance, products with high return rates and low customer satisfaction, and the performance of the South region.</t>
  </si>
  <si>
    <t>Customer satisfaction remained above 4.15 for deliveries completed within 1–5 days but dropped to 3.68 at 6 days and reached 3.00 at 10–11 days. SmartHome Hub recorded the highest product return rate at 18.75%, the lowest product satisfaction score at 3.76 and a relatively low profit margin of 29.28%. South recorded the highest regional return rate at 11.76%, the lowest regional satisfaction score at 4.07 and the lowest regional profit margin at 35.00%, despite generating £94,091.64 in revenue.</t>
  </si>
  <si>
    <t>Use the 2025 revenue, profit and profit margin figures as a baseline for future performance monitoring, with monthly tracking against these KPIs.</t>
  </si>
  <si>
    <t>Plan inventory, staffing and operational capacity for the stronger year-end period, while reviewing why profit margins do not increase at the same rate as revenue during peak months.</t>
  </si>
  <si>
    <t>Review the South region’s pricing, discounting and operating costs to understand its lower profit margin, while identifying practices from better-performing regions that could be replicated.</t>
  </si>
  <si>
    <t>Review Furniture pricing and cost structure because it generates the highest revenue but the lowest category profit margin, while protecting the strong margin achieved by Office products.</t>
  </si>
  <si>
    <t>Investigate the pricing, costs and discount levels of SmartHome Hub, Storage Cabinet and Office Chair to understand why their relatively strong sales are producing weaker profit margins.</t>
  </si>
  <si>
    <t>Maintain focus on Individual and Small Business customers, which contribute the most revenue and profit, while reviewing Corporate pricing and costs to improve its lower profit margin.</t>
  </si>
  <si>
    <t>Investigate the causes of high returns for SmartHome Hub, Desk Lamp and other high-return products, with particular attention to Electronics and the South region.</t>
  </si>
  <si>
    <t>Prioritise keeping deliveries within five days where operationally possible, as customer satisfaction falls noticeably once delivery time exceeds five days.</t>
  </si>
  <si>
    <t>Conduct targeted investigation into SmartHome Hub, Furniture products and the South region to identify the operational, product or service factors contributing to lower customer satisfaction.</t>
  </si>
  <si>
    <t>1. Improve delivery performance and aim to keep deliveries within five days wherever operationally possible, as satisfaction falls sharply beyond this point.</t>
  </si>
  <si>
    <t>2. Conduct a root-cause review of SmartHome Hub and other high-return products, examining return reasons, product quality, supplier performance and product information before deciding corrective action.</t>
  </si>
  <si>
    <t>3. Review operations in the South region to understand why it has higher returns, lower satisfaction and weaker profitability despite strong revenue, and identify actions that can improve performance without reducing sales.</t>
  </si>
  <si>
    <t>Total Orders</t>
  </si>
  <si>
    <t>Total Revenue</t>
  </si>
  <si>
    <t>Total Profit</t>
  </si>
  <si>
    <t>BrightCart Retail Ltd - 2025 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</si>
</sst>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0"/>
  </numFmts>
  <fonts count="11">
    <font>
      <sz val="11"/>
      <name val="Carlito"/>
    </font>
    <font>
      <b/>
      <sz val="18"/>
      <color rgb="FFFFFFFF"/>
      <name val="Carlito"/>
    </font>
    <font>
      <b/>
      <sz val="13"/>
      <color rgb="FF17365D"/>
      <name val="Carlito"/>
    </font>
    <font>
      <b/>
      <sz val="11"/>
      <color rgb="FFFFFFFF"/>
      <name val="Carlito"/>
    </font>
    <font>
      <b/>
      <sz val="11"/>
      <color rgb="FF17365D"/>
      <name val="Carlito"/>
    </font>
    <font>
      <b/>
      <sz val="16"/>
      <color rgb="FFFFFFFF"/>
      <name val="Carlito"/>
    </font>
    <font>
      <sz val="11"/>
      <name val="Carlito"/>
    </font>
    <font>
      <sz val="8"/>
      <name val="Carlito"/>
    </font>
    <font>
      <b/>
      <sz val="11"/>
      <name val="Carlito"/>
    </font>
    <font>
      <b/>
      <sz val="16"/>
      <name val="Carlito"/>
    </font>
    <font>
      <b/>
      <sz val="20"/>
      <color theme="0"/>
      <name val="Carlito"/>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theme="3" tint="0.499984740745262"/>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bgColor indexed="64"/>
      </patternFill>
    </fill>
    <fill>
      <patternFill patternType="solid">
        <fgColor theme="3" tint="0.749992370372631"/>
        <bgColor indexed="64"/>
      </patternFill>
    </fill>
    <fill>
      <patternFill patternType="solid">
        <fgColor theme="3" tint="9.9978637043366805E-2"/>
        <bgColor indexed="64"/>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60">
    <xf numFmtId="0" fontId="0" fillId="0" borderId="0" xfId="0"/>
    <xf numFmtId="0" fontId="0" fillId="0" borderId="0" xfId="0" applyAlignment="1">
      <alignment wrapText="1"/>
    </xf>
    <xf numFmtId="0" fontId="3" fillId="2" borderId="0" xfId="0" applyFont="1" applyFill="1" applyAlignment="1">
      <alignment horizontal="center" vertical="center"/>
    </xf>
    <xf numFmtId="14" fontId="0" fillId="0" borderId="0" xfId="0" applyNumberFormat="1"/>
    <xf numFmtId="164" fontId="0" fillId="0" borderId="0" xfId="0" applyNumberFormat="1"/>
    <xf numFmtId="9" fontId="0" fillId="0" borderId="0" xfId="0" applyNumberFormat="1"/>
    <xf numFmtId="1" fontId="0" fillId="0" borderId="0" xfId="0" applyNumberFormat="1"/>
    <xf numFmtId="0" fontId="3" fillId="2" borderId="1" xfId="0" applyFont="1" applyFill="1" applyBorder="1" applyAlignment="1">
      <alignment wrapText="1"/>
    </xf>
    <xf numFmtId="0" fontId="3" fillId="2" borderId="2" xfId="0" applyFont="1" applyFill="1" applyBorder="1" applyAlignment="1">
      <alignment wrapText="1"/>
    </xf>
    <xf numFmtId="0" fontId="4" fillId="0" borderId="3" xfId="0" applyFont="1" applyBorder="1" applyAlignment="1">
      <alignment wrapText="1"/>
    </xf>
    <xf numFmtId="0" fontId="0" fillId="0" borderId="4" xfId="0" applyBorder="1" applyAlignment="1">
      <alignment wrapText="1"/>
    </xf>
    <xf numFmtId="0" fontId="4" fillId="2" borderId="3" xfId="0" applyFont="1" applyFill="1" applyBorder="1" applyAlignment="1">
      <alignment wrapText="1"/>
    </xf>
    <xf numFmtId="0" fontId="3" fillId="2" borderId="4" xfId="0" applyFont="1" applyFill="1" applyBorder="1" applyAlignment="1">
      <alignment wrapText="1"/>
    </xf>
    <xf numFmtId="0" fontId="4" fillId="0" borderId="5" xfId="0" applyFont="1" applyBorder="1"/>
    <xf numFmtId="0" fontId="0" fillId="0" borderId="6" xfId="0" applyBorder="1"/>
    <xf numFmtId="0" fontId="3" fillId="2" borderId="1"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6" xfId="0" applyBorder="1" applyAlignment="1">
      <alignment wrapText="1"/>
    </xf>
    <xf numFmtId="0" fontId="0" fillId="0" borderId="3" xfId="0" applyBorder="1" applyAlignment="1">
      <alignment horizontal="center" wrapText="1"/>
    </xf>
    <xf numFmtId="0" fontId="0" fillId="0" borderId="5" xfId="0" applyBorder="1" applyAlignment="1">
      <alignment horizontal="center" wrapText="1"/>
    </xf>
    <xf numFmtId="0" fontId="1" fillId="2" borderId="0" xfId="0" applyFont="1" applyFill="1" applyAlignment="1">
      <alignment horizontal="center" vertical="center"/>
    </xf>
    <xf numFmtId="0" fontId="2" fillId="3" borderId="0" xfId="0" applyFont="1" applyFill="1" applyAlignment="1">
      <alignment horizontal="left" vertical="center"/>
    </xf>
    <xf numFmtId="0" fontId="5" fillId="2" borderId="0" xfId="0" applyFont="1" applyFill="1" applyAlignment="1">
      <alignment horizontal="center" vertical="center"/>
    </xf>
    <xf numFmtId="0" fontId="0" fillId="0" borderId="0" xfId="0" applyNumberFormat="1"/>
    <xf numFmtId="10" fontId="0" fillId="0" borderId="0" xfId="1" applyNumberFormat="1" applyFont="1"/>
    <xf numFmtId="10" fontId="0" fillId="0" borderId="0" xfId="0" applyNumberFormat="1"/>
    <xf numFmtId="17" fontId="0" fillId="0" borderId="0" xfId="0" applyNumberFormat="1"/>
    <xf numFmtId="0" fontId="0" fillId="4" borderId="0" xfId="0" applyFill="1" applyAlignment="1">
      <alignment wrapText="1"/>
    </xf>
    <xf numFmtId="8" fontId="0" fillId="0" borderId="0" xfId="0" applyNumberFormat="1"/>
    <xf numFmtId="6" fontId="0" fillId="0" borderId="0" xfId="0" applyNumberFormat="1"/>
    <xf numFmtId="0" fontId="0" fillId="5" borderId="0" xfId="0" applyFill="1"/>
    <xf numFmtId="0" fontId="0" fillId="4" borderId="0" xfId="0" applyFill="1"/>
    <xf numFmtId="0" fontId="0" fillId="6" borderId="0" xfId="0" applyFill="1"/>
    <xf numFmtId="0" fontId="8" fillId="0" borderId="0" xfId="0" applyFont="1"/>
    <xf numFmtId="0" fontId="0" fillId="0" borderId="0" xfId="0" applyFont="1"/>
    <xf numFmtId="0" fontId="0" fillId="0" borderId="0" xfId="0" applyFont="1" applyAlignment="1">
      <alignment wrapText="1"/>
    </xf>
    <xf numFmtId="0" fontId="0" fillId="0" borderId="0" xfId="1" applyNumberFormat="1" applyFont="1"/>
    <xf numFmtId="0" fontId="0" fillId="5" borderId="0" xfId="0" applyFont="1" applyFill="1"/>
    <xf numFmtId="0" fontId="0" fillId="7" borderId="0" xfId="0" applyFont="1" applyFill="1"/>
    <xf numFmtId="0" fontId="0" fillId="7" borderId="0" xfId="0" applyFill="1"/>
    <xf numFmtId="0" fontId="0" fillId="0" borderId="9" xfId="0" applyBorder="1"/>
    <xf numFmtId="2" fontId="0" fillId="0" borderId="0" xfId="0" applyNumberFormat="1"/>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NumberFormat="1" applyAlignment="1">
      <alignment vertical="top" wrapText="1"/>
    </xf>
    <xf numFmtId="0" fontId="0" fillId="0" borderId="0" xfId="0" applyFont="1" applyAlignment="1">
      <alignment vertical="top" wrapText="1"/>
    </xf>
    <xf numFmtId="0" fontId="0" fillId="0" borderId="0" xfId="0" applyAlignment="1">
      <alignment wrapText="1" shrinkToFit="1"/>
    </xf>
    <xf numFmtId="0" fontId="8" fillId="8" borderId="10" xfId="0" applyFont="1" applyFill="1" applyBorder="1" applyAlignment="1">
      <alignment horizontal="center" vertical="center"/>
    </xf>
    <xf numFmtId="0" fontId="8" fillId="8" borderId="10" xfId="0" applyFont="1" applyFill="1" applyBorder="1" applyAlignment="1">
      <alignment horizontal="center"/>
    </xf>
    <xf numFmtId="3" fontId="9" fillId="8" borderId="11" xfId="0" applyNumberFormat="1" applyFont="1" applyFill="1" applyBorder="1" applyAlignment="1">
      <alignment horizontal="center" vertical="center"/>
    </xf>
    <xf numFmtId="8" fontId="9" fillId="8" borderId="11" xfId="0" applyNumberFormat="1" applyFont="1" applyFill="1" applyBorder="1" applyAlignment="1">
      <alignment horizontal="center" vertical="center"/>
    </xf>
    <xf numFmtId="8" fontId="9" fillId="8" borderId="11" xfId="0" applyNumberFormat="1" applyFont="1" applyFill="1" applyBorder="1" applyAlignment="1">
      <alignment horizontal="center"/>
    </xf>
    <xf numFmtId="10" fontId="9" fillId="8" borderId="11" xfId="0" applyNumberFormat="1" applyFont="1" applyFill="1" applyBorder="1" applyAlignment="1">
      <alignment horizontal="center"/>
    </xf>
    <xf numFmtId="0" fontId="10" fillId="9" borderId="0" xfId="0" applyFont="1" applyFill="1" applyAlignment="1">
      <alignment horizontal="center" vertical="top"/>
    </xf>
  </cellXfs>
  <cellStyles count="2">
    <cellStyle name="Normal" xfId="0" builtinId="0"/>
    <cellStyle name="Per cent" xfId="1" builtinId="5"/>
  </cellStyles>
  <dxfs count="14">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a:t>
            </a:r>
            <a:r>
              <a:rPr lang="en-GB" b="1" baseline="0"/>
              <a:t> Revenue Trend - 2025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'02_Clean_Data'!$AA$2:$AA$13</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'02_Clean_Data'!$AB$2:$AB$13</c:f>
              <c:numCache>
                <c:formatCode>General</c:formatCode>
                <c:ptCount val="12"/>
                <c:pt idx="0">
                  <c:v>19155.679499999998</c:v>
                </c:pt>
                <c:pt idx="1">
                  <c:v>18837.464000000007</c:v>
                </c:pt>
                <c:pt idx="2">
                  <c:v>25605.289500000006</c:v>
                </c:pt>
                <c:pt idx="3">
                  <c:v>22190.120999999992</c:v>
                </c:pt>
                <c:pt idx="4">
                  <c:v>26065.342500000013</c:v>
                </c:pt>
                <c:pt idx="5">
                  <c:v>27474.091000000004</c:v>
                </c:pt>
                <c:pt idx="6">
                  <c:v>25960.081499999993</c:v>
                </c:pt>
                <c:pt idx="7">
                  <c:v>24061.521499999992</c:v>
                </c:pt>
                <c:pt idx="8">
                  <c:v>32358.777000000006</c:v>
                </c:pt>
                <c:pt idx="9">
                  <c:v>28789.269499999999</c:v>
                </c:pt>
                <c:pt idx="10">
                  <c:v>37551.976500000012</c:v>
                </c:pt>
                <c:pt idx="11">
                  <c:v>43503.263500000001</c:v>
                </c:pt>
              </c:numCache>
            </c:numRef>
          </c:val>
          <c:extLst>
            <c:ext xmlns:c16="http://schemas.microsoft.com/office/drawing/2014/chart" uri="{C3380CC4-5D6E-409C-BE32-E72D297353CC}">
              <c16:uniqueId val="{00000000-2B32-D744-9AE6-EE367920A449}"/>
            </c:ext>
          </c:extLst>
        </c:ser>
        <c:dLbls>
          <c:showLegendKey val="0"/>
          <c:showVal val="0"/>
          <c:showCatName val="0"/>
          <c:showSerName val="0"/>
          <c:showPercent val="0"/>
          <c:showBubbleSize val="0"/>
        </c:dLbls>
        <c:gapWidth val="219"/>
        <c:overlap val="-27"/>
        <c:axId val="906438384"/>
        <c:axId val="906440096"/>
      </c:barChart>
      <c:dateAx>
        <c:axId val="9064383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40096"/>
        <c:crosses val="autoZero"/>
        <c:auto val="1"/>
        <c:lblOffset val="100"/>
        <c:baseTimeUnit val="months"/>
      </c:dateAx>
      <c:valAx>
        <c:axId val="906440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Regional</a:t>
            </a:r>
            <a:r>
              <a:rPr lang="en-GB" b="1" baseline="0"/>
              <a:t> Revenue vs Profit - 2025</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'04_Analysis'!$B$1</c:f>
              <c:strCache>
                <c:ptCount val="1"/>
                <c:pt idx="0">
                  <c:v>Revenue</c:v>
                </c:pt>
              </c:strCache>
            </c:strRef>
          </c:tx>
          <c:spPr>
            <a:solidFill>
              <a:schemeClr val="accent2"/>
            </a:solidFill>
            <a:ln>
              <a:noFill/>
            </a:ln>
            <a:effectLst/>
          </c:spPr>
          <c:invertIfNegative val="0"/>
          <c:cat>
            <c:strLit>
              <c:ptCount val="4"/>
              <c:pt idx="0">
                <c:v>North</c:v>
              </c:pt>
              <c:pt idx="1">
                <c:v> South</c:v>
              </c:pt>
              <c:pt idx="2">
                <c:v> Midlands</c:v>
              </c:pt>
              <c:pt idx="3">
                <c:v> London</c:v>
              </c:pt>
            </c:strLit>
          </c:cat>
          <c:val>
            <c:numRef>
              <c:f>'04_Analysis'!$B$2:$B$7</c:f>
              <c:numCache>
                <c:formatCode>"£"#,##0.00_);[Red]\("£"#,##0.00\)</c:formatCode>
                <c:ptCount val="6"/>
                <c:pt idx="0">
                  <c:v>70804.12</c:v>
                </c:pt>
                <c:pt idx="1">
                  <c:v>94091.64</c:v>
                </c:pt>
                <c:pt idx="2">
                  <c:v>71983.33</c:v>
                </c:pt>
                <c:pt idx="3">
                  <c:v>94673.78</c:v>
                </c:pt>
              </c:numCache>
            </c:numRef>
          </c:val>
          <c:extLst>
            <c:ext xmlns:c16="http://schemas.microsoft.com/office/drawing/2014/chart" uri="{C3380CC4-5D6E-409C-BE32-E72D297353CC}">
              <c16:uniqueId val="{00000001-2605-9D41-AAF4-BD41DCB17DAE}"/>
            </c:ext>
          </c:extLst>
        </c:ser>
        <c:ser>
          <c:idx val="2"/>
          <c:order val="1"/>
          <c:tx>
            <c:strRef>
              <c:f>'04_Analysis'!$C$1</c:f>
              <c:strCache>
                <c:ptCount val="1"/>
                <c:pt idx="0">
                  <c:v>Profit</c:v>
                </c:pt>
              </c:strCache>
            </c:strRef>
          </c:tx>
          <c:spPr>
            <a:solidFill>
              <a:schemeClr val="accent3"/>
            </a:solidFill>
            <a:ln>
              <a:noFill/>
            </a:ln>
            <a:effectLst/>
          </c:spPr>
          <c:invertIfNegative val="0"/>
          <c:cat>
            <c:strLit>
              <c:ptCount val="4"/>
              <c:pt idx="0">
                <c:v>North</c:v>
              </c:pt>
              <c:pt idx="1">
                <c:v> South</c:v>
              </c:pt>
              <c:pt idx="2">
                <c:v> Midlands</c:v>
              </c:pt>
              <c:pt idx="3">
                <c:v> London</c:v>
              </c:pt>
            </c:strLit>
          </c:cat>
          <c:val>
            <c:numRef>
              <c:f>'04_Analysis'!$C$2:$C$7</c:f>
              <c:numCache>
                <c:formatCode>"£"#,##0.00_);[Red]\("£"#,##0.00\)</c:formatCode>
                <c:ptCount val="6"/>
                <c:pt idx="0">
                  <c:v>26840.45</c:v>
                </c:pt>
                <c:pt idx="1">
                  <c:v>32935.14</c:v>
                </c:pt>
                <c:pt idx="2">
                  <c:v>27769.32</c:v>
                </c:pt>
                <c:pt idx="3">
                  <c:v>36002.339999999997</c:v>
                </c:pt>
              </c:numCache>
            </c:numRef>
          </c:val>
          <c:extLst>
            <c:ext xmlns:c16="http://schemas.microsoft.com/office/drawing/2014/chart" uri="{C3380CC4-5D6E-409C-BE32-E72D297353CC}">
              <c16:uniqueId val="{00000002-2605-9D41-AAF4-BD41DCB17DAE}"/>
            </c:ext>
          </c:extLst>
        </c:ser>
        <c:dLbls>
          <c:showLegendKey val="0"/>
          <c:showVal val="0"/>
          <c:showCatName val="0"/>
          <c:showSerName val="0"/>
          <c:showPercent val="0"/>
          <c:showBubbleSize val="0"/>
        </c:dLbls>
        <c:gapWidth val="219"/>
        <c:overlap val="-27"/>
        <c:axId val="888755808"/>
        <c:axId val="863763552"/>
      </c:barChart>
      <c:catAx>
        <c:axId val="88875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763552"/>
        <c:crosses val="autoZero"/>
        <c:auto val="1"/>
        <c:lblAlgn val="ctr"/>
        <c:lblOffset val="100"/>
        <c:noMultiLvlLbl val="0"/>
      </c:catAx>
      <c:valAx>
        <c:axId val="863763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5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Delivery</a:t>
            </a:r>
            <a:r>
              <a:rPr lang="en-GB" b="1" baseline="0"/>
              <a:t> Time vs Customer Satisfaction</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'04_Analysis'!$K$40</c:f>
              <c:strCache>
                <c:ptCount val="1"/>
                <c:pt idx="0">
                  <c:v>Average Satisfaction</c:v>
                </c:pt>
              </c:strCache>
            </c:strRef>
          </c:tx>
          <c:spPr>
            <a:ln w="28575" cap="rnd">
              <a:solidFill>
                <a:schemeClr val="accent2"/>
              </a:solidFill>
              <a:round/>
            </a:ln>
            <a:effectLst/>
          </c:spPr>
          <c:marker>
            <c:symbol val="none"/>
          </c:marker>
          <c:cat>
            <c:numLit>
              <c:formatCode>General</c:formatCode>
              <c:ptCount val="11"/>
              <c:pt idx="0">
                <c:v>1</c:v>
              </c:pt>
              <c:pt idx="1">
                <c:v>2</c:v>
              </c:pt>
              <c:pt idx="2">
                <c:v>3</c:v>
              </c:pt>
              <c:pt idx="3">
                <c:v>4</c:v>
              </c:pt>
              <c:pt idx="4">
                <c:v>5</c:v>
              </c:pt>
              <c:pt idx="5">
                <c:v>6</c:v>
              </c:pt>
              <c:pt idx="6">
                <c:v>7</c:v>
              </c:pt>
              <c:pt idx="7">
                <c:v>8</c:v>
              </c:pt>
              <c:pt idx="8">
                <c:v>9</c:v>
              </c:pt>
              <c:pt idx="9">
                <c:v>10</c:v>
              </c:pt>
              <c:pt idx="10">
                <c:v>11</c:v>
              </c:pt>
            </c:numLit>
          </c:cat>
          <c:val>
            <c:numRef>
              <c:f>'04_Analysis'!$K$41:$K$51</c:f>
              <c:numCache>
                <c:formatCode>General</c:formatCode>
                <c:ptCount val="11"/>
                <c:pt idx="0">
                  <c:v>4.1500000000000004</c:v>
                </c:pt>
                <c:pt idx="1">
                  <c:v>4.2699999999999996</c:v>
                </c:pt>
                <c:pt idx="2">
                  <c:v>4.24</c:v>
                </c:pt>
                <c:pt idx="3">
                  <c:v>4.2300000000000004</c:v>
                </c:pt>
                <c:pt idx="4">
                  <c:v>4.24</c:v>
                </c:pt>
                <c:pt idx="5">
                  <c:v>3.68</c:v>
                </c:pt>
                <c:pt idx="6">
                  <c:v>3.61</c:v>
                </c:pt>
                <c:pt idx="7">
                  <c:v>3.19</c:v>
                </c:pt>
                <c:pt idx="8" formatCode="0.00">
                  <c:v>3.1</c:v>
                </c:pt>
                <c:pt idx="9" formatCode="0.00">
                  <c:v>3</c:v>
                </c:pt>
                <c:pt idx="10" formatCode="0.00">
                  <c:v>3</c:v>
                </c:pt>
              </c:numCache>
            </c:numRef>
          </c:val>
          <c:smooth val="0"/>
          <c:extLst>
            <c:ext xmlns:c16="http://schemas.microsoft.com/office/drawing/2014/chart" uri="{C3380CC4-5D6E-409C-BE32-E72D297353CC}">
              <c16:uniqueId val="{00000001-9C23-A847-8C54-286309AE827E}"/>
            </c:ext>
          </c:extLst>
        </c:ser>
        <c:dLbls>
          <c:showLegendKey val="0"/>
          <c:showVal val="0"/>
          <c:showCatName val="0"/>
          <c:showSerName val="0"/>
          <c:showPercent val="0"/>
          <c:showBubbleSize val="0"/>
        </c:dLbls>
        <c:smooth val="0"/>
        <c:axId val="709672224"/>
        <c:axId val="709846608"/>
      </c:lineChart>
      <c:catAx>
        <c:axId val="70967222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Delivery</a:t>
                </a:r>
                <a:r>
                  <a:rPr lang="en-GB" b="1" baseline="0"/>
                  <a:t>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709846608"/>
        <c:crosses val="autoZero"/>
        <c:auto val="1"/>
        <c:lblAlgn val="ctr"/>
        <c:lblOffset val="100"/>
        <c:noMultiLvlLbl val="0"/>
      </c:catAx>
      <c:valAx>
        <c:axId val="70984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baseline="0"/>
                  <a:t>Average Satisfaction Score</a:t>
                </a:r>
                <a:endParaRPr lang="en-GB"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67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Return Rates - 2025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'04_Analysis'!$K$16</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'04_Analysis'!$J$17:$J$32</c:f>
              <c:strCache>
                <c:ptCount val="16"/>
                <c:pt idx="0">
                  <c:v>SmartHome Hub</c:v>
                </c:pt>
                <c:pt idx="1">
                  <c:v>Desk Lamp</c:v>
                </c:pt>
                <c:pt idx="2">
                  <c:v>Office Chair</c:v>
                </c:pt>
                <c:pt idx="3">
                  <c:v>Wireless Headset</c:v>
                </c:pt>
                <c:pt idx="4">
                  <c:v>Electric Kettle</c:v>
                </c:pt>
                <c:pt idx="5">
                  <c:v>Webcam</c:v>
                </c:pt>
                <c:pt idx="6">
                  <c:v>Portable Speaker</c:v>
                </c:pt>
                <c:pt idx="7">
                  <c:v>Ergonomic Keyboard</c:v>
                </c:pt>
                <c:pt idx="8">
                  <c:v>Coffee Maker</c:v>
                </c:pt>
                <c:pt idx="9">
                  <c:v>Storage Cabinet</c:v>
                </c:pt>
                <c:pt idx="10">
                  <c:v>Side Table</c:v>
                </c:pt>
                <c:pt idx="11">
                  <c:v>Laptop Stand</c:v>
                </c:pt>
                <c:pt idx="12">
                  <c:v>Blender</c:v>
                </c:pt>
                <c:pt idx="13">
                  <c:v>Wireless Mouse</c:v>
                </c:pt>
                <c:pt idx="14">
                  <c:v>Air Fryer</c:v>
                </c:pt>
                <c:pt idx="15">
                  <c:v>Bookshelf</c:v>
                </c:pt>
              </c:strCache>
            </c:strRef>
          </c:cat>
          <c:val>
            <c:numRef>
              <c:f>'04_Analysis'!$K$17:$K$32</c:f>
              <c:numCache>
                <c:formatCode>0.00%</c:formatCode>
                <c:ptCount val="16"/>
                <c:pt idx="0">
                  <c:v>0.1875</c:v>
                </c:pt>
                <c:pt idx="1">
                  <c:v>0.15090000000000001</c:v>
                </c:pt>
                <c:pt idx="2">
                  <c:v>0.10340000000000001</c:v>
                </c:pt>
                <c:pt idx="3">
                  <c:v>0.1032</c:v>
                </c:pt>
                <c:pt idx="4">
                  <c:v>9.8500000000000004E-2</c:v>
                </c:pt>
                <c:pt idx="5">
                  <c:v>9.2100000000000001E-2</c:v>
                </c:pt>
                <c:pt idx="6">
                  <c:v>9.0899999999999995E-2</c:v>
                </c:pt>
                <c:pt idx="7">
                  <c:v>8.2600000000000007E-2</c:v>
                </c:pt>
                <c:pt idx="8">
                  <c:v>7.8600000000000003E-2</c:v>
                </c:pt>
                <c:pt idx="9">
                  <c:v>7.0699999999999999E-2</c:v>
                </c:pt>
                <c:pt idx="10">
                  <c:v>7.0000000000000007E-2</c:v>
                </c:pt>
                <c:pt idx="11">
                  <c:v>6.1499999999999999E-2</c:v>
                </c:pt>
                <c:pt idx="12">
                  <c:v>5.74E-2</c:v>
                </c:pt>
                <c:pt idx="13">
                  <c:v>5.5599999999999997E-2</c:v>
                </c:pt>
                <c:pt idx="14">
                  <c:v>5.1499999999999997E-2</c:v>
                </c:pt>
                <c:pt idx="15">
                  <c:v>3.4099999999999998E-2</c:v>
                </c:pt>
              </c:numCache>
            </c:numRef>
          </c:val>
          <c:extLst>
            <c:ext xmlns:c16="http://schemas.microsoft.com/office/drawing/2014/chart" uri="{C3380CC4-5D6E-409C-BE32-E72D297353CC}">
              <c16:uniqueId val="{00000000-522B-A340-97B4-86FEE50C46BB}"/>
            </c:ext>
          </c:extLst>
        </c:ser>
        <c:dLbls>
          <c:dLblPos val="outEnd"/>
          <c:showLegendKey val="0"/>
          <c:showVal val="1"/>
          <c:showCatName val="0"/>
          <c:showSerName val="0"/>
          <c:showPercent val="0"/>
          <c:showBubbleSize val="0"/>
        </c:dLbls>
        <c:gapWidth val="219"/>
        <c:axId val="853130304"/>
        <c:axId val="853127264"/>
      </c:barChart>
      <c:catAx>
        <c:axId val="853130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27264"/>
        <c:crosses val="autoZero"/>
        <c:auto val="1"/>
        <c:lblAlgn val="ctr"/>
        <c:lblOffset val="100"/>
        <c:noMultiLvlLbl val="0"/>
      </c:catAx>
      <c:valAx>
        <c:axId val="85312726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3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952500</xdr:colOff>
      <xdr:row>21</xdr:row>
      <xdr:rowOff>76200</xdr:rowOff>
    </xdr:to>
    <xdr:graphicFrame macro="">
      <xdr:nvGraphicFramePr>
        <xdr:cNvPr id="3" name="Chart 2">
          <a:extLst>
            <a:ext uri="{FF2B5EF4-FFF2-40B4-BE49-F238E27FC236}">
              <a16:creationId xmlns:a16="http://schemas.microsoft.com/office/drawing/2014/main" id="{2B38DBDC-2D89-6748-B776-AF218E58F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7</xdr:col>
      <xdr:colOff>0</xdr:colOff>
      <xdr:row>38</xdr:row>
      <xdr:rowOff>76200</xdr:rowOff>
    </xdr:to>
    <xdr:graphicFrame macro="">
      <xdr:nvGraphicFramePr>
        <xdr:cNvPr id="4" name="Chart 3">
          <a:extLst>
            <a:ext uri="{FF2B5EF4-FFF2-40B4-BE49-F238E27FC236}">
              <a16:creationId xmlns:a16="http://schemas.microsoft.com/office/drawing/2014/main" id="{069F8EA4-BAC3-1344-8C5B-EDA7AEAD3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101600</xdr:rowOff>
    </xdr:from>
    <xdr:to>
      <xdr:col>7</xdr:col>
      <xdr:colOff>76200</xdr:colOff>
      <xdr:row>56</xdr:row>
      <xdr:rowOff>114300</xdr:rowOff>
    </xdr:to>
    <xdr:graphicFrame macro="">
      <xdr:nvGraphicFramePr>
        <xdr:cNvPr id="5" name="Chart 4">
          <a:extLst>
            <a:ext uri="{FF2B5EF4-FFF2-40B4-BE49-F238E27FC236}">
              <a16:creationId xmlns:a16="http://schemas.microsoft.com/office/drawing/2014/main" id="{7652A913-F398-2A41-AFE2-3BC63293B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58</xdr:row>
      <xdr:rowOff>127000</xdr:rowOff>
    </xdr:from>
    <xdr:to>
      <xdr:col>7</xdr:col>
      <xdr:colOff>177800</xdr:colOff>
      <xdr:row>78</xdr:row>
      <xdr:rowOff>63500</xdr:rowOff>
    </xdr:to>
    <xdr:graphicFrame macro="">
      <xdr:nvGraphicFramePr>
        <xdr:cNvPr id="6" name="Chart 5">
          <a:extLst>
            <a:ext uri="{FF2B5EF4-FFF2-40B4-BE49-F238E27FC236}">
              <a16:creationId xmlns:a16="http://schemas.microsoft.com/office/drawing/2014/main" id="{42CFDE53-4565-064E-AE49-E02B47346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ide Adisa" refreshedDate="46253.070436226852" createdVersion="8" refreshedVersion="8" minRefreshableVersion="3" recordCount="1985" xr:uid="{4553DE25-9569-8141-BA77-1994452EB4B5}">
  <cacheSource type="worksheet">
    <worksheetSource name="RawSalesTable3"/>
  </cacheSource>
  <cacheFields count="25">
    <cacheField name="Order_ID" numFmtId="0">
      <sharedItems/>
    </cacheField>
    <cacheField name="Order_Date" numFmtId="14">
      <sharedItems containsNonDate="0" containsDate="1" containsMixedTypes="1" minDate="2025-01-01T00:00:00" maxDate="2026-01-01T00:00:00"/>
    </cacheField>
    <cacheField name="Region" numFmtId="0">
      <sharedItems/>
    </cacheField>
    <cacheField name="Customer_Type" numFmtId="0">
      <sharedItems containsBlank="1"/>
    </cacheField>
    <cacheField name="Product_Category" numFmtId="0">
      <sharedItems/>
    </cacheField>
    <cacheField name="Product" numFmtId="0">
      <sharedItems/>
    </cacheField>
    <cacheField name="Quantity" numFmtId="1">
      <sharedItems containsSemiMixedTypes="0" containsString="0" containsNumber="1" containsInteger="1" minValue="1" maxValue="10"/>
    </cacheField>
    <cacheField name="Unit_Price_GBP" numFmtId="164">
      <sharedItems containsSemiMixedTypes="0" containsString="0" containsNumber="1" minValue="33.94" maxValue="187.08"/>
    </cacheField>
    <cacheField name="Unit_Cost_GBP" numFmtId="164">
      <sharedItems containsSemiMixedTypes="0" containsString="0" containsNumber="1" minValue="16.5" maxValue="120.57"/>
    </cacheField>
    <cacheField name="Discount_Pct" numFmtId="9">
      <sharedItems containsSemiMixedTypes="0" containsString="0" containsNumber="1" minValue="0" maxValue="0.25"/>
    </cacheField>
    <cacheField name="Delivery_Days" numFmtId="1">
      <sharedItems containsSemiMixedTypes="0" containsString="0" containsNumber="1" containsInteger="1" minValue="0" maxValue="11"/>
    </cacheField>
    <cacheField name="Satisfaction_Score" numFmtId="1">
      <sharedItems containsString="0" containsBlank="1" containsNumber="1" containsInteger="1" minValue="2" maxValue="5"/>
    </cacheField>
    <cacheField name="Returned" numFmtId="0">
      <sharedItems/>
    </cacheField>
    <cacheField name="Sales_Channel" numFmtId="0">
      <sharedItems/>
    </cacheField>
    <cacheField name="Payment_Method" numFmtId="0">
      <sharedItems/>
    </cacheField>
    <cacheField name="Customer_Type clean" numFmtId="0">
      <sharedItems/>
    </cacheField>
    <cacheField name="Region _ Clean" numFmtId="0">
      <sharedItems/>
    </cacheField>
    <cacheField name="Product_ Category" numFmtId="0">
      <sharedItems/>
    </cacheField>
    <cacheField name="Order_Date_Clean" numFmtId="0">
      <sharedItems containsSemiMixedTypes="0" containsString="0" containsNumber="1" containsInteger="1" minValue="45658" maxValue="46022" count="363">
        <n v="46021"/>
        <n v="45684"/>
        <n v="45754"/>
        <n v="46012"/>
        <n v="45799"/>
        <n v="45885"/>
        <n v="46019"/>
        <n v="46001"/>
        <n v="45990"/>
        <n v="45869"/>
        <n v="45986"/>
        <n v="45992"/>
        <n v="45886"/>
        <n v="45808"/>
        <n v="45682"/>
        <n v="45664"/>
        <n v="45927"/>
        <n v="45929"/>
        <n v="46010"/>
        <n v="45750"/>
        <n v="45833"/>
        <n v="45996"/>
        <n v="45974"/>
        <n v="45937"/>
        <n v="45713"/>
        <n v="45820"/>
        <n v="45979"/>
        <n v="45938"/>
        <n v="46016"/>
        <n v="45768"/>
        <n v="45930"/>
        <n v="45917"/>
        <n v="45936"/>
        <n v="45981"/>
        <n v="45658"/>
        <n v="45957"/>
        <n v="46013"/>
        <n v="45779"/>
        <n v="45761"/>
        <n v="45866"/>
        <n v="45816"/>
        <n v="45831"/>
        <n v="45662"/>
        <n v="45989"/>
        <n v="45963"/>
        <n v="45728"/>
        <n v="45961"/>
        <n v="45792"/>
        <n v="45960"/>
        <n v="45849"/>
        <n v="45912"/>
        <n v="45781"/>
        <n v="45943"/>
        <n v="45793"/>
        <n v="45671"/>
        <n v="45776"/>
        <n v="45835"/>
        <n v="45837"/>
        <n v="45949"/>
        <n v="45748"/>
        <n v="45742"/>
        <n v="45973"/>
        <n v="45845"/>
        <n v="45891"/>
        <n v="45810"/>
        <n v="45962"/>
        <n v="45688"/>
        <n v="45970"/>
        <n v="45919"/>
        <n v="46007"/>
        <n v="45821"/>
        <n v="45910"/>
        <n v="45765"/>
        <n v="45991"/>
        <n v="45877"/>
        <n v="45995"/>
        <n v="45920"/>
        <n v="45893"/>
        <n v="45871"/>
        <n v="45673"/>
        <n v="45975"/>
        <n v="46022"/>
        <n v="45983"/>
        <n v="45907"/>
        <n v="45770"/>
        <n v="45878"/>
        <n v="45806"/>
        <n v="45752"/>
        <n v="45709"/>
        <n v="45778"/>
        <n v="45695"/>
        <n v="45860"/>
        <n v="45725"/>
        <n v="45735"/>
        <n v="45708"/>
        <n v="46008"/>
        <n v="45726"/>
        <n v="45959"/>
        <n v="45815"/>
        <n v="45889"/>
        <n v="45915"/>
        <n v="45858"/>
        <n v="45909"/>
        <n v="45729"/>
        <n v="45711"/>
        <n v="45848"/>
        <n v="45903"/>
        <n v="45753"/>
        <n v="45994"/>
        <n v="45784"/>
        <n v="45914"/>
        <n v="45913"/>
        <n v="46000"/>
        <n v="45818"/>
        <n v="46009"/>
        <n v="45747"/>
        <n v="46020"/>
        <n v="45741"/>
        <n v="45935"/>
        <n v="45823"/>
        <n v="45892"/>
        <n v="45694"/>
        <n v="45888"/>
        <n v="45839"/>
        <n v="45969"/>
        <n v="46018"/>
        <n v="45755"/>
        <n v="45797"/>
        <n v="45931"/>
        <n v="45805"/>
        <n v="45852"/>
        <n v="45997"/>
        <n v="45663"/>
        <n v="45945"/>
        <n v="45905"/>
        <n v="45788"/>
        <n v="45923"/>
        <n v="45899"/>
        <n v="45955"/>
        <n v="45875"/>
        <n v="45795"/>
        <n v="45669"/>
        <n v="45902"/>
        <n v="45863"/>
        <n v="45740"/>
        <n v="45856"/>
        <n v="45924"/>
        <n v="45952"/>
        <n v="45880"/>
        <n v="45769"/>
        <n v="45790"/>
        <n v="45767"/>
        <n v="45841"/>
        <n v="45826"/>
        <n v="45830"/>
        <n v="45895"/>
        <n v="45690"/>
        <n v="45887"/>
        <n v="45712"/>
        <n v="45791"/>
        <n v="45661"/>
        <n v="45739"/>
        <n v="45757"/>
        <n v="45828"/>
        <n v="45794"/>
        <n v="45883"/>
        <n v="46005"/>
        <n v="45896"/>
        <n v="45783"/>
        <n v="45928"/>
        <n v="45749"/>
        <n v="45906"/>
        <n v="45976"/>
        <n v="45693"/>
        <n v="45775"/>
        <n v="45812"/>
        <n v="45967"/>
        <n v="45843"/>
        <n v="45977"/>
        <n v="45844"/>
        <n v="45964"/>
        <n v="45667"/>
        <n v="45968"/>
        <n v="45993"/>
        <n v="45951"/>
        <n v="45854"/>
        <n v="45670"/>
        <n v="45911"/>
        <n v="45760"/>
        <n v="45922"/>
        <n v="45665"/>
        <n v="45787"/>
        <n v="45879"/>
        <n v="45868"/>
        <n v="45702"/>
        <n v="45731"/>
        <n v="45746"/>
        <n v="45813"/>
        <n v="45918"/>
        <n v="45850"/>
        <n v="45704"/>
        <n v="45721"/>
        <n v="45870"/>
        <n v="45940"/>
        <n v="45838"/>
        <n v="45733"/>
        <n v="45772"/>
        <n v="45717"/>
        <n v="45836"/>
        <n v="45861"/>
        <n v="45987"/>
        <n v="45718"/>
        <n v="45953"/>
        <n v="45925"/>
        <n v="46014"/>
        <n v="46017"/>
        <n v="45846"/>
        <n v="45855"/>
        <n v="45678"/>
        <n v="46004"/>
        <n v="46011"/>
        <n v="45834"/>
        <n v="45710"/>
        <n v="45978"/>
        <n v="45804"/>
        <n v="45677"/>
        <n v="45798"/>
        <n v="45745"/>
        <n v="45685"/>
        <n v="45720"/>
        <n v="45825"/>
        <n v="45777"/>
        <n v="45751"/>
        <n v="45774"/>
        <n v="45802"/>
        <n v="45782"/>
        <n v="45814"/>
        <n v="45683"/>
        <n v="45697"/>
        <n v="45853"/>
        <n v="45829"/>
        <n v="45737"/>
        <n v="45999"/>
        <n v="45832"/>
        <n v="45851"/>
        <n v="45847"/>
        <n v="45743"/>
        <n v="46003"/>
        <n v="45954"/>
        <n v="45773"/>
        <n v="45901"/>
        <n v="45666"/>
        <n v="45944"/>
        <n v="45857"/>
        <n v="45714"/>
        <n v="45939"/>
        <n v="45874"/>
        <n v="45796"/>
        <n v="45965"/>
        <n v="45984"/>
        <n v="45727"/>
        <n v="45882"/>
        <n v="45763"/>
        <n v="45932"/>
        <n v="45980"/>
        <n v="45801"/>
        <n v="45942"/>
        <n v="45904"/>
        <n v="45881"/>
        <n v="45934"/>
        <n v="45824"/>
        <n v="45758"/>
        <n v="45800"/>
        <n v="45867"/>
        <n v="45972"/>
        <n v="45722"/>
        <n v="45706"/>
        <n v="45859"/>
        <n v="45771"/>
        <n v="45803"/>
        <n v="45971"/>
        <n v="45723"/>
        <n v="45946"/>
        <n v="45842"/>
        <n v="45822"/>
        <n v="45916"/>
        <n v="46002"/>
        <n v="45696"/>
        <n v="45699"/>
        <n v="45872"/>
        <n v="45894"/>
        <n v="45862"/>
        <n v="45668"/>
        <n v="45724"/>
        <n v="45660"/>
        <n v="45738"/>
        <n v="45789"/>
        <n v="45921"/>
        <n v="45736"/>
        <n v="46006"/>
        <n v="45982"/>
        <n v="45908"/>
        <n v="45897"/>
        <n v="45780"/>
        <n v="45998"/>
        <n v="45807"/>
        <n v="45759"/>
        <n v="45988"/>
        <n v="45900"/>
        <n v="45898"/>
        <n v="45809"/>
        <n v="45948"/>
        <n v="45689"/>
        <n v="45700"/>
        <n v="45985"/>
        <n v="45950"/>
        <n v="46015"/>
        <n v="45715"/>
        <n v="45873"/>
        <n v="45947"/>
        <n v="45659"/>
        <n v="45691"/>
        <n v="45890"/>
        <n v="45762"/>
        <n v="45732"/>
        <n v="45884"/>
        <n v="45785"/>
        <n v="45679"/>
        <n v="45941"/>
        <n v="45730"/>
        <n v="45764"/>
        <n v="45680"/>
        <n v="45716"/>
        <n v="45676"/>
        <n v="45786"/>
        <n v="45674"/>
        <n v="45766"/>
        <n v="45817"/>
        <n v="45707"/>
        <n v="45827"/>
        <n v="45703"/>
        <n v="45811"/>
        <n v="45926"/>
        <n v="45876"/>
        <n v="45672"/>
        <n v="45719"/>
        <n v="45819"/>
        <n v="45966"/>
        <n v="45734"/>
        <n v="45865"/>
        <n v="45840"/>
        <n v="45681"/>
        <n v="45864"/>
        <n v="45705"/>
        <n v="45686"/>
        <n v="45744"/>
        <n v="45701"/>
        <n v="45958"/>
        <n v="45933"/>
        <n v="45756"/>
        <n v="45956"/>
        <n v="45687"/>
        <n v="45675"/>
      </sharedItems>
    </cacheField>
    <cacheField name="Duplicate_Check" numFmtId="0">
      <sharedItems containsSemiMixedTypes="0" containsString="0" containsNumber="1" containsInteger="1" minValue="1" maxValue="1"/>
    </cacheField>
    <cacheField name="Product_Clean" numFmtId="0">
      <sharedItems/>
    </cacheField>
    <cacheField name="Revenue" numFmtId="0">
      <sharedItems containsSemiMixedTypes="0" containsString="0" containsNumber="1" minValue="28.176000000000002" maxValue="1523.8"/>
    </cacheField>
    <cacheField name="Total_Cost" numFmtId="0">
      <sharedItems containsSemiMixedTypes="0" containsString="0" containsNumber="1" minValue="16.5" maxValue="1059.4000000000001"/>
    </cacheField>
    <cacheField name="Profit" numFmtId="0">
      <sharedItems containsSemiMixedTypes="0" containsString="0" containsNumber="1" minValue="10.234000000000002" maxValue="498.5"/>
    </cacheField>
    <cacheField name="Profit_Margin" numFmtId="10">
      <sharedItems containsSemiMixedTypes="0" containsString="0" containsNumber="1" minValue="9.4629816004748235E-2" maxValue="0.555293613373339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s v="BC-100691"/>
    <d v="2025-12-30T00:00:00"/>
    <s v="North"/>
    <s v="Small Business"/>
    <s v="Home &amp; Kitchen"/>
    <s v="Air Fryer"/>
    <n v="1"/>
    <n v="111.98"/>
    <n v="66.45"/>
    <n v="0.05"/>
    <n v="4"/>
    <n v="4"/>
    <s v="No"/>
    <s v="Online"/>
    <s v="Bank Transfer"/>
    <s v="Small Business"/>
    <s v="North"/>
    <s v="Home &amp; Kitchen"/>
    <x v="0"/>
    <n v="1"/>
    <s v="Air Fryer"/>
    <n v="106.381"/>
    <n v="66.45"/>
    <n v="39.930999999999997"/>
    <n v="0.37535838166589897"/>
  </r>
  <r>
    <s v="BC-101866"/>
    <d v="2025-01-27T00:00:00"/>
    <s v="North"/>
    <s v="Individual"/>
    <s v="Home &amp; Kitchen"/>
    <s v="Electric Kettle"/>
    <n v="4"/>
    <n v="38.96"/>
    <n v="20.03"/>
    <n v="0"/>
    <n v="2"/>
    <n v="4"/>
    <s v="No"/>
    <s v="Online"/>
    <s v="Card"/>
    <s v="Individual"/>
    <s v="North"/>
    <s v="Home &amp; Kitchen"/>
    <x v="1"/>
    <n v="1"/>
    <s v="Electric Kettle"/>
    <n v="155.84"/>
    <n v="80.12"/>
    <n v="75.72"/>
    <n v="0.48588295687885008"/>
  </r>
  <r>
    <s v="BC-100051"/>
    <d v="2025-04-07T00:00:00"/>
    <s v="South"/>
    <s v="Individual"/>
    <s v="Office"/>
    <s v="Desk Lamp"/>
    <n v="1"/>
    <n v="40.770000000000003"/>
    <n v="18.87"/>
    <n v="0.05"/>
    <n v="3"/>
    <n v="5"/>
    <s v="No"/>
    <s v="Store"/>
    <s v="Card"/>
    <s v="Individual"/>
    <s v="South"/>
    <s v="Office"/>
    <x v="2"/>
    <n v="1"/>
    <s v="Desk Lamp"/>
    <n v="38.731500000000004"/>
    <n v="18.87"/>
    <n v="19.861500000000003"/>
    <n v="0.51279965919213044"/>
  </r>
  <r>
    <s v="BC-101817"/>
    <d v="2025-12-21T00:00:00"/>
    <s v="North"/>
    <s v="Individual"/>
    <s v="Office"/>
    <s v="Ergonomic Keyboard"/>
    <n v="1"/>
    <n v="69.72"/>
    <n v="37.11"/>
    <n v="0.1"/>
    <n v="2"/>
    <n v="4"/>
    <s v="No"/>
    <s v="Store"/>
    <s v="Card"/>
    <s v="Individual"/>
    <s v="North"/>
    <s v="Office"/>
    <x v="3"/>
    <n v="1"/>
    <s v="Ergonomic Keyboard"/>
    <n v="62.747999999999998"/>
    <n v="37.11"/>
    <n v="25.637999999999998"/>
    <n v="0.40858672786383626"/>
  </r>
  <r>
    <s v="BC-101554"/>
    <d v="2025-05-22T00:00:00"/>
    <s v="South"/>
    <s v="Individual"/>
    <s v="Office"/>
    <s v="Ergonomic Keyboard"/>
    <n v="2"/>
    <n v="69.760000000000005"/>
    <n v="39.1"/>
    <n v="0.05"/>
    <n v="2"/>
    <n v="4"/>
    <s v="No"/>
    <s v="Online"/>
    <s v="Digital Wallet"/>
    <s v="Individual"/>
    <s v="South"/>
    <s v="Office"/>
    <x v="4"/>
    <n v="1"/>
    <s v="Ergonomic Keyboard"/>
    <n v="132.54400000000001"/>
    <n v="78.2"/>
    <n v="54.344000000000008"/>
    <n v="0.4100072428778368"/>
  </r>
  <r>
    <s v="BC-101391"/>
    <d v="2025-08-16T00:00:00"/>
    <s v="South"/>
    <s v="Individual"/>
    <s v="Furniture"/>
    <s v="Bookshelf"/>
    <n v="2"/>
    <n v="123.95"/>
    <n v="74.430000000000007"/>
    <n v="0.05"/>
    <n v="6"/>
    <n v="4"/>
    <s v="No"/>
    <s v="Store"/>
    <s v="Card"/>
    <s v="Individual"/>
    <s v="South"/>
    <s v="Furniture"/>
    <x v="5"/>
    <n v="1"/>
    <s v="Bookshelf"/>
    <n v="235.505"/>
    <n v="148.86000000000001"/>
    <n v="86.644999999999982"/>
    <n v="0.36791150930978106"/>
  </r>
  <r>
    <s v="BC-101154"/>
    <d v="2025-12-28T00:00:00"/>
    <s v="London"/>
    <s v="Individual"/>
    <s v="Electronics"/>
    <s v="Portable Speaker"/>
    <n v="1"/>
    <n v="75.23"/>
    <n v="43.32"/>
    <n v="0.15000000000000002"/>
    <n v="3"/>
    <n v="5"/>
    <s v="No"/>
    <s v="Online"/>
    <s v="Card"/>
    <s v="Individual"/>
    <s v="London"/>
    <s v="Electronics"/>
    <x v="6"/>
    <n v="1"/>
    <s v="Portable Speaker"/>
    <n v="63.945500000000003"/>
    <n v="43.32"/>
    <n v="20.625500000000002"/>
    <n v="0.32254810737268458"/>
  </r>
  <r>
    <s v="BC-100593"/>
    <d v="2025-12-10T00:00:00"/>
    <s v="Midlands"/>
    <s v="Small Business"/>
    <s v="Home &amp; Kitchen"/>
    <s v="Blender"/>
    <n v="2"/>
    <n v="64.47"/>
    <n v="35.700000000000003"/>
    <n v="0.05"/>
    <n v="0"/>
    <n v="5"/>
    <s v="No"/>
    <s v="Store"/>
    <s v="Card"/>
    <s v="Small Business"/>
    <s v="Midlands"/>
    <s v="Home &amp; Kitchen"/>
    <x v="7"/>
    <n v="1"/>
    <s v="Blender"/>
    <n v="122.49299999999999"/>
    <n v="71.400000000000006"/>
    <n v="51.092999999999989"/>
    <n v="0.41710954911709236"/>
  </r>
  <r>
    <s v="BC-101468"/>
    <d v="2025-11-29T00:00:00"/>
    <s v="London"/>
    <s v="Individual"/>
    <s v="Electronics"/>
    <s v="SmartHome Hub"/>
    <n v="1"/>
    <n v="128.37"/>
    <n v="86.52"/>
    <n v="0.15000000000000002"/>
    <n v="3"/>
    <n v="4"/>
    <s v="No"/>
    <s v="Online"/>
    <s v="Card"/>
    <s v="Individual"/>
    <s v="London"/>
    <s v="Electronics"/>
    <x v="8"/>
    <n v="1"/>
    <s v="SmartHome Hub"/>
    <n v="109.11450000000001"/>
    <n v="86.52"/>
    <n v="22.594500000000011"/>
    <n v="0.2070714707944408"/>
  </r>
  <r>
    <s v="BC-100811"/>
    <d v="2025-07-31T00:00:00"/>
    <s v="North"/>
    <s v="Individual"/>
    <s v="Office"/>
    <s v="Desk Lamp"/>
    <n v="1"/>
    <n v="39.700000000000003"/>
    <n v="19.93"/>
    <n v="0.05"/>
    <n v="5"/>
    <n v="4"/>
    <s v="No"/>
    <s v="Phone"/>
    <s v="Bank Transfer"/>
    <s v="Individual"/>
    <s v="North"/>
    <s v="Office"/>
    <x v="9"/>
    <n v="1"/>
    <s v="Desk Lamp"/>
    <n v="37.715000000000003"/>
    <n v="19.93"/>
    <n v="17.785000000000004"/>
    <n v="0.47156303857881487"/>
  </r>
  <r>
    <s v="BC-101203"/>
    <d v="2025-11-25T00:00:00"/>
    <s v="South"/>
    <s v="Individual"/>
    <s v="Home &amp; Kitchen"/>
    <s v="Coffee Maker"/>
    <n v="1"/>
    <n v="78.239999999999995"/>
    <n v="46.98"/>
    <n v="0.1"/>
    <n v="4"/>
    <n v="4"/>
    <s v="No"/>
    <s v="Online"/>
    <s v="Bank Transfer"/>
    <s v="Individual"/>
    <s v="South"/>
    <s v="Home &amp; Kitchen"/>
    <x v="10"/>
    <n v="1"/>
    <s v="Coffee Maker"/>
    <n v="70.415999999999997"/>
    <n v="46.98"/>
    <n v="23.436"/>
    <n v="0.33282208588957057"/>
  </r>
  <r>
    <s v="BC-100965"/>
    <d v="2025-12-01T00:00:00"/>
    <s v="London"/>
    <s v="Individual"/>
    <s v="Electronics"/>
    <s v="SmartHome Hub"/>
    <n v="4"/>
    <n v="134.97"/>
    <n v="82.26"/>
    <n v="0.15000000000000002"/>
    <n v="0"/>
    <n v="4"/>
    <s v="No"/>
    <s v="Store"/>
    <s v="Card"/>
    <s v="Individual"/>
    <s v="London"/>
    <s v="Electronics"/>
    <x v="11"/>
    <n v="1"/>
    <s v="SmartHome Hub"/>
    <n v="458.89799999999997"/>
    <n v="329.04"/>
    <n v="129.85799999999995"/>
    <n v="0.28297791666121874"/>
  </r>
  <r>
    <s v="BC-101789"/>
    <d v="2025-08-17T00:00:00"/>
    <s v="London"/>
    <s v="Individual"/>
    <s v="Electronics"/>
    <s v="Webcam"/>
    <n v="1"/>
    <n v="51.98"/>
    <n v="25.56"/>
    <n v="0"/>
    <n v="2"/>
    <n v="4"/>
    <s v="No"/>
    <s v="Online"/>
    <s v="Card"/>
    <s v="Individual"/>
    <s v="London"/>
    <s v="Electronics"/>
    <x v="12"/>
    <n v="1"/>
    <s v="Webcam"/>
    <n v="51.98"/>
    <n v="25.56"/>
    <n v="26.419999999999998"/>
    <n v="0.50827241246633315"/>
  </r>
  <r>
    <s v="BC-101681"/>
    <d v="2025-05-31T00:00:00"/>
    <s v="South"/>
    <s v="Individual"/>
    <s v="Office"/>
    <s v="Wireless Mouse"/>
    <n v="2"/>
    <n v="35.96"/>
    <n v="17"/>
    <n v="0"/>
    <n v="2"/>
    <n v="4"/>
    <s v="No"/>
    <s v="Online"/>
    <s v="Card"/>
    <s v="Individual"/>
    <s v="South"/>
    <s v="Office"/>
    <x v="13"/>
    <n v="1"/>
    <s v="Wireless Mouse"/>
    <n v="71.92"/>
    <n v="34"/>
    <n v="37.92"/>
    <n v="0.52725250278086766"/>
  </r>
  <r>
    <s v="BC-100524"/>
    <d v="2025-01-25T00:00:00"/>
    <s v="London"/>
    <s v="Individual"/>
    <s v="Electronics"/>
    <s v="Webcam"/>
    <n v="2"/>
    <n v="49.3"/>
    <n v="25.35"/>
    <n v="0"/>
    <n v="3"/>
    <n v="4"/>
    <s v="No"/>
    <s v="Online"/>
    <s v="Bank Transfer"/>
    <s v="Individual"/>
    <s v="London"/>
    <s v="Electronics"/>
    <x v="14"/>
    <n v="1"/>
    <s v="Webcam"/>
    <n v="98.6"/>
    <n v="50.7"/>
    <n v="47.899999999999991"/>
    <n v="0.48580121703853951"/>
  </r>
  <r>
    <s v="BC-100268"/>
    <d v="2025-01-07T00:00:00"/>
    <s v="South"/>
    <s v="Individual"/>
    <s v="Furniture"/>
    <s v="Side Table"/>
    <n v="2"/>
    <n v="91.21"/>
    <n v="55.49"/>
    <n v="0.05"/>
    <n v="6"/>
    <n v="3"/>
    <s v="No"/>
    <s v="Online"/>
    <s v="Card"/>
    <s v="Individual"/>
    <s v="South"/>
    <s v="Furniture"/>
    <x v="15"/>
    <n v="1"/>
    <s v="Side Table"/>
    <n v="173.29899999999998"/>
    <n v="110.98"/>
    <n v="62.318999999999974"/>
    <n v="0.35960392154599841"/>
  </r>
  <r>
    <s v="BC-100763"/>
    <d v="2025-08-17T00:00:00"/>
    <s v="North"/>
    <s v="Individual"/>
    <s v="Home &amp; Kitchen"/>
    <s v="Electric Kettle"/>
    <n v="1"/>
    <n v="41.58"/>
    <n v="19.77"/>
    <n v="0.05"/>
    <n v="1"/>
    <n v="5"/>
    <s v="No"/>
    <s v="Online"/>
    <s v="Bank Transfer"/>
    <s v="Individual"/>
    <s v="North"/>
    <s v="Home &amp; Kitchen"/>
    <x v="12"/>
    <n v="1"/>
    <s v="Electric Kettle"/>
    <n v="39.500999999999998"/>
    <n v="19.77"/>
    <n v="19.730999999999998"/>
    <n v="0.49950634161160473"/>
  </r>
  <r>
    <s v="BC-101409"/>
    <s v="27/09/2025"/>
    <s v="Midlands"/>
    <s v="Individual"/>
    <s v="Electronics"/>
    <s v="Webcam"/>
    <n v="1"/>
    <n v="49.41"/>
    <n v="25.25"/>
    <n v="0"/>
    <n v="3"/>
    <n v="5"/>
    <s v="No"/>
    <s v="Online"/>
    <s v="Card"/>
    <s v="Individual"/>
    <s v="Midlands"/>
    <s v="Electronics"/>
    <x v="16"/>
    <n v="1"/>
    <s v="Webcam"/>
    <n v="49.41"/>
    <n v="25.25"/>
    <n v="24.159999999999997"/>
    <n v="0.48896984416110095"/>
  </r>
  <r>
    <s v="BC-100252"/>
    <d v="2025-09-29T00:00:00"/>
    <s v="South"/>
    <s v="Individual"/>
    <s v="Office"/>
    <s v="Ergonomic Keyboard"/>
    <n v="1"/>
    <n v="69.239999999999995"/>
    <n v="39.299999999999997"/>
    <n v="0.15000000000000002"/>
    <n v="2"/>
    <n v="5"/>
    <s v="No"/>
    <s v="Online"/>
    <s v="Card"/>
    <s v="Individual"/>
    <s v="South"/>
    <s v="Office"/>
    <x v="17"/>
    <n v="1"/>
    <s v="Ergonomic Keyboard"/>
    <n v="58.853999999999992"/>
    <n v="39.299999999999997"/>
    <n v="19.553999999999995"/>
    <n v="0.33224589662554793"/>
  </r>
  <r>
    <s v="BC-101759"/>
    <d v="2025-12-19T00:00:00"/>
    <s v="North"/>
    <s v="Small Business"/>
    <s v="Electronics"/>
    <s v="Portable Speaker"/>
    <n v="3"/>
    <n v="76.92"/>
    <n v="44.77"/>
    <n v="0"/>
    <n v="0"/>
    <n v="4"/>
    <s v="No"/>
    <s v="Store"/>
    <s v="Card"/>
    <s v="Small Business"/>
    <s v="North"/>
    <s v="Electronics"/>
    <x v="18"/>
    <n v="1"/>
    <s v="Portable Speaker"/>
    <n v="230.76"/>
    <n v="134.31"/>
    <n v="96.449999999999989"/>
    <n v="0.41796671866874674"/>
  </r>
  <r>
    <s v="BC-101436"/>
    <d v="2025-04-03T00:00:00"/>
    <s v="Midlands"/>
    <s v="Individual"/>
    <s v="Office"/>
    <s v="Wireless Mouse"/>
    <n v="1"/>
    <n v="35.35"/>
    <n v="17.7"/>
    <n v="0.1"/>
    <n v="2"/>
    <n v="4"/>
    <s v="No"/>
    <s v="Store"/>
    <s v="Card"/>
    <s v="Individual"/>
    <s v="Midlands"/>
    <s v="Office"/>
    <x v="19"/>
    <n v="1"/>
    <s v="Wireless Mouse"/>
    <n v="31.815000000000001"/>
    <n v="17.7"/>
    <n v="14.115000000000002"/>
    <n v="0.44365865157944373"/>
  </r>
  <r>
    <s v="BC-100867"/>
    <d v="2025-06-25T00:00:00"/>
    <s v="South"/>
    <s v="Individual"/>
    <s v="Electronics"/>
    <s v="Webcam"/>
    <n v="3"/>
    <n v="49.58"/>
    <n v="27.27"/>
    <n v="0.15000000000000002"/>
    <n v="0"/>
    <n v="4"/>
    <s v="No"/>
    <s v="Store"/>
    <s v="Card"/>
    <s v="Individual"/>
    <s v="South"/>
    <s v="Electronics"/>
    <x v="20"/>
    <n v="1"/>
    <s v="Webcam"/>
    <n v="126.429"/>
    <n v="81.81"/>
    <n v="44.619"/>
    <n v="0.35291744773746531"/>
  </r>
  <r>
    <s v="BC-101398"/>
    <d v="2025-12-05T00:00:00"/>
    <s v="South"/>
    <s v="Individual"/>
    <s v="Office"/>
    <s v="Laptop Stand"/>
    <n v="1"/>
    <n v="44.04"/>
    <n v="21.51"/>
    <n v="0.2"/>
    <n v="1"/>
    <n v="5"/>
    <s v="No"/>
    <s v="Online"/>
    <s v="Bank Transfer"/>
    <s v="Individual"/>
    <s v="South"/>
    <s v="Office"/>
    <x v="21"/>
    <n v="1"/>
    <s v="Laptop Stand"/>
    <n v="35.231999999999999"/>
    <n v="21.51"/>
    <n v="13.721999999999998"/>
    <n v="0.389475476839237"/>
  </r>
  <r>
    <s v="BC-100207"/>
    <d v="2025-11-13T00:00:00"/>
    <s v="North"/>
    <s v="Small Business"/>
    <s v="Electronics"/>
    <s v="Portable Speaker"/>
    <n v="4"/>
    <n v="74.489999999999995"/>
    <n v="42.11"/>
    <n v="0.05"/>
    <n v="2"/>
    <n v="4"/>
    <s v="No"/>
    <s v="Online"/>
    <s v="Bank Transfer"/>
    <s v="Small Business"/>
    <s v="North"/>
    <s v="Electronics"/>
    <x v="22"/>
    <n v="1"/>
    <s v="Portable Speaker"/>
    <n v="283.06199999999995"/>
    <n v="168.44"/>
    <n v="114.62199999999996"/>
    <n v="0.40493602108372007"/>
  </r>
  <r>
    <s v="BC-100091"/>
    <d v="2025-10-07T00:00:00"/>
    <s v="South"/>
    <s v="Individual"/>
    <s v="Furniture"/>
    <s v="Storage Cabinet"/>
    <n v="1"/>
    <n v="165.17"/>
    <n v="102.2"/>
    <n v="0.15000000000000002"/>
    <n v="8"/>
    <n v="3"/>
    <s v="No"/>
    <s v="Online"/>
    <s v="Card"/>
    <s v="Individual"/>
    <s v="South"/>
    <s v="Furniture"/>
    <x v="23"/>
    <n v="1"/>
    <s v="Storage Cabinet"/>
    <n v="140.39449999999999"/>
    <n v="102.2"/>
    <n v="38.194499999999991"/>
    <n v="0.27205125556912835"/>
  </r>
  <r>
    <s v="BC-101231"/>
    <d v="2025-02-25T00:00:00"/>
    <s v="Midlands"/>
    <s v="Individual"/>
    <s v="Office"/>
    <s v="Wireless Mouse"/>
    <n v="1"/>
    <n v="34.74"/>
    <n v="17.45"/>
    <n v="0.05"/>
    <n v="7"/>
    <n v="4"/>
    <s v="No"/>
    <s v="Online"/>
    <s v="Card"/>
    <s v="Individual"/>
    <s v="Midlands"/>
    <s v="Office"/>
    <x v="24"/>
    <n v="1"/>
    <s v="Wireless Mouse"/>
    <n v="33.003"/>
    <n v="17.45"/>
    <n v="15.553000000000001"/>
    <n v="0.47126018846771506"/>
  </r>
  <r>
    <s v="BC-101490"/>
    <d v="2025-06-12T00:00:00"/>
    <s v="London"/>
    <s v="Individual"/>
    <s v="Furniture"/>
    <s v="Bookshelf"/>
    <n v="3"/>
    <n v="117.31"/>
    <n v="74.650000000000006"/>
    <n v="0.05"/>
    <n v="3"/>
    <n v="4"/>
    <s v="No"/>
    <s v="Store"/>
    <s v="Card"/>
    <s v="Individual"/>
    <s v="London"/>
    <s v="Furniture"/>
    <x v="25"/>
    <n v="1"/>
    <s v="Bookshelf"/>
    <n v="334.33350000000002"/>
    <n v="223.95000000000002"/>
    <n v="110.3835"/>
    <n v="0.33015985535401027"/>
  </r>
  <r>
    <s v="BC-100148"/>
    <d v="2025-11-18T00:00:00"/>
    <s v="South"/>
    <s v="Small Business"/>
    <s v="Electronics"/>
    <s v="Portable Speaker"/>
    <n v="5"/>
    <n v="74.180000000000007"/>
    <n v="43.05"/>
    <n v="0.05"/>
    <n v="3"/>
    <n v="4"/>
    <s v="No"/>
    <s v="Store"/>
    <s v="Card"/>
    <s v="Small Business"/>
    <s v="South"/>
    <s v="Electronics"/>
    <x v="26"/>
    <n v="1"/>
    <s v="Portable Speaker"/>
    <n v="352.35500000000002"/>
    <n v="215.25"/>
    <n v="137.10500000000002"/>
    <n v="0.38911041421293868"/>
  </r>
  <r>
    <s v="BC-101135"/>
    <d v="2025-10-08T00:00:00"/>
    <s v="Midlands"/>
    <s v="Individual"/>
    <s v="Electronics"/>
    <s v="Wireless Headset"/>
    <n v="2"/>
    <n v="62.36"/>
    <n v="33.659999999999997"/>
    <n v="0.1"/>
    <n v="0"/>
    <n v="4"/>
    <s v="No"/>
    <s v="Store"/>
    <s v="Digital Wallet"/>
    <s v="Individual"/>
    <s v="Midlands"/>
    <s v="Electronics"/>
    <x v="27"/>
    <n v="1"/>
    <s v="Wireless Headset"/>
    <n v="112.248"/>
    <n v="67.319999999999993"/>
    <n v="44.928000000000011"/>
    <n v="0.40025657472738946"/>
  </r>
  <r>
    <s v="BC-100478"/>
    <d v="2025-12-25T00:00:00"/>
    <s v="South"/>
    <s v="Individual"/>
    <s v="Electronics"/>
    <s v="SmartHome Hub"/>
    <n v="2"/>
    <n v="134.44999999999999"/>
    <n v="83.37"/>
    <n v="0.2"/>
    <n v="4"/>
    <m/>
    <s v="No"/>
    <s v="Online"/>
    <s v="Card"/>
    <s v="Individual"/>
    <s v="South"/>
    <s v="Electronics"/>
    <x v="28"/>
    <n v="1"/>
    <s v="SmartHome Hub"/>
    <n v="215.12"/>
    <n v="166.74"/>
    <n v="48.379999999999995"/>
    <n v="0.22489773149869838"/>
  </r>
  <r>
    <s v="BC-101084"/>
    <d v="2025-04-21T00:00:00"/>
    <s v="Midlands"/>
    <s v="Individual"/>
    <s v="Electronics"/>
    <s v="Portable Speaker"/>
    <n v="1"/>
    <n v="73.400000000000006"/>
    <n v="45.03"/>
    <n v="0.05"/>
    <n v="2"/>
    <n v="5"/>
    <s v="No"/>
    <s v="Phone"/>
    <s v="Card"/>
    <s v="Individual"/>
    <s v="Midlands"/>
    <s v="Electronics"/>
    <x v="29"/>
    <n v="1"/>
    <s v="Portable Speaker"/>
    <n v="69.73"/>
    <n v="45.03"/>
    <n v="24.700000000000003"/>
    <n v="0.35422343324250682"/>
  </r>
  <r>
    <s v="BC-100778"/>
    <d v="2025-09-30T00:00:00"/>
    <s v="London"/>
    <s v="Individual"/>
    <s v="Electronics"/>
    <s v="Wireless Headset"/>
    <n v="2"/>
    <n v="60.14"/>
    <n v="35.68"/>
    <n v="0.1"/>
    <n v="1"/>
    <n v="4"/>
    <s v="No"/>
    <s v="Online"/>
    <s v="Card"/>
    <s v="Individual"/>
    <s v="London"/>
    <s v="Electronics"/>
    <x v="30"/>
    <n v="1"/>
    <s v="Wireless Headset"/>
    <n v="108.25200000000001"/>
    <n v="71.36"/>
    <n v="36.89200000000001"/>
    <n v="0.34079739866238046"/>
  </r>
  <r>
    <s v="BC-101877"/>
    <d v="2025-09-17T00:00:00"/>
    <s v="South"/>
    <s v="Individual"/>
    <s v="Electronics"/>
    <s v="Webcam"/>
    <n v="4"/>
    <n v="51.24"/>
    <n v="26.9"/>
    <n v="0.05"/>
    <n v="2"/>
    <n v="4"/>
    <s v="No"/>
    <s v="Store"/>
    <s v="Bank Transfer"/>
    <s v="Individual"/>
    <s v="South"/>
    <s v="Electronics"/>
    <x v="31"/>
    <n v="1"/>
    <s v="Webcam"/>
    <n v="194.71199999999999"/>
    <n v="107.6"/>
    <n v="87.111999999999995"/>
    <n v="0.44738896421381324"/>
  </r>
  <r>
    <s v="BC-100134"/>
    <d v="2025-10-06T00:00:00"/>
    <s v="North"/>
    <s v="Individual"/>
    <s v="Home &amp; Kitchen"/>
    <s v="Coffee Maker"/>
    <n v="2"/>
    <n v="79.209999999999994"/>
    <n v="45.35"/>
    <n v="0"/>
    <n v="0"/>
    <n v="5"/>
    <s v="No"/>
    <s v="Store"/>
    <s v="Bank Transfer"/>
    <s v="Individual"/>
    <s v="North"/>
    <s v="Home &amp; Kitchen"/>
    <x v="32"/>
    <n v="1"/>
    <s v="Coffee Maker"/>
    <n v="158.41999999999999"/>
    <n v="90.7"/>
    <n v="67.719999999999985"/>
    <n v="0.42747127887892938"/>
  </r>
  <r>
    <s v="BC-101121"/>
    <d v="2025-11-20T00:00:00"/>
    <s v="Midlands"/>
    <s v="Small Business"/>
    <s v="Electronics"/>
    <s v="Webcam"/>
    <n v="3"/>
    <n v="50.12"/>
    <n v="26.06"/>
    <n v="0.2"/>
    <n v="1"/>
    <n v="4"/>
    <s v="No"/>
    <s v="Phone"/>
    <s v="Bank Transfer"/>
    <s v="Small Business"/>
    <s v="Midlands"/>
    <s v="Electronics"/>
    <x v="33"/>
    <n v="1"/>
    <s v="Webcam"/>
    <n v="120.288"/>
    <n v="78.179999999999993"/>
    <n v="42.108000000000004"/>
    <n v="0.3500598563447726"/>
  </r>
  <r>
    <s v="BC-100399"/>
    <d v="2025-01-01T00:00:00"/>
    <s v="South"/>
    <s v="Small Business"/>
    <s v="Electronics"/>
    <s v="SmartHome Hub"/>
    <n v="4"/>
    <n v="131.87"/>
    <n v="83.71"/>
    <n v="0.1"/>
    <n v="4"/>
    <n v="4"/>
    <s v="No"/>
    <s v="Online"/>
    <s v="Bank Transfer"/>
    <s v="Small Business"/>
    <s v="South"/>
    <s v="Electronics"/>
    <x v="34"/>
    <n v="1"/>
    <s v="SmartHome Hub"/>
    <n v="474.73200000000003"/>
    <n v="334.84"/>
    <n v="139.89200000000005"/>
    <n v="0.29467573283452569"/>
  </r>
  <r>
    <s v="BC-100022"/>
    <d v="2025-10-27T00:00:00"/>
    <s v="London"/>
    <s v="Individual"/>
    <s v="Office"/>
    <s v="Desk Lamp"/>
    <n v="1"/>
    <n v="40.340000000000003"/>
    <n v="19.21"/>
    <n v="0"/>
    <n v="3"/>
    <n v="4"/>
    <s v="No"/>
    <s v="Online"/>
    <s v="Card"/>
    <s v="Individual"/>
    <s v="London"/>
    <s v="Office"/>
    <x v="35"/>
    <n v="1"/>
    <s v="Desk Lamp"/>
    <n v="40.340000000000003"/>
    <n v="19.21"/>
    <n v="21.130000000000003"/>
    <n v="0.52379771938522557"/>
  </r>
  <r>
    <s v="BC-100457"/>
    <d v="2025-12-22T00:00:00"/>
    <s v="South"/>
    <s v="Small Business"/>
    <s v="Electronics"/>
    <s v="Portable Speaker"/>
    <n v="2"/>
    <n v="77.260000000000005"/>
    <n v="42.8"/>
    <n v="0.1"/>
    <n v="4"/>
    <n v="4"/>
    <s v="No"/>
    <s v="Store"/>
    <s v="Card"/>
    <s v="Small Business"/>
    <s v="South"/>
    <s v="Electronics"/>
    <x v="36"/>
    <n v="1"/>
    <s v="Portable Speaker"/>
    <n v="139.06800000000001"/>
    <n v="85.6"/>
    <n v="53.468000000000018"/>
    <n v="0.3844737826099463"/>
  </r>
  <r>
    <s v="BC-101160"/>
    <d v="2025-10-08T00:00:00"/>
    <s v="London"/>
    <s v="Small Business"/>
    <s v="Furniture"/>
    <s v="Side Table"/>
    <n v="2"/>
    <n v="93.04"/>
    <n v="53.32"/>
    <n v="0"/>
    <n v="7"/>
    <n v="2"/>
    <s v="Yes"/>
    <s v="Online"/>
    <s v="Bank Transfer"/>
    <s v="Small Business"/>
    <s v="London"/>
    <s v="Furniture"/>
    <x v="27"/>
    <n v="1"/>
    <s v="Side Table"/>
    <n v="186.08"/>
    <n v="106.64"/>
    <n v="79.440000000000012"/>
    <n v="0.42691315563198629"/>
  </r>
  <r>
    <s v="BC-100474"/>
    <d v="2025-05-02T00:00:00"/>
    <s v="South"/>
    <s v="Individual"/>
    <s v="Furniture"/>
    <s v="Storage Cabinet"/>
    <n v="1"/>
    <n v="156.21"/>
    <n v="99.74"/>
    <n v="0.1"/>
    <n v="2"/>
    <n v="4"/>
    <s v="Yes"/>
    <s v="Store"/>
    <s v="Card"/>
    <s v="Individual"/>
    <s v="South"/>
    <s v="Furniture"/>
    <x v="37"/>
    <n v="1"/>
    <s v="Storage Cabinet"/>
    <n v="140.589"/>
    <n v="99.74"/>
    <n v="40.849000000000004"/>
    <n v="0.29055616015477742"/>
  </r>
  <r>
    <s v="BC-101079"/>
    <d v="2025-04-14T00:00:00"/>
    <s v="South"/>
    <s v="Corporate"/>
    <s v="Office"/>
    <s v="Laptop Stand"/>
    <n v="4"/>
    <n v="46.31"/>
    <n v="21.97"/>
    <n v="0.15000000000000002"/>
    <n v="5"/>
    <n v="5"/>
    <s v="No"/>
    <s v="Online"/>
    <s v="Bank Transfer"/>
    <s v="Corporate"/>
    <s v="South"/>
    <s v="Office"/>
    <x v="38"/>
    <n v="1"/>
    <s v="Laptop Stand"/>
    <n v="157.45400000000001"/>
    <n v="87.88"/>
    <n v="69.574000000000012"/>
    <n v="0.44186873626583006"/>
  </r>
  <r>
    <s v="BC-100477"/>
    <d v="2025-08-17T00:00:00"/>
    <s v="Midlands"/>
    <s v="Corporate"/>
    <s v="Office"/>
    <s v="Ergonomic Keyboard"/>
    <n v="4"/>
    <n v="69.56"/>
    <n v="38.47"/>
    <n v="0.05"/>
    <n v="2"/>
    <n v="5"/>
    <s v="No"/>
    <s v="Store"/>
    <s v="Digital Wallet"/>
    <s v="Corporate"/>
    <s v="Midlands"/>
    <s v="Office"/>
    <x v="12"/>
    <n v="1"/>
    <s v="Ergonomic Keyboard"/>
    <n v="264.32799999999997"/>
    <n v="153.88"/>
    <n v="110.44799999999998"/>
    <n v="0.41784449623195419"/>
  </r>
  <r>
    <s v="BC-100652"/>
    <d v="2025-07-28T00:00:00"/>
    <s v="London"/>
    <s v="Individual"/>
    <s v="Electronics"/>
    <s v="SmartHome Hub"/>
    <n v="1"/>
    <n v="126.3"/>
    <n v="83.66"/>
    <n v="0.1"/>
    <n v="2"/>
    <n v="4"/>
    <s v="No"/>
    <s v="Online"/>
    <s v="Card"/>
    <s v="Individual"/>
    <s v="London"/>
    <s v="Electronics"/>
    <x v="39"/>
    <n v="1"/>
    <s v="SmartHome Hub"/>
    <n v="113.67"/>
    <n v="83.66"/>
    <n v="30.010000000000005"/>
    <n v="0.26400985308348734"/>
  </r>
  <r>
    <s v="BC-101845"/>
    <d v="2025-12-21T00:00:00"/>
    <s v="South"/>
    <s v="Small Business"/>
    <s v="Office"/>
    <s v="Ergonomic Keyboard"/>
    <n v="5"/>
    <n v="68.22"/>
    <n v="39.619999999999997"/>
    <n v="0.15000000000000002"/>
    <n v="4"/>
    <n v="4"/>
    <s v="No"/>
    <s v="Store"/>
    <s v="Digital Wallet"/>
    <s v="Small Business"/>
    <s v="South"/>
    <s v="Office"/>
    <x v="3"/>
    <n v="1"/>
    <s v="Ergonomic Keyboard"/>
    <n v="289.935"/>
    <n v="198.1"/>
    <n v="91.835000000000008"/>
    <n v="0.31674340800524259"/>
  </r>
  <r>
    <s v="BC-100547"/>
    <d v="2025-06-08T00:00:00"/>
    <s v="North"/>
    <s v="Individual"/>
    <s v="Office"/>
    <s v="Desk Lamp"/>
    <n v="2"/>
    <n v="40.74"/>
    <n v="18.95"/>
    <n v="0.1"/>
    <n v="2"/>
    <n v="5"/>
    <s v="No"/>
    <s v="Store"/>
    <s v="Bank Transfer"/>
    <s v="Individual"/>
    <s v="North"/>
    <s v="Office"/>
    <x v="40"/>
    <n v="1"/>
    <s v="Desk Lamp"/>
    <n v="73.332000000000008"/>
    <n v="37.9"/>
    <n v="35.432000000000009"/>
    <n v="0.48317242131675131"/>
  </r>
  <r>
    <s v="BC-101836"/>
    <d v="2025-06-23T00:00:00"/>
    <s v="London"/>
    <s v="Small Business"/>
    <s v="Electronics"/>
    <s v="Webcam"/>
    <n v="3"/>
    <n v="51.29"/>
    <n v="25.64"/>
    <n v="0.05"/>
    <n v="0"/>
    <n v="4"/>
    <s v="No"/>
    <s v="Store"/>
    <s v="Card"/>
    <s v="Small Business"/>
    <s v="London"/>
    <s v="Electronics"/>
    <x v="41"/>
    <n v="1"/>
    <s v="Webcam"/>
    <n v="146.1765"/>
    <n v="76.92"/>
    <n v="69.256500000000003"/>
    <n v="0.47378682619983375"/>
  </r>
  <r>
    <s v="BC-100553"/>
    <d v="2025-01-05T00:00:00"/>
    <s v="Midlands"/>
    <s v="Individual"/>
    <s v="Electronics"/>
    <s v="Portable Speaker"/>
    <n v="2"/>
    <n v="74.06"/>
    <n v="45.08"/>
    <n v="0.1"/>
    <n v="3"/>
    <n v="5"/>
    <s v="No"/>
    <s v="Phone"/>
    <s v="Card"/>
    <s v="Individual"/>
    <s v="Midlands"/>
    <s v="Electronics"/>
    <x v="42"/>
    <n v="1"/>
    <s v="Portable Speaker"/>
    <n v="133.30800000000002"/>
    <n v="90.16"/>
    <n v="43.148000000000025"/>
    <n v="0.32367149758454117"/>
  </r>
  <r>
    <s v="BC-100615"/>
    <d v="2025-11-28T00:00:00"/>
    <s v="London"/>
    <s v="Individual"/>
    <s v="Electronics"/>
    <s v="Wireless Headset"/>
    <n v="1"/>
    <n v="61.42"/>
    <n v="35.07"/>
    <n v="0"/>
    <n v="3"/>
    <m/>
    <s v="No"/>
    <s v="Store"/>
    <s v="Card"/>
    <s v="Individual"/>
    <s v="London"/>
    <s v="Electronics"/>
    <x v="43"/>
    <n v="1"/>
    <s v="Wireless Headset"/>
    <n v="61.42"/>
    <n v="35.07"/>
    <n v="26.35"/>
    <n v="0.42901335070009772"/>
  </r>
  <r>
    <s v="BC-100088"/>
    <d v="2025-11-02T00:00:00"/>
    <s v="North"/>
    <s v="Corporate"/>
    <s v="Electronics"/>
    <s v="SmartHome Hub"/>
    <n v="10"/>
    <n v="128.72"/>
    <n v="84.25"/>
    <n v="0.25"/>
    <n v="4"/>
    <n v="4"/>
    <s v="No"/>
    <s v="Online"/>
    <s v="Card"/>
    <s v="Corporate"/>
    <s v="North"/>
    <s v="Electronics"/>
    <x v="44"/>
    <n v="1"/>
    <s v="SmartHome Hub"/>
    <n v="965.40000000000009"/>
    <n v="842.5"/>
    <n v="122.90000000000009"/>
    <n v="0.1273047441475037"/>
  </r>
  <r>
    <s v="BC-101416"/>
    <d v="2025-09-30T00:00:00"/>
    <s v="South"/>
    <s v="Individual"/>
    <s v="Electronics"/>
    <s v="Wireless Headset"/>
    <n v="2"/>
    <n v="58.49"/>
    <n v="33.69"/>
    <n v="0"/>
    <n v="6"/>
    <n v="4"/>
    <s v="No"/>
    <s v="Online"/>
    <s v="Card"/>
    <s v="Individual"/>
    <s v="South"/>
    <s v="Electronics"/>
    <x v="30"/>
    <n v="1"/>
    <s v="Wireless Headset"/>
    <n v="116.98"/>
    <n v="67.38"/>
    <n v="49.600000000000009"/>
    <n v="0.42400410326551552"/>
  </r>
  <r>
    <s v="BC-101380"/>
    <d v="2025-03-12T00:00:00"/>
    <s v="North"/>
    <s v="Individual"/>
    <s v="Furniture"/>
    <s v="Bookshelf"/>
    <n v="1"/>
    <n v="117.82"/>
    <n v="73"/>
    <n v="0.1"/>
    <n v="8"/>
    <n v="3"/>
    <s v="No"/>
    <s v="Online"/>
    <s v="Bank Transfer"/>
    <s v="Individual"/>
    <s v="North"/>
    <s v="Furniture"/>
    <x v="45"/>
    <n v="1"/>
    <s v="Bookshelf"/>
    <n v="106.038"/>
    <n v="73"/>
    <n v="33.037999999999997"/>
    <n v="0.31156755125521035"/>
  </r>
  <r>
    <s v="BC-100419"/>
    <d v="2025-12-22T00:00:00"/>
    <s v="Midlands"/>
    <s v="Individual"/>
    <s v="Electronics"/>
    <s v="Wireless Headset"/>
    <n v="1"/>
    <n v="60.29"/>
    <n v="35.54"/>
    <n v="0.05"/>
    <n v="4"/>
    <n v="4"/>
    <s v="No"/>
    <s v="Online"/>
    <s v="Card"/>
    <s v="Individual"/>
    <s v="Midlands"/>
    <s v="Electronics"/>
    <x v="36"/>
    <n v="1"/>
    <s v="Wireless Headset"/>
    <n v="57.275499999999994"/>
    <n v="35.54"/>
    <n v="21.735499999999995"/>
    <n v="0.3794903580064774"/>
  </r>
  <r>
    <s v="BC-101109"/>
    <d v="2025-10-31T00:00:00"/>
    <s v="London"/>
    <s v="Individual"/>
    <s v="Home &amp; Kitchen"/>
    <s v="Electric Kettle"/>
    <n v="4"/>
    <n v="39.32"/>
    <n v="20.04"/>
    <n v="0"/>
    <n v="3"/>
    <m/>
    <s v="No"/>
    <s v="Online"/>
    <s v="Digital Wallet"/>
    <s v="Individual"/>
    <s v="London"/>
    <s v="Home &amp; Kitchen"/>
    <x v="46"/>
    <n v="1"/>
    <s v="Electric Kettle"/>
    <n v="157.28"/>
    <n v="80.16"/>
    <n v="77.12"/>
    <n v="0.4903357070193286"/>
  </r>
  <r>
    <s v="BC-100372"/>
    <d v="2025-05-15T00:00:00"/>
    <s v="London"/>
    <s v="Small Business"/>
    <s v="Office"/>
    <s v="Laptop Stand"/>
    <n v="1"/>
    <n v="45.96"/>
    <n v="20.85"/>
    <n v="0"/>
    <n v="0"/>
    <n v="4"/>
    <s v="No"/>
    <s v="Store"/>
    <s v="Bank Transfer"/>
    <s v="Small Business"/>
    <s v="London"/>
    <s v="Office"/>
    <x v="47"/>
    <n v="1"/>
    <s v="Laptop Stand"/>
    <n v="45.96"/>
    <n v="20.85"/>
    <n v="25.11"/>
    <n v="0.54634464751958223"/>
  </r>
  <r>
    <s v="BC-100196"/>
    <d v="2025-10-30T00:00:00"/>
    <s v="South"/>
    <s v="Small Business"/>
    <s v="Home &amp; Kitchen"/>
    <s v="Blender"/>
    <n v="2"/>
    <n v="65.459999999999994"/>
    <n v="34.200000000000003"/>
    <n v="0.2"/>
    <n v="2"/>
    <n v="4"/>
    <s v="No"/>
    <s v="Store"/>
    <s v="Card"/>
    <s v="Small Business"/>
    <s v="South"/>
    <s v="Home &amp; Kitchen"/>
    <x v="48"/>
    <n v="1"/>
    <s v="Blender"/>
    <n v="104.73599999999999"/>
    <n v="68.400000000000006"/>
    <n v="36.335999999999984"/>
    <n v="0.34692942254812087"/>
  </r>
  <r>
    <s v="BC-101424"/>
    <d v="2025-07-11T00:00:00"/>
    <s v="South"/>
    <s v="Individual"/>
    <s v="Office"/>
    <s v="Wireless Mouse"/>
    <n v="2"/>
    <n v="36.14"/>
    <n v="17.37"/>
    <n v="0.05"/>
    <n v="0"/>
    <n v="4"/>
    <s v="No"/>
    <s v="Store"/>
    <s v="Card"/>
    <s v="Individual"/>
    <s v="South"/>
    <s v="Office"/>
    <x v="49"/>
    <n v="1"/>
    <s v="Wireless Mouse"/>
    <n v="68.665999999999997"/>
    <n v="34.74"/>
    <n v="33.925999999999995"/>
    <n v="0.49407275798794159"/>
  </r>
  <r>
    <s v="BC-101211"/>
    <d v="2025-09-12T00:00:00"/>
    <s v="North"/>
    <s v="Small Business"/>
    <s v="Furniture"/>
    <s v="Office Chair"/>
    <n v="4"/>
    <n v="181.46"/>
    <n v="120.07"/>
    <n v="0"/>
    <n v="7"/>
    <n v="4"/>
    <s v="No"/>
    <s v="Online"/>
    <s v="Digital Wallet"/>
    <s v="Small Business"/>
    <s v="North"/>
    <s v="Furniture"/>
    <x v="50"/>
    <n v="1"/>
    <s v="Office Chair"/>
    <n v="725.84"/>
    <n v="480.28"/>
    <n v="245.56000000000006"/>
    <n v="0.33831147360299796"/>
  </r>
  <r>
    <s v="BC-100472"/>
    <d v="2025-05-04T00:00:00"/>
    <s v="Mid lands"/>
    <s v="Individual"/>
    <s v="Home &amp; Kitchen"/>
    <s v="Air Fryer"/>
    <n v="2"/>
    <n v="109.61"/>
    <n v="69.03"/>
    <n v="0.1"/>
    <n v="1"/>
    <n v="5"/>
    <s v="No"/>
    <s v="Online"/>
    <s v="Card"/>
    <s v="Individual"/>
    <s v="Mid Lands"/>
    <s v="Home &amp; Kitchen"/>
    <x v="51"/>
    <n v="1"/>
    <s v="Air Fryer"/>
    <n v="197.298"/>
    <n v="138.06"/>
    <n v="59.238"/>
    <n v="0.30024632788979105"/>
  </r>
  <r>
    <s v="BC-100946"/>
    <d v="2025-10-13T00:00:00"/>
    <s v="London"/>
    <s v="Corporate"/>
    <s v="Home &amp; Kitchen"/>
    <s v="Blender"/>
    <n v="8"/>
    <n v="65.290000000000006"/>
    <n v="34.380000000000003"/>
    <n v="0.1"/>
    <n v="3"/>
    <n v="5"/>
    <s v="No"/>
    <s v="Phone"/>
    <s v="Digital Wallet"/>
    <s v="Corporate"/>
    <s v="London"/>
    <s v="Home &amp; Kitchen"/>
    <x v="52"/>
    <n v="1"/>
    <s v="Blender"/>
    <n v="470.08800000000008"/>
    <n v="275.04000000000002"/>
    <n v="195.04800000000006"/>
    <n v="0.41491805789554304"/>
  </r>
  <r>
    <s v="BC-100265"/>
    <d v="2025-08-17T00:00:00"/>
    <s v="South"/>
    <s v="Small Business"/>
    <s v="Electronics"/>
    <s v="Portable Speaker"/>
    <n v="1"/>
    <n v="76.239999999999995"/>
    <n v="43.18"/>
    <n v="0.1"/>
    <n v="5"/>
    <n v="5"/>
    <s v="No"/>
    <s v="Online"/>
    <s v="Card"/>
    <s v="Small Business"/>
    <s v="South"/>
    <s v="Electronics"/>
    <x v="12"/>
    <n v="1"/>
    <s v="Portable Speaker"/>
    <n v="68.616"/>
    <n v="43.18"/>
    <n v="25.436"/>
    <n v="0.3707007112043838"/>
  </r>
  <r>
    <s v="BC-100807"/>
    <d v="2025-05-16T00:00:00"/>
    <s v="North"/>
    <s v="Small Business"/>
    <s v="Home &amp; Kitchen"/>
    <s v="Coffee Maker"/>
    <n v="3"/>
    <n v="80.52"/>
    <n v="45.6"/>
    <n v="0"/>
    <n v="3"/>
    <n v="5"/>
    <s v="No"/>
    <s v="Online"/>
    <s v="Digital Wallet"/>
    <s v="Small Business"/>
    <s v="North"/>
    <s v="Home &amp; Kitchen"/>
    <x v="53"/>
    <n v="1"/>
    <s v="Coffee Maker"/>
    <n v="241.56"/>
    <n v="136.80000000000001"/>
    <n v="104.75999999999999"/>
    <n v="0.43368107302533526"/>
  </r>
  <r>
    <s v="BC-101712"/>
    <d v="2025-01-14T00:00:00"/>
    <s v="London"/>
    <s v="Individual"/>
    <s v="Office"/>
    <s v="Wireless Mouse"/>
    <n v="1"/>
    <n v="35.4"/>
    <n v="16.809999999999999"/>
    <n v="0.05"/>
    <n v="5"/>
    <n v="4"/>
    <s v="No"/>
    <s v="Online"/>
    <s v="Card"/>
    <s v="Individual"/>
    <s v="London"/>
    <s v="Office"/>
    <x v="54"/>
    <n v="1"/>
    <s v="Wireless Mouse"/>
    <n v="33.629999999999995"/>
    <n v="16.809999999999999"/>
    <n v="16.819999999999997"/>
    <n v="0.50014867677668751"/>
  </r>
  <r>
    <s v="BC-100128"/>
    <d v="2025-04-29T00:00:00"/>
    <s v="London"/>
    <s v="Individual"/>
    <s v="Home &amp; Kitchen"/>
    <s v="Electric Kettle"/>
    <n v="1"/>
    <n v="40.840000000000003"/>
    <n v="20.350000000000001"/>
    <n v="0"/>
    <n v="2"/>
    <n v="4"/>
    <s v="No"/>
    <s v="Online"/>
    <s v="Card"/>
    <s v="Individual"/>
    <s v="London"/>
    <s v="Home &amp; Kitchen"/>
    <x v="55"/>
    <n v="1"/>
    <s v="Electric Kettle"/>
    <n v="40.840000000000003"/>
    <n v="20.350000000000001"/>
    <n v="20.490000000000002"/>
    <n v="0.50171400587659154"/>
  </r>
  <r>
    <s v="BC-100467"/>
    <d v="2025-06-27T00:00:00"/>
    <s v="London"/>
    <s v="Small Business"/>
    <s v="Office"/>
    <s v="Ergonomic Keyboard"/>
    <n v="3"/>
    <n v="71.89"/>
    <n v="37.880000000000003"/>
    <n v="0"/>
    <n v="0"/>
    <n v="4"/>
    <s v="No"/>
    <s v="Store"/>
    <s v="Card"/>
    <s v="Small Business"/>
    <s v="London"/>
    <s v="Office"/>
    <x v="56"/>
    <n v="1"/>
    <s v="Ergonomic Keyboard"/>
    <n v="215.67000000000002"/>
    <n v="113.64000000000001"/>
    <n v="102.03"/>
    <n v="0.47308387814716923"/>
  </r>
  <r>
    <s v="BC-100027"/>
    <d v="2025-10-31T00:00:00"/>
    <s v="London"/>
    <s v="Small Business"/>
    <s v="Office"/>
    <s v="Laptop Stand"/>
    <n v="3"/>
    <n v="44.3"/>
    <n v="21.71"/>
    <n v="0.1"/>
    <n v="3"/>
    <n v="4"/>
    <s v="No"/>
    <s v="Store"/>
    <s v="Digital Wallet"/>
    <s v="Small Business"/>
    <s v="London"/>
    <s v="Office"/>
    <x v="46"/>
    <n v="1"/>
    <s v="Laptop Stand"/>
    <n v="119.60999999999999"/>
    <n v="65.13"/>
    <n v="54.47999999999999"/>
    <n v="0.45548031101078501"/>
  </r>
  <r>
    <s v="BC-101875"/>
    <d v="2025-06-29T00:00:00"/>
    <s v="South"/>
    <s v="Individual"/>
    <s v="Office"/>
    <s v="Laptop Stand"/>
    <n v="3"/>
    <n v="44.4"/>
    <n v="21.76"/>
    <n v="0.05"/>
    <n v="5"/>
    <n v="3"/>
    <s v="Yes"/>
    <s v="Online"/>
    <s v="Card"/>
    <s v="Individual"/>
    <s v="South"/>
    <s v="Office"/>
    <x v="57"/>
    <n v="1"/>
    <s v="Laptop Stand"/>
    <n v="126.53999999999998"/>
    <n v="65.28"/>
    <n v="61.259999999999977"/>
    <n v="0.48411569464201032"/>
  </r>
  <r>
    <s v="BC-100458"/>
    <d v="2025-12-05T00:00:00"/>
    <s v="London"/>
    <s v="Individual"/>
    <s v="Home &amp; Kitchen"/>
    <s v="Coffee Maker"/>
    <n v="2"/>
    <n v="79.64"/>
    <n v="43.91"/>
    <n v="0.15000000000000002"/>
    <n v="0"/>
    <n v="4"/>
    <s v="No"/>
    <s v="Store"/>
    <s v="Bank Transfer"/>
    <s v="Individual"/>
    <s v="London"/>
    <s v="Home &amp; Kitchen"/>
    <x v="21"/>
    <n v="1"/>
    <s v="Coffee Maker"/>
    <n v="135.38800000000001"/>
    <n v="87.82"/>
    <n v="47.568000000000012"/>
    <n v="0.35134576181050026"/>
  </r>
  <r>
    <s v="BC-101222"/>
    <d v="2025-10-19T00:00:00"/>
    <s v="North"/>
    <s v="Individual"/>
    <s v="Home &amp; Kitchen"/>
    <s v="Coffee Maker"/>
    <n v="1"/>
    <n v="82.22"/>
    <n v="47.06"/>
    <n v="0"/>
    <n v="2"/>
    <n v="5"/>
    <s v="No"/>
    <s v="Online"/>
    <s v="Card"/>
    <s v="Individual"/>
    <s v="North"/>
    <s v="Home &amp; Kitchen"/>
    <x v="58"/>
    <n v="1"/>
    <s v="Coffee Maker"/>
    <n v="82.22"/>
    <n v="47.06"/>
    <n v="35.159999999999997"/>
    <n v="0.42763317927511552"/>
  </r>
  <r>
    <s v="BC-101390"/>
    <d v="2025-04-01T00:00:00"/>
    <s v="Midlands"/>
    <s v="Corporate"/>
    <s v="Home &amp; Kitchen"/>
    <s v="Air Fryer"/>
    <n v="5"/>
    <n v="107.66"/>
    <n v="66.3"/>
    <n v="0.15000000000000002"/>
    <n v="2"/>
    <n v="4"/>
    <s v="No"/>
    <s v="Online"/>
    <s v="Card"/>
    <s v="Corporate"/>
    <s v="Midlands"/>
    <s v="Home &amp; Kitchen"/>
    <x v="59"/>
    <n v="1"/>
    <s v="Air Fryer"/>
    <n v="457.55499999999995"/>
    <n v="331.5"/>
    <n v="126.05499999999995"/>
    <n v="0.27549693479472404"/>
  </r>
  <r>
    <s v="BC-101687"/>
    <d v="2025-09-17T00:00:00"/>
    <s v="Midlands"/>
    <s v="Individual"/>
    <s v="Electronics"/>
    <s v="Portable Speaker"/>
    <n v="1"/>
    <n v="77.66"/>
    <n v="42.12"/>
    <n v="0"/>
    <n v="2"/>
    <n v="4"/>
    <s v="No"/>
    <s v="Online"/>
    <s v="Bank Transfer"/>
    <s v="Individual"/>
    <s v="Midlands"/>
    <s v="Electronics"/>
    <x v="31"/>
    <n v="1"/>
    <s v="Portable Speaker"/>
    <n v="77.66"/>
    <n v="42.12"/>
    <n v="35.54"/>
    <n v="0.45763584857069278"/>
  </r>
  <r>
    <s v="BC-101670"/>
    <d v="2025-10-31T00:00:00"/>
    <s v="North"/>
    <m/>
    <s v="Electronics"/>
    <s v="Portable Speaker"/>
    <n v="2"/>
    <n v="74.400000000000006"/>
    <n v="43.06"/>
    <n v="0"/>
    <n v="6"/>
    <n v="3"/>
    <s v="Yes"/>
    <s v="Online"/>
    <s v="Card"/>
    <s v="Unknow"/>
    <s v="North"/>
    <s v="Electronics"/>
    <x v="46"/>
    <n v="1"/>
    <s v="Portable Speaker"/>
    <n v="148.80000000000001"/>
    <n v="86.12"/>
    <n v="62.680000000000007"/>
    <n v="0.42123655913978497"/>
  </r>
  <r>
    <s v="BC-101132"/>
    <d v="2025-03-26T00:00:00"/>
    <s v="London"/>
    <s v="Individual"/>
    <s v="Office"/>
    <s v="Wireless Mouse"/>
    <n v="2"/>
    <n v="36.130000000000003"/>
    <n v="17.670000000000002"/>
    <n v="0.05"/>
    <n v="1"/>
    <n v="4"/>
    <s v="No"/>
    <s v="Phone"/>
    <s v="Card"/>
    <s v="Individual"/>
    <s v="London"/>
    <s v="Office"/>
    <x v="60"/>
    <n v="1"/>
    <s v="Wireless Mouse"/>
    <n v="68.647000000000006"/>
    <n v="35.340000000000003"/>
    <n v="33.307000000000002"/>
    <n v="0.48519236091890394"/>
  </r>
  <r>
    <s v="BC-100728"/>
    <d v="2025-11-12T00:00:00"/>
    <s v="South"/>
    <s v="Individual"/>
    <s v="Electronics"/>
    <s v="SmartHome Hub"/>
    <n v="1"/>
    <n v="129.38"/>
    <n v="84.88"/>
    <n v="0.15000000000000002"/>
    <n v="3"/>
    <n v="4"/>
    <s v="No"/>
    <s v="Online"/>
    <s v="Digital Wallet"/>
    <s v="Individual"/>
    <s v="South"/>
    <s v="Electronics"/>
    <x v="61"/>
    <n v="1"/>
    <s v="SmartHome Hub"/>
    <n v="109.973"/>
    <n v="84.88"/>
    <n v="25.093000000000004"/>
    <n v="0.22817418820983335"/>
  </r>
  <r>
    <s v="BC-101671"/>
    <d v="2025-11-29T00:00:00"/>
    <s v="South"/>
    <s v="Individual"/>
    <s v="Office"/>
    <s v="Laptop Stand"/>
    <n v="2"/>
    <n v="45.92"/>
    <n v="20.85"/>
    <n v="0.05"/>
    <n v="2"/>
    <n v="4"/>
    <s v="No"/>
    <s v="Online"/>
    <s v="Card"/>
    <s v="Individual"/>
    <s v="South"/>
    <s v="Office"/>
    <x v="8"/>
    <n v="1"/>
    <s v="Laptop Stand"/>
    <n v="87.248000000000005"/>
    <n v="41.7"/>
    <n v="45.548000000000002"/>
    <n v="0.52205208142306991"/>
  </r>
  <r>
    <s v="BC-100775"/>
    <d v="2025-09-27T00:00:00"/>
    <s v="South"/>
    <s v="Individual"/>
    <s v="Home &amp; Kitchen"/>
    <s v="Coffee Maker"/>
    <n v="3"/>
    <n v="81.03"/>
    <n v="46.11"/>
    <n v="0.15000000000000002"/>
    <n v="1"/>
    <n v="4"/>
    <s v="No"/>
    <s v="Online"/>
    <s v="Card"/>
    <s v="Individual"/>
    <s v="South"/>
    <s v="Home &amp; Kitchen"/>
    <x v="16"/>
    <n v="1"/>
    <s v="Coffee Maker"/>
    <n v="206.62649999999999"/>
    <n v="138.32999999999998"/>
    <n v="68.296500000000009"/>
    <n v="0.33053117581723551"/>
  </r>
  <r>
    <s v="BC-100858"/>
    <d v="2025-07-07T00:00:00"/>
    <s v="London"/>
    <s v="Individual"/>
    <s v="Electronics"/>
    <s v="Portable Speaker"/>
    <n v="1"/>
    <n v="74.97"/>
    <n v="41.79"/>
    <n v="0"/>
    <n v="2"/>
    <n v="4"/>
    <s v="No"/>
    <s v="Store"/>
    <s v="Card"/>
    <s v="Individual"/>
    <s v="London"/>
    <s v="Electronics"/>
    <x v="62"/>
    <n v="1"/>
    <s v="Portable Speaker"/>
    <n v="74.97"/>
    <n v="41.79"/>
    <n v="33.18"/>
    <n v="0.44257703081232491"/>
  </r>
  <r>
    <s v="BC-101052"/>
    <d v="2025-08-22T00:00:00"/>
    <s v="London"/>
    <s v="Individual"/>
    <s v="Electronics"/>
    <s v="SmartHome Hub"/>
    <n v="1"/>
    <n v="127.56"/>
    <n v="81.59"/>
    <n v="0"/>
    <n v="2"/>
    <n v="4"/>
    <s v="No"/>
    <s v="Store"/>
    <s v="Card"/>
    <s v="Individual"/>
    <s v="London"/>
    <s v="Electronics"/>
    <x v="63"/>
    <n v="1"/>
    <s v="SmartHome Hub"/>
    <n v="127.56"/>
    <n v="81.59"/>
    <n v="45.97"/>
    <n v="0.36037942928817812"/>
  </r>
  <r>
    <s v="BC-101806"/>
    <d v="2025-06-02T00:00:00"/>
    <s v="South"/>
    <s v="Individual"/>
    <s v="Electronics"/>
    <s v="Webcam"/>
    <n v="1"/>
    <n v="49.86"/>
    <n v="25.99"/>
    <n v="0"/>
    <n v="0"/>
    <n v="4"/>
    <s v="No"/>
    <s v="Store"/>
    <s v="Card"/>
    <s v="Individual"/>
    <s v="South"/>
    <s v="Electronics"/>
    <x v="64"/>
    <n v="1"/>
    <s v="Webcam"/>
    <n v="49.86"/>
    <n v="25.99"/>
    <n v="23.87"/>
    <n v="0.47874047332531089"/>
  </r>
  <r>
    <s v="BC-100448"/>
    <d v="2025-11-01T00:00:00"/>
    <s v="Midlands"/>
    <s v="Individual"/>
    <s v="Office"/>
    <s v="Desk Lamp"/>
    <n v="1"/>
    <n v="39.78"/>
    <n v="19.239999999999998"/>
    <n v="0.1"/>
    <n v="3"/>
    <n v="4"/>
    <s v="No"/>
    <s v="Online"/>
    <s v="Digital Wallet"/>
    <s v="Individual"/>
    <s v="Midlands"/>
    <s v="Office"/>
    <x v="65"/>
    <n v="1"/>
    <s v="Desk Lamp"/>
    <n v="35.802"/>
    <n v="19.239999999999998"/>
    <n v="16.562000000000001"/>
    <n v="0.46259985475671755"/>
  </r>
  <r>
    <s v="BC-101487"/>
    <d v="2025-01-31T00:00:00"/>
    <s v="South"/>
    <s v="Individual"/>
    <s v="Home &amp; Kitchen"/>
    <s v="Electric Kettle"/>
    <n v="1"/>
    <n v="40.65"/>
    <n v="20.059999999999999"/>
    <n v="0.05"/>
    <n v="0"/>
    <n v="4"/>
    <s v="No"/>
    <s v="Store"/>
    <s v="Card"/>
    <s v="Individual"/>
    <s v="South"/>
    <s v="Home &amp; Kitchen"/>
    <x v="66"/>
    <n v="1"/>
    <s v="Electric Kettle"/>
    <n v="38.6175"/>
    <n v="20.059999999999999"/>
    <n v="18.557500000000001"/>
    <n v="0.48054638441121256"/>
  </r>
  <r>
    <s v="BC-101536"/>
    <d v="2025-11-09T00:00:00"/>
    <s v="North"/>
    <s v="Individual"/>
    <s v="Furniture"/>
    <s v="Office Chair"/>
    <n v="2"/>
    <n v="184.5"/>
    <n v="115.04"/>
    <n v="0.1"/>
    <n v="0"/>
    <n v="5"/>
    <s v="No"/>
    <s v="Store"/>
    <s v="Card"/>
    <s v="Individual"/>
    <s v="North"/>
    <s v="Furniture"/>
    <x v="67"/>
    <n v="1"/>
    <s v="Office Chair"/>
    <n v="332.1"/>
    <n v="230.08"/>
    <n v="102.02000000000001"/>
    <n v="0.3071966275218308"/>
  </r>
  <r>
    <s v="BC-101441"/>
    <d v="2025-12-28T00:00:00"/>
    <s v="Midlands"/>
    <s v="Small Business"/>
    <s v="Home &amp; Kitchen"/>
    <s v="Blender"/>
    <n v="1"/>
    <n v="67.16"/>
    <n v="34.18"/>
    <n v="0.1"/>
    <n v="5"/>
    <n v="5"/>
    <s v="No"/>
    <s v="Online"/>
    <s v="Card"/>
    <s v="Small Business"/>
    <s v="Midlands"/>
    <s v="Home &amp; Kitchen"/>
    <x v="6"/>
    <n v="1"/>
    <s v="Blender"/>
    <n v="60.443999999999996"/>
    <n v="34.18"/>
    <n v="26.263999999999996"/>
    <n v="0.43451790086691811"/>
  </r>
  <r>
    <s v="BC-101283"/>
    <d v="2025-09-19T00:00:00"/>
    <s v="London"/>
    <s v="Individual"/>
    <s v="Home &amp; Kitchen"/>
    <s v="Air Fryer"/>
    <n v="3"/>
    <n v="108.54"/>
    <n v="66.150000000000006"/>
    <n v="0.05"/>
    <n v="1"/>
    <n v="5"/>
    <s v="No"/>
    <s v="Store"/>
    <s v="Bank Transfer"/>
    <s v="Individual"/>
    <s v="London"/>
    <s v="Home &amp; Kitchen"/>
    <x v="68"/>
    <n v="1"/>
    <s v="Air Fryer"/>
    <n v="309.339"/>
    <n v="198.45000000000002"/>
    <n v="110.88899999999998"/>
    <n v="0.35847080387536001"/>
  </r>
  <r>
    <s v="BC-100071"/>
    <d v="2025-11-28T00:00:00"/>
    <s v="North"/>
    <s v="Individual"/>
    <s v="Electronics"/>
    <s v="Webcam"/>
    <n v="1"/>
    <n v="50.71"/>
    <n v="26.03"/>
    <n v="0.15000000000000002"/>
    <n v="6"/>
    <n v="4"/>
    <s v="No"/>
    <s v="Online"/>
    <s v="Bank Transfer"/>
    <s v="Individual"/>
    <s v="North"/>
    <s v="Electronics"/>
    <x v="43"/>
    <n v="1"/>
    <s v="Webcam"/>
    <n v="43.103499999999997"/>
    <n v="26.03"/>
    <n v="17.073499999999996"/>
    <n v="0.39610472467433033"/>
  </r>
  <r>
    <s v="BC-101766"/>
    <d v="2025-12-16T00:00:00"/>
    <s v="Midlands"/>
    <s v="Small Business"/>
    <s v="Furniture"/>
    <s v="Side Table"/>
    <n v="3"/>
    <n v="88.84"/>
    <n v="54.61"/>
    <n v="0.15000000000000002"/>
    <n v="4"/>
    <n v="4"/>
    <s v="No"/>
    <s v="Online"/>
    <s v="Card"/>
    <s v="Small Business"/>
    <s v="Midlands"/>
    <s v="Furniture"/>
    <x v="69"/>
    <n v="1"/>
    <s v="Side Table"/>
    <n v="226.54199999999997"/>
    <n v="163.82999999999998"/>
    <n v="62.711999999999989"/>
    <n v="0.27682284079773284"/>
  </r>
  <r>
    <s v="BC-101026"/>
    <d v="2025-06-13T00:00:00"/>
    <s v="North"/>
    <s v="Individual"/>
    <s v="Furniture"/>
    <s v="Bookshelf"/>
    <n v="1"/>
    <n v="119.15"/>
    <n v="73.19"/>
    <n v="0.05"/>
    <n v="5"/>
    <n v="5"/>
    <s v="No"/>
    <s v="Online"/>
    <s v="Card"/>
    <s v="Individual"/>
    <s v="North"/>
    <s v="Furniture"/>
    <x v="70"/>
    <n v="1"/>
    <s v="Bookshelf"/>
    <n v="113.1925"/>
    <n v="73.19"/>
    <n v="40.002499999999998"/>
    <n v="0.35340238973430216"/>
  </r>
  <r>
    <s v="BC-100201"/>
    <d v="2025-03-26T00:00:00"/>
    <s v="North"/>
    <s v="Individual"/>
    <s v="Electronics"/>
    <s v="Webcam"/>
    <n v="2"/>
    <n v="51.19"/>
    <n v="26.99"/>
    <n v="0.05"/>
    <n v="0"/>
    <n v="5"/>
    <s v="No"/>
    <s v="Store"/>
    <s v="Card"/>
    <s v="Individual"/>
    <s v="North"/>
    <s v="Electronics"/>
    <x v="60"/>
    <n v="1"/>
    <s v="Webcam"/>
    <n v="97.260999999999996"/>
    <n v="53.98"/>
    <n v="43.280999999999999"/>
    <n v="0.44499850916605832"/>
  </r>
  <r>
    <s v="BC-100944"/>
    <d v="2025-09-10T00:00:00"/>
    <s v="South"/>
    <s v="Individual"/>
    <s v="Electronics"/>
    <s v="Portable Speaker"/>
    <n v="1"/>
    <n v="75.25"/>
    <n v="43.81"/>
    <n v="0.05"/>
    <n v="4"/>
    <n v="4"/>
    <s v="No"/>
    <s v="Online"/>
    <s v="Card"/>
    <s v="Individual"/>
    <s v="South"/>
    <s v="Electronics"/>
    <x v="71"/>
    <n v="1"/>
    <s v="Portable Speaker"/>
    <n v="71.487499999999997"/>
    <n v="43.81"/>
    <n v="27.677499999999995"/>
    <n v="0.38716558838957854"/>
  </r>
  <r>
    <s v="BC-100282"/>
    <d v="2025-04-18T00:00:00"/>
    <s v="North"/>
    <s v="Individual"/>
    <s v="Furniture"/>
    <s v="Office Chair"/>
    <n v="2"/>
    <n v="186.06"/>
    <n v="116.74"/>
    <n v="0"/>
    <n v="6"/>
    <n v="4"/>
    <s v="No"/>
    <s v="Online"/>
    <s v="Bank Transfer"/>
    <s v="Individual"/>
    <s v="North"/>
    <s v="Furniture"/>
    <x v="72"/>
    <n v="1"/>
    <s v="Office Chair"/>
    <n v="372.12"/>
    <n v="233.48"/>
    <n v="138.64000000000001"/>
    <n v="0.37256798882081055"/>
  </r>
  <r>
    <s v="BC-100857"/>
    <d v="2025-11-30T00:00:00"/>
    <s v="Midlands"/>
    <s v="Individual"/>
    <s v="Furniture"/>
    <s v="Office Chair"/>
    <n v="1"/>
    <n v="186"/>
    <n v="113.47"/>
    <n v="0.05"/>
    <n v="2"/>
    <n v="4"/>
    <s v="No"/>
    <s v="Store"/>
    <s v="Card"/>
    <s v="Individual"/>
    <s v="Midlands"/>
    <s v="Furniture"/>
    <x v="73"/>
    <n v="1"/>
    <s v="Office Chair"/>
    <n v="176.7"/>
    <n v="113.47"/>
    <n v="63.22999999999999"/>
    <n v="0.35783814374646289"/>
  </r>
  <r>
    <s v="BC-100725"/>
    <d v="2025-08-08T00:00:00"/>
    <s v="North"/>
    <s v="Small Business"/>
    <s v="Electronics"/>
    <s v="Wireless Headset"/>
    <n v="4"/>
    <n v="62.28"/>
    <n v="35.44"/>
    <n v="0"/>
    <n v="2"/>
    <n v="4"/>
    <s v="No"/>
    <s v="Online"/>
    <s v="Digital Wallet"/>
    <s v="Small Business"/>
    <s v="North"/>
    <s v="Electronics"/>
    <x v="74"/>
    <n v="1"/>
    <s v="Wireless Headset"/>
    <n v="249.12"/>
    <n v="141.76"/>
    <n v="107.36000000000001"/>
    <n v="0.43095696852922294"/>
  </r>
  <r>
    <s v="BC-101956"/>
    <d v="2025-12-04T00:00:00"/>
    <s v="London"/>
    <s v="Individual"/>
    <s v="Office"/>
    <s v="Desk Lamp"/>
    <n v="2"/>
    <n v="40"/>
    <n v="19.670000000000002"/>
    <n v="0"/>
    <n v="2"/>
    <n v="4"/>
    <s v="No"/>
    <s v="Online"/>
    <s v="Card"/>
    <s v="Individual"/>
    <s v="London"/>
    <s v="Office"/>
    <x v="75"/>
    <n v="1"/>
    <s v="Desk Lamp"/>
    <n v="80"/>
    <n v="39.340000000000003"/>
    <n v="40.659999999999997"/>
    <n v="0.50824999999999998"/>
  </r>
  <r>
    <s v="BC-100808"/>
    <d v="2025-09-20T00:00:00"/>
    <s v="Midlands"/>
    <s v="Corporate"/>
    <s v="Home &amp; Kitchen"/>
    <s v="Air Fryer"/>
    <n v="8"/>
    <n v="109.3"/>
    <n v="66.63"/>
    <n v="0.05"/>
    <n v="0"/>
    <n v="5"/>
    <s v="No"/>
    <s v="Store"/>
    <s v="Card"/>
    <s v="Corporate"/>
    <s v="Midlands"/>
    <s v="Home &amp; Kitchen"/>
    <x v="76"/>
    <n v="1"/>
    <s v="Air Fryer"/>
    <n v="830.68"/>
    <n v="533.04"/>
    <n v="297.64"/>
    <n v="0.35830885539557955"/>
  </r>
  <r>
    <s v="BC-100459"/>
    <d v="2025-08-24T00:00:00"/>
    <s v="London"/>
    <s v="Individual"/>
    <s v="Home &amp; Kitchen"/>
    <s v="Blender"/>
    <n v="1"/>
    <n v="66.48"/>
    <n v="35.520000000000003"/>
    <n v="0.05"/>
    <n v="4"/>
    <n v="5"/>
    <s v="No"/>
    <s v="Online"/>
    <s v="Bank Transfer"/>
    <s v="Individual"/>
    <s v="London"/>
    <s v="Home &amp; Kitchen"/>
    <x v="77"/>
    <n v="1"/>
    <s v="Blender"/>
    <n v="63.155999999999999"/>
    <n v="35.520000000000003"/>
    <n v="27.635999999999996"/>
    <n v="0.43758312749382478"/>
  </r>
  <r>
    <s v="BC-101425"/>
    <d v="2025-08-02T00:00:00"/>
    <s v="London"/>
    <s v="Individual"/>
    <s v="Office"/>
    <s v="Ergonomic Keyboard"/>
    <n v="1"/>
    <n v="70.790000000000006"/>
    <n v="38.96"/>
    <n v="0.05"/>
    <n v="2"/>
    <n v="5"/>
    <s v="No"/>
    <s v="Online"/>
    <s v="Card"/>
    <s v="Individual"/>
    <s v="London"/>
    <s v="Office"/>
    <x v="78"/>
    <n v="1"/>
    <s v="Ergonomic Keyboard"/>
    <n v="67.250500000000002"/>
    <n v="38.96"/>
    <n v="28.290500000000002"/>
    <n v="0.42067345224199076"/>
  </r>
  <r>
    <s v="BC-101060"/>
    <d v="2025-01-16T00:00:00"/>
    <s v="London"/>
    <s v="Individual"/>
    <s v="Furniture"/>
    <s v="Office Chair"/>
    <n v="1"/>
    <n v="176.16"/>
    <n v="114.52"/>
    <n v="0.05"/>
    <n v="0"/>
    <n v="4"/>
    <s v="No"/>
    <s v="Store"/>
    <s v="Card"/>
    <s v="Individual"/>
    <s v="London"/>
    <s v="Furniture"/>
    <x v="79"/>
    <n v="1"/>
    <s v="Office Chair"/>
    <n v="167.35199999999998"/>
    <n v="114.52"/>
    <n v="52.831999999999979"/>
    <n v="0.31569386681963757"/>
  </r>
  <r>
    <s v="BC-101374"/>
    <d v="2025-11-14T00:00:00"/>
    <s v="Midlands"/>
    <s v="Individual"/>
    <s v="Furniture"/>
    <s v="Bookshelf"/>
    <n v="2"/>
    <n v="122.29"/>
    <n v="74.14"/>
    <n v="0.1"/>
    <n v="2"/>
    <n v="4"/>
    <s v="No"/>
    <s v="Online"/>
    <s v="Card"/>
    <s v="Individual"/>
    <s v="Midlands"/>
    <s v="Furniture"/>
    <x v="80"/>
    <n v="1"/>
    <s v="Bookshelf"/>
    <n v="220.12200000000001"/>
    <n v="148.28"/>
    <n v="71.842000000000013"/>
    <n v="0.32637355648231436"/>
  </r>
  <r>
    <s v="BC-100277"/>
    <d v="2025-12-31T00:00:00"/>
    <s v="South"/>
    <s v="Individual"/>
    <s v="Home &amp; Kitchen"/>
    <s v="Electric Kettle"/>
    <n v="1"/>
    <n v="40.71"/>
    <n v="19.670000000000002"/>
    <n v="0.2"/>
    <n v="5"/>
    <n v="4"/>
    <s v="No"/>
    <s v="Online"/>
    <s v="Digital Wallet"/>
    <s v="Individual"/>
    <s v="South"/>
    <s v="Home &amp; Kitchen"/>
    <x v="81"/>
    <n v="1"/>
    <s v="Electric Kettle"/>
    <n v="32.568000000000005"/>
    <n v="19.670000000000002"/>
    <n v="12.898000000000003"/>
    <n v="0.39603291574551713"/>
  </r>
  <r>
    <s v="BC-101619"/>
    <d v="2025-10-07T00:00:00"/>
    <s v="London"/>
    <s v="Small Business"/>
    <s v="Home &amp; Kitchen"/>
    <s v="Air Fryer"/>
    <n v="4"/>
    <n v="111.9"/>
    <n v="67.16"/>
    <n v="0.05"/>
    <n v="3"/>
    <n v="4"/>
    <s v="No"/>
    <s v="Online"/>
    <s v="Bank Transfer"/>
    <s v="Small Business"/>
    <s v="London"/>
    <s v="Home &amp; Kitchen"/>
    <x v="23"/>
    <n v="1"/>
    <s v="Air Fryer"/>
    <n v="425.22"/>
    <n v="268.64"/>
    <n v="156.58000000000004"/>
    <n v="0.36823291472649461"/>
  </r>
  <r>
    <s v="BC-100891"/>
    <d v="2025-11-01T00:00:00"/>
    <s v="Midlands"/>
    <s v="Individual"/>
    <s v="Home &amp; Kitchen"/>
    <s v="Air Fryer"/>
    <n v="2"/>
    <n v="109.86"/>
    <n v="65.959999999999994"/>
    <n v="0.05"/>
    <n v="2"/>
    <n v="4"/>
    <s v="No"/>
    <s v="Store"/>
    <s v="Card"/>
    <s v="Individual"/>
    <s v="Midlands"/>
    <s v="Home &amp; Kitchen"/>
    <x v="65"/>
    <n v="1"/>
    <s v="Air Fryer"/>
    <n v="208.73399999999998"/>
    <n v="131.91999999999999"/>
    <n v="76.813999999999993"/>
    <n v="0.36799946343192774"/>
  </r>
  <r>
    <s v="BC-101886"/>
    <d v="2025-08-24T00:00:00"/>
    <s v="London"/>
    <s v="Small Business"/>
    <s v="Furniture"/>
    <s v="Office Chair"/>
    <n v="1"/>
    <n v="181.26"/>
    <n v="113.39"/>
    <n v="0.05"/>
    <n v="2"/>
    <n v="4"/>
    <s v="No"/>
    <s v="Store"/>
    <s v="Digital Wallet"/>
    <s v="Small Business"/>
    <s v="London"/>
    <s v="Furniture"/>
    <x v="77"/>
    <n v="1"/>
    <s v="Office Chair"/>
    <n v="172.19699999999997"/>
    <n v="113.39"/>
    <n v="58.806999999999974"/>
    <n v="0.34151001469247422"/>
  </r>
  <r>
    <s v="BC-101571"/>
    <d v="2025-11-22T00:00:00"/>
    <s v="Midlands"/>
    <s v="Individual"/>
    <s v="Furniture"/>
    <s v="Storage Cabinet"/>
    <n v="2"/>
    <n v="159.29"/>
    <n v="105.67"/>
    <n v="0"/>
    <n v="3"/>
    <n v="5"/>
    <s v="No"/>
    <s v="Online"/>
    <s v="Digital Wallet"/>
    <s v="Individual"/>
    <s v="Midlands"/>
    <s v="Furniture"/>
    <x v="82"/>
    <n v="1"/>
    <s v="Storage Cabinet"/>
    <n v="318.58"/>
    <n v="211.34"/>
    <n v="107.23999999999998"/>
    <n v="0.3366187456839726"/>
  </r>
  <r>
    <s v="BC-100863"/>
    <d v="2025-09-07T00:00:00"/>
    <s v="London"/>
    <s v="Small Business"/>
    <s v="Electronics"/>
    <s v="SmartHome Hub"/>
    <n v="1"/>
    <n v="134.57"/>
    <n v="83.51"/>
    <n v="0"/>
    <n v="4"/>
    <n v="4"/>
    <s v="No"/>
    <s v="Store"/>
    <s v="Card"/>
    <s v="Small Business"/>
    <s v="London"/>
    <s v="Electronics"/>
    <x v="83"/>
    <n v="1"/>
    <s v="SmartHome Hub"/>
    <n v="134.57"/>
    <n v="83.51"/>
    <n v="51.059999999999988"/>
    <n v="0.37943077951995235"/>
  </r>
  <r>
    <s v="BC-100950"/>
    <d v="2025-04-23T00:00:00"/>
    <s v="London"/>
    <s v="Small Business"/>
    <s v="Electronics"/>
    <s v="Webcam"/>
    <n v="1"/>
    <n v="51.27"/>
    <n v="26.5"/>
    <n v="0.05"/>
    <n v="1"/>
    <n v="4"/>
    <s v="Yes"/>
    <s v="Online"/>
    <s v="Bank Transfer"/>
    <s v="Small Business"/>
    <s v="London"/>
    <s v="Electronics"/>
    <x v="84"/>
    <n v="1"/>
    <s v="Webcam"/>
    <n v="48.706499999999998"/>
    <n v="26.5"/>
    <n v="22.206499999999998"/>
    <n v="0.45592477390081404"/>
  </r>
  <r>
    <s v="BC-101768"/>
    <d v="2025-08-09T00:00:00"/>
    <s v="Midlands"/>
    <s v="Individual"/>
    <s v="Office"/>
    <s v="Laptop Stand"/>
    <n v="3"/>
    <n v="45.46"/>
    <n v="20.51"/>
    <n v="0.1"/>
    <n v="6"/>
    <n v="4"/>
    <s v="No"/>
    <s v="Online"/>
    <s v="Card"/>
    <s v="Individual"/>
    <s v="Midlands"/>
    <s v="Office"/>
    <x v="85"/>
    <n v="1"/>
    <s v="Laptop Stand"/>
    <n v="122.742"/>
    <n v="61.53"/>
    <n v="61.212000000000003"/>
    <n v="0.49870459989245736"/>
  </r>
  <r>
    <s v="BC-101085"/>
    <d v="2025-04-21T00:00:00"/>
    <s v="Midlands"/>
    <s v="Individual"/>
    <s v="Office"/>
    <s v="Laptop Stand"/>
    <n v="1"/>
    <n v="44.43"/>
    <n v="20.87"/>
    <n v="0"/>
    <n v="2"/>
    <n v="4"/>
    <s v="No"/>
    <s v="Online"/>
    <s v="Card"/>
    <s v="Individual"/>
    <s v="Midlands"/>
    <s v="Office"/>
    <x v="29"/>
    <n v="1"/>
    <s v="Laptop Stand"/>
    <n v="44.43"/>
    <n v="20.87"/>
    <n v="23.56"/>
    <n v="0.53027233851001576"/>
  </r>
  <r>
    <s v="BC-100225"/>
    <d v="2025-05-29T00:00:00"/>
    <s v="Midlands"/>
    <s v="Individual"/>
    <s v="Furniture"/>
    <s v="Storage Cabinet"/>
    <n v="2"/>
    <n v="158.58000000000001"/>
    <n v="100.93"/>
    <n v="0.05"/>
    <n v="5"/>
    <n v="5"/>
    <s v="No"/>
    <s v="Online"/>
    <s v="Card"/>
    <s v="Individual"/>
    <s v="Midlands"/>
    <s v="Furniture"/>
    <x v="86"/>
    <n v="1"/>
    <s v="Storage Cabinet"/>
    <n v="301.30200000000002"/>
    <n v="201.86"/>
    <n v="99.442000000000007"/>
    <n v="0.3300409555860897"/>
  </r>
  <r>
    <s v="BC-101770"/>
    <d v="2025-04-05T00:00:00"/>
    <s v="North"/>
    <s v="Individual"/>
    <s v="Home &amp; Kitchen"/>
    <s v="Air Fryer"/>
    <n v="1"/>
    <n v="111.34"/>
    <n v="65.14"/>
    <n v="0.1"/>
    <n v="0"/>
    <n v="4"/>
    <s v="No"/>
    <s v="Store"/>
    <s v="Card"/>
    <s v="Individual"/>
    <s v="North"/>
    <s v="Home &amp; Kitchen"/>
    <x v="87"/>
    <n v="1"/>
    <s v="Air Fryer"/>
    <n v="100.206"/>
    <n v="65.14"/>
    <n v="35.066000000000003"/>
    <n v="0.34993912540167255"/>
  </r>
  <r>
    <s v="BC-101196"/>
    <d v="2025-02-21T00:00:00"/>
    <s v="London"/>
    <s v="Individual"/>
    <s v="Electronics"/>
    <s v="Wireless Headset"/>
    <n v="2"/>
    <n v="58.95"/>
    <n v="33.090000000000003"/>
    <n v="0.05"/>
    <n v="3"/>
    <n v="4"/>
    <s v="No"/>
    <s v="Phone"/>
    <s v="Card"/>
    <s v="Individual"/>
    <s v="London"/>
    <s v="Electronics"/>
    <x v="88"/>
    <n v="1"/>
    <s v="Wireless Headset"/>
    <n v="112.005"/>
    <n v="66.180000000000007"/>
    <n v="45.824999999999989"/>
    <n v="0.40913352082496307"/>
  </r>
  <r>
    <s v="BC-101963"/>
    <d v="2025-05-01T00:00:00"/>
    <s v="London"/>
    <s v="Individual"/>
    <s v="Electronics"/>
    <s v="Wireless Headset"/>
    <n v="2"/>
    <n v="58.7"/>
    <n v="33.57"/>
    <n v="0"/>
    <n v="3"/>
    <n v="4"/>
    <s v="No"/>
    <s v="Online"/>
    <s v="Card"/>
    <s v="Individual"/>
    <s v="London"/>
    <s v="Electronics"/>
    <x v="89"/>
    <n v="1"/>
    <s v="Wireless Headset"/>
    <n v="117.4"/>
    <n v="67.14"/>
    <n v="50.260000000000005"/>
    <n v="0.42810902896081776"/>
  </r>
  <r>
    <s v="BC-100227"/>
    <d v="2025-02-07T00:00:00"/>
    <s v="Midlands"/>
    <s v="Individual"/>
    <s v="Electronics"/>
    <s v="Webcam"/>
    <n v="1"/>
    <n v="48.98"/>
    <n v="25.93"/>
    <n v="0"/>
    <n v="2"/>
    <n v="4"/>
    <s v="No"/>
    <s v="Online"/>
    <s v="Card"/>
    <s v="Individual"/>
    <s v="Midlands"/>
    <s v="Electronics"/>
    <x v="90"/>
    <n v="1"/>
    <s v="Webcam"/>
    <n v="48.98"/>
    <n v="25.93"/>
    <n v="23.049999999999997"/>
    <n v="0.47060024499795833"/>
  </r>
  <r>
    <s v="BC-100658"/>
    <d v="2025-09-27T00:00:00"/>
    <s v="North"/>
    <s v="Corporate"/>
    <s v="Home &amp; Kitchen"/>
    <s v="Air Fryer"/>
    <n v="4"/>
    <n v="110.13"/>
    <n v="69.27"/>
    <n v="0.05"/>
    <n v="1"/>
    <n v="4"/>
    <s v="No"/>
    <s v="Phone"/>
    <s v="Card"/>
    <s v="Corporate"/>
    <s v="North"/>
    <s v="Home &amp; Kitchen"/>
    <x v="16"/>
    <n v="1"/>
    <s v="Air Fryer"/>
    <n v="418.49399999999997"/>
    <n v="277.08"/>
    <n v="141.41399999999999"/>
    <n v="0.33791165464737843"/>
  </r>
  <r>
    <s v="BC-100798"/>
    <d v="2025-07-22T00:00:00"/>
    <s v="South"/>
    <s v="Individual"/>
    <s v="Home &amp; Kitchen"/>
    <s v="Air Fryer"/>
    <n v="1"/>
    <n v="107.04"/>
    <n v="67.48"/>
    <n v="0.15000000000000002"/>
    <n v="3"/>
    <n v="4"/>
    <s v="No"/>
    <s v="Online"/>
    <s v="Bank Transfer"/>
    <s v="Individual"/>
    <s v="South"/>
    <s v="Home &amp; Kitchen"/>
    <x v="91"/>
    <n v="1"/>
    <s v="Air Fryer"/>
    <n v="90.984000000000009"/>
    <n v="67.48"/>
    <n v="23.504000000000005"/>
    <n v="0.25833113514464084"/>
  </r>
  <r>
    <s v="BC-100382"/>
    <d v="2025-11-30T00:00:00"/>
    <s v="South"/>
    <s v="Individual"/>
    <s v="Home &amp; Kitchen"/>
    <s v="Air Fryer"/>
    <n v="2"/>
    <n v="109.53"/>
    <n v="65.489999999999995"/>
    <n v="0.1"/>
    <n v="0"/>
    <n v="5"/>
    <s v="No"/>
    <s v="Store"/>
    <s v="Digital Wallet"/>
    <s v="Individual"/>
    <s v="South"/>
    <s v="Home &amp; Kitchen"/>
    <x v="73"/>
    <n v="1"/>
    <s v="Air Fryer"/>
    <n v="197.154"/>
    <n v="130.97999999999999"/>
    <n v="66.174000000000007"/>
    <n v="0.33564624608174326"/>
  </r>
  <r>
    <s v="BC-100564"/>
    <s v="09/03/2025"/>
    <s v="South"/>
    <s v="Individual"/>
    <s v="Electronics"/>
    <s v="Wireless Headset"/>
    <n v="3"/>
    <n v="61.15"/>
    <n v="35.17"/>
    <n v="0.05"/>
    <n v="3"/>
    <n v="4"/>
    <s v="No"/>
    <s v="Store"/>
    <s v="Card"/>
    <s v="Individual"/>
    <s v="South"/>
    <s v="Electronics"/>
    <x v="92"/>
    <n v="1"/>
    <s v="Wireless Headset"/>
    <n v="174.27749999999997"/>
    <n v="105.51"/>
    <n v="68.76749999999997"/>
    <n v="0.39458622025218393"/>
  </r>
  <r>
    <s v="BC-100041"/>
    <d v="2025-03-19T00:00:00"/>
    <s v="South"/>
    <s v="Individual"/>
    <s v="Home &amp; Kitchen"/>
    <s v="Coffee Maker"/>
    <n v="1"/>
    <n v="78.28"/>
    <n v="45.67"/>
    <n v="0.05"/>
    <n v="5"/>
    <n v="4"/>
    <s v="No"/>
    <s v="Online"/>
    <s v="Card"/>
    <s v="Individual"/>
    <s v="South"/>
    <s v="Home &amp; Kitchen"/>
    <x v="93"/>
    <n v="1"/>
    <s v="Coffee Maker"/>
    <n v="74.366"/>
    <n v="45.67"/>
    <n v="28.695999999999998"/>
    <n v="0.38587526557835566"/>
  </r>
  <r>
    <s v="BC-100339"/>
    <d v="2025-02-20T00:00:00"/>
    <s v="Midlands"/>
    <s v="Individual"/>
    <s v="Electronics"/>
    <s v="Webcam"/>
    <n v="1"/>
    <n v="49.7"/>
    <n v="26.46"/>
    <n v="0.05"/>
    <n v="1"/>
    <n v="5"/>
    <s v="No"/>
    <s v="Store"/>
    <s v="Card"/>
    <s v="Individual"/>
    <s v="Midlands"/>
    <s v="Electronics"/>
    <x v="94"/>
    <n v="1"/>
    <s v="Webcam"/>
    <n v="47.215000000000003"/>
    <n v="26.46"/>
    <n v="20.755000000000003"/>
    <n v="0.43958487768717569"/>
  </r>
  <r>
    <s v="BC-100200"/>
    <d v="2025-12-17T00:00:00"/>
    <s v="London"/>
    <s v="Individual"/>
    <s v="Electronics"/>
    <s v="Webcam"/>
    <n v="1"/>
    <n v="51.04"/>
    <n v="25.89"/>
    <n v="0.15000000000000002"/>
    <n v="6"/>
    <n v="4"/>
    <s v="No"/>
    <s v="Online"/>
    <s v="Card"/>
    <s v="Individual"/>
    <s v="London"/>
    <s v="Electronics"/>
    <x v="95"/>
    <n v="1"/>
    <s v="Webcam"/>
    <n v="43.384"/>
    <n v="25.89"/>
    <n v="17.494"/>
    <n v="0.40323621611654065"/>
  </r>
  <r>
    <s v="BC-101896"/>
    <d v="2025-10-19T00:00:00"/>
    <s v="London"/>
    <s v="Individual"/>
    <s v="Electronics"/>
    <s v="Webcam"/>
    <n v="3"/>
    <n v="48.96"/>
    <n v="25.72"/>
    <n v="0.05"/>
    <n v="7"/>
    <n v="4"/>
    <s v="No"/>
    <s v="Online"/>
    <s v="Card"/>
    <s v="Individual"/>
    <s v="London"/>
    <s v="Electronics"/>
    <x v="58"/>
    <n v="1"/>
    <s v="Webcam"/>
    <n v="139.536"/>
    <n v="77.16"/>
    <n v="62.376000000000005"/>
    <n v="0.44702442380460961"/>
  </r>
  <r>
    <s v="BC-100882"/>
    <d v="2025-03-10T00:00:00"/>
    <s v="South"/>
    <s v="Small Business"/>
    <s v="Home &amp; Kitchen"/>
    <s v="Air Fryer"/>
    <n v="4"/>
    <n v="114.14"/>
    <n v="68.510000000000005"/>
    <n v="0.05"/>
    <n v="6"/>
    <n v="3"/>
    <s v="No"/>
    <s v="Online"/>
    <s v="Card"/>
    <s v="Small Business"/>
    <s v="South"/>
    <s v="Home &amp; Kitchen"/>
    <x v="96"/>
    <n v="1"/>
    <s v="Air Fryer"/>
    <n v="433.73199999999997"/>
    <n v="274.04000000000002"/>
    <n v="159.69199999999995"/>
    <n v="0.36818127322862959"/>
  </r>
  <r>
    <s v="BC-100989"/>
    <d v="2025-01-05T00:00:00"/>
    <s v="North"/>
    <s v="Individual"/>
    <s v="Electronics"/>
    <s v="Webcam"/>
    <n v="1"/>
    <n v="50.19"/>
    <n v="26.82"/>
    <n v="0.05"/>
    <n v="3"/>
    <n v="4"/>
    <s v="No"/>
    <s v="Online"/>
    <s v="Card"/>
    <s v="Individual"/>
    <s v="North"/>
    <s v="Electronics"/>
    <x v="42"/>
    <n v="1"/>
    <s v="Webcam"/>
    <n v="47.680499999999995"/>
    <n v="26.82"/>
    <n v="20.860499999999995"/>
    <n v="0.43750589863780787"/>
  </r>
  <r>
    <s v="BC-101830"/>
    <d v="2025-10-29T00:00:00"/>
    <s v="Midlands"/>
    <s v="Corporate"/>
    <s v="Home &amp; Kitchen"/>
    <s v="Electric Kettle"/>
    <n v="6"/>
    <n v="39.32"/>
    <n v="19.579999999999998"/>
    <n v="0.05"/>
    <n v="4"/>
    <n v="4"/>
    <s v="No"/>
    <s v="Online"/>
    <s v="Card"/>
    <s v="Corporate"/>
    <s v="Midlands"/>
    <s v="Home &amp; Kitchen"/>
    <x v="97"/>
    <n v="1"/>
    <s v="Electric Kettle"/>
    <n v="224.124"/>
    <n v="117.47999999999999"/>
    <n v="106.64400000000001"/>
    <n v="0.47582588210097987"/>
  </r>
  <r>
    <s v="BC-101531"/>
    <d v="2025-06-07T00:00:00"/>
    <s v="Midlands"/>
    <s v="Individual"/>
    <s v="Electronics"/>
    <s v="SmartHome Hub"/>
    <n v="2"/>
    <n v="133.01"/>
    <n v="88.17"/>
    <n v="0.1"/>
    <n v="0"/>
    <n v="4"/>
    <s v="No"/>
    <s v="Store"/>
    <s v="Card"/>
    <s v="Individual"/>
    <s v="Midlands"/>
    <s v="Electronics"/>
    <x v="98"/>
    <n v="1"/>
    <s v="SmartHome Hub"/>
    <n v="239.41799999999998"/>
    <n v="176.34"/>
    <n v="63.077999999999975"/>
    <n v="0.26346389995739661"/>
  </r>
  <r>
    <s v="BC-100358"/>
    <d v="2025-12-19T00:00:00"/>
    <s v="North"/>
    <s v="Individual"/>
    <s v="Electronics"/>
    <s v="Wireless Headset"/>
    <n v="1"/>
    <n v="58.81"/>
    <n v="35.39"/>
    <n v="0"/>
    <n v="4"/>
    <n v="4"/>
    <s v="No"/>
    <s v="Phone"/>
    <s v="Card"/>
    <s v="Individual"/>
    <s v="North"/>
    <s v="Electronics"/>
    <x v="18"/>
    <n v="1"/>
    <s v="Wireless Headset"/>
    <n v="58.81"/>
    <n v="35.39"/>
    <n v="23.42"/>
    <n v="0.3982315932664513"/>
  </r>
  <r>
    <s v="BC-100226"/>
    <d v="2025-08-20T00:00:00"/>
    <s v="London"/>
    <s v="Corporate"/>
    <s v="Electronics"/>
    <s v="Webcam"/>
    <n v="3"/>
    <n v="49.6"/>
    <n v="26.52"/>
    <n v="0.1"/>
    <n v="3"/>
    <n v="4"/>
    <s v="No"/>
    <s v="Online"/>
    <s v="Card"/>
    <s v="Corporate"/>
    <s v="London"/>
    <s v="Electronics"/>
    <x v="99"/>
    <n v="1"/>
    <s v="Webcam"/>
    <n v="133.92000000000002"/>
    <n v="79.56"/>
    <n v="54.360000000000014"/>
    <n v="0.40591397849462368"/>
  </r>
  <r>
    <s v="BC-100186"/>
    <d v="2025-09-15T00:00:00"/>
    <s v="North"/>
    <s v="Individual"/>
    <s v="Office"/>
    <s v="Laptop Stand"/>
    <n v="2"/>
    <n v="43.65"/>
    <n v="21.71"/>
    <n v="0.1"/>
    <n v="2"/>
    <n v="4"/>
    <s v="No"/>
    <s v="Phone"/>
    <s v="Card"/>
    <s v="Individual"/>
    <s v="North"/>
    <s v="Office"/>
    <x v="100"/>
    <n v="1"/>
    <s v="Laptop Stand"/>
    <n v="78.569999999999993"/>
    <n v="43.42"/>
    <n v="35.149999999999991"/>
    <n v="0.44737177039582532"/>
  </r>
  <r>
    <s v="BC-100855"/>
    <d v="2025-09-19T00:00:00"/>
    <s v="London"/>
    <s v="Individual"/>
    <s v="Electronics"/>
    <s v="Portable Speaker"/>
    <n v="1"/>
    <n v="74.47"/>
    <n v="42.89"/>
    <n v="0"/>
    <n v="4"/>
    <n v="5"/>
    <s v="No"/>
    <s v="Online"/>
    <s v="Digital Wallet"/>
    <s v="Individual"/>
    <s v="London"/>
    <s v="Electronics"/>
    <x v="68"/>
    <n v="1"/>
    <s v="Portable Speaker"/>
    <n v="74.47"/>
    <n v="42.89"/>
    <n v="31.58"/>
    <n v="0.42406338122733983"/>
  </r>
  <r>
    <s v="BC-100908"/>
    <s v="25/02/2025"/>
    <s v="London"/>
    <s v="Individual"/>
    <s v="Furniture"/>
    <s v="Bookshelf"/>
    <n v="1"/>
    <n v="117.77"/>
    <n v="71.680000000000007"/>
    <n v="0"/>
    <n v="4"/>
    <n v="4"/>
    <s v="No"/>
    <s v="Online"/>
    <s v="Card"/>
    <s v="Individual"/>
    <s v="London"/>
    <s v="Furniture"/>
    <x v="24"/>
    <n v="1"/>
    <s v="Bookshelf"/>
    <n v="117.77"/>
    <n v="71.680000000000007"/>
    <n v="46.089999999999989"/>
    <n v="0.39135603294557181"/>
  </r>
  <r>
    <s v="BC-100122"/>
    <d v="2025-06-25T00:00:00"/>
    <s v="Midlands"/>
    <s v="Individual"/>
    <s v="Office"/>
    <s v="Wireless Mouse"/>
    <n v="4"/>
    <n v="34.18"/>
    <n v="16.72"/>
    <n v="0.1"/>
    <n v="4"/>
    <m/>
    <s v="No"/>
    <s v="Online"/>
    <s v="Card"/>
    <s v="Individual"/>
    <s v="Midlands"/>
    <s v="Office"/>
    <x v="20"/>
    <n v="1"/>
    <s v="Wireless Mouse"/>
    <n v="123.048"/>
    <n v="66.88"/>
    <n v="56.168000000000006"/>
    <n v="0.45647227098368121"/>
  </r>
  <r>
    <s v="BC-100559"/>
    <d v="2025-07-20T00:00:00"/>
    <s v="London"/>
    <s v="Individual"/>
    <s v="Furniture"/>
    <s v="Office Chair"/>
    <n v="1"/>
    <n v="176.68"/>
    <n v="117.03"/>
    <n v="0"/>
    <n v="6"/>
    <m/>
    <s v="No"/>
    <s v="Online"/>
    <s v="Card"/>
    <s v="Individual"/>
    <s v="London"/>
    <s v="Furniture"/>
    <x v="101"/>
    <n v="1"/>
    <s v="Office Chair"/>
    <n v="176.68"/>
    <n v="117.03"/>
    <n v="59.650000000000006"/>
    <n v="0.33761602897894499"/>
  </r>
  <r>
    <s v="BC-100988"/>
    <d v="2025-07-28T00:00:00"/>
    <s v="London"/>
    <s v="Small Business"/>
    <s v="Office"/>
    <s v="Laptop Stand"/>
    <n v="3"/>
    <n v="45.34"/>
    <n v="21.46"/>
    <n v="0"/>
    <n v="3"/>
    <n v="5"/>
    <s v="No"/>
    <s v="Online"/>
    <s v="Card"/>
    <s v="Small Business"/>
    <s v="London"/>
    <s v="Office"/>
    <x v="39"/>
    <n v="1"/>
    <s v="Laptop Stand"/>
    <n v="136.02000000000001"/>
    <n v="64.38"/>
    <n v="71.640000000000015"/>
    <n v="0.52668725187472443"/>
  </r>
  <r>
    <s v="BC-101719"/>
    <d v="2025-09-09T00:00:00"/>
    <s v="North"/>
    <s v="Individual"/>
    <s v="Furniture"/>
    <s v="Side Table"/>
    <n v="1"/>
    <n v="93.15"/>
    <n v="56.62"/>
    <n v="0"/>
    <n v="4"/>
    <n v="4"/>
    <s v="No"/>
    <s v="Store"/>
    <s v="Card"/>
    <s v="Individual"/>
    <s v="North"/>
    <s v="Furniture"/>
    <x v="102"/>
    <n v="1"/>
    <s v="Side Table"/>
    <n v="93.15"/>
    <n v="56.62"/>
    <n v="36.530000000000008"/>
    <n v="0.39216317767042413"/>
  </r>
  <r>
    <s v="BC-101794"/>
    <d v="2025-05-31T00:00:00"/>
    <s v="Midlands"/>
    <s v="Individual"/>
    <s v="Electronics"/>
    <s v="Webcam"/>
    <n v="2"/>
    <n v="48.66"/>
    <n v="26.65"/>
    <n v="0"/>
    <n v="6"/>
    <n v="4"/>
    <s v="No"/>
    <s v="Online"/>
    <s v="Digital Wallet"/>
    <s v="Individual"/>
    <s v="Midlands"/>
    <s v="Electronics"/>
    <x v="13"/>
    <n v="1"/>
    <s v="Webcam"/>
    <n v="97.32"/>
    <n v="53.3"/>
    <n v="44.019999999999996"/>
    <n v="0.45232223592272913"/>
  </r>
  <r>
    <s v="BC-101262"/>
    <d v="2025-03-13T00:00:00"/>
    <s v="Midlands"/>
    <s v="Individual"/>
    <s v="Furniture"/>
    <s v="Side Table"/>
    <n v="2"/>
    <n v="90.91"/>
    <n v="53.15"/>
    <n v="0.05"/>
    <n v="6"/>
    <n v="3"/>
    <s v="No"/>
    <s v="Store"/>
    <s v="Card"/>
    <s v="Individual"/>
    <s v="Midlands"/>
    <s v="Furniture"/>
    <x v="103"/>
    <n v="1"/>
    <s v="Side Table"/>
    <n v="172.72899999999998"/>
    <n v="106.3"/>
    <n v="66.428999999999988"/>
    <n v="0.38458510151740583"/>
  </r>
  <r>
    <s v="BC-101787"/>
    <d v="2025-02-23T00:00:00"/>
    <s v="London"/>
    <s v="Individual"/>
    <s v="Electronics"/>
    <s v="Webcam"/>
    <n v="2"/>
    <n v="49.96"/>
    <n v="25.6"/>
    <n v="0"/>
    <n v="2"/>
    <n v="5"/>
    <s v="No"/>
    <s v="Store"/>
    <s v="Card"/>
    <s v="Individual"/>
    <s v="London"/>
    <s v="Electronics"/>
    <x v="104"/>
    <n v="1"/>
    <s v="Webcam"/>
    <n v="99.92"/>
    <n v="51.2"/>
    <n v="48.72"/>
    <n v="0.4875900720576461"/>
  </r>
  <r>
    <s v="BC-100924"/>
    <d v="2025-07-10T00:00:00"/>
    <s v="South"/>
    <s v="Individual"/>
    <s v="Furniture"/>
    <s v="Storage Cabinet"/>
    <n v="2"/>
    <n v="162.83000000000001"/>
    <n v="104.04"/>
    <n v="0.1"/>
    <n v="6"/>
    <n v="4"/>
    <s v="No"/>
    <s v="Online"/>
    <s v="Card"/>
    <s v="Individual"/>
    <s v="South"/>
    <s v="Furniture"/>
    <x v="105"/>
    <n v="1"/>
    <s v="Storage Cabinet"/>
    <n v="293.09400000000005"/>
    <n v="208.08"/>
    <n v="85.014000000000038"/>
    <n v="0.29005711478228835"/>
  </r>
  <r>
    <s v="BC-101021"/>
    <d v="2025-09-03T00:00:00"/>
    <s v="South"/>
    <s v="Small Business"/>
    <s v="Electronics"/>
    <s v="Webcam"/>
    <n v="4"/>
    <n v="49.28"/>
    <n v="25.73"/>
    <n v="0.1"/>
    <n v="1"/>
    <n v="4"/>
    <s v="No"/>
    <s v="Online"/>
    <s v="Card"/>
    <s v="Small Business"/>
    <s v="South"/>
    <s v="Electronics"/>
    <x v="106"/>
    <n v="1"/>
    <s v="Webcam"/>
    <n v="177.40800000000002"/>
    <n v="102.92"/>
    <n v="74.488000000000014"/>
    <n v="0.41986832611832614"/>
  </r>
  <r>
    <s v="BC-101127"/>
    <d v="2025-04-06T00:00:00"/>
    <s v="Midlands"/>
    <s v="Individual"/>
    <s v="Home &amp; Kitchen"/>
    <s v="Electric Kettle"/>
    <n v="1"/>
    <n v="40.11"/>
    <n v="19.52"/>
    <n v="0.05"/>
    <n v="2"/>
    <n v="5"/>
    <s v="No"/>
    <s v="Online"/>
    <s v="Bank Transfer"/>
    <s v="Individual"/>
    <s v="Midlands"/>
    <s v="Home &amp; Kitchen"/>
    <x v="107"/>
    <n v="1"/>
    <s v="Electric Kettle"/>
    <n v="38.104499999999994"/>
    <n v="19.52"/>
    <n v="18.584499999999995"/>
    <n v="0.48772454696951795"/>
  </r>
  <r>
    <s v="BC-100371"/>
    <d v="2025-06-29T00:00:00"/>
    <s v="London"/>
    <s v="Individual"/>
    <s v="Home &amp; Kitchen"/>
    <s v="Coffee Maker"/>
    <n v="2"/>
    <n v="81.98"/>
    <n v="45.53"/>
    <n v="0.1"/>
    <n v="2"/>
    <n v="5"/>
    <s v="No"/>
    <s v="Online"/>
    <s v="Digital Wallet"/>
    <s v="Individual"/>
    <s v="London"/>
    <s v="Home &amp; Kitchen"/>
    <x v="57"/>
    <n v="1"/>
    <s v="Coffee Maker"/>
    <n v="147.56400000000002"/>
    <n v="91.06"/>
    <n v="56.504000000000019"/>
    <n v="0.38291182131143103"/>
  </r>
  <r>
    <s v="BC-101747"/>
    <d v="2025-06-02T00:00:00"/>
    <s v="Midlands"/>
    <s v="Individual"/>
    <s v="Electronics"/>
    <s v="Webcam"/>
    <n v="1"/>
    <n v="50.08"/>
    <n v="26.89"/>
    <n v="0.05"/>
    <n v="1"/>
    <n v="4"/>
    <s v="No"/>
    <s v="Phone"/>
    <s v="Digital Wallet"/>
    <s v="Individual"/>
    <s v="Midlands"/>
    <s v="Electronics"/>
    <x v="64"/>
    <n v="1"/>
    <s v="Webcam"/>
    <n v="47.575999999999993"/>
    <n v="26.89"/>
    <n v="20.685999999999993"/>
    <n v="0.43479905834874716"/>
  </r>
  <r>
    <s v="BC-100580"/>
    <d v="2025-12-03T00:00:00"/>
    <s v="South"/>
    <s v="Small Business"/>
    <s v="Electronics"/>
    <s v="SmartHome Hub"/>
    <n v="6"/>
    <n v="126.2"/>
    <n v="84.77"/>
    <n v="0.1"/>
    <n v="2"/>
    <n v="4"/>
    <s v="No"/>
    <s v="Store"/>
    <s v="Card"/>
    <s v="Small Business"/>
    <s v="South"/>
    <s v="Electronics"/>
    <x v="108"/>
    <n v="1"/>
    <s v="SmartHome Hub"/>
    <n v="681.48"/>
    <n v="508.62"/>
    <n v="172.86"/>
    <n v="0.25365381229089629"/>
  </r>
  <r>
    <s v="BC-101494"/>
    <d v="2025-05-07T00:00:00"/>
    <s v="London"/>
    <s v="Individual"/>
    <s v="Home &amp; Kitchen"/>
    <s v="Coffee Maker"/>
    <n v="1"/>
    <n v="77.94"/>
    <n v="45.7"/>
    <n v="0"/>
    <n v="3"/>
    <n v="5"/>
    <s v="No"/>
    <s v="Online"/>
    <s v="Digital Wallet"/>
    <s v="Individual"/>
    <s v="London"/>
    <s v="Home &amp; Kitchen"/>
    <x v="109"/>
    <n v="1"/>
    <s v="Coffee Maker"/>
    <n v="77.94"/>
    <n v="45.7"/>
    <n v="32.239999999999995"/>
    <n v="0.41365152681549905"/>
  </r>
  <r>
    <s v="BC-100111"/>
    <d v="2025-09-14T00:00:00"/>
    <s v="Midlands"/>
    <s v="Individual"/>
    <s v="Office"/>
    <s v="Desk Lamp"/>
    <n v="2"/>
    <n v="40.07"/>
    <n v="18.7"/>
    <n v="0"/>
    <n v="4"/>
    <n v="4"/>
    <s v="No"/>
    <s v="Online"/>
    <s v="Card"/>
    <s v="Individual"/>
    <s v="Midlands"/>
    <s v="Office"/>
    <x v="110"/>
    <n v="1"/>
    <s v="Desk Lamp"/>
    <n v="80.14"/>
    <n v="37.4"/>
    <n v="42.74"/>
    <n v="0.53331669578238083"/>
  </r>
  <r>
    <s v="BC-101447"/>
    <d v="2025-11-09T00:00:00"/>
    <s v="North"/>
    <s v="Individual"/>
    <s v="Electronics"/>
    <s v="Webcam"/>
    <n v="2"/>
    <n v="50.51"/>
    <n v="26.89"/>
    <n v="0.15000000000000002"/>
    <n v="7"/>
    <n v="3"/>
    <s v="Yes"/>
    <s v="Phone"/>
    <s v="Digital Wallet"/>
    <s v="Individual"/>
    <s v="North"/>
    <s v="Electronics"/>
    <x v="67"/>
    <n v="1"/>
    <s v="Webcam"/>
    <n v="85.86699999999999"/>
    <n v="53.78"/>
    <n v="32.086999999999989"/>
    <n v="0.3736825555801413"/>
  </r>
  <r>
    <s v="BC-100342"/>
    <d v="2025-09-13T00:00:00"/>
    <s v="London"/>
    <s v="Individual"/>
    <s v="Office"/>
    <s v="Laptop Stand"/>
    <n v="2"/>
    <n v="46.66"/>
    <n v="20.75"/>
    <n v="0"/>
    <n v="0"/>
    <n v="4"/>
    <s v="No"/>
    <s v="Store"/>
    <s v="Card"/>
    <s v="Individual"/>
    <s v="London"/>
    <s v="Office"/>
    <x v="111"/>
    <n v="1"/>
    <s v="Laptop Stand"/>
    <n v="93.32"/>
    <n v="41.5"/>
    <n v="51.819999999999993"/>
    <n v="0.55529361337333905"/>
  </r>
  <r>
    <s v="BC-101950"/>
    <d v="2025-03-09T00:00:00"/>
    <s v="South"/>
    <s v="Individual"/>
    <s v="Furniture"/>
    <s v="Storage Cabinet"/>
    <n v="2"/>
    <n v="160.22"/>
    <n v="105.76"/>
    <n v="0.15000000000000002"/>
    <n v="1"/>
    <n v="5"/>
    <s v="No"/>
    <s v="Store"/>
    <s v="Card"/>
    <s v="Individual"/>
    <s v="South"/>
    <s v="Furniture"/>
    <x v="92"/>
    <n v="1"/>
    <s v="Storage Cabinet"/>
    <n v="272.37399999999997"/>
    <n v="211.52"/>
    <n v="60.853999999999957"/>
    <n v="0.22342073766218495"/>
  </r>
  <r>
    <s v="BC-101144"/>
    <d v="2025-12-09T00:00:00"/>
    <s v="South"/>
    <s v="Corporate"/>
    <s v="Electronics"/>
    <s v="Webcam"/>
    <n v="6"/>
    <n v="51.83"/>
    <n v="26.22"/>
    <n v="0.05"/>
    <n v="1"/>
    <n v="5"/>
    <s v="No"/>
    <s v="Online"/>
    <s v="Card"/>
    <s v="Corporate"/>
    <s v="South"/>
    <s v="Electronics"/>
    <x v="112"/>
    <n v="1"/>
    <s v="Webcam"/>
    <n v="295.43099999999998"/>
    <n v="157.32"/>
    <n v="138.11099999999999"/>
    <n v="0.46748987073123671"/>
  </r>
  <r>
    <s v="BC-101150"/>
    <d v="2025-06-10T00:00:00"/>
    <s v="London"/>
    <s v="Individual"/>
    <s v="Home &amp; Kitchen"/>
    <s v="Coffee Maker"/>
    <n v="2"/>
    <n v="82.3"/>
    <n v="43.78"/>
    <n v="0"/>
    <n v="0"/>
    <n v="5"/>
    <s v="No"/>
    <s v="Store"/>
    <s v="Card"/>
    <s v="Individual"/>
    <s v="London"/>
    <s v="Home &amp; Kitchen"/>
    <x v="113"/>
    <n v="1"/>
    <s v="Coffee Maker"/>
    <n v="164.6"/>
    <n v="87.56"/>
    <n v="77.039999999999992"/>
    <n v="0.4680437424058323"/>
  </r>
  <r>
    <s v="BC-101206"/>
    <d v="2025-12-18T00:00:00"/>
    <s v="Midlands"/>
    <s v="Small Business"/>
    <s v="Home &amp; Kitchen"/>
    <s v="Blender"/>
    <n v="5"/>
    <n v="64.989999999999995"/>
    <n v="34.43"/>
    <n v="0.15000000000000002"/>
    <n v="0"/>
    <n v="4"/>
    <s v="No"/>
    <s v="Store"/>
    <s v="Bank Transfer"/>
    <s v="Small Business"/>
    <s v="Midlands"/>
    <s v="Home &amp; Kitchen"/>
    <x v="114"/>
    <n v="1"/>
    <s v="Blender"/>
    <n v="276.20749999999998"/>
    <n v="172.15"/>
    <n v="104.05749999999998"/>
    <n v="0.37673669252283148"/>
  </r>
  <r>
    <s v="BC-101604"/>
    <d v="2025-09-20T00:00:00"/>
    <s v="South"/>
    <s v="Corporate"/>
    <s v="Office"/>
    <s v="Laptop Stand"/>
    <n v="8"/>
    <n v="46.03"/>
    <n v="21.12"/>
    <n v="0.1"/>
    <n v="5"/>
    <n v="4"/>
    <s v="No"/>
    <s v="Online"/>
    <s v="Card"/>
    <s v="Corporate"/>
    <s v="South"/>
    <s v="Office"/>
    <x v="76"/>
    <n v="1"/>
    <s v="Laptop Stand"/>
    <n v="331.416"/>
    <n v="168.96"/>
    <n v="162.45599999999999"/>
    <n v="0.49018755883843868"/>
  </r>
  <r>
    <s v="BC-100579"/>
    <d v="2025-09-07T00:00:00"/>
    <s v="South"/>
    <s v="Individual"/>
    <s v="Home &amp; Kitchen"/>
    <s v="Electric Kettle"/>
    <n v="2"/>
    <n v="40.64"/>
    <n v="20.32"/>
    <n v="0.05"/>
    <n v="4"/>
    <n v="5"/>
    <s v="No"/>
    <s v="Online"/>
    <s v="Bank Transfer"/>
    <s v="Individual"/>
    <s v="South"/>
    <s v="Home &amp; Kitchen"/>
    <x v="83"/>
    <n v="1"/>
    <s v="Electric Kettle"/>
    <n v="77.215999999999994"/>
    <n v="40.64"/>
    <n v="36.575999999999993"/>
    <n v="0.47368421052631576"/>
  </r>
  <r>
    <s v="BC-100731"/>
    <d v="2025-03-31T00:00:00"/>
    <s v="South"/>
    <s v="Individual"/>
    <s v="Home &amp; Kitchen"/>
    <s v="Coffee Maker"/>
    <n v="1"/>
    <n v="81.180000000000007"/>
    <n v="45.35"/>
    <n v="0.15000000000000002"/>
    <n v="2"/>
    <n v="4"/>
    <s v="No"/>
    <s v="Store"/>
    <s v="Card"/>
    <s v="Individual"/>
    <s v="South"/>
    <s v="Home &amp; Kitchen"/>
    <x v="115"/>
    <n v="1"/>
    <s v="Coffee Maker"/>
    <n v="69.003"/>
    <n v="45.35"/>
    <n v="23.652999999999999"/>
    <n v="0.34278219787545466"/>
  </r>
  <r>
    <s v="BC-100120"/>
    <d v="2025-12-29T00:00:00"/>
    <s v="North"/>
    <s v="Individual"/>
    <s v="Office"/>
    <s v="Laptop Stand"/>
    <n v="1"/>
    <n v="44.67"/>
    <n v="21.8"/>
    <n v="0.05"/>
    <n v="3"/>
    <n v="4"/>
    <s v="No"/>
    <s v="Phone"/>
    <s v="Bank Transfer"/>
    <s v="Individual"/>
    <s v="North"/>
    <s v="Office"/>
    <x v="116"/>
    <n v="1"/>
    <s v="Laptop Stand"/>
    <n v="42.436500000000002"/>
    <n v="21.8"/>
    <n v="20.636500000000002"/>
    <n v="0.48629128226880164"/>
  </r>
  <r>
    <s v="BC-100534"/>
    <d v="2025-03-25T00:00:00"/>
    <s v="Midlands"/>
    <s v="Small Business"/>
    <s v="Electronics"/>
    <s v="Portable Speaker"/>
    <n v="1"/>
    <n v="73.45"/>
    <n v="42.67"/>
    <n v="0"/>
    <n v="3"/>
    <n v="5"/>
    <s v="No"/>
    <s v="Phone"/>
    <s v="Bank Transfer"/>
    <s v="Small Business"/>
    <s v="Midlands"/>
    <s v="Electronics"/>
    <x v="117"/>
    <n v="1"/>
    <s v="Portable Speaker"/>
    <n v="73.45"/>
    <n v="42.67"/>
    <n v="30.78"/>
    <n v="0.41906058543226687"/>
  </r>
  <r>
    <s v="BC-100598"/>
    <d v="2025-10-05T00:00:00"/>
    <s v="Midlands"/>
    <s v="Individual"/>
    <s v="Office"/>
    <s v="Ergonomic Keyboard"/>
    <n v="1"/>
    <n v="69.3"/>
    <n v="36.99"/>
    <n v="0"/>
    <n v="6"/>
    <n v="4"/>
    <s v="No"/>
    <s v="Online"/>
    <s v="Card"/>
    <s v="Individual"/>
    <s v="Midlands"/>
    <s v="Office"/>
    <x v="118"/>
    <n v="1"/>
    <s v="Ergonomic Keyboard"/>
    <n v="69.3"/>
    <n v="36.99"/>
    <n v="32.309999999999995"/>
    <n v="0.46623376623376617"/>
  </r>
  <r>
    <s v="BC-100841"/>
    <d v="2025-06-15T00:00:00"/>
    <s v="London"/>
    <s v="Individual"/>
    <s v="Home &amp; Kitchen"/>
    <s v="Blender"/>
    <n v="1"/>
    <n v="66.900000000000006"/>
    <n v="34.85"/>
    <n v="0.05"/>
    <n v="0"/>
    <n v="3"/>
    <s v="Yes"/>
    <s v="Store"/>
    <s v="Card"/>
    <s v="Individual"/>
    <s v="London"/>
    <s v="Home &amp; Kitchen"/>
    <x v="119"/>
    <n v="1"/>
    <s v="Blender"/>
    <n v="63.555"/>
    <n v="34.85"/>
    <n v="28.704999999999998"/>
    <n v="0.45165604594445752"/>
  </r>
  <r>
    <s v="BC-100550"/>
    <d v="2025-06-12T00:00:00"/>
    <s v="London"/>
    <s v="Individual"/>
    <s v="Home &amp; Kitchen"/>
    <s v="Blender"/>
    <n v="1"/>
    <n v="66.34"/>
    <n v="35.69"/>
    <n v="0"/>
    <n v="4"/>
    <n v="4"/>
    <s v="No"/>
    <s v="Online"/>
    <s v="Card"/>
    <s v="Individual"/>
    <s v="London"/>
    <s v="Home &amp; Kitchen"/>
    <x v="25"/>
    <n v="1"/>
    <s v="Blender"/>
    <n v="66.34"/>
    <n v="35.69"/>
    <n v="30.650000000000006"/>
    <n v="0.46201386795296961"/>
  </r>
  <r>
    <s v="BC-101965"/>
    <d v="2025-08-23T00:00:00"/>
    <s v="South"/>
    <s v="Small Business"/>
    <s v="Home &amp; Kitchen"/>
    <s v="Coffee Maker"/>
    <n v="1"/>
    <n v="80.819999999999993"/>
    <n v="46.42"/>
    <n v="0.1"/>
    <n v="3"/>
    <n v="4"/>
    <s v="No"/>
    <s v="Store"/>
    <s v="Digital Wallet"/>
    <s v="Small Business"/>
    <s v="South"/>
    <s v="Home &amp; Kitchen"/>
    <x v="120"/>
    <n v="1"/>
    <s v="Coffee Maker"/>
    <n v="72.738"/>
    <n v="46.42"/>
    <n v="26.317999999999998"/>
    <n v="0.36181913167807744"/>
  </r>
  <r>
    <s v="BC-100557"/>
    <d v="2025-02-06T00:00:00"/>
    <s v="London"/>
    <s v="Individual"/>
    <s v="Office"/>
    <s v="Laptop Stand"/>
    <n v="1"/>
    <n v="46.43"/>
    <n v="21.33"/>
    <n v="0.05"/>
    <n v="5"/>
    <n v="3"/>
    <s v="Yes"/>
    <s v="Online"/>
    <s v="Card"/>
    <s v="Individual"/>
    <s v="London"/>
    <s v="Office"/>
    <x v="121"/>
    <n v="1"/>
    <s v="Laptop Stand"/>
    <n v="44.108499999999999"/>
    <n v="21.33"/>
    <n v="22.778500000000001"/>
    <n v="0.51641973769228156"/>
  </r>
  <r>
    <s v="BC-100818"/>
    <d v="2025-08-19T00:00:00"/>
    <s v="Midlands"/>
    <s v="Individual"/>
    <s v="Furniture"/>
    <s v="Storage Cabinet"/>
    <n v="1"/>
    <n v="158.04"/>
    <n v="105.39"/>
    <n v="0.1"/>
    <n v="3"/>
    <n v="5"/>
    <s v="No"/>
    <s v="Online"/>
    <s v="Card"/>
    <s v="Individual"/>
    <s v="Midlands"/>
    <s v="Furniture"/>
    <x v="122"/>
    <n v="1"/>
    <s v="Storage Cabinet"/>
    <n v="142.23599999999999"/>
    <n v="105.39"/>
    <n v="36.845999999999989"/>
    <n v="0.25904834219185013"/>
  </r>
  <r>
    <s v="BC-101515"/>
    <d v="2025-07-01T00:00:00"/>
    <s v="Midlands"/>
    <s v="Individual"/>
    <s v="Home &amp; Kitchen"/>
    <s v="Air Fryer"/>
    <n v="2"/>
    <n v="112.74"/>
    <n v="65.27"/>
    <n v="0.1"/>
    <n v="0"/>
    <n v="4"/>
    <s v="No"/>
    <s v="Store"/>
    <s v="Card"/>
    <s v="Individual"/>
    <s v="Midlands"/>
    <s v="Home &amp; Kitchen"/>
    <x v="123"/>
    <n v="1"/>
    <s v="Air Fryer"/>
    <n v="202.93199999999999"/>
    <n v="130.54"/>
    <n v="72.391999999999996"/>
    <n v="0.35673033331362231"/>
  </r>
  <r>
    <s v="BC-101914"/>
    <d v="2025-06-23T00:00:00"/>
    <s v="North"/>
    <s v="Individual"/>
    <s v="Electronics"/>
    <s v="Portable Speaker"/>
    <n v="1"/>
    <n v="74.09"/>
    <n v="43.95"/>
    <n v="0"/>
    <n v="0"/>
    <n v="4"/>
    <s v="No"/>
    <s v="Store"/>
    <s v="Card"/>
    <s v="Individual"/>
    <s v="North"/>
    <s v="Electronics"/>
    <x v="41"/>
    <n v="1"/>
    <s v="Portable Speaker"/>
    <n v="74.09"/>
    <n v="43.95"/>
    <n v="30.14"/>
    <n v="0.40680253745444728"/>
  </r>
  <r>
    <s v="BC-100814"/>
    <d v="2025-11-08T00:00:00"/>
    <s v="Midlands"/>
    <s v="Individual"/>
    <s v="Electronics"/>
    <s v="Wireless Headset"/>
    <n v="4"/>
    <n v="60.51"/>
    <n v="33.06"/>
    <n v="0"/>
    <n v="0"/>
    <n v="4"/>
    <s v="No"/>
    <s v="Store"/>
    <s v="Bank Transfer"/>
    <s v="Individual"/>
    <s v="Midlands"/>
    <s v="Electronics"/>
    <x v="124"/>
    <n v="1"/>
    <s v="Wireless Headset"/>
    <n v="242.04"/>
    <n v="132.24"/>
    <n v="109.79999999999998"/>
    <n v="0.4536440257808626"/>
  </r>
  <r>
    <s v="BC-100970"/>
    <d v="2025-12-27T00:00:00"/>
    <s v="Midlands"/>
    <s v="Individual"/>
    <s v="Home &amp; Kitchen"/>
    <s v="Electric Kettle"/>
    <n v="2"/>
    <n v="40.98"/>
    <n v="19.73"/>
    <n v="0.1"/>
    <n v="3"/>
    <n v="4"/>
    <s v="No"/>
    <s v="Online"/>
    <s v="Bank Transfer"/>
    <s v="Individual"/>
    <s v="Midlands"/>
    <s v="Home &amp; Kitchen"/>
    <x v="125"/>
    <n v="1"/>
    <s v="Electric Kettle"/>
    <n v="73.763999999999996"/>
    <n v="39.46"/>
    <n v="34.303999999999995"/>
    <n v="0.46505070223957484"/>
  </r>
  <r>
    <s v="BC-100360"/>
    <d v="2025-04-08T00:00:00"/>
    <s v="South"/>
    <s v="Individual"/>
    <s v="Office"/>
    <s v="Ergonomic Keyboard"/>
    <n v="1"/>
    <n v="70.569999999999993"/>
    <n v="38.770000000000003"/>
    <n v="0.15000000000000002"/>
    <n v="3"/>
    <n v="4"/>
    <s v="No"/>
    <s v="Store"/>
    <s v="Digital Wallet"/>
    <s v="Individual"/>
    <s v="South"/>
    <s v="Office"/>
    <x v="126"/>
    <n v="1"/>
    <s v="Ergonomic Keyboard"/>
    <n v="59.98449999999999"/>
    <n v="38.770000000000003"/>
    <n v="21.214499999999987"/>
    <n v="0.35366636381065092"/>
  </r>
  <r>
    <s v="BC-100192"/>
    <d v="2025-12-22T00:00:00"/>
    <s v="Midlands"/>
    <s v="Individual"/>
    <s v="Electronics"/>
    <s v="Webcam"/>
    <n v="2"/>
    <n v="51.19"/>
    <n v="26.22"/>
    <n v="0.1"/>
    <n v="7"/>
    <n v="4"/>
    <s v="No"/>
    <s v="Online"/>
    <s v="Bank Transfer"/>
    <s v="Individual"/>
    <s v="Midlands"/>
    <s v="Electronics"/>
    <x v="36"/>
    <n v="1"/>
    <s v="Webcam"/>
    <n v="92.141999999999996"/>
    <n v="52.44"/>
    <n v="39.701999999999998"/>
    <n v="0.43087842677606303"/>
  </r>
  <r>
    <s v="BC-100493"/>
    <d v="2025-10-05T00:00:00"/>
    <s v="South"/>
    <s v="Individual"/>
    <s v="Electronics"/>
    <s v="SmartHome Hub"/>
    <n v="2"/>
    <n v="127.39"/>
    <n v="82.79"/>
    <n v="0.15000000000000002"/>
    <n v="0"/>
    <n v="4"/>
    <s v="No"/>
    <s v="Store"/>
    <s v="Card"/>
    <s v="Individual"/>
    <s v="South"/>
    <s v="Electronics"/>
    <x v="118"/>
    <n v="1"/>
    <s v="SmartHome Hub"/>
    <n v="216.56299999999999"/>
    <n v="165.58"/>
    <n v="50.982999999999976"/>
    <n v="0.23541879268388405"/>
  </r>
  <r>
    <s v="BC-100913"/>
    <d v="2025-05-20T00:00:00"/>
    <s v="South"/>
    <s v="Small Business"/>
    <s v="Electronics"/>
    <s v="Portable Speaker"/>
    <n v="2"/>
    <n v="75.239999999999995"/>
    <n v="42.06"/>
    <n v="0.1"/>
    <n v="4"/>
    <n v="4"/>
    <s v="No"/>
    <s v="Online"/>
    <s v="Bank Transfer"/>
    <s v="Small Business"/>
    <s v="South"/>
    <s v="Electronics"/>
    <x v="127"/>
    <n v="1"/>
    <s v="Portable Speaker"/>
    <n v="135.43199999999999"/>
    <n v="84.12"/>
    <n v="51.311999999999983"/>
    <n v="0.37887648413964192"/>
  </r>
  <r>
    <s v="BC-101924"/>
    <d v="2025-10-07T00:00:00"/>
    <s v="London"/>
    <s v="Individual"/>
    <s v="Furniture"/>
    <s v="Office Chair"/>
    <n v="2"/>
    <n v="185.72"/>
    <n v="114.68"/>
    <n v="0"/>
    <n v="6"/>
    <n v="3"/>
    <s v="No"/>
    <s v="Online"/>
    <s v="Card"/>
    <s v="Individual"/>
    <s v="London"/>
    <s v="Furniture"/>
    <x v="23"/>
    <n v="1"/>
    <s v="Office Chair"/>
    <n v="371.44"/>
    <n v="229.36"/>
    <n v="142.07999999999998"/>
    <n v="0.38251130734438937"/>
  </r>
  <r>
    <s v="BC-100918"/>
    <d v="2025-10-01T00:00:00"/>
    <s v="Midlands"/>
    <s v="Individual"/>
    <s v="Furniture"/>
    <s v="Side Table"/>
    <n v="4"/>
    <n v="93.13"/>
    <n v="54.85"/>
    <n v="0"/>
    <n v="5"/>
    <n v="4"/>
    <s v="No"/>
    <s v="Online"/>
    <s v="Bank Transfer"/>
    <s v="Individual"/>
    <s v="Midlands"/>
    <s v="Furniture"/>
    <x v="128"/>
    <n v="1"/>
    <s v="Side Table"/>
    <n v="372.52"/>
    <n v="219.4"/>
    <n v="153.11999999999998"/>
    <n v="0.41103833351229457"/>
  </r>
  <r>
    <s v="BC-101115"/>
    <d v="2025-05-28T00:00:00"/>
    <s v="Midlands"/>
    <s v="Individual"/>
    <s v="Home &amp; Kitchen"/>
    <s v="Air Fryer"/>
    <n v="1"/>
    <n v="108.76"/>
    <n v="65.8"/>
    <n v="0.05"/>
    <n v="0"/>
    <n v="5"/>
    <s v="No"/>
    <s v="Store"/>
    <s v="Digital Wallet"/>
    <s v="Individual"/>
    <s v="Midlands"/>
    <s v="Home &amp; Kitchen"/>
    <x v="129"/>
    <n v="1"/>
    <s v="Air Fryer"/>
    <n v="103.322"/>
    <n v="65.8"/>
    <n v="37.522000000000006"/>
    <n v="0.363155959040669"/>
  </r>
  <r>
    <s v="BC-100065"/>
    <d v="2025-11-25T00:00:00"/>
    <s v="South"/>
    <s v="Individual"/>
    <s v="Furniture"/>
    <s v="Storage Cabinet"/>
    <n v="1"/>
    <n v="165.36"/>
    <n v="105.01"/>
    <n v="0.15000000000000002"/>
    <n v="2"/>
    <n v="5"/>
    <s v="No"/>
    <s v="Store"/>
    <s v="Card"/>
    <s v="Individual"/>
    <s v="South"/>
    <s v="Furniture"/>
    <x v="10"/>
    <n v="1"/>
    <s v="Storage Cabinet"/>
    <n v="140.55600000000001"/>
    <n v="105.01"/>
    <n v="35.546000000000006"/>
    <n v="0.2528956430177296"/>
  </r>
  <r>
    <s v="BC-100113"/>
    <d v="2025-07-14T00:00:00"/>
    <s v="London"/>
    <s v="Individual"/>
    <s v="Furniture"/>
    <s v="Bookshelf"/>
    <n v="1"/>
    <n v="120"/>
    <n v="74.989999999999995"/>
    <n v="0.05"/>
    <n v="7"/>
    <n v="4"/>
    <s v="No"/>
    <s v="Online"/>
    <s v="Card"/>
    <s v="Individual"/>
    <s v="London"/>
    <s v="Furniture"/>
    <x v="130"/>
    <n v="1"/>
    <s v="Bookshelf"/>
    <n v="114"/>
    <n v="74.989999999999995"/>
    <n v="39.010000000000005"/>
    <n v="0.34219298245614038"/>
  </r>
  <r>
    <s v="BC-101226"/>
    <d v="2025-12-06T00:00:00"/>
    <s v="London"/>
    <s v="Corporate"/>
    <s v="Electronics"/>
    <s v="Webcam"/>
    <n v="5"/>
    <n v="50"/>
    <n v="25.24"/>
    <n v="0.25"/>
    <n v="3"/>
    <n v="4"/>
    <s v="Yes"/>
    <s v="Online"/>
    <s v="Bank Transfer"/>
    <s v="Corporate"/>
    <s v="London"/>
    <s v="Electronics"/>
    <x v="131"/>
    <n v="1"/>
    <s v="Webcam"/>
    <n v="187.5"/>
    <n v="126.19999999999999"/>
    <n v="61.300000000000011"/>
    <n v="0.32693333333333341"/>
  </r>
  <r>
    <s v="BC-101229"/>
    <d v="2025-01-06T00:00:00"/>
    <s v="Midlands"/>
    <s v="Small Business"/>
    <s v="Office"/>
    <s v="Ergonomic Keyboard"/>
    <n v="3"/>
    <n v="69.64"/>
    <n v="39.590000000000003"/>
    <n v="0"/>
    <n v="1"/>
    <n v="5"/>
    <s v="No"/>
    <s v="Store"/>
    <s v="Card"/>
    <s v="Small Business"/>
    <s v="Midlands"/>
    <s v="Office"/>
    <x v="132"/>
    <n v="1"/>
    <s v="Ergonomic Keyboard"/>
    <n v="208.92000000000002"/>
    <n v="118.77000000000001"/>
    <n v="90.15"/>
    <n v="0.43150488225157957"/>
  </r>
  <r>
    <s v="BC-100447"/>
    <d v="2025-10-15T00:00:00"/>
    <s v="London"/>
    <s v="Individual"/>
    <s v="Office"/>
    <s v="Ergonomic Keyboard"/>
    <n v="1"/>
    <n v="68.84"/>
    <n v="39.75"/>
    <n v="0.05"/>
    <n v="3"/>
    <n v="4"/>
    <s v="No"/>
    <s v="Online"/>
    <s v="Bank Transfer"/>
    <s v="Individual"/>
    <s v="London"/>
    <s v="Office"/>
    <x v="133"/>
    <n v="1"/>
    <s v="Ergonomic Keyboard"/>
    <n v="65.397999999999996"/>
    <n v="39.75"/>
    <n v="25.647999999999996"/>
    <n v="0.39218324719410375"/>
  </r>
  <r>
    <s v="BC-101078"/>
    <d v="2025-09-05T00:00:00"/>
    <s v="London"/>
    <s v="Individual"/>
    <s v="Office"/>
    <s v="Ergonomic Keyboard"/>
    <n v="1"/>
    <n v="69.14"/>
    <n v="37.43"/>
    <n v="0.1"/>
    <n v="3"/>
    <n v="3"/>
    <s v="Yes"/>
    <s v="Online"/>
    <s v="Bank Transfer"/>
    <s v="Individual"/>
    <s v="London"/>
    <s v="Office"/>
    <x v="134"/>
    <n v="1"/>
    <s v="Ergonomic Keyboard"/>
    <n v="62.225999999999999"/>
    <n v="37.43"/>
    <n v="24.795999999999999"/>
    <n v="0.39848294924950983"/>
  </r>
  <r>
    <s v="BC-100830"/>
    <d v="2025-05-11T00:00:00"/>
    <s v="South"/>
    <s v="Individual"/>
    <s v="Office"/>
    <s v="Laptop Stand"/>
    <n v="1"/>
    <n v="44.67"/>
    <n v="21.98"/>
    <n v="0.1"/>
    <n v="6"/>
    <n v="4"/>
    <s v="No"/>
    <s v="Online"/>
    <s v="Card"/>
    <s v="Individual"/>
    <s v="South"/>
    <s v="Office"/>
    <x v="135"/>
    <n v="1"/>
    <s v="Laptop Stand"/>
    <n v="40.203000000000003"/>
    <n v="21.98"/>
    <n v="18.223000000000003"/>
    <n v="0.45327463124642442"/>
  </r>
  <r>
    <s v="BC-100945"/>
    <d v="2025-09-23T00:00:00"/>
    <s v="London"/>
    <s v="Individual"/>
    <s v="Office"/>
    <s v="Wireless Mouse"/>
    <n v="2"/>
    <n v="34.409999999999997"/>
    <n v="16.8"/>
    <n v="0.05"/>
    <n v="0"/>
    <n v="4"/>
    <s v="No"/>
    <s v="Store"/>
    <s v="Card"/>
    <s v="Individual"/>
    <s v="London"/>
    <s v="Office"/>
    <x v="136"/>
    <n v="1"/>
    <s v="Wireless Mouse"/>
    <n v="65.378999999999991"/>
    <n v="33.6"/>
    <n v="31.778999999999989"/>
    <n v="0.48607350984260994"/>
  </r>
  <r>
    <s v="BC-100208"/>
    <d v="2025-08-30T00:00:00"/>
    <s v="London"/>
    <s v="Individual"/>
    <s v="Office"/>
    <s v="Ergonomic Keyboard"/>
    <n v="4"/>
    <n v="68.25"/>
    <n v="38.159999999999997"/>
    <n v="0"/>
    <n v="3"/>
    <n v="5"/>
    <s v="No"/>
    <s v="Store"/>
    <s v="Card"/>
    <s v="Individual"/>
    <s v="London"/>
    <s v="Office"/>
    <x v="137"/>
    <n v="1"/>
    <s v="Ergonomic Keyboard"/>
    <n v="273"/>
    <n v="152.63999999999999"/>
    <n v="120.36000000000001"/>
    <n v="0.44087912087912096"/>
  </r>
  <r>
    <s v="BC-100513"/>
    <d v="2025-10-25T00:00:00"/>
    <s v="London"/>
    <s v="Individual"/>
    <s v="Office"/>
    <s v="Laptop Stand"/>
    <n v="2"/>
    <n v="44.81"/>
    <n v="20.94"/>
    <n v="0"/>
    <n v="0"/>
    <n v="4"/>
    <s v="No"/>
    <s v="Store"/>
    <s v="Card"/>
    <s v="Individual"/>
    <s v="London"/>
    <s v="Office"/>
    <x v="138"/>
    <n v="1"/>
    <s v="Laptop Stand"/>
    <n v="89.62"/>
    <n v="41.88"/>
    <n v="47.74"/>
    <n v="0.53269359517964743"/>
  </r>
  <r>
    <s v="BC-100936"/>
    <d v="2025-08-06T00:00:00"/>
    <s v="Midlands"/>
    <s v="Individual"/>
    <s v="Electronics"/>
    <s v="SmartHome Hub"/>
    <n v="1"/>
    <n v="126.26"/>
    <n v="84.55"/>
    <n v="0"/>
    <n v="2"/>
    <n v="4"/>
    <s v="No"/>
    <s v="Store"/>
    <s v="Card"/>
    <s v="Individual"/>
    <s v="Midlands"/>
    <s v="Electronics"/>
    <x v="139"/>
    <n v="1"/>
    <s v="SmartHome Hub"/>
    <n v="126.26"/>
    <n v="84.55"/>
    <n v="41.710000000000008"/>
    <n v="0.33035007128148269"/>
  </r>
  <r>
    <s v="BC-100402"/>
    <d v="2025-06-10T00:00:00"/>
    <s v="London"/>
    <s v="Individual"/>
    <s v="Office"/>
    <s v="Desk Lamp"/>
    <n v="2"/>
    <n v="40.18"/>
    <n v="18.579999999999998"/>
    <n v="0"/>
    <n v="2"/>
    <n v="5"/>
    <s v="No"/>
    <s v="Online"/>
    <s v="Card"/>
    <s v="Individual"/>
    <s v="London"/>
    <s v="Office"/>
    <x v="113"/>
    <n v="1"/>
    <s v="Desk Lamp"/>
    <n v="80.36"/>
    <n v="37.159999999999997"/>
    <n v="43.2"/>
    <n v="0.53758088601294185"/>
  </r>
  <r>
    <s v="BC-101384"/>
    <s v="19/09/2025"/>
    <s v="North"/>
    <s v="Individual"/>
    <s v="Home &amp; Kitchen"/>
    <s v="Electric Kettle"/>
    <n v="1"/>
    <n v="40.270000000000003"/>
    <n v="20.45"/>
    <n v="0.05"/>
    <n v="0"/>
    <n v="4"/>
    <s v="No"/>
    <s v="Store"/>
    <s v="Digital Wallet"/>
    <s v="Individual"/>
    <s v="North"/>
    <s v="Home &amp; Kitchen"/>
    <x v="68"/>
    <n v="1"/>
    <s v="Electric Kettle"/>
    <n v="38.256500000000003"/>
    <n v="20.45"/>
    <n v="17.806500000000003"/>
    <n v="0.46545031563263767"/>
  </r>
  <r>
    <s v="BC-100366"/>
    <d v="2025-04-08T00:00:00"/>
    <s v="South"/>
    <s v="Individual"/>
    <s v="Electronics"/>
    <s v="Wireless Headset"/>
    <n v="2"/>
    <n v="61.35"/>
    <n v="34.19"/>
    <n v="0.05"/>
    <n v="0"/>
    <n v="4"/>
    <s v="No"/>
    <s v="Store"/>
    <s v="Card"/>
    <s v="Individual"/>
    <s v="South"/>
    <s v="Electronics"/>
    <x v="126"/>
    <n v="1"/>
    <s v="Wireless Headset"/>
    <n v="116.565"/>
    <n v="68.38"/>
    <n v="48.185000000000002"/>
    <n v="0.41337451207480808"/>
  </r>
  <r>
    <s v="BC-101099"/>
    <d v="2025-05-18T00:00:00"/>
    <s v="London"/>
    <s v="Individual"/>
    <s v="Office"/>
    <s v="Desk Lamp"/>
    <n v="1"/>
    <n v="40.74"/>
    <n v="19.12"/>
    <n v="0"/>
    <n v="0"/>
    <n v="5"/>
    <s v="No"/>
    <s v="Store"/>
    <s v="Digital Wallet"/>
    <s v="Individual"/>
    <s v="London"/>
    <s v="Office"/>
    <x v="140"/>
    <n v="1"/>
    <s v="Desk Lamp"/>
    <n v="40.74"/>
    <n v="19.12"/>
    <n v="21.62"/>
    <n v="0.53068237604320079"/>
  </r>
  <r>
    <s v="BC-100019"/>
    <d v="2025-01-12T00:00:00"/>
    <s v="South"/>
    <s v="Individual"/>
    <s v="Home &amp; Kitchen"/>
    <s v="Electric Kettle"/>
    <n v="1"/>
    <n v="39.72"/>
    <n v="20.53"/>
    <n v="0.05"/>
    <n v="3"/>
    <n v="5"/>
    <s v="No"/>
    <s v="Online"/>
    <s v="Card"/>
    <s v="Individual"/>
    <s v="South"/>
    <s v="Home &amp; Kitchen"/>
    <x v="141"/>
    <n v="1"/>
    <s v="Electric Kettle"/>
    <n v="37.733999999999995"/>
    <n v="20.53"/>
    <n v="17.203999999999994"/>
    <n v="0.45592834048868386"/>
  </r>
  <r>
    <s v="BC-100407"/>
    <d v="2025-09-02T00:00:00"/>
    <s v="South"/>
    <s v="Individual"/>
    <s v="Home &amp; Kitchen"/>
    <s v="Blender"/>
    <n v="1"/>
    <n v="66.63"/>
    <n v="35.81"/>
    <n v="0.1"/>
    <n v="4"/>
    <n v="4"/>
    <s v="No"/>
    <s v="Online"/>
    <s v="Bank Transfer"/>
    <s v="Individual"/>
    <s v="South"/>
    <s v="Home &amp; Kitchen"/>
    <x v="142"/>
    <n v="1"/>
    <s v="Blender"/>
    <n v="59.966999999999999"/>
    <n v="35.81"/>
    <n v="24.156999999999996"/>
    <n v="0.40283822769189714"/>
  </r>
  <r>
    <s v="BC-100533"/>
    <d v="2025-07-25T00:00:00"/>
    <s v="London"/>
    <s v="Small Business"/>
    <s v="Electronics"/>
    <s v="Portable Speaker"/>
    <n v="3"/>
    <n v="75.64"/>
    <n v="44.58"/>
    <n v="0"/>
    <n v="1"/>
    <n v="3"/>
    <s v="Yes"/>
    <s v="Online"/>
    <s v="Card"/>
    <s v="Small Business"/>
    <s v="London"/>
    <s v="Electronics"/>
    <x v="143"/>
    <n v="1"/>
    <s v="Portable Speaker"/>
    <n v="226.92000000000002"/>
    <n v="133.74"/>
    <n v="93.18"/>
    <n v="0.4106292966684294"/>
  </r>
  <r>
    <s v="BC-100043"/>
    <d v="2025-11-30T00:00:00"/>
    <s v="South"/>
    <s v="Individual"/>
    <s v="Office"/>
    <s v="Desk Lamp"/>
    <n v="2"/>
    <n v="39.58"/>
    <n v="18.7"/>
    <n v="0.05"/>
    <n v="2"/>
    <n v="5"/>
    <s v="No"/>
    <s v="Online"/>
    <s v="Digital Wallet"/>
    <s v="Individual"/>
    <s v="South"/>
    <s v="Office"/>
    <x v="73"/>
    <n v="1"/>
    <s v="Desk Lamp"/>
    <n v="75.201999999999998"/>
    <n v="37.4"/>
    <n v="37.802"/>
    <n v="0.50267280125528579"/>
  </r>
  <r>
    <s v="BC-100206"/>
    <d v="2025-10-01T00:00:00"/>
    <s v="South"/>
    <s v="Individual"/>
    <s v="Furniture"/>
    <s v="Office Chair"/>
    <n v="1"/>
    <n v="183.88"/>
    <n v="116.98"/>
    <n v="0.1"/>
    <n v="11"/>
    <n v="3"/>
    <s v="No"/>
    <s v="Online"/>
    <s v="Card"/>
    <s v="Individual"/>
    <s v="South"/>
    <s v="Furniture"/>
    <x v="128"/>
    <n v="1"/>
    <s v="Office Chair"/>
    <n v="165.49199999999999"/>
    <n v="116.98"/>
    <n v="48.511999999999986"/>
    <n v="0.29313803688395806"/>
  </r>
  <r>
    <s v="BC-101435"/>
    <d v="2025-03-24T00:00:00"/>
    <s v="Midlands"/>
    <s v="Individual"/>
    <s v="Electronics"/>
    <s v="Webcam"/>
    <n v="2"/>
    <n v="50.34"/>
    <n v="26.42"/>
    <n v="0.1"/>
    <n v="3"/>
    <n v="4"/>
    <s v="No"/>
    <s v="Online"/>
    <s v="Bank Transfer"/>
    <s v="Individual"/>
    <s v="Midlands"/>
    <s v="Electronics"/>
    <x v="144"/>
    <n v="1"/>
    <s v="Webcam"/>
    <n v="90.612000000000009"/>
    <n v="52.84"/>
    <n v="37.772000000000006"/>
    <n v="0.41685427978634176"/>
  </r>
  <r>
    <s v="BC-101480"/>
    <d v="2025-07-18T00:00:00"/>
    <s v="London"/>
    <s v="Individual"/>
    <s v="Office"/>
    <s v="Laptop Stand"/>
    <n v="1"/>
    <n v="43.99"/>
    <n v="20.86"/>
    <n v="0.05"/>
    <n v="0"/>
    <n v="4"/>
    <s v="No"/>
    <s v="Store"/>
    <s v="Card"/>
    <s v="Individual"/>
    <s v="London"/>
    <s v="Office"/>
    <x v="145"/>
    <n v="1"/>
    <s v="Laptop Stand"/>
    <n v="41.790500000000002"/>
    <n v="20.86"/>
    <n v="20.930500000000002"/>
    <n v="0.50084349313839271"/>
  </r>
  <r>
    <s v="BC-100185"/>
    <d v="2025-09-24T00:00:00"/>
    <s v="North"/>
    <s v="Small Business"/>
    <s v="Office"/>
    <s v="Desk Lamp"/>
    <n v="4"/>
    <n v="41.26"/>
    <n v="19.38"/>
    <n v="0"/>
    <n v="2"/>
    <m/>
    <s v="No"/>
    <s v="Online"/>
    <s v="Bank Transfer"/>
    <s v="Small Business"/>
    <s v="North"/>
    <s v="Office"/>
    <x v="146"/>
    <n v="1"/>
    <s v="Desk Lamp"/>
    <n v="165.04"/>
    <n v="77.52"/>
    <n v="87.52"/>
    <n v="0.53029568589432863"/>
  </r>
  <r>
    <s v="BC-100317"/>
    <d v="2025-10-22T00:00:00"/>
    <s v="Midlands"/>
    <s v="Corporate"/>
    <s v="Home &amp; Kitchen"/>
    <s v="Air Fryer"/>
    <n v="5"/>
    <n v="111.04"/>
    <n v="70.28"/>
    <n v="0.05"/>
    <n v="6"/>
    <n v="4"/>
    <s v="No"/>
    <s v="Online"/>
    <s v="Card"/>
    <s v="Corporate"/>
    <s v="Midlands"/>
    <s v="Home &amp; Kitchen"/>
    <x v="147"/>
    <n v="1"/>
    <s v="Air Fryer"/>
    <n v="527.44000000000005"/>
    <n v="351.4"/>
    <n v="176.04000000000008"/>
    <n v="0.33376308205672695"/>
  </r>
  <r>
    <s v="BC-101612"/>
    <d v="2025-08-11T00:00:00"/>
    <s v="London"/>
    <s v="Individual"/>
    <s v="Office"/>
    <s v="Desk Lamp"/>
    <n v="1"/>
    <n v="39.78"/>
    <n v="19.850000000000001"/>
    <n v="0.1"/>
    <n v="2"/>
    <n v="4"/>
    <s v="No"/>
    <s v="Online"/>
    <s v="Card"/>
    <s v="Individual"/>
    <s v="London"/>
    <s v="Office"/>
    <x v="148"/>
    <n v="1"/>
    <s v="Desk Lamp"/>
    <n v="35.802"/>
    <n v="19.850000000000001"/>
    <n v="15.951999999999998"/>
    <n v="0.44556170046366123"/>
  </r>
  <r>
    <s v="BC-100669"/>
    <d v="2025-04-22T00:00:00"/>
    <s v="London"/>
    <s v="Individual"/>
    <s v="Electronics"/>
    <s v="Webcam"/>
    <n v="1"/>
    <n v="49.15"/>
    <n v="25.63"/>
    <n v="0"/>
    <n v="4"/>
    <n v="4"/>
    <s v="No"/>
    <s v="Online"/>
    <s v="Card"/>
    <s v="Individual"/>
    <s v="London"/>
    <s v="Electronics"/>
    <x v="149"/>
    <n v="1"/>
    <s v="Webcam"/>
    <n v="49.15"/>
    <n v="25.63"/>
    <n v="23.52"/>
    <n v="0.47853509664292981"/>
  </r>
  <r>
    <s v="BC-101157"/>
    <d v="2025-05-13T00:00:00"/>
    <s v="London"/>
    <s v="Corporate"/>
    <s v="Electronics"/>
    <s v="Portable Speaker"/>
    <n v="6"/>
    <n v="73.2"/>
    <n v="43.63"/>
    <n v="0.1"/>
    <n v="3"/>
    <n v="4"/>
    <s v="No"/>
    <s v="Online"/>
    <s v="Card"/>
    <s v="Corporate"/>
    <s v="London"/>
    <s v="Electronics"/>
    <x v="150"/>
    <n v="1"/>
    <s v="Portable Speaker"/>
    <n v="395.28000000000003"/>
    <n v="261.78000000000003"/>
    <n v="133.5"/>
    <n v="0.33773527625986638"/>
  </r>
  <r>
    <s v="BC-100053"/>
    <d v="2025-04-20T00:00:00"/>
    <s v="Midlands"/>
    <s v="Individual"/>
    <s v="Office"/>
    <s v="Desk Lamp"/>
    <n v="2"/>
    <n v="40.61"/>
    <n v="18.82"/>
    <n v="0.1"/>
    <n v="4"/>
    <n v="4"/>
    <s v="No"/>
    <s v="Online"/>
    <s v="Card"/>
    <s v="Individual"/>
    <s v="Midlands"/>
    <s v="Office"/>
    <x v="151"/>
    <n v="1"/>
    <s v="Desk Lamp"/>
    <n v="73.097999999999999"/>
    <n v="37.64"/>
    <n v="35.457999999999998"/>
    <n v="0.48507483104872912"/>
  </r>
  <r>
    <s v="BC-101309"/>
    <d v="2025-07-03T00:00:00"/>
    <s v="Midlands"/>
    <s v="Individual"/>
    <s v="Office"/>
    <s v="Wireless Mouse"/>
    <n v="1"/>
    <n v="35.81"/>
    <n v="16.88"/>
    <n v="0.1"/>
    <n v="7"/>
    <n v="4"/>
    <s v="No"/>
    <s v="Online"/>
    <s v="Card"/>
    <s v="Individual"/>
    <s v="Midlands"/>
    <s v="Office"/>
    <x v="152"/>
    <n v="1"/>
    <s v="Wireless Mouse"/>
    <n v="32.229000000000006"/>
    <n v="16.88"/>
    <n v="15.349000000000007"/>
    <n v="0.4762480995376836"/>
  </r>
  <r>
    <s v="BC-101603"/>
    <s v="03/12/2025"/>
    <s v="London"/>
    <s v="Individual"/>
    <s v="Furniture"/>
    <s v="Side Table"/>
    <n v="1"/>
    <n v="92.44"/>
    <n v="52.58"/>
    <n v="0.15000000000000002"/>
    <n v="8"/>
    <n v="3"/>
    <s v="No"/>
    <s v="Online"/>
    <s v="Card"/>
    <s v="Individual"/>
    <s v="London"/>
    <s v="Furniture"/>
    <x v="108"/>
    <n v="1"/>
    <s v="Side Table"/>
    <n v="78.573999999999998"/>
    <n v="52.58"/>
    <n v="25.994"/>
    <n v="0.33082190037416959"/>
  </r>
  <r>
    <s v="BC-100519"/>
    <d v="2025-06-18T00:00:00"/>
    <s v="North"/>
    <s v="Small Business"/>
    <s v="Electronics"/>
    <s v="SmartHome Hub"/>
    <n v="5"/>
    <n v="134.88"/>
    <n v="84.9"/>
    <n v="0.05"/>
    <n v="5"/>
    <n v="4"/>
    <s v="No"/>
    <s v="Online"/>
    <s v="Bank Transfer"/>
    <s v="Small Business"/>
    <s v="North"/>
    <s v="Electronics"/>
    <x v="153"/>
    <n v="1"/>
    <s v="SmartHome Hub"/>
    <n v="640.67999999999995"/>
    <n v="424.5"/>
    <n v="216.17999999999995"/>
    <n v="0.33742273834051317"/>
  </r>
  <r>
    <s v="BC-101936"/>
    <d v="2025-06-22T00:00:00"/>
    <s v="London"/>
    <s v="Individual"/>
    <s v="Home &amp; Kitchen"/>
    <s v="Electric Kettle"/>
    <n v="1"/>
    <n v="40.4"/>
    <n v="19.86"/>
    <n v="0"/>
    <n v="1"/>
    <n v="4"/>
    <s v="No"/>
    <s v="Phone"/>
    <s v="Card"/>
    <s v="Individual"/>
    <s v="London"/>
    <s v="Home &amp; Kitchen"/>
    <x v="154"/>
    <n v="1"/>
    <s v="Electric Kettle"/>
    <n v="40.4"/>
    <n v="19.86"/>
    <n v="20.54"/>
    <n v="0.50841584158415842"/>
  </r>
  <r>
    <s v="BC-101422"/>
    <d v="2025-08-26T00:00:00"/>
    <s v="North"/>
    <s v="Individual"/>
    <s v="Electronics"/>
    <s v="Wireless Headset"/>
    <n v="2"/>
    <n v="59.13"/>
    <n v="34.19"/>
    <n v="0"/>
    <n v="4"/>
    <n v="3"/>
    <s v="Yes"/>
    <s v="Online"/>
    <s v="Card"/>
    <s v="Individual"/>
    <s v="North"/>
    <s v="Electronics"/>
    <x v="155"/>
    <n v="1"/>
    <s v="Wireless Headset"/>
    <n v="118.26"/>
    <n v="68.38"/>
    <n v="49.88000000000001"/>
    <n v="0.42178251310671411"/>
  </r>
  <r>
    <s v="BC-101701"/>
    <d v="2025-02-02T00:00:00"/>
    <s v="Midlands"/>
    <s v="Individual"/>
    <s v="Home &amp; Kitchen"/>
    <s v="Coffee Maker"/>
    <n v="1"/>
    <n v="77.97"/>
    <n v="44.78"/>
    <n v="0"/>
    <n v="3"/>
    <n v="4"/>
    <s v="No"/>
    <s v="Online"/>
    <s v="Card"/>
    <s v="Individual"/>
    <s v="Midlands"/>
    <s v="Home &amp; Kitchen"/>
    <x v="156"/>
    <n v="1"/>
    <s v="Coffee Maker"/>
    <n v="77.97"/>
    <n v="44.78"/>
    <n v="33.19"/>
    <n v="0.42567654225984353"/>
  </r>
  <r>
    <s v="BC-101657"/>
    <d v="2025-08-18T00:00:00"/>
    <s v="London"/>
    <s v="Individual"/>
    <s v="Furniture"/>
    <s v="Side Table"/>
    <n v="1"/>
    <n v="87.68"/>
    <n v="52.4"/>
    <n v="0.1"/>
    <n v="3"/>
    <n v="4"/>
    <s v="No"/>
    <s v="Online"/>
    <s v="Card"/>
    <s v="Individual"/>
    <s v="London"/>
    <s v="Furniture"/>
    <x v="157"/>
    <n v="1"/>
    <s v="Side Table"/>
    <n v="78.912000000000006"/>
    <n v="52.4"/>
    <n v="26.512000000000008"/>
    <n v="0.33596918085969185"/>
  </r>
  <r>
    <s v="BC-100873"/>
    <d v="2025-02-24T00:00:00"/>
    <s v="South"/>
    <s v="Individual"/>
    <s v="Home &amp; Kitchen"/>
    <s v="Blender"/>
    <n v="1"/>
    <n v="65.98"/>
    <n v="35.46"/>
    <n v="0.1"/>
    <n v="5"/>
    <n v="3"/>
    <s v="Yes"/>
    <s v="Online"/>
    <s v="Card"/>
    <s v="Individual"/>
    <s v="South"/>
    <s v="Home &amp; Kitchen"/>
    <x v="158"/>
    <n v="1"/>
    <s v="Blender"/>
    <n v="59.382000000000005"/>
    <n v="35.46"/>
    <n v="23.922000000000004"/>
    <n v="0.40284934828735985"/>
  </r>
  <r>
    <s v="BC-100827"/>
    <d v="2025-05-14T00:00:00"/>
    <s v="London"/>
    <s v="Individual"/>
    <s v="Furniture"/>
    <s v="Bookshelf"/>
    <n v="2"/>
    <n v="119.19"/>
    <n v="73.849999999999994"/>
    <n v="0"/>
    <n v="6"/>
    <n v="4"/>
    <s v="No"/>
    <s v="Online"/>
    <s v="Card"/>
    <s v="Individual"/>
    <s v="London"/>
    <s v="Furniture"/>
    <x v="159"/>
    <n v="1"/>
    <s v="Bookshelf"/>
    <n v="238.38"/>
    <n v="147.69999999999999"/>
    <n v="90.68"/>
    <n v="0.38040104035573458"/>
  </r>
  <r>
    <s v="BC-100155"/>
    <d v="2025-01-04T00:00:00"/>
    <s v="Midlands"/>
    <s v="Individual"/>
    <s v="Home &amp; Kitchen"/>
    <s v="Electric Kettle"/>
    <n v="1"/>
    <n v="38.909999999999997"/>
    <n v="19.7"/>
    <n v="0"/>
    <n v="3"/>
    <n v="4"/>
    <s v="No"/>
    <s v="Online"/>
    <s v="Card"/>
    <s v="Individual"/>
    <s v="Midlands"/>
    <s v="Home &amp; Kitchen"/>
    <x v="160"/>
    <n v="1"/>
    <s v="Electric Kettle"/>
    <n v="38.909999999999997"/>
    <n v="19.7"/>
    <n v="19.209999999999997"/>
    <n v="0.49370341814443586"/>
  </r>
  <r>
    <s v="BC-101171"/>
    <d v="2025-03-23T00:00:00"/>
    <s v="South"/>
    <s v="Small Business"/>
    <s v="Home &amp; Kitchen"/>
    <s v="Air Fryer"/>
    <n v="3"/>
    <n v="112.68"/>
    <n v="69.05"/>
    <n v="0.1"/>
    <n v="6"/>
    <n v="3"/>
    <s v="Yes"/>
    <s v="Online"/>
    <s v="Bank Transfer"/>
    <s v="Small Business"/>
    <s v="South"/>
    <s v="Home &amp; Kitchen"/>
    <x v="161"/>
    <n v="1"/>
    <s v="Air Fryer"/>
    <n v="304.23600000000005"/>
    <n v="207.14999999999998"/>
    <n v="97.08600000000007"/>
    <n v="0.31911410878397051"/>
  </r>
  <r>
    <s v="BC-101816"/>
    <d v="2025-10-31T00:00:00"/>
    <s v="London"/>
    <s v="Individual"/>
    <s v="Electronics"/>
    <s v="SmartHome Hub"/>
    <n v="1"/>
    <n v="127.77"/>
    <n v="87.91"/>
    <n v="0.05"/>
    <n v="0"/>
    <n v="3"/>
    <s v="Yes"/>
    <s v="Store"/>
    <s v="Bank Transfer"/>
    <s v="Individual"/>
    <s v="London"/>
    <s v="Electronics"/>
    <x v="46"/>
    <n v="1"/>
    <s v="SmartHome Hub"/>
    <n v="121.38149999999999"/>
    <n v="87.91"/>
    <n v="33.471499999999992"/>
    <n v="0.27575454249617937"/>
  </r>
  <r>
    <s v="BC-101147"/>
    <d v="2025-04-10T00:00:00"/>
    <s v="London"/>
    <s v="Individual"/>
    <s v="Office"/>
    <s v="Ergonomic Keyboard"/>
    <n v="1"/>
    <n v="70.88"/>
    <n v="38.75"/>
    <n v="0.1"/>
    <n v="3"/>
    <n v="4"/>
    <s v="No"/>
    <s v="Online"/>
    <s v="Card"/>
    <s v="Individual"/>
    <s v="London"/>
    <s v="Office"/>
    <x v="162"/>
    <n v="1"/>
    <s v="Ergonomic Keyboard"/>
    <n v="63.791999999999994"/>
    <n v="38.75"/>
    <n v="25.041999999999994"/>
    <n v="0.39255706044645089"/>
  </r>
  <r>
    <s v="BC-100494"/>
    <d v="2025-12-18T00:00:00"/>
    <s v="North"/>
    <s v="Individual"/>
    <s v="Home &amp; Kitchen"/>
    <s v="Blender"/>
    <n v="3"/>
    <n v="66.28"/>
    <n v="34.97"/>
    <n v="0"/>
    <n v="4"/>
    <n v="4"/>
    <s v="No"/>
    <s v="Online"/>
    <s v="Card"/>
    <s v="Individual"/>
    <s v="North"/>
    <s v="Home &amp; Kitchen"/>
    <x v="114"/>
    <n v="1"/>
    <s v="Blender"/>
    <n v="198.84"/>
    <n v="104.91"/>
    <n v="93.93"/>
    <n v="0.47238986119493065"/>
  </r>
  <r>
    <s v="BC-101960"/>
    <d v="2025-12-22T00:00:00"/>
    <s v="London"/>
    <s v="Individual"/>
    <s v="Office"/>
    <s v="Laptop Stand"/>
    <n v="2"/>
    <n v="45.01"/>
    <n v="21.52"/>
    <n v="0.1"/>
    <n v="2"/>
    <n v="4"/>
    <s v="No"/>
    <s v="Online"/>
    <s v="Bank Transfer"/>
    <s v="Individual"/>
    <s v="London"/>
    <s v="Office"/>
    <x v="36"/>
    <n v="1"/>
    <s v="Laptop Stand"/>
    <n v="81.018000000000001"/>
    <n v="43.04"/>
    <n v="37.978000000000002"/>
    <n v="0.46876002863561184"/>
  </r>
  <r>
    <s v="BC-101815"/>
    <d v="2025-06-20T00:00:00"/>
    <s v="South"/>
    <s v="Corporate"/>
    <s v="Home &amp; Kitchen"/>
    <s v="Electric Kettle"/>
    <n v="5"/>
    <n v="40.67"/>
    <n v="19.579999999999998"/>
    <n v="0.15000000000000002"/>
    <n v="2"/>
    <n v="3"/>
    <s v="Yes"/>
    <s v="Store"/>
    <s v="Card"/>
    <s v="Corporate"/>
    <s v="South"/>
    <s v="Home &amp; Kitchen"/>
    <x v="163"/>
    <n v="1"/>
    <s v="Electric Kettle"/>
    <n v="172.84750000000003"/>
    <n v="97.899999999999991"/>
    <n v="74.947500000000034"/>
    <n v="0.43360476720808816"/>
  </r>
  <r>
    <s v="BC-101107"/>
    <d v="2025-05-17T00:00:00"/>
    <s v="Midlands"/>
    <s v="Corporate"/>
    <s v="Office"/>
    <s v="Laptop Stand"/>
    <n v="4"/>
    <n v="45.82"/>
    <n v="21.91"/>
    <n v="0.1"/>
    <n v="3"/>
    <n v="5"/>
    <s v="No"/>
    <s v="Online"/>
    <s v="Card"/>
    <s v="Corporate"/>
    <s v="Midlands"/>
    <s v="Office"/>
    <x v="164"/>
    <n v="1"/>
    <s v="Laptop Stand"/>
    <n v="164.952"/>
    <n v="87.64"/>
    <n v="77.311999999999998"/>
    <n v="0.46869392308065377"/>
  </r>
  <r>
    <s v="BC-101797"/>
    <d v="2025-03-12T00:00:00"/>
    <s v="South"/>
    <s v="Individual"/>
    <s v="Home &amp; Kitchen"/>
    <s v="Coffee Maker"/>
    <n v="1"/>
    <n v="80.66"/>
    <n v="46.03"/>
    <n v="0.05"/>
    <n v="4"/>
    <n v="5"/>
    <s v="No"/>
    <s v="Store"/>
    <s v="Digital Wallet"/>
    <s v="Individual"/>
    <s v="South"/>
    <s v="Home &amp; Kitchen"/>
    <x v="45"/>
    <n v="1"/>
    <s v="Coffee Maker"/>
    <n v="76.626999999999995"/>
    <n v="46.03"/>
    <n v="30.596999999999994"/>
    <n v="0.39929789760789275"/>
  </r>
  <r>
    <s v="BC-100509"/>
    <d v="2025-11-18T00:00:00"/>
    <s v="London"/>
    <s v="Individual"/>
    <s v="Electronics"/>
    <s v="SmartHome Hub"/>
    <n v="1"/>
    <n v="127.09"/>
    <n v="87.07"/>
    <n v="0.1"/>
    <n v="5"/>
    <n v="4"/>
    <s v="No"/>
    <s v="Store"/>
    <s v="Bank Transfer"/>
    <s v="Individual"/>
    <s v="London"/>
    <s v="Electronics"/>
    <x v="26"/>
    <n v="1"/>
    <s v="SmartHome Hub"/>
    <n v="114.381"/>
    <n v="87.07"/>
    <n v="27.311000000000007"/>
    <n v="0.23877217370017753"/>
  </r>
  <r>
    <s v="BC-100726"/>
    <d v="2025-08-14T00:00:00"/>
    <s v="North"/>
    <s v="Individual"/>
    <s v="Furniture"/>
    <s v="Storage Cabinet"/>
    <n v="1"/>
    <n v="162.12"/>
    <n v="103.03"/>
    <n v="0.05"/>
    <n v="9"/>
    <n v="3"/>
    <s v="No"/>
    <s v="Online"/>
    <s v="Card"/>
    <s v="Individual"/>
    <s v="North"/>
    <s v="Furniture"/>
    <x v="165"/>
    <n v="1"/>
    <s v="Storage Cabinet"/>
    <n v="154.01400000000001"/>
    <n v="103.03"/>
    <n v="50.984000000000009"/>
    <n v="0.33103484098848163"/>
  </r>
  <r>
    <s v="BC-100430"/>
    <d v="2025-12-14T00:00:00"/>
    <s v="London"/>
    <s v="Individual"/>
    <s v="Electronics"/>
    <s v="SmartHome Hub"/>
    <n v="2"/>
    <n v="127.18"/>
    <n v="81.78"/>
    <n v="0.05"/>
    <n v="2"/>
    <n v="4"/>
    <s v="No"/>
    <s v="Store"/>
    <s v="Card"/>
    <s v="Individual"/>
    <s v="London"/>
    <s v="Electronics"/>
    <x v="166"/>
    <n v="1"/>
    <s v="SmartHome Hub"/>
    <n v="241.642"/>
    <n v="163.56"/>
    <n v="78.081999999999994"/>
    <n v="0.32313091267246585"/>
  </r>
  <r>
    <s v="BC-100072"/>
    <d v="2025-10-27T00:00:00"/>
    <s v="London"/>
    <s v="Individual"/>
    <s v="Electronics"/>
    <s v="Webcam"/>
    <n v="2"/>
    <n v="48.97"/>
    <n v="26.76"/>
    <n v="0.1"/>
    <n v="0"/>
    <n v="4"/>
    <s v="No"/>
    <s v="Store"/>
    <s v="Card"/>
    <s v="Individual"/>
    <s v="London"/>
    <s v="Electronics"/>
    <x v="35"/>
    <n v="1"/>
    <s v="Webcam"/>
    <n v="88.146000000000001"/>
    <n v="53.52"/>
    <n v="34.625999999999998"/>
    <n v="0.39282553944591925"/>
  </r>
  <r>
    <s v="BC-101803"/>
    <d v="2025-05-15T00:00:00"/>
    <s v="South"/>
    <s v="Corporate"/>
    <s v="Home &amp; Kitchen"/>
    <s v="Electric Kettle"/>
    <n v="5"/>
    <n v="41.34"/>
    <n v="19.46"/>
    <n v="0.15000000000000002"/>
    <n v="5"/>
    <n v="4"/>
    <s v="No"/>
    <s v="Store"/>
    <s v="Bank Transfer"/>
    <s v="Corporate"/>
    <s v="South"/>
    <s v="Home &amp; Kitchen"/>
    <x v="47"/>
    <n v="1"/>
    <s v="Electric Kettle"/>
    <n v="175.69500000000002"/>
    <n v="97.300000000000011"/>
    <n v="78.39500000000001"/>
    <n v="0.4461993796067048"/>
  </r>
  <r>
    <s v="BC-100548"/>
    <d v="2025-08-27T00:00:00"/>
    <s v="South"/>
    <s v="Individual"/>
    <s v="Office"/>
    <s v="Wireless Mouse"/>
    <n v="1"/>
    <n v="35.770000000000003"/>
    <n v="17.850000000000001"/>
    <n v="0.1"/>
    <n v="3"/>
    <n v="3"/>
    <s v="Yes"/>
    <s v="Store"/>
    <s v="Digital Wallet"/>
    <s v="Individual"/>
    <s v="South"/>
    <s v="Office"/>
    <x v="167"/>
    <n v="1"/>
    <s v="Wireless Mouse"/>
    <n v="32.193000000000005"/>
    <n v="17.850000000000001"/>
    <n v="14.343000000000004"/>
    <n v="0.44553163731245926"/>
  </r>
  <r>
    <s v="BC-100782"/>
    <d v="2025-07-07T00:00:00"/>
    <s v="London"/>
    <s v="Small Business"/>
    <s v="Office"/>
    <s v="Wireless Mouse"/>
    <n v="2"/>
    <n v="35.06"/>
    <n v="17.59"/>
    <n v="0"/>
    <n v="0"/>
    <n v="5"/>
    <s v="No"/>
    <s v="Store"/>
    <s v="Card"/>
    <s v="Small Business"/>
    <s v="London"/>
    <s v="Office"/>
    <x v="62"/>
    <n v="1"/>
    <s v="Wireless Mouse"/>
    <n v="70.12"/>
    <n v="35.18"/>
    <n v="34.940000000000005"/>
    <n v="0.49828864803194528"/>
  </r>
  <r>
    <s v="BC-100621"/>
    <d v="2025-05-06T00:00:00"/>
    <s v="North"/>
    <s v="Individual"/>
    <s v="Office"/>
    <s v="Laptop Stand"/>
    <n v="4"/>
    <n v="45.22"/>
    <n v="21.23"/>
    <n v="0.05"/>
    <n v="3"/>
    <n v="5"/>
    <s v="No"/>
    <s v="Online"/>
    <s v="Card"/>
    <s v="Individual"/>
    <s v="North"/>
    <s v="Office"/>
    <x v="168"/>
    <n v="1"/>
    <s v="Laptop Stand"/>
    <n v="171.83599999999998"/>
    <n v="84.92"/>
    <n v="86.915999999999983"/>
    <n v="0.50580786331152949"/>
  </r>
  <r>
    <s v="BC-100283"/>
    <d v="2025-09-28T00:00:00"/>
    <s v="North"/>
    <s v="Individual"/>
    <s v="Furniture"/>
    <s v="Office Chair"/>
    <n v="2"/>
    <n v="186.58"/>
    <n v="117.75"/>
    <n v="0"/>
    <n v="5"/>
    <n v="3"/>
    <s v="Yes"/>
    <s v="Online"/>
    <s v="Digital Wallet"/>
    <s v="Individual"/>
    <s v="North"/>
    <s v="Furniture"/>
    <x v="169"/>
    <n v="1"/>
    <s v="Office Chair"/>
    <n v="373.16"/>
    <n v="235.5"/>
    <n v="137.66000000000003"/>
    <n v="0.36890341944474225"/>
  </r>
  <r>
    <s v="BC-101354"/>
    <d v="2025-04-07T00:00:00"/>
    <s v="South"/>
    <s v="Individual"/>
    <s v="Electronics"/>
    <s v="Wireless Headset"/>
    <n v="3"/>
    <n v="58.93"/>
    <n v="34.950000000000003"/>
    <n v="0.15000000000000002"/>
    <n v="4"/>
    <n v="5"/>
    <s v="No"/>
    <s v="Online"/>
    <s v="Card"/>
    <s v="Individual"/>
    <s v="South"/>
    <s v="Electronics"/>
    <x v="2"/>
    <n v="1"/>
    <s v="Wireless Headset"/>
    <n v="150.2715"/>
    <n v="104.85000000000001"/>
    <n v="45.421499999999995"/>
    <n v="0.30226290414350021"/>
  </r>
  <r>
    <s v="BC-101674"/>
    <d v="2025-12-30T00:00:00"/>
    <s v="South"/>
    <s v="Individual"/>
    <s v="Home &amp; Kitchen"/>
    <s v="Electric Kettle"/>
    <n v="1"/>
    <n v="39.74"/>
    <n v="20.61"/>
    <n v="0.2"/>
    <n v="0"/>
    <n v="4"/>
    <s v="No"/>
    <s v="Store"/>
    <s v="Card"/>
    <s v="Individual"/>
    <s v="South"/>
    <s v="Home &amp; Kitchen"/>
    <x v="0"/>
    <n v="1"/>
    <s v="Electric Kettle"/>
    <n v="31.792000000000002"/>
    <n v="20.61"/>
    <n v="11.182000000000002"/>
    <n v="0.35172370407649728"/>
  </r>
  <r>
    <s v="BC-101951"/>
    <d v="2025-04-02T00:00:00"/>
    <s v="Midlands"/>
    <s v="Individual"/>
    <s v="Furniture"/>
    <s v="Bookshelf"/>
    <n v="3"/>
    <n v="120.19"/>
    <n v="72.77"/>
    <n v="0.05"/>
    <n v="5"/>
    <n v="5"/>
    <s v="No"/>
    <s v="Online"/>
    <s v="Card"/>
    <s v="Individual"/>
    <s v="Midlands"/>
    <s v="Furniture"/>
    <x v="170"/>
    <n v="1"/>
    <s v="Bookshelf"/>
    <n v="342.54149999999998"/>
    <n v="218.31"/>
    <n v="124.23149999999998"/>
    <n v="0.36267576337465673"/>
  </r>
  <r>
    <s v="BC-100823"/>
    <d v="2025-09-06T00:00:00"/>
    <s v="North"/>
    <s v="Individual"/>
    <s v="Furniture"/>
    <s v="Storage Cabinet"/>
    <n v="3"/>
    <n v="160.26"/>
    <n v="105.69"/>
    <n v="0.05"/>
    <n v="0"/>
    <n v="4"/>
    <s v="No"/>
    <s v="Store"/>
    <s v="Card"/>
    <s v="Individual"/>
    <s v="North"/>
    <s v="Furniture"/>
    <x v="171"/>
    <n v="1"/>
    <s v="Storage Cabinet"/>
    <n v="456.74099999999993"/>
    <n v="317.07"/>
    <n v="139.67099999999994"/>
    <n v="0.30579912904687767"/>
  </r>
  <r>
    <s v="BC-101607"/>
    <d v="2025-11-15T00:00:00"/>
    <s v="North"/>
    <s v="Individual"/>
    <s v="Electronics"/>
    <s v="Webcam"/>
    <n v="1"/>
    <n v="50.68"/>
    <n v="26.89"/>
    <n v="0.15000000000000002"/>
    <n v="3"/>
    <n v="4"/>
    <s v="No"/>
    <s v="Online"/>
    <s v="Card"/>
    <s v="Individual"/>
    <s v="North"/>
    <s v="Electronics"/>
    <x v="172"/>
    <n v="1"/>
    <s v="Webcam"/>
    <n v="43.077999999999996"/>
    <n v="26.89"/>
    <n v="16.187999999999995"/>
    <n v="0.37578346255629314"/>
  </r>
  <r>
    <s v="BC-101313"/>
    <d v="2025-02-05T00:00:00"/>
    <s v="North"/>
    <s v="Individual"/>
    <s v="Electronics"/>
    <s v="Portable Speaker"/>
    <n v="2"/>
    <n v="76.84"/>
    <n v="44.28"/>
    <n v="0.05"/>
    <n v="4"/>
    <n v="5"/>
    <s v="No"/>
    <s v="Online"/>
    <s v="Card"/>
    <s v="Individual"/>
    <s v="North"/>
    <s v="Electronics"/>
    <x v="173"/>
    <n v="1"/>
    <s v="Portable Speaker"/>
    <n v="145.99600000000001"/>
    <n v="88.56"/>
    <n v="57.436000000000007"/>
    <n v="0.39340803857639939"/>
  </r>
  <r>
    <s v="BC-101213"/>
    <d v="2025-04-28T00:00:00"/>
    <s v="South"/>
    <s v="Small Business"/>
    <s v="Electronics"/>
    <s v="Webcam"/>
    <n v="5"/>
    <n v="50.65"/>
    <n v="25.57"/>
    <n v="0.15000000000000002"/>
    <n v="7"/>
    <n v="4"/>
    <s v="No"/>
    <s v="Phone"/>
    <s v="Card"/>
    <s v="Small Business"/>
    <s v="South"/>
    <s v="Electronics"/>
    <x v="174"/>
    <n v="1"/>
    <s v="Webcam"/>
    <n v="215.26249999999999"/>
    <n v="127.85"/>
    <n v="87.412499999999994"/>
    <n v="0.40607397944370244"/>
  </r>
  <r>
    <s v="BC-101641"/>
    <d v="2025-06-04T00:00:00"/>
    <s v="London"/>
    <s v="Corporate"/>
    <s v="Office"/>
    <s v="Desk Lamp"/>
    <n v="6"/>
    <n v="39.380000000000003"/>
    <n v="19.940000000000001"/>
    <n v="0.1"/>
    <n v="0"/>
    <n v="5"/>
    <s v="No"/>
    <s v="Store"/>
    <s v="Digital Wallet"/>
    <s v="Corporate"/>
    <s v="London"/>
    <s v="Office"/>
    <x v="175"/>
    <n v="1"/>
    <s v="Desk Lamp"/>
    <n v="212.65200000000004"/>
    <n v="119.64000000000001"/>
    <n v="93.012000000000029"/>
    <n v="0.43739066644094582"/>
  </r>
  <r>
    <s v="BC-100717"/>
    <d v="2025-06-25T00:00:00"/>
    <s v="Midlands"/>
    <s v="Small Business"/>
    <s v="Home &amp; Kitchen"/>
    <s v="Electric Kettle"/>
    <n v="3"/>
    <n v="40.39"/>
    <n v="20.309999999999999"/>
    <n v="0"/>
    <n v="7"/>
    <n v="3"/>
    <s v="No"/>
    <s v="Online"/>
    <s v="Card"/>
    <s v="Small Business"/>
    <s v="Midlands"/>
    <s v="Home &amp; Kitchen"/>
    <x v="20"/>
    <n v="1"/>
    <s v="Electric Kettle"/>
    <n v="121.17"/>
    <n v="60.929999999999993"/>
    <n v="60.240000000000009"/>
    <n v="0.49715276058430313"/>
  </r>
  <r>
    <s v="BC-100915"/>
    <d v="2025-11-20T00:00:00"/>
    <s v="North"/>
    <s v="Individual"/>
    <s v="Electronics"/>
    <s v="Wireless Headset"/>
    <n v="2"/>
    <n v="58.83"/>
    <n v="34.090000000000003"/>
    <n v="0.05"/>
    <n v="5"/>
    <n v="4"/>
    <s v="No"/>
    <s v="Online"/>
    <s v="Digital Wallet"/>
    <s v="Individual"/>
    <s v="North"/>
    <s v="Electronics"/>
    <x v="33"/>
    <n v="1"/>
    <s v="Wireless Headset"/>
    <n v="111.77699999999999"/>
    <n v="68.180000000000007"/>
    <n v="43.59699999999998"/>
    <n v="0.39003551714574541"/>
  </r>
  <r>
    <s v="BC-100013"/>
    <d v="2025-05-15T00:00:00"/>
    <s v="South"/>
    <s v="Small Business"/>
    <s v="Furniture"/>
    <s v="Office Chair"/>
    <n v="4"/>
    <n v="178.6"/>
    <n v="114.65"/>
    <n v="0"/>
    <n v="6"/>
    <n v="3"/>
    <s v="Yes"/>
    <s v="Store"/>
    <s v="Card"/>
    <s v="Small Business"/>
    <s v="South"/>
    <s v="Furniture"/>
    <x v="47"/>
    <n v="1"/>
    <s v="Office Chair"/>
    <n v="714.4"/>
    <n v="458.6"/>
    <n v="255.79999999999995"/>
    <n v="0.35806270996640532"/>
  </r>
  <r>
    <s v="BC-101507"/>
    <d v="2025-11-06T00:00:00"/>
    <s v="Midlands"/>
    <s v="Individual"/>
    <s v="Furniture"/>
    <s v="Bookshelf"/>
    <n v="3"/>
    <n v="121.61"/>
    <n v="70.290000000000006"/>
    <n v="0.05"/>
    <n v="5"/>
    <n v="4"/>
    <s v="No"/>
    <s v="Online"/>
    <s v="Card"/>
    <s v="Individual"/>
    <s v="Midlands"/>
    <s v="Furniture"/>
    <x v="176"/>
    <n v="1"/>
    <s v="Bookshelf"/>
    <n v="346.58849999999995"/>
    <n v="210.87"/>
    <n v="135.71849999999995"/>
    <n v="0.39158396773118542"/>
  </r>
  <r>
    <s v="BC-101847"/>
    <d v="2025-07-05T00:00:00"/>
    <s v="South"/>
    <s v="Individual"/>
    <s v="Office"/>
    <s v="Wireless Mouse"/>
    <n v="3"/>
    <n v="34.64"/>
    <n v="17.64"/>
    <n v="0.1"/>
    <n v="0"/>
    <n v="5"/>
    <s v="No"/>
    <s v="Store"/>
    <s v="Card"/>
    <s v="Individual"/>
    <s v="South"/>
    <s v="Office"/>
    <x v="177"/>
    <n v="1"/>
    <s v="Wireless Mouse"/>
    <n v="93.528000000000006"/>
    <n v="52.92"/>
    <n v="40.608000000000004"/>
    <n v="0.43418013856812937"/>
  </r>
  <r>
    <s v="BC-100664"/>
    <d v="2025-05-17T00:00:00"/>
    <s v="South"/>
    <s v="Individual"/>
    <s v="Electronics"/>
    <s v="SmartHome Hub"/>
    <n v="1"/>
    <n v="130.34"/>
    <n v="81.489999999999995"/>
    <n v="0.05"/>
    <n v="3"/>
    <n v="4"/>
    <s v="No"/>
    <s v="Online"/>
    <s v="Bank Transfer"/>
    <s v="Individual"/>
    <s v="South"/>
    <s v="Electronics"/>
    <x v="164"/>
    <n v="1"/>
    <s v="SmartHome Hub"/>
    <n v="123.82299999999999"/>
    <n v="81.489999999999995"/>
    <n v="42.332999999999998"/>
    <n v="0.34188317194705348"/>
  </r>
  <r>
    <s v="BC-101072"/>
    <d v="2025-11-16T00:00:00"/>
    <s v="South"/>
    <s v="Individual"/>
    <s v="Furniture"/>
    <s v="Office Chair"/>
    <n v="4"/>
    <n v="179.68"/>
    <n v="114.14"/>
    <n v="0.25"/>
    <n v="3"/>
    <n v="5"/>
    <s v="No"/>
    <s v="Online"/>
    <s v="Bank Transfer"/>
    <s v="Individual"/>
    <s v="South"/>
    <s v="Furniture"/>
    <x v="178"/>
    <n v="1"/>
    <s v="Office Chair"/>
    <n v="539.04"/>
    <n v="456.56"/>
    <n v="82.479999999999961"/>
    <n v="0.1530127634312852"/>
  </r>
  <r>
    <s v="BC-100588"/>
    <d v="2025-10-13T00:00:00"/>
    <s v="Midlands"/>
    <s v="Small Business"/>
    <s v="Home &amp; Kitchen"/>
    <s v="Electric Kettle"/>
    <n v="4"/>
    <n v="40.229999999999997"/>
    <n v="19.63"/>
    <n v="0"/>
    <n v="4"/>
    <n v="5"/>
    <s v="No"/>
    <s v="Store"/>
    <s v="Card"/>
    <s v="Small Business"/>
    <s v="Midlands"/>
    <s v="Home &amp; Kitchen"/>
    <x v="52"/>
    <n v="1"/>
    <s v="Electric Kettle"/>
    <n v="160.91999999999999"/>
    <n v="78.52"/>
    <n v="82.399999999999991"/>
    <n v="0.51205567984091471"/>
  </r>
  <r>
    <s v="BC-100062"/>
    <d v="2025-08-19T00:00:00"/>
    <s v="North"/>
    <s v="Individual"/>
    <s v="Electronics"/>
    <s v="Wireless Headset"/>
    <n v="3"/>
    <n v="60.58"/>
    <n v="33.89"/>
    <n v="0"/>
    <n v="2"/>
    <n v="4"/>
    <s v="Yes"/>
    <s v="Online"/>
    <s v="Card"/>
    <s v="Individual"/>
    <s v="North"/>
    <s v="Electronics"/>
    <x v="122"/>
    <n v="1"/>
    <s v="Wireless Headset"/>
    <n v="181.74"/>
    <n v="101.67"/>
    <n v="80.070000000000007"/>
    <n v="0.44057444701221526"/>
  </r>
  <r>
    <s v="BC-100299"/>
    <d v="2025-07-06T00:00:00"/>
    <s v="North"/>
    <s v="Individual"/>
    <s v="Furniture"/>
    <s v="Bookshelf"/>
    <n v="1"/>
    <n v="117.6"/>
    <n v="72.069999999999993"/>
    <n v="0"/>
    <n v="5"/>
    <n v="5"/>
    <s v="No"/>
    <s v="Store"/>
    <s v="Card"/>
    <s v="Individual"/>
    <s v="North"/>
    <s v="Furniture"/>
    <x v="179"/>
    <n v="1"/>
    <s v="Bookshelf"/>
    <n v="117.6"/>
    <n v="72.069999999999993"/>
    <n v="45.53"/>
    <n v="0.38715986394557828"/>
  </r>
  <r>
    <s v="BC-101141"/>
    <d v="2025-11-03T00:00:00"/>
    <s v="London"/>
    <s v="Corporate"/>
    <s v="Electronics"/>
    <s v="SmartHome Hub"/>
    <n v="5"/>
    <n v="134.41"/>
    <n v="83.01"/>
    <n v="0.1"/>
    <n v="3"/>
    <n v="3"/>
    <s v="Yes"/>
    <s v="Online"/>
    <s v="Card"/>
    <s v="Corporate"/>
    <s v="London"/>
    <s v="Electronics"/>
    <x v="180"/>
    <n v="1"/>
    <s v="SmartHome Hub"/>
    <n v="604.84500000000003"/>
    <n v="415.05"/>
    <n v="189.79500000000002"/>
    <n v="0.31379113657217966"/>
  </r>
  <r>
    <s v="BC-100183"/>
    <d v="2025-01-10T00:00:00"/>
    <s v="London"/>
    <s v="Individual"/>
    <s v="Office"/>
    <s v="Wireless Mouse"/>
    <n v="2"/>
    <n v="35.25"/>
    <n v="16.559999999999999"/>
    <n v="0.05"/>
    <n v="0"/>
    <n v="4"/>
    <s v="No"/>
    <s v="Store"/>
    <s v="Bank Transfer"/>
    <s v="Individual"/>
    <s v="London"/>
    <s v="Office"/>
    <x v="181"/>
    <n v="1"/>
    <s v="Wireless Mouse"/>
    <n v="66.974999999999994"/>
    <n v="33.119999999999997"/>
    <n v="33.854999999999997"/>
    <n v="0.50548712206047031"/>
  </r>
  <r>
    <s v="BC-100746"/>
    <d v="2025-11-07T00:00:00"/>
    <s v="North"/>
    <s v="Individual"/>
    <s v="Furniture"/>
    <s v="Bookshelf"/>
    <n v="2"/>
    <n v="120.86"/>
    <n v="74.87"/>
    <n v="0.05"/>
    <n v="4"/>
    <n v="5"/>
    <s v="No"/>
    <s v="Online"/>
    <s v="Card"/>
    <s v="Individual"/>
    <s v="North"/>
    <s v="Furniture"/>
    <x v="182"/>
    <n v="1"/>
    <s v="Bookshelf"/>
    <n v="229.63399999999999"/>
    <n v="149.74"/>
    <n v="79.893999999999977"/>
    <n v="0.34791886218939694"/>
  </r>
  <r>
    <s v="BC-100138"/>
    <d v="2025-09-24T00:00:00"/>
    <s v="North"/>
    <s v="Individual"/>
    <s v="Home &amp; Kitchen"/>
    <s v="Blender"/>
    <n v="2"/>
    <n v="65.540000000000006"/>
    <n v="34.049999999999997"/>
    <n v="0.05"/>
    <n v="0"/>
    <n v="5"/>
    <s v="No"/>
    <s v="Store"/>
    <s v="Bank Transfer"/>
    <s v="Individual"/>
    <s v="North"/>
    <s v="Home &amp; Kitchen"/>
    <x v="146"/>
    <n v="1"/>
    <s v="Blender"/>
    <n v="124.52600000000001"/>
    <n v="68.099999999999994"/>
    <n v="56.426000000000016"/>
    <n v="0.45312625475804258"/>
  </r>
  <r>
    <s v="BC-100753"/>
    <d v="2025-12-21T00:00:00"/>
    <s v="Midlands"/>
    <s v="Individual"/>
    <s v="Electronics"/>
    <s v="Wireless Headset"/>
    <n v="2"/>
    <n v="59.43"/>
    <n v="33.28"/>
    <n v="0.05"/>
    <n v="0"/>
    <n v="5"/>
    <s v="No"/>
    <s v="Store"/>
    <s v="Card"/>
    <s v="Individual"/>
    <s v="Midlands"/>
    <s v="Electronics"/>
    <x v="3"/>
    <n v="1"/>
    <s v="Wireless Headset"/>
    <n v="112.91699999999999"/>
    <n v="66.56"/>
    <n v="46.356999999999985"/>
    <n v="0.41054048548934163"/>
  </r>
  <r>
    <s v="BC-100611"/>
    <d v="2025-12-02T00:00:00"/>
    <s v="London"/>
    <s v="Small Business"/>
    <s v="Furniture"/>
    <s v="Storage Cabinet"/>
    <n v="3"/>
    <n v="156.74"/>
    <n v="105.74"/>
    <n v="0.15000000000000002"/>
    <n v="1"/>
    <n v="4"/>
    <s v="No"/>
    <s v="Store"/>
    <s v="Digital Wallet"/>
    <s v="Small Business"/>
    <s v="London"/>
    <s v="Furniture"/>
    <x v="183"/>
    <n v="1"/>
    <s v="Storage Cabinet"/>
    <n v="399.68700000000001"/>
    <n v="317.21999999999997"/>
    <n v="82.467000000000041"/>
    <n v="0.2063289524052572"/>
  </r>
  <r>
    <s v="BC-100806"/>
    <d v="2025-10-21T00:00:00"/>
    <s v="London"/>
    <s v="Individual"/>
    <s v="Home &amp; Kitchen"/>
    <s v="Coffee Maker"/>
    <n v="1"/>
    <n v="78.77"/>
    <n v="46.66"/>
    <n v="0.05"/>
    <n v="0"/>
    <n v="4"/>
    <s v="No"/>
    <s v="Store"/>
    <s v="Bank Transfer"/>
    <s v="Individual"/>
    <s v="London"/>
    <s v="Home &amp; Kitchen"/>
    <x v="184"/>
    <n v="1"/>
    <s v="Coffee Maker"/>
    <n v="74.831499999999991"/>
    <n v="46.66"/>
    <n v="28.171499999999995"/>
    <n v="0.37646579314860718"/>
  </r>
  <r>
    <s v="BC-101382"/>
    <d v="2025-07-16T00:00:00"/>
    <s v="South"/>
    <s v="Small Business"/>
    <s v="Furniture"/>
    <s v="Office Chair"/>
    <n v="2"/>
    <n v="177.82"/>
    <n v="113.81"/>
    <n v="0.05"/>
    <n v="8"/>
    <n v="3"/>
    <s v="No"/>
    <s v="Online"/>
    <s v="Digital Wallet"/>
    <s v="Small Business"/>
    <s v="South"/>
    <s v="Furniture"/>
    <x v="185"/>
    <n v="1"/>
    <s v="Office Chair"/>
    <n v="337.85799999999995"/>
    <n v="227.62"/>
    <n v="110.23799999999994"/>
    <n v="0.3262850073107636"/>
  </r>
  <r>
    <s v="BC-100982"/>
    <d v="2025-01-13T00:00:00"/>
    <s v="Midlands"/>
    <s v="Individual"/>
    <s v="Furniture"/>
    <s v="Storage Cabinet"/>
    <n v="1"/>
    <n v="165.54"/>
    <n v="103.98"/>
    <n v="0"/>
    <n v="6"/>
    <n v="4"/>
    <s v="No"/>
    <s v="Phone"/>
    <s v="Digital Wallet"/>
    <s v="Individual"/>
    <s v="Midlands"/>
    <s v="Furniture"/>
    <x v="186"/>
    <n v="1"/>
    <s v="Storage Cabinet"/>
    <n v="165.54"/>
    <n v="103.98"/>
    <n v="61.559999999999988"/>
    <n v="0.37187386734324024"/>
  </r>
  <r>
    <s v="BC-100756"/>
    <d v="2025-06-27T00:00:00"/>
    <s v="Midlands"/>
    <s v="Corporate"/>
    <s v="Office"/>
    <s v="Wireless Mouse"/>
    <n v="8"/>
    <n v="36.31"/>
    <n v="17.68"/>
    <n v="0.05"/>
    <n v="4"/>
    <n v="4"/>
    <s v="No"/>
    <s v="Online"/>
    <s v="Bank Transfer"/>
    <s v="Corporate"/>
    <s v="Midlands"/>
    <s v="Office"/>
    <x v="56"/>
    <n v="1"/>
    <s v="Wireless Mouse"/>
    <n v="275.95600000000002"/>
    <n v="141.44"/>
    <n v="134.51600000000002"/>
    <n v="0.48745452173534914"/>
  </r>
  <r>
    <s v="BC-100751"/>
    <d v="2025-05-02T00:00:00"/>
    <s v="North"/>
    <s v="Individual"/>
    <s v="Electronics"/>
    <s v="Webcam"/>
    <n v="1"/>
    <n v="48.64"/>
    <n v="26.42"/>
    <n v="0.05"/>
    <n v="4"/>
    <n v="5"/>
    <s v="No"/>
    <s v="Online"/>
    <s v="Card"/>
    <s v="Individual"/>
    <s v="North"/>
    <s v="Electronics"/>
    <x v="37"/>
    <n v="1"/>
    <s v="Webcam"/>
    <n v="46.207999999999998"/>
    <n v="26.42"/>
    <n v="19.787999999999997"/>
    <n v="0.42823753462603875"/>
  </r>
  <r>
    <s v="BC-101088"/>
    <d v="2025-09-11T00:00:00"/>
    <s v="South"/>
    <s v="Individual"/>
    <s v="Office"/>
    <s v="Desk Lamp"/>
    <n v="2"/>
    <n v="39.200000000000003"/>
    <n v="18.87"/>
    <n v="0.05"/>
    <n v="4"/>
    <n v="5"/>
    <s v="No"/>
    <s v="Store"/>
    <s v="Card"/>
    <s v="Individual"/>
    <s v="South"/>
    <s v="Office"/>
    <x v="187"/>
    <n v="1"/>
    <s v="Desk Lamp"/>
    <n v="74.48"/>
    <n v="37.74"/>
    <n v="36.74"/>
    <n v="0.49328678839957035"/>
  </r>
  <r>
    <s v="BC-101483"/>
    <d v="2025-04-13T00:00:00"/>
    <s v="North"/>
    <s v="Individual"/>
    <s v="Furniture"/>
    <s v="Storage Cabinet"/>
    <n v="1"/>
    <n v="160.69999999999999"/>
    <n v="98.6"/>
    <n v="0.1"/>
    <n v="3"/>
    <n v="4"/>
    <s v="No"/>
    <s v="Store"/>
    <s v="Card"/>
    <s v="Individual"/>
    <s v="North"/>
    <s v="Furniture"/>
    <x v="188"/>
    <n v="1"/>
    <s v="Storage Cabinet"/>
    <n v="144.63"/>
    <n v="98.6"/>
    <n v="46.03"/>
    <n v="0.31826038857775013"/>
  </r>
  <r>
    <s v="BC-101522"/>
    <d v="2025-09-22T00:00:00"/>
    <s v="London"/>
    <s v="Individual"/>
    <s v="Office"/>
    <s v="Desk Lamp"/>
    <n v="2"/>
    <n v="40.130000000000003"/>
    <n v="19"/>
    <n v="0.1"/>
    <n v="7"/>
    <n v="4"/>
    <s v="No"/>
    <s v="Online"/>
    <s v="Bank Transfer"/>
    <s v="Individual"/>
    <s v="London"/>
    <s v="Office"/>
    <x v="189"/>
    <n v="1"/>
    <s v="Desk Lamp"/>
    <n v="72.234000000000009"/>
    <n v="38"/>
    <n v="34.234000000000009"/>
    <n v="0.4739319434061523"/>
  </r>
  <r>
    <s v="BC-101975"/>
    <d v="2025-06-22T00:00:00"/>
    <s v="South"/>
    <s v="Individual"/>
    <s v="Home &amp; Kitchen"/>
    <s v="Coffee Maker"/>
    <n v="2"/>
    <n v="77.94"/>
    <n v="45.36"/>
    <n v="0.05"/>
    <n v="2"/>
    <n v="4"/>
    <s v="No"/>
    <s v="Online"/>
    <s v="Card"/>
    <s v="Individual"/>
    <s v="South"/>
    <s v="Home &amp; Kitchen"/>
    <x v="154"/>
    <n v="1"/>
    <s v="Coffee Maker"/>
    <n v="148.08599999999998"/>
    <n v="90.72"/>
    <n v="57.365999999999985"/>
    <n v="0.38738300717150836"/>
  </r>
  <r>
    <s v="BC-100712"/>
    <d v="2025-09-03T00:00:00"/>
    <s v="North"/>
    <s v="Small Business"/>
    <s v="Electronics"/>
    <s v="Webcam"/>
    <n v="4"/>
    <n v="48.67"/>
    <n v="26.86"/>
    <n v="0"/>
    <n v="2"/>
    <n v="5"/>
    <s v="No"/>
    <s v="Online"/>
    <s v="Digital Wallet"/>
    <s v="Small Business"/>
    <s v="North"/>
    <s v="Electronics"/>
    <x v="106"/>
    <n v="1"/>
    <s v="Webcam"/>
    <n v="194.68"/>
    <n v="107.44"/>
    <n v="87.240000000000009"/>
    <n v="0.44811999178138484"/>
  </r>
  <r>
    <s v="BC-100300"/>
    <d v="2025-01-08T00:00:00"/>
    <s v="London"/>
    <s v="Individual"/>
    <s v="Furniture"/>
    <s v="Office Chair"/>
    <n v="2"/>
    <n v="185.61"/>
    <n v="119.53"/>
    <n v="0"/>
    <n v="0"/>
    <n v="4"/>
    <s v="No"/>
    <s v="Store"/>
    <s v="Card"/>
    <s v="Individual"/>
    <s v="London"/>
    <s v="Furniture"/>
    <x v="190"/>
    <n v="1"/>
    <s v="Office Chair"/>
    <n v="371.22"/>
    <n v="239.06"/>
    <n v="132.16000000000003"/>
    <n v="0.35601530089973604"/>
  </r>
  <r>
    <s v="BC-100017"/>
    <d v="2025-07-18T00:00:00"/>
    <s v="Midlands"/>
    <s v="Small Business"/>
    <s v="Home &amp; Kitchen"/>
    <s v="Blender"/>
    <n v="6"/>
    <n v="64.3"/>
    <n v="34.92"/>
    <n v="0.05"/>
    <n v="2"/>
    <n v="4"/>
    <s v="No"/>
    <s v="Online"/>
    <s v="Card"/>
    <s v="Small Business"/>
    <s v="Midlands"/>
    <s v="Home &amp; Kitchen"/>
    <x v="145"/>
    <n v="1"/>
    <s v="Blender"/>
    <n v="366.50999999999993"/>
    <n v="209.52"/>
    <n v="156.98999999999992"/>
    <n v="0.42833756241303089"/>
  </r>
  <r>
    <s v="BC-101693"/>
    <d v="2025-05-10T00:00:00"/>
    <s v="South"/>
    <s v="Individual"/>
    <s v="Office"/>
    <s v="Laptop Stand"/>
    <n v="2"/>
    <n v="44.68"/>
    <n v="21.92"/>
    <n v="0.1"/>
    <n v="6"/>
    <n v="4"/>
    <s v="No"/>
    <s v="Online"/>
    <s v="Card"/>
    <s v="Individual"/>
    <s v="South"/>
    <s v="Office"/>
    <x v="191"/>
    <n v="1"/>
    <s v="Laptop Stand"/>
    <n v="80.424000000000007"/>
    <n v="43.84"/>
    <n v="36.584000000000003"/>
    <n v="0.45488908783447729"/>
  </r>
  <r>
    <s v="BC-101976"/>
    <d v="2025-05-01T00:00:00"/>
    <s v="Midlands"/>
    <s v="Individual"/>
    <s v="Office"/>
    <s v="Ergonomic Keyboard"/>
    <n v="1"/>
    <n v="67.92"/>
    <n v="39.299999999999997"/>
    <n v="0.05"/>
    <n v="2"/>
    <n v="5"/>
    <s v="No"/>
    <s v="Online"/>
    <s v="Card"/>
    <s v="Individual"/>
    <s v="Midlands"/>
    <s v="Office"/>
    <x v="89"/>
    <n v="1"/>
    <s v="Ergonomic Keyboard"/>
    <n v="64.524000000000001"/>
    <n v="39.299999999999997"/>
    <n v="25.224000000000004"/>
    <n v="0.39092430723451743"/>
  </r>
  <r>
    <s v="BC-100416"/>
    <d v="2025-11-18T00:00:00"/>
    <s v="Midlands"/>
    <s v="Individual"/>
    <s v="Electronics"/>
    <s v="Wireless Headset"/>
    <n v="3"/>
    <n v="62.2"/>
    <n v="33.43"/>
    <n v="0.05"/>
    <n v="0"/>
    <n v="5"/>
    <s v="No"/>
    <s v="Store"/>
    <s v="Digital Wallet"/>
    <s v="Individual"/>
    <s v="Midlands"/>
    <s v="Electronics"/>
    <x v="26"/>
    <n v="1"/>
    <s v="Wireless Headset"/>
    <n v="177.27"/>
    <n v="100.28999999999999"/>
    <n v="76.980000000000018"/>
    <n v="0.43425283465899484"/>
  </r>
  <r>
    <s v="BC-100903"/>
    <d v="2025-08-10T00:00:00"/>
    <s v="Midlands"/>
    <s v="Individual"/>
    <s v="Home &amp; Kitchen"/>
    <s v="Air Fryer"/>
    <n v="1"/>
    <n v="106.77"/>
    <n v="67.959999999999994"/>
    <n v="0"/>
    <n v="3"/>
    <n v="4"/>
    <s v="No"/>
    <s v="Online"/>
    <s v="Card"/>
    <s v="Individual"/>
    <s v="Midlands"/>
    <s v="Home &amp; Kitchen"/>
    <x v="192"/>
    <n v="1"/>
    <s v="Air Fryer"/>
    <n v="106.77"/>
    <n v="67.959999999999994"/>
    <n v="38.81"/>
    <n v="0.3634916174955512"/>
  </r>
  <r>
    <s v="BC-101194"/>
    <d v="2025-07-30T00:00:00"/>
    <s v="London"/>
    <s v="Individual"/>
    <s v="Electronics"/>
    <s v="Portable Speaker"/>
    <n v="1"/>
    <n v="73.02"/>
    <n v="45.02"/>
    <n v="0.05"/>
    <n v="6"/>
    <n v="3"/>
    <s v="Yes"/>
    <s v="Online"/>
    <s v="Card"/>
    <s v="Individual"/>
    <s v="London"/>
    <s v="Electronics"/>
    <x v="193"/>
    <n v="1"/>
    <s v="Portable Speaker"/>
    <n v="69.369"/>
    <n v="45.02"/>
    <n v="24.348999999999997"/>
    <n v="0.35100693393302479"/>
  </r>
  <r>
    <s v="BC-100217"/>
    <d v="2025-02-14T00:00:00"/>
    <s v="London"/>
    <s v="Individual"/>
    <s v="Home &amp; Kitchen"/>
    <s v="Coffee Maker"/>
    <n v="4"/>
    <n v="83.11"/>
    <n v="47"/>
    <n v="0.05"/>
    <n v="2"/>
    <n v="4"/>
    <s v="No"/>
    <s v="Store"/>
    <s v="Bank Transfer"/>
    <s v="Individual"/>
    <s v="London"/>
    <s v="Home &amp; Kitchen"/>
    <x v="194"/>
    <n v="1"/>
    <s v="Coffee Maker"/>
    <n v="315.81799999999998"/>
    <n v="188"/>
    <n v="127.81799999999998"/>
    <n v="0.40472044025356374"/>
  </r>
  <r>
    <s v="BC-101549"/>
    <d v="2025-09-27T00:00:00"/>
    <s v="South"/>
    <s v="Corporate"/>
    <s v="Electronics"/>
    <s v="Wireless Headset"/>
    <n v="4"/>
    <n v="59.62"/>
    <n v="34.450000000000003"/>
    <n v="0.1"/>
    <n v="4"/>
    <n v="5"/>
    <s v="No"/>
    <s v="Online"/>
    <s v="Bank Transfer"/>
    <s v="Corporate"/>
    <s v="South"/>
    <s v="Electronics"/>
    <x v="16"/>
    <n v="1"/>
    <s v="Wireless Headset"/>
    <n v="214.63200000000001"/>
    <n v="137.80000000000001"/>
    <n v="76.831999999999994"/>
    <n v="0.35797085243579707"/>
  </r>
  <r>
    <s v="BC-100958"/>
    <d v="2025-03-15T00:00:00"/>
    <s v="Midlands"/>
    <s v="Individual"/>
    <s v="Furniture"/>
    <s v="Storage Cabinet"/>
    <n v="2"/>
    <n v="157.06"/>
    <n v="99.99"/>
    <n v="0"/>
    <n v="5"/>
    <n v="5"/>
    <s v="No"/>
    <s v="Online"/>
    <s v="Bank Transfer"/>
    <s v="Individual"/>
    <s v="Midlands"/>
    <s v="Furniture"/>
    <x v="195"/>
    <n v="1"/>
    <s v="Storage Cabinet"/>
    <n v="314.12"/>
    <n v="199.98"/>
    <n v="114.14000000000001"/>
    <n v="0.36336431936839431"/>
  </r>
  <r>
    <s v="BC-100828"/>
    <d v="2025-11-08T00:00:00"/>
    <s v="North"/>
    <s v="Individual"/>
    <s v="Home &amp; Kitchen"/>
    <s v="Air Fryer"/>
    <n v="3"/>
    <n v="109.3"/>
    <n v="66.75"/>
    <n v="0.1"/>
    <n v="5"/>
    <n v="4"/>
    <s v="No"/>
    <s v="Online"/>
    <s v="Bank Transfer"/>
    <s v="Individual"/>
    <s v="North"/>
    <s v="Home &amp; Kitchen"/>
    <x v="124"/>
    <n v="1"/>
    <s v="Air Fryer"/>
    <n v="295.11"/>
    <n v="200.25"/>
    <n v="94.860000000000014"/>
    <n v="0.32143946325099121"/>
  </r>
  <r>
    <s v="BC-100767"/>
    <d v="2025-03-30T00:00:00"/>
    <s v="London"/>
    <s v="Small Business"/>
    <s v="Office"/>
    <s v="Laptop Stand"/>
    <n v="1"/>
    <n v="43.98"/>
    <n v="21.76"/>
    <n v="0.05"/>
    <n v="3"/>
    <n v="4"/>
    <s v="No"/>
    <s v="Online"/>
    <s v="Card"/>
    <s v="Small Business"/>
    <s v="London"/>
    <s v="Office"/>
    <x v="196"/>
    <n v="1"/>
    <s v="Laptop Stand"/>
    <n v="41.780999999999992"/>
    <n v="21.76"/>
    <n v="20.02099999999999"/>
    <n v="0.47918910509561746"/>
  </r>
  <r>
    <s v="BC-100170"/>
    <d v="2025-06-05T00:00:00"/>
    <s v="North"/>
    <s v="Individual"/>
    <s v="Furniture"/>
    <s v="Side Table"/>
    <n v="2"/>
    <n v="87.65"/>
    <n v="52.44"/>
    <n v="0.05"/>
    <n v="5"/>
    <n v="4"/>
    <s v="No"/>
    <s v="Online"/>
    <s v="Digital Wallet"/>
    <s v="Individual"/>
    <s v="North"/>
    <s v="Furniture"/>
    <x v="197"/>
    <n v="1"/>
    <s v="Side Table"/>
    <n v="166.535"/>
    <n v="104.88"/>
    <n v="61.655000000000001"/>
    <n v="0.37022247575584716"/>
  </r>
  <r>
    <s v="BC-101808"/>
    <d v="2025-09-30T00:00:00"/>
    <s v="North"/>
    <s v="Individual"/>
    <s v="Office"/>
    <s v="Ergonomic Keyboard"/>
    <n v="1"/>
    <n v="72.010000000000005"/>
    <n v="36.950000000000003"/>
    <n v="0"/>
    <n v="3"/>
    <n v="5"/>
    <s v="No"/>
    <s v="Store"/>
    <s v="Card"/>
    <s v="Individual"/>
    <s v="North"/>
    <s v="Office"/>
    <x v="30"/>
    <n v="1"/>
    <s v="Ergonomic Keyboard"/>
    <n v="72.010000000000005"/>
    <n v="36.950000000000003"/>
    <n v="35.06"/>
    <n v="0.48687682266351895"/>
  </r>
  <r>
    <s v="BC-100021"/>
    <d v="2025-05-17T00:00:00"/>
    <s v="Midlands"/>
    <s v="Individual"/>
    <s v="Home &amp; Kitchen"/>
    <s v="Electric Kettle"/>
    <n v="1"/>
    <n v="40.29"/>
    <n v="20.59"/>
    <n v="0.1"/>
    <n v="6"/>
    <n v="3"/>
    <s v="No"/>
    <s v="Online"/>
    <s v="Bank Transfer"/>
    <s v="Individual"/>
    <s v="Midlands"/>
    <s v="Home &amp; Kitchen"/>
    <x v="164"/>
    <n v="1"/>
    <s v="Electric Kettle"/>
    <n v="36.261000000000003"/>
    <n v="20.59"/>
    <n v="15.671000000000003"/>
    <n v="0.43217230633462955"/>
  </r>
  <r>
    <s v="BC-100177"/>
    <d v="2025-12-04T00:00:00"/>
    <s v="South"/>
    <s v="Individual"/>
    <s v="Furniture"/>
    <s v="Storage Cabinet"/>
    <n v="2"/>
    <n v="161.71"/>
    <n v="103.72"/>
    <n v="0.2"/>
    <n v="4"/>
    <n v="4"/>
    <s v="No"/>
    <s v="Store"/>
    <s v="Card"/>
    <s v="Individual"/>
    <s v="South"/>
    <s v="Furniture"/>
    <x v="75"/>
    <n v="1"/>
    <s v="Storage Cabinet"/>
    <n v="258.73600000000005"/>
    <n v="207.44"/>
    <n v="51.296000000000049"/>
    <n v="0.1982561375301467"/>
  </r>
  <r>
    <s v="BC-100333"/>
    <d v="2025-11-01T00:00:00"/>
    <s v="South"/>
    <s v="Small Business"/>
    <s v="Electronics"/>
    <s v="SmartHome Hub"/>
    <n v="3"/>
    <n v="126.3"/>
    <n v="85.92"/>
    <n v="0.2"/>
    <n v="4"/>
    <n v="3"/>
    <s v="Yes"/>
    <s v="Phone"/>
    <s v="Bank Transfer"/>
    <s v="Small Business"/>
    <s v="South"/>
    <s v="Electronics"/>
    <x v="65"/>
    <n v="1"/>
    <s v="SmartHome Hub"/>
    <n v="303.12"/>
    <n v="257.76"/>
    <n v="45.360000000000014"/>
    <n v="0.14964370546318295"/>
  </r>
  <r>
    <s v="BC-101387"/>
    <d v="2025-11-03T00:00:00"/>
    <s v="Midlands"/>
    <s v="Small Business"/>
    <s v="Office"/>
    <s v="Laptop Stand"/>
    <n v="1"/>
    <n v="46.13"/>
    <n v="21.55"/>
    <n v="0.05"/>
    <n v="4"/>
    <n v="4"/>
    <s v="No"/>
    <s v="Phone"/>
    <s v="Card"/>
    <s v="Small Business"/>
    <s v="Midlands"/>
    <s v="Office"/>
    <x v="180"/>
    <n v="1"/>
    <s v="Laptop Stand"/>
    <n v="43.823500000000003"/>
    <n v="21.55"/>
    <n v="22.273500000000002"/>
    <n v="0.5082547035266467"/>
  </r>
  <r>
    <s v="BC-100026"/>
    <d v="2025-09-18T00:00:00"/>
    <s v="South"/>
    <s v="Corporate"/>
    <s v="Electronics"/>
    <s v="SmartHome Hub"/>
    <n v="10"/>
    <n v="127.96"/>
    <n v="84.86"/>
    <n v="0.1"/>
    <n v="4"/>
    <n v="4"/>
    <s v="No"/>
    <s v="Online"/>
    <s v="Card"/>
    <s v="Corporate"/>
    <s v="South"/>
    <s v="Electronics"/>
    <x v="198"/>
    <n v="1"/>
    <s v="SmartHome Hub"/>
    <n v="1151.6399999999999"/>
    <n v="848.6"/>
    <n v="303.03999999999985"/>
    <n v="0.26313778611371597"/>
  </r>
  <r>
    <s v="BC-101812"/>
    <d v="2025-07-22T00:00:00"/>
    <s v="North"/>
    <s v="Corporate"/>
    <s v="Home &amp; Kitchen"/>
    <s v="Blender"/>
    <n v="6"/>
    <n v="65.290000000000006"/>
    <n v="34.19"/>
    <n v="0.1"/>
    <n v="3"/>
    <n v="5"/>
    <s v="No"/>
    <s v="Online"/>
    <s v="Card"/>
    <s v="Corporate"/>
    <s v="North"/>
    <s v="Home &amp; Kitchen"/>
    <x v="91"/>
    <n v="1"/>
    <s v="Blender"/>
    <n v="352.56600000000003"/>
    <n v="205.14"/>
    <n v="147.42600000000004"/>
    <n v="0.41815149503922677"/>
  </r>
  <r>
    <s v="BC-100720"/>
    <d v="2025-07-12T00:00:00"/>
    <s v="South"/>
    <s v="Individual"/>
    <s v="Office"/>
    <s v="Laptop Stand"/>
    <n v="1"/>
    <n v="43.79"/>
    <n v="21.34"/>
    <n v="0.1"/>
    <n v="4"/>
    <n v="4"/>
    <s v="Yes"/>
    <s v="Online"/>
    <s v="Card"/>
    <s v="Individual"/>
    <s v="South"/>
    <s v="Office"/>
    <x v="199"/>
    <n v="1"/>
    <s v="Laptop Stand"/>
    <n v="39.411000000000001"/>
    <n v="21.34"/>
    <n v="18.071000000000002"/>
    <n v="0.45852680723655836"/>
  </r>
  <r>
    <s v="BC-100552"/>
    <d v="2025-02-16T00:00:00"/>
    <s v="South"/>
    <s v="Individual"/>
    <s v="Home &amp; Kitchen"/>
    <s v="Blender"/>
    <n v="1"/>
    <n v="64.44"/>
    <n v="33.97"/>
    <n v="0"/>
    <n v="0"/>
    <n v="5"/>
    <s v="No"/>
    <s v="Store"/>
    <s v="Card"/>
    <s v="Individual"/>
    <s v="South"/>
    <s v="Home &amp; Kitchen"/>
    <x v="200"/>
    <n v="1"/>
    <s v="Blender"/>
    <n v="64.44"/>
    <n v="33.97"/>
    <n v="30.47"/>
    <n v="0.47284295468653009"/>
  </r>
  <r>
    <s v="BC-100401"/>
    <d v="2025-03-05T00:00:00"/>
    <s v="South"/>
    <s v="Individual"/>
    <s v="Electronics"/>
    <s v="Wireless Headset"/>
    <n v="4"/>
    <n v="61.68"/>
    <n v="35.090000000000003"/>
    <n v="0.1"/>
    <n v="0"/>
    <n v="3"/>
    <s v="Yes"/>
    <s v="Store"/>
    <s v="Card"/>
    <s v="Individual"/>
    <s v="South"/>
    <s v="Electronics"/>
    <x v="201"/>
    <n v="1"/>
    <s v="Wireless Headset"/>
    <n v="222.048"/>
    <n v="140.36000000000001"/>
    <n v="81.687999999999988"/>
    <n v="0.36788442138636684"/>
  </r>
  <r>
    <s v="BC-100573"/>
    <d v="2025-09-06T00:00:00"/>
    <s v="Midlands"/>
    <s v="Individual"/>
    <s v="Electronics"/>
    <s v="Wireless Headset"/>
    <n v="1"/>
    <n v="61.17"/>
    <n v="33.21"/>
    <n v="0.1"/>
    <n v="0"/>
    <n v="4"/>
    <s v="No"/>
    <s v="Store"/>
    <s v="Bank Transfer"/>
    <s v="Individual"/>
    <s v="Midlands"/>
    <s v="Electronics"/>
    <x v="171"/>
    <n v="1"/>
    <s v="Wireless Headset"/>
    <n v="55.053000000000004"/>
    <n v="33.21"/>
    <n v="21.843000000000004"/>
    <n v="0.39676311917606671"/>
  </r>
  <r>
    <s v="BC-101506"/>
    <d v="2025-01-06T00:00:00"/>
    <s v="London"/>
    <s v="Individual"/>
    <s v="Office"/>
    <s v="Wireless Mouse"/>
    <n v="1"/>
    <n v="34.64"/>
    <n v="17.18"/>
    <n v="0.05"/>
    <n v="0"/>
    <m/>
    <s v="No"/>
    <s v="Store"/>
    <s v="Card"/>
    <s v="Individual"/>
    <s v="London"/>
    <s v="Office"/>
    <x v="132"/>
    <n v="1"/>
    <s v="Wireless Mouse"/>
    <n v="32.908000000000001"/>
    <n v="17.18"/>
    <n v="15.728000000000002"/>
    <n v="0.47793849519873588"/>
  </r>
  <r>
    <s v="BC-100291"/>
    <d v="2025-08-01T00:00:00"/>
    <s v="Midlands"/>
    <s v="Individual"/>
    <s v="Office"/>
    <s v="Ergonomic Keyboard"/>
    <n v="2"/>
    <n v="68.14"/>
    <n v="38.43"/>
    <n v="0"/>
    <n v="1"/>
    <n v="5"/>
    <s v="No"/>
    <s v="Online"/>
    <s v="Bank Transfer"/>
    <s v="Individual"/>
    <s v="Midlands"/>
    <s v="Office"/>
    <x v="202"/>
    <n v="1"/>
    <s v="Ergonomic Keyboard"/>
    <n v="136.28"/>
    <n v="76.86"/>
    <n v="59.42"/>
    <n v="0.43601408864103319"/>
  </r>
  <r>
    <s v="BC-101270"/>
    <d v="2025-10-10T00:00:00"/>
    <s v="London"/>
    <s v="Individual"/>
    <s v="Office"/>
    <s v="Desk Lamp"/>
    <n v="1"/>
    <n v="41.34"/>
    <n v="19.149999999999999"/>
    <n v="0.05"/>
    <n v="5"/>
    <n v="5"/>
    <s v="No"/>
    <s v="Online"/>
    <s v="Card"/>
    <s v="Individual"/>
    <s v="London"/>
    <s v="Office"/>
    <x v="203"/>
    <n v="1"/>
    <s v="Desk Lamp"/>
    <n v="39.273000000000003"/>
    <n v="19.149999999999999"/>
    <n v="20.123000000000005"/>
    <n v="0.51238764545616589"/>
  </r>
  <r>
    <s v="BC-101397"/>
    <d v="2025-06-30T00:00:00"/>
    <s v="South"/>
    <s v="Individual"/>
    <s v="Office"/>
    <s v="Laptop Stand"/>
    <n v="3"/>
    <n v="44.62"/>
    <n v="20.86"/>
    <n v="0.05"/>
    <n v="1"/>
    <n v="4"/>
    <s v="No"/>
    <s v="Store"/>
    <s v="Card"/>
    <s v="Individual"/>
    <s v="South"/>
    <s v="Office"/>
    <x v="204"/>
    <n v="1"/>
    <s v="Laptop Stand"/>
    <n v="127.16699999999997"/>
    <n v="62.58"/>
    <n v="64.586999999999975"/>
    <n v="0.50789119818820916"/>
  </r>
  <r>
    <s v="BC-100066"/>
    <d v="2025-12-27T00:00:00"/>
    <s v="South"/>
    <s v="Individual"/>
    <s v="Furniture"/>
    <s v="Storage Cabinet"/>
    <n v="3"/>
    <n v="162.84"/>
    <n v="100.9"/>
    <n v="0.1"/>
    <n v="1"/>
    <n v="4"/>
    <s v="No"/>
    <s v="Store"/>
    <s v="Card"/>
    <s v="Individual"/>
    <s v="South"/>
    <s v="Furniture"/>
    <x v="125"/>
    <n v="1"/>
    <s v="Storage Cabinet"/>
    <n v="439.66800000000001"/>
    <n v="302.70000000000005"/>
    <n v="136.96799999999996"/>
    <n v="0.31152596959523993"/>
  </r>
  <r>
    <s v="BC-100929"/>
    <d v="2025-04-06T00:00:00"/>
    <s v="South"/>
    <s v="Individual"/>
    <s v="Furniture"/>
    <s v="Side Table"/>
    <n v="2"/>
    <n v="92.11"/>
    <n v="55.13"/>
    <n v="0.05"/>
    <n v="6"/>
    <n v="4"/>
    <s v="No"/>
    <s v="Store"/>
    <s v="Card"/>
    <s v="Individual"/>
    <s v="South"/>
    <s v="Furniture"/>
    <x v="107"/>
    <n v="1"/>
    <s v="Side Table"/>
    <n v="175.00899999999999"/>
    <n v="110.26"/>
    <n v="64.748999999999981"/>
    <n v="0.36997525841528139"/>
  </r>
  <r>
    <s v="BC-100771"/>
    <d v="2025-09-24T00:00:00"/>
    <s v="London"/>
    <s v="Corporate"/>
    <s v="Home &amp; Kitchen"/>
    <s v="Blender"/>
    <n v="3"/>
    <n v="64.61"/>
    <n v="34.94"/>
    <n v="0.05"/>
    <n v="5"/>
    <n v="4"/>
    <s v="No"/>
    <s v="Phone"/>
    <s v="Card"/>
    <s v="Corporate"/>
    <s v="London"/>
    <s v="Home &amp; Kitchen"/>
    <x v="146"/>
    <n v="1"/>
    <s v="Blender"/>
    <n v="184.13849999999996"/>
    <n v="104.82"/>
    <n v="79.318499999999972"/>
    <n v="0.430754567893189"/>
  </r>
  <r>
    <s v="BC-100639"/>
    <d v="2025-03-17T00:00:00"/>
    <s v="London"/>
    <s v="Individual"/>
    <s v="Office"/>
    <s v="Desk Lamp"/>
    <n v="3"/>
    <n v="40.659999999999997"/>
    <n v="18.489999999999998"/>
    <n v="0.1"/>
    <n v="2"/>
    <n v="5"/>
    <s v="No"/>
    <s v="Online"/>
    <s v="Card"/>
    <s v="Individual"/>
    <s v="London"/>
    <s v="Office"/>
    <x v="205"/>
    <n v="1"/>
    <s v="Desk Lamp"/>
    <n v="109.782"/>
    <n v="55.47"/>
    <n v="54.311999999999998"/>
    <n v="0.49472591135158767"/>
  </r>
  <r>
    <s v="BC-101897"/>
    <d v="2025-11-02T00:00:00"/>
    <s v="North"/>
    <s v="Individual"/>
    <s v="Furniture"/>
    <s v="Office Chair"/>
    <n v="2"/>
    <n v="179.03"/>
    <n v="119.63"/>
    <n v="0.05"/>
    <n v="8"/>
    <n v="4"/>
    <s v="No"/>
    <s v="Online"/>
    <s v="Card"/>
    <s v="Individual"/>
    <s v="North"/>
    <s v="Furniture"/>
    <x v="44"/>
    <n v="1"/>
    <s v="Office Chair"/>
    <n v="340.15699999999998"/>
    <n v="239.26"/>
    <n v="100.89699999999999"/>
    <n v="0.29661891420726311"/>
  </r>
  <r>
    <s v="BC-101744"/>
    <d v="2025-04-25T00:00:00"/>
    <s v="South"/>
    <s v="Individual"/>
    <s v="Home &amp; Kitchen"/>
    <s v="Electric Kettle"/>
    <n v="3"/>
    <n v="41.41"/>
    <n v="20.78"/>
    <n v="0.1"/>
    <n v="3"/>
    <n v="5"/>
    <s v="No"/>
    <s v="Online"/>
    <s v="Card"/>
    <s v="Individual"/>
    <s v="South"/>
    <s v="Home &amp; Kitchen"/>
    <x v="206"/>
    <n v="1"/>
    <s v="Electric Kettle"/>
    <n v="111.80699999999999"/>
    <n v="62.34"/>
    <n v="49.466999999999985"/>
    <n v="0.44243204808285697"/>
  </r>
  <r>
    <s v="BC-101353"/>
    <d v="2025-03-01T00:00:00"/>
    <s v="North"/>
    <s v="Individual"/>
    <s v="Office"/>
    <s v="Ergonomic Keyboard"/>
    <n v="1"/>
    <n v="70.05"/>
    <n v="37.409999999999997"/>
    <n v="0"/>
    <n v="2"/>
    <n v="5"/>
    <s v="No"/>
    <s v="Online"/>
    <s v="Card"/>
    <s v="Individual"/>
    <s v="North"/>
    <s v="Office"/>
    <x v="207"/>
    <n v="1"/>
    <s v="Ergonomic Keyboard"/>
    <n v="70.05"/>
    <n v="37.409999999999997"/>
    <n v="32.64"/>
    <n v="0.46595289079229124"/>
  </r>
  <r>
    <s v="BC-101697"/>
    <d v="2025-06-28T00:00:00"/>
    <s v="North"/>
    <s v="Individual"/>
    <s v="Office"/>
    <s v="Laptop Stand"/>
    <n v="1"/>
    <n v="45.02"/>
    <n v="21.17"/>
    <n v="0.1"/>
    <n v="5"/>
    <n v="5"/>
    <s v="No"/>
    <s v="Phone"/>
    <s v="Card"/>
    <s v="Individual"/>
    <s v="North"/>
    <s v="Office"/>
    <x v="208"/>
    <n v="1"/>
    <s v="Laptop Stand"/>
    <n v="40.518000000000001"/>
    <n v="21.17"/>
    <n v="19.347999999999999"/>
    <n v="0.47751616565477067"/>
  </r>
  <r>
    <s v="BC-100876"/>
    <d v="2025-07-23T00:00:00"/>
    <s v="South"/>
    <s v="Individual"/>
    <s v="Electronics"/>
    <s v="Wireless Headset"/>
    <n v="1"/>
    <n v="61.79"/>
    <n v="33.19"/>
    <n v="0.1"/>
    <n v="2"/>
    <n v="4"/>
    <s v="No"/>
    <s v="Online"/>
    <s v="Card"/>
    <s v="Individual"/>
    <s v="South"/>
    <s v="Electronics"/>
    <x v="209"/>
    <n v="1"/>
    <s v="Wireless Headset"/>
    <n v="55.610999999999997"/>
    <n v="33.19"/>
    <n v="22.420999999999999"/>
    <n v="0.40317563072054091"/>
  </r>
  <r>
    <s v="BC-100815"/>
    <d v="2025-08-20T00:00:00"/>
    <s v="London"/>
    <s v="Individual"/>
    <s v="Office"/>
    <s v="Desk Lamp"/>
    <n v="2"/>
    <n v="40.26"/>
    <n v="18.82"/>
    <n v="0.05"/>
    <n v="4"/>
    <n v="4"/>
    <s v="Yes"/>
    <s v="Phone"/>
    <s v="Card"/>
    <s v="Individual"/>
    <s v="London"/>
    <s v="Office"/>
    <x v="99"/>
    <n v="1"/>
    <s v="Desk Lamp"/>
    <n v="76.493999999999986"/>
    <n v="37.64"/>
    <n v="38.853999999999985"/>
    <n v="0.5079352628964362"/>
  </r>
  <r>
    <s v="BC-101173"/>
    <d v="2025-12-02T00:00:00"/>
    <s v="Midlands"/>
    <s v="Small Business"/>
    <s v="Electronics"/>
    <s v="SmartHome Hub"/>
    <n v="4"/>
    <n v="130.33000000000001"/>
    <n v="87.7"/>
    <n v="0"/>
    <n v="5"/>
    <n v="4"/>
    <s v="No"/>
    <s v="Online"/>
    <s v="Card"/>
    <s v="Small Business"/>
    <s v="Midlands"/>
    <s v="Electronics"/>
    <x v="183"/>
    <n v="1"/>
    <s v="SmartHome Hub"/>
    <n v="521.32000000000005"/>
    <n v="350.8"/>
    <n v="170.52000000000004"/>
    <n v="0.3270927645208318"/>
  </r>
  <r>
    <s v="BC-100081"/>
    <d v="2025-03-05T00:00:00"/>
    <s v="South"/>
    <s v="Individual"/>
    <s v="Furniture"/>
    <s v="Office Chair"/>
    <n v="1"/>
    <n v="181.14"/>
    <n v="118.65"/>
    <n v="0.05"/>
    <n v="6"/>
    <n v="4"/>
    <s v="No"/>
    <s v="Store"/>
    <s v="Card"/>
    <s v="Individual"/>
    <s v="South"/>
    <s v="Furniture"/>
    <x v="201"/>
    <n v="1"/>
    <s v="Office Chair"/>
    <n v="172.08299999999997"/>
    <n v="118.65"/>
    <n v="53.432999999999964"/>
    <n v="0.31050713899687926"/>
  </r>
  <r>
    <s v="BC-101779"/>
    <d v="2025-10-21T00:00:00"/>
    <s v="London"/>
    <s v="Individual"/>
    <s v="Electronics"/>
    <s v="SmartHome Hub"/>
    <n v="2"/>
    <n v="133.18"/>
    <n v="84.16"/>
    <n v="0"/>
    <n v="5"/>
    <n v="4"/>
    <s v="No"/>
    <s v="Online"/>
    <s v="Card"/>
    <s v="Individual"/>
    <s v="London"/>
    <s v="Electronics"/>
    <x v="184"/>
    <n v="1"/>
    <s v="SmartHome Hub"/>
    <n v="266.36"/>
    <n v="168.32"/>
    <n v="98.04000000000002"/>
    <n v="0.36807328427691849"/>
  </r>
  <r>
    <s v="BC-100492"/>
    <d v="2025-11-12T00:00:00"/>
    <s v="South"/>
    <s v="Individual"/>
    <s v="Electronics"/>
    <s v="Webcam"/>
    <n v="1"/>
    <n v="48.77"/>
    <n v="25.63"/>
    <n v="0.2"/>
    <n v="7"/>
    <n v="4"/>
    <s v="No"/>
    <s v="Online"/>
    <s v="Bank Transfer"/>
    <s v="Individual"/>
    <s v="South"/>
    <s v="Electronics"/>
    <x v="61"/>
    <n v="1"/>
    <s v="Webcam"/>
    <n v="39.016000000000005"/>
    <n v="25.63"/>
    <n v="13.386000000000006"/>
    <n v="0.343090014353086"/>
  </r>
  <r>
    <s v="BC-100892"/>
    <d v="2025-11-26T00:00:00"/>
    <s v="London"/>
    <s v="Individual"/>
    <s v="Electronics"/>
    <s v="Wireless Headset"/>
    <n v="1"/>
    <n v="60.43"/>
    <n v="35.06"/>
    <n v="0.15000000000000002"/>
    <n v="3"/>
    <n v="5"/>
    <s v="No"/>
    <s v="Online"/>
    <s v="Card"/>
    <s v="Individual"/>
    <s v="London"/>
    <s v="Electronics"/>
    <x v="210"/>
    <n v="1"/>
    <s v="Wireless Headset"/>
    <n v="51.365499999999997"/>
    <n v="35.06"/>
    <n v="16.305499999999995"/>
    <n v="0.31744069462966379"/>
  </r>
  <r>
    <s v="BC-100269"/>
    <d v="2025-07-16T00:00:00"/>
    <s v="London"/>
    <s v="Individual"/>
    <s v="Office"/>
    <s v="Laptop Stand"/>
    <n v="1"/>
    <n v="44.03"/>
    <n v="20.64"/>
    <n v="0.05"/>
    <n v="0"/>
    <n v="5"/>
    <s v="No"/>
    <s v="Store"/>
    <s v="Card"/>
    <s v="Individual"/>
    <s v="London"/>
    <s v="Office"/>
    <x v="185"/>
    <n v="1"/>
    <s v="Laptop Stand"/>
    <n v="41.828499999999998"/>
    <n v="20.64"/>
    <n v="21.188499999999998"/>
    <n v="0.50655653442031146"/>
  </r>
  <r>
    <s v="BC-101030"/>
    <d v="2025-03-02T00:00:00"/>
    <s v="London"/>
    <s v="Small Business"/>
    <s v="Furniture"/>
    <s v="Storage Cabinet"/>
    <n v="2"/>
    <n v="158.97999999999999"/>
    <n v="105.73"/>
    <n v="0"/>
    <n v="4"/>
    <n v="4"/>
    <s v="No"/>
    <s v="Online"/>
    <s v="Card"/>
    <s v="Small Business"/>
    <s v="London"/>
    <s v="Furniture"/>
    <x v="211"/>
    <n v="1"/>
    <s v="Storage Cabinet"/>
    <n v="317.95999999999998"/>
    <n v="211.46"/>
    <n v="106.49999999999997"/>
    <n v="0.33494779217511628"/>
  </r>
  <r>
    <s v="BC-101066"/>
    <d v="2025-05-28T00:00:00"/>
    <s v="South"/>
    <s v="Individual"/>
    <s v="Furniture"/>
    <s v="Storage Cabinet"/>
    <n v="2"/>
    <n v="155.88999999999999"/>
    <n v="101.4"/>
    <n v="0.05"/>
    <n v="1"/>
    <n v="4"/>
    <s v="No"/>
    <s v="Store"/>
    <s v="Card"/>
    <s v="Individual"/>
    <s v="South"/>
    <s v="Furniture"/>
    <x v="129"/>
    <n v="1"/>
    <s v="Storage Cabinet"/>
    <n v="296.19099999999997"/>
    <n v="202.8"/>
    <n v="93.390999999999963"/>
    <n v="0.31530667711037802"/>
  </r>
  <r>
    <s v="BC-100117"/>
    <d v="2025-10-23T00:00:00"/>
    <s v="South"/>
    <s v="Individual"/>
    <s v="Electronics"/>
    <s v="Webcam"/>
    <n v="2"/>
    <n v="51.82"/>
    <n v="27.11"/>
    <n v="0"/>
    <n v="5"/>
    <n v="3"/>
    <s v="Yes"/>
    <s v="Online"/>
    <s v="Card"/>
    <s v="Individual"/>
    <s v="South"/>
    <s v="Electronics"/>
    <x v="212"/>
    <n v="1"/>
    <s v="Webcam"/>
    <n v="103.64"/>
    <n v="54.22"/>
    <n v="49.42"/>
    <n v="0.47684291779235816"/>
  </r>
  <r>
    <s v="BC-101259"/>
    <d v="2025-11-28T00:00:00"/>
    <s v="Midlands"/>
    <s v="Individual"/>
    <s v="Furniture"/>
    <s v="Office Chair"/>
    <n v="1"/>
    <n v="183.78"/>
    <n v="113.94"/>
    <n v="0.1"/>
    <n v="6"/>
    <n v="3"/>
    <s v="No"/>
    <s v="Online"/>
    <s v="Card"/>
    <s v="Individual"/>
    <s v="Midlands"/>
    <s v="Furniture"/>
    <x v="43"/>
    <n v="1"/>
    <s v="Office Chair"/>
    <n v="165.40200000000002"/>
    <n v="113.94"/>
    <n v="51.462000000000018"/>
    <n v="0.31113287626509967"/>
  </r>
  <r>
    <s v="BC-100590"/>
    <d v="2025-02-21T00:00:00"/>
    <s v="London"/>
    <s v="Individual"/>
    <s v="Office"/>
    <s v="Laptop Stand"/>
    <n v="2"/>
    <n v="44.35"/>
    <n v="21.11"/>
    <n v="0.1"/>
    <n v="1"/>
    <n v="5"/>
    <s v="No"/>
    <s v="Store"/>
    <s v="Card"/>
    <s v="Individual"/>
    <s v="London"/>
    <s v="Office"/>
    <x v="88"/>
    <n v="1"/>
    <s v="Laptop Stand"/>
    <n v="79.83"/>
    <n v="42.22"/>
    <n v="37.61"/>
    <n v="0.47112614305398975"/>
  </r>
  <r>
    <s v="BC-101793"/>
    <d v="2025-06-30T00:00:00"/>
    <s v="South"/>
    <s v="Small Business"/>
    <s v="Furniture"/>
    <s v="Storage Cabinet"/>
    <n v="2"/>
    <n v="159.1"/>
    <n v="98.33"/>
    <n v="0.1"/>
    <n v="4"/>
    <n v="4"/>
    <s v="No"/>
    <s v="Store"/>
    <s v="Digital Wallet"/>
    <s v="Small Business"/>
    <s v="South"/>
    <s v="Furniture"/>
    <x v="204"/>
    <n v="1"/>
    <s v="Storage Cabinet"/>
    <n v="286.38"/>
    <n v="196.66"/>
    <n v="89.72"/>
    <n v="0.3132900342202668"/>
  </r>
  <r>
    <s v="BC-100796"/>
    <d v="2025-03-15T00:00:00"/>
    <s v="London"/>
    <s v="Individual"/>
    <s v="Furniture"/>
    <s v="Office Chair"/>
    <n v="1"/>
    <n v="174.6"/>
    <n v="115.74"/>
    <n v="0.05"/>
    <n v="5"/>
    <n v="5"/>
    <s v="No"/>
    <s v="Online"/>
    <s v="Card"/>
    <s v="Individual"/>
    <s v="London"/>
    <s v="Furniture"/>
    <x v="195"/>
    <n v="1"/>
    <s v="Office Chair"/>
    <n v="165.86999999999998"/>
    <n v="115.74"/>
    <n v="50.129999999999981"/>
    <n v="0.30222463374932168"/>
  </r>
  <r>
    <s v="BC-101934"/>
    <d v="2025-12-21T00:00:00"/>
    <s v="London"/>
    <s v="Individual"/>
    <s v="Electronics"/>
    <s v="Portable Speaker"/>
    <n v="1"/>
    <n v="73.349999999999994"/>
    <n v="44.73"/>
    <n v="0.05"/>
    <n v="1"/>
    <n v="5"/>
    <s v="No"/>
    <s v="Store"/>
    <s v="Card"/>
    <s v="Individual"/>
    <s v="London"/>
    <s v="Electronics"/>
    <x v="3"/>
    <n v="1"/>
    <s v="Portable Speaker"/>
    <n v="69.68249999999999"/>
    <n v="44.73"/>
    <n v="24.952499999999993"/>
    <n v="0.35808847271553113"/>
  </r>
  <r>
    <s v="BC-100697"/>
    <d v="2025-09-25T00:00:00"/>
    <s v="London"/>
    <s v="Individual"/>
    <s v="Office"/>
    <s v="Laptop Stand"/>
    <n v="2"/>
    <n v="45.16"/>
    <n v="21.18"/>
    <n v="0"/>
    <n v="4"/>
    <n v="4"/>
    <s v="No"/>
    <s v="Online"/>
    <s v="Bank Transfer"/>
    <s v="Individual"/>
    <s v="London"/>
    <s v="Office"/>
    <x v="213"/>
    <n v="1"/>
    <s v="Laptop Stand"/>
    <n v="90.32"/>
    <n v="42.36"/>
    <n v="47.959999999999994"/>
    <n v="0.53100088573959248"/>
  </r>
  <r>
    <s v="BC-101520"/>
    <d v="2025-03-05T00:00:00"/>
    <s v="Midlands"/>
    <s v="Small Business"/>
    <s v="Furniture"/>
    <s v="Side Table"/>
    <n v="3"/>
    <n v="89.4"/>
    <n v="56.38"/>
    <n v="0"/>
    <n v="2"/>
    <n v="4"/>
    <s v="No"/>
    <s v="Store"/>
    <s v="Card"/>
    <s v="Small Business"/>
    <s v="Midlands"/>
    <s v="Furniture"/>
    <x v="201"/>
    <n v="1"/>
    <s v="Side Table"/>
    <n v="268.20000000000005"/>
    <n v="169.14000000000001"/>
    <n v="99.060000000000031"/>
    <n v="0.36935123042505597"/>
  </r>
  <r>
    <s v="BC-100554"/>
    <d v="2025-06-29T00:00:00"/>
    <s v="Midlands"/>
    <s v="Individual"/>
    <s v="Furniture"/>
    <s v="Office Chair"/>
    <n v="1"/>
    <n v="187.08"/>
    <n v="113.36"/>
    <n v="0"/>
    <n v="7"/>
    <n v="4"/>
    <s v="No"/>
    <s v="Online"/>
    <s v="Card"/>
    <s v="Individual"/>
    <s v="Midlands"/>
    <s v="Furniture"/>
    <x v="57"/>
    <n v="1"/>
    <s v="Office Chair"/>
    <n v="187.08"/>
    <n v="113.36"/>
    <n v="73.720000000000013"/>
    <n v="0.39405601881548002"/>
  </r>
  <r>
    <s v="BC-101498"/>
    <d v="2025-02-07T00:00:00"/>
    <s v="South"/>
    <s v="Individual"/>
    <s v="Electronics"/>
    <s v="Portable Speaker"/>
    <n v="1"/>
    <n v="74.010000000000005"/>
    <n v="44.44"/>
    <n v="0.1"/>
    <n v="3"/>
    <n v="4"/>
    <s v="No"/>
    <s v="Online"/>
    <s v="Digital Wallet"/>
    <s v="Individual"/>
    <s v="South"/>
    <s v="Electronics"/>
    <x v="90"/>
    <n v="1"/>
    <s v="Portable Speaker"/>
    <n v="66.609000000000009"/>
    <n v="44.44"/>
    <n v="22.169000000000011"/>
    <n v="0.33282289180140834"/>
  </r>
  <r>
    <s v="BC-100760"/>
    <d v="2025-08-26T00:00:00"/>
    <s v="North"/>
    <s v="Individual"/>
    <s v="Furniture"/>
    <s v="Bookshelf"/>
    <n v="1"/>
    <n v="122.8"/>
    <n v="72.150000000000006"/>
    <n v="0"/>
    <n v="7"/>
    <n v="4"/>
    <s v="No"/>
    <s v="Phone"/>
    <s v="Bank Transfer"/>
    <s v="Individual"/>
    <s v="North"/>
    <s v="Furniture"/>
    <x v="155"/>
    <n v="1"/>
    <s v="Bookshelf"/>
    <n v="122.8"/>
    <n v="72.150000000000006"/>
    <n v="50.649999999999991"/>
    <n v="0.41245928338762211"/>
  </r>
  <r>
    <s v="BC-100520"/>
    <d v="2025-11-14T00:00:00"/>
    <s v="South"/>
    <s v="Small Business"/>
    <s v="Electronics"/>
    <s v="Wireless Headset"/>
    <n v="3"/>
    <n v="62.18"/>
    <n v="35.159999999999997"/>
    <n v="0.15000000000000002"/>
    <n v="4"/>
    <n v="3"/>
    <s v="Yes"/>
    <s v="Online"/>
    <s v="Card"/>
    <s v="Small Business"/>
    <s v="South"/>
    <s v="Electronics"/>
    <x v="80"/>
    <n v="1"/>
    <s v="Wireless Headset"/>
    <n v="158.559"/>
    <n v="105.47999999999999"/>
    <n v="53.079000000000008"/>
    <n v="0.33475867027415668"/>
  </r>
  <r>
    <s v="BC-101703"/>
    <d v="2025-12-05T00:00:00"/>
    <s v="London"/>
    <s v="Corporate"/>
    <s v="Electronics"/>
    <s v="Portable Speaker"/>
    <n v="6"/>
    <n v="76.12"/>
    <n v="41.86"/>
    <n v="0.2"/>
    <n v="2"/>
    <n v="4"/>
    <s v="No"/>
    <s v="Store"/>
    <s v="Card"/>
    <s v="Corporate"/>
    <s v="London"/>
    <s v="Electronics"/>
    <x v="21"/>
    <n v="1"/>
    <s v="Portable Speaker"/>
    <n v="365.37600000000003"/>
    <n v="251.16"/>
    <n v="114.21600000000004"/>
    <n v="0.31259852863899112"/>
  </r>
  <r>
    <s v="BC-100415"/>
    <d v="2025-11-09T00:00:00"/>
    <s v="South"/>
    <s v="Small Business"/>
    <s v="Home &amp; Kitchen"/>
    <s v="Electric Kettle"/>
    <n v="3"/>
    <n v="40.18"/>
    <n v="20.96"/>
    <n v="0.15000000000000002"/>
    <n v="3"/>
    <n v="4"/>
    <s v="No"/>
    <s v="Online"/>
    <s v="Card"/>
    <s v="Small Business"/>
    <s v="South"/>
    <s v="Home &amp; Kitchen"/>
    <x v="67"/>
    <n v="1"/>
    <s v="Electric Kettle"/>
    <n v="102.45899999999999"/>
    <n v="62.88"/>
    <n v="39.578999999999986"/>
    <n v="0.38629110180657622"/>
  </r>
  <r>
    <s v="BC-101888"/>
    <d v="2025-07-14T00:00:00"/>
    <s v="London"/>
    <s v="Individual"/>
    <s v="Electronics"/>
    <s v="Webcam"/>
    <n v="2"/>
    <n v="51.33"/>
    <n v="26.36"/>
    <n v="0.1"/>
    <n v="3"/>
    <n v="4"/>
    <s v="No"/>
    <s v="Store"/>
    <s v="Card"/>
    <s v="Individual"/>
    <s v="London"/>
    <s v="Electronics"/>
    <x v="130"/>
    <n v="1"/>
    <s v="Webcam"/>
    <n v="92.394000000000005"/>
    <n v="52.72"/>
    <n v="39.674000000000007"/>
    <n v="0.42940017750070353"/>
  </r>
  <r>
    <s v="BC-101460"/>
    <d v="2025-12-23T00:00:00"/>
    <s v="South"/>
    <s v="Small Business"/>
    <s v="Office"/>
    <s v="Laptop Stand"/>
    <n v="6"/>
    <n v="46.72"/>
    <n v="21.3"/>
    <n v="0.05"/>
    <n v="3"/>
    <n v="5"/>
    <s v="No"/>
    <s v="Store"/>
    <s v="Digital Wallet"/>
    <s v="Small Business"/>
    <s v="South"/>
    <s v="Office"/>
    <x v="214"/>
    <n v="1"/>
    <s v="Laptop Stand"/>
    <n v="266.30399999999997"/>
    <n v="127.80000000000001"/>
    <n v="138.50399999999996"/>
    <n v="0.52009733237202582"/>
  </r>
  <r>
    <s v="BC-100352"/>
    <d v="2025-12-05T00:00:00"/>
    <s v="North"/>
    <s v="Small Business"/>
    <s v="Furniture"/>
    <s v="Side Table"/>
    <n v="2"/>
    <n v="90.74"/>
    <n v="56.19"/>
    <n v="0.1"/>
    <n v="7"/>
    <n v="4"/>
    <s v="No"/>
    <s v="Online"/>
    <s v="Card"/>
    <s v="Small Business"/>
    <s v="North"/>
    <s v="Furniture"/>
    <x v="21"/>
    <n v="1"/>
    <s v="Side Table"/>
    <n v="163.33199999999999"/>
    <n v="112.38"/>
    <n v="50.951999999999998"/>
    <n v="0.31195356696789361"/>
  </r>
  <r>
    <s v="BC-101200"/>
    <d v="2025-12-26T00:00:00"/>
    <s v="Midlands"/>
    <s v="Individual"/>
    <s v="Electronics"/>
    <s v="Wireless Headset"/>
    <n v="2"/>
    <n v="58.79"/>
    <n v="35.22"/>
    <n v="0.05"/>
    <n v="2"/>
    <m/>
    <s v="No"/>
    <s v="Online"/>
    <s v="Card"/>
    <s v="Individual"/>
    <s v="Midlands"/>
    <s v="Electronics"/>
    <x v="215"/>
    <n v="1"/>
    <s v="Wireless Headset"/>
    <n v="111.70099999999999"/>
    <n v="70.44"/>
    <n v="41.260999999999996"/>
    <n v="0.36938791953518768"/>
  </r>
  <r>
    <s v="BC-100650"/>
    <d v="2025-07-08T00:00:00"/>
    <s v="London"/>
    <s v="Individual"/>
    <s v="Home &amp; Kitchen"/>
    <s v="Air Fryer"/>
    <n v="1"/>
    <n v="108.32"/>
    <n v="69.989999999999995"/>
    <n v="0"/>
    <n v="1"/>
    <n v="4"/>
    <s v="No"/>
    <s v="Online"/>
    <s v="Bank Transfer"/>
    <s v="Individual"/>
    <s v="London"/>
    <s v="Home &amp; Kitchen"/>
    <x v="216"/>
    <n v="1"/>
    <s v="Air Fryer"/>
    <n v="108.32"/>
    <n v="69.989999999999995"/>
    <n v="38.33"/>
    <n v="0.35385893648449041"/>
  </r>
  <r>
    <s v="BC-101599"/>
    <d v="2025-04-28T00:00:00"/>
    <s v="Midlands"/>
    <s v="Small Business"/>
    <s v="Home &amp; Kitchen"/>
    <s v="Electric Kettle"/>
    <n v="5"/>
    <n v="39.479999999999997"/>
    <n v="20.67"/>
    <n v="0.05"/>
    <n v="7"/>
    <n v="3"/>
    <s v="Yes"/>
    <s v="Online"/>
    <s v="Card"/>
    <s v="Small Business"/>
    <s v="Midlands"/>
    <s v="Home &amp; Kitchen"/>
    <x v="174"/>
    <n v="1"/>
    <s v="Electric Kettle"/>
    <n v="187.52999999999997"/>
    <n v="103.35000000000001"/>
    <n v="84.179999999999964"/>
    <n v="0.44888817789153723"/>
  </r>
  <r>
    <s v="BC-101020"/>
    <d v="2025-07-17T00:00:00"/>
    <s v="Midlands"/>
    <s v="Individual"/>
    <s v="Home &amp; Kitchen"/>
    <s v="Air Fryer"/>
    <n v="1"/>
    <n v="113.68"/>
    <n v="69.87"/>
    <n v="0.1"/>
    <n v="2"/>
    <n v="4"/>
    <s v="No"/>
    <s v="Online"/>
    <s v="Digital Wallet"/>
    <s v="Individual"/>
    <s v="Midlands"/>
    <s v="Home &amp; Kitchen"/>
    <x v="217"/>
    <n v="1"/>
    <s v="Air Fryer"/>
    <n v="102.31200000000001"/>
    <n v="69.87"/>
    <n v="32.442000000000007"/>
    <n v="0.31708890452732819"/>
  </r>
  <r>
    <s v="BC-100255"/>
    <d v="2025-01-21T00:00:00"/>
    <s v="South"/>
    <s v="Individual"/>
    <s v="Furniture"/>
    <s v="Side Table"/>
    <n v="2"/>
    <n v="88.83"/>
    <n v="54.45"/>
    <n v="0.05"/>
    <n v="4"/>
    <n v="5"/>
    <s v="No"/>
    <s v="Online"/>
    <s v="Bank Transfer"/>
    <s v="Individual"/>
    <s v="South"/>
    <s v="Furniture"/>
    <x v="218"/>
    <n v="1"/>
    <s v="Side Table"/>
    <n v="168.77699999999999"/>
    <n v="108.9"/>
    <n v="59.876999999999981"/>
    <n v="0.35476990348210946"/>
  </r>
  <r>
    <s v="BC-101152"/>
    <d v="2025-09-14T00:00:00"/>
    <s v="London"/>
    <s v="Corporate"/>
    <s v="Home &amp; Kitchen"/>
    <s v="Blender"/>
    <n v="5"/>
    <n v="64.540000000000006"/>
    <n v="35.01"/>
    <n v="0.05"/>
    <n v="1"/>
    <n v="5"/>
    <s v="No"/>
    <s v="Store"/>
    <s v="Card"/>
    <s v="Corporate"/>
    <s v="London"/>
    <s v="Home &amp; Kitchen"/>
    <x v="110"/>
    <n v="1"/>
    <s v="Blender"/>
    <n v="306.56500000000005"/>
    <n v="175.04999999999998"/>
    <n v="131.51500000000007"/>
    <n v="0.42899548219790273"/>
  </r>
  <r>
    <s v="BC-100437"/>
    <d v="2025-12-13T00:00:00"/>
    <s v="London"/>
    <s v="Corporate"/>
    <s v="Office"/>
    <s v="Ergonomic Keyboard"/>
    <n v="4"/>
    <n v="70.11"/>
    <n v="37.29"/>
    <n v="0.2"/>
    <n v="1"/>
    <n v="5"/>
    <s v="No"/>
    <s v="Store"/>
    <s v="Card"/>
    <s v="Corporate"/>
    <s v="London"/>
    <s v="Office"/>
    <x v="219"/>
    <n v="1"/>
    <s v="Ergonomic Keyboard"/>
    <n v="224.352"/>
    <n v="149.16"/>
    <n v="75.192000000000007"/>
    <n v="0.33515190415062046"/>
  </r>
  <r>
    <s v="BC-101451"/>
    <d v="2025-07-11T00:00:00"/>
    <s v="South"/>
    <s v="Small Business"/>
    <s v="Furniture"/>
    <s v="Side Table"/>
    <n v="2"/>
    <n v="89.78"/>
    <n v="54.21"/>
    <n v="0.1"/>
    <n v="3"/>
    <n v="3"/>
    <s v="Yes"/>
    <s v="Store"/>
    <s v="Card"/>
    <s v="Small Business"/>
    <s v="South"/>
    <s v="Furniture"/>
    <x v="49"/>
    <n v="1"/>
    <s v="Side Table"/>
    <n v="161.60400000000001"/>
    <n v="108.42"/>
    <n v="53.184000000000012"/>
    <n v="0.32910076483255368"/>
  </r>
  <r>
    <s v="BC-101251"/>
    <d v="2025-12-28T00:00:00"/>
    <s v="South"/>
    <s v="Corporate"/>
    <s v="Home &amp; Kitchen"/>
    <s v="Coffee Maker"/>
    <n v="2"/>
    <n v="80.03"/>
    <n v="44.09"/>
    <n v="0.1"/>
    <n v="3"/>
    <n v="4"/>
    <s v="No"/>
    <s v="Online"/>
    <s v="Bank Transfer"/>
    <s v="Corporate"/>
    <s v="South"/>
    <s v="Home &amp; Kitchen"/>
    <x v="6"/>
    <n v="1"/>
    <s v="Coffee Maker"/>
    <n v="144.054"/>
    <n v="88.18"/>
    <n v="55.873999999999995"/>
    <n v="0.38786843822455463"/>
  </r>
  <r>
    <s v="BC-101809"/>
    <d v="2025-01-10T00:00:00"/>
    <s v="Midlands"/>
    <s v="Individual"/>
    <s v="Electronics"/>
    <s v="Webcam"/>
    <n v="2"/>
    <n v="51.34"/>
    <n v="27.24"/>
    <n v="0"/>
    <n v="1"/>
    <n v="5"/>
    <s v="No"/>
    <s v="Store"/>
    <s v="Card"/>
    <s v="Individual"/>
    <s v="Midlands"/>
    <s v="Electronics"/>
    <x v="181"/>
    <n v="1"/>
    <s v="Webcam"/>
    <n v="102.68"/>
    <n v="54.48"/>
    <n v="48.20000000000001"/>
    <n v="0.46941955590183099"/>
  </r>
  <r>
    <s v="BC-100092"/>
    <d v="2025-06-08T00:00:00"/>
    <s v="South"/>
    <s v="Individual"/>
    <s v="Home &amp; Kitchen"/>
    <s v="Coffee Maker"/>
    <n v="1"/>
    <n v="81.2"/>
    <n v="44.38"/>
    <n v="0"/>
    <n v="1"/>
    <n v="3"/>
    <s v="Yes"/>
    <s v="Online"/>
    <s v="Card"/>
    <s v="Individual"/>
    <s v="South"/>
    <s v="Home &amp; Kitchen"/>
    <x v="40"/>
    <n v="1"/>
    <s v="Coffee Maker"/>
    <n v="81.2"/>
    <n v="44.38"/>
    <n v="36.82"/>
    <n v="0.45344827586206893"/>
  </r>
  <r>
    <s v="BC-101615"/>
    <d v="2025-03-05T00:00:00"/>
    <s v="London"/>
    <s v="Individual"/>
    <s v="Electronics"/>
    <s v="SmartHome Hub"/>
    <n v="3"/>
    <n v="131.51"/>
    <n v="82.5"/>
    <n v="0.1"/>
    <n v="1"/>
    <n v="4"/>
    <s v="No"/>
    <s v="Store"/>
    <s v="Card"/>
    <s v="Individual"/>
    <s v="London"/>
    <s v="Electronics"/>
    <x v="201"/>
    <n v="1"/>
    <s v="SmartHome Hub"/>
    <n v="355.077"/>
    <n v="247.5"/>
    <n v="107.577"/>
    <n v="0.30296808861176588"/>
  </r>
  <r>
    <s v="BC-100409"/>
    <d v="2025-12-20T00:00:00"/>
    <s v="London"/>
    <s v="Corporate"/>
    <s v="Furniture"/>
    <s v="Bookshelf"/>
    <n v="4"/>
    <n v="118.38"/>
    <n v="71.77"/>
    <n v="0.25"/>
    <n v="6"/>
    <n v="4"/>
    <s v="No"/>
    <s v="Online"/>
    <s v="Digital Wallet"/>
    <s v="Corporate"/>
    <s v="London"/>
    <s v="Furniture"/>
    <x v="220"/>
    <n v="1"/>
    <s v="Bookshelf"/>
    <n v="355.14"/>
    <n v="287.08"/>
    <n v="68.06"/>
    <n v="0.19164273244354341"/>
  </r>
  <r>
    <s v="BC-101297"/>
    <d v="2025-09-02T00:00:00"/>
    <s v="South"/>
    <s v="Individual"/>
    <s v="Electronics"/>
    <s v="Portable Speaker"/>
    <n v="2"/>
    <n v="76.08"/>
    <n v="41.72"/>
    <n v="0.1"/>
    <n v="0"/>
    <n v="4"/>
    <s v="No"/>
    <s v="Store"/>
    <s v="Card"/>
    <s v="Individual"/>
    <s v="South"/>
    <s v="Electronics"/>
    <x v="142"/>
    <n v="1"/>
    <s v="Portable Speaker"/>
    <n v="136.94399999999999"/>
    <n v="83.44"/>
    <n v="53.503999999999991"/>
    <n v="0.39069984811309727"/>
  </r>
  <r>
    <s v="BC-100042"/>
    <d v="2025-06-26T00:00:00"/>
    <s v="South"/>
    <s v="Individual"/>
    <s v="Home &amp; Kitchen"/>
    <s v="Blender"/>
    <n v="1"/>
    <n v="63.09"/>
    <n v="35.840000000000003"/>
    <n v="0.05"/>
    <n v="4"/>
    <n v="5"/>
    <s v="No"/>
    <s v="Store"/>
    <s v="Card"/>
    <s v="Individual"/>
    <s v="South"/>
    <s v="Home &amp; Kitchen"/>
    <x v="221"/>
    <n v="1"/>
    <s v="Blender"/>
    <n v="59.935499999999998"/>
    <n v="35.840000000000003"/>
    <n v="24.095499999999994"/>
    <n v="0.402023842297136"/>
  </r>
  <r>
    <s v="BC-100121"/>
    <d v="2025-08-30T00:00:00"/>
    <s v="Midlands"/>
    <s v="Individual"/>
    <s v="Electronics"/>
    <s v="Portable Speaker"/>
    <n v="1"/>
    <n v="76.17"/>
    <n v="42.7"/>
    <n v="0"/>
    <n v="3"/>
    <n v="5"/>
    <s v="No"/>
    <s v="Online"/>
    <s v="Card"/>
    <s v="Individual"/>
    <s v="Midlands"/>
    <s v="Electronics"/>
    <x v="137"/>
    <n v="1"/>
    <s v="Portable Speaker"/>
    <n v="76.17"/>
    <n v="42.7"/>
    <n v="33.47"/>
    <n v="0.43941184193251936"/>
  </r>
  <r>
    <s v="BC-100632"/>
    <d v="2025-01-05T00:00:00"/>
    <s v="London"/>
    <s v="Individual"/>
    <s v="Electronics"/>
    <s v="Portable Speaker"/>
    <n v="4"/>
    <n v="76.37"/>
    <n v="44.87"/>
    <n v="0.05"/>
    <n v="4"/>
    <n v="4"/>
    <s v="No"/>
    <s v="Online"/>
    <s v="Card"/>
    <s v="Individual"/>
    <s v="London"/>
    <s v="Electronics"/>
    <x v="42"/>
    <n v="1"/>
    <s v="Portable Speaker"/>
    <n v="290.20600000000002"/>
    <n v="179.48"/>
    <n v="110.72600000000003"/>
    <n v="0.38154276617299443"/>
  </r>
  <r>
    <s v="BC-101176"/>
    <d v="2025-08-09T00:00:00"/>
    <s v="London"/>
    <s v="Small Business"/>
    <s v="Office"/>
    <s v="Ergonomic Keyboard"/>
    <n v="1"/>
    <n v="72.09"/>
    <n v="37.869999999999997"/>
    <n v="0.1"/>
    <n v="5"/>
    <n v="4"/>
    <s v="No"/>
    <s v="Phone"/>
    <s v="Card"/>
    <s v="Small Business"/>
    <s v="London"/>
    <s v="Office"/>
    <x v="85"/>
    <n v="1"/>
    <s v="Ergonomic Keyboard"/>
    <n v="64.881"/>
    <n v="37.869999999999997"/>
    <n v="27.011000000000003"/>
    <n v="0.41631602472218371"/>
  </r>
  <r>
    <s v="BC-100449"/>
    <d v="2025-11-08T00:00:00"/>
    <s v="South"/>
    <s v="Small Business"/>
    <s v="Furniture"/>
    <s v="Side Table"/>
    <n v="2"/>
    <n v="93.57"/>
    <n v="53.82"/>
    <n v="0.1"/>
    <n v="3"/>
    <m/>
    <s v="No"/>
    <s v="Online"/>
    <s v="Card"/>
    <s v="Small Business"/>
    <s v="South"/>
    <s v="Furniture"/>
    <x v="124"/>
    <n v="1"/>
    <s v="Side Table"/>
    <n v="168.42599999999999"/>
    <n v="107.64"/>
    <n v="60.785999999999987"/>
    <n v="0.36090627337821946"/>
  </r>
  <r>
    <s v="BC-100531"/>
    <d v="2025-04-14T00:00:00"/>
    <s v="South"/>
    <s v="Individual"/>
    <s v="Furniture"/>
    <s v="Bookshelf"/>
    <n v="2"/>
    <n v="123.88"/>
    <n v="71.44"/>
    <n v="0.15000000000000002"/>
    <n v="4"/>
    <n v="5"/>
    <s v="No"/>
    <s v="Store"/>
    <s v="Bank Transfer"/>
    <s v="Individual"/>
    <s v="South"/>
    <s v="Furniture"/>
    <x v="38"/>
    <n v="1"/>
    <s v="Bookshelf"/>
    <n v="210.59599999999998"/>
    <n v="142.88"/>
    <n v="67.71599999999998"/>
    <n v="0.32154456874774445"/>
  </r>
  <r>
    <s v="BC-101639"/>
    <d v="2025-02-22T00:00:00"/>
    <s v="London"/>
    <s v="Individual"/>
    <s v="Electronics"/>
    <s v="Portable Speaker"/>
    <n v="1"/>
    <n v="73.930000000000007"/>
    <n v="43.15"/>
    <n v="0.1"/>
    <n v="3"/>
    <n v="5"/>
    <s v="No"/>
    <s v="Online"/>
    <s v="Card"/>
    <s v="Individual"/>
    <s v="London"/>
    <s v="Electronics"/>
    <x v="222"/>
    <n v="1"/>
    <s v="Portable Speaker"/>
    <n v="66.537000000000006"/>
    <n v="43.15"/>
    <n v="23.387000000000008"/>
    <n v="0.35148864541533292"/>
  </r>
  <r>
    <s v="BC-101818"/>
    <d v="2025-08-23T00:00:00"/>
    <s v="London"/>
    <s v="Individual"/>
    <s v="Electronics"/>
    <s v="Wireless Headset"/>
    <n v="3"/>
    <n v="61.92"/>
    <n v="33.19"/>
    <n v="0.05"/>
    <n v="1"/>
    <n v="3"/>
    <s v="Yes"/>
    <s v="Online"/>
    <s v="Card"/>
    <s v="Individual"/>
    <s v="London"/>
    <s v="Electronics"/>
    <x v="120"/>
    <n v="1"/>
    <s v="Wireless Headset"/>
    <n v="176.47199999999998"/>
    <n v="99.57"/>
    <n v="76.901999999999987"/>
    <n v="0.43577451380388954"/>
  </r>
  <r>
    <s v="BC-100330"/>
    <d v="2025-11-07T00:00:00"/>
    <s v="London"/>
    <s v="Individual"/>
    <s v="Electronics"/>
    <s v="Wireless Headset"/>
    <n v="2"/>
    <n v="58.27"/>
    <n v="33.9"/>
    <n v="0.05"/>
    <n v="1"/>
    <n v="4"/>
    <s v="No"/>
    <s v="Phone"/>
    <s v="Card"/>
    <s v="Individual"/>
    <s v="London"/>
    <s v="Electronics"/>
    <x v="182"/>
    <n v="1"/>
    <s v="Wireless Headset"/>
    <n v="110.71299999999999"/>
    <n v="67.8"/>
    <n v="42.912999999999997"/>
    <n v="0.38760579155112768"/>
  </r>
  <r>
    <s v="BC-101172"/>
    <d v="2025-03-05T00:00:00"/>
    <s v="South"/>
    <s v="Individual"/>
    <s v="Furniture"/>
    <s v="Office Chair"/>
    <n v="1"/>
    <n v="185.6"/>
    <n v="119.45"/>
    <n v="0.15000000000000002"/>
    <n v="6"/>
    <n v="3"/>
    <s v="No"/>
    <s v="Online"/>
    <s v="Card"/>
    <s v="Individual"/>
    <s v="South"/>
    <s v="Furniture"/>
    <x v="201"/>
    <n v="1"/>
    <s v="Office Chair"/>
    <n v="157.76"/>
    <n v="119.45"/>
    <n v="38.309999999999988"/>
    <n v="0.24283722109533462"/>
  </r>
  <r>
    <s v="BC-101889"/>
    <d v="2025-11-17T00:00:00"/>
    <s v="North"/>
    <s v="Small Business"/>
    <s v="Office"/>
    <s v="Laptop Stand"/>
    <n v="1"/>
    <n v="44.43"/>
    <n v="20.68"/>
    <n v="0.05"/>
    <n v="4"/>
    <n v="5"/>
    <s v="No"/>
    <s v="Online"/>
    <s v="Card"/>
    <s v="Small Business"/>
    <s v="North"/>
    <s v="Office"/>
    <x v="223"/>
    <n v="1"/>
    <s v="Laptop Stand"/>
    <n v="42.208500000000001"/>
    <n v="20.68"/>
    <n v="21.528500000000001"/>
    <n v="0.51005129298600993"/>
  </r>
  <r>
    <s v="BC-100505"/>
    <d v="2025-04-23T00:00:00"/>
    <s v="London"/>
    <s v="Individual"/>
    <s v="Furniture"/>
    <s v="Storage Cabinet"/>
    <n v="3"/>
    <n v="155.69999999999999"/>
    <n v="103.32"/>
    <n v="0.1"/>
    <n v="2"/>
    <n v="4"/>
    <s v="No"/>
    <s v="Store"/>
    <s v="Digital Wallet"/>
    <s v="Individual"/>
    <s v="London"/>
    <s v="Furniture"/>
    <x v="84"/>
    <n v="1"/>
    <s v="Storage Cabinet"/>
    <n v="420.39"/>
    <n v="309.95999999999998"/>
    <n v="110.43"/>
    <n v="0.26268464996788699"/>
  </r>
  <r>
    <s v="BC-101948"/>
    <d v="2025-11-14T00:00:00"/>
    <s v="Midlands"/>
    <s v="Individual"/>
    <s v="Electronics"/>
    <s v="Webcam"/>
    <n v="1"/>
    <n v="51.92"/>
    <n v="26.33"/>
    <n v="0"/>
    <n v="1"/>
    <n v="5"/>
    <s v="No"/>
    <s v="Online"/>
    <s v="Card"/>
    <s v="Individual"/>
    <s v="Midlands"/>
    <s v="Electronics"/>
    <x v="80"/>
    <n v="1"/>
    <s v="Webcam"/>
    <n v="51.92"/>
    <n v="26.33"/>
    <n v="25.590000000000003"/>
    <n v="0.49287365177195691"/>
  </r>
  <r>
    <s v="BC-101253"/>
    <d v="2025-05-27T00:00:00"/>
    <s v="London"/>
    <s v="Individual"/>
    <s v="Electronics"/>
    <s v="SmartHome Hub"/>
    <n v="1"/>
    <n v="132.72"/>
    <n v="83.94"/>
    <n v="0.1"/>
    <n v="0"/>
    <n v="4"/>
    <s v="No"/>
    <s v="Store"/>
    <s v="Card"/>
    <s v="Individual"/>
    <s v="London"/>
    <s v="Electronics"/>
    <x v="224"/>
    <n v="1"/>
    <s v="SmartHome Hub"/>
    <n v="119.44800000000001"/>
    <n v="83.94"/>
    <n v="35.50800000000001"/>
    <n v="0.29726743017882262"/>
  </r>
  <r>
    <s v="BC-101037"/>
    <d v="2025-09-27T00:00:00"/>
    <s v="South"/>
    <s v="Individual"/>
    <s v="Home &amp; Kitchen"/>
    <s v="Coffee Maker"/>
    <n v="1"/>
    <n v="80.52"/>
    <n v="46.98"/>
    <n v="0.1"/>
    <n v="3"/>
    <n v="4"/>
    <s v="No"/>
    <s v="Online"/>
    <s v="Digital Wallet"/>
    <s v="Individual"/>
    <s v="South"/>
    <s v="Home &amp; Kitchen"/>
    <x v="16"/>
    <n v="1"/>
    <s v="Coffee Maker"/>
    <n v="72.468000000000004"/>
    <n v="46.98"/>
    <n v="25.488000000000007"/>
    <n v="0.35171385991058129"/>
  </r>
  <r>
    <s v="BC-101288"/>
    <d v="2025-01-20T00:00:00"/>
    <s v="South"/>
    <s v="Corporate"/>
    <s v="Furniture"/>
    <s v="Office Chair"/>
    <n v="6"/>
    <n v="185.89"/>
    <n v="119.12"/>
    <n v="0.15000000000000002"/>
    <n v="0"/>
    <n v="4"/>
    <s v="No"/>
    <s v="Store"/>
    <s v="Bank Transfer"/>
    <s v="Corporate"/>
    <s v="South"/>
    <s v="Furniture"/>
    <x v="225"/>
    <n v="1"/>
    <s v="Office Chair"/>
    <n v="948.03899999999987"/>
    <n v="714.72"/>
    <n v="233.31899999999985"/>
    <n v="0.24610696395401441"/>
  </r>
  <r>
    <s v="BC-101618"/>
    <d v="2025-05-07T00:00:00"/>
    <s v="North"/>
    <s v="Small Business"/>
    <s v="Electronics"/>
    <s v="Webcam"/>
    <n v="2"/>
    <n v="50.65"/>
    <n v="26.75"/>
    <n v="0.05"/>
    <n v="1"/>
    <n v="4"/>
    <s v="No"/>
    <s v="Online"/>
    <s v="Card"/>
    <s v="Small Business"/>
    <s v="North"/>
    <s v="Electronics"/>
    <x v="109"/>
    <n v="1"/>
    <s v="Webcam"/>
    <n v="96.234999999999999"/>
    <n v="53.5"/>
    <n v="42.734999999999999"/>
    <n v="0.44406920559048163"/>
  </r>
  <r>
    <s v="BC-101249"/>
    <d v="2025-09-05T00:00:00"/>
    <s v="Midlands"/>
    <s v="Small Business"/>
    <s v="Electronics"/>
    <s v="Webcam"/>
    <n v="2"/>
    <n v="48.84"/>
    <n v="26.95"/>
    <n v="0"/>
    <n v="1"/>
    <n v="5"/>
    <s v="No"/>
    <s v="Online"/>
    <s v="Card"/>
    <s v="Small Business"/>
    <s v="Midlands"/>
    <s v="Electronics"/>
    <x v="134"/>
    <n v="1"/>
    <s v="Webcam"/>
    <n v="97.68"/>
    <n v="53.9"/>
    <n v="43.780000000000008"/>
    <n v="0.44819819819819823"/>
  </r>
  <r>
    <s v="BC-101242"/>
    <d v="2025-03-25T00:00:00"/>
    <s v="Midlands"/>
    <s v="Corporate"/>
    <s v="Home &amp; Kitchen"/>
    <s v="Coffee Maker"/>
    <n v="4"/>
    <n v="82.58"/>
    <n v="47.05"/>
    <n v="0.1"/>
    <n v="3"/>
    <n v="5"/>
    <s v="No"/>
    <s v="Online"/>
    <s v="Card"/>
    <s v="Corporate"/>
    <s v="Midlands"/>
    <s v="Home &amp; Kitchen"/>
    <x v="117"/>
    <n v="1"/>
    <s v="Coffee Maker"/>
    <n v="297.28800000000001"/>
    <n v="188.2"/>
    <n v="109.08800000000002"/>
    <n v="0.36694383897096422"/>
  </r>
  <r>
    <s v="BC-101822"/>
    <d v="2025-08-26T00:00:00"/>
    <s v="South"/>
    <s v="Individual"/>
    <s v="Furniture"/>
    <s v="Office Chair"/>
    <n v="1"/>
    <n v="185.23"/>
    <n v="112.38"/>
    <n v="0.05"/>
    <n v="3"/>
    <n v="5"/>
    <s v="No"/>
    <s v="Phone"/>
    <s v="Card"/>
    <s v="Individual"/>
    <s v="South"/>
    <s v="Furniture"/>
    <x v="155"/>
    <n v="1"/>
    <s v="Office Chair"/>
    <n v="175.96849999999998"/>
    <n v="112.38"/>
    <n v="63.588499999999982"/>
    <n v="0.36136297121359784"/>
  </r>
  <r>
    <s v="BC-100917"/>
    <d v="2025-05-21T00:00:00"/>
    <s v="Midlands"/>
    <s v="Individual"/>
    <s v="Office"/>
    <s v="Ergonomic Keyboard"/>
    <n v="1"/>
    <n v="70.900000000000006"/>
    <n v="39.090000000000003"/>
    <n v="0.05"/>
    <n v="2"/>
    <n v="3"/>
    <s v="Yes"/>
    <s v="Store"/>
    <s v="Bank Transfer"/>
    <s v="Individual"/>
    <s v="Midlands"/>
    <s v="Office"/>
    <x v="226"/>
    <n v="1"/>
    <s v="Ergonomic Keyboard"/>
    <n v="67.355000000000004"/>
    <n v="39.090000000000003"/>
    <n v="28.265000000000001"/>
    <n v="0.41964219434340433"/>
  </r>
  <r>
    <s v="BC-100628"/>
    <d v="2025-06-23T00:00:00"/>
    <s v="London"/>
    <s v="Individual"/>
    <s v="Home &amp; Kitchen"/>
    <s v="Blender"/>
    <n v="4"/>
    <n v="67.34"/>
    <n v="35.18"/>
    <n v="0"/>
    <n v="7"/>
    <n v="3"/>
    <s v="Yes"/>
    <s v="Online"/>
    <s v="Bank Transfer"/>
    <s v="Individual"/>
    <s v="London"/>
    <s v="Home &amp; Kitchen"/>
    <x v="41"/>
    <n v="1"/>
    <s v="Blender"/>
    <n v="269.36"/>
    <n v="140.72"/>
    <n v="128.64000000000001"/>
    <n v="0.47757647757647759"/>
  </r>
  <r>
    <s v="BC-100235"/>
    <d v="2025-03-29T00:00:00"/>
    <s v="South"/>
    <s v="Individual"/>
    <s v="Office"/>
    <s v="Wireless Mouse"/>
    <n v="1"/>
    <n v="35.18"/>
    <n v="17.09"/>
    <n v="0.05"/>
    <n v="6"/>
    <n v="3"/>
    <s v="No"/>
    <s v="Store"/>
    <s v="Card"/>
    <s v="Individual"/>
    <s v="South"/>
    <s v="Office"/>
    <x v="227"/>
    <n v="1"/>
    <s v="Wireless Mouse"/>
    <n v="33.420999999999999"/>
    <n v="17.09"/>
    <n v="16.331"/>
    <n v="0.48864486400765983"/>
  </r>
  <r>
    <s v="BC-100999"/>
    <d v="2025-09-19T00:00:00"/>
    <s v="South"/>
    <s v="Small Business"/>
    <s v="Home &amp; Kitchen"/>
    <s v="Electric Kettle"/>
    <n v="6"/>
    <n v="40.65"/>
    <n v="20.16"/>
    <n v="0.05"/>
    <n v="6"/>
    <n v="4"/>
    <s v="No"/>
    <s v="Online"/>
    <s v="Card"/>
    <s v="Small Business"/>
    <s v="South"/>
    <s v="Home &amp; Kitchen"/>
    <x v="68"/>
    <n v="1"/>
    <s v="Electric Kettle"/>
    <n v="231.70499999999996"/>
    <n v="120.96000000000001"/>
    <n v="110.74499999999995"/>
    <n v="0.4779568848320061"/>
  </r>
  <r>
    <s v="BC-100776"/>
    <d v="2025-12-06T00:00:00"/>
    <s v="North"/>
    <s v="Individual"/>
    <s v="Electronics"/>
    <s v="Webcam"/>
    <n v="1"/>
    <n v="49.86"/>
    <n v="26.09"/>
    <n v="0"/>
    <n v="0"/>
    <n v="4"/>
    <s v="No"/>
    <s v="Store"/>
    <s v="Card"/>
    <s v="Individual"/>
    <s v="North"/>
    <s v="Electronics"/>
    <x v="131"/>
    <n v="1"/>
    <s v="Webcam"/>
    <n v="49.86"/>
    <n v="26.09"/>
    <n v="23.77"/>
    <n v="0.47673485760128359"/>
  </r>
  <r>
    <s v="BC-100435"/>
    <d v="2025-04-28T00:00:00"/>
    <s v="Midlands"/>
    <s v="Individual"/>
    <s v="Furniture"/>
    <s v="Bookshelf"/>
    <n v="1"/>
    <n v="120.35"/>
    <n v="75.27"/>
    <n v="0.05"/>
    <n v="4"/>
    <n v="4"/>
    <s v="No"/>
    <s v="Online"/>
    <s v="Card"/>
    <s v="Individual"/>
    <s v="Midlands"/>
    <s v="Furniture"/>
    <x v="174"/>
    <n v="1"/>
    <s v="Bookshelf"/>
    <n v="114.3325"/>
    <n v="75.27"/>
    <n v="39.0625"/>
    <n v="0.34165700916187436"/>
  </r>
  <r>
    <s v="BC-100821"/>
    <d v="2025-01-28T00:00:00"/>
    <s v="South"/>
    <s v="Individual"/>
    <s v="Office"/>
    <s v="Ergonomic Keyboard"/>
    <n v="1"/>
    <n v="70.849999999999994"/>
    <n v="38.35"/>
    <n v="0.05"/>
    <n v="2"/>
    <n v="4"/>
    <s v="No"/>
    <s v="Phone"/>
    <s v="Card"/>
    <s v="Individual"/>
    <s v="South"/>
    <s v="Office"/>
    <x v="228"/>
    <n v="1"/>
    <s v="Ergonomic Keyboard"/>
    <n v="67.30749999999999"/>
    <n v="38.35"/>
    <n v="28.957499999999989"/>
    <n v="0.43022694350555279"/>
  </r>
  <r>
    <s v="BC-101617"/>
    <d v="2025-06-18T00:00:00"/>
    <s v="North"/>
    <s v="Individual"/>
    <s v="Electronics"/>
    <s v="Wireless Headset"/>
    <n v="1"/>
    <n v="58.67"/>
    <n v="34.97"/>
    <n v="0"/>
    <n v="3"/>
    <n v="5"/>
    <s v="No"/>
    <s v="Online"/>
    <s v="Card"/>
    <s v="Individual"/>
    <s v="North"/>
    <s v="Electronics"/>
    <x v="153"/>
    <n v="1"/>
    <s v="Wireless Headset"/>
    <n v="58.67"/>
    <n v="34.97"/>
    <n v="23.700000000000003"/>
    <n v="0.40395432077722859"/>
  </r>
  <r>
    <s v="BC-100922"/>
    <d v="2025-03-31T00:00:00"/>
    <s v="South"/>
    <s v="Individual"/>
    <s v="Furniture"/>
    <s v="Office Chair"/>
    <n v="1"/>
    <n v="183.13"/>
    <n v="120.43"/>
    <n v="0.05"/>
    <n v="5"/>
    <n v="4"/>
    <s v="No"/>
    <s v="Online"/>
    <s v="Card"/>
    <s v="Individual"/>
    <s v="South"/>
    <s v="Furniture"/>
    <x v="115"/>
    <n v="1"/>
    <s v="Office Chair"/>
    <n v="173.9735"/>
    <n v="120.43"/>
    <n v="53.543499999999995"/>
    <n v="0.3077681371013401"/>
  </r>
  <r>
    <s v="BC-100390"/>
    <d v="2025-09-30T00:00:00"/>
    <s v="North"/>
    <s v="Individual"/>
    <s v="Electronics"/>
    <s v="SmartHome Hub"/>
    <n v="1"/>
    <n v="133.74"/>
    <n v="83"/>
    <n v="0.1"/>
    <n v="1"/>
    <n v="4"/>
    <s v="No"/>
    <s v="Phone"/>
    <s v="Card"/>
    <s v="Individual"/>
    <s v="North"/>
    <s v="Electronics"/>
    <x v="30"/>
    <n v="1"/>
    <s v="SmartHome Hub"/>
    <n v="120.36600000000001"/>
    <n v="83"/>
    <n v="37.366000000000014"/>
    <n v="0.31043650200222661"/>
  </r>
  <r>
    <s v="BC-101677"/>
    <d v="2025-10-22T00:00:00"/>
    <s v="London"/>
    <s v="Small Business"/>
    <s v="Furniture"/>
    <s v="Bookshelf"/>
    <n v="4"/>
    <n v="122.61"/>
    <n v="73.44"/>
    <n v="0"/>
    <n v="2"/>
    <n v="4"/>
    <s v="No"/>
    <s v="Online"/>
    <s v="Card"/>
    <s v="Small Business"/>
    <s v="London"/>
    <s v="Furniture"/>
    <x v="147"/>
    <n v="1"/>
    <s v="Bookshelf"/>
    <n v="490.44"/>
    <n v="293.76"/>
    <n v="196.68"/>
    <n v="0.40102764864203572"/>
  </r>
  <r>
    <s v="BC-100230"/>
    <d v="2025-03-05T00:00:00"/>
    <s v="South"/>
    <s v="Individual"/>
    <s v="Home &amp; Kitchen"/>
    <s v="Air Fryer"/>
    <n v="1"/>
    <n v="113.27"/>
    <n v="65.27"/>
    <n v="0"/>
    <n v="6"/>
    <n v="2"/>
    <s v="Yes"/>
    <s v="Online"/>
    <s v="Card"/>
    <s v="Individual"/>
    <s v="South"/>
    <s v="Home &amp; Kitchen"/>
    <x v="201"/>
    <n v="1"/>
    <s v="Air Fryer"/>
    <n v="113.27"/>
    <n v="65.27"/>
    <n v="48"/>
    <n v="0.42376622230069744"/>
  </r>
  <r>
    <s v="BC-101682"/>
    <d v="2025-12-16T00:00:00"/>
    <s v="Midlands"/>
    <s v="Individual"/>
    <s v="Office"/>
    <s v="Ergonomic Keyboard"/>
    <n v="1"/>
    <n v="72.319999999999993"/>
    <n v="39.869999999999997"/>
    <n v="0.05"/>
    <n v="4"/>
    <n v="4"/>
    <s v="No"/>
    <s v="Online"/>
    <s v="Bank Transfer"/>
    <s v="Individual"/>
    <s v="Midlands"/>
    <s v="Office"/>
    <x v="69"/>
    <n v="1"/>
    <s v="Ergonomic Keyboard"/>
    <n v="68.703999999999994"/>
    <n v="39.869999999999997"/>
    <n v="28.833999999999996"/>
    <n v="0.41968444340940847"/>
  </r>
  <r>
    <s v="BC-100674"/>
    <d v="2025-03-04T00:00:00"/>
    <s v="London"/>
    <s v="Individual"/>
    <s v="Electronics"/>
    <s v="Wireless Headset"/>
    <n v="1"/>
    <n v="59.41"/>
    <n v="34.880000000000003"/>
    <n v="0.05"/>
    <n v="2"/>
    <n v="4"/>
    <s v="No"/>
    <s v="Online"/>
    <s v="Bank Transfer"/>
    <s v="Individual"/>
    <s v="London"/>
    <s v="Electronics"/>
    <x v="229"/>
    <n v="1"/>
    <s v="Wireless Headset"/>
    <n v="56.439499999999995"/>
    <n v="34.880000000000003"/>
    <n v="21.559499999999993"/>
    <n v="0.38199310766395866"/>
  </r>
  <r>
    <s v="BC-101651"/>
    <d v="2025-11-25T00:00:00"/>
    <s v="London"/>
    <s v="Individual"/>
    <s v="Electronics"/>
    <s v="Wireless Headset"/>
    <n v="2"/>
    <n v="59.24"/>
    <n v="33.03"/>
    <n v="0.05"/>
    <n v="2"/>
    <n v="5"/>
    <s v="No"/>
    <s v="Store"/>
    <s v="Card"/>
    <s v="Individual"/>
    <s v="London"/>
    <s v="Electronics"/>
    <x v="10"/>
    <n v="1"/>
    <s v="Wireless Headset"/>
    <n v="112.556"/>
    <n v="66.06"/>
    <n v="46.495999999999995"/>
    <n v="0.41309214968548985"/>
  </r>
  <r>
    <s v="BC-100803"/>
    <d v="2025-12-22T00:00:00"/>
    <s v="North"/>
    <s v="Individual"/>
    <s v="Electronics"/>
    <s v="Webcam"/>
    <n v="1"/>
    <n v="48.8"/>
    <n v="26.08"/>
    <n v="0.05"/>
    <n v="1"/>
    <n v="4"/>
    <s v="No"/>
    <s v="Store"/>
    <s v="Bank Transfer"/>
    <s v="Individual"/>
    <s v="North"/>
    <s v="Electronics"/>
    <x v="36"/>
    <n v="1"/>
    <s v="Webcam"/>
    <n v="46.359999999999992"/>
    <n v="26.08"/>
    <n v="20.279999999999994"/>
    <n v="0.43744607420189813"/>
  </r>
  <r>
    <s v="BC-101839"/>
    <d v="2025-01-28T00:00:00"/>
    <s v="South"/>
    <s v="Small Business"/>
    <s v="Furniture"/>
    <s v="Side Table"/>
    <n v="1"/>
    <n v="88.17"/>
    <n v="53.4"/>
    <n v="0"/>
    <n v="2"/>
    <n v="4"/>
    <s v="No"/>
    <s v="Store"/>
    <s v="Digital Wallet"/>
    <s v="Small Business"/>
    <s v="South"/>
    <s v="Furniture"/>
    <x v="228"/>
    <n v="1"/>
    <s v="Side Table"/>
    <n v="88.17"/>
    <n v="53.4"/>
    <n v="34.770000000000003"/>
    <n v="0.39435182034705685"/>
  </r>
  <r>
    <s v="BC-100144"/>
    <d v="2025-06-17T00:00:00"/>
    <s v="London"/>
    <s v="Small Business"/>
    <s v="Home &amp; Kitchen"/>
    <s v="Coffee Maker"/>
    <n v="4"/>
    <n v="79.599999999999994"/>
    <n v="45.53"/>
    <n v="0"/>
    <n v="3"/>
    <n v="5"/>
    <s v="No"/>
    <s v="Online"/>
    <s v="Card"/>
    <s v="Small Business"/>
    <s v="London"/>
    <s v="Home &amp; Kitchen"/>
    <x v="230"/>
    <n v="1"/>
    <s v="Coffee Maker"/>
    <n v="318.39999999999998"/>
    <n v="182.12"/>
    <n v="136.27999999999997"/>
    <n v="0.42801507537688438"/>
  </r>
  <r>
    <s v="BC-100463"/>
    <d v="2025-04-30T00:00:00"/>
    <s v="London"/>
    <s v="Individual"/>
    <s v="Furniture"/>
    <s v="Storage Cabinet"/>
    <n v="1"/>
    <n v="157.41"/>
    <n v="99.69"/>
    <n v="0.05"/>
    <n v="5"/>
    <n v="4"/>
    <s v="No"/>
    <s v="Online"/>
    <s v="Bank Transfer"/>
    <s v="Individual"/>
    <s v="London"/>
    <s v="Furniture"/>
    <x v="231"/>
    <n v="1"/>
    <s v="Storage Cabinet"/>
    <n v="149.5395"/>
    <n v="99.69"/>
    <n v="49.849500000000006"/>
    <n v="0.33335339492241184"/>
  </r>
  <r>
    <s v="BC-100511"/>
    <d v="2025-03-26T00:00:00"/>
    <s v="South"/>
    <s v="Small Business"/>
    <s v="Office"/>
    <s v="Ergonomic Keyboard"/>
    <n v="3"/>
    <n v="72.77"/>
    <n v="37.79"/>
    <n v="0.1"/>
    <n v="2"/>
    <n v="3"/>
    <s v="Yes"/>
    <s v="Online"/>
    <s v="Digital Wallet"/>
    <s v="Small Business"/>
    <s v="South"/>
    <s v="Office"/>
    <x v="60"/>
    <n v="1"/>
    <s v="Ergonomic Keyboard"/>
    <n v="196.47900000000001"/>
    <n v="113.37"/>
    <n v="83.109000000000009"/>
    <n v="0.42299177011283651"/>
  </r>
  <r>
    <s v="BC-100033"/>
    <d v="2025-04-04T00:00:00"/>
    <s v="North"/>
    <s v="Small Business"/>
    <s v="Office"/>
    <s v="Laptop Stand"/>
    <n v="4"/>
    <n v="43.91"/>
    <n v="20.46"/>
    <n v="0"/>
    <n v="3"/>
    <n v="5"/>
    <s v="No"/>
    <s v="Online"/>
    <s v="Digital Wallet"/>
    <s v="Small Business"/>
    <s v="North"/>
    <s v="Office"/>
    <x v="232"/>
    <n v="1"/>
    <s v="Laptop Stand"/>
    <n v="175.64"/>
    <n v="81.84"/>
    <n v="93.799999999999983"/>
    <n v="0.53404691414256433"/>
  </r>
  <r>
    <s v="BC-101159"/>
    <d v="2025-04-27T00:00:00"/>
    <s v="London"/>
    <s v="Individual"/>
    <s v="Home &amp; Kitchen"/>
    <s v="Air Fryer"/>
    <n v="3"/>
    <n v="111.22"/>
    <n v="68.3"/>
    <n v="0.05"/>
    <n v="2"/>
    <n v="4"/>
    <s v="No"/>
    <s v="Phone"/>
    <s v="Card"/>
    <s v="Individual"/>
    <s v="London"/>
    <s v="Home &amp; Kitchen"/>
    <x v="233"/>
    <n v="1"/>
    <s v="Air Fryer"/>
    <n v="316.97699999999998"/>
    <n v="204.89999999999998"/>
    <n v="112.077"/>
    <n v="0.35358085917905718"/>
  </r>
  <r>
    <s v="BC-101278"/>
    <d v="2025-05-25T00:00:00"/>
    <s v="London"/>
    <s v="Individual"/>
    <s v="Electronics"/>
    <s v="Webcam"/>
    <n v="2"/>
    <n v="48.97"/>
    <n v="25.86"/>
    <n v="0.1"/>
    <n v="3"/>
    <n v="4"/>
    <s v="No"/>
    <s v="Online"/>
    <s v="Card"/>
    <s v="Individual"/>
    <s v="London"/>
    <s v="Electronics"/>
    <x v="234"/>
    <n v="1"/>
    <s v="Webcam"/>
    <n v="88.146000000000001"/>
    <n v="51.72"/>
    <n v="36.426000000000002"/>
    <n v="0.41324620515962157"/>
  </r>
  <r>
    <s v="BC-100216"/>
    <d v="2025-09-05T00:00:00"/>
    <s v="London"/>
    <s v="Individual"/>
    <s v="Home &amp; Kitchen"/>
    <s v="Blender"/>
    <n v="2"/>
    <n v="65.16"/>
    <n v="36.72"/>
    <n v="0"/>
    <n v="3"/>
    <n v="4"/>
    <s v="No"/>
    <s v="Online"/>
    <s v="Card"/>
    <s v="Individual"/>
    <s v="London"/>
    <s v="Home &amp; Kitchen"/>
    <x v="134"/>
    <n v="1"/>
    <s v="Blender"/>
    <n v="130.32"/>
    <n v="73.44"/>
    <n v="56.879999999999995"/>
    <n v="0.43646408839779005"/>
  </r>
  <r>
    <s v="BC-100866"/>
    <d v="2025-07-28T00:00:00"/>
    <s v="North"/>
    <s v="Individual"/>
    <s v="Home &amp; Kitchen"/>
    <s v="Coffee Maker"/>
    <n v="1"/>
    <n v="79.260000000000005"/>
    <n v="45.3"/>
    <n v="0.05"/>
    <n v="4"/>
    <n v="4"/>
    <s v="No"/>
    <s v="Online"/>
    <s v="Digital Wallet"/>
    <s v="Individual"/>
    <s v="North"/>
    <s v="Home &amp; Kitchen"/>
    <x v="39"/>
    <n v="1"/>
    <s v="Coffee Maker"/>
    <n v="75.296999999999997"/>
    <n v="45.3"/>
    <n v="29.997"/>
    <n v="0.39838240567353284"/>
  </r>
  <r>
    <s v="BC-100869"/>
    <d v="2025-05-05T00:00:00"/>
    <s v="London"/>
    <s v="Small Business"/>
    <s v="Home &amp; Kitchen"/>
    <s v="Electric Kettle"/>
    <n v="2"/>
    <n v="38.99"/>
    <n v="20.350000000000001"/>
    <n v="0.05"/>
    <n v="7"/>
    <n v="4"/>
    <s v="No"/>
    <s v="Online"/>
    <s v="Card"/>
    <s v="Small Business"/>
    <s v="London"/>
    <s v="Home &amp; Kitchen"/>
    <x v="235"/>
    <n v="1"/>
    <s v="Electric Kettle"/>
    <n v="74.081000000000003"/>
    <n v="40.700000000000003"/>
    <n v="33.381"/>
    <n v="0.45060136877201978"/>
  </r>
  <r>
    <s v="BC-100202"/>
    <d v="2025-06-06T00:00:00"/>
    <s v="London"/>
    <s v="Individual"/>
    <s v="Furniture"/>
    <s v="Storage Cabinet"/>
    <n v="1"/>
    <n v="163.75"/>
    <n v="102.5"/>
    <n v="0.05"/>
    <n v="5"/>
    <n v="4"/>
    <s v="No"/>
    <s v="Online"/>
    <s v="Bank Transfer"/>
    <s v="Individual"/>
    <s v="London"/>
    <s v="Furniture"/>
    <x v="236"/>
    <n v="1"/>
    <s v="Storage Cabinet"/>
    <n v="155.5625"/>
    <n v="102.5"/>
    <n v="53.0625"/>
    <n v="0.34110084371233429"/>
  </r>
  <r>
    <s v="BC-100642"/>
    <d v="2025-01-26T00:00:00"/>
    <s v="North"/>
    <s v="Individual"/>
    <s v="Home &amp; Kitchen"/>
    <s v="Electric Kettle"/>
    <n v="2"/>
    <n v="41.26"/>
    <n v="20.99"/>
    <n v="0"/>
    <n v="4"/>
    <n v="4"/>
    <s v="No"/>
    <s v="Online"/>
    <s v="Card"/>
    <s v="Individual"/>
    <s v="North"/>
    <s v="Home &amp; Kitchen"/>
    <x v="237"/>
    <n v="1"/>
    <s v="Electric Kettle"/>
    <n v="82.52"/>
    <n v="41.98"/>
    <n v="40.54"/>
    <n v="0.49127484246243336"/>
  </r>
  <r>
    <s v="BC-101563"/>
    <d v="2025-06-26T00:00:00"/>
    <s v="London"/>
    <s v="Small Business"/>
    <s v="Home &amp; Kitchen"/>
    <s v="Blender"/>
    <n v="5"/>
    <n v="66.430000000000007"/>
    <n v="35.82"/>
    <n v="0.05"/>
    <n v="1"/>
    <n v="4"/>
    <s v="No"/>
    <s v="Store"/>
    <s v="Bank Transfer"/>
    <s v="Small Business"/>
    <s v="London"/>
    <s v="Home &amp; Kitchen"/>
    <x v="221"/>
    <n v="1"/>
    <s v="Blender"/>
    <n v="315.54250000000002"/>
    <n v="179.1"/>
    <n v="136.44250000000002"/>
    <n v="0.43240609426622412"/>
  </r>
  <r>
    <s v="BC-100701"/>
    <d v="2025-07-01T00:00:00"/>
    <s v="Midlands"/>
    <s v="Small Business"/>
    <s v="Home &amp; Kitchen"/>
    <s v="Air Fryer"/>
    <n v="2"/>
    <n v="111.52"/>
    <n v="69.31"/>
    <n v="0"/>
    <n v="6"/>
    <n v="4"/>
    <s v="No"/>
    <s v="Online"/>
    <s v="Card"/>
    <s v="Small Business"/>
    <s v="Midlands"/>
    <s v="Home &amp; Kitchen"/>
    <x v="123"/>
    <n v="1"/>
    <s v="Air Fryer"/>
    <n v="223.04"/>
    <n v="138.62"/>
    <n v="84.419999999999987"/>
    <n v="0.37849713055954087"/>
  </r>
  <r>
    <s v="BC-100729"/>
    <d v="2025-02-09T00:00:00"/>
    <s v="South"/>
    <s v="Individual"/>
    <s v="Electronics"/>
    <s v="Wireless Headset"/>
    <n v="2"/>
    <n v="61.69"/>
    <n v="34.200000000000003"/>
    <n v="0.15000000000000002"/>
    <n v="7"/>
    <n v="3"/>
    <s v="Yes"/>
    <s v="Online"/>
    <s v="Digital Wallet"/>
    <s v="Individual"/>
    <s v="South"/>
    <s v="Electronics"/>
    <x v="238"/>
    <n v="1"/>
    <s v="Wireless Headset"/>
    <n v="104.87299999999999"/>
    <n v="68.400000000000006"/>
    <n v="36.472999999999985"/>
    <n v="0.3477825560439769"/>
  </r>
  <r>
    <s v="BC-101096"/>
    <d v="2025-07-15T00:00:00"/>
    <s v="Mid lands"/>
    <s v="Small Business"/>
    <s v="Electronics"/>
    <s v="SmartHome Hub"/>
    <n v="3"/>
    <n v="130.22999999999999"/>
    <n v="85.78"/>
    <n v="0.05"/>
    <n v="0"/>
    <n v="4"/>
    <s v="No"/>
    <s v="Store"/>
    <s v="Digital Wallet"/>
    <s v="Small Business"/>
    <s v="Mid Lands"/>
    <s v="Electronics"/>
    <x v="239"/>
    <n v="1"/>
    <s v="SmartHome Hub"/>
    <n v="371.1554999999999"/>
    <n v="257.34000000000003"/>
    <n v="113.81549999999987"/>
    <n v="0.3066517941940774"/>
  </r>
  <r>
    <s v="BC-101537"/>
    <d v="2025-06-21T00:00:00"/>
    <s v="North"/>
    <s v="Individual"/>
    <s v="Office"/>
    <s v="Laptop Stand"/>
    <n v="2"/>
    <n v="46.35"/>
    <n v="21.58"/>
    <n v="0.05"/>
    <n v="3"/>
    <n v="5"/>
    <s v="No"/>
    <s v="Online"/>
    <s v="Card"/>
    <s v="Individual"/>
    <s v="North"/>
    <s v="Office"/>
    <x v="240"/>
    <n v="1"/>
    <s v="Laptop Stand"/>
    <n v="88.064999999999998"/>
    <n v="43.16"/>
    <n v="44.905000000000001"/>
    <n v="0.50990745472094479"/>
  </r>
  <r>
    <s v="BC-100214"/>
    <d v="2025-04-08T00:00:00"/>
    <s v="South"/>
    <s v="Individual"/>
    <s v="Electronics"/>
    <s v="SmartHome Hub"/>
    <n v="1"/>
    <n v="127.26"/>
    <n v="87.28"/>
    <n v="0"/>
    <n v="0"/>
    <n v="4"/>
    <s v="No"/>
    <s v="Store"/>
    <s v="Card"/>
    <s v="Individual"/>
    <s v="South"/>
    <s v="Electronics"/>
    <x v="126"/>
    <n v="1"/>
    <s v="SmartHome Hub"/>
    <n v="127.26"/>
    <n v="87.28"/>
    <n v="39.980000000000004"/>
    <n v="0.31415998742731416"/>
  </r>
  <r>
    <s v="BC-100953"/>
    <d v="2025-08-09T00:00:00"/>
    <s v="Midlands"/>
    <s v="Individual"/>
    <s v="Office"/>
    <s v="Wireless Mouse"/>
    <n v="1"/>
    <n v="35.83"/>
    <n v="16.64"/>
    <n v="0.05"/>
    <n v="4"/>
    <n v="4"/>
    <s v="No"/>
    <s v="Online"/>
    <s v="Card"/>
    <s v="Individual"/>
    <s v="Midlands"/>
    <s v="Office"/>
    <x v="85"/>
    <n v="1"/>
    <s v="Wireless Mouse"/>
    <n v="34.038499999999999"/>
    <n v="16.64"/>
    <n v="17.398499999999999"/>
    <n v="0.51114179532000525"/>
  </r>
  <r>
    <s v="BC-100884"/>
    <d v="2025-09-20T00:00:00"/>
    <s v="London"/>
    <s v="Individual"/>
    <s v="Electronics"/>
    <s v="Webcam"/>
    <n v="2"/>
    <n v="50.06"/>
    <n v="27.17"/>
    <n v="0"/>
    <n v="0"/>
    <n v="5"/>
    <s v="No"/>
    <s v="Store"/>
    <s v="Card"/>
    <s v="Individual"/>
    <s v="London"/>
    <s v="Electronics"/>
    <x v="76"/>
    <n v="1"/>
    <s v="Webcam"/>
    <n v="100.12"/>
    <n v="54.34"/>
    <n v="45.78"/>
    <n v="0.45725129844186974"/>
  </r>
  <r>
    <s v="BC-101209"/>
    <d v="2025-07-25T00:00:00"/>
    <s v="South"/>
    <s v="Small Business"/>
    <s v="Office"/>
    <s v="Ergonomic Keyboard"/>
    <n v="6"/>
    <n v="72.37"/>
    <n v="39.81"/>
    <n v="0.1"/>
    <n v="3"/>
    <n v="4"/>
    <s v="No"/>
    <s v="Online"/>
    <s v="Card"/>
    <s v="Small Business"/>
    <s v="South"/>
    <s v="Office"/>
    <x v="143"/>
    <n v="1"/>
    <s v="Ergonomic Keyboard"/>
    <n v="390.79800000000006"/>
    <n v="238.86"/>
    <n v="151.93800000000005"/>
    <n v="0.38878909308645393"/>
  </r>
  <r>
    <s v="BC-101086"/>
    <d v="2025-12-09T00:00:00"/>
    <s v="London"/>
    <s v="Small Business"/>
    <s v="Office"/>
    <s v="Laptop Stand"/>
    <n v="2"/>
    <n v="46.33"/>
    <n v="21.01"/>
    <n v="0.05"/>
    <n v="0"/>
    <n v="4"/>
    <s v="No"/>
    <s v="Store"/>
    <s v="Card"/>
    <s v="Small Business"/>
    <s v="London"/>
    <s v="Office"/>
    <x v="112"/>
    <n v="1"/>
    <s v="Laptop Stand"/>
    <n v="88.026999999999987"/>
    <n v="42.02"/>
    <n v="46.006999999999984"/>
    <n v="0.52264646074499854"/>
  </r>
  <r>
    <s v="BC-101280"/>
    <d v="2025-03-23T00:00:00"/>
    <s v="London"/>
    <s v="Individual"/>
    <s v="Office"/>
    <s v="Laptop Stand"/>
    <n v="1"/>
    <n v="46.04"/>
    <n v="21.79"/>
    <n v="0"/>
    <n v="3"/>
    <n v="4"/>
    <s v="No"/>
    <s v="Online"/>
    <s v="Bank Transfer"/>
    <s v="Individual"/>
    <s v="London"/>
    <s v="Office"/>
    <x v="161"/>
    <n v="1"/>
    <s v="Laptop Stand"/>
    <n v="46.04"/>
    <n v="21.79"/>
    <n v="24.25"/>
    <n v="0.52671589921807127"/>
  </r>
  <r>
    <s v="BC-101371"/>
    <d v="2025-11-20T00:00:00"/>
    <s v="South"/>
    <s v="Individual"/>
    <s v="Electronics"/>
    <s v="Webcam"/>
    <n v="2"/>
    <n v="51.56"/>
    <n v="25.63"/>
    <n v="0.15000000000000002"/>
    <n v="5"/>
    <n v="4"/>
    <s v="No"/>
    <s v="Phone"/>
    <s v="Card"/>
    <s v="Individual"/>
    <s v="South"/>
    <s v="Electronics"/>
    <x v="33"/>
    <n v="1"/>
    <s v="Webcam"/>
    <n v="87.652000000000001"/>
    <n v="51.26"/>
    <n v="36.392000000000003"/>
    <n v="0.41518733172089628"/>
  </r>
  <r>
    <s v="BC-101912"/>
    <d v="2025-09-03T00:00:00"/>
    <s v="Midlands"/>
    <s v="Corporate"/>
    <s v="Office"/>
    <s v="Desk Lamp"/>
    <n v="10"/>
    <n v="41.51"/>
    <n v="19.59"/>
    <n v="0.05"/>
    <n v="3"/>
    <n v="3"/>
    <s v="Yes"/>
    <s v="Online"/>
    <s v="Card"/>
    <s v="Corporate"/>
    <s v="Midlands"/>
    <s v="Office"/>
    <x v="106"/>
    <n v="1"/>
    <s v="Desk Lamp"/>
    <n v="394.34499999999997"/>
    <n v="195.9"/>
    <n v="198.44499999999996"/>
    <n v="0.50322686987282705"/>
  </r>
  <r>
    <s v="BC-100905"/>
    <d v="2025-12-26T00:00:00"/>
    <s v="London"/>
    <s v="Small Business"/>
    <s v="Electronics"/>
    <s v="SmartHome Hub"/>
    <n v="2"/>
    <n v="129.84"/>
    <n v="86.14"/>
    <n v="0.15000000000000002"/>
    <n v="0"/>
    <n v="4"/>
    <s v="No"/>
    <s v="Store"/>
    <s v="Card"/>
    <s v="Small Business"/>
    <s v="London"/>
    <s v="Electronics"/>
    <x v="215"/>
    <n v="1"/>
    <s v="SmartHome Hub"/>
    <n v="220.72800000000001"/>
    <n v="172.28"/>
    <n v="48.448000000000008"/>
    <n v="0.21949186328875361"/>
  </r>
  <r>
    <s v="BC-100619"/>
    <d v="2025-05-22T00:00:00"/>
    <s v="Midlands"/>
    <s v="Individual"/>
    <s v="Electronics"/>
    <s v="Portable Speaker"/>
    <n v="1"/>
    <n v="74.180000000000007"/>
    <n v="43.81"/>
    <n v="0.05"/>
    <n v="0"/>
    <n v="4"/>
    <s v="No"/>
    <s v="Store"/>
    <s v="Card"/>
    <s v="Individual"/>
    <s v="Midlands"/>
    <s v="Electronics"/>
    <x v="4"/>
    <n v="1"/>
    <s v="Portable Speaker"/>
    <n v="70.471000000000004"/>
    <n v="43.81"/>
    <n v="26.661000000000001"/>
    <n v="0.37832583615955501"/>
  </r>
  <r>
    <s v="BC-100203"/>
    <d v="2025-06-08T00:00:00"/>
    <s v="Midlands"/>
    <s v="Individual"/>
    <s v="Furniture"/>
    <s v="Storage Cabinet"/>
    <n v="2"/>
    <n v="166.07"/>
    <n v="98.65"/>
    <n v="0"/>
    <n v="5"/>
    <n v="4"/>
    <s v="No"/>
    <s v="Online"/>
    <s v="Card"/>
    <s v="Individual"/>
    <s v="Midlands"/>
    <s v="Furniture"/>
    <x v="40"/>
    <n v="1"/>
    <s v="Storage Cabinet"/>
    <n v="332.14"/>
    <n v="197.3"/>
    <n v="134.83999999999997"/>
    <n v="0.40597338471728783"/>
  </r>
  <r>
    <s v="BC-100608"/>
    <d v="2025-01-16T00:00:00"/>
    <s v="London"/>
    <s v="Individual"/>
    <s v="Home &amp; Kitchen"/>
    <s v="Blender"/>
    <n v="1"/>
    <n v="65.11"/>
    <n v="36.68"/>
    <n v="0.05"/>
    <n v="4"/>
    <n v="4"/>
    <s v="No"/>
    <s v="Online"/>
    <s v="Card"/>
    <s v="Individual"/>
    <s v="London"/>
    <s v="Home &amp; Kitchen"/>
    <x v="79"/>
    <n v="1"/>
    <s v="Blender"/>
    <n v="61.854499999999994"/>
    <n v="36.68"/>
    <n v="25.174499999999995"/>
    <n v="0.40699544899724349"/>
  </r>
  <r>
    <s v="BC-101953"/>
    <d v="2025-04-27T00:00:00"/>
    <s v="South"/>
    <s v="Small Business"/>
    <s v="Furniture"/>
    <s v="Office Chair"/>
    <n v="5"/>
    <n v="184.79"/>
    <n v="112.51"/>
    <n v="0"/>
    <n v="4"/>
    <n v="5"/>
    <s v="No"/>
    <s v="Online"/>
    <s v="Card"/>
    <s v="Small Business"/>
    <s v="South"/>
    <s v="Furniture"/>
    <x v="233"/>
    <n v="1"/>
    <s v="Office Chair"/>
    <n v="923.94999999999993"/>
    <n v="562.55000000000007"/>
    <n v="361.39999999999986"/>
    <n v="0.39114670707289345"/>
  </r>
  <r>
    <s v="BC-101197"/>
    <d v="2025-03-21T00:00:00"/>
    <s v="London"/>
    <s v="Individual"/>
    <s v="Home &amp; Kitchen"/>
    <s v="Air Fryer"/>
    <n v="2"/>
    <n v="109.09"/>
    <n v="66.430000000000007"/>
    <n v="0"/>
    <n v="0"/>
    <n v="5"/>
    <s v="No"/>
    <s v="Store"/>
    <s v="Card"/>
    <s v="Individual"/>
    <s v="London"/>
    <s v="Home &amp; Kitchen"/>
    <x v="241"/>
    <n v="1"/>
    <s v="Air Fryer"/>
    <n v="218.18"/>
    <n v="132.86000000000001"/>
    <n v="85.32"/>
    <n v="0.39105325877715641"/>
  </r>
  <r>
    <s v="BC-100191"/>
    <d v="2025-11-20T00:00:00"/>
    <s v="South"/>
    <s v="Small Business"/>
    <s v="Furniture"/>
    <s v="Side Table"/>
    <n v="3"/>
    <n v="92.18"/>
    <n v="54.11"/>
    <n v="0"/>
    <n v="3"/>
    <n v="4"/>
    <s v="No"/>
    <s v="Store"/>
    <s v="Card"/>
    <s v="Small Business"/>
    <s v="South"/>
    <s v="Furniture"/>
    <x v="33"/>
    <n v="1"/>
    <s v="Side Table"/>
    <n v="276.54000000000002"/>
    <n v="162.32999999999998"/>
    <n v="114.21000000000004"/>
    <n v="0.41299631156433075"/>
  </r>
  <r>
    <s v="BC-101462"/>
    <d v="2025-07-25T00:00:00"/>
    <s v="London"/>
    <s v="Individual"/>
    <s v="Furniture"/>
    <s v="Office Chair"/>
    <n v="1"/>
    <n v="180.85"/>
    <n v="118.29"/>
    <n v="0.05"/>
    <n v="4"/>
    <n v="4"/>
    <s v="No"/>
    <s v="Store"/>
    <s v="Bank Transfer"/>
    <s v="Individual"/>
    <s v="London"/>
    <s v="Furniture"/>
    <x v="143"/>
    <n v="1"/>
    <s v="Office Chair"/>
    <n v="171.80749999999998"/>
    <n v="118.29"/>
    <n v="53.51749999999997"/>
    <n v="0.3114968787742094"/>
  </r>
  <r>
    <s v="BC-101844"/>
    <d v="2025-05-29T00:00:00"/>
    <s v="London"/>
    <s v="Small Business"/>
    <s v="Electronics"/>
    <s v="Webcam"/>
    <n v="5"/>
    <n v="49.43"/>
    <n v="26.46"/>
    <n v="0.1"/>
    <n v="0"/>
    <n v="4"/>
    <s v="No"/>
    <s v="Store"/>
    <s v="Card"/>
    <s v="Small Business"/>
    <s v="London"/>
    <s v="Electronics"/>
    <x v="86"/>
    <n v="1"/>
    <s v="Webcam"/>
    <n v="222.435"/>
    <n v="132.30000000000001"/>
    <n v="90.134999999999991"/>
    <n v="0.40521950232652232"/>
  </r>
  <r>
    <s v="BC-100059"/>
    <d v="2025-12-08T00:00:00"/>
    <s v="Midlands"/>
    <s v="Small Business"/>
    <s v="Home &amp; Kitchen"/>
    <s v="Electric Kettle"/>
    <n v="6"/>
    <n v="39.96"/>
    <n v="19.63"/>
    <n v="0.05"/>
    <n v="3"/>
    <n v="4"/>
    <s v="No"/>
    <s v="Phone"/>
    <s v="Card"/>
    <s v="Small Business"/>
    <s v="Midlands"/>
    <s v="Home &amp; Kitchen"/>
    <x v="242"/>
    <n v="1"/>
    <s v="Electric Kettle"/>
    <n v="227.77199999999999"/>
    <n v="117.78"/>
    <n v="109.99199999999999"/>
    <n v="0.48290395658816709"/>
  </r>
  <r>
    <s v="BC-100210"/>
    <d v="2025-04-29T00:00:00"/>
    <s v="North"/>
    <s v="Small Business"/>
    <s v="Electronics"/>
    <s v="SmartHome Hub"/>
    <n v="4"/>
    <n v="129.69"/>
    <n v="82.63"/>
    <n v="0"/>
    <n v="0"/>
    <n v="4"/>
    <s v="No"/>
    <s v="Store"/>
    <s v="Card"/>
    <s v="Small Business"/>
    <s v="North"/>
    <s v="Electronics"/>
    <x v="55"/>
    <n v="1"/>
    <s v="SmartHome Hub"/>
    <n v="518.76"/>
    <n v="330.52"/>
    <n v="188.24"/>
    <n v="0.36286529416300412"/>
  </r>
  <r>
    <s v="BC-100651"/>
    <d v="2025-06-24T00:00:00"/>
    <s v="North"/>
    <s v="Individual"/>
    <s v="Home &amp; Kitchen"/>
    <s v="Blender"/>
    <n v="3"/>
    <n v="64.010000000000005"/>
    <n v="34.979999999999997"/>
    <n v="0"/>
    <n v="3"/>
    <n v="4"/>
    <s v="No"/>
    <s v="Phone"/>
    <s v="Card"/>
    <s v="Individual"/>
    <s v="North"/>
    <s v="Home &amp; Kitchen"/>
    <x v="243"/>
    <n v="1"/>
    <s v="Blender"/>
    <n v="192.03000000000003"/>
    <n v="104.94"/>
    <n v="87.090000000000032"/>
    <n v="0.4535228870488987"/>
  </r>
  <r>
    <s v="BC-100645"/>
    <d v="2025-05-15T00:00:00"/>
    <s v="South"/>
    <s v="Individual"/>
    <s v="Office"/>
    <s v="Ergonomic Keyboard"/>
    <n v="1"/>
    <n v="72.25"/>
    <n v="38.04"/>
    <n v="0.15000000000000002"/>
    <n v="3"/>
    <n v="5"/>
    <s v="No"/>
    <s v="Online"/>
    <s v="Card"/>
    <s v="Individual"/>
    <s v="South"/>
    <s v="Office"/>
    <x v="47"/>
    <n v="1"/>
    <s v="Ergonomic Keyboard"/>
    <n v="61.412500000000001"/>
    <n v="38.04"/>
    <n v="23.372500000000002"/>
    <n v="0.38058212904538979"/>
  </r>
  <r>
    <s v="BC-100318"/>
    <d v="2025-08-26T00:00:00"/>
    <s v="South"/>
    <s v="Individual"/>
    <s v="Home &amp; Kitchen"/>
    <s v="Coffee Maker"/>
    <n v="2"/>
    <n v="81.05"/>
    <n v="46.18"/>
    <n v="0"/>
    <n v="5"/>
    <n v="3"/>
    <s v="Yes"/>
    <s v="Online"/>
    <s v="Card"/>
    <s v="Individual"/>
    <s v="South"/>
    <s v="Home &amp; Kitchen"/>
    <x v="155"/>
    <n v="1"/>
    <s v="Coffee Maker"/>
    <n v="162.1"/>
    <n v="92.36"/>
    <n v="69.739999999999995"/>
    <n v="0.43022825416409621"/>
  </r>
  <r>
    <s v="BC-101984"/>
    <d v="2025-07-13T00:00:00"/>
    <s v="South"/>
    <s v="Corporate"/>
    <s v="Home &amp; Kitchen"/>
    <s v="Blender"/>
    <n v="4"/>
    <n v="63.66"/>
    <n v="36.74"/>
    <n v="0.05"/>
    <n v="3"/>
    <n v="4"/>
    <s v="No"/>
    <s v="Online"/>
    <s v="Card"/>
    <s v="Corporate"/>
    <s v="South"/>
    <s v="Home &amp; Kitchen"/>
    <x v="244"/>
    <n v="1"/>
    <s v="Blender"/>
    <n v="241.90799999999999"/>
    <n v="146.96"/>
    <n v="94.947999999999979"/>
    <n v="0.39249632091538927"/>
  </r>
  <r>
    <s v="BC-101227"/>
    <d v="2025-08-02T00:00:00"/>
    <s v="South"/>
    <s v="Individual"/>
    <s v="Office"/>
    <s v="Desk Lamp"/>
    <n v="1"/>
    <n v="41.47"/>
    <n v="19.53"/>
    <n v="0.05"/>
    <n v="5"/>
    <n v="4"/>
    <s v="No"/>
    <s v="Online"/>
    <s v="Card"/>
    <s v="Individual"/>
    <s v="South"/>
    <s v="Office"/>
    <x v="78"/>
    <n v="1"/>
    <s v="Desk Lamp"/>
    <n v="39.396499999999996"/>
    <n v="19.53"/>
    <n v="19.866499999999995"/>
    <n v="0.50427068394400509"/>
  </r>
  <r>
    <s v="BC-100248"/>
    <d v="2025-12-01T00:00:00"/>
    <s v="Midlands"/>
    <s v="Individual"/>
    <s v="Office"/>
    <s v="Wireless Mouse"/>
    <n v="1"/>
    <n v="35.47"/>
    <n v="17.59"/>
    <n v="0.05"/>
    <n v="5"/>
    <n v="4"/>
    <s v="No"/>
    <s v="Online"/>
    <s v="Digital Wallet"/>
    <s v="Individual"/>
    <s v="Midlands"/>
    <s v="Office"/>
    <x v="11"/>
    <n v="1"/>
    <s v="Wireless Mouse"/>
    <n v="33.6965"/>
    <n v="17.59"/>
    <n v="16.1065"/>
    <n v="0.47798732806077782"/>
  </r>
  <r>
    <s v="BC-100150"/>
    <d v="2025-11-13T00:00:00"/>
    <s v="South"/>
    <s v="Small Business"/>
    <s v="Electronics"/>
    <s v="Portable Speaker"/>
    <n v="3"/>
    <n v="73.75"/>
    <n v="43.66"/>
    <n v="0.25"/>
    <n v="0"/>
    <n v="4"/>
    <s v="No"/>
    <s v="Store"/>
    <s v="Card"/>
    <s v="Small Business"/>
    <s v="South"/>
    <s v="Electronics"/>
    <x v="22"/>
    <n v="1"/>
    <s v="Portable Speaker"/>
    <n v="165.9375"/>
    <n v="130.97999999999999"/>
    <n v="34.95750000000001"/>
    <n v="0.21066666666666672"/>
  </r>
  <r>
    <s v="BC-100750"/>
    <d v="2025-07-09T00:00:00"/>
    <s v="South"/>
    <s v="Individual"/>
    <s v="Electronics"/>
    <s v="Portable Speaker"/>
    <n v="2"/>
    <n v="72.97"/>
    <n v="43.85"/>
    <n v="0.05"/>
    <n v="9"/>
    <n v="3"/>
    <s v="No"/>
    <s v="Online"/>
    <s v="Card"/>
    <s v="Individual"/>
    <s v="South"/>
    <s v="Electronics"/>
    <x v="245"/>
    <n v="1"/>
    <s v="Portable Speaker"/>
    <n v="138.643"/>
    <n v="87.7"/>
    <n v="50.942999999999998"/>
    <n v="0.36744011598133336"/>
  </r>
  <r>
    <s v="BC-101646"/>
    <d v="2025-11-20T00:00:00"/>
    <s v="South"/>
    <s v="Small Business"/>
    <s v="Furniture"/>
    <s v="Side Table"/>
    <n v="5"/>
    <n v="92.09"/>
    <n v="56.34"/>
    <n v="0.1"/>
    <n v="4"/>
    <n v="5"/>
    <s v="No"/>
    <s v="Phone"/>
    <s v="Card"/>
    <s v="Small Business"/>
    <s v="South"/>
    <s v="Furniture"/>
    <x v="33"/>
    <n v="1"/>
    <s v="Side Table"/>
    <n v="414.40500000000003"/>
    <n v="281.70000000000005"/>
    <n v="132.70499999999998"/>
    <n v="0.32023020957758708"/>
  </r>
  <r>
    <s v="BC-100003"/>
    <d v="2025-03-12T00:00:00"/>
    <s v="London"/>
    <s v="Individual"/>
    <s v="Furniture"/>
    <s v="Side Table"/>
    <n v="1"/>
    <n v="87.52"/>
    <n v="52.93"/>
    <n v="0.05"/>
    <n v="8"/>
    <n v="3"/>
    <s v="No"/>
    <s v="Online"/>
    <s v="Card"/>
    <s v="Individual"/>
    <s v="London"/>
    <s v="Furniture"/>
    <x v="45"/>
    <n v="1"/>
    <s v="Side Table"/>
    <n v="83.143999999999991"/>
    <n v="52.93"/>
    <n v="30.213999999999992"/>
    <n v="0.3633936303281054"/>
  </r>
  <r>
    <s v="BC-100332"/>
    <d v="2025-05-20T00:00:00"/>
    <s v="South"/>
    <s v="Small Business"/>
    <s v="Home &amp; Kitchen"/>
    <s v="Electric Kettle"/>
    <n v="6"/>
    <n v="41.07"/>
    <n v="20.49"/>
    <n v="0.05"/>
    <n v="5"/>
    <n v="4"/>
    <s v="No"/>
    <s v="Online"/>
    <s v="Card"/>
    <s v="Small Business"/>
    <s v="South"/>
    <s v="Home &amp; Kitchen"/>
    <x v="127"/>
    <n v="1"/>
    <s v="Electric Kettle"/>
    <n v="234.09900000000002"/>
    <n v="122.94"/>
    <n v="111.15900000000002"/>
    <n v="0.47483756872092581"/>
  </r>
  <r>
    <s v="BC-100075"/>
    <d v="2025-12-21T00:00:00"/>
    <s v="South"/>
    <s v="Individual"/>
    <s v="Office"/>
    <s v="Desk Lamp"/>
    <n v="1"/>
    <n v="41.51"/>
    <n v="19.920000000000002"/>
    <n v="0.2"/>
    <n v="5"/>
    <n v="3"/>
    <s v="Yes"/>
    <s v="Online"/>
    <s v="Digital Wallet"/>
    <s v="Individual"/>
    <s v="South"/>
    <s v="Office"/>
    <x v="3"/>
    <n v="1"/>
    <s v="Desk Lamp"/>
    <n v="33.207999999999998"/>
    <n v="19.920000000000002"/>
    <n v="13.287999999999997"/>
    <n v="0.40014454348349787"/>
  </r>
  <r>
    <s v="BC-100801"/>
    <d v="2025-03-27T00:00:00"/>
    <s v="London"/>
    <s v="Individual"/>
    <s v="Furniture"/>
    <s v="Side Table"/>
    <n v="2"/>
    <n v="89.16"/>
    <n v="52.69"/>
    <n v="0"/>
    <n v="5"/>
    <n v="5"/>
    <s v="No"/>
    <s v="Online"/>
    <s v="Digital Wallet"/>
    <s v="Individual"/>
    <s v="London"/>
    <s v="Furniture"/>
    <x v="246"/>
    <n v="1"/>
    <s v="Side Table"/>
    <n v="178.32"/>
    <n v="105.38"/>
    <n v="72.94"/>
    <n v="0.40903992821893226"/>
  </r>
  <r>
    <s v="BC-101949"/>
    <d v="2025-07-23T00:00:00"/>
    <s v="London"/>
    <s v="Individual"/>
    <s v="Office"/>
    <s v="Wireless Mouse"/>
    <n v="2"/>
    <n v="35.29"/>
    <n v="16.73"/>
    <n v="0"/>
    <n v="4"/>
    <n v="4"/>
    <s v="No"/>
    <s v="Online"/>
    <s v="Card"/>
    <s v="Individual"/>
    <s v="London"/>
    <s v="Office"/>
    <x v="209"/>
    <n v="1"/>
    <s v="Wireless Mouse"/>
    <n v="70.58"/>
    <n v="33.46"/>
    <n v="37.119999999999997"/>
    <n v="0.52592802493624258"/>
  </r>
  <r>
    <s v="BC-100721"/>
    <d v="2025-12-28T00:00:00"/>
    <s v="North"/>
    <s v="Small Business"/>
    <s v="Furniture"/>
    <s v="Side Table"/>
    <n v="1"/>
    <n v="89.78"/>
    <n v="55.27"/>
    <n v="0.05"/>
    <n v="7"/>
    <n v="3"/>
    <s v="Yes"/>
    <s v="Online"/>
    <s v="Card"/>
    <s v="Small Business"/>
    <s v="North"/>
    <s v="Furniture"/>
    <x v="6"/>
    <n v="1"/>
    <s v="Side Table"/>
    <n v="85.290999999999997"/>
    <n v="55.27"/>
    <n v="30.020999999999994"/>
    <n v="0.35198321042079461"/>
  </r>
  <r>
    <s v="BC-100320"/>
    <d v="2025-12-27T00:00:00"/>
    <s v="South"/>
    <s v="Individual"/>
    <s v="Home &amp; Kitchen"/>
    <s v="Coffee Maker"/>
    <n v="1"/>
    <n v="79.84"/>
    <n v="46.84"/>
    <n v="0.15000000000000002"/>
    <n v="4"/>
    <n v="4"/>
    <s v="No"/>
    <s v="Store"/>
    <s v="Card"/>
    <s v="Individual"/>
    <s v="South"/>
    <s v="Home &amp; Kitchen"/>
    <x v="125"/>
    <n v="1"/>
    <s v="Coffee Maker"/>
    <n v="67.864000000000004"/>
    <n v="46.84"/>
    <n v="21.024000000000001"/>
    <n v="0.30979606271366261"/>
  </r>
  <r>
    <s v="BC-101104"/>
    <d v="2025-12-21T00:00:00"/>
    <s v="London"/>
    <s v="Individual"/>
    <s v="Home &amp; Kitchen"/>
    <s v="Blender"/>
    <n v="1"/>
    <n v="66.63"/>
    <n v="34.08"/>
    <n v="0.05"/>
    <n v="1"/>
    <n v="4"/>
    <s v="No"/>
    <s v="Online"/>
    <s v="Card"/>
    <s v="Individual"/>
    <s v="London"/>
    <s v="Home &amp; Kitchen"/>
    <x v="3"/>
    <n v="1"/>
    <s v="Blender"/>
    <n v="63.29849999999999"/>
    <n v="34.08"/>
    <n v="29.218499999999992"/>
    <n v="0.46159861608094971"/>
  </r>
  <r>
    <s v="BC-100107"/>
    <d v="2025-11-12T00:00:00"/>
    <s v="North"/>
    <s v="Individual"/>
    <s v="Electronics"/>
    <s v="Portable Speaker"/>
    <n v="1"/>
    <n v="76.34"/>
    <n v="43.88"/>
    <n v="0.1"/>
    <n v="1"/>
    <n v="5"/>
    <s v="No"/>
    <s v="Store"/>
    <s v="Card"/>
    <s v="Individual"/>
    <s v="North"/>
    <s v="Electronics"/>
    <x v="61"/>
    <n v="1"/>
    <s v="Portable Speaker"/>
    <n v="68.706000000000003"/>
    <n v="43.88"/>
    <n v="24.826000000000001"/>
    <n v="0.36133671003988005"/>
  </r>
  <r>
    <s v="BC-100397"/>
    <d v="2025-09-17T00:00:00"/>
    <s v="North"/>
    <s v="Individual"/>
    <s v="Home &amp; Kitchen"/>
    <s v="Coffee Maker"/>
    <n v="2"/>
    <n v="78.150000000000006"/>
    <n v="45.01"/>
    <n v="0.05"/>
    <n v="1"/>
    <n v="4"/>
    <s v="No"/>
    <s v="Online"/>
    <s v="Bank Transfer"/>
    <s v="Individual"/>
    <s v="North"/>
    <s v="Home &amp; Kitchen"/>
    <x v="31"/>
    <n v="1"/>
    <s v="Coffee Maker"/>
    <n v="148.48500000000001"/>
    <n v="90.02"/>
    <n v="58.465000000000018"/>
    <n v="0.39374347577196356"/>
  </r>
  <r>
    <s v="BC-100570"/>
    <d v="2025-05-15T00:00:00"/>
    <s v="London"/>
    <s v="Individual"/>
    <s v="Electronics"/>
    <s v="Wireless Headset"/>
    <n v="1"/>
    <n v="62.14"/>
    <n v="33.75"/>
    <n v="0"/>
    <n v="3"/>
    <n v="5"/>
    <s v="No"/>
    <s v="Online"/>
    <s v="Card"/>
    <s v="Individual"/>
    <s v="London"/>
    <s v="Electronics"/>
    <x v="47"/>
    <n v="1"/>
    <s v="Wireless Headset"/>
    <n v="62.14"/>
    <n v="33.75"/>
    <n v="28.39"/>
    <n v="0.45687158030254266"/>
  </r>
  <r>
    <s v="BC-101961"/>
    <d v="2025-05-18T00:00:00"/>
    <s v="South"/>
    <s v="Small Business"/>
    <s v="Home &amp; Kitchen"/>
    <s v="Electric Kettle"/>
    <n v="3"/>
    <n v="40.880000000000003"/>
    <n v="20.73"/>
    <n v="0.05"/>
    <n v="7"/>
    <n v="4"/>
    <s v="No"/>
    <s v="Phone"/>
    <s v="Card"/>
    <s v="Small Business"/>
    <s v="South"/>
    <s v="Home &amp; Kitchen"/>
    <x v="140"/>
    <n v="1"/>
    <s v="Electric Kettle"/>
    <n v="116.50800000000001"/>
    <n v="62.19"/>
    <n v="54.318000000000012"/>
    <n v="0.46621691214337219"/>
  </r>
  <r>
    <s v="BC-100240"/>
    <d v="2025-12-12T00:00:00"/>
    <s v="Midlands"/>
    <s v="Individual"/>
    <s v="Electronics"/>
    <s v="Webcam"/>
    <n v="1"/>
    <n v="49.59"/>
    <n v="26.21"/>
    <n v="0.1"/>
    <n v="3"/>
    <n v="3"/>
    <s v="Yes"/>
    <s v="Online"/>
    <s v="Card"/>
    <s v="Individual"/>
    <s v="Midlands"/>
    <s v="Electronics"/>
    <x v="247"/>
    <n v="1"/>
    <s v="Webcam"/>
    <n v="44.631000000000007"/>
    <n v="26.21"/>
    <n v="18.421000000000006"/>
    <n v="0.41274002375030816"/>
  </r>
  <r>
    <s v="BC-101247"/>
    <d v="2025-12-23T00:00:00"/>
    <s v="North"/>
    <s v="Small Business"/>
    <s v="Electronics"/>
    <s v="SmartHome Hub"/>
    <n v="3"/>
    <n v="131.66999999999999"/>
    <n v="82.57"/>
    <n v="0.15000000000000002"/>
    <n v="4"/>
    <n v="4"/>
    <s v="No"/>
    <s v="Phone"/>
    <s v="Bank Transfer"/>
    <s v="Small Business"/>
    <s v="North"/>
    <s v="Electronics"/>
    <x v="214"/>
    <n v="1"/>
    <s v="SmartHome Hub"/>
    <n v="335.75849999999997"/>
    <n v="247.70999999999998"/>
    <n v="88.04849999999999"/>
    <n v="0.262237590410965"/>
  </r>
  <r>
    <s v="BC-101879"/>
    <d v="2025-06-08T00:00:00"/>
    <s v="London"/>
    <s v="Individual"/>
    <s v="Electronics"/>
    <s v="SmartHome Hub"/>
    <n v="1"/>
    <n v="127.41"/>
    <n v="86.89"/>
    <n v="0.05"/>
    <n v="1"/>
    <n v="3"/>
    <s v="Yes"/>
    <s v="Store"/>
    <s v="Card"/>
    <s v="Individual"/>
    <s v="London"/>
    <s v="Electronics"/>
    <x v="40"/>
    <n v="1"/>
    <s v="SmartHome Hub"/>
    <n v="121.03949999999999"/>
    <n v="86.89"/>
    <n v="34.149499999999989"/>
    <n v="0.28213517075004435"/>
  </r>
  <r>
    <s v="BC-101638"/>
    <d v="2025-11-17T00:00:00"/>
    <s v="London"/>
    <s v="Individual"/>
    <s v="Home &amp; Kitchen"/>
    <s v="Electric Kettle"/>
    <n v="1"/>
    <n v="41.57"/>
    <n v="20.12"/>
    <n v="0.1"/>
    <n v="3"/>
    <n v="5"/>
    <s v="No"/>
    <s v="Online"/>
    <s v="Bank Transfer"/>
    <s v="Individual"/>
    <s v="London"/>
    <s v="Home &amp; Kitchen"/>
    <x v="223"/>
    <n v="1"/>
    <s v="Electric Kettle"/>
    <n v="37.413000000000004"/>
    <n v="20.12"/>
    <n v="17.293000000000003"/>
    <n v="0.4622190147809585"/>
  </r>
  <r>
    <s v="BC-100085"/>
    <d v="2025-04-23T00:00:00"/>
    <s v="Midlands"/>
    <s v="Corporate"/>
    <s v="Home &amp; Kitchen"/>
    <s v="Coffee Maker"/>
    <n v="3"/>
    <n v="77.81"/>
    <n v="45.44"/>
    <n v="0.1"/>
    <n v="4"/>
    <n v="4"/>
    <s v="Yes"/>
    <s v="Online"/>
    <s v="Card"/>
    <s v="Corporate"/>
    <s v="Midlands"/>
    <s v="Home &amp; Kitchen"/>
    <x v="84"/>
    <n v="1"/>
    <s v="Coffee Maker"/>
    <n v="210.08700000000002"/>
    <n v="136.32"/>
    <n v="73.767000000000024"/>
    <n v="0.35112596210141522"/>
  </r>
  <r>
    <s v="BC-100362"/>
    <d v="2025-02-14T00:00:00"/>
    <s v="North"/>
    <s v="Corporate"/>
    <s v="Electronics"/>
    <s v="Webcam"/>
    <n v="6"/>
    <n v="51.45"/>
    <n v="26.72"/>
    <n v="0.1"/>
    <n v="7"/>
    <n v="4"/>
    <s v="No"/>
    <s v="Online"/>
    <s v="Card"/>
    <s v="Corporate"/>
    <s v="North"/>
    <s v="Electronics"/>
    <x v="194"/>
    <n v="1"/>
    <s v="Webcam"/>
    <n v="277.83000000000004"/>
    <n v="160.32"/>
    <n v="117.51000000000005"/>
    <n v="0.42295648418097409"/>
  </r>
  <r>
    <s v="BC-101407"/>
    <d v="2025-10-24T00:00:00"/>
    <s v="London"/>
    <s v="Individual"/>
    <s v="Electronics"/>
    <s v="Portable Speaker"/>
    <n v="1"/>
    <n v="73.77"/>
    <n v="44.24"/>
    <n v="0"/>
    <n v="3"/>
    <n v="4"/>
    <s v="No"/>
    <s v="Online"/>
    <s v="Bank Transfer"/>
    <s v="Individual"/>
    <s v="London"/>
    <s v="Electronics"/>
    <x v="248"/>
    <n v="1"/>
    <s v="Portable Speaker"/>
    <n v="73.77"/>
    <n v="44.24"/>
    <n v="29.529999999999994"/>
    <n v="0.40029822421038358"/>
  </r>
  <r>
    <s v="BC-100345"/>
    <d v="2025-04-26T00:00:00"/>
    <s v="South"/>
    <s v="Individual"/>
    <s v="Furniture"/>
    <s v="Bookshelf"/>
    <n v="1"/>
    <n v="116.49"/>
    <n v="71.11"/>
    <n v="0"/>
    <n v="6"/>
    <n v="4"/>
    <s v="No"/>
    <s v="Online"/>
    <s v="Card"/>
    <s v="Individual"/>
    <s v="South"/>
    <s v="Furniture"/>
    <x v="249"/>
    <n v="1"/>
    <s v="Bookshelf"/>
    <n v="116.49"/>
    <n v="71.11"/>
    <n v="45.379999999999995"/>
    <n v="0.3895613357369731"/>
  </r>
  <r>
    <s v="BC-101567"/>
    <d v="2025-09-01T00:00:00"/>
    <s v="Midlands"/>
    <s v="Individual"/>
    <s v="Home &amp; Kitchen"/>
    <s v="Coffee Maker"/>
    <n v="1"/>
    <n v="82.78"/>
    <n v="44.32"/>
    <n v="0.05"/>
    <n v="0"/>
    <n v="5"/>
    <s v="No"/>
    <s v="Store"/>
    <s v="Card"/>
    <s v="Individual"/>
    <s v="Midlands"/>
    <s v="Home &amp; Kitchen"/>
    <x v="250"/>
    <n v="1"/>
    <s v="Coffee Maker"/>
    <n v="78.640999999999991"/>
    <n v="44.32"/>
    <n v="34.320999999999991"/>
    <n v="0.43642629162904839"/>
  </r>
  <r>
    <s v="BC-101894"/>
    <d v="2025-01-09T00:00:00"/>
    <s v="London"/>
    <s v="Individual"/>
    <s v="Electronics"/>
    <s v="Webcam"/>
    <n v="1"/>
    <n v="48.58"/>
    <n v="25.39"/>
    <n v="0"/>
    <n v="3"/>
    <n v="5"/>
    <s v="No"/>
    <s v="Online"/>
    <s v="Card"/>
    <s v="Individual"/>
    <s v="London"/>
    <s v="Electronics"/>
    <x v="251"/>
    <n v="1"/>
    <s v="Webcam"/>
    <n v="48.58"/>
    <n v="25.39"/>
    <n v="23.189999999999998"/>
    <n v="0.47735693701111565"/>
  </r>
  <r>
    <s v="BC-101408"/>
    <d v="2025-05-05T00:00:00"/>
    <s v="North"/>
    <s v="Corporate"/>
    <s v="Furniture"/>
    <s v="Storage Cabinet"/>
    <n v="5"/>
    <n v="157.55000000000001"/>
    <n v="100.55"/>
    <n v="0.1"/>
    <n v="4"/>
    <n v="4"/>
    <s v="No"/>
    <s v="Store"/>
    <s v="Bank Transfer"/>
    <s v="Corporate"/>
    <s v="North"/>
    <s v="Furniture"/>
    <x v="235"/>
    <n v="1"/>
    <s v="Storage Cabinet"/>
    <n v="708.97500000000002"/>
    <n v="502.75"/>
    <n v="206.22500000000002"/>
    <n v="0.29087767551747246"/>
  </r>
  <r>
    <s v="BC-100700"/>
    <d v="2025-10-14T00:00:00"/>
    <s v="North"/>
    <s v="Individual"/>
    <s v="Electronics"/>
    <s v="Portable Speaker"/>
    <n v="1"/>
    <n v="76.930000000000007"/>
    <n v="43.56"/>
    <n v="0"/>
    <n v="6"/>
    <n v="4"/>
    <s v="No"/>
    <s v="Online"/>
    <s v="Card"/>
    <s v="Individual"/>
    <s v="North"/>
    <s v="Electronics"/>
    <x v="252"/>
    <n v="1"/>
    <s v="Portable Speaker"/>
    <n v="76.930000000000007"/>
    <n v="43.56"/>
    <n v="33.370000000000005"/>
    <n v="0.43377096061354481"/>
  </r>
  <r>
    <s v="BC-100657"/>
    <d v="2025-07-19T00:00:00"/>
    <s v="London"/>
    <s v="Individual"/>
    <s v="Electronics"/>
    <s v="Portable Speaker"/>
    <n v="1"/>
    <n v="74.73"/>
    <n v="42.87"/>
    <n v="0"/>
    <n v="0"/>
    <n v="4"/>
    <s v="No"/>
    <s v="Store"/>
    <s v="Card"/>
    <s v="Individual"/>
    <s v="London"/>
    <s v="Electronics"/>
    <x v="253"/>
    <n v="1"/>
    <s v="Portable Speaker"/>
    <n v="74.73"/>
    <n v="42.87"/>
    <n v="31.860000000000007"/>
    <n v="0.42633480529907675"/>
  </r>
  <r>
    <s v="BC-100014"/>
    <d v="2025-05-25T00:00:00"/>
    <s v="North"/>
    <s v="Individual"/>
    <s v="Electronics"/>
    <s v="Wireless Headset"/>
    <n v="2"/>
    <n v="59.27"/>
    <n v="34.450000000000003"/>
    <n v="0.05"/>
    <n v="2"/>
    <n v="5"/>
    <s v="No"/>
    <s v="Online"/>
    <s v="Digital Wallet"/>
    <s v="Individual"/>
    <s v="North"/>
    <s v="Electronics"/>
    <x v="234"/>
    <n v="1"/>
    <s v="Wireless Headset"/>
    <n v="112.613"/>
    <n v="68.900000000000006"/>
    <n v="43.712999999999994"/>
    <n v="0.38817010469483981"/>
  </r>
  <r>
    <s v="BC-100404"/>
    <d v="2025-02-26T00:00:00"/>
    <s v="Midlands"/>
    <s v="Individual"/>
    <s v="Electronics"/>
    <s v="Webcam"/>
    <n v="2"/>
    <n v="51.96"/>
    <n v="26.14"/>
    <n v="0.05"/>
    <n v="1"/>
    <n v="4"/>
    <s v="No"/>
    <s v="Online"/>
    <s v="Card"/>
    <s v="Individual"/>
    <s v="Midlands"/>
    <s v="Electronics"/>
    <x v="254"/>
    <n v="1"/>
    <s v="Webcam"/>
    <n v="98.724000000000004"/>
    <n v="52.28"/>
    <n v="46.444000000000003"/>
    <n v="0.47044285077590048"/>
  </r>
  <r>
    <s v="BC-101926"/>
    <d v="2025-03-15T00:00:00"/>
    <s v="London"/>
    <s v="Small Business"/>
    <s v="Office"/>
    <s v="Ergonomic Keyboard"/>
    <n v="1"/>
    <n v="70.12"/>
    <n v="36.93"/>
    <n v="0.05"/>
    <n v="3"/>
    <n v="4"/>
    <s v="No"/>
    <s v="Online"/>
    <s v="Card"/>
    <s v="Small Business"/>
    <s v="London"/>
    <s v="Office"/>
    <x v="195"/>
    <n v="1"/>
    <s v="Ergonomic Keyboard"/>
    <n v="66.614000000000004"/>
    <n v="36.93"/>
    <n v="29.684000000000005"/>
    <n v="0.44561203350647016"/>
  </r>
  <r>
    <s v="BC-100551"/>
    <d v="2025-10-09T00:00:00"/>
    <s v="South"/>
    <s v="Individual"/>
    <s v="Electronics"/>
    <s v="Wireless Headset"/>
    <n v="4"/>
    <n v="59.25"/>
    <n v="35.479999999999997"/>
    <n v="0.05"/>
    <n v="5"/>
    <n v="5"/>
    <s v="No"/>
    <s v="Online"/>
    <s v="Digital Wallet"/>
    <s v="Individual"/>
    <s v="South"/>
    <s v="Electronics"/>
    <x v="255"/>
    <n v="1"/>
    <s v="Wireless Headset"/>
    <n v="225.14999999999998"/>
    <n v="141.91999999999999"/>
    <n v="83.22999999999999"/>
    <n v="0.36966466799911168"/>
  </r>
  <r>
    <s v="BC-101216"/>
    <d v="2025-08-05T00:00:00"/>
    <s v="Midlands"/>
    <s v="Individual"/>
    <s v="Furniture"/>
    <s v="Side Table"/>
    <n v="1"/>
    <n v="91.01"/>
    <n v="52.93"/>
    <n v="0"/>
    <n v="6"/>
    <n v="4"/>
    <s v="No"/>
    <s v="Online"/>
    <s v="Bank Transfer"/>
    <s v="Individual"/>
    <s v="Midlands"/>
    <s v="Furniture"/>
    <x v="256"/>
    <n v="1"/>
    <s v="Side Table"/>
    <n v="91.01"/>
    <n v="52.93"/>
    <n v="38.080000000000005"/>
    <n v="0.41841555872980996"/>
  </r>
  <r>
    <s v="BC-101048"/>
    <d v="2025-12-25T00:00:00"/>
    <s v="South"/>
    <s v="Corporate"/>
    <s v="Electronics"/>
    <s v="Webcam"/>
    <n v="5"/>
    <n v="50.11"/>
    <n v="27.21"/>
    <n v="0.1"/>
    <n v="2"/>
    <n v="5"/>
    <s v="No"/>
    <s v="Store"/>
    <s v="Card"/>
    <s v="Corporate"/>
    <s v="South"/>
    <s v="Electronics"/>
    <x v="28"/>
    <n v="1"/>
    <s v="Webcam"/>
    <n v="225.495"/>
    <n v="136.05000000000001"/>
    <n v="89.444999999999993"/>
    <n v="0.39666067983769038"/>
  </r>
  <r>
    <s v="BC-100194"/>
    <d v="2025-04-22T00:00:00"/>
    <s v="South"/>
    <s v="Individual"/>
    <s v="Electronics"/>
    <s v="Wireless Headset"/>
    <n v="1"/>
    <n v="58.54"/>
    <n v="33.22"/>
    <n v="0.1"/>
    <n v="0"/>
    <n v="4"/>
    <s v="No"/>
    <s v="Store"/>
    <s v="Bank Transfer"/>
    <s v="Individual"/>
    <s v="South"/>
    <s v="Electronics"/>
    <x v="149"/>
    <n v="1"/>
    <s v="Wireless Headset"/>
    <n v="52.686"/>
    <n v="33.22"/>
    <n v="19.466000000000001"/>
    <n v="0.3694719659871693"/>
  </r>
  <r>
    <s v="BC-101557"/>
    <d v="2025-03-27T00:00:00"/>
    <s v="South"/>
    <s v="Individual"/>
    <s v="Electronics"/>
    <s v="Portable Speaker"/>
    <n v="1"/>
    <n v="76.290000000000006"/>
    <n v="44.29"/>
    <n v="0.1"/>
    <n v="7"/>
    <n v="3"/>
    <s v="No"/>
    <s v="Online"/>
    <s v="Card"/>
    <s v="Individual"/>
    <s v="South"/>
    <s v="Electronics"/>
    <x v="246"/>
    <n v="1"/>
    <s v="Portable Speaker"/>
    <n v="68.661000000000001"/>
    <n v="44.29"/>
    <n v="24.371000000000002"/>
    <n v="0.35494676745168291"/>
  </r>
  <r>
    <s v="BC-100500"/>
    <d v="2025-05-19T00:00:00"/>
    <s v="North"/>
    <s v="Individual"/>
    <s v="Electronics"/>
    <s v="Webcam"/>
    <n v="3"/>
    <n v="48.7"/>
    <n v="25.52"/>
    <n v="0"/>
    <n v="0"/>
    <n v="3"/>
    <s v="Yes"/>
    <s v="Store"/>
    <s v="Card"/>
    <s v="Individual"/>
    <s v="North"/>
    <s v="Electronics"/>
    <x v="257"/>
    <n v="1"/>
    <s v="Webcam"/>
    <n v="146.10000000000002"/>
    <n v="76.56"/>
    <n v="69.54000000000002"/>
    <n v="0.4759753593429159"/>
  </r>
  <r>
    <s v="BC-101906"/>
    <d v="2025-12-27T00:00:00"/>
    <s v="South"/>
    <s v="Individual"/>
    <s v="Furniture"/>
    <s v="Office Chair"/>
    <n v="2"/>
    <n v="177.74"/>
    <n v="117.17"/>
    <n v="0.1"/>
    <n v="3"/>
    <n v="3"/>
    <s v="Yes"/>
    <s v="Store"/>
    <s v="Card"/>
    <s v="Individual"/>
    <s v="South"/>
    <s v="Furniture"/>
    <x v="125"/>
    <n v="1"/>
    <s v="Office Chair"/>
    <n v="319.93200000000002"/>
    <n v="234.34"/>
    <n v="85.592000000000013"/>
    <n v="0.26753185051823514"/>
  </r>
  <r>
    <s v="BC-101974"/>
    <d v="2025-04-03T00:00:00"/>
    <s v="London"/>
    <s v="Individual"/>
    <s v="Home &amp; Kitchen"/>
    <s v="Coffee Maker"/>
    <n v="1"/>
    <n v="78.510000000000005"/>
    <n v="45.06"/>
    <n v="0.1"/>
    <n v="3"/>
    <n v="4"/>
    <s v="No"/>
    <s v="Online"/>
    <s v="Digital Wallet"/>
    <s v="Individual"/>
    <s v="London"/>
    <s v="Home &amp; Kitchen"/>
    <x v="19"/>
    <n v="1"/>
    <s v="Coffee Maker"/>
    <n v="70.659000000000006"/>
    <n v="45.06"/>
    <n v="25.599000000000004"/>
    <n v="0.36228930497176581"/>
  </r>
  <r>
    <s v="BC-101717"/>
    <d v="2025-11-04T00:00:00"/>
    <s v="London"/>
    <s v="Individual"/>
    <s v="Office"/>
    <s v="Ergonomic Keyboard"/>
    <n v="1"/>
    <n v="68.819999999999993"/>
    <n v="37.61"/>
    <n v="0"/>
    <n v="4"/>
    <n v="4"/>
    <s v="No"/>
    <s v="Online"/>
    <s v="Bank Transfer"/>
    <s v="Individual"/>
    <s v="London"/>
    <s v="Office"/>
    <x v="258"/>
    <n v="1"/>
    <s v="Ergonomic Keyboard"/>
    <n v="68.819999999999993"/>
    <n v="37.61"/>
    <n v="31.209999999999994"/>
    <n v="0.45350188898575988"/>
  </r>
  <r>
    <s v="BC-100335"/>
    <d v="2025-03-02T00:00:00"/>
    <s v="London"/>
    <s v="Individual"/>
    <s v="Home &amp; Kitchen"/>
    <s v="Electric Kettle"/>
    <n v="1"/>
    <n v="41.55"/>
    <n v="20.82"/>
    <n v="0"/>
    <n v="6"/>
    <n v="3"/>
    <s v="No"/>
    <s v="Online"/>
    <s v="Bank Transfer"/>
    <s v="Individual"/>
    <s v="London"/>
    <s v="Home &amp; Kitchen"/>
    <x v="211"/>
    <n v="1"/>
    <s v="Electric Kettle"/>
    <n v="41.55"/>
    <n v="20.82"/>
    <n v="20.729999999999997"/>
    <n v="0.49891696750902526"/>
  </r>
  <r>
    <s v="BC-101967"/>
    <d v="2025-09-18T00:00:00"/>
    <s v="South"/>
    <s v="Individual"/>
    <s v="Electronics"/>
    <s v="Webcam"/>
    <n v="1"/>
    <n v="49.82"/>
    <n v="27.28"/>
    <n v="0.1"/>
    <n v="2"/>
    <n v="5"/>
    <s v="No"/>
    <s v="Online"/>
    <s v="Card"/>
    <s v="Individual"/>
    <s v="South"/>
    <s v="Electronics"/>
    <x v="198"/>
    <n v="1"/>
    <s v="Webcam"/>
    <n v="44.838000000000001"/>
    <n v="27.28"/>
    <n v="17.558"/>
    <n v="0.39158749275168381"/>
  </r>
  <r>
    <s v="BC-101675"/>
    <d v="2025-11-07T00:00:00"/>
    <s v="London"/>
    <s v="Individual"/>
    <s v="Furniture"/>
    <s v="Bookshelf"/>
    <n v="1"/>
    <n v="120.78"/>
    <n v="69.91"/>
    <n v="0.1"/>
    <n v="4"/>
    <n v="4"/>
    <s v="No"/>
    <s v="Online"/>
    <s v="Card"/>
    <s v="Individual"/>
    <s v="London"/>
    <s v="Furniture"/>
    <x v="182"/>
    <n v="1"/>
    <s v="Bookshelf"/>
    <n v="108.702"/>
    <n v="69.91"/>
    <n v="38.792000000000002"/>
    <n v="0.35686555905135142"/>
  </r>
  <r>
    <s v="BC-100462"/>
    <d v="2025-11-23T00:00:00"/>
    <s v="South"/>
    <s v="Individual"/>
    <s v="Home &amp; Kitchen"/>
    <s v="Electric Kettle"/>
    <n v="1"/>
    <n v="39.35"/>
    <n v="19.649999999999999"/>
    <n v="0.1"/>
    <n v="8"/>
    <n v="3"/>
    <s v="No"/>
    <s v="Online"/>
    <s v="Card"/>
    <s v="Individual"/>
    <s v="South"/>
    <s v="Home &amp; Kitchen"/>
    <x v="259"/>
    <n v="1"/>
    <s v="Electric Kettle"/>
    <n v="35.414999999999999"/>
    <n v="19.649999999999999"/>
    <n v="15.765000000000001"/>
    <n v="0.44515036001694203"/>
  </r>
  <r>
    <s v="BC-100692"/>
    <d v="2025-03-11T00:00:00"/>
    <s v="London"/>
    <s v="Individual"/>
    <s v="Home &amp; Kitchen"/>
    <s v="Coffee Maker"/>
    <n v="1"/>
    <n v="78.2"/>
    <n v="45.09"/>
    <n v="0.1"/>
    <n v="5"/>
    <n v="4"/>
    <s v="No"/>
    <s v="Online"/>
    <s v="Digital Wallet"/>
    <s v="Individual"/>
    <s v="London"/>
    <s v="Home &amp; Kitchen"/>
    <x v="260"/>
    <n v="1"/>
    <s v="Coffee Maker"/>
    <n v="70.38000000000001"/>
    <n v="45.09"/>
    <n v="25.290000000000006"/>
    <n v="0.35933503836317138"/>
  </r>
  <r>
    <s v="BC-100172"/>
    <d v="2025-03-15T00:00:00"/>
    <s v="London"/>
    <s v="Individual"/>
    <s v="Home &amp; Kitchen"/>
    <s v="Air Fryer"/>
    <n v="1"/>
    <n v="107.23"/>
    <n v="66.39"/>
    <n v="0.1"/>
    <n v="7"/>
    <n v="4"/>
    <s v="No"/>
    <s v="Online"/>
    <s v="Digital Wallet"/>
    <s v="Individual"/>
    <s v="London"/>
    <s v="Home &amp; Kitchen"/>
    <x v="195"/>
    <n v="1"/>
    <s v="Air Fryer"/>
    <n v="96.507000000000005"/>
    <n v="66.39"/>
    <n v="30.117000000000004"/>
    <n v="0.31207062700115018"/>
  </r>
  <r>
    <s v="BC-100648"/>
    <d v="2025-08-13T00:00:00"/>
    <s v="London"/>
    <s v="Individual"/>
    <s v="Office"/>
    <s v="Laptop Stand"/>
    <n v="1"/>
    <n v="44.2"/>
    <n v="21.63"/>
    <n v="0.05"/>
    <n v="1"/>
    <n v="5"/>
    <s v="No"/>
    <s v="Store"/>
    <s v="Card"/>
    <s v="Individual"/>
    <s v="London"/>
    <s v="Office"/>
    <x v="261"/>
    <n v="1"/>
    <s v="Laptop Stand"/>
    <n v="41.99"/>
    <n v="21.63"/>
    <n v="20.360000000000003"/>
    <n v="0.4848773517504168"/>
  </r>
  <r>
    <s v="BC-100541"/>
    <d v="2025-04-16T00:00:00"/>
    <s v="North"/>
    <s v="Small Business"/>
    <s v="Home &amp; Kitchen"/>
    <s v="Coffee Maker"/>
    <n v="2"/>
    <n v="79.67"/>
    <n v="45.86"/>
    <n v="0"/>
    <n v="4"/>
    <n v="3"/>
    <s v="Yes"/>
    <s v="Online"/>
    <s v="Card"/>
    <s v="Small Business"/>
    <s v="North"/>
    <s v="Home &amp; Kitchen"/>
    <x v="262"/>
    <n v="1"/>
    <s v="Coffee Maker"/>
    <n v="159.34"/>
    <n v="91.72"/>
    <n v="67.62"/>
    <n v="0.42437554914020337"/>
  </r>
  <r>
    <s v="BC-100683"/>
    <d v="2025-12-05T00:00:00"/>
    <s v="Midlands"/>
    <s v="Individual"/>
    <s v="Home &amp; Kitchen"/>
    <s v="Coffee Maker"/>
    <n v="1"/>
    <n v="78.77"/>
    <n v="44.05"/>
    <n v="0.05"/>
    <n v="3"/>
    <n v="5"/>
    <s v="No"/>
    <s v="Online"/>
    <s v="Card"/>
    <s v="Individual"/>
    <s v="Midlands"/>
    <s v="Home &amp; Kitchen"/>
    <x v="21"/>
    <n v="1"/>
    <s v="Coffee Maker"/>
    <n v="74.831499999999991"/>
    <n v="44.05"/>
    <n v="30.781499999999994"/>
    <n v="0.41134415319751705"/>
  </r>
  <r>
    <s v="BC-100012"/>
    <d v="2025-10-02T00:00:00"/>
    <s v="London"/>
    <s v="Small Business"/>
    <s v="Electronics"/>
    <s v="Wireless Headset"/>
    <n v="3"/>
    <n v="60.48"/>
    <n v="34.799999999999997"/>
    <n v="0.05"/>
    <n v="4"/>
    <n v="4"/>
    <s v="No"/>
    <s v="Online"/>
    <s v="Bank Transfer"/>
    <s v="Small Business"/>
    <s v="London"/>
    <s v="Electronics"/>
    <x v="263"/>
    <n v="1"/>
    <s v="Wireless Headset"/>
    <n v="172.36799999999999"/>
    <n v="104.39999999999999"/>
    <n v="67.968000000000004"/>
    <n v="0.39431913116123646"/>
  </r>
  <r>
    <s v="BC-100838"/>
    <d v="2025-07-17T00:00:00"/>
    <s v="South"/>
    <s v="Small Business"/>
    <s v="Furniture"/>
    <s v="Office Chair"/>
    <n v="1"/>
    <n v="181.22"/>
    <n v="115.2"/>
    <n v="0.05"/>
    <n v="3"/>
    <n v="3"/>
    <s v="Yes"/>
    <s v="Store"/>
    <s v="Card"/>
    <s v="Small Business"/>
    <s v="South"/>
    <s v="Furniture"/>
    <x v="217"/>
    <n v="1"/>
    <s v="Office Chair"/>
    <n v="172.15899999999999"/>
    <n v="115.2"/>
    <n v="56.958999999999989"/>
    <n v="0.3308511318025778"/>
  </r>
  <r>
    <s v="BC-100972"/>
    <d v="2025-03-30T00:00:00"/>
    <s v="Midlands"/>
    <s v="Individual"/>
    <s v="Electronics"/>
    <s v="Wireless Headset"/>
    <n v="1"/>
    <n v="59.26"/>
    <n v="34"/>
    <n v="0.05"/>
    <n v="4"/>
    <n v="4"/>
    <s v="No"/>
    <s v="Online"/>
    <s v="Card"/>
    <s v="Individual"/>
    <s v="Midlands"/>
    <s v="Electronics"/>
    <x v="196"/>
    <n v="1"/>
    <s v="Wireless Headset"/>
    <n v="56.296999999999997"/>
    <n v="34"/>
    <n v="22.296999999999997"/>
    <n v="0.39606018082668698"/>
  </r>
  <r>
    <s v="BC-100052"/>
    <d v="2025-12-29T00:00:00"/>
    <s v="London"/>
    <s v="Individual"/>
    <s v="Office"/>
    <s v="Wireless Mouse"/>
    <n v="2"/>
    <n v="34.96"/>
    <n v="17.760000000000002"/>
    <n v="0.05"/>
    <n v="0"/>
    <n v="5"/>
    <s v="No"/>
    <s v="Store"/>
    <s v="Digital Wallet"/>
    <s v="Individual"/>
    <s v="London"/>
    <s v="Office"/>
    <x v="116"/>
    <n v="1"/>
    <s v="Wireless Mouse"/>
    <n v="66.423999999999992"/>
    <n v="35.520000000000003"/>
    <n v="30.903999999999989"/>
    <n v="0.46525352282307592"/>
  </r>
  <r>
    <s v="BC-101760"/>
    <d v="2025-07-18T00:00:00"/>
    <s v="South"/>
    <s v="Individual"/>
    <s v="Office"/>
    <s v="Desk Lamp"/>
    <n v="1"/>
    <n v="40.39"/>
    <n v="18.489999999999998"/>
    <n v="0.15000000000000002"/>
    <n v="0"/>
    <n v="4"/>
    <s v="No"/>
    <s v="Store"/>
    <s v="Card"/>
    <s v="Individual"/>
    <s v="South"/>
    <s v="Office"/>
    <x v="145"/>
    <n v="1"/>
    <s v="Desk Lamp"/>
    <n v="34.331499999999998"/>
    <n v="18.489999999999998"/>
    <n v="15.8415"/>
    <n v="0.46142755195665791"/>
  </r>
  <r>
    <s v="BC-101643"/>
    <d v="2025-11-19T00:00:00"/>
    <s v="South"/>
    <s v="Small Business"/>
    <s v="Home &amp; Kitchen"/>
    <s v="Coffee Maker"/>
    <n v="3"/>
    <n v="82.14"/>
    <n v="45.37"/>
    <n v="0.1"/>
    <n v="4"/>
    <n v="4"/>
    <s v="No"/>
    <s v="Online"/>
    <s v="Card"/>
    <s v="Small Business"/>
    <s v="South"/>
    <s v="Home &amp; Kitchen"/>
    <x v="264"/>
    <n v="1"/>
    <s v="Coffee Maker"/>
    <n v="221.77800000000002"/>
    <n v="136.10999999999999"/>
    <n v="85.668000000000035"/>
    <n v="0.38627817006195397"/>
  </r>
  <r>
    <s v="BC-100502"/>
    <d v="2025-05-24T00:00:00"/>
    <s v="South"/>
    <s v="Small Business"/>
    <s v="Furniture"/>
    <s v="Office Chair"/>
    <n v="3"/>
    <n v="180.67"/>
    <n v="115.08"/>
    <n v="0"/>
    <n v="4"/>
    <n v="5"/>
    <s v="No"/>
    <s v="Online"/>
    <s v="Digital Wallet"/>
    <s v="Small Business"/>
    <s v="South"/>
    <s v="Furniture"/>
    <x v="265"/>
    <n v="1"/>
    <s v="Office Chair"/>
    <n v="542.01"/>
    <n v="345.24"/>
    <n v="196.76999999999998"/>
    <n v="0.36303758233242928"/>
  </r>
  <r>
    <s v="BC-100287"/>
    <d v="2025-10-12T00:00:00"/>
    <s v="London"/>
    <s v="Small Business"/>
    <s v="Electronics"/>
    <s v="Wireless Headset"/>
    <n v="6"/>
    <n v="60.82"/>
    <n v="35.51"/>
    <n v="0"/>
    <n v="0"/>
    <n v="4"/>
    <s v="No"/>
    <s v="Store"/>
    <s v="Card"/>
    <s v="Small Business"/>
    <s v="London"/>
    <s v="Electronics"/>
    <x v="266"/>
    <n v="1"/>
    <s v="Wireless Headset"/>
    <n v="364.92"/>
    <n v="213.06"/>
    <n v="151.86000000000001"/>
    <n v="0.41614600460374879"/>
  </r>
  <r>
    <s v="BC-100789"/>
    <d v="2025-09-04T00:00:00"/>
    <s v="South"/>
    <s v="Small Business"/>
    <s v="Home &amp; Kitchen"/>
    <s v="Air Fryer"/>
    <n v="4"/>
    <n v="111.05"/>
    <n v="67.39"/>
    <n v="0.1"/>
    <n v="4"/>
    <n v="5"/>
    <s v="No"/>
    <s v="Online"/>
    <s v="Card"/>
    <s v="Small Business"/>
    <s v="South"/>
    <s v="Home &amp; Kitchen"/>
    <x v="267"/>
    <n v="1"/>
    <s v="Air Fryer"/>
    <n v="399.78"/>
    <n v="269.56"/>
    <n v="130.21999999999997"/>
    <n v="0.32572915103306815"/>
  </r>
  <r>
    <s v="BC-100423"/>
    <d v="2025-08-12T00:00:00"/>
    <s v="London"/>
    <s v="Individual"/>
    <s v="Home &amp; Kitchen"/>
    <s v="Electric Kettle"/>
    <n v="2"/>
    <n v="39.46"/>
    <n v="20.62"/>
    <n v="0.05"/>
    <n v="2"/>
    <n v="4"/>
    <s v="No"/>
    <s v="Online"/>
    <s v="Card"/>
    <s v="Individual"/>
    <s v="London"/>
    <s v="Home &amp; Kitchen"/>
    <x v="268"/>
    <n v="1"/>
    <s v="Electric Kettle"/>
    <n v="74.974000000000004"/>
    <n v="41.24"/>
    <n v="33.734000000000002"/>
    <n v="0.44994264678421853"/>
  </r>
  <r>
    <s v="BC-101189"/>
    <d v="2025-10-04T00:00:00"/>
    <s v="London"/>
    <s v="Individual"/>
    <s v="Home &amp; Kitchen"/>
    <s v="Electric Kettle"/>
    <n v="1"/>
    <n v="39.49"/>
    <n v="20.86"/>
    <n v="0.05"/>
    <n v="6"/>
    <n v="4"/>
    <s v="No"/>
    <s v="Online"/>
    <s v="Card"/>
    <s v="Individual"/>
    <s v="London"/>
    <s v="Home &amp; Kitchen"/>
    <x v="269"/>
    <n v="1"/>
    <s v="Electric Kettle"/>
    <n v="37.515500000000003"/>
    <n v="20.86"/>
    <n v="16.655500000000004"/>
    <n v="0.44396316189308427"/>
  </r>
  <r>
    <s v="BC-100544"/>
    <d v="2025-12-30T00:00:00"/>
    <s v="Midlands"/>
    <s v="Individual"/>
    <s v="Furniture"/>
    <s v="Side Table"/>
    <n v="1"/>
    <n v="87.55"/>
    <n v="52.67"/>
    <n v="0"/>
    <n v="7"/>
    <n v="3"/>
    <s v="No"/>
    <s v="Store"/>
    <s v="Card"/>
    <s v="Individual"/>
    <s v="Midlands"/>
    <s v="Furniture"/>
    <x v="0"/>
    <n v="1"/>
    <s v="Side Table"/>
    <n v="87.55"/>
    <n v="52.67"/>
    <n v="34.879999999999995"/>
    <n v="0.39840091376356362"/>
  </r>
  <r>
    <s v="BC-100451"/>
    <d v="2025-06-28T00:00:00"/>
    <s v="North"/>
    <s v="Corporate"/>
    <s v="Electronics"/>
    <s v="SmartHome Hub"/>
    <n v="4"/>
    <n v="132.12"/>
    <n v="84.32"/>
    <n v="0.05"/>
    <n v="4"/>
    <n v="4"/>
    <s v="No"/>
    <s v="Online"/>
    <s v="Card"/>
    <s v="Corporate"/>
    <s v="North"/>
    <s v="Electronics"/>
    <x v="208"/>
    <n v="1"/>
    <s v="SmartHome Hub"/>
    <n v="502.05599999999998"/>
    <n v="337.28"/>
    <n v="164.77600000000001"/>
    <n v="0.32820243160125567"/>
  </r>
  <r>
    <s v="BC-101745"/>
    <d v="2025-12-16T00:00:00"/>
    <s v="Midlands"/>
    <s v="Individual"/>
    <s v="Home &amp; Kitchen"/>
    <s v="Air Fryer"/>
    <n v="2"/>
    <n v="109.14"/>
    <n v="68.48"/>
    <n v="0.05"/>
    <n v="2"/>
    <n v="4"/>
    <s v="No"/>
    <s v="Online"/>
    <s v="Card"/>
    <s v="Individual"/>
    <s v="Midlands"/>
    <s v="Home &amp; Kitchen"/>
    <x v="69"/>
    <n v="1"/>
    <s v="Air Fryer"/>
    <n v="207.36599999999999"/>
    <n v="136.96"/>
    <n v="70.405999999999977"/>
    <n v="0.33952528379772956"/>
  </r>
  <r>
    <s v="BC-100864"/>
    <d v="2025-01-04T00:00:00"/>
    <s v="South"/>
    <s v="Small Business"/>
    <s v="Home &amp; Kitchen"/>
    <s v="Coffee Maker"/>
    <n v="4"/>
    <n v="81.44"/>
    <n v="43.82"/>
    <n v="0.1"/>
    <n v="0"/>
    <n v="5"/>
    <s v="No"/>
    <s v="Store"/>
    <s v="Card"/>
    <s v="Small Business"/>
    <s v="South"/>
    <s v="Home &amp; Kitchen"/>
    <x v="160"/>
    <n v="1"/>
    <s v="Coffee Maker"/>
    <n v="293.18400000000003"/>
    <n v="175.28"/>
    <n v="117.90400000000002"/>
    <n v="0.40215018554900683"/>
  </r>
  <r>
    <s v="BC-101402"/>
    <d v="2025-01-14T00:00:00"/>
    <s v="North"/>
    <s v="Corporate"/>
    <s v="Home &amp; Kitchen"/>
    <s v="Blender"/>
    <n v="5"/>
    <n v="66.25"/>
    <n v="34.29"/>
    <n v="0.1"/>
    <n v="5"/>
    <n v="4"/>
    <s v="No"/>
    <s v="Online"/>
    <s v="Card"/>
    <s v="Corporate"/>
    <s v="North"/>
    <s v="Home &amp; Kitchen"/>
    <x v="54"/>
    <n v="1"/>
    <s v="Blender"/>
    <n v="298.125"/>
    <n v="171.45"/>
    <n v="126.67500000000001"/>
    <n v="0.42490566037735855"/>
  </r>
  <r>
    <s v="BC-101606"/>
    <d v="2025-06-16T00:00:00"/>
    <s v="London"/>
    <s v="Individual"/>
    <s v="Home &amp; Kitchen"/>
    <s v="Electric Kettle"/>
    <n v="1"/>
    <n v="39.35"/>
    <n v="19.87"/>
    <n v="0"/>
    <n v="3"/>
    <n v="5"/>
    <s v="No"/>
    <s v="Online"/>
    <s v="Card"/>
    <s v="Individual"/>
    <s v="London"/>
    <s v="Home &amp; Kitchen"/>
    <x v="270"/>
    <n v="1"/>
    <s v="Electric Kettle"/>
    <n v="39.35"/>
    <n v="19.87"/>
    <n v="19.48"/>
    <n v="0.49504447268106733"/>
  </r>
  <r>
    <s v="BC-100770"/>
    <d v="2025-07-22T00:00:00"/>
    <s v="North"/>
    <s v="Individual"/>
    <s v="Furniture"/>
    <s v="Side Table"/>
    <n v="1"/>
    <n v="91.24"/>
    <n v="53.82"/>
    <n v="0"/>
    <n v="6"/>
    <n v="4"/>
    <s v="No"/>
    <s v="Online"/>
    <s v="Card"/>
    <s v="Individual"/>
    <s v="North"/>
    <s v="Furniture"/>
    <x v="91"/>
    <n v="1"/>
    <s v="Side Table"/>
    <n v="91.24"/>
    <n v="53.82"/>
    <n v="37.419999999999995"/>
    <n v="0.4101271372205173"/>
  </r>
  <r>
    <s v="BC-101164"/>
    <d v="2025-05-28T00:00:00"/>
    <s v="London"/>
    <s v="Individual"/>
    <s v="Office"/>
    <s v="Wireless Mouse"/>
    <n v="1"/>
    <n v="34.53"/>
    <n v="16.53"/>
    <n v="0"/>
    <n v="4"/>
    <n v="4"/>
    <s v="No"/>
    <s v="Online"/>
    <s v="Card"/>
    <s v="Individual"/>
    <s v="London"/>
    <s v="Office"/>
    <x v="129"/>
    <n v="1"/>
    <s v="Wireless Mouse"/>
    <n v="34.53"/>
    <n v="16.53"/>
    <n v="18"/>
    <n v="0.52128583840139009"/>
  </r>
  <r>
    <s v="BC-101437"/>
    <d v="2025-03-24T00:00:00"/>
    <s v="London"/>
    <s v="Individual"/>
    <s v="Electronics"/>
    <s v="Portable Speaker"/>
    <n v="4"/>
    <n v="73.77"/>
    <n v="43.66"/>
    <n v="0.05"/>
    <n v="0"/>
    <n v="4"/>
    <s v="No"/>
    <s v="Store"/>
    <s v="Digital Wallet"/>
    <s v="Individual"/>
    <s v="London"/>
    <s v="Electronics"/>
    <x v="144"/>
    <n v="1"/>
    <s v="Portable Speaker"/>
    <n v="280.32599999999996"/>
    <n v="174.64"/>
    <n v="105.68599999999998"/>
    <n v="0.37701105141870533"/>
  </r>
  <r>
    <s v="BC-100575"/>
    <d v="2025-11-03T00:00:00"/>
    <s v="Midlands"/>
    <s v="Small Business"/>
    <s v="Furniture"/>
    <s v="Bookshelf"/>
    <n v="2"/>
    <n v="124.39"/>
    <n v="74.56"/>
    <n v="0.15000000000000002"/>
    <n v="5"/>
    <n v="5"/>
    <s v="No"/>
    <s v="Online"/>
    <s v="Card"/>
    <s v="Small Business"/>
    <s v="Midlands"/>
    <s v="Furniture"/>
    <x v="180"/>
    <n v="1"/>
    <s v="Bookshelf"/>
    <n v="211.46299999999999"/>
    <n v="149.12"/>
    <n v="62.342999999999989"/>
    <n v="0.29481753309089531"/>
  </r>
  <r>
    <s v="BC-101718"/>
    <d v="2025-09-01T00:00:00"/>
    <s v="Midlands"/>
    <s v="Individual"/>
    <s v="Home &amp; Kitchen"/>
    <s v="Electric Kettle"/>
    <n v="1"/>
    <n v="40.99"/>
    <n v="20.68"/>
    <n v="0.05"/>
    <n v="0"/>
    <n v="5"/>
    <s v="No"/>
    <s v="Store"/>
    <s v="Card"/>
    <s v="Individual"/>
    <s v="Midlands"/>
    <s v="Home &amp; Kitchen"/>
    <x v="250"/>
    <n v="1"/>
    <s v="Electric Kettle"/>
    <n v="38.9405"/>
    <n v="20.68"/>
    <n v="18.2605"/>
    <n v="0.4689333727096468"/>
  </r>
  <r>
    <s v="BC-100849"/>
    <d v="2025-12-13T00:00:00"/>
    <s v="Mid lands"/>
    <s v="Small Business"/>
    <s v="Office"/>
    <s v="Ergonomic Keyboard"/>
    <n v="2"/>
    <n v="68.12"/>
    <n v="39.479999999999997"/>
    <n v="0.1"/>
    <n v="3"/>
    <n v="4"/>
    <s v="No"/>
    <s v="Online"/>
    <s v="Card"/>
    <s v="Small Business"/>
    <s v="Mid Lands"/>
    <s v="Office"/>
    <x v="219"/>
    <n v="1"/>
    <s v="Ergonomic Keyboard"/>
    <n v="122.61600000000001"/>
    <n v="78.959999999999994"/>
    <n v="43.65600000000002"/>
    <n v="0.35603836367195157"/>
  </r>
  <r>
    <s v="BC-100971"/>
    <d v="2025-04-06T00:00:00"/>
    <s v="South"/>
    <s v="Individual"/>
    <s v="Home &amp; Kitchen"/>
    <s v="Air Fryer"/>
    <n v="1"/>
    <n v="110.9"/>
    <n v="66.319999999999993"/>
    <n v="0"/>
    <n v="7"/>
    <n v="3"/>
    <s v="No"/>
    <s v="Online"/>
    <s v="Digital Wallet"/>
    <s v="Individual"/>
    <s v="South"/>
    <s v="Home &amp; Kitchen"/>
    <x v="107"/>
    <n v="1"/>
    <s v="Air Fryer"/>
    <n v="110.9"/>
    <n v="66.319999999999993"/>
    <n v="44.580000000000013"/>
    <n v="0.40198376916140677"/>
  </r>
  <r>
    <s v="BC-100273"/>
    <d v="2025-03-11T00:00:00"/>
    <s v="South"/>
    <s v="Individual"/>
    <s v="Home &amp; Kitchen"/>
    <s v="Blender"/>
    <n v="1"/>
    <n v="64.400000000000006"/>
    <n v="36.01"/>
    <n v="0.05"/>
    <n v="5"/>
    <n v="4"/>
    <s v="No"/>
    <s v="Online"/>
    <s v="Card"/>
    <s v="Individual"/>
    <s v="South"/>
    <s v="Home &amp; Kitchen"/>
    <x v="260"/>
    <n v="1"/>
    <s v="Blender"/>
    <n v="61.18"/>
    <n v="36.01"/>
    <n v="25.17"/>
    <n v="0.4114089571755476"/>
  </r>
  <r>
    <s v="BC-101328"/>
    <d v="2025-11-02T00:00:00"/>
    <s v="London"/>
    <s v="Individual"/>
    <s v="Office"/>
    <s v="Ergonomic Keyboard"/>
    <n v="2"/>
    <n v="69.86"/>
    <n v="36.950000000000003"/>
    <n v="0.1"/>
    <n v="3"/>
    <n v="4"/>
    <s v="No"/>
    <s v="Online"/>
    <s v="Card"/>
    <s v="Individual"/>
    <s v="London"/>
    <s v="Office"/>
    <x v="44"/>
    <n v="1"/>
    <s v="Ergonomic Keyboard"/>
    <n v="125.748"/>
    <n v="73.900000000000006"/>
    <n v="51.847999999999999"/>
    <n v="0.41231669688583517"/>
  </r>
  <r>
    <s v="BC-101867"/>
    <d v="2025-09-01T00:00:00"/>
    <s v="South"/>
    <s v="Individual"/>
    <s v="Office"/>
    <s v="Laptop Stand"/>
    <n v="2"/>
    <n v="45.83"/>
    <n v="21.07"/>
    <n v="0.05"/>
    <n v="3"/>
    <n v="5"/>
    <s v="No"/>
    <s v="Store"/>
    <s v="Card"/>
    <s v="Individual"/>
    <s v="South"/>
    <s v="Office"/>
    <x v="250"/>
    <n v="1"/>
    <s v="Laptop Stand"/>
    <n v="87.076999999999998"/>
    <n v="42.14"/>
    <n v="44.936999999999998"/>
    <n v="0.51606049817977195"/>
  </r>
  <r>
    <s v="BC-101909"/>
    <d v="2025-05-27T00:00:00"/>
    <s v="North"/>
    <s v="Individual"/>
    <s v="Office"/>
    <s v="Desk Lamp"/>
    <n v="2"/>
    <n v="41.06"/>
    <n v="19.059999999999999"/>
    <n v="0.1"/>
    <n v="1"/>
    <n v="4"/>
    <s v="No"/>
    <s v="Online"/>
    <s v="Card"/>
    <s v="Individual"/>
    <s v="North"/>
    <s v="Office"/>
    <x v="224"/>
    <n v="1"/>
    <s v="Desk Lamp"/>
    <n v="73.908000000000001"/>
    <n v="38.119999999999997"/>
    <n v="35.788000000000004"/>
    <n v="0.48422362937706342"/>
  </r>
  <r>
    <s v="BC-100367"/>
    <d v="2025-03-01T00:00:00"/>
    <s v="Midlands"/>
    <s v="Small Business"/>
    <s v="Furniture"/>
    <s v="Bookshelf"/>
    <n v="1"/>
    <n v="121.71"/>
    <n v="70.98"/>
    <n v="0"/>
    <n v="1"/>
    <n v="4"/>
    <s v="No"/>
    <s v="Store"/>
    <s v="Card"/>
    <s v="Small Business"/>
    <s v="Midlands"/>
    <s v="Furniture"/>
    <x v="207"/>
    <n v="1"/>
    <s v="Bookshelf"/>
    <n v="121.71"/>
    <n v="70.98"/>
    <n v="50.72999999999999"/>
    <n v="0.41681045107222081"/>
  </r>
  <r>
    <s v="BC-100431"/>
    <d v="2025-04-11T00:00:00"/>
    <s v="North"/>
    <s v="Small Business"/>
    <s v="Electronics"/>
    <s v="Portable Speaker"/>
    <n v="1"/>
    <n v="77.349999999999994"/>
    <n v="43.1"/>
    <n v="0"/>
    <n v="1"/>
    <n v="4"/>
    <s v="No"/>
    <s v="Online"/>
    <s v="Card"/>
    <s v="Small Business"/>
    <s v="North"/>
    <s v="Electronics"/>
    <x v="271"/>
    <n v="1"/>
    <s v="Portable Speaker"/>
    <n v="77.349999999999994"/>
    <n v="43.1"/>
    <n v="34.249999999999993"/>
    <n v="0.44279250161603095"/>
  </r>
  <r>
    <s v="BC-100323"/>
    <d v="2025-03-30T00:00:00"/>
    <s v="London"/>
    <s v="Corporate"/>
    <s v="Home &amp; Kitchen"/>
    <s v="Electric Kettle"/>
    <n v="6"/>
    <n v="39.15"/>
    <n v="20.81"/>
    <n v="0.15000000000000002"/>
    <n v="5"/>
    <n v="4"/>
    <s v="No"/>
    <s v="Online"/>
    <s v="Card"/>
    <s v="Corporate"/>
    <s v="London"/>
    <s v="Home &amp; Kitchen"/>
    <x v="196"/>
    <n v="1"/>
    <s v="Electric Kettle"/>
    <n v="199.66499999999996"/>
    <n v="124.85999999999999"/>
    <n v="74.804999999999978"/>
    <n v="0.37465254300954093"/>
  </r>
  <r>
    <s v="BC-101012"/>
    <d v="2025-06-13T00:00:00"/>
    <s v="London"/>
    <s v="Individual"/>
    <s v="Home &amp; Kitchen"/>
    <s v="Electric Kettle"/>
    <n v="1"/>
    <n v="39.44"/>
    <n v="20.73"/>
    <n v="0"/>
    <n v="3"/>
    <n v="5"/>
    <s v="No"/>
    <s v="Phone"/>
    <s v="Card"/>
    <s v="Individual"/>
    <s v="London"/>
    <s v="Home &amp; Kitchen"/>
    <x v="70"/>
    <n v="1"/>
    <s v="Electric Kettle"/>
    <n v="39.44"/>
    <n v="20.73"/>
    <n v="18.709999999999997"/>
    <n v="0.47439148073022308"/>
  </r>
  <r>
    <s v="BC-100455"/>
    <d v="2025-02-23T00:00:00"/>
    <s v="South"/>
    <s v="Corporate"/>
    <s v="Home &amp; Kitchen"/>
    <s v="Blender"/>
    <n v="5"/>
    <n v="63.35"/>
    <n v="36.68"/>
    <n v="0.25"/>
    <n v="3"/>
    <n v="5"/>
    <s v="No"/>
    <s v="Phone"/>
    <s v="Digital Wallet"/>
    <s v="Corporate"/>
    <s v="South"/>
    <s v="Home &amp; Kitchen"/>
    <x v="104"/>
    <n v="1"/>
    <s v="Blender"/>
    <n v="237.5625"/>
    <n v="183.4"/>
    <n v="54.162499999999994"/>
    <n v="0.22799263351749538"/>
  </r>
  <r>
    <s v="BC-100303"/>
    <d v="2025-05-23T00:00:00"/>
    <s v="South"/>
    <s v="Small Business"/>
    <s v="Home &amp; Kitchen"/>
    <s v="Blender"/>
    <n v="6"/>
    <n v="66.069999999999993"/>
    <n v="35.06"/>
    <n v="0.1"/>
    <n v="3"/>
    <n v="3"/>
    <s v="Yes"/>
    <s v="Online"/>
    <s v="Card"/>
    <s v="Small Business"/>
    <s v="South"/>
    <s v="Home &amp; Kitchen"/>
    <x v="272"/>
    <n v="1"/>
    <s v="Blender"/>
    <n v="356.77799999999996"/>
    <n v="210.36"/>
    <n v="146.41799999999995"/>
    <n v="0.41038965407059841"/>
  </r>
  <r>
    <s v="BC-101156"/>
    <d v="2025-06-06T00:00:00"/>
    <s v="Midlands"/>
    <s v="Corporate"/>
    <s v="Electronics"/>
    <s v="Wireless Headset"/>
    <n v="5"/>
    <n v="59"/>
    <n v="33.03"/>
    <n v="0.05"/>
    <n v="3"/>
    <n v="3"/>
    <s v="Yes"/>
    <s v="Online"/>
    <s v="Bank Transfer"/>
    <s v="Corporate"/>
    <s v="Midlands"/>
    <s v="Electronics"/>
    <x v="236"/>
    <n v="1"/>
    <s v="Wireless Headset"/>
    <n v="280.25"/>
    <n v="165.15"/>
    <n v="115.1"/>
    <n v="0.41070472792149865"/>
  </r>
  <r>
    <s v="BC-101255"/>
    <d v="2025-07-11T00:00:00"/>
    <s v="North"/>
    <s v="Individual"/>
    <s v="Home &amp; Kitchen"/>
    <s v="Coffee Maker"/>
    <n v="3"/>
    <n v="80.3"/>
    <n v="44.27"/>
    <n v="0"/>
    <n v="5"/>
    <n v="4"/>
    <s v="No"/>
    <s v="Online"/>
    <s v="Card"/>
    <s v="Individual"/>
    <s v="North"/>
    <s v="Home &amp; Kitchen"/>
    <x v="49"/>
    <n v="1"/>
    <s v="Coffee Maker"/>
    <n v="240.89999999999998"/>
    <n v="132.81"/>
    <n v="108.08999999999997"/>
    <n v="0.44869240348692396"/>
  </r>
  <r>
    <s v="BC-101523"/>
    <d v="2025-11-26T00:00:00"/>
    <s v="North"/>
    <s v="Individual"/>
    <s v="Home &amp; Kitchen"/>
    <s v="Coffee Maker"/>
    <n v="1"/>
    <n v="81"/>
    <n v="44.86"/>
    <n v="0.1"/>
    <n v="1"/>
    <n v="5"/>
    <s v="No"/>
    <s v="Store"/>
    <s v="Digital Wallet"/>
    <s v="Individual"/>
    <s v="North"/>
    <s v="Home &amp; Kitchen"/>
    <x v="210"/>
    <n v="1"/>
    <s v="Coffee Maker"/>
    <n v="72.900000000000006"/>
    <n v="44.86"/>
    <n v="28.040000000000006"/>
    <n v="0.3846364883401921"/>
  </r>
  <r>
    <s v="BC-101783"/>
    <d v="2025-12-28T00:00:00"/>
    <s v="North"/>
    <s v="Small Business"/>
    <s v="Office"/>
    <s v="Desk Lamp"/>
    <n v="2"/>
    <n v="39.97"/>
    <n v="19.87"/>
    <n v="0.1"/>
    <n v="3"/>
    <n v="5"/>
    <s v="No"/>
    <s v="Phone"/>
    <s v="Bank Transfer"/>
    <s v="Small Business"/>
    <s v="North"/>
    <s v="Office"/>
    <x v="6"/>
    <n v="1"/>
    <s v="Desk Lamp"/>
    <n v="71.945999999999998"/>
    <n v="39.74"/>
    <n v="32.205999999999996"/>
    <n v="0.44764128652044582"/>
  </r>
  <r>
    <s v="BC-101420"/>
    <d v="2025-11-14T00:00:00"/>
    <s v="South"/>
    <s v="Individual"/>
    <s v="Office"/>
    <s v="Desk Lamp"/>
    <n v="2"/>
    <n v="39.58"/>
    <n v="19.72"/>
    <n v="0.1"/>
    <n v="4"/>
    <n v="4"/>
    <s v="No"/>
    <s v="Online"/>
    <s v="Digital Wallet"/>
    <s v="Individual"/>
    <s v="South"/>
    <s v="Office"/>
    <x v="80"/>
    <n v="1"/>
    <s v="Desk Lamp"/>
    <n v="71.244"/>
    <n v="39.44"/>
    <n v="31.804000000000002"/>
    <n v="0.44640952220537872"/>
  </r>
  <r>
    <s v="BC-100338"/>
    <d v="2025-12-25T00:00:00"/>
    <s v="Midlands"/>
    <s v="Individual"/>
    <s v="Electronics"/>
    <s v="SmartHome Hub"/>
    <n v="1"/>
    <n v="130.38"/>
    <n v="83.78"/>
    <n v="0.15000000000000002"/>
    <n v="3"/>
    <n v="4"/>
    <s v="No"/>
    <s v="Phone"/>
    <s v="Digital Wallet"/>
    <s v="Individual"/>
    <s v="Midlands"/>
    <s v="Electronics"/>
    <x v="28"/>
    <n v="1"/>
    <s v="SmartHome Hub"/>
    <n v="110.82299999999999"/>
    <n v="83.78"/>
    <n v="27.042999999999992"/>
    <n v="0.24401974319410225"/>
  </r>
  <r>
    <s v="BC-101850"/>
    <d v="2025-12-26T00:00:00"/>
    <s v="Midlands"/>
    <s v="Small Business"/>
    <s v="Home &amp; Kitchen"/>
    <s v="Coffee Maker"/>
    <n v="3"/>
    <n v="80.09"/>
    <n v="47"/>
    <n v="0.05"/>
    <n v="0"/>
    <n v="4"/>
    <s v="No"/>
    <s v="Store"/>
    <s v="Card"/>
    <s v="Small Business"/>
    <s v="Midlands"/>
    <s v="Home &amp; Kitchen"/>
    <x v="215"/>
    <n v="1"/>
    <s v="Coffee Maker"/>
    <n v="228.25649999999999"/>
    <n v="141"/>
    <n v="87.256499999999988"/>
    <n v="0.38227388924302264"/>
  </r>
  <r>
    <s v="BC-100329"/>
    <d v="2025-02-16T00:00:00"/>
    <s v="North"/>
    <s v="Individual"/>
    <s v="Furniture"/>
    <s v="Side Table"/>
    <n v="1"/>
    <n v="92.4"/>
    <n v="53.89"/>
    <n v="0"/>
    <n v="4"/>
    <n v="4"/>
    <s v="No"/>
    <s v="Online"/>
    <s v="Digital Wallet"/>
    <s v="Individual"/>
    <s v="North"/>
    <s v="Furniture"/>
    <x v="200"/>
    <n v="1"/>
    <s v="Side Table"/>
    <n v="92.4"/>
    <n v="53.89"/>
    <n v="38.510000000000005"/>
    <n v="0.4167748917748918"/>
  </r>
  <r>
    <s v="BC-100899"/>
    <d v="2025-01-20T00:00:00"/>
    <s v="South"/>
    <s v="Individual"/>
    <s v="Office"/>
    <s v="Laptop Stand"/>
    <n v="1"/>
    <n v="46.42"/>
    <n v="21.82"/>
    <n v="0.15000000000000002"/>
    <n v="1"/>
    <n v="4"/>
    <s v="No"/>
    <s v="Store"/>
    <s v="Digital Wallet"/>
    <s v="Individual"/>
    <s v="South"/>
    <s v="Office"/>
    <x v="225"/>
    <n v="1"/>
    <s v="Laptop Stand"/>
    <n v="39.457000000000001"/>
    <n v="21.82"/>
    <n v="17.637"/>
    <n v="0.44699292901132881"/>
  </r>
  <r>
    <s v="BC-100152"/>
    <d v="2025-07-29T00:00:00"/>
    <s v="London"/>
    <s v="Individual"/>
    <s v="Home &amp; Kitchen"/>
    <s v="Coffee Maker"/>
    <n v="1"/>
    <n v="82.48"/>
    <n v="43.94"/>
    <n v="0"/>
    <n v="4"/>
    <n v="4"/>
    <s v="No"/>
    <s v="Online"/>
    <s v="Bank Transfer"/>
    <s v="Individual"/>
    <s v="London"/>
    <s v="Home &amp; Kitchen"/>
    <x v="273"/>
    <n v="1"/>
    <s v="Coffee Maker"/>
    <n v="82.48"/>
    <n v="43.94"/>
    <n v="38.540000000000006"/>
    <n v="0.46726479146459754"/>
  </r>
  <r>
    <s v="BC-100179"/>
    <s v="13/03/2025"/>
    <s v="Midlands"/>
    <s v="Individual"/>
    <s v="Home &amp; Kitchen"/>
    <s v="Coffee Maker"/>
    <n v="1"/>
    <n v="77.69"/>
    <n v="45.44"/>
    <n v="0.05"/>
    <n v="4"/>
    <n v="4"/>
    <s v="No"/>
    <s v="Online"/>
    <s v="Card"/>
    <s v="Individual"/>
    <s v="Midlands"/>
    <s v="Home &amp; Kitchen"/>
    <x v="103"/>
    <n v="1"/>
    <s v="Coffee Maker"/>
    <n v="73.805499999999995"/>
    <n v="45.44"/>
    <n v="28.365499999999997"/>
    <n v="0.38432772625346351"/>
  </r>
  <r>
    <s v="BC-100136"/>
    <d v="2025-09-19T00:00:00"/>
    <s v="London"/>
    <s v="Individual"/>
    <s v="Office"/>
    <s v="Ergonomic Keyboard"/>
    <n v="1"/>
    <n v="72.44"/>
    <n v="37.44"/>
    <n v="0.1"/>
    <n v="2"/>
    <n v="5"/>
    <s v="No"/>
    <s v="Online"/>
    <s v="Card"/>
    <s v="Individual"/>
    <s v="London"/>
    <s v="Office"/>
    <x v="68"/>
    <n v="1"/>
    <s v="Ergonomic Keyboard"/>
    <n v="65.195999999999998"/>
    <n v="37.44"/>
    <n v="27.756"/>
    <n v="0.42573163997791275"/>
  </r>
  <r>
    <s v="BC-101239"/>
    <d v="2025-11-25T00:00:00"/>
    <s v="South"/>
    <s v="Individual"/>
    <s v="Electronics"/>
    <s v="SmartHome Hub"/>
    <n v="2"/>
    <n v="133.65"/>
    <n v="84.01"/>
    <n v="0.1"/>
    <n v="3"/>
    <n v="3"/>
    <s v="Yes"/>
    <s v="Online"/>
    <s v="Card"/>
    <s v="Individual"/>
    <s v="South"/>
    <s v="Electronics"/>
    <x v="10"/>
    <n v="1"/>
    <s v="SmartHome Hub"/>
    <n v="240.57000000000002"/>
    <n v="168.02"/>
    <n v="72.550000000000011"/>
    <n v="0.30157542503221518"/>
  </r>
  <r>
    <s v="BC-100356"/>
    <d v="2025-04-11T00:00:00"/>
    <s v="Midlands"/>
    <s v="Corporate"/>
    <s v="Office"/>
    <s v="Desk Lamp"/>
    <n v="3"/>
    <n v="39.840000000000003"/>
    <n v="19.010000000000002"/>
    <n v="0.1"/>
    <n v="3"/>
    <n v="5"/>
    <s v="No"/>
    <s v="Phone"/>
    <s v="Card"/>
    <s v="Corporate"/>
    <s v="Midlands"/>
    <s v="Office"/>
    <x v="271"/>
    <n v="1"/>
    <s v="Desk Lamp"/>
    <n v="107.56800000000001"/>
    <n v="57.03"/>
    <n v="50.538000000000011"/>
    <n v="0.46982373940205269"/>
  </r>
  <r>
    <s v="BC-101439"/>
    <d v="2025-06-28T00:00:00"/>
    <s v="Midlands"/>
    <s v="Corporate"/>
    <s v="Home &amp; Kitchen"/>
    <s v="Electric Kettle"/>
    <n v="6"/>
    <n v="38.85"/>
    <n v="19.73"/>
    <n v="0.05"/>
    <n v="2"/>
    <n v="4"/>
    <s v="No"/>
    <s v="Store"/>
    <s v="Card"/>
    <s v="Corporate"/>
    <s v="Midlands"/>
    <s v="Home &amp; Kitchen"/>
    <x v="208"/>
    <n v="1"/>
    <s v="Electric Kettle"/>
    <n v="221.44500000000002"/>
    <n v="118.38"/>
    <n v="103.06500000000003"/>
    <n v="0.46542030752557073"/>
  </r>
  <r>
    <s v="BC-101081"/>
    <d v="2025-11-11T00:00:00"/>
    <s v="London"/>
    <s v="Small Business"/>
    <s v="Office"/>
    <s v="Wireless Mouse"/>
    <n v="5"/>
    <n v="35.04"/>
    <n v="16.829999999999998"/>
    <n v="0.1"/>
    <n v="5"/>
    <n v="4"/>
    <s v="No"/>
    <s v="Online"/>
    <s v="Card"/>
    <s v="Small Business"/>
    <s v="London"/>
    <s v="Office"/>
    <x v="274"/>
    <n v="1"/>
    <s v="Wireless Mouse"/>
    <n v="157.68"/>
    <n v="84.149999999999991"/>
    <n v="73.530000000000015"/>
    <n v="0.46632420091324206"/>
  </r>
  <r>
    <s v="BC-101884"/>
    <d v="2025-08-22T00:00:00"/>
    <s v="South"/>
    <s v="Small Business"/>
    <s v="Furniture"/>
    <s v="Storage Cabinet"/>
    <n v="2"/>
    <n v="166.11"/>
    <n v="100.83"/>
    <n v="0"/>
    <n v="2"/>
    <n v="4"/>
    <s v="No"/>
    <s v="Store"/>
    <s v="Digital Wallet"/>
    <s v="Small Business"/>
    <s v="South"/>
    <s v="Furniture"/>
    <x v="63"/>
    <n v="1"/>
    <s v="Storage Cabinet"/>
    <n v="332.22"/>
    <n v="201.66"/>
    <n v="130.56000000000003"/>
    <n v="0.39299259526819585"/>
  </r>
  <r>
    <s v="BC-100802"/>
    <d v="2025-03-06T00:00:00"/>
    <s v="South"/>
    <s v="Individual"/>
    <s v="Furniture"/>
    <s v="Storage Cabinet"/>
    <n v="2"/>
    <n v="163.27000000000001"/>
    <n v="99.38"/>
    <n v="0.1"/>
    <n v="3"/>
    <m/>
    <s v="No"/>
    <s v="Online"/>
    <s v="Digital Wallet"/>
    <s v="Individual"/>
    <s v="South"/>
    <s v="Furniture"/>
    <x v="275"/>
    <n v="1"/>
    <s v="Storage Cabinet"/>
    <n v="293.88600000000002"/>
    <n v="198.76"/>
    <n v="95.126000000000033"/>
    <n v="0.3236833329930654"/>
  </r>
  <r>
    <s v="BC-100935"/>
    <d v="2025-09-15T00:00:00"/>
    <s v="Midlands"/>
    <s v="Small Business"/>
    <s v="Electronics"/>
    <s v="Wireless Headset"/>
    <n v="6"/>
    <n v="60.45"/>
    <n v="34.08"/>
    <n v="0"/>
    <n v="0"/>
    <n v="3"/>
    <s v="Yes"/>
    <s v="Store"/>
    <s v="Card"/>
    <s v="Small Business"/>
    <s v="Midlands"/>
    <s v="Electronics"/>
    <x v="100"/>
    <n v="1"/>
    <s v="Wireless Headset"/>
    <n v="362.70000000000005"/>
    <n v="204.48"/>
    <n v="158.22000000000006"/>
    <n v="0.43622828784119116"/>
  </r>
  <r>
    <s v="BC-100444"/>
    <d v="2025-11-30T00:00:00"/>
    <s v="Midlands"/>
    <s v="Small Business"/>
    <s v="Furniture"/>
    <s v="Bookshelf"/>
    <n v="1"/>
    <n v="124.24"/>
    <n v="72.23"/>
    <n v="0.1"/>
    <n v="4"/>
    <n v="5"/>
    <s v="No"/>
    <s v="Store"/>
    <s v="Card"/>
    <s v="Small Business"/>
    <s v="Midlands"/>
    <s v="Furniture"/>
    <x v="73"/>
    <n v="1"/>
    <s v="Bookshelf"/>
    <n v="111.816"/>
    <n v="72.23"/>
    <n v="39.585999999999999"/>
    <n v="0.35402804607569577"/>
  </r>
  <r>
    <s v="BC-100768"/>
    <d v="2025-02-05T00:00:00"/>
    <s v="South"/>
    <s v="Small Business"/>
    <s v="Home &amp; Kitchen"/>
    <s v="Blender"/>
    <n v="1"/>
    <n v="65"/>
    <n v="36.619999999999997"/>
    <n v="0.05"/>
    <n v="2"/>
    <n v="4"/>
    <s v="No"/>
    <s v="Online"/>
    <s v="Card"/>
    <s v="Small Business"/>
    <s v="South"/>
    <s v="Home &amp; Kitchen"/>
    <x v="173"/>
    <n v="1"/>
    <s v="Blender"/>
    <n v="61.75"/>
    <n v="36.619999999999997"/>
    <n v="25.130000000000003"/>
    <n v="0.40696356275303647"/>
  </r>
  <r>
    <s v="BC-100786"/>
    <d v="2025-11-04T00:00:00"/>
    <s v="London"/>
    <s v="Small Business"/>
    <s v="Home &amp; Kitchen"/>
    <s v="Air Fryer"/>
    <n v="2"/>
    <n v="106.9"/>
    <n v="70.319999999999993"/>
    <n v="0.1"/>
    <n v="4"/>
    <n v="5"/>
    <s v="No"/>
    <s v="Store"/>
    <s v="Digital Wallet"/>
    <s v="Small Business"/>
    <s v="London"/>
    <s v="Home &amp; Kitchen"/>
    <x v="258"/>
    <n v="1"/>
    <s v="Air Fryer"/>
    <n v="192.42000000000002"/>
    <n v="140.63999999999999"/>
    <n v="51.78000000000003"/>
    <n v="0.26909884627377623"/>
  </r>
  <r>
    <s v="BC-101898"/>
    <d v="2025-02-22T00:00:00"/>
    <s v="London"/>
    <s v="Individual"/>
    <s v="Electronics"/>
    <s v="Wireless Headset"/>
    <n v="2"/>
    <n v="59.84"/>
    <n v="33.54"/>
    <n v="0.05"/>
    <n v="5"/>
    <n v="5"/>
    <s v="No"/>
    <s v="Online"/>
    <s v="Digital Wallet"/>
    <s v="Individual"/>
    <s v="London"/>
    <s v="Electronics"/>
    <x v="222"/>
    <n v="1"/>
    <s v="Wireless Headset"/>
    <n v="113.696"/>
    <n v="67.08"/>
    <n v="46.616"/>
    <n v="0.41000562904587673"/>
  </r>
  <r>
    <s v="BC-100779"/>
    <d v="2025-01-14T00:00:00"/>
    <s v="South"/>
    <s v="Individual"/>
    <s v="Electronics"/>
    <s v="SmartHome Hub"/>
    <n v="3"/>
    <n v="128.69999999999999"/>
    <n v="82.77"/>
    <n v="0"/>
    <n v="7"/>
    <n v="2"/>
    <s v="Yes"/>
    <s v="Online"/>
    <s v="Card"/>
    <s v="Individual"/>
    <s v="South"/>
    <s v="Electronics"/>
    <x v="54"/>
    <n v="1"/>
    <s v="SmartHome Hub"/>
    <n v="386.09999999999997"/>
    <n v="248.31"/>
    <n v="137.78999999999996"/>
    <n v="0.3568764568764568"/>
  </r>
  <r>
    <s v="BC-101466"/>
    <d v="2025-10-22T00:00:00"/>
    <s v="London"/>
    <s v="Individual"/>
    <s v="Furniture"/>
    <s v="Bookshelf"/>
    <n v="2"/>
    <n v="122.98"/>
    <n v="72.53"/>
    <n v="0.05"/>
    <n v="0"/>
    <n v="5"/>
    <s v="No"/>
    <s v="Store"/>
    <s v="Card"/>
    <s v="Individual"/>
    <s v="London"/>
    <s v="Furniture"/>
    <x v="147"/>
    <n v="1"/>
    <s v="Bookshelf"/>
    <n v="233.66200000000001"/>
    <n v="145.06"/>
    <n v="88.602000000000004"/>
    <n v="0.37918874271383451"/>
  </r>
  <r>
    <s v="BC-101273"/>
    <d v="2025-03-15T00:00:00"/>
    <s v="Midlands"/>
    <s v="Small Business"/>
    <s v="Office"/>
    <s v="Ergonomic Keyboard"/>
    <n v="1"/>
    <n v="68.34"/>
    <n v="37.090000000000003"/>
    <n v="0"/>
    <n v="0"/>
    <n v="4"/>
    <s v="No"/>
    <s v="Store"/>
    <s v="Card"/>
    <s v="Small Business"/>
    <s v="Midlands"/>
    <s v="Office"/>
    <x v="195"/>
    <n v="1"/>
    <s v="Ergonomic Keyboard"/>
    <n v="68.34"/>
    <n v="37.090000000000003"/>
    <n v="31.25"/>
    <n v="0.45727246122329529"/>
  </r>
  <r>
    <s v="BC-101321"/>
    <d v="2025-12-14T00:00:00"/>
    <s v="South"/>
    <s v="Individual"/>
    <s v="Home &amp; Kitchen"/>
    <s v="Blender"/>
    <n v="1"/>
    <n v="66.31"/>
    <n v="35.47"/>
    <n v="0.05"/>
    <n v="3"/>
    <n v="5"/>
    <s v="No"/>
    <s v="Online"/>
    <s v="Card"/>
    <s v="Individual"/>
    <s v="South"/>
    <s v="Home &amp; Kitchen"/>
    <x v="166"/>
    <n v="1"/>
    <s v="Blender"/>
    <n v="62.994500000000002"/>
    <n v="35.47"/>
    <n v="27.524500000000003"/>
    <n v="0.43693497051329883"/>
  </r>
  <r>
    <s v="BC-101872"/>
    <d v="2025-02-18T00:00:00"/>
    <s v="Midlands"/>
    <s v="Small Business"/>
    <s v="Electronics"/>
    <s v="Portable Speaker"/>
    <n v="4"/>
    <n v="73.19"/>
    <n v="44.74"/>
    <n v="0"/>
    <n v="4"/>
    <n v="4"/>
    <s v="No"/>
    <s v="Online"/>
    <s v="Bank Transfer"/>
    <s v="Small Business"/>
    <s v="Midlands"/>
    <s v="Electronics"/>
    <x v="276"/>
    <n v="1"/>
    <s v="Portable Speaker"/>
    <n v="292.76"/>
    <n v="178.96"/>
    <n v="113.79999999999998"/>
    <n v="0.38871430523295525"/>
  </r>
  <r>
    <s v="BC-101097"/>
    <d v="2025-07-21T00:00:00"/>
    <s v="South"/>
    <s v="Individual"/>
    <s v="Office"/>
    <s v="Laptop Stand"/>
    <n v="3"/>
    <n v="44.94"/>
    <n v="21.63"/>
    <n v="0.1"/>
    <n v="0"/>
    <n v="5"/>
    <s v="No"/>
    <s v="Store"/>
    <s v="Card"/>
    <s v="Individual"/>
    <s v="South"/>
    <s v="Office"/>
    <x v="277"/>
    <n v="1"/>
    <s v="Laptop Stand"/>
    <n v="121.33799999999999"/>
    <n v="64.89"/>
    <n v="56.447999999999993"/>
    <n v="0.46521287642782966"/>
  </r>
  <r>
    <s v="BC-100910"/>
    <d v="2025-03-11T00:00:00"/>
    <s v="Midlands"/>
    <s v="Individual"/>
    <s v="Office"/>
    <s v="Ergonomic Keyboard"/>
    <n v="1"/>
    <n v="70.63"/>
    <n v="36.869999999999997"/>
    <n v="0"/>
    <n v="4"/>
    <n v="4"/>
    <s v="No"/>
    <s v="Online"/>
    <s v="Card"/>
    <s v="Individual"/>
    <s v="Midlands"/>
    <s v="Office"/>
    <x v="260"/>
    <n v="1"/>
    <s v="Ergonomic Keyboard"/>
    <n v="70.63"/>
    <n v="36.869999999999997"/>
    <n v="33.76"/>
    <n v="0.47798385954976641"/>
  </r>
  <r>
    <s v="BC-100471"/>
    <d v="2025-03-31T00:00:00"/>
    <s v="London"/>
    <s v="Individual"/>
    <s v="Office"/>
    <s v="Ergonomic Keyboard"/>
    <n v="3"/>
    <n v="67.98"/>
    <n v="37.44"/>
    <n v="0"/>
    <n v="3"/>
    <n v="5"/>
    <s v="No"/>
    <s v="Store"/>
    <s v="Card"/>
    <s v="Individual"/>
    <s v="London"/>
    <s v="Office"/>
    <x v="115"/>
    <n v="1"/>
    <s v="Ergonomic Keyboard"/>
    <n v="203.94"/>
    <n v="112.32"/>
    <n v="91.62"/>
    <n v="0.44924977934686677"/>
  </r>
  <r>
    <s v="BC-100080"/>
    <d v="2025-06-25T00:00:00"/>
    <s v="South"/>
    <s v="Small Business"/>
    <s v="Electronics"/>
    <s v="Portable Speaker"/>
    <n v="4"/>
    <n v="74.7"/>
    <n v="45.04"/>
    <n v="0.1"/>
    <n v="7"/>
    <n v="4"/>
    <s v="No"/>
    <s v="Online"/>
    <s v="Card"/>
    <s v="Small Business"/>
    <s v="South"/>
    <s v="Electronics"/>
    <x v="20"/>
    <n v="1"/>
    <s v="Portable Speaker"/>
    <n v="268.92"/>
    <n v="180.16"/>
    <n v="88.760000000000019"/>
    <n v="0.3300609846794586"/>
  </r>
  <r>
    <s v="BC-101592"/>
    <d v="2025-12-06T00:00:00"/>
    <s v="South"/>
    <s v="Individual"/>
    <s v="Furniture"/>
    <s v="Storage Cabinet"/>
    <n v="2"/>
    <n v="156.12"/>
    <n v="101.64"/>
    <n v="0.1"/>
    <n v="2"/>
    <n v="5"/>
    <s v="No"/>
    <s v="Store"/>
    <s v="Card"/>
    <s v="Individual"/>
    <s v="South"/>
    <s v="Furniture"/>
    <x v="131"/>
    <n v="1"/>
    <s v="Storage Cabinet"/>
    <n v="281.01600000000002"/>
    <n v="203.28"/>
    <n v="77.736000000000018"/>
    <n v="0.27662481851567178"/>
  </r>
  <r>
    <s v="BC-101862"/>
    <d v="2025-07-18T00:00:00"/>
    <s v="London"/>
    <s v="Small Business"/>
    <s v="Home &amp; Kitchen"/>
    <s v="Electric Kettle"/>
    <n v="1"/>
    <n v="41.11"/>
    <n v="19.86"/>
    <n v="0"/>
    <n v="2"/>
    <n v="5"/>
    <s v="No"/>
    <s v="Online"/>
    <s v="Digital Wallet"/>
    <s v="Small Business"/>
    <s v="London"/>
    <s v="Home &amp; Kitchen"/>
    <x v="145"/>
    <n v="1"/>
    <s v="Electric Kettle"/>
    <n v="41.11"/>
    <n v="19.86"/>
    <n v="21.25"/>
    <n v="0.51690586232060332"/>
  </r>
  <r>
    <s v="BC-101301"/>
    <d v="2025-06-28T00:00:00"/>
    <s v="South"/>
    <s v="Small Business"/>
    <s v="Furniture"/>
    <s v="Bookshelf"/>
    <n v="5"/>
    <n v="119.92"/>
    <n v="70.069999999999993"/>
    <n v="0.1"/>
    <n v="6"/>
    <n v="3"/>
    <s v="No"/>
    <s v="Online"/>
    <s v="Card"/>
    <s v="Small Business"/>
    <s v="South"/>
    <s v="Furniture"/>
    <x v="208"/>
    <n v="1"/>
    <s v="Bookshelf"/>
    <n v="539.64"/>
    <n v="350.34999999999997"/>
    <n v="189.29000000000002"/>
    <n v="0.35077088429323255"/>
  </r>
  <r>
    <s v="BC-100086"/>
    <d v="2025-10-04T00:00:00"/>
    <s v="North"/>
    <s v="Individual"/>
    <s v="Office"/>
    <s v="Laptop Stand"/>
    <n v="2"/>
    <n v="44.04"/>
    <n v="21.76"/>
    <n v="0"/>
    <n v="0"/>
    <n v="4"/>
    <s v="No"/>
    <s v="Store"/>
    <s v="Card"/>
    <s v="Individual"/>
    <s v="North"/>
    <s v="Office"/>
    <x v="269"/>
    <n v="1"/>
    <s v="Laptop Stand"/>
    <n v="88.08"/>
    <n v="43.52"/>
    <n v="44.559999999999995"/>
    <n v="0.50590372388737503"/>
  </r>
  <r>
    <s v="BC-101807"/>
    <d v="2025-04-24T00:00:00"/>
    <s v="South"/>
    <s v="Small Business"/>
    <s v="Office"/>
    <s v="Laptop Stand"/>
    <n v="2"/>
    <n v="45"/>
    <n v="21.5"/>
    <n v="0.05"/>
    <n v="5"/>
    <n v="4"/>
    <s v="Yes"/>
    <s v="Online"/>
    <s v="Card"/>
    <s v="Small Business"/>
    <s v="South"/>
    <s v="Office"/>
    <x v="278"/>
    <n v="1"/>
    <s v="Laptop Stand"/>
    <n v="85.5"/>
    <n v="43"/>
    <n v="42.5"/>
    <n v="0.49707602339181284"/>
  </r>
  <r>
    <s v="BC-100737"/>
    <d v="2025-08-16T00:00:00"/>
    <s v="North"/>
    <s v="Individual"/>
    <s v="Electronics"/>
    <s v="Webcam"/>
    <n v="2"/>
    <n v="49.54"/>
    <n v="26.01"/>
    <n v="0"/>
    <n v="4"/>
    <n v="5"/>
    <s v="No"/>
    <s v="Phone"/>
    <s v="Bank Transfer"/>
    <s v="Individual"/>
    <s v="North"/>
    <s v="Electronics"/>
    <x v="5"/>
    <n v="1"/>
    <s v="Webcam"/>
    <n v="99.08"/>
    <n v="52.02"/>
    <n v="47.059999999999995"/>
    <n v="0.47496972143722238"/>
  </r>
  <r>
    <s v="BC-100221"/>
    <d v="2025-09-20T00:00:00"/>
    <s v="South"/>
    <s v="Individual"/>
    <s v="Electronics"/>
    <s v="Portable Speaker"/>
    <n v="2"/>
    <n v="73.34"/>
    <n v="43.66"/>
    <n v="0.1"/>
    <n v="7"/>
    <n v="3"/>
    <s v="No"/>
    <s v="Phone"/>
    <s v="Card"/>
    <s v="Individual"/>
    <s v="South"/>
    <s v="Electronics"/>
    <x v="76"/>
    <n v="1"/>
    <s v="Portable Speaker"/>
    <n v="132.012"/>
    <n v="87.32"/>
    <n v="44.692000000000007"/>
    <n v="0.33854498075932499"/>
  </r>
  <r>
    <s v="BC-101011"/>
    <d v="2025-05-26T00:00:00"/>
    <s v="Midlands"/>
    <s v="Individual"/>
    <s v="Office"/>
    <s v="Wireless Mouse"/>
    <n v="1"/>
    <n v="36.25"/>
    <n v="16.559999999999999"/>
    <n v="0.1"/>
    <n v="2"/>
    <n v="4"/>
    <s v="No"/>
    <s v="Online"/>
    <s v="Bank Transfer"/>
    <s v="Individual"/>
    <s v="Midlands"/>
    <s v="Office"/>
    <x v="279"/>
    <n v="1"/>
    <s v="Wireless Mouse"/>
    <n v="32.625"/>
    <n v="16.559999999999999"/>
    <n v="16.065000000000001"/>
    <n v="0.49241379310344829"/>
  </r>
  <r>
    <s v="BC-100442"/>
    <d v="2025-11-10T00:00:00"/>
    <s v="South"/>
    <s v="Individual"/>
    <s v="Electronics"/>
    <s v="Wireless Headset"/>
    <n v="2"/>
    <n v="61.22"/>
    <n v="34.89"/>
    <n v="0.15000000000000002"/>
    <n v="3"/>
    <n v="4"/>
    <s v="No"/>
    <s v="Online"/>
    <s v="Card"/>
    <s v="Individual"/>
    <s v="South"/>
    <s v="Electronics"/>
    <x v="280"/>
    <n v="1"/>
    <s v="Wireless Headset"/>
    <n v="104.074"/>
    <n v="69.78"/>
    <n v="34.293999999999997"/>
    <n v="0.32951553702173453"/>
  </r>
  <r>
    <s v="BC-100681"/>
    <d v="2025-04-02T00:00:00"/>
    <s v="London"/>
    <s v="Small Business"/>
    <s v="Home &amp; Kitchen"/>
    <s v="Coffee Maker"/>
    <n v="4"/>
    <n v="79.28"/>
    <n v="46.04"/>
    <n v="0.1"/>
    <n v="6"/>
    <n v="3"/>
    <s v="No"/>
    <s v="Online"/>
    <s v="Card"/>
    <s v="Small Business"/>
    <s v="London"/>
    <s v="Home &amp; Kitchen"/>
    <x v="170"/>
    <n v="1"/>
    <s v="Coffee Maker"/>
    <n v="285.40800000000002"/>
    <n v="184.16"/>
    <n v="101.24800000000002"/>
    <n v="0.35474829016705911"/>
  </r>
  <r>
    <s v="BC-100510"/>
    <d v="2025-07-06T00:00:00"/>
    <s v="Midlands"/>
    <s v="Individual"/>
    <s v="Home &amp; Kitchen"/>
    <s v="Air Fryer"/>
    <n v="2"/>
    <n v="110.35"/>
    <n v="65.430000000000007"/>
    <n v="0"/>
    <n v="1"/>
    <n v="4"/>
    <s v="No"/>
    <s v="Store"/>
    <s v="Card"/>
    <s v="Individual"/>
    <s v="Midlands"/>
    <s v="Home &amp; Kitchen"/>
    <x v="179"/>
    <n v="1"/>
    <s v="Air Fryer"/>
    <n v="220.7"/>
    <n v="130.86000000000001"/>
    <n v="89.839999999999975"/>
    <n v="0.40706841866787485"/>
  </r>
  <r>
    <s v="BC-100618"/>
    <d v="2025-12-19T00:00:00"/>
    <s v="North"/>
    <s v="Individual"/>
    <s v="Furniture"/>
    <s v="Bookshelf"/>
    <n v="2"/>
    <n v="118.78"/>
    <n v="74.77"/>
    <n v="0.2"/>
    <n v="5"/>
    <n v="4"/>
    <s v="No"/>
    <s v="Store"/>
    <s v="Card"/>
    <s v="Individual"/>
    <s v="North"/>
    <s v="Furniture"/>
    <x v="18"/>
    <n v="1"/>
    <s v="Bookshelf"/>
    <n v="190.048"/>
    <n v="149.54"/>
    <n v="40.50800000000001"/>
    <n v="0.21314615255093455"/>
  </r>
  <r>
    <s v="BC-101635"/>
    <d v="2025-11-13T00:00:00"/>
    <s v="London"/>
    <s v="Individual"/>
    <s v="Furniture"/>
    <s v="Bookshelf"/>
    <n v="1"/>
    <n v="118.3"/>
    <n v="70.959999999999994"/>
    <n v="0"/>
    <n v="4"/>
    <n v="5"/>
    <s v="No"/>
    <s v="Online"/>
    <s v="Card"/>
    <s v="Individual"/>
    <s v="London"/>
    <s v="Furniture"/>
    <x v="22"/>
    <n v="1"/>
    <s v="Bookshelf"/>
    <n v="118.3"/>
    <n v="70.959999999999994"/>
    <n v="47.34"/>
    <n v="0.40016906170752331"/>
  </r>
  <r>
    <s v="BC-101942"/>
    <d v="2025-06-25T00:00:00"/>
    <s v="South"/>
    <s v="Individual"/>
    <s v="Electronics"/>
    <s v="SmartHome Hub"/>
    <n v="1"/>
    <n v="128.76"/>
    <n v="84.16"/>
    <n v="0.1"/>
    <n v="0"/>
    <n v="4"/>
    <s v="No"/>
    <s v="Store"/>
    <s v="Card"/>
    <s v="Individual"/>
    <s v="South"/>
    <s v="Electronics"/>
    <x v="20"/>
    <n v="1"/>
    <s v="SmartHome Hub"/>
    <n v="115.884"/>
    <n v="84.16"/>
    <n v="31.724000000000004"/>
    <n v="0.2737565151358255"/>
  </r>
  <r>
    <s v="BC-101265"/>
    <d v="2025-03-27T00:00:00"/>
    <s v="South"/>
    <s v="Individual"/>
    <s v="Furniture"/>
    <s v="Storage Cabinet"/>
    <n v="2"/>
    <n v="156.69999999999999"/>
    <n v="101.58"/>
    <n v="0.2"/>
    <n v="3"/>
    <n v="4"/>
    <s v="No"/>
    <s v="Store"/>
    <s v="Card"/>
    <s v="Individual"/>
    <s v="South"/>
    <s v="Furniture"/>
    <x v="246"/>
    <n v="1"/>
    <s v="Storage Cabinet"/>
    <n v="250.72"/>
    <n v="203.16"/>
    <n v="47.56"/>
    <n v="0.1896936821952776"/>
  </r>
  <r>
    <s v="BC-100689"/>
    <d v="2025-09-14T00:00:00"/>
    <s v="London"/>
    <s v="Corporate"/>
    <s v="Furniture"/>
    <s v="Side Table"/>
    <n v="5"/>
    <n v="91.86"/>
    <n v="53.46"/>
    <n v="0.15000000000000002"/>
    <n v="6"/>
    <n v="4"/>
    <s v="No"/>
    <s v="Online"/>
    <s v="Bank Transfer"/>
    <s v="Corporate"/>
    <s v="London"/>
    <s v="Furniture"/>
    <x v="110"/>
    <n v="1"/>
    <s v="Side Table"/>
    <n v="390.40499999999997"/>
    <n v="267.3"/>
    <n v="123.10499999999996"/>
    <n v="0.31532639182387512"/>
  </r>
  <r>
    <s v="BC-100842"/>
    <d v="2025-12-12T00:00:00"/>
    <s v="Midlands"/>
    <s v="Corporate"/>
    <s v="Home &amp; Kitchen"/>
    <s v="Blender"/>
    <n v="6"/>
    <n v="64.81"/>
    <n v="35.82"/>
    <n v="0.15000000000000002"/>
    <n v="4"/>
    <n v="5"/>
    <s v="No"/>
    <s v="Phone"/>
    <s v="Digital Wallet"/>
    <s v="Corporate"/>
    <s v="Midlands"/>
    <s v="Home &amp; Kitchen"/>
    <x v="247"/>
    <n v="1"/>
    <s v="Blender"/>
    <n v="330.53100000000001"/>
    <n v="214.92000000000002"/>
    <n v="115.61099999999999"/>
    <n v="0.349773546202928"/>
  </r>
  <r>
    <s v="BC-101632"/>
    <d v="2025-02-14T00:00:00"/>
    <s v="South"/>
    <s v="Individual"/>
    <s v="Home &amp; Kitchen"/>
    <s v="Air Fryer"/>
    <n v="1"/>
    <n v="112.44"/>
    <n v="65.98"/>
    <n v="0.05"/>
    <n v="5"/>
    <n v="4"/>
    <s v="No"/>
    <s v="Online"/>
    <s v="Card"/>
    <s v="Individual"/>
    <s v="South"/>
    <s v="Home &amp; Kitchen"/>
    <x v="194"/>
    <n v="1"/>
    <s v="Air Fryer"/>
    <n v="106.818"/>
    <n v="65.98"/>
    <n v="40.837999999999994"/>
    <n v="0.38231384223632714"/>
  </r>
  <r>
    <s v="BC-100979"/>
    <d v="2025-10-23T00:00:00"/>
    <s v="London"/>
    <s v="Individual"/>
    <s v="Electronics"/>
    <s v="Wireless Headset"/>
    <n v="2"/>
    <n v="62.18"/>
    <n v="33.369999999999997"/>
    <n v="0"/>
    <n v="6"/>
    <n v="4"/>
    <s v="No"/>
    <s v="Online"/>
    <s v="Card"/>
    <s v="Individual"/>
    <s v="London"/>
    <s v="Electronics"/>
    <x v="212"/>
    <n v="1"/>
    <s v="Wireless Headset"/>
    <n v="124.36"/>
    <n v="66.739999999999995"/>
    <n v="57.620000000000005"/>
    <n v="0.46333226117722742"/>
  </r>
  <r>
    <s v="BC-100734"/>
    <d v="2025-03-07T00:00:00"/>
    <s v="North"/>
    <s v="Individual"/>
    <s v="Office"/>
    <s v="Wireless Mouse"/>
    <n v="1"/>
    <n v="36.159999999999997"/>
    <n v="17.38"/>
    <n v="0.05"/>
    <n v="3"/>
    <n v="3"/>
    <s v="Yes"/>
    <s v="Online"/>
    <s v="Card"/>
    <s v="Individual"/>
    <s v="North"/>
    <s v="Office"/>
    <x v="281"/>
    <n v="1"/>
    <s v="Wireless Mouse"/>
    <n v="34.351999999999997"/>
    <n v="17.38"/>
    <n v="16.971999999999998"/>
    <n v="0.49406148113646947"/>
  </r>
  <r>
    <s v="BC-100077"/>
    <d v="2025-09-27T00:00:00"/>
    <s v="London"/>
    <s v="Individual"/>
    <s v="Electronics"/>
    <s v="Portable Speaker"/>
    <n v="1"/>
    <n v="77.48"/>
    <n v="44.96"/>
    <n v="0"/>
    <n v="2"/>
    <n v="5"/>
    <s v="No"/>
    <s v="Store"/>
    <s v="Card"/>
    <s v="Individual"/>
    <s v="London"/>
    <s v="Electronics"/>
    <x v="16"/>
    <n v="1"/>
    <s v="Portable Speaker"/>
    <n v="77.48"/>
    <n v="44.96"/>
    <n v="32.520000000000003"/>
    <n v="0.4197212183789365"/>
  </r>
  <r>
    <s v="BC-101823"/>
    <d v="2025-01-14T00:00:00"/>
    <s v="South"/>
    <s v="Individual"/>
    <s v="Office"/>
    <s v="Desk Lamp"/>
    <n v="1"/>
    <n v="40.44"/>
    <n v="18.489999999999998"/>
    <n v="0.1"/>
    <n v="6"/>
    <n v="4"/>
    <s v="No"/>
    <s v="Online"/>
    <s v="Digital Wallet"/>
    <s v="Individual"/>
    <s v="South"/>
    <s v="Office"/>
    <x v="54"/>
    <n v="1"/>
    <s v="Desk Lamp"/>
    <n v="36.396000000000001"/>
    <n v="18.489999999999998"/>
    <n v="17.906000000000002"/>
    <n v="0.49197714034509293"/>
  </r>
  <r>
    <s v="BC-100495"/>
    <d v="2025-10-01T00:00:00"/>
    <s v="North"/>
    <s v="Small Business"/>
    <s v="Office"/>
    <s v="Ergonomic Keyboard"/>
    <n v="4"/>
    <n v="71.94"/>
    <n v="39.869999999999997"/>
    <n v="0"/>
    <n v="6"/>
    <n v="4"/>
    <s v="No"/>
    <s v="Online"/>
    <s v="Card"/>
    <s v="Small Business"/>
    <s v="North"/>
    <s v="Office"/>
    <x v="128"/>
    <n v="1"/>
    <s v="Ergonomic Keyboard"/>
    <n v="287.76"/>
    <n v="159.47999999999999"/>
    <n v="128.28"/>
    <n v="0.44578815679733114"/>
  </r>
  <r>
    <s v="BC-101015"/>
    <d v="2025-09-05T00:00:00"/>
    <s v="Midlands"/>
    <s v="Individual"/>
    <s v="Electronics"/>
    <s v="Portable Speaker"/>
    <n v="1"/>
    <n v="74.22"/>
    <n v="42.8"/>
    <n v="0.05"/>
    <n v="0"/>
    <n v="5"/>
    <s v="No"/>
    <s v="Store"/>
    <s v="Card"/>
    <s v="Individual"/>
    <s v="Midlands"/>
    <s v="Electronics"/>
    <x v="134"/>
    <n v="1"/>
    <s v="Portable Speaker"/>
    <n v="70.509"/>
    <n v="42.8"/>
    <n v="27.709000000000003"/>
    <n v="0.39298529265767496"/>
  </r>
  <r>
    <s v="BC-101300"/>
    <d v="2025-03-31T00:00:00"/>
    <s v="London"/>
    <s v="Individual"/>
    <s v="Home &amp; Kitchen"/>
    <s v="Coffee Maker"/>
    <n v="2"/>
    <n v="78.739999999999995"/>
    <n v="44.93"/>
    <n v="0"/>
    <n v="3"/>
    <n v="4"/>
    <s v="No"/>
    <s v="Online"/>
    <s v="Card"/>
    <s v="Individual"/>
    <s v="London"/>
    <s v="Home &amp; Kitchen"/>
    <x v="115"/>
    <n v="1"/>
    <s v="Coffee Maker"/>
    <n v="157.47999999999999"/>
    <n v="89.86"/>
    <n v="67.61999999999999"/>
    <n v="0.4293878587757175"/>
  </r>
  <r>
    <s v="BC-100975"/>
    <d v="2025-01-07T00:00:00"/>
    <s v="London"/>
    <s v="Individual"/>
    <s v="Home &amp; Kitchen"/>
    <s v="Electric Kettle"/>
    <n v="1"/>
    <n v="41.32"/>
    <n v="19.850000000000001"/>
    <n v="0"/>
    <n v="0"/>
    <n v="4"/>
    <s v="No"/>
    <s v="Store"/>
    <s v="Card"/>
    <s v="Individual"/>
    <s v="London"/>
    <s v="Home &amp; Kitchen"/>
    <x v="15"/>
    <n v="1"/>
    <s v="Electric Kettle"/>
    <n v="41.32"/>
    <n v="19.850000000000001"/>
    <n v="21.47"/>
    <n v="0.51960309777347524"/>
  </r>
  <r>
    <s v="BC-100438"/>
    <d v="2025-08-19T00:00:00"/>
    <s v="London"/>
    <s v="Individual"/>
    <s v="Office"/>
    <s v="Wireless Mouse"/>
    <n v="1"/>
    <n v="34.630000000000003"/>
    <n v="17.04"/>
    <n v="0.1"/>
    <n v="4"/>
    <n v="5"/>
    <s v="No"/>
    <s v="Online"/>
    <s v="Card"/>
    <s v="Individual"/>
    <s v="London"/>
    <s v="Office"/>
    <x v="122"/>
    <n v="1"/>
    <s v="Wireless Mouse"/>
    <n v="31.167000000000002"/>
    <n v="17.04"/>
    <n v="14.127000000000002"/>
    <n v="0.45326787948791997"/>
  </r>
  <r>
    <s v="BC-100773"/>
    <d v="2025-07-11T00:00:00"/>
    <s v="North"/>
    <s v="Individual"/>
    <s v="Furniture"/>
    <s v="Storage Cabinet"/>
    <n v="1"/>
    <n v="159.31"/>
    <n v="99.83"/>
    <n v="0"/>
    <n v="9"/>
    <n v="3"/>
    <s v="No"/>
    <s v="Phone"/>
    <s v="Bank Transfer"/>
    <s v="Individual"/>
    <s v="North"/>
    <s v="Furniture"/>
    <x v="49"/>
    <n v="1"/>
    <s v="Storage Cabinet"/>
    <n v="159.31"/>
    <n v="99.83"/>
    <n v="59.480000000000004"/>
    <n v="0.37336011549808551"/>
  </r>
  <r>
    <s v="BC-100597"/>
    <d v="2025-11-14T00:00:00"/>
    <s v="South"/>
    <s v="Individual"/>
    <s v="Home &amp; Kitchen"/>
    <s v="Blender"/>
    <n v="4"/>
    <n v="64.14"/>
    <n v="36.18"/>
    <n v="0.15000000000000002"/>
    <n v="2"/>
    <n v="5"/>
    <s v="No"/>
    <s v="Store"/>
    <s v="Card"/>
    <s v="Individual"/>
    <s v="South"/>
    <s v="Home &amp; Kitchen"/>
    <x v="80"/>
    <n v="1"/>
    <s v="Blender"/>
    <n v="218.07599999999999"/>
    <n v="144.72"/>
    <n v="73.355999999999995"/>
    <n v="0.33637814339954875"/>
  </r>
  <r>
    <s v="BC-101655"/>
    <d v="2025-05-02T00:00:00"/>
    <s v="London"/>
    <s v="Corporate"/>
    <s v="Electronics"/>
    <s v="Portable Speaker"/>
    <n v="3"/>
    <n v="77.099999999999994"/>
    <n v="41.9"/>
    <n v="0.1"/>
    <n v="4"/>
    <n v="3"/>
    <s v="Yes"/>
    <s v="Online"/>
    <s v="Bank Transfer"/>
    <s v="Corporate"/>
    <s v="London"/>
    <s v="Electronics"/>
    <x v="37"/>
    <n v="1"/>
    <s v="Portable Speaker"/>
    <n v="208.17"/>
    <n v="125.69999999999999"/>
    <n v="82.47"/>
    <n v="0.39616659461017439"/>
  </r>
  <r>
    <s v="BC-101291"/>
    <d v="2025-10-16T00:00:00"/>
    <s v="South"/>
    <s v="Individual"/>
    <s v="Electronics"/>
    <s v="Webcam"/>
    <n v="1"/>
    <n v="48.66"/>
    <n v="26.08"/>
    <n v="0.15000000000000002"/>
    <n v="6"/>
    <n v="4"/>
    <s v="No"/>
    <s v="Online"/>
    <s v="Card"/>
    <s v="Individual"/>
    <s v="South"/>
    <s v="Electronics"/>
    <x v="282"/>
    <n v="1"/>
    <s v="Webcam"/>
    <n v="41.360999999999997"/>
    <n v="26.08"/>
    <n v="15.280999999999999"/>
    <n v="0.36945431686854768"/>
  </r>
  <r>
    <s v="BC-100239"/>
    <d v="2025-07-04T00:00:00"/>
    <s v="North"/>
    <s v="Individual"/>
    <s v="Electronics"/>
    <s v="Webcam"/>
    <n v="1"/>
    <n v="49.03"/>
    <n v="26.11"/>
    <n v="0"/>
    <n v="1"/>
    <n v="4"/>
    <s v="No"/>
    <s v="Store"/>
    <s v="Card"/>
    <s v="Individual"/>
    <s v="North"/>
    <s v="Electronics"/>
    <x v="283"/>
    <n v="1"/>
    <s v="Webcam"/>
    <n v="49.03"/>
    <n v="26.11"/>
    <n v="22.92"/>
    <n v="0.4674688965939221"/>
  </r>
  <r>
    <s v="BC-101841"/>
    <d v="2025-12-21T00:00:00"/>
    <s v="South"/>
    <s v="Individual"/>
    <s v="Office"/>
    <s v="Ergonomic Keyboard"/>
    <n v="1"/>
    <n v="71.069999999999993"/>
    <n v="39.82"/>
    <n v="0.1"/>
    <n v="2"/>
    <n v="4"/>
    <s v="No"/>
    <s v="Online"/>
    <s v="Card"/>
    <s v="Individual"/>
    <s v="South"/>
    <s v="Office"/>
    <x v="3"/>
    <n v="1"/>
    <s v="Ergonomic Keyboard"/>
    <n v="63.962999999999994"/>
    <n v="39.82"/>
    <n v="24.142999999999994"/>
    <n v="0.37745258977846563"/>
  </r>
  <r>
    <s v="BC-101201"/>
    <d v="2025-06-14T00:00:00"/>
    <s v="South"/>
    <s v="Small Business"/>
    <s v="Home &amp; Kitchen"/>
    <s v="Blender"/>
    <n v="3"/>
    <n v="67.14"/>
    <n v="34.299999999999997"/>
    <n v="0"/>
    <n v="1"/>
    <n v="4"/>
    <s v="No"/>
    <s v="Online"/>
    <s v="Card"/>
    <s v="Small Business"/>
    <s v="South"/>
    <s v="Home &amp; Kitchen"/>
    <x v="284"/>
    <n v="1"/>
    <s v="Blender"/>
    <n v="201.42000000000002"/>
    <n v="102.89999999999999"/>
    <n v="98.520000000000024"/>
    <n v="0.48912719690199591"/>
  </r>
  <r>
    <s v="BC-101556"/>
    <d v="2025-07-23T00:00:00"/>
    <s v="South"/>
    <s v="Individual"/>
    <s v="Electronics"/>
    <s v="Portable Speaker"/>
    <n v="1"/>
    <n v="76.64"/>
    <n v="43.96"/>
    <n v="0.05"/>
    <n v="3"/>
    <n v="4"/>
    <s v="No"/>
    <s v="Phone"/>
    <s v="Card"/>
    <s v="Individual"/>
    <s v="South"/>
    <s v="Electronics"/>
    <x v="209"/>
    <n v="1"/>
    <s v="Portable Speaker"/>
    <n v="72.807999999999993"/>
    <n v="43.96"/>
    <n v="28.847999999999992"/>
    <n v="0.39622019558290289"/>
  </r>
  <r>
    <s v="BC-101443"/>
    <d v="2025-01-05T00:00:00"/>
    <s v="North"/>
    <s v="Individual"/>
    <s v="Furniture"/>
    <s v="Bookshelf"/>
    <n v="1"/>
    <n v="120.83"/>
    <n v="75.28"/>
    <n v="0"/>
    <n v="0"/>
    <n v="4"/>
    <s v="No"/>
    <s v="Store"/>
    <s v="Bank Transfer"/>
    <s v="Individual"/>
    <s v="North"/>
    <s v="Furniture"/>
    <x v="42"/>
    <n v="1"/>
    <s v="Bookshelf"/>
    <n v="120.83"/>
    <n v="75.28"/>
    <n v="45.55"/>
    <n v="0.37697591657700902"/>
  </r>
  <r>
    <s v="BC-100190"/>
    <d v="2025-09-16T00:00:00"/>
    <s v="North"/>
    <s v="Individual"/>
    <s v="Electronics"/>
    <s v="Portable Speaker"/>
    <n v="1"/>
    <n v="73.680000000000007"/>
    <n v="45.04"/>
    <n v="0.1"/>
    <n v="3"/>
    <n v="4"/>
    <s v="No"/>
    <s v="Online"/>
    <s v="Card"/>
    <s v="Individual"/>
    <s v="North"/>
    <s v="Electronics"/>
    <x v="285"/>
    <n v="1"/>
    <s v="Portable Speaker"/>
    <n v="66.312000000000012"/>
    <n v="45.04"/>
    <n v="21.272000000000013"/>
    <n v="0.32078658463023296"/>
  </r>
  <r>
    <s v="BC-100433"/>
    <d v="2025-04-01T00:00:00"/>
    <s v="North"/>
    <s v="Small Business"/>
    <s v="Home &amp; Kitchen"/>
    <s v="Blender"/>
    <n v="2"/>
    <n v="63.71"/>
    <n v="34.299999999999997"/>
    <n v="0"/>
    <n v="7"/>
    <n v="4"/>
    <s v="No"/>
    <s v="Online"/>
    <s v="Card"/>
    <s v="Small Business"/>
    <s v="North"/>
    <s v="Home &amp; Kitchen"/>
    <x v="59"/>
    <n v="1"/>
    <s v="Blender"/>
    <n v="127.42"/>
    <n v="68.599999999999994"/>
    <n v="58.820000000000007"/>
    <n v="0.4616229791241564"/>
  </r>
  <r>
    <s v="BC-101025"/>
    <d v="2025-11-26T00:00:00"/>
    <s v="South"/>
    <s v="Individual"/>
    <s v="Home &amp; Kitchen"/>
    <s v="Air Fryer"/>
    <n v="3"/>
    <n v="110.7"/>
    <n v="66.84"/>
    <n v="0.15000000000000002"/>
    <n v="5"/>
    <n v="5"/>
    <s v="No"/>
    <s v="Store"/>
    <s v="Card"/>
    <s v="Individual"/>
    <s v="South"/>
    <s v="Home &amp; Kitchen"/>
    <x v="210"/>
    <n v="1"/>
    <s v="Air Fryer"/>
    <n v="282.28500000000003"/>
    <n v="200.52"/>
    <n v="81.765000000000015"/>
    <n v="0.2896540730113184"/>
  </r>
  <r>
    <s v="BC-100073"/>
    <d v="2025-10-14T00:00:00"/>
    <s v="Midlands"/>
    <s v="Individual"/>
    <s v="Electronics"/>
    <s v="Portable Speaker"/>
    <n v="1"/>
    <n v="76.56"/>
    <n v="43.54"/>
    <n v="0"/>
    <n v="4"/>
    <n v="5"/>
    <s v="No"/>
    <s v="Store"/>
    <s v="Card"/>
    <s v="Individual"/>
    <s v="Midlands"/>
    <s v="Electronics"/>
    <x v="252"/>
    <n v="1"/>
    <s v="Portable Speaker"/>
    <n v="76.56"/>
    <n v="43.54"/>
    <n v="33.020000000000003"/>
    <n v="0.43129571577847442"/>
  </r>
  <r>
    <s v="BC-101824"/>
    <d v="2025-12-27T00:00:00"/>
    <s v="South"/>
    <s v="Individual"/>
    <s v="Furniture"/>
    <s v="Office Chair"/>
    <n v="2"/>
    <n v="176.16"/>
    <n v="120.54"/>
    <n v="0.05"/>
    <n v="5"/>
    <n v="4"/>
    <s v="No"/>
    <s v="Online"/>
    <s v="Card"/>
    <s v="Individual"/>
    <s v="South"/>
    <s v="Furniture"/>
    <x v="125"/>
    <n v="1"/>
    <s v="Office Chair"/>
    <n v="334.70399999999995"/>
    <n v="241.08"/>
    <n v="93.623999999999938"/>
    <n v="0.27972178402409281"/>
  </r>
  <r>
    <s v="BC-100641"/>
    <d v="2025-12-06T00:00:00"/>
    <s v="London"/>
    <s v="Individual"/>
    <s v="Home &amp; Kitchen"/>
    <s v="Coffee Maker"/>
    <n v="1"/>
    <n v="82.98"/>
    <n v="46.31"/>
    <n v="0.15000000000000002"/>
    <n v="0"/>
    <n v="4"/>
    <s v="No"/>
    <s v="Store"/>
    <s v="Bank Transfer"/>
    <s v="Individual"/>
    <s v="London"/>
    <s v="Home &amp; Kitchen"/>
    <x v="131"/>
    <n v="1"/>
    <s v="Coffee Maker"/>
    <n v="70.533000000000001"/>
    <n v="46.31"/>
    <n v="24.222999999999999"/>
    <n v="0.34342789899763232"/>
  </r>
  <r>
    <s v="BC-100810"/>
    <d v="2025-06-08T00:00:00"/>
    <s v="North"/>
    <s v="Individual"/>
    <s v="Home &amp; Kitchen"/>
    <s v="Coffee Maker"/>
    <n v="1"/>
    <n v="78.209999999999994"/>
    <n v="46.46"/>
    <n v="0"/>
    <n v="4"/>
    <n v="4"/>
    <s v="No"/>
    <s v="Online"/>
    <s v="Bank Transfer"/>
    <s v="Individual"/>
    <s v="North"/>
    <s v="Home &amp; Kitchen"/>
    <x v="40"/>
    <n v="1"/>
    <s v="Coffee Maker"/>
    <n v="78.209999999999994"/>
    <n v="46.46"/>
    <n v="31.749999999999993"/>
    <n v="0.40595831735072235"/>
  </r>
  <r>
    <s v="BC-100578"/>
    <d v="2025-09-20T00:00:00"/>
    <s v="South"/>
    <s v="Small Business"/>
    <s v="Office"/>
    <s v="Desk Lamp"/>
    <n v="3"/>
    <n v="38.96"/>
    <n v="19.61"/>
    <n v="0.05"/>
    <n v="5"/>
    <n v="4"/>
    <s v="No"/>
    <s v="Online"/>
    <s v="Card"/>
    <s v="Small Business"/>
    <s v="South"/>
    <s v="Office"/>
    <x v="76"/>
    <n v="1"/>
    <s v="Desk Lamp"/>
    <n v="111.03599999999999"/>
    <n v="58.83"/>
    <n v="52.205999999999989"/>
    <n v="0.47017183616124497"/>
  </r>
  <r>
    <s v="BC-101649"/>
    <d v="2025-09-10T00:00:00"/>
    <s v="London"/>
    <s v="Individual"/>
    <s v="Home &amp; Kitchen"/>
    <s v="Air Fryer"/>
    <n v="1"/>
    <n v="113.58"/>
    <n v="66.989999999999995"/>
    <n v="0"/>
    <n v="3"/>
    <n v="4"/>
    <s v="No"/>
    <s v="Online"/>
    <s v="Card"/>
    <s v="Individual"/>
    <s v="London"/>
    <s v="Home &amp; Kitchen"/>
    <x v="71"/>
    <n v="1"/>
    <s v="Air Fryer"/>
    <n v="113.58"/>
    <n v="66.989999999999995"/>
    <n v="46.59"/>
    <n v="0.41019545694664555"/>
  </r>
  <r>
    <s v="BC-101902"/>
    <d v="2025-11-20T00:00:00"/>
    <s v="North"/>
    <s v="Individual"/>
    <s v="Electronics"/>
    <s v="Wireless Headset"/>
    <n v="1"/>
    <n v="59.89"/>
    <n v="35.630000000000003"/>
    <n v="0.05"/>
    <n v="4"/>
    <n v="4"/>
    <s v="No"/>
    <s v="Online"/>
    <s v="Digital Wallet"/>
    <s v="Individual"/>
    <s v="North"/>
    <s v="Electronics"/>
    <x v="33"/>
    <n v="1"/>
    <s v="Wireless Headset"/>
    <n v="56.895499999999998"/>
    <n v="35.630000000000003"/>
    <n v="21.265499999999996"/>
    <n v="0.37376418170154047"/>
  </r>
  <r>
    <s v="BC-100872"/>
    <d v="2025-10-29T00:00:00"/>
    <s v="North"/>
    <s v="Small Business"/>
    <s v="Office"/>
    <s v="Laptop Stand"/>
    <n v="2"/>
    <n v="45.41"/>
    <n v="21.64"/>
    <n v="0.1"/>
    <n v="3"/>
    <n v="4"/>
    <s v="No"/>
    <s v="Phone"/>
    <s v="Bank Transfer"/>
    <s v="Small Business"/>
    <s v="North"/>
    <s v="Office"/>
    <x v="97"/>
    <n v="1"/>
    <s v="Laptop Stand"/>
    <n v="81.738"/>
    <n v="43.28"/>
    <n v="38.457999999999998"/>
    <n v="0.47050331547138419"/>
  </r>
  <r>
    <s v="BC-100966"/>
    <d v="2025-07-25T00:00:00"/>
    <s v="South"/>
    <s v="Small Business"/>
    <s v="Furniture"/>
    <s v="Bookshelf"/>
    <n v="1"/>
    <n v="119.37"/>
    <n v="73.33"/>
    <n v="0.1"/>
    <n v="5"/>
    <n v="4"/>
    <s v="No"/>
    <s v="Online"/>
    <s v="Card"/>
    <s v="Small Business"/>
    <s v="South"/>
    <s v="Furniture"/>
    <x v="143"/>
    <n v="1"/>
    <s v="Bookshelf"/>
    <n v="107.43300000000001"/>
    <n v="73.33"/>
    <n v="34.103000000000009"/>
    <n v="0.31743505254437654"/>
  </r>
  <r>
    <s v="BC-101061"/>
    <d v="2025-05-04T00:00:00"/>
    <s v="South"/>
    <s v="Small Business"/>
    <s v="Office"/>
    <s v="Desk Lamp"/>
    <n v="6"/>
    <n v="40.909999999999997"/>
    <n v="18.559999999999999"/>
    <n v="0"/>
    <n v="2"/>
    <n v="5"/>
    <s v="No"/>
    <s v="Store"/>
    <s v="Card"/>
    <s v="Small Business"/>
    <s v="South"/>
    <s v="Office"/>
    <x v="51"/>
    <n v="1"/>
    <s v="Desk Lamp"/>
    <n v="245.45999999999998"/>
    <n v="111.35999999999999"/>
    <n v="134.1"/>
    <n v="0.5463211928623809"/>
  </r>
  <r>
    <s v="BC-101852"/>
    <d v="2025-04-26T00:00:00"/>
    <s v="London"/>
    <s v="Individual"/>
    <s v="Furniture"/>
    <s v="Storage Cabinet"/>
    <n v="1"/>
    <n v="163.66"/>
    <n v="100.02"/>
    <n v="0"/>
    <n v="6"/>
    <n v="4"/>
    <s v="No"/>
    <s v="Online"/>
    <s v="Card"/>
    <s v="Individual"/>
    <s v="London"/>
    <s v="Furniture"/>
    <x v="249"/>
    <n v="1"/>
    <s v="Storage Cabinet"/>
    <n v="163.66"/>
    <n v="100.02"/>
    <n v="63.64"/>
    <n v="0.38885494317487473"/>
  </r>
  <r>
    <s v="BC-101117"/>
    <d v="2025-09-04T00:00:00"/>
    <s v="South"/>
    <s v="Individual"/>
    <s v="Home &amp; Kitchen"/>
    <s v="Electric Kettle"/>
    <n v="1"/>
    <n v="39.450000000000003"/>
    <n v="20.14"/>
    <n v="0.05"/>
    <n v="5"/>
    <n v="4"/>
    <s v="No"/>
    <s v="Online"/>
    <s v="Bank Transfer"/>
    <s v="Individual"/>
    <s v="South"/>
    <s v="Home &amp; Kitchen"/>
    <x v="267"/>
    <n v="1"/>
    <s v="Electric Kettle"/>
    <n v="37.477499999999999"/>
    <n v="20.14"/>
    <n v="17.337499999999999"/>
    <n v="0.46261089987325726"/>
  </r>
  <r>
    <s v="BC-100271"/>
    <d v="2025-07-23T00:00:00"/>
    <s v="London"/>
    <s v="Individual"/>
    <s v="Home &amp; Kitchen"/>
    <s v="Coffee Maker"/>
    <n v="4"/>
    <n v="80.86"/>
    <n v="44.48"/>
    <n v="0.05"/>
    <n v="0"/>
    <n v="5"/>
    <s v="No"/>
    <s v="Store"/>
    <s v="Card"/>
    <s v="Individual"/>
    <s v="London"/>
    <s v="Home &amp; Kitchen"/>
    <x v="209"/>
    <n v="1"/>
    <s v="Coffee Maker"/>
    <n v="307.26799999999997"/>
    <n v="177.92"/>
    <n v="129.34799999999998"/>
    <n v="0.42096150591665904"/>
  </r>
  <r>
    <s v="BC-101063"/>
    <d v="2025-12-11T00:00:00"/>
    <s v="Midlands"/>
    <s v="Individual"/>
    <s v="Electronics"/>
    <s v="SmartHome Hub"/>
    <n v="2"/>
    <n v="130.41999999999999"/>
    <n v="84.76"/>
    <n v="0.15000000000000002"/>
    <n v="3"/>
    <n v="4"/>
    <s v="No"/>
    <s v="Online"/>
    <s v="Card"/>
    <s v="Individual"/>
    <s v="Midlands"/>
    <s v="Electronics"/>
    <x v="286"/>
    <n v="1"/>
    <s v="SmartHome Hub"/>
    <n v="221.71399999999997"/>
    <n v="169.52"/>
    <n v="52.19399999999996"/>
    <n v="0.23541138583941459"/>
  </r>
  <r>
    <s v="BC-100167"/>
    <d v="2025-12-21T00:00:00"/>
    <s v="Midlands"/>
    <s v="Small Business"/>
    <s v="Home &amp; Kitchen"/>
    <s v="Electric Kettle"/>
    <n v="1"/>
    <n v="41.26"/>
    <n v="19.53"/>
    <n v="0.2"/>
    <n v="1"/>
    <n v="5"/>
    <s v="No"/>
    <s v="Store"/>
    <s v="Card"/>
    <s v="Small Business"/>
    <s v="Midlands"/>
    <s v="Home &amp; Kitchen"/>
    <x v="3"/>
    <n v="1"/>
    <s v="Electric Kettle"/>
    <n v="33.008000000000003"/>
    <n v="19.53"/>
    <n v="13.478000000000002"/>
    <n v="0.4083252544837615"/>
  </r>
  <r>
    <s v="BC-101379"/>
    <s v="10/09/2025"/>
    <s v="London"/>
    <s v="Individual"/>
    <s v="Home &amp; Kitchen"/>
    <s v="Air Fryer"/>
    <n v="3"/>
    <n v="113.46"/>
    <n v="66.58"/>
    <n v="0.05"/>
    <n v="0"/>
    <n v="4"/>
    <s v="No"/>
    <s v="Store"/>
    <s v="Card"/>
    <s v="Individual"/>
    <s v="London"/>
    <s v="Home &amp; Kitchen"/>
    <x v="71"/>
    <n v="1"/>
    <s v="Air Fryer"/>
    <n v="323.36099999999999"/>
    <n v="199.74"/>
    <n v="123.62099999999998"/>
    <n v="0.38230027739894418"/>
  </r>
  <r>
    <s v="BC-100341"/>
    <d v="2025-12-25T00:00:00"/>
    <s v="South"/>
    <s v="Small Business"/>
    <s v="Home &amp; Kitchen"/>
    <s v="Blender"/>
    <n v="3"/>
    <n v="64.180000000000007"/>
    <n v="36.549999999999997"/>
    <n v="0.1"/>
    <n v="2"/>
    <n v="4"/>
    <s v="No"/>
    <s v="Store"/>
    <s v="Card"/>
    <s v="Small Business"/>
    <s v="South"/>
    <s v="Home &amp; Kitchen"/>
    <x v="28"/>
    <n v="1"/>
    <s v="Blender"/>
    <n v="173.28600000000003"/>
    <n v="109.64999999999999"/>
    <n v="63.636000000000038"/>
    <n v="0.36723105155638669"/>
  </r>
  <r>
    <s v="BC-101429"/>
    <d v="2025-03-04T00:00:00"/>
    <s v="Midlands"/>
    <s v="Individual"/>
    <s v="Furniture"/>
    <s v="Storage Cabinet"/>
    <n v="2"/>
    <n v="162.51"/>
    <n v="104.75"/>
    <n v="0.05"/>
    <n v="3"/>
    <n v="5"/>
    <s v="No"/>
    <s v="Store"/>
    <s v="Card"/>
    <s v="Individual"/>
    <s v="Midlands"/>
    <s v="Furniture"/>
    <x v="229"/>
    <n v="1"/>
    <s v="Storage Cabinet"/>
    <n v="308.76899999999995"/>
    <n v="209.5"/>
    <n v="99.268999999999949"/>
    <n v="0.3214992437712334"/>
  </r>
  <r>
    <s v="BC-101883"/>
    <d v="2025-12-18T00:00:00"/>
    <s v="North"/>
    <s v="Individual"/>
    <s v="Home &amp; Kitchen"/>
    <s v="Air Fryer"/>
    <n v="2"/>
    <n v="112.49"/>
    <n v="68.650000000000006"/>
    <n v="0.1"/>
    <n v="1"/>
    <n v="4"/>
    <s v="No"/>
    <s v="Store"/>
    <s v="Card"/>
    <s v="Individual"/>
    <s v="North"/>
    <s v="Home &amp; Kitchen"/>
    <x v="114"/>
    <n v="1"/>
    <s v="Air Fryer"/>
    <n v="202.482"/>
    <n v="137.30000000000001"/>
    <n v="65.181999999999988"/>
    <n v="0.32191503442281283"/>
  </r>
  <r>
    <s v="BC-100661"/>
    <d v="2025-12-25T00:00:00"/>
    <s v="Midlands"/>
    <s v="Individual"/>
    <s v="Home &amp; Kitchen"/>
    <s v="Coffee Maker"/>
    <n v="3"/>
    <n v="79.31"/>
    <n v="46.42"/>
    <n v="0.1"/>
    <n v="1"/>
    <n v="5"/>
    <s v="No"/>
    <s v="Online"/>
    <s v="Bank Transfer"/>
    <s v="Individual"/>
    <s v="Midlands"/>
    <s v="Home &amp; Kitchen"/>
    <x v="28"/>
    <n v="1"/>
    <s v="Coffee Maker"/>
    <n v="214.137"/>
    <n v="139.26"/>
    <n v="74.87700000000001"/>
    <n v="0.34966867005701963"/>
  </r>
  <r>
    <s v="BC-100161"/>
    <d v="2025-03-09T00:00:00"/>
    <s v="South"/>
    <s v="Individual"/>
    <s v="Electronics"/>
    <s v="Webcam"/>
    <n v="1"/>
    <n v="50.12"/>
    <n v="26.28"/>
    <n v="0.1"/>
    <n v="0"/>
    <n v="5"/>
    <s v="No"/>
    <s v="Store"/>
    <s v="Card"/>
    <s v="Individual"/>
    <s v="South"/>
    <s v="Electronics"/>
    <x v="92"/>
    <n v="1"/>
    <s v="Webcam"/>
    <n v="45.107999999999997"/>
    <n v="26.28"/>
    <n v="18.827999999999996"/>
    <n v="0.4173982442138866"/>
  </r>
  <r>
    <s v="BC-100353"/>
    <d v="2025-03-06T00:00:00"/>
    <s v="Midlands"/>
    <s v="Small Business"/>
    <s v="Office"/>
    <s v="Desk Lamp"/>
    <n v="3"/>
    <n v="39.58"/>
    <n v="18.829999999999998"/>
    <n v="0"/>
    <n v="2"/>
    <n v="5"/>
    <s v="No"/>
    <s v="Store"/>
    <s v="Card"/>
    <s v="Small Business"/>
    <s v="Midlands"/>
    <s v="Office"/>
    <x v="275"/>
    <n v="1"/>
    <s v="Desk Lamp"/>
    <n v="118.74"/>
    <n v="56.489999999999995"/>
    <n v="62.25"/>
    <n v="0.52425467407781712"/>
  </r>
  <r>
    <s v="BC-100879"/>
    <d v="2025-06-08T00:00:00"/>
    <s v="Midlands"/>
    <s v="Individual"/>
    <s v="Furniture"/>
    <s v="Bookshelf"/>
    <n v="1"/>
    <n v="116.52"/>
    <n v="75.180000000000007"/>
    <n v="0"/>
    <n v="5"/>
    <n v="4"/>
    <s v="No"/>
    <s v="Online"/>
    <s v="Card"/>
    <s v="Individual"/>
    <s v="Midlands"/>
    <s v="Furniture"/>
    <x v="40"/>
    <n v="1"/>
    <s v="Bookshelf"/>
    <n v="116.52"/>
    <n v="75.180000000000007"/>
    <n v="41.339999999999989"/>
    <n v="0.35478887744593196"/>
  </r>
  <r>
    <s v="BC-100127"/>
    <d v="2025-02-08T00:00:00"/>
    <s v="South"/>
    <s v="Small Business"/>
    <s v="Electronics"/>
    <s v="Portable Speaker"/>
    <n v="1"/>
    <n v="77.709999999999994"/>
    <n v="43.34"/>
    <n v="0.05"/>
    <n v="3"/>
    <n v="4"/>
    <s v="No"/>
    <s v="Online"/>
    <s v="Digital Wallet"/>
    <s v="Small Business"/>
    <s v="South"/>
    <s v="Electronics"/>
    <x v="287"/>
    <n v="1"/>
    <s v="Portable Speaker"/>
    <n v="73.824499999999986"/>
    <n v="43.34"/>
    <n v="30.484499999999983"/>
    <n v="0.41293202121246997"/>
  </r>
  <r>
    <s v="BC-100156"/>
    <d v="2025-02-11T00:00:00"/>
    <s v="South"/>
    <s v="Small Business"/>
    <s v="Office"/>
    <s v="Laptop Stand"/>
    <n v="4"/>
    <n v="45.17"/>
    <n v="21.08"/>
    <n v="0"/>
    <n v="5"/>
    <n v="4"/>
    <s v="No"/>
    <s v="Online"/>
    <s v="Digital Wallet"/>
    <s v="Small Business"/>
    <s v="South"/>
    <s v="Office"/>
    <x v="288"/>
    <n v="1"/>
    <s v="Laptop Stand"/>
    <n v="180.68"/>
    <n v="84.32"/>
    <n v="96.360000000000014"/>
    <n v="0.53331857427496132"/>
  </r>
  <r>
    <s v="BC-100928"/>
    <d v="2025-08-03T00:00:00"/>
    <s v="Midlands"/>
    <s v="Individual"/>
    <s v="Office"/>
    <s v="Laptop Stand"/>
    <n v="2"/>
    <n v="44.11"/>
    <n v="21.79"/>
    <n v="0.1"/>
    <n v="0"/>
    <n v="4"/>
    <s v="No"/>
    <s v="Store"/>
    <s v="Bank Transfer"/>
    <s v="Individual"/>
    <s v="Midlands"/>
    <s v="Office"/>
    <x v="289"/>
    <n v="1"/>
    <s v="Laptop Stand"/>
    <n v="79.397999999999996"/>
    <n v="43.58"/>
    <n v="35.817999999999998"/>
    <n v="0.45111967555857829"/>
  </r>
  <r>
    <s v="BC-101753"/>
    <d v="2025-09-25T00:00:00"/>
    <s v="London"/>
    <s v="Individual"/>
    <s v="Electronics"/>
    <s v="SmartHome Hub"/>
    <n v="1"/>
    <n v="129.19999999999999"/>
    <n v="82.75"/>
    <n v="0.1"/>
    <n v="0"/>
    <n v="4"/>
    <s v="No"/>
    <s v="Store"/>
    <s v="Bank Transfer"/>
    <s v="Individual"/>
    <s v="London"/>
    <s v="Electronics"/>
    <x v="213"/>
    <n v="1"/>
    <s v="SmartHome Hub"/>
    <n v="116.27999999999999"/>
    <n v="82.75"/>
    <n v="33.529999999999987"/>
    <n v="0.2883556931544547"/>
  </r>
  <r>
    <s v="BC-100035"/>
    <d v="2025-03-15T00:00:00"/>
    <s v="North"/>
    <s v="Individual"/>
    <s v="Electronics"/>
    <s v="SmartHome Hub"/>
    <n v="1"/>
    <n v="132.30000000000001"/>
    <n v="84.25"/>
    <n v="0"/>
    <n v="3"/>
    <n v="4"/>
    <s v="No"/>
    <s v="Online"/>
    <s v="Card"/>
    <s v="Individual"/>
    <s v="North"/>
    <s v="Electronics"/>
    <x v="195"/>
    <n v="1"/>
    <s v="SmartHome Hub"/>
    <n v="132.30000000000001"/>
    <n v="84.25"/>
    <n v="48.050000000000011"/>
    <n v="0.36318972033257751"/>
  </r>
  <r>
    <s v="BC-100529"/>
    <d v="2025-11-25T00:00:00"/>
    <s v="London"/>
    <s v="Individual"/>
    <s v="Office"/>
    <s v="Wireless Mouse"/>
    <n v="1"/>
    <n v="34.51"/>
    <n v="17.670000000000002"/>
    <n v="0.15000000000000002"/>
    <n v="5"/>
    <n v="4"/>
    <s v="No"/>
    <s v="Online"/>
    <s v="Card"/>
    <s v="Individual"/>
    <s v="London"/>
    <s v="Office"/>
    <x v="10"/>
    <n v="1"/>
    <s v="Wireless Mouse"/>
    <n v="29.333499999999997"/>
    <n v="17.670000000000002"/>
    <n v="11.663499999999996"/>
    <n v="0.39761705899398286"/>
  </r>
  <r>
    <s v="BC-100654"/>
    <d v="2025-07-15T00:00:00"/>
    <s v="Midlands"/>
    <s v="Individual"/>
    <s v="Home &amp; Kitchen"/>
    <s v="Coffee Maker"/>
    <n v="3"/>
    <n v="79.099999999999994"/>
    <n v="46.42"/>
    <n v="0"/>
    <n v="3"/>
    <n v="4"/>
    <s v="No"/>
    <s v="Online"/>
    <s v="Bank Transfer"/>
    <s v="Individual"/>
    <s v="Midlands"/>
    <s v="Home &amp; Kitchen"/>
    <x v="239"/>
    <n v="1"/>
    <s v="Coffee Maker"/>
    <n v="237.29999999999998"/>
    <n v="139.26"/>
    <n v="98.039999999999992"/>
    <n v="0.41314791403286977"/>
  </r>
  <r>
    <s v="BC-100020"/>
    <d v="2025-02-18T00:00:00"/>
    <s v="Midlands"/>
    <s v="Individual"/>
    <s v="Electronics"/>
    <s v="SmartHome Hub"/>
    <n v="2"/>
    <n v="132.81"/>
    <n v="81.8"/>
    <n v="0"/>
    <n v="3"/>
    <n v="4"/>
    <s v="No"/>
    <s v="Phone"/>
    <s v="Card"/>
    <s v="Individual"/>
    <s v="Midlands"/>
    <s v="Electronics"/>
    <x v="276"/>
    <n v="1"/>
    <s v="SmartHome Hub"/>
    <n v="265.62"/>
    <n v="163.6"/>
    <n v="102.02000000000001"/>
    <n v="0.38408252390633241"/>
  </r>
  <r>
    <s v="BC-101286"/>
    <d v="2025-11-22T00:00:00"/>
    <s v="Midlands"/>
    <s v="Individual"/>
    <s v="Office"/>
    <s v="Wireless Mouse"/>
    <n v="1"/>
    <n v="34.32"/>
    <n v="16.79"/>
    <n v="0.15000000000000002"/>
    <n v="0"/>
    <n v="5"/>
    <s v="No"/>
    <s v="Store"/>
    <s v="Digital Wallet"/>
    <s v="Individual"/>
    <s v="Midlands"/>
    <s v="Office"/>
    <x v="82"/>
    <n v="1"/>
    <s v="Wireless Mouse"/>
    <n v="29.172000000000001"/>
    <n v="16.79"/>
    <n v="12.382000000000001"/>
    <n v="0.42444810091868918"/>
  </r>
  <r>
    <s v="BC-101622"/>
    <d v="2025-11-20T00:00:00"/>
    <s v="Midlands"/>
    <s v="Corporate"/>
    <s v="Electronics"/>
    <s v="Webcam"/>
    <n v="6"/>
    <n v="50.61"/>
    <n v="26.37"/>
    <n v="0.2"/>
    <n v="4"/>
    <n v="4"/>
    <s v="No"/>
    <s v="Online"/>
    <s v="Digital Wallet"/>
    <s v="Corporate"/>
    <s v="Midlands"/>
    <s v="Electronics"/>
    <x v="33"/>
    <n v="1"/>
    <s v="Webcam"/>
    <n v="242.928"/>
    <n v="158.22"/>
    <n v="84.707999999999998"/>
    <n v="0.34869590989922938"/>
  </r>
  <r>
    <s v="BC-101791"/>
    <d v="2025-04-01T00:00:00"/>
    <s v="South"/>
    <s v="Individual"/>
    <s v="Home &amp; Kitchen"/>
    <s v="Blender"/>
    <n v="1"/>
    <n v="63.94"/>
    <n v="35.65"/>
    <n v="0.15000000000000002"/>
    <n v="4"/>
    <n v="4"/>
    <s v="No"/>
    <s v="Phone"/>
    <s v="Card"/>
    <s v="Individual"/>
    <s v="South"/>
    <s v="Home &amp; Kitchen"/>
    <x v="59"/>
    <n v="1"/>
    <s v="Blender"/>
    <n v="54.348999999999997"/>
    <n v="35.65"/>
    <n v="18.698999999999998"/>
    <n v="0.34405416842996189"/>
  </r>
  <r>
    <s v="BC-101187"/>
    <d v="2025-10-10T00:00:00"/>
    <s v="London"/>
    <s v="Small Business"/>
    <s v="Office"/>
    <s v="Laptop Stand"/>
    <n v="3"/>
    <n v="45.08"/>
    <n v="20.66"/>
    <n v="0.1"/>
    <n v="3"/>
    <n v="4"/>
    <s v="Yes"/>
    <s v="Online"/>
    <s v="Card"/>
    <s v="Small Business"/>
    <s v="London"/>
    <s v="Office"/>
    <x v="203"/>
    <n v="1"/>
    <s v="Laptop Stand"/>
    <n v="121.71600000000001"/>
    <n v="61.980000000000004"/>
    <n v="59.736000000000004"/>
    <n v="0.49078181997436654"/>
  </r>
  <r>
    <s v="BC-100754"/>
    <d v="2025-09-15T00:00:00"/>
    <s v="Midlands"/>
    <s v="Individual"/>
    <s v="Office"/>
    <s v="Desk Lamp"/>
    <n v="1"/>
    <n v="38.82"/>
    <n v="19.350000000000001"/>
    <n v="0"/>
    <n v="0"/>
    <n v="4"/>
    <s v="No"/>
    <s v="Store"/>
    <s v="Card"/>
    <s v="Individual"/>
    <s v="Midlands"/>
    <s v="Office"/>
    <x v="100"/>
    <n v="1"/>
    <s v="Desk Lamp"/>
    <n v="38.82"/>
    <n v="19.350000000000001"/>
    <n v="19.47"/>
    <n v="0.50154559505409579"/>
  </r>
  <r>
    <s v="BC-100316"/>
    <d v="2025-12-22T00:00:00"/>
    <s v="South"/>
    <s v="Individual"/>
    <s v="Furniture"/>
    <s v="Side Table"/>
    <n v="1"/>
    <n v="91.58"/>
    <n v="52.88"/>
    <n v="0.1"/>
    <n v="9"/>
    <n v="3"/>
    <s v="No"/>
    <s v="Online"/>
    <s v="Digital Wallet"/>
    <s v="Individual"/>
    <s v="South"/>
    <s v="Furniture"/>
    <x v="36"/>
    <n v="1"/>
    <s v="Side Table"/>
    <n v="82.421999999999997"/>
    <n v="52.88"/>
    <n v="29.541999999999994"/>
    <n v="0.35842372182184362"/>
  </r>
  <r>
    <s v="BC-100850"/>
    <d v="2025-07-19T00:00:00"/>
    <s v="London"/>
    <s v="Small Business"/>
    <s v="Office"/>
    <s v="Ergonomic Keyboard"/>
    <n v="3"/>
    <n v="69.680000000000007"/>
    <n v="37.39"/>
    <n v="0.05"/>
    <n v="5"/>
    <n v="3"/>
    <s v="Yes"/>
    <s v="Online"/>
    <s v="Card"/>
    <s v="Small Business"/>
    <s v="London"/>
    <s v="Office"/>
    <x v="253"/>
    <n v="1"/>
    <s v="Ergonomic Keyboard"/>
    <n v="198.58800000000002"/>
    <n v="112.17"/>
    <n v="86.418000000000021"/>
    <n v="0.4351622454528975"/>
  </r>
  <r>
    <s v="BC-101133"/>
    <d v="2025-08-18T00:00:00"/>
    <s v="Midlands"/>
    <s v="Individual"/>
    <s v="Electronics"/>
    <s v="Portable Speaker"/>
    <n v="2"/>
    <n v="73.17"/>
    <n v="42.25"/>
    <n v="0.05"/>
    <n v="1"/>
    <n v="4"/>
    <s v="No"/>
    <s v="Phone"/>
    <s v="Bank Transfer"/>
    <s v="Individual"/>
    <s v="Midlands"/>
    <s v="Electronics"/>
    <x v="157"/>
    <n v="1"/>
    <s v="Portable Speaker"/>
    <n v="139.023"/>
    <n v="84.5"/>
    <n v="54.522999999999996"/>
    <n v="0.39218690432518361"/>
  </r>
  <r>
    <s v="BC-100545"/>
    <d v="2025-08-25T00:00:00"/>
    <s v="Midlands"/>
    <s v="Small Business"/>
    <s v="Office"/>
    <s v="Ergonomic Keyboard"/>
    <n v="3"/>
    <n v="69.69"/>
    <n v="39.78"/>
    <n v="0"/>
    <n v="0"/>
    <n v="4"/>
    <s v="No"/>
    <s v="Store"/>
    <s v="Card"/>
    <s v="Small Business"/>
    <s v="Midlands"/>
    <s v="Office"/>
    <x v="290"/>
    <n v="1"/>
    <s v="Ergonomic Keyboard"/>
    <n v="209.07"/>
    <n v="119.34"/>
    <n v="89.72999999999999"/>
    <n v="0.4291863969005596"/>
  </r>
  <r>
    <s v="BC-101022"/>
    <d v="2025-12-13T00:00:00"/>
    <s v="Midlands"/>
    <s v="Individual"/>
    <s v="Home &amp; Kitchen"/>
    <s v="Coffee Maker"/>
    <n v="1"/>
    <n v="78.38"/>
    <n v="45.88"/>
    <n v="0.05"/>
    <n v="6"/>
    <n v="3"/>
    <s v="No"/>
    <s v="Online"/>
    <s v="Bank Transfer"/>
    <s v="Individual"/>
    <s v="Midlands"/>
    <s v="Home &amp; Kitchen"/>
    <x v="219"/>
    <n v="1"/>
    <s v="Coffee Maker"/>
    <n v="74.460999999999999"/>
    <n v="45.88"/>
    <n v="28.580999999999996"/>
    <n v="0.38383851949342607"/>
  </r>
  <r>
    <s v="BC-100794"/>
    <d v="2025-07-23T00:00:00"/>
    <s v="Midlands"/>
    <s v="Small Business"/>
    <s v="Electronics"/>
    <s v="Wireless Headset"/>
    <n v="3"/>
    <n v="60.33"/>
    <n v="33.11"/>
    <n v="0"/>
    <n v="0"/>
    <n v="4"/>
    <s v="No"/>
    <s v="Store"/>
    <s v="Bank Transfer"/>
    <s v="Small Business"/>
    <s v="Midlands"/>
    <s v="Electronics"/>
    <x v="209"/>
    <n v="1"/>
    <s v="Wireless Headset"/>
    <n v="180.99"/>
    <n v="99.33"/>
    <n v="81.660000000000011"/>
    <n v="0.45118514835073764"/>
  </r>
  <r>
    <s v="BC-100890"/>
    <d v="2025-08-12T00:00:00"/>
    <s v="South"/>
    <s v="Individual"/>
    <s v="Furniture"/>
    <s v="Bookshelf"/>
    <n v="2"/>
    <n v="116.52"/>
    <n v="70.73"/>
    <n v="0.05"/>
    <n v="4"/>
    <n v="4"/>
    <s v="No"/>
    <s v="Online"/>
    <s v="Bank Transfer"/>
    <s v="Individual"/>
    <s v="South"/>
    <s v="Furniture"/>
    <x v="268"/>
    <n v="1"/>
    <s v="Bookshelf"/>
    <n v="221.38799999999998"/>
    <n v="141.46"/>
    <n v="79.927999999999969"/>
    <n v="0.36103131154353435"/>
  </r>
  <r>
    <s v="BC-100410"/>
    <d v="2025-07-24T00:00:00"/>
    <s v="South"/>
    <s v="Small Business"/>
    <s v="Furniture"/>
    <s v="Storage Cabinet"/>
    <n v="1"/>
    <n v="156.30000000000001"/>
    <n v="103.02"/>
    <n v="0.05"/>
    <n v="3"/>
    <n v="5"/>
    <s v="No"/>
    <s v="Store"/>
    <s v="Card"/>
    <s v="Small Business"/>
    <s v="South"/>
    <s v="Furniture"/>
    <x v="291"/>
    <n v="1"/>
    <s v="Storage Cabinet"/>
    <n v="148.48500000000001"/>
    <n v="103.02"/>
    <n v="45.465000000000018"/>
    <n v="0.3061925447014851"/>
  </r>
  <r>
    <s v="BC-100604"/>
    <d v="2025-04-11T00:00:00"/>
    <s v="Midlands"/>
    <s v="Individual"/>
    <s v="Electronics"/>
    <s v="Webcam"/>
    <n v="1"/>
    <n v="49.04"/>
    <n v="27.01"/>
    <n v="0.05"/>
    <n v="4"/>
    <n v="4"/>
    <s v="No"/>
    <s v="Online"/>
    <s v="Card"/>
    <s v="Individual"/>
    <s v="Midlands"/>
    <s v="Electronics"/>
    <x v="271"/>
    <n v="1"/>
    <s v="Webcam"/>
    <n v="46.587999999999994"/>
    <n v="27.01"/>
    <n v="19.577999999999992"/>
    <n v="0.42023697089379231"/>
  </r>
  <r>
    <s v="BC-101801"/>
    <d v="2025-07-15T00:00:00"/>
    <s v="North"/>
    <s v="Individual"/>
    <s v="Home &amp; Kitchen"/>
    <s v="Coffee Maker"/>
    <n v="2"/>
    <n v="82.28"/>
    <n v="43.96"/>
    <n v="0.05"/>
    <n v="4"/>
    <n v="5"/>
    <s v="No"/>
    <s v="Online"/>
    <s v="Card"/>
    <s v="Individual"/>
    <s v="North"/>
    <s v="Home &amp; Kitchen"/>
    <x v="239"/>
    <n v="1"/>
    <s v="Coffee Maker"/>
    <n v="156.33199999999999"/>
    <n v="87.92"/>
    <n v="68.411999999999992"/>
    <n v="0.43760714377094895"/>
  </r>
  <r>
    <s v="BC-101870"/>
    <d v="2025-01-11T00:00:00"/>
    <s v="South"/>
    <s v="Small Business"/>
    <s v="Electronics"/>
    <s v="SmartHome Hub"/>
    <n v="5"/>
    <n v="131.5"/>
    <n v="87"/>
    <n v="0.05"/>
    <n v="6"/>
    <n v="3"/>
    <s v="No"/>
    <s v="Online"/>
    <s v="Card"/>
    <s v="Small Business"/>
    <s v="South"/>
    <s v="Electronics"/>
    <x v="292"/>
    <n v="1"/>
    <s v="SmartHome Hub"/>
    <n v="624.625"/>
    <n v="435"/>
    <n v="189.625"/>
    <n v="0.30358214928957372"/>
  </r>
  <r>
    <s v="BC-100386"/>
    <d v="2025-07-03T00:00:00"/>
    <s v="South"/>
    <s v="Individual"/>
    <s v="Office"/>
    <s v="Ergonomic Keyboard"/>
    <n v="2"/>
    <n v="71.06"/>
    <n v="39.28"/>
    <n v="0.15000000000000002"/>
    <n v="4"/>
    <n v="5"/>
    <s v="No"/>
    <s v="Store"/>
    <s v="Digital Wallet"/>
    <s v="Individual"/>
    <s v="South"/>
    <s v="Office"/>
    <x v="152"/>
    <n v="1"/>
    <s v="Ergonomic Keyboard"/>
    <n v="120.80200000000001"/>
    <n v="78.56"/>
    <n v="42.242000000000004"/>
    <n v="0.34967964106554528"/>
  </r>
  <r>
    <s v="BC-101057"/>
    <d v="2025-03-08T00:00:00"/>
    <s v="London"/>
    <s v="Individual"/>
    <s v="Furniture"/>
    <s v="Side Table"/>
    <n v="1"/>
    <n v="92"/>
    <n v="53.72"/>
    <n v="0"/>
    <n v="5"/>
    <n v="5"/>
    <s v="No"/>
    <s v="Store"/>
    <s v="Card"/>
    <s v="Individual"/>
    <s v="London"/>
    <s v="Furniture"/>
    <x v="293"/>
    <n v="1"/>
    <s v="Side Table"/>
    <n v="92"/>
    <n v="53.72"/>
    <n v="38.28"/>
    <n v="0.41608695652173916"/>
  </r>
  <r>
    <s v="BC-100350"/>
    <d v="2025-01-05T00:00:00"/>
    <s v="North"/>
    <s v="Individual"/>
    <s v="Electronics"/>
    <s v="Webcam"/>
    <n v="2"/>
    <n v="50.35"/>
    <n v="26.78"/>
    <n v="0.1"/>
    <n v="2"/>
    <n v="4"/>
    <s v="No"/>
    <s v="Online"/>
    <s v="Card"/>
    <s v="Individual"/>
    <s v="North"/>
    <s v="Electronics"/>
    <x v="42"/>
    <n v="1"/>
    <s v="Webcam"/>
    <n v="90.63000000000001"/>
    <n v="53.56"/>
    <n v="37.070000000000007"/>
    <n v="0.40902570892640411"/>
  </r>
  <r>
    <s v="BC-101977"/>
    <d v="2025-04-16T00:00:00"/>
    <s v="South"/>
    <s v="Individual"/>
    <s v="Office"/>
    <s v="Desk Lamp"/>
    <n v="1"/>
    <n v="40.42"/>
    <n v="18.68"/>
    <n v="0.1"/>
    <n v="4"/>
    <n v="3"/>
    <s v="Yes"/>
    <s v="Online"/>
    <s v="Bank Transfer"/>
    <s v="Individual"/>
    <s v="South"/>
    <s v="Office"/>
    <x v="262"/>
    <n v="1"/>
    <s v="Desk Lamp"/>
    <n v="36.378"/>
    <n v="18.68"/>
    <n v="17.698"/>
    <n v="0.48650283138160427"/>
  </r>
  <r>
    <s v="BC-100784"/>
    <d v="2025-01-03T00:00:00"/>
    <s v="London"/>
    <s v="Individual"/>
    <s v="Electronics"/>
    <s v="Wireless Headset"/>
    <n v="1"/>
    <n v="58.56"/>
    <n v="35.1"/>
    <n v="0"/>
    <n v="0"/>
    <n v="5"/>
    <s v="No"/>
    <s v="Store"/>
    <s v="Card"/>
    <s v="Individual"/>
    <s v="London"/>
    <s v="Electronics"/>
    <x v="294"/>
    <n v="1"/>
    <s v="Wireless Headset"/>
    <n v="58.56"/>
    <n v="35.1"/>
    <n v="23.46"/>
    <n v="0.40061475409836067"/>
  </r>
  <r>
    <s v="BC-100002"/>
    <d v="2025-05-22T00:00:00"/>
    <s v="South"/>
    <s v="Small Business"/>
    <s v="Office"/>
    <s v="Desk Lamp"/>
    <n v="3"/>
    <n v="40.24"/>
    <n v="18.62"/>
    <n v="0.05"/>
    <n v="0"/>
    <n v="5"/>
    <s v="No"/>
    <s v="Store"/>
    <s v="Card"/>
    <s v="Small Business"/>
    <s v="South"/>
    <s v="Office"/>
    <x v="4"/>
    <n v="1"/>
    <s v="Desk Lamp"/>
    <n v="114.684"/>
    <n v="55.86"/>
    <n v="58.823999999999998"/>
    <n v="0.51292246520874751"/>
  </r>
  <r>
    <s v="BC-101605"/>
    <d v="2025-11-23T00:00:00"/>
    <s v="North"/>
    <s v="Individual"/>
    <s v="Home &amp; Kitchen"/>
    <s v="Blender"/>
    <n v="1"/>
    <n v="63.94"/>
    <n v="35.86"/>
    <n v="0.05"/>
    <n v="3"/>
    <n v="4"/>
    <s v="No"/>
    <s v="Online"/>
    <s v="Card"/>
    <s v="Individual"/>
    <s v="North"/>
    <s v="Home &amp; Kitchen"/>
    <x v="259"/>
    <n v="1"/>
    <s v="Blender"/>
    <n v="60.742999999999995"/>
    <n v="35.86"/>
    <n v="24.882999999999996"/>
    <n v="0.40964390958628971"/>
  </r>
  <r>
    <s v="BC-100741"/>
    <d v="2025-12-02T00:00:00"/>
    <s v="North"/>
    <s v="Individual"/>
    <s v="Furniture"/>
    <s v="Office Chair"/>
    <n v="2"/>
    <n v="182.93"/>
    <n v="116.88"/>
    <n v="0.05"/>
    <n v="6"/>
    <n v="4"/>
    <s v="No"/>
    <s v="Online"/>
    <s v="Card"/>
    <s v="Individual"/>
    <s v="North"/>
    <s v="Furniture"/>
    <x v="183"/>
    <n v="1"/>
    <s v="Office Chair"/>
    <n v="347.56700000000001"/>
    <n v="233.76"/>
    <n v="113.80700000000002"/>
    <n v="0.32743902614459952"/>
  </r>
  <r>
    <s v="BC-100904"/>
    <d v="2025-10-02T00:00:00"/>
    <s v="South"/>
    <s v="Individual"/>
    <s v="Electronics"/>
    <s v="Wireless Headset"/>
    <n v="2"/>
    <n v="60.26"/>
    <n v="33.25"/>
    <n v="0"/>
    <n v="3"/>
    <n v="5"/>
    <s v="No"/>
    <s v="Online"/>
    <s v="Bank Transfer"/>
    <s v="Individual"/>
    <s v="South"/>
    <s v="Electronics"/>
    <x v="263"/>
    <n v="1"/>
    <s v="Wireless Headset"/>
    <n v="120.52"/>
    <n v="66.5"/>
    <n v="54.019999999999996"/>
    <n v="0.44822436110189179"/>
  </r>
  <r>
    <s v="BC-101393"/>
    <d v="2025-01-09T00:00:00"/>
    <s v="North"/>
    <s v="Individual"/>
    <s v="Home &amp; Kitchen"/>
    <s v="Coffee Maker"/>
    <n v="1"/>
    <n v="78.099999999999994"/>
    <n v="44.43"/>
    <n v="0.1"/>
    <n v="5"/>
    <n v="5"/>
    <s v="No"/>
    <s v="Online"/>
    <s v="Bank Transfer"/>
    <s v="Individual"/>
    <s v="North"/>
    <s v="Home &amp; Kitchen"/>
    <x v="251"/>
    <n v="1"/>
    <s v="Coffee Maker"/>
    <n v="70.289999999999992"/>
    <n v="44.43"/>
    <n v="25.859999999999992"/>
    <n v="0.36790439607341008"/>
  </r>
  <r>
    <s v="BC-101775"/>
    <d v="2025-06-29T00:00:00"/>
    <s v="Midlands"/>
    <s v="Small Business"/>
    <s v="Home &amp; Kitchen"/>
    <s v="Electric Kettle"/>
    <n v="3"/>
    <n v="39.5"/>
    <n v="19.91"/>
    <n v="0.1"/>
    <n v="3"/>
    <n v="4"/>
    <s v="No"/>
    <s v="Online"/>
    <s v="Card"/>
    <s v="Small Business"/>
    <s v="Midlands"/>
    <s v="Home &amp; Kitchen"/>
    <x v="57"/>
    <n v="1"/>
    <s v="Electric Kettle"/>
    <n v="106.65"/>
    <n v="59.730000000000004"/>
    <n v="46.92"/>
    <n v="0.43994374120956398"/>
  </r>
  <r>
    <s v="BC-101195"/>
    <d v="2025-03-10T00:00:00"/>
    <s v="Midlands"/>
    <s v="Small Business"/>
    <s v="Office"/>
    <s v="Desk Lamp"/>
    <n v="4"/>
    <n v="38.83"/>
    <n v="18.920000000000002"/>
    <n v="0"/>
    <n v="4"/>
    <n v="4"/>
    <s v="No"/>
    <s v="Online"/>
    <s v="Digital Wallet"/>
    <s v="Small Business"/>
    <s v="Midlands"/>
    <s v="Office"/>
    <x v="96"/>
    <n v="1"/>
    <s v="Desk Lamp"/>
    <n v="155.32"/>
    <n v="75.680000000000007"/>
    <n v="79.639999999999986"/>
    <n v="0.5127478753541076"/>
  </r>
  <r>
    <s v="BC-100229"/>
    <d v="2025-04-23T00:00:00"/>
    <s v="Midlands"/>
    <s v="Individual"/>
    <s v="Electronics"/>
    <s v="Wireless Headset"/>
    <n v="1"/>
    <n v="62.39"/>
    <n v="35.020000000000003"/>
    <n v="0.05"/>
    <n v="5"/>
    <n v="3"/>
    <s v="Yes"/>
    <s v="Online"/>
    <s v="Card"/>
    <s v="Individual"/>
    <s v="Midlands"/>
    <s v="Electronics"/>
    <x v="84"/>
    <n v="1"/>
    <s v="Wireless Headset"/>
    <n v="59.270499999999998"/>
    <n v="35.020000000000003"/>
    <n v="24.250499999999995"/>
    <n v="0.40914957693962417"/>
  </r>
  <r>
    <s v="BC-101495"/>
    <d v="2025-10-19T00:00:00"/>
    <s v="South"/>
    <s v="Individual"/>
    <s v="Furniture"/>
    <s v="Storage Cabinet"/>
    <n v="2"/>
    <n v="163.46"/>
    <n v="99.81"/>
    <n v="0.05"/>
    <n v="4"/>
    <n v="4"/>
    <s v="No"/>
    <s v="Online"/>
    <s v="Digital Wallet"/>
    <s v="Individual"/>
    <s v="South"/>
    <s v="Furniture"/>
    <x v="58"/>
    <n v="1"/>
    <s v="Storage Cabinet"/>
    <n v="310.57400000000001"/>
    <n v="199.62"/>
    <n v="110.95400000000001"/>
    <n v="0.35725463174637928"/>
  </r>
  <r>
    <s v="BC-101730"/>
    <d v="2025-05-19T00:00:00"/>
    <s v="South"/>
    <s v="Individual"/>
    <s v="Electronics"/>
    <s v="Portable Speaker"/>
    <n v="1"/>
    <n v="76.709999999999994"/>
    <n v="44.83"/>
    <n v="0.05"/>
    <n v="4"/>
    <n v="5"/>
    <s v="No"/>
    <s v="Online"/>
    <s v="Bank Transfer"/>
    <s v="Individual"/>
    <s v="South"/>
    <s v="Electronics"/>
    <x v="257"/>
    <n v="1"/>
    <s v="Portable Speaker"/>
    <n v="72.874499999999998"/>
    <n v="44.83"/>
    <n v="28.044499999999999"/>
    <n v="0.38483282904170868"/>
  </r>
  <r>
    <s v="BC-101254"/>
    <d v="2025-03-12T00:00:00"/>
    <s v="North"/>
    <s v="Small Business"/>
    <s v="Electronics"/>
    <s v="Webcam"/>
    <n v="1"/>
    <n v="49.81"/>
    <n v="25.44"/>
    <n v="0"/>
    <n v="4"/>
    <n v="4"/>
    <s v="No"/>
    <s v="Online"/>
    <s v="Bank Transfer"/>
    <s v="Small Business"/>
    <s v="North"/>
    <s v="Electronics"/>
    <x v="45"/>
    <n v="1"/>
    <s v="Webcam"/>
    <n v="49.81"/>
    <n v="25.44"/>
    <n v="24.37"/>
    <n v="0.48925918490262998"/>
  </r>
  <r>
    <s v="BC-101901"/>
    <d v="2025-11-28T00:00:00"/>
    <s v="South"/>
    <s v="Individual"/>
    <s v="Office"/>
    <s v="Wireless Mouse"/>
    <n v="2"/>
    <n v="34.04"/>
    <n v="17.73"/>
    <n v="0.15000000000000002"/>
    <n v="0"/>
    <n v="5"/>
    <s v="No"/>
    <s v="Store"/>
    <s v="Card"/>
    <s v="Individual"/>
    <s v="South"/>
    <s v="Office"/>
    <x v="43"/>
    <n v="1"/>
    <s v="Wireless Mouse"/>
    <n v="57.867999999999995"/>
    <n v="35.46"/>
    <n v="22.407999999999994"/>
    <n v="0.38722610078108793"/>
  </r>
  <r>
    <s v="BC-100755"/>
    <d v="2025-08-24T00:00:00"/>
    <s v="South"/>
    <s v="Corporate"/>
    <s v="Furniture"/>
    <s v="Bookshelf"/>
    <n v="10"/>
    <n v="121.48"/>
    <n v="70.349999999999994"/>
    <n v="0.1"/>
    <n v="6"/>
    <n v="4"/>
    <s v="No"/>
    <s v="Online"/>
    <s v="Card"/>
    <s v="Corporate"/>
    <s v="South"/>
    <s v="Furniture"/>
    <x v="77"/>
    <n v="1"/>
    <s v="Bookshelf"/>
    <n v="1093.32"/>
    <n v="703.5"/>
    <n v="389.81999999999994"/>
    <n v="0.35654703106135438"/>
  </r>
  <r>
    <s v="BC-100388"/>
    <d v="2025-03-22T00:00:00"/>
    <s v="Midlands"/>
    <s v="Individual"/>
    <s v="Home &amp; Kitchen"/>
    <s v="Air Fryer"/>
    <n v="2"/>
    <n v="109.2"/>
    <n v="68.599999999999994"/>
    <n v="0.1"/>
    <n v="1"/>
    <n v="4"/>
    <s v="No"/>
    <s v="Phone"/>
    <s v="Card"/>
    <s v="Individual"/>
    <s v="Midlands"/>
    <s v="Home &amp; Kitchen"/>
    <x v="295"/>
    <n v="1"/>
    <s v="Air Fryer"/>
    <n v="196.56"/>
    <n v="137.19999999999999"/>
    <n v="59.360000000000014"/>
    <n v="0.30199430199430205"/>
  </r>
  <r>
    <s v="BC-100998"/>
    <d v="2025-05-12T00:00:00"/>
    <s v="South"/>
    <s v="Individual"/>
    <s v="Electronics"/>
    <s v="Wireless Headset"/>
    <n v="2"/>
    <n v="59.58"/>
    <n v="35.51"/>
    <n v="0.05"/>
    <n v="3"/>
    <n v="4"/>
    <s v="No"/>
    <s v="Online"/>
    <s v="Card"/>
    <s v="Individual"/>
    <s v="South"/>
    <s v="Electronics"/>
    <x v="296"/>
    <n v="1"/>
    <s v="Wireless Headset"/>
    <n v="113.202"/>
    <n v="71.02"/>
    <n v="42.182000000000002"/>
    <n v="0.37262592533700822"/>
  </r>
  <r>
    <s v="BC-101569"/>
    <d v="2025-12-21T00:00:00"/>
    <s v="Midlands"/>
    <s v="Individual"/>
    <s v="Electronics"/>
    <s v="Portable Speaker"/>
    <n v="1"/>
    <n v="77.53"/>
    <n v="45.07"/>
    <n v="0.05"/>
    <n v="3"/>
    <n v="5"/>
    <s v="No"/>
    <s v="Online"/>
    <s v="Card"/>
    <s v="Individual"/>
    <s v="Midlands"/>
    <s v="Electronics"/>
    <x v="3"/>
    <n v="1"/>
    <s v="Portable Speaker"/>
    <n v="73.653499999999994"/>
    <n v="45.07"/>
    <n v="28.583499999999994"/>
    <n v="0.38808067505278088"/>
  </r>
  <r>
    <s v="BC-101679"/>
    <d v="2025-09-21T00:00:00"/>
    <s v="London"/>
    <s v="Individual"/>
    <s v="Home &amp; Kitchen"/>
    <s v="Blender"/>
    <n v="1"/>
    <n v="64.61"/>
    <n v="35.72"/>
    <n v="0.1"/>
    <n v="0"/>
    <n v="5"/>
    <s v="No"/>
    <s v="Store"/>
    <s v="Card"/>
    <s v="Individual"/>
    <s v="London"/>
    <s v="Home &amp; Kitchen"/>
    <x v="297"/>
    <n v="1"/>
    <s v="Blender"/>
    <n v="58.149000000000001"/>
    <n v="35.72"/>
    <n v="22.429000000000002"/>
    <n v="0.38571600543431533"/>
  </r>
  <r>
    <s v="BC-101972"/>
    <d v="2025-11-10T00:00:00"/>
    <s v="London"/>
    <s v="Individual"/>
    <s v="Office"/>
    <s v="Laptop Stand"/>
    <n v="1"/>
    <n v="45.63"/>
    <n v="20.89"/>
    <n v="0.15000000000000002"/>
    <n v="2"/>
    <n v="5"/>
    <s v="No"/>
    <s v="Online"/>
    <s v="Card"/>
    <s v="Individual"/>
    <s v="London"/>
    <s v="Office"/>
    <x v="280"/>
    <n v="1"/>
    <s v="Laptop Stand"/>
    <n v="38.785499999999999"/>
    <n v="20.89"/>
    <n v="17.895499999999998"/>
    <n v="0.46139665596679169"/>
  </r>
  <r>
    <s v="BC-101467"/>
    <d v="2025-03-20T00:00:00"/>
    <s v="Midlands"/>
    <s v="Individual"/>
    <s v="Electronics"/>
    <s v="Webcam"/>
    <n v="2"/>
    <n v="51.17"/>
    <n v="25.63"/>
    <n v="0"/>
    <n v="4"/>
    <n v="5"/>
    <s v="No"/>
    <s v="Online"/>
    <s v="Digital Wallet"/>
    <s v="Individual"/>
    <s v="Midlands"/>
    <s v="Electronics"/>
    <x v="298"/>
    <n v="1"/>
    <s v="Webcam"/>
    <n v="102.34"/>
    <n v="51.26"/>
    <n v="51.080000000000005"/>
    <n v="0.49912057846394375"/>
  </r>
  <r>
    <s v="BC-101559"/>
    <d v="2025-11-07T00:00:00"/>
    <s v="Midlands"/>
    <s v="Small Business"/>
    <s v="Home &amp; Kitchen"/>
    <s v="Electric Kettle"/>
    <n v="5"/>
    <n v="40.18"/>
    <n v="20.100000000000001"/>
    <n v="0.1"/>
    <n v="2"/>
    <n v="4"/>
    <s v="No"/>
    <s v="Online"/>
    <s v="Digital Wallet"/>
    <s v="Small Business"/>
    <s v="Midlands"/>
    <s v="Home &amp; Kitchen"/>
    <x v="182"/>
    <n v="1"/>
    <s v="Electric Kettle"/>
    <n v="180.81"/>
    <n v="100.5"/>
    <n v="80.31"/>
    <n v="0.44416791106686576"/>
  </r>
  <r>
    <s v="BC-101723"/>
    <d v="2025-10-08T00:00:00"/>
    <s v="South"/>
    <s v="Individual"/>
    <s v="Electronics"/>
    <s v="SmartHome Hub"/>
    <n v="2"/>
    <n v="127.97"/>
    <n v="83.35"/>
    <n v="0.1"/>
    <n v="1"/>
    <n v="4"/>
    <s v="No"/>
    <s v="Online"/>
    <s v="Card"/>
    <s v="Individual"/>
    <s v="South"/>
    <s v="Electronics"/>
    <x v="27"/>
    <n v="1"/>
    <s v="SmartHome Hub"/>
    <n v="230.346"/>
    <n v="166.7"/>
    <n v="63.646000000000015"/>
    <n v="0.27630607868163554"/>
  </r>
  <r>
    <s v="BC-100176"/>
    <d v="2025-07-24T00:00:00"/>
    <s v="South"/>
    <s v="Individual"/>
    <s v="Electronics"/>
    <s v="Portable Speaker"/>
    <n v="1"/>
    <n v="75.680000000000007"/>
    <n v="42.99"/>
    <n v="0.05"/>
    <n v="1"/>
    <n v="4"/>
    <s v="No"/>
    <s v="Store"/>
    <s v="Bank Transfer"/>
    <s v="Individual"/>
    <s v="South"/>
    <s v="Electronics"/>
    <x v="291"/>
    <n v="1"/>
    <s v="Portable Speaker"/>
    <n v="71.896000000000001"/>
    <n v="42.99"/>
    <n v="28.905999999999999"/>
    <n v="0.40205296539445862"/>
  </r>
  <r>
    <s v="BC-101568"/>
    <d v="2025-10-31T00:00:00"/>
    <s v="Midlands"/>
    <s v="Small Business"/>
    <s v="Electronics"/>
    <s v="Webcam"/>
    <n v="5"/>
    <n v="50.42"/>
    <n v="25.67"/>
    <n v="0"/>
    <n v="4"/>
    <n v="4"/>
    <s v="No"/>
    <s v="Online"/>
    <s v="Digital Wallet"/>
    <s v="Small Business"/>
    <s v="Midlands"/>
    <s v="Electronics"/>
    <x v="46"/>
    <n v="1"/>
    <s v="Webcam"/>
    <n v="252.10000000000002"/>
    <n v="128.35000000000002"/>
    <n v="123.75"/>
    <n v="0.49087663625545414"/>
  </r>
  <r>
    <s v="BC-101834"/>
    <d v="2025-11-06T00:00:00"/>
    <s v="South"/>
    <s v="Corporate"/>
    <s v="Home &amp; Kitchen"/>
    <s v="Air Fryer"/>
    <n v="3"/>
    <n v="111.39"/>
    <n v="65.27"/>
    <n v="0.15000000000000002"/>
    <n v="3"/>
    <n v="4"/>
    <s v="No"/>
    <s v="Phone"/>
    <s v="Card"/>
    <s v="Corporate"/>
    <s v="South"/>
    <s v="Home &amp; Kitchen"/>
    <x v="176"/>
    <n v="1"/>
    <s v="Air Fryer"/>
    <n v="284.04450000000003"/>
    <n v="195.81"/>
    <n v="88.234500000000025"/>
    <n v="0.31063618552726779"/>
  </r>
  <r>
    <s v="BC-100130"/>
    <d v="2025-01-20T00:00:00"/>
    <s v="South"/>
    <s v="Individual"/>
    <s v="Home &amp; Kitchen"/>
    <s v="Blender"/>
    <n v="1"/>
    <n v="65.36"/>
    <n v="34.76"/>
    <n v="0.05"/>
    <n v="3"/>
    <n v="5"/>
    <s v="No"/>
    <s v="Store"/>
    <s v="Card"/>
    <s v="Individual"/>
    <s v="South"/>
    <s v="Home &amp; Kitchen"/>
    <x v="225"/>
    <n v="1"/>
    <s v="Blender"/>
    <n v="62.091999999999999"/>
    <n v="34.76"/>
    <n v="27.332000000000001"/>
    <n v="0.44018553114732978"/>
  </r>
  <r>
    <s v="BC-100197"/>
    <d v="2025-12-15T00:00:00"/>
    <s v="South"/>
    <s v="Small Business"/>
    <s v="Office"/>
    <s v="Wireless Mouse"/>
    <n v="1"/>
    <n v="33.97"/>
    <n v="17.48"/>
    <n v="0.15000000000000002"/>
    <n v="2"/>
    <n v="5"/>
    <s v="No"/>
    <s v="Online"/>
    <s v="Bank Transfer"/>
    <s v="Small Business"/>
    <s v="South"/>
    <s v="Office"/>
    <x v="299"/>
    <n v="1"/>
    <s v="Wireless Mouse"/>
    <n v="28.874499999999998"/>
    <n v="17.48"/>
    <n v="11.394499999999997"/>
    <n v="0.3946215518883443"/>
  </r>
  <r>
    <s v="BC-100154"/>
    <d v="2025-11-21T00:00:00"/>
    <s v="South"/>
    <s v="Corporate"/>
    <s v="Office"/>
    <s v="Ergonomic Keyboard"/>
    <n v="2"/>
    <n v="72.650000000000006"/>
    <n v="38.46"/>
    <n v="0.25"/>
    <n v="0"/>
    <n v="4"/>
    <s v="No"/>
    <s v="Store"/>
    <s v="Card"/>
    <s v="Corporate"/>
    <s v="South"/>
    <s v="Office"/>
    <x v="300"/>
    <n v="1"/>
    <s v="Ergonomic Keyboard"/>
    <n v="108.97500000000001"/>
    <n v="76.92"/>
    <n v="32.055000000000007"/>
    <n v="0.29415003441156234"/>
  </r>
  <r>
    <s v="BC-100682"/>
    <d v="2025-06-06T00:00:00"/>
    <s v="Midlands"/>
    <s v="Small Business"/>
    <s v="Office"/>
    <s v="Laptop Stand"/>
    <n v="4"/>
    <n v="45.34"/>
    <n v="21.03"/>
    <n v="0"/>
    <n v="4"/>
    <n v="4"/>
    <s v="No"/>
    <s v="Online"/>
    <s v="Digital Wallet"/>
    <s v="Small Business"/>
    <s v="Midlands"/>
    <s v="Office"/>
    <x v="236"/>
    <n v="1"/>
    <s v="Laptop Stand"/>
    <n v="181.36"/>
    <n v="84.12"/>
    <n v="97.240000000000009"/>
    <n v="0.53617115130127924"/>
  </r>
  <r>
    <s v="BC-101736"/>
    <d v="2025-09-17T00:00:00"/>
    <s v="Midlands"/>
    <s v="Small Business"/>
    <s v="Home &amp; Kitchen"/>
    <s v="Electric Kettle"/>
    <n v="2"/>
    <n v="39.36"/>
    <n v="20.56"/>
    <n v="0"/>
    <n v="5"/>
    <n v="5"/>
    <s v="No"/>
    <s v="Phone"/>
    <s v="Digital Wallet"/>
    <s v="Small Business"/>
    <s v="Midlands"/>
    <s v="Home &amp; Kitchen"/>
    <x v="31"/>
    <n v="1"/>
    <s v="Electric Kettle"/>
    <n v="78.72"/>
    <n v="41.12"/>
    <n v="37.6"/>
    <n v="0.47764227642276424"/>
  </r>
  <r>
    <s v="BC-100135"/>
    <d v="2025-06-02T00:00:00"/>
    <s v="North"/>
    <s v="Small Business"/>
    <s v="Home &amp; Kitchen"/>
    <s v="Coffee Maker"/>
    <n v="3"/>
    <n v="83.08"/>
    <n v="43.97"/>
    <n v="0"/>
    <n v="3"/>
    <n v="4"/>
    <s v="No"/>
    <s v="Online"/>
    <s v="Card"/>
    <s v="Small Business"/>
    <s v="North"/>
    <s v="Home &amp; Kitchen"/>
    <x v="64"/>
    <n v="1"/>
    <s v="Coffee Maker"/>
    <n v="249.24"/>
    <n v="131.91"/>
    <n v="117.33000000000001"/>
    <n v="0.47075108329321141"/>
  </r>
  <r>
    <s v="BC-101312"/>
    <d v="2025-08-01T00:00:00"/>
    <s v="North"/>
    <s v="Individual"/>
    <s v="Electronics"/>
    <s v="Portable Speaker"/>
    <n v="2"/>
    <n v="74.599999999999994"/>
    <n v="44.1"/>
    <n v="0.05"/>
    <n v="0"/>
    <n v="5"/>
    <s v="No"/>
    <s v="Store"/>
    <s v="Card"/>
    <s v="Individual"/>
    <s v="North"/>
    <s v="Electronics"/>
    <x v="202"/>
    <n v="1"/>
    <s v="Portable Speaker"/>
    <n v="141.73999999999998"/>
    <n v="88.2"/>
    <n v="53.539999999999978"/>
    <n v="0.37773387893325799"/>
  </r>
  <r>
    <s v="BC-101413"/>
    <d v="2025-02-18T00:00:00"/>
    <s v="London"/>
    <s v="Individual"/>
    <s v="Furniture"/>
    <s v="Side Table"/>
    <n v="1"/>
    <n v="89.28"/>
    <n v="52.43"/>
    <n v="0"/>
    <n v="8"/>
    <n v="3"/>
    <s v="No"/>
    <s v="Online"/>
    <s v="Digital Wallet"/>
    <s v="Individual"/>
    <s v="London"/>
    <s v="Furniture"/>
    <x v="276"/>
    <n v="1"/>
    <s v="Side Table"/>
    <n v="89.28"/>
    <n v="52.43"/>
    <n v="36.85"/>
    <n v="0.41274641577060933"/>
  </r>
  <r>
    <s v="BC-100363"/>
    <d v="2025-06-12T00:00:00"/>
    <s v="North"/>
    <s v="Individual"/>
    <s v="Office"/>
    <s v="Wireless Mouse"/>
    <n v="2"/>
    <n v="35.78"/>
    <n v="16.649999999999999"/>
    <n v="0"/>
    <n v="1"/>
    <n v="4"/>
    <s v="No"/>
    <s v="Store"/>
    <s v="Bank Transfer"/>
    <s v="Individual"/>
    <s v="North"/>
    <s v="Office"/>
    <x v="25"/>
    <n v="1"/>
    <s v="Wireless Mouse"/>
    <n v="71.56"/>
    <n v="33.299999999999997"/>
    <n v="38.260000000000005"/>
    <n v="0.5346562325321409"/>
  </r>
  <r>
    <s v="BC-101399"/>
    <d v="2025-07-20T00:00:00"/>
    <s v="Midlands"/>
    <s v="Individual"/>
    <s v="Furniture"/>
    <s v="Storage Cabinet"/>
    <n v="1"/>
    <n v="160.58000000000001"/>
    <n v="98.21"/>
    <n v="0"/>
    <n v="6"/>
    <n v="4"/>
    <s v="No"/>
    <s v="Store"/>
    <s v="Card"/>
    <s v="Individual"/>
    <s v="Midlands"/>
    <s v="Furniture"/>
    <x v="101"/>
    <n v="1"/>
    <s v="Storage Cabinet"/>
    <n v="160.58000000000001"/>
    <n v="98.21"/>
    <n v="62.370000000000019"/>
    <n v="0.388404533565824"/>
  </r>
  <r>
    <s v="BC-101114"/>
    <d v="2025-05-24T00:00:00"/>
    <s v="London"/>
    <s v="Small Business"/>
    <s v="Office"/>
    <s v="Wireless Mouse"/>
    <n v="1"/>
    <n v="35.549999999999997"/>
    <n v="17.43"/>
    <n v="0.05"/>
    <n v="0"/>
    <n v="5"/>
    <s v="No"/>
    <s v="Store"/>
    <s v="Digital Wallet"/>
    <s v="Small Business"/>
    <s v="London"/>
    <s v="Office"/>
    <x v="265"/>
    <n v="1"/>
    <s v="Wireless Mouse"/>
    <n v="33.772499999999994"/>
    <n v="17.43"/>
    <n v="16.342499999999994"/>
    <n v="0.48389962247390622"/>
  </r>
  <r>
    <s v="BC-101355"/>
    <d v="2025-03-11T00:00:00"/>
    <s v="North"/>
    <s v="Individual"/>
    <s v="Electronics"/>
    <s v="SmartHome Hub"/>
    <n v="1"/>
    <n v="127.23"/>
    <n v="82.13"/>
    <n v="0"/>
    <n v="1"/>
    <n v="4"/>
    <s v="No"/>
    <s v="Online"/>
    <s v="Card"/>
    <s v="Individual"/>
    <s v="North"/>
    <s v="Electronics"/>
    <x v="260"/>
    <n v="1"/>
    <s v="SmartHome Hub"/>
    <n v="127.23"/>
    <n v="82.13"/>
    <n v="45.100000000000009"/>
    <n v="0.35447614556315338"/>
  </r>
  <r>
    <s v="BC-101750"/>
    <d v="2025-04-20T00:00:00"/>
    <s v="London"/>
    <s v="Individual"/>
    <s v="Office"/>
    <s v="Ergonomic Keyboard"/>
    <n v="2"/>
    <n v="69.540000000000006"/>
    <n v="37.1"/>
    <n v="0"/>
    <n v="1"/>
    <n v="5"/>
    <s v="No"/>
    <s v="Online"/>
    <s v="Card"/>
    <s v="Individual"/>
    <s v="London"/>
    <s v="Office"/>
    <x v="151"/>
    <n v="1"/>
    <s v="Ergonomic Keyboard"/>
    <n v="139.08000000000001"/>
    <n v="74.2"/>
    <n v="64.88000000000001"/>
    <n v="0.46649410411274089"/>
  </r>
  <r>
    <s v="BC-101205"/>
    <d v="2025-09-11T00:00:00"/>
    <s v="Midlands"/>
    <s v="Individual"/>
    <s v="Home &amp; Kitchen"/>
    <s v="Electric Kettle"/>
    <n v="2"/>
    <n v="39.79"/>
    <n v="19.48"/>
    <n v="0.05"/>
    <n v="5"/>
    <n v="5"/>
    <s v="No"/>
    <s v="Phone"/>
    <s v="Bank Transfer"/>
    <s v="Individual"/>
    <s v="Midlands"/>
    <s v="Home &amp; Kitchen"/>
    <x v="187"/>
    <n v="1"/>
    <s v="Electric Kettle"/>
    <n v="75.600999999999999"/>
    <n v="38.96"/>
    <n v="36.640999999999998"/>
    <n v="0.4846629012843745"/>
  </r>
  <r>
    <s v="BC-100359"/>
    <d v="2025-07-23T00:00:00"/>
    <s v="South"/>
    <s v="Individual"/>
    <s v="Electronics"/>
    <s v="Webcam"/>
    <n v="1"/>
    <n v="50.04"/>
    <n v="25.91"/>
    <n v="0.15000000000000002"/>
    <n v="0"/>
    <n v="4"/>
    <s v="No"/>
    <s v="Store"/>
    <s v="Digital Wallet"/>
    <s v="Individual"/>
    <s v="South"/>
    <s v="Electronics"/>
    <x v="209"/>
    <n v="1"/>
    <s v="Webcam"/>
    <n v="42.533999999999999"/>
    <n v="25.91"/>
    <n v="16.623999999999999"/>
    <n v="0.39084026896130153"/>
  </r>
  <r>
    <s v="BC-101167"/>
    <d v="2025-12-25T00:00:00"/>
    <s v="South"/>
    <s v="Corporate"/>
    <s v="Furniture"/>
    <s v="Bookshelf"/>
    <n v="3"/>
    <n v="116.65"/>
    <n v="73.36"/>
    <n v="0.2"/>
    <n v="6"/>
    <n v="4"/>
    <s v="No"/>
    <s v="Store"/>
    <s v="Card"/>
    <s v="Corporate"/>
    <s v="South"/>
    <s v="Furniture"/>
    <x v="28"/>
    <n v="1"/>
    <s v="Bookshelf"/>
    <n v="279.96000000000004"/>
    <n v="220.07999999999998"/>
    <n v="59.880000000000052"/>
    <n v="0.21388769824260626"/>
  </r>
  <r>
    <s v="BC-101257"/>
    <d v="2025-12-19T00:00:00"/>
    <s v="London"/>
    <s v="Individual"/>
    <s v="Home &amp; Kitchen"/>
    <s v="Electric Kettle"/>
    <n v="1"/>
    <n v="38.799999999999997"/>
    <n v="20.12"/>
    <n v="0.05"/>
    <n v="3"/>
    <n v="3"/>
    <s v="Yes"/>
    <s v="Online"/>
    <s v="Card"/>
    <s v="Individual"/>
    <s v="London"/>
    <s v="Home &amp; Kitchen"/>
    <x v="18"/>
    <n v="1"/>
    <s v="Electric Kettle"/>
    <n v="36.859999999999992"/>
    <n v="20.12"/>
    <n v="16.739999999999991"/>
    <n v="0.4541508410200758"/>
  </r>
  <r>
    <s v="BC-100898"/>
    <d v="2025-06-22T00:00:00"/>
    <s v="North"/>
    <s v="Individual"/>
    <s v="Home &amp; Kitchen"/>
    <s v="Coffee Maker"/>
    <n v="2"/>
    <n v="82.75"/>
    <n v="46.73"/>
    <n v="0"/>
    <n v="2"/>
    <n v="4"/>
    <s v="No"/>
    <s v="Phone"/>
    <s v="Card"/>
    <s v="Individual"/>
    <s v="North"/>
    <s v="Home &amp; Kitchen"/>
    <x v="154"/>
    <n v="1"/>
    <s v="Coffee Maker"/>
    <n v="165.5"/>
    <n v="93.46"/>
    <n v="72.040000000000006"/>
    <n v="0.43528700906344414"/>
  </r>
  <r>
    <s v="BC-100164"/>
    <d v="2025-08-27T00:00:00"/>
    <s v="Midlands"/>
    <s v="Individual"/>
    <s v="Electronics"/>
    <s v="Wireless Headset"/>
    <n v="1"/>
    <n v="61.56"/>
    <n v="33.700000000000003"/>
    <n v="0"/>
    <n v="4"/>
    <n v="4"/>
    <s v="No"/>
    <s v="Store"/>
    <s v="Card"/>
    <s v="Individual"/>
    <s v="Midlands"/>
    <s v="Electronics"/>
    <x v="167"/>
    <n v="1"/>
    <s v="Wireless Headset"/>
    <n v="61.56"/>
    <n v="33.700000000000003"/>
    <n v="27.86"/>
    <n v="0.45256660168940865"/>
  </r>
  <r>
    <s v="BC-101922"/>
    <d v="2025-09-30T00:00:00"/>
    <s v="North"/>
    <s v="Corporate"/>
    <s v="Home &amp; Kitchen"/>
    <s v="Coffee Maker"/>
    <n v="5"/>
    <n v="81.39"/>
    <n v="44.73"/>
    <n v="0.05"/>
    <n v="4"/>
    <n v="5"/>
    <s v="No"/>
    <s v="Phone"/>
    <s v="Bank Transfer"/>
    <s v="Corporate"/>
    <s v="North"/>
    <s v="Home &amp; Kitchen"/>
    <x v="30"/>
    <n v="1"/>
    <s v="Coffee Maker"/>
    <n v="386.60249999999996"/>
    <n v="223.64999999999998"/>
    <n v="162.95249999999999"/>
    <n v="0.4214988263138495"/>
  </r>
  <r>
    <s v="BC-101376"/>
    <d v="2025-07-05T00:00:00"/>
    <s v="South"/>
    <s v="Small Business"/>
    <s v="Furniture"/>
    <s v="Side Table"/>
    <n v="2"/>
    <n v="91.38"/>
    <n v="54.47"/>
    <n v="0.15000000000000002"/>
    <n v="2"/>
    <n v="4"/>
    <s v="No"/>
    <s v="Store"/>
    <s v="Card"/>
    <s v="Small Business"/>
    <s v="South"/>
    <s v="Furniture"/>
    <x v="177"/>
    <n v="1"/>
    <s v="Side Table"/>
    <n v="155.34599999999998"/>
    <n v="108.94"/>
    <n v="46.405999999999977"/>
    <n v="0.29872671327230815"/>
  </r>
  <r>
    <s v="BC-100436"/>
    <d v="2025-06-30T00:00:00"/>
    <s v="London"/>
    <s v="Individual"/>
    <s v="Office"/>
    <s v="Ergonomic Keyboard"/>
    <n v="4"/>
    <n v="70.19"/>
    <n v="37.130000000000003"/>
    <n v="0"/>
    <n v="5"/>
    <n v="5"/>
    <s v="No"/>
    <s v="Phone"/>
    <s v="Digital Wallet"/>
    <s v="Individual"/>
    <s v="London"/>
    <s v="Office"/>
    <x v="204"/>
    <n v="1"/>
    <s v="Ergonomic Keyboard"/>
    <n v="280.76"/>
    <n v="148.52000000000001"/>
    <n v="132.23999999999998"/>
    <n v="0.47100726599230652"/>
  </r>
  <r>
    <s v="BC-100108"/>
    <d v="2025-09-06T00:00:00"/>
    <s v="North"/>
    <s v="Small Business"/>
    <s v="Home &amp; Kitchen"/>
    <s v="Blender"/>
    <n v="3"/>
    <n v="67.12"/>
    <n v="34.880000000000003"/>
    <n v="0.05"/>
    <n v="1"/>
    <n v="5"/>
    <s v="No"/>
    <s v="Store"/>
    <s v="Digital Wallet"/>
    <s v="Small Business"/>
    <s v="North"/>
    <s v="Home &amp; Kitchen"/>
    <x v="171"/>
    <n v="1"/>
    <s v="Blender"/>
    <n v="191.292"/>
    <n v="104.64000000000001"/>
    <n v="86.651999999999987"/>
    <n v="0.45298287434916246"/>
  </r>
  <r>
    <s v="BC-100425"/>
    <d v="2025-07-05T00:00:00"/>
    <s v="South"/>
    <s v="Individual"/>
    <s v="Office"/>
    <s v="Ergonomic Keyboard"/>
    <n v="3"/>
    <n v="69.77"/>
    <n v="37.35"/>
    <n v="0"/>
    <n v="4"/>
    <n v="4"/>
    <s v="No"/>
    <s v="Store"/>
    <s v="Card"/>
    <s v="Individual"/>
    <s v="South"/>
    <s v="Office"/>
    <x v="177"/>
    <n v="1"/>
    <s v="Ergonomic Keyboard"/>
    <n v="209.31"/>
    <n v="112.05000000000001"/>
    <n v="97.259999999999991"/>
    <n v="0.46466962878027801"/>
  </r>
  <r>
    <s v="BC-101728"/>
    <d v="2025-05-21T00:00:00"/>
    <s v="London"/>
    <s v="Individual"/>
    <s v="Office"/>
    <s v="Ergonomic Keyboard"/>
    <n v="1"/>
    <n v="72.099999999999994"/>
    <n v="38.9"/>
    <n v="0"/>
    <n v="6"/>
    <n v="4"/>
    <s v="No"/>
    <s v="Online"/>
    <s v="Card"/>
    <s v="Individual"/>
    <s v="London"/>
    <s v="Office"/>
    <x v="226"/>
    <n v="1"/>
    <s v="Ergonomic Keyboard"/>
    <n v="72.099999999999994"/>
    <n v="38.9"/>
    <n v="33.199999999999996"/>
    <n v="0.46047156726768373"/>
  </r>
  <r>
    <s v="BC-100672"/>
    <d v="2025-04-14T00:00:00"/>
    <s v="South"/>
    <s v="Corporate"/>
    <s v="Furniture"/>
    <s v="Office Chair"/>
    <n v="4"/>
    <n v="184.62"/>
    <n v="112.06"/>
    <n v="0.1"/>
    <n v="7"/>
    <n v="3"/>
    <s v="No"/>
    <s v="Online"/>
    <s v="Card"/>
    <s v="Corporate"/>
    <s v="South"/>
    <s v="Furniture"/>
    <x v="38"/>
    <n v="1"/>
    <s v="Office Chair"/>
    <n v="664.63200000000006"/>
    <n v="448.24"/>
    <n v="216.39200000000005"/>
    <n v="0.32558167527293302"/>
  </r>
  <r>
    <s v="BC-101349"/>
    <d v="2025-06-21T00:00:00"/>
    <s v="London"/>
    <s v="Small Business"/>
    <s v="Electronics"/>
    <s v="Webcam"/>
    <n v="3"/>
    <n v="49.75"/>
    <n v="25.4"/>
    <n v="0.05"/>
    <n v="3"/>
    <n v="5"/>
    <s v="No"/>
    <s v="Online"/>
    <s v="Card"/>
    <s v="Small Business"/>
    <s v="London"/>
    <s v="Electronics"/>
    <x v="240"/>
    <n v="1"/>
    <s v="Webcam"/>
    <n v="141.78749999999999"/>
    <n v="76.199999999999989"/>
    <n v="65.587500000000006"/>
    <n v="0.46257603808516273"/>
  </r>
  <r>
    <s v="BC-101652"/>
    <d v="2025-09-08T00:00:00"/>
    <s v="South"/>
    <s v="Corporate"/>
    <s v="Furniture"/>
    <s v="Side Table"/>
    <n v="5"/>
    <n v="92.65"/>
    <n v="55.82"/>
    <n v="0.15000000000000002"/>
    <n v="4"/>
    <n v="5"/>
    <s v="No"/>
    <s v="Store"/>
    <s v="Card"/>
    <s v="Corporate"/>
    <s v="South"/>
    <s v="Furniture"/>
    <x v="301"/>
    <n v="1"/>
    <s v="Side Table"/>
    <n v="393.76249999999999"/>
    <n v="279.10000000000002"/>
    <n v="114.66249999999997"/>
    <n v="0.29119710485381406"/>
  </r>
  <r>
    <s v="BC-101073"/>
    <d v="2025-12-27T00:00:00"/>
    <s v="South"/>
    <s v="Corporate"/>
    <s v="Electronics"/>
    <s v="Webcam"/>
    <n v="5"/>
    <n v="49.85"/>
    <n v="26.51"/>
    <n v="0.2"/>
    <n v="4"/>
    <n v="4"/>
    <s v="No"/>
    <s v="Online"/>
    <s v="Card"/>
    <s v="Corporate"/>
    <s v="South"/>
    <s v="Electronics"/>
    <x v="125"/>
    <n v="1"/>
    <s v="Webcam"/>
    <n v="199.4"/>
    <n v="132.55000000000001"/>
    <n v="66.849999999999994"/>
    <n v="0.3352557673019057"/>
  </r>
  <r>
    <s v="BC-101005"/>
    <d v="2025-12-03T00:00:00"/>
    <s v="South"/>
    <s v="Individual"/>
    <s v="Electronics"/>
    <s v="Wireless Headset"/>
    <n v="1"/>
    <n v="61.37"/>
    <n v="33.33"/>
    <n v="0.1"/>
    <n v="4"/>
    <n v="5"/>
    <s v="No"/>
    <s v="Online"/>
    <s v="Card"/>
    <s v="Individual"/>
    <s v="South"/>
    <s v="Electronics"/>
    <x v="108"/>
    <n v="1"/>
    <s v="Wireless Headset"/>
    <n v="55.232999999999997"/>
    <n v="33.33"/>
    <n v="21.902999999999999"/>
    <n v="0.39655640649611645"/>
  </r>
  <r>
    <s v="BC-101945"/>
    <d v="2025-07-06T00:00:00"/>
    <s v="South"/>
    <s v="Individual"/>
    <s v="Office"/>
    <s v="Ergonomic Keyboard"/>
    <n v="1"/>
    <n v="70.27"/>
    <n v="36.89"/>
    <n v="0.05"/>
    <n v="5"/>
    <n v="5"/>
    <s v="No"/>
    <s v="Phone"/>
    <s v="Bank Transfer"/>
    <s v="Individual"/>
    <s v="South"/>
    <s v="Office"/>
    <x v="179"/>
    <n v="1"/>
    <s v="Ergonomic Keyboard"/>
    <n v="66.756499999999988"/>
    <n v="36.89"/>
    <n v="29.866499999999988"/>
    <n v="0.44739463572835592"/>
  </r>
  <r>
    <s v="BC-100723"/>
    <d v="2025-09-10T00:00:00"/>
    <s v="London"/>
    <s v="Individual"/>
    <s v="Office"/>
    <s v="Wireless Mouse"/>
    <n v="3"/>
    <n v="35.57"/>
    <n v="17.260000000000002"/>
    <n v="0.05"/>
    <n v="7"/>
    <n v="4"/>
    <s v="No"/>
    <s v="Online"/>
    <s v="Card"/>
    <s v="Individual"/>
    <s v="London"/>
    <s v="Office"/>
    <x v="71"/>
    <n v="1"/>
    <s v="Wireless Mouse"/>
    <n v="101.3745"/>
    <n v="51.78"/>
    <n v="49.594499999999996"/>
    <n v="0.489220662000799"/>
  </r>
  <r>
    <s v="BC-101362"/>
    <d v="2025-12-04T00:00:00"/>
    <s v="South"/>
    <s v="Individual"/>
    <s v="Home &amp; Kitchen"/>
    <s v="Electric Kettle"/>
    <n v="1"/>
    <n v="40.65"/>
    <n v="19.940000000000001"/>
    <n v="0.1"/>
    <n v="6"/>
    <n v="4"/>
    <s v="No"/>
    <s v="Phone"/>
    <s v="Digital Wallet"/>
    <s v="Individual"/>
    <s v="South"/>
    <s v="Home &amp; Kitchen"/>
    <x v="75"/>
    <n v="1"/>
    <s v="Electric Kettle"/>
    <n v="36.585000000000001"/>
    <n v="19.940000000000001"/>
    <n v="16.645"/>
    <n v="0.45496788301216345"/>
  </r>
  <r>
    <s v="BC-100045"/>
    <d v="2025-06-02T00:00:00"/>
    <s v="South"/>
    <s v="Individual"/>
    <s v="Electronics"/>
    <s v="SmartHome Hub"/>
    <n v="1"/>
    <n v="130.93"/>
    <n v="86.16"/>
    <n v="0.15000000000000002"/>
    <n v="3"/>
    <n v="3"/>
    <s v="Yes"/>
    <s v="Phone"/>
    <s v="Card"/>
    <s v="Individual"/>
    <s v="South"/>
    <s v="Electronics"/>
    <x v="64"/>
    <n v="1"/>
    <s v="SmartHome Hub"/>
    <n v="111.29050000000001"/>
    <n v="86.16"/>
    <n v="25.130500000000012"/>
    <n v="0.22580992986822784"/>
  </r>
  <r>
    <s v="BC-100749"/>
    <d v="2025-03-30T00:00:00"/>
    <s v="London"/>
    <s v="Small Business"/>
    <s v="Electronics"/>
    <s v="Wireless Headset"/>
    <n v="2"/>
    <n v="59.76"/>
    <n v="34.6"/>
    <n v="0.1"/>
    <n v="0"/>
    <n v="4"/>
    <s v="No"/>
    <s v="Store"/>
    <s v="Card"/>
    <s v="Small Business"/>
    <s v="London"/>
    <s v="Electronics"/>
    <x v="196"/>
    <n v="1"/>
    <s v="Wireless Headset"/>
    <n v="107.568"/>
    <n v="69.2"/>
    <n v="38.367999999999995"/>
    <n v="0.35668600327234862"/>
  </r>
  <r>
    <s v="BC-101431"/>
    <d v="2025-11-21T00:00:00"/>
    <s v="London"/>
    <s v="Corporate"/>
    <s v="Home &amp; Kitchen"/>
    <s v="Coffee Maker"/>
    <n v="3"/>
    <n v="79.430000000000007"/>
    <n v="44.95"/>
    <n v="0.1"/>
    <n v="0"/>
    <n v="5"/>
    <s v="No"/>
    <s v="Store"/>
    <s v="Card"/>
    <s v="Corporate"/>
    <s v="London"/>
    <s v="Home &amp; Kitchen"/>
    <x v="300"/>
    <n v="1"/>
    <s v="Coffee Maker"/>
    <n v="214.46100000000001"/>
    <n v="134.85000000000002"/>
    <n v="79.61099999999999"/>
    <n v="0.37121434666442843"/>
  </r>
  <r>
    <s v="BC-100018"/>
    <d v="2025-03-24T00:00:00"/>
    <s v="London"/>
    <s v="Individual"/>
    <s v="Furniture"/>
    <s v="Office Chair"/>
    <n v="2"/>
    <n v="177.57"/>
    <n v="113.06"/>
    <n v="0"/>
    <n v="4"/>
    <n v="4"/>
    <s v="No"/>
    <s v="Online"/>
    <s v="Bank Transfer"/>
    <s v="Individual"/>
    <s v="London"/>
    <s v="Furniture"/>
    <x v="144"/>
    <n v="1"/>
    <s v="Office Chair"/>
    <n v="355.14"/>
    <n v="226.12"/>
    <n v="129.01999999999998"/>
    <n v="0.36329334910176264"/>
  </r>
  <r>
    <s v="BC-101461"/>
    <d v="2025-08-28T00:00:00"/>
    <s v="London"/>
    <s v="Individual"/>
    <s v="Office"/>
    <s v="Desk Lamp"/>
    <n v="1"/>
    <n v="40.69"/>
    <n v="18.87"/>
    <n v="0.1"/>
    <n v="5"/>
    <n v="4"/>
    <s v="No"/>
    <s v="Online"/>
    <s v="Digital Wallet"/>
    <s v="Individual"/>
    <s v="London"/>
    <s v="Office"/>
    <x v="302"/>
    <n v="1"/>
    <s v="Desk Lamp"/>
    <n v="36.621000000000002"/>
    <n v="18.87"/>
    <n v="17.751000000000001"/>
    <n v="0.4847218808880151"/>
  </r>
  <r>
    <s v="BC-100704"/>
    <d v="2025-06-21T00:00:00"/>
    <s v="London"/>
    <s v="Individual"/>
    <s v="Electronics"/>
    <s v="Portable Speaker"/>
    <n v="3"/>
    <n v="74.97"/>
    <n v="42.26"/>
    <n v="0.1"/>
    <n v="2"/>
    <n v="5"/>
    <s v="No"/>
    <s v="Online"/>
    <s v="Digital Wallet"/>
    <s v="Individual"/>
    <s v="London"/>
    <s v="Electronics"/>
    <x v="240"/>
    <n v="1"/>
    <s v="Portable Speaker"/>
    <n v="202.41900000000001"/>
    <n v="126.78"/>
    <n v="75.63900000000001"/>
    <n v="0.37367539608435968"/>
  </r>
  <r>
    <s v="BC-100102"/>
    <d v="2025-09-15T00:00:00"/>
    <s v="Midlands"/>
    <s v="Individual"/>
    <s v="Electronics"/>
    <s v="Wireless Headset"/>
    <n v="2"/>
    <n v="62.01"/>
    <n v="33.25"/>
    <n v="0"/>
    <n v="1"/>
    <n v="4"/>
    <s v="No"/>
    <s v="Store"/>
    <s v="Digital Wallet"/>
    <s v="Individual"/>
    <s v="Midlands"/>
    <s v="Electronics"/>
    <x v="100"/>
    <n v="1"/>
    <s v="Wireless Headset"/>
    <n v="124.02"/>
    <n v="66.5"/>
    <n v="57.519999999999996"/>
    <n v="0.46379616190936945"/>
  </r>
  <r>
    <s v="BC-101933"/>
    <d v="2025-05-03T00:00:00"/>
    <s v="London"/>
    <s v="Small Business"/>
    <s v="Furniture"/>
    <s v="Side Table"/>
    <n v="2"/>
    <n v="91.72"/>
    <n v="53.01"/>
    <n v="0"/>
    <n v="9"/>
    <n v="3"/>
    <s v="No"/>
    <s v="Online"/>
    <s v="Card"/>
    <s v="Small Business"/>
    <s v="London"/>
    <s v="Furniture"/>
    <x v="303"/>
    <n v="1"/>
    <s v="Side Table"/>
    <n v="183.44"/>
    <n v="106.02"/>
    <n v="77.42"/>
    <n v="0.42204535542956828"/>
  </r>
  <r>
    <s v="BC-101621"/>
    <d v="2025-09-28T00:00:00"/>
    <s v="London"/>
    <s v="Small Business"/>
    <s v="Electronics"/>
    <s v="Wireless Headset"/>
    <n v="3"/>
    <n v="58.84"/>
    <n v="35.520000000000003"/>
    <n v="0"/>
    <n v="4"/>
    <n v="5"/>
    <s v="No"/>
    <s v="Store"/>
    <s v="Card"/>
    <s v="Small Business"/>
    <s v="London"/>
    <s v="Electronics"/>
    <x v="169"/>
    <n v="1"/>
    <s v="Wireless Headset"/>
    <n v="176.52"/>
    <n v="106.56"/>
    <n v="69.960000000000008"/>
    <n v="0.39632902787219582"/>
  </r>
  <r>
    <s v="BC-101970"/>
    <d v="2025-03-20T00:00:00"/>
    <s v="London"/>
    <s v="Individual"/>
    <s v="Home &amp; Kitchen"/>
    <s v="Blender"/>
    <n v="1"/>
    <n v="65.19"/>
    <n v="34.700000000000003"/>
    <n v="0"/>
    <n v="5"/>
    <n v="5"/>
    <s v="No"/>
    <s v="Phone"/>
    <s v="Card"/>
    <s v="Individual"/>
    <s v="London"/>
    <s v="Home &amp; Kitchen"/>
    <x v="298"/>
    <n v="1"/>
    <s v="Blender"/>
    <n v="65.19"/>
    <n v="34.700000000000003"/>
    <n v="30.489999999999995"/>
    <n v="0.46770977143733694"/>
  </r>
  <r>
    <s v="BC-101672"/>
    <d v="2025-07-09T00:00:00"/>
    <s v="South"/>
    <s v="Individual"/>
    <s v="Electronics"/>
    <s v="Wireless Headset"/>
    <n v="1"/>
    <n v="59.38"/>
    <n v="35.03"/>
    <n v="0.05"/>
    <n v="5"/>
    <n v="4"/>
    <s v="Yes"/>
    <s v="Phone"/>
    <s v="Card"/>
    <s v="Individual"/>
    <s v="South"/>
    <s v="Electronics"/>
    <x v="245"/>
    <n v="1"/>
    <s v="Wireless Headset"/>
    <n v="56.411000000000001"/>
    <n v="35.03"/>
    <n v="21.381"/>
    <n v="0.37902182198507384"/>
  </r>
  <r>
    <s v="BC-101118"/>
    <d v="2025-12-07T00:00:00"/>
    <s v="London"/>
    <s v="Individual"/>
    <s v="Home &amp; Kitchen"/>
    <s v="Air Fryer"/>
    <n v="1"/>
    <n v="110.36"/>
    <n v="69.88"/>
    <n v="0.15000000000000002"/>
    <n v="2"/>
    <n v="5"/>
    <s v="No"/>
    <s v="Phone"/>
    <s v="Card"/>
    <s v="Individual"/>
    <s v="London"/>
    <s v="Home &amp; Kitchen"/>
    <x v="304"/>
    <n v="1"/>
    <s v="Air Fryer"/>
    <n v="93.805999999999997"/>
    <n v="69.88"/>
    <n v="23.926000000000002"/>
    <n v="0.25505831183506389"/>
  </r>
  <r>
    <s v="BC-101233"/>
    <d v="2025-02-02T00:00:00"/>
    <s v="North"/>
    <s v="Individual"/>
    <s v="Electronics"/>
    <s v="Webcam"/>
    <n v="2"/>
    <n v="50.2"/>
    <n v="26.75"/>
    <n v="0"/>
    <n v="1"/>
    <n v="5"/>
    <s v="No"/>
    <s v="Phone"/>
    <s v="Card"/>
    <s v="Individual"/>
    <s v="North"/>
    <s v="Electronics"/>
    <x v="156"/>
    <n v="1"/>
    <s v="Webcam"/>
    <n v="100.4"/>
    <n v="53.5"/>
    <n v="46.900000000000006"/>
    <n v="0.46713147410358569"/>
  </r>
  <r>
    <s v="BC-100781"/>
    <d v="2025-05-30T00:00:00"/>
    <s v="London"/>
    <s v="Corporate"/>
    <s v="Furniture"/>
    <s v="Storage Cabinet"/>
    <n v="3"/>
    <n v="164.33"/>
    <n v="102.83"/>
    <n v="0.1"/>
    <n v="3"/>
    <n v="5"/>
    <s v="No"/>
    <s v="Store"/>
    <s v="Bank Transfer"/>
    <s v="Corporate"/>
    <s v="London"/>
    <s v="Furniture"/>
    <x v="305"/>
    <n v="1"/>
    <s v="Storage Cabinet"/>
    <n v="443.69100000000003"/>
    <n v="308.49"/>
    <n v="135.20100000000002"/>
    <n v="0.30471882458738181"/>
  </r>
  <r>
    <s v="BC-100344"/>
    <d v="2025-11-10T00:00:00"/>
    <s v="North"/>
    <s v="Individual"/>
    <s v="Home &amp; Kitchen"/>
    <s v="Electric Kettle"/>
    <n v="2"/>
    <n v="41.45"/>
    <n v="20.22"/>
    <n v="0.05"/>
    <n v="3"/>
    <n v="3"/>
    <s v="Yes"/>
    <s v="Online"/>
    <s v="Card"/>
    <s v="Individual"/>
    <s v="North"/>
    <s v="Home &amp; Kitchen"/>
    <x v="280"/>
    <n v="1"/>
    <s v="Electric Kettle"/>
    <n v="78.754999999999995"/>
    <n v="40.44"/>
    <n v="38.314999999999998"/>
    <n v="0.48650879309250206"/>
  </r>
  <r>
    <s v="BC-100993"/>
    <d v="2025-04-24T00:00:00"/>
    <s v="North"/>
    <s v="Individual"/>
    <s v="Home &amp; Kitchen"/>
    <s v="Blender"/>
    <n v="1"/>
    <n v="63.39"/>
    <n v="36.67"/>
    <n v="0"/>
    <n v="2"/>
    <n v="5"/>
    <s v="No"/>
    <s v="Online"/>
    <s v="Card"/>
    <s v="Individual"/>
    <s v="North"/>
    <s v="Home &amp; Kitchen"/>
    <x v="278"/>
    <n v="1"/>
    <s v="Blender"/>
    <n v="63.39"/>
    <n v="36.67"/>
    <n v="26.72"/>
    <n v="0.42151758952516166"/>
  </r>
  <r>
    <s v="BC-101751"/>
    <d v="2025-08-22T00:00:00"/>
    <s v="South"/>
    <s v="Small Business"/>
    <s v="Electronics"/>
    <s v="Portable Speaker"/>
    <n v="5"/>
    <n v="76.12"/>
    <n v="43.2"/>
    <n v="0.1"/>
    <n v="1"/>
    <n v="4"/>
    <s v="No"/>
    <s v="Store"/>
    <s v="Card"/>
    <s v="Small Business"/>
    <s v="South"/>
    <s v="Electronics"/>
    <x v="63"/>
    <n v="1"/>
    <s v="Portable Speaker"/>
    <n v="342.54"/>
    <n v="216"/>
    <n v="126.54000000000002"/>
    <n v="0.36941671045717295"/>
  </r>
  <r>
    <s v="BC-100769"/>
    <d v="2025-08-01T00:00:00"/>
    <s v="London"/>
    <s v="Individual"/>
    <s v="Home &amp; Kitchen"/>
    <s v="Blender"/>
    <n v="2"/>
    <n v="65.599999999999994"/>
    <n v="35.49"/>
    <n v="0"/>
    <n v="1"/>
    <n v="5"/>
    <s v="No"/>
    <s v="Phone"/>
    <s v="Bank Transfer"/>
    <s v="Individual"/>
    <s v="London"/>
    <s v="Home &amp; Kitchen"/>
    <x v="202"/>
    <n v="1"/>
    <s v="Blender"/>
    <n v="131.19999999999999"/>
    <n v="70.98"/>
    <n v="60.219999999999985"/>
    <n v="0.45899390243902433"/>
  </r>
  <r>
    <s v="BC-101045"/>
    <d v="2025-06-30T00:00:00"/>
    <s v="South"/>
    <s v="Small Business"/>
    <s v="Electronics"/>
    <s v="Wireless Headset"/>
    <n v="5"/>
    <n v="59.9"/>
    <n v="34.549999999999997"/>
    <n v="0.05"/>
    <n v="2"/>
    <n v="5"/>
    <s v="No"/>
    <s v="Store"/>
    <s v="Digital Wallet"/>
    <s v="Small Business"/>
    <s v="South"/>
    <s v="Electronics"/>
    <x v="204"/>
    <n v="1"/>
    <s v="Wireless Headset"/>
    <n v="284.52499999999998"/>
    <n v="172.75"/>
    <n v="111.77499999999998"/>
    <n v="0.39284772867059131"/>
  </r>
  <r>
    <s v="BC-101411"/>
    <d v="2025-07-15T00:00:00"/>
    <s v="South"/>
    <s v="Individual"/>
    <s v="Home &amp; Kitchen"/>
    <s v="Blender"/>
    <n v="1"/>
    <n v="63.41"/>
    <n v="34.58"/>
    <n v="0.05"/>
    <n v="3"/>
    <n v="3"/>
    <s v="Yes"/>
    <s v="Online"/>
    <s v="Bank Transfer"/>
    <s v="Individual"/>
    <s v="South"/>
    <s v="Home &amp; Kitchen"/>
    <x v="239"/>
    <n v="1"/>
    <s v="Blender"/>
    <n v="60.239499999999992"/>
    <n v="34.58"/>
    <n v="25.659499999999994"/>
    <n v="0.42595805078063392"/>
  </r>
  <r>
    <s v="BC-100234"/>
    <d v="2025-12-19T00:00:00"/>
    <s v="London"/>
    <s v="Individual"/>
    <s v="Furniture"/>
    <s v="Side Table"/>
    <n v="4"/>
    <n v="89.76"/>
    <n v="54.73"/>
    <n v="0.05"/>
    <n v="2"/>
    <n v="4"/>
    <s v="No"/>
    <s v="Store"/>
    <s v="Card"/>
    <s v="Individual"/>
    <s v="London"/>
    <s v="Furniture"/>
    <x v="18"/>
    <n v="1"/>
    <s v="Side Table"/>
    <n v="341.08800000000002"/>
    <n v="218.92"/>
    <n v="122.16800000000003"/>
    <n v="0.35817149826437761"/>
  </r>
  <r>
    <s v="BC-100123"/>
    <d v="2025-04-12T00:00:00"/>
    <s v="South"/>
    <s v="Individual"/>
    <s v="Home &amp; Kitchen"/>
    <s v="Air Fryer"/>
    <n v="2"/>
    <n v="110.76"/>
    <n v="68.47"/>
    <n v="0.15000000000000002"/>
    <n v="6"/>
    <n v="4"/>
    <s v="No"/>
    <s v="Phone"/>
    <s v="Digital Wallet"/>
    <s v="Individual"/>
    <s v="South"/>
    <s v="Home &amp; Kitchen"/>
    <x v="306"/>
    <n v="1"/>
    <s v="Air Fryer"/>
    <n v="188.292"/>
    <n v="136.94"/>
    <n v="51.352000000000004"/>
    <n v="0.27272534149087591"/>
  </r>
  <r>
    <s v="BC-101668"/>
    <d v="2025-05-21T00:00:00"/>
    <s v="South"/>
    <s v="Individual"/>
    <s v="Furniture"/>
    <s v="Bookshelf"/>
    <n v="4"/>
    <n v="119.58"/>
    <n v="71.27"/>
    <n v="0.1"/>
    <n v="4"/>
    <n v="3"/>
    <s v="Yes"/>
    <s v="Online"/>
    <s v="Digital Wallet"/>
    <s v="Individual"/>
    <s v="South"/>
    <s v="Furniture"/>
    <x v="226"/>
    <n v="1"/>
    <s v="Bookshelf"/>
    <n v="430.488"/>
    <n v="285.08"/>
    <n v="145.40800000000002"/>
    <n v="0.33777480440802071"/>
  </r>
  <r>
    <s v="BC-101869"/>
    <d v="2025-12-02T00:00:00"/>
    <s v="London"/>
    <s v="Small Business"/>
    <s v="Office"/>
    <s v="Wireless Mouse"/>
    <n v="3"/>
    <n v="34.479999999999997"/>
    <n v="17.649999999999999"/>
    <n v="0.15000000000000002"/>
    <n v="3"/>
    <n v="3"/>
    <s v="Yes"/>
    <s v="Online"/>
    <s v="Card"/>
    <s v="Small Business"/>
    <s v="London"/>
    <s v="Office"/>
    <x v="183"/>
    <n v="1"/>
    <s v="Wireless Mouse"/>
    <n v="87.923999999999992"/>
    <n v="52.949999999999996"/>
    <n v="34.973999999999997"/>
    <n v="0.39777535143987991"/>
  </r>
  <r>
    <s v="BC-100678"/>
    <d v="2025-11-27T00:00:00"/>
    <s v="Midlands"/>
    <s v="Corporate"/>
    <s v="Home &amp; Kitchen"/>
    <s v="Electric Kettle"/>
    <n v="4"/>
    <n v="40.71"/>
    <n v="20.25"/>
    <n v="0.1"/>
    <n v="3"/>
    <n v="4"/>
    <s v="No"/>
    <s v="Phone"/>
    <s v="Card"/>
    <s v="Corporate"/>
    <s v="Midlands"/>
    <s v="Home &amp; Kitchen"/>
    <x v="307"/>
    <n v="1"/>
    <s v="Electric Kettle"/>
    <n v="146.55600000000001"/>
    <n v="81"/>
    <n v="65.556000000000012"/>
    <n v="0.44731024318349305"/>
  </r>
  <r>
    <s v="BC-101885"/>
    <d v="2025-08-13T00:00:00"/>
    <s v="North"/>
    <s v="Small Business"/>
    <s v="Furniture"/>
    <s v="Office Chair"/>
    <n v="2"/>
    <n v="183.57"/>
    <n v="114.17"/>
    <n v="0.05"/>
    <n v="7"/>
    <n v="4"/>
    <s v="No"/>
    <s v="Online"/>
    <s v="Card"/>
    <s v="Small Business"/>
    <s v="North"/>
    <s v="Furniture"/>
    <x v="261"/>
    <n v="1"/>
    <s v="Office Chair"/>
    <n v="348.78299999999996"/>
    <n v="228.34"/>
    <n v="120.44299999999996"/>
    <n v="0.34532359662024803"/>
  </r>
  <r>
    <s v="BC-100963"/>
    <d v="2025-07-24T00:00:00"/>
    <s v="South"/>
    <s v="Small Business"/>
    <s v="Home &amp; Kitchen"/>
    <s v="Electric Kettle"/>
    <n v="2"/>
    <n v="39.159999999999997"/>
    <n v="20.55"/>
    <n v="0.1"/>
    <n v="2"/>
    <n v="5"/>
    <s v="No"/>
    <s v="Store"/>
    <s v="Card"/>
    <s v="Small Business"/>
    <s v="South"/>
    <s v="Home &amp; Kitchen"/>
    <x v="291"/>
    <n v="1"/>
    <s v="Electric Kettle"/>
    <n v="70.488"/>
    <n v="41.1"/>
    <n v="29.387999999999998"/>
    <n v="0.41692202928157984"/>
  </r>
  <r>
    <s v="BC-101663"/>
    <d v="2025-11-14T00:00:00"/>
    <s v="South"/>
    <s v="Individual"/>
    <s v="Home &amp; Kitchen"/>
    <s v="Electric Kettle"/>
    <n v="2"/>
    <n v="40.68"/>
    <n v="20.170000000000002"/>
    <n v="0.15000000000000002"/>
    <n v="5"/>
    <n v="4"/>
    <s v="No"/>
    <s v="Online"/>
    <s v="Card"/>
    <s v="Individual"/>
    <s v="South"/>
    <s v="Home &amp; Kitchen"/>
    <x v="80"/>
    <n v="1"/>
    <s v="Electric Kettle"/>
    <n v="69.155999999999992"/>
    <n v="40.340000000000003"/>
    <n v="28.815999999999988"/>
    <n v="0.41668112672797719"/>
  </r>
  <r>
    <s v="BC-101943"/>
    <d v="2025-02-24T00:00:00"/>
    <s v="Midlands"/>
    <s v="Individual"/>
    <s v="Furniture"/>
    <s v="Side Table"/>
    <n v="1"/>
    <n v="88.98"/>
    <n v="55.06"/>
    <n v="0.1"/>
    <n v="3"/>
    <n v="4"/>
    <s v="No"/>
    <s v="Online"/>
    <s v="Card"/>
    <s v="Individual"/>
    <s v="Midlands"/>
    <s v="Furniture"/>
    <x v="158"/>
    <n v="1"/>
    <s v="Side Table"/>
    <n v="80.082000000000008"/>
    <n v="55.06"/>
    <n v="25.022000000000006"/>
    <n v="0.31245473389775485"/>
  </r>
  <r>
    <s v="BC-100925"/>
    <d v="2025-12-06T00:00:00"/>
    <s v="Midlands"/>
    <s v="Individual"/>
    <s v="Electronics"/>
    <s v="Wireless Headset"/>
    <n v="2"/>
    <n v="61.09"/>
    <n v="33.369999999999997"/>
    <n v="0.1"/>
    <n v="3"/>
    <n v="4"/>
    <s v="No"/>
    <s v="Online"/>
    <s v="Card"/>
    <s v="Individual"/>
    <s v="Midlands"/>
    <s v="Electronics"/>
    <x v="131"/>
    <n v="1"/>
    <s v="Wireless Headset"/>
    <n v="109.962"/>
    <n v="66.739999999999995"/>
    <n v="43.222000000000008"/>
    <n v="0.39306305814736009"/>
  </r>
  <r>
    <s v="BC-101790"/>
    <d v="2025-12-26T00:00:00"/>
    <s v="London"/>
    <s v="Individual"/>
    <s v="Electronics"/>
    <s v="Portable Speaker"/>
    <n v="1"/>
    <n v="76.53"/>
    <n v="42.1"/>
    <n v="0.05"/>
    <n v="5"/>
    <n v="5"/>
    <s v="No"/>
    <s v="Online"/>
    <s v="Card"/>
    <s v="Individual"/>
    <s v="London"/>
    <s v="Electronics"/>
    <x v="215"/>
    <n v="1"/>
    <s v="Portable Speaker"/>
    <n v="72.703499999999991"/>
    <n v="42.1"/>
    <n v="30.60349999999999"/>
    <n v="0.4209357183629398"/>
  </r>
  <r>
    <s v="BC-101566"/>
    <d v="2025-08-30T00:00:00"/>
    <s v="Midlands"/>
    <s v="Corporate"/>
    <s v="Office"/>
    <s v="Ergonomic Keyboard"/>
    <n v="6"/>
    <n v="68.489999999999995"/>
    <n v="38.119999999999997"/>
    <n v="0.05"/>
    <n v="1"/>
    <n v="4"/>
    <s v="No"/>
    <s v="Store"/>
    <s v="Card"/>
    <s v="Corporate"/>
    <s v="Midlands"/>
    <s v="Office"/>
    <x v="137"/>
    <n v="1"/>
    <s v="Ergonomic Keyboard"/>
    <n v="390.39299999999992"/>
    <n v="228.71999999999997"/>
    <n v="161.67299999999994"/>
    <n v="0.4141288394002966"/>
  </r>
  <r>
    <s v="BC-101755"/>
    <d v="2025-07-04T00:00:00"/>
    <s v="Midlands"/>
    <s v="Corporate"/>
    <s v="Home &amp; Kitchen"/>
    <s v="Coffee Maker"/>
    <n v="6"/>
    <n v="82.09"/>
    <n v="45.5"/>
    <n v="0.05"/>
    <n v="0"/>
    <n v="5"/>
    <s v="No"/>
    <s v="Store"/>
    <s v="Card"/>
    <s v="Corporate"/>
    <s v="Midlands"/>
    <s v="Home &amp; Kitchen"/>
    <x v="283"/>
    <n v="1"/>
    <s v="Coffee Maker"/>
    <n v="467.91300000000001"/>
    <n v="273"/>
    <n v="194.91300000000001"/>
    <n v="0.41655820633322865"/>
  </r>
  <r>
    <s v="BC-100266"/>
    <d v="2025-03-15T00:00:00"/>
    <s v="North"/>
    <s v="Individual"/>
    <s v="Electronics"/>
    <s v="SmartHome Hub"/>
    <n v="1"/>
    <n v="130.62"/>
    <n v="87.33"/>
    <n v="0.05"/>
    <n v="4"/>
    <n v="4"/>
    <s v="No"/>
    <s v="Online"/>
    <s v="Card"/>
    <s v="Individual"/>
    <s v="North"/>
    <s v="Electronics"/>
    <x v="195"/>
    <n v="1"/>
    <s v="SmartHome Hub"/>
    <n v="124.089"/>
    <n v="87.33"/>
    <n v="36.759"/>
    <n v="0.2962309310253125"/>
  </r>
  <r>
    <s v="BC-101292"/>
    <d v="2025-08-12T00:00:00"/>
    <s v="North"/>
    <s v="Small Business"/>
    <s v="Electronics"/>
    <s v="Wireless Headset"/>
    <n v="2"/>
    <n v="62.09"/>
    <n v="34.03"/>
    <n v="0.05"/>
    <n v="3"/>
    <n v="3"/>
    <s v="Yes"/>
    <s v="Phone"/>
    <s v="Card"/>
    <s v="Small Business"/>
    <s v="North"/>
    <s v="Electronics"/>
    <x v="268"/>
    <n v="1"/>
    <s v="Wireless Headset"/>
    <n v="117.971"/>
    <n v="68.06"/>
    <n v="49.911000000000001"/>
    <n v="0.42307855320375348"/>
  </r>
  <r>
    <s v="BC-101825"/>
    <d v="2025-05-25T00:00:00"/>
    <s v="South"/>
    <s v="Small Business"/>
    <s v="Office"/>
    <s v="Laptop Stand"/>
    <n v="1"/>
    <n v="45.16"/>
    <n v="20.38"/>
    <n v="0.05"/>
    <n v="3"/>
    <n v="4"/>
    <s v="No"/>
    <s v="Store"/>
    <s v="Card"/>
    <s v="Small Business"/>
    <s v="South"/>
    <s v="Office"/>
    <x v="234"/>
    <n v="1"/>
    <s v="Laptop Stand"/>
    <n v="42.901999999999994"/>
    <n v="20.38"/>
    <n v="22.521999999999995"/>
    <n v="0.5249638711481982"/>
  </r>
  <r>
    <s v="BC-100302"/>
    <d v="2025-12-12T00:00:00"/>
    <s v="London"/>
    <s v="Individual"/>
    <s v="Furniture"/>
    <s v="Side Table"/>
    <n v="2"/>
    <n v="87.3"/>
    <n v="53.24"/>
    <n v="0.1"/>
    <n v="8"/>
    <n v="3"/>
    <s v="No"/>
    <s v="Online"/>
    <s v="Card"/>
    <s v="Individual"/>
    <s v="London"/>
    <s v="Furniture"/>
    <x v="247"/>
    <n v="1"/>
    <s v="Side Table"/>
    <n v="157.13999999999999"/>
    <n v="106.48"/>
    <n v="50.659999999999982"/>
    <n v="0.32238767977599586"/>
  </r>
  <r>
    <s v="BC-100797"/>
    <d v="2025-12-12T00:00:00"/>
    <s v="Midlands"/>
    <s v="Individual"/>
    <s v="Electronics"/>
    <s v="SmartHome Hub"/>
    <n v="2"/>
    <n v="127.13"/>
    <n v="83.24"/>
    <n v="0"/>
    <n v="4"/>
    <n v="4"/>
    <s v="No"/>
    <s v="Online"/>
    <s v="Card"/>
    <s v="Individual"/>
    <s v="Midlands"/>
    <s v="Electronics"/>
    <x v="247"/>
    <n v="1"/>
    <s v="SmartHome Hub"/>
    <n v="254.26"/>
    <n v="166.48"/>
    <n v="87.78"/>
    <n v="0.34523715881381267"/>
  </r>
  <r>
    <s v="BC-101220"/>
    <d v="2025-02-18T00:00:00"/>
    <s v="North"/>
    <s v="Individual"/>
    <s v="Home &amp; Kitchen"/>
    <s v="Air Fryer"/>
    <n v="1"/>
    <n v="109.32"/>
    <n v="66.41"/>
    <n v="0"/>
    <n v="1"/>
    <n v="5"/>
    <s v="No"/>
    <s v="Online"/>
    <s v="Card"/>
    <s v="Individual"/>
    <s v="North"/>
    <s v="Home &amp; Kitchen"/>
    <x v="276"/>
    <n v="1"/>
    <s v="Air Fryer"/>
    <n v="109.32"/>
    <n v="66.41"/>
    <n v="42.91"/>
    <n v="0.39251738016831322"/>
  </r>
  <r>
    <s v="BC-101777"/>
    <d v="2025-12-21T00:00:00"/>
    <s v="North"/>
    <s v="Small Business"/>
    <s v="Electronics"/>
    <s v="Wireless Headset"/>
    <n v="1"/>
    <n v="60.91"/>
    <n v="34.090000000000003"/>
    <n v="0.1"/>
    <n v="2"/>
    <n v="4"/>
    <s v="No"/>
    <s v="Store"/>
    <s v="Card"/>
    <s v="Small Business"/>
    <s v="North"/>
    <s v="Electronics"/>
    <x v="3"/>
    <n v="1"/>
    <s v="Wireless Headset"/>
    <n v="54.818999999999996"/>
    <n v="34.090000000000003"/>
    <n v="20.728999999999992"/>
    <n v="0.37813531804666256"/>
  </r>
  <r>
    <s v="BC-101921"/>
    <d v="2025-11-10T00:00:00"/>
    <s v="London"/>
    <s v="Individual"/>
    <s v="Electronics"/>
    <s v="Portable Speaker"/>
    <n v="2"/>
    <n v="76.290000000000006"/>
    <n v="45.14"/>
    <n v="0.1"/>
    <n v="5"/>
    <n v="4"/>
    <s v="No"/>
    <s v="Store"/>
    <s v="Bank Transfer"/>
    <s v="Individual"/>
    <s v="London"/>
    <s v="Electronics"/>
    <x v="280"/>
    <n v="1"/>
    <s v="Portable Speaker"/>
    <n v="137.322"/>
    <n v="90.28"/>
    <n v="47.042000000000002"/>
    <n v="0.34256710505235871"/>
  </r>
  <r>
    <s v="BC-100696"/>
    <d v="2025-10-10T00:00:00"/>
    <s v="North"/>
    <s v="Corporate"/>
    <s v="Office"/>
    <s v="Wireless Mouse"/>
    <n v="6"/>
    <n v="34.99"/>
    <n v="17.02"/>
    <n v="0.05"/>
    <n v="1"/>
    <n v="4"/>
    <s v="No"/>
    <s v="Store"/>
    <s v="Card"/>
    <s v="Corporate"/>
    <s v="North"/>
    <s v="Office"/>
    <x v="203"/>
    <n v="1"/>
    <s v="Wireless Mouse"/>
    <n v="199.44299999999998"/>
    <n v="102.12"/>
    <n v="97.322999999999979"/>
    <n v="0.48797400761119714"/>
  </r>
  <r>
    <s v="BC-100491"/>
    <d v="2025-05-30T00:00:00"/>
    <s v="London"/>
    <s v="Small Business"/>
    <s v="Electronics"/>
    <s v="Wireless Headset"/>
    <n v="1"/>
    <n v="59.48"/>
    <n v="34.409999999999997"/>
    <n v="0.1"/>
    <n v="4"/>
    <n v="4"/>
    <s v="No"/>
    <s v="Online"/>
    <s v="Card"/>
    <s v="Small Business"/>
    <s v="London"/>
    <s v="Electronics"/>
    <x v="305"/>
    <n v="1"/>
    <s v="Wireless Headset"/>
    <n v="53.531999999999996"/>
    <n v="34.409999999999997"/>
    <n v="19.122"/>
    <n v="0.35720690428155122"/>
  </r>
  <r>
    <s v="BC-101598"/>
    <d v="2025-11-14T00:00:00"/>
    <s v="London"/>
    <s v="Small Business"/>
    <s v="Electronics"/>
    <s v="Webcam"/>
    <n v="4"/>
    <n v="48.56"/>
    <n v="26.01"/>
    <n v="0.15000000000000002"/>
    <n v="2"/>
    <n v="4"/>
    <s v="No"/>
    <s v="Online"/>
    <s v="Card"/>
    <s v="Small Business"/>
    <s v="London"/>
    <s v="Electronics"/>
    <x v="80"/>
    <n v="1"/>
    <s v="Webcam"/>
    <n v="165.10400000000001"/>
    <n v="104.04"/>
    <n v="61.064000000000007"/>
    <n v="0.36985172981878089"/>
  </r>
  <r>
    <s v="BC-100629"/>
    <d v="2025-07-20T00:00:00"/>
    <s v="South"/>
    <s v="Small Business"/>
    <s v="Home &amp; Kitchen"/>
    <s v="Coffee Maker"/>
    <n v="2"/>
    <n v="79.849999999999994"/>
    <n v="46.57"/>
    <n v="0.05"/>
    <n v="0"/>
    <n v="4"/>
    <s v="No"/>
    <s v="Store"/>
    <s v="Card"/>
    <s v="Small Business"/>
    <s v="South"/>
    <s v="Home &amp; Kitchen"/>
    <x v="101"/>
    <n v="1"/>
    <s v="Coffee Maker"/>
    <n v="151.71499999999997"/>
    <n v="93.14"/>
    <n v="58.574999999999974"/>
    <n v="0.38608575289193542"/>
  </r>
  <r>
    <s v="BC-100623"/>
    <d v="2025-09-21T00:00:00"/>
    <s v="Midlands"/>
    <s v="Individual"/>
    <s v="Electronics"/>
    <s v="Wireless Headset"/>
    <n v="1"/>
    <n v="60.49"/>
    <n v="34.14"/>
    <n v="0.1"/>
    <n v="4"/>
    <n v="4"/>
    <s v="No"/>
    <s v="Phone"/>
    <s v="Card"/>
    <s v="Individual"/>
    <s v="Midlands"/>
    <s v="Electronics"/>
    <x v="297"/>
    <n v="1"/>
    <s v="Wireless Headset"/>
    <n v="54.441000000000003"/>
    <n v="34.14"/>
    <n v="20.301000000000002"/>
    <n v="0.37289910177990854"/>
  </r>
  <r>
    <s v="BC-100349"/>
    <d v="2025-12-08T00:00:00"/>
    <s v="North"/>
    <s v="Small Business"/>
    <s v="Home &amp; Kitchen"/>
    <s v="Blender"/>
    <n v="2"/>
    <n v="64.739999999999995"/>
    <n v="35.83"/>
    <n v="0"/>
    <n v="4"/>
    <n v="5"/>
    <s v="No"/>
    <s v="Online"/>
    <s v="Card"/>
    <s v="Small Business"/>
    <s v="North"/>
    <s v="Home &amp; Kitchen"/>
    <x v="242"/>
    <n v="1"/>
    <s v="Blender"/>
    <n v="129.47999999999999"/>
    <n v="71.66"/>
    <n v="57.819999999999993"/>
    <n v="0.44655545257954893"/>
  </r>
  <r>
    <s v="BC-100902"/>
    <d v="2025-07-28T00:00:00"/>
    <s v="South"/>
    <s v="Small Business"/>
    <s v="Office"/>
    <s v="Ergonomic Keyboard"/>
    <n v="1"/>
    <n v="70.09"/>
    <n v="38.75"/>
    <n v="0.1"/>
    <n v="5"/>
    <n v="4"/>
    <s v="No"/>
    <s v="Online"/>
    <s v="Card"/>
    <s v="Small Business"/>
    <s v="South"/>
    <s v="Office"/>
    <x v="39"/>
    <n v="1"/>
    <s v="Ergonomic Keyboard"/>
    <n v="63.081000000000003"/>
    <n v="38.75"/>
    <n v="24.331000000000003"/>
    <n v="0.38571043578890635"/>
  </r>
  <r>
    <s v="BC-100238"/>
    <d v="2025-08-31T00:00:00"/>
    <s v="Midlands"/>
    <s v="Small Business"/>
    <s v="Office"/>
    <s v="Desk Lamp"/>
    <n v="2"/>
    <n v="39.61"/>
    <n v="18.54"/>
    <n v="0"/>
    <n v="0"/>
    <n v="3"/>
    <s v="Yes"/>
    <s v="Store"/>
    <s v="Card"/>
    <s v="Small Business"/>
    <s v="Midlands"/>
    <s v="Office"/>
    <x v="308"/>
    <n v="1"/>
    <s v="Desk Lamp"/>
    <n v="79.22"/>
    <n v="37.08"/>
    <n v="42.14"/>
    <n v="0.5319363797020954"/>
  </r>
  <r>
    <s v="BC-101212"/>
    <d v="2025-08-29T00:00:00"/>
    <s v="South"/>
    <s v="Individual"/>
    <s v="Furniture"/>
    <s v="Bookshelf"/>
    <n v="1"/>
    <n v="122.7"/>
    <n v="73"/>
    <n v="0.05"/>
    <n v="5"/>
    <n v="4"/>
    <s v="No"/>
    <s v="Online"/>
    <s v="Card"/>
    <s v="Individual"/>
    <s v="South"/>
    <s v="Furniture"/>
    <x v="309"/>
    <n v="1"/>
    <s v="Bookshelf"/>
    <n v="116.565"/>
    <n v="73"/>
    <n v="43.564999999999998"/>
    <n v="0.37373997340539611"/>
  </r>
  <r>
    <s v="BC-101272"/>
    <d v="2025-12-13T00:00:00"/>
    <s v="South"/>
    <s v="Individual"/>
    <s v="Furniture"/>
    <s v="Bookshelf"/>
    <n v="1"/>
    <n v="122.68"/>
    <n v="73.34"/>
    <n v="0.15000000000000002"/>
    <n v="7"/>
    <n v="3"/>
    <s v="No"/>
    <s v="Online"/>
    <s v="Card"/>
    <s v="Individual"/>
    <s v="South"/>
    <s v="Furniture"/>
    <x v="219"/>
    <n v="1"/>
    <s v="Bookshelf"/>
    <n v="104.27800000000001"/>
    <n v="73.34"/>
    <n v="30.938000000000002"/>
    <n v="0.29668770018604118"/>
  </r>
  <r>
    <s v="BC-100680"/>
    <d v="2025-12-26T00:00:00"/>
    <s v="South"/>
    <s v="Individual"/>
    <s v="Electronics"/>
    <s v="Portable Speaker"/>
    <n v="2"/>
    <n v="73.61"/>
    <n v="43.7"/>
    <n v="0.15000000000000002"/>
    <n v="1"/>
    <n v="4"/>
    <s v="No"/>
    <s v="Phone"/>
    <s v="Digital Wallet"/>
    <s v="Individual"/>
    <s v="South"/>
    <s v="Electronics"/>
    <x v="215"/>
    <n v="1"/>
    <s v="Portable Speaker"/>
    <n v="125.137"/>
    <n v="87.4"/>
    <n v="37.736999999999995"/>
    <n v="0.30156548422928464"/>
  </r>
  <r>
    <s v="BC-101594"/>
    <d v="2025-09-20T00:00:00"/>
    <s v="South"/>
    <s v="Small Business"/>
    <s v="Electronics"/>
    <s v="SmartHome Hub"/>
    <n v="4"/>
    <n v="129.25"/>
    <n v="82.28"/>
    <n v="0.05"/>
    <n v="4"/>
    <n v="4"/>
    <s v="No"/>
    <s v="Phone"/>
    <s v="Card"/>
    <s v="Small Business"/>
    <s v="South"/>
    <s v="Electronics"/>
    <x v="76"/>
    <n v="1"/>
    <s v="SmartHome Hub"/>
    <n v="491.15"/>
    <n v="329.12"/>
    <n v="162.02999999999997"/>
    <n v="0.32989921612541989"/>
  </r>
  <r>
    <s v="BC-101501"/>
    <d v="2025-06-01T00:00:00"/>
    <s v="North"/>
    <s v="Individual"/>
    <s v="Home &amp; Kitchen"/>
    <s v="Coffee Maker"/>
    <n v="1"/>
    <n v="78.45"/>
    <n v="45.86"/>
    <n v="0.05"/>
    <n v="1"/>
    <n v="5"/>
    <s v="No"/>
    <s v="Store"/>
    <s v="Card"/>
    <s v="Individual"/>
    <s v="North"/>
    <s v="Home &amp; Kitchen"/>
    <x v="310"/>
    <n v="1"/>
    <s v="Coffee Maker"/>
    <n v="74.527500000000003"/>
    <n v="45.86"/>
    <n v="28.667500000000004"/>
    <n v="0.3846566703565798"/>
  </r>
  <r>
    <s v="BC-101092"/>
    <d v="2025-07-04T00:00:00"/>
    <s v="London"/>
    <s v="Individual"/>
    <s v="Office"/>
    <s v="Desk Lamp"/>
    <n v="3"/>
    <n v="40.25"/>
    <n v="19.329999999999998"/>
    <n v="0"/>
    <n v="5"/>
    <n v="4"/>
    <s v="No"/>
    <s v="Online"/>
    <s v="Card"/>
    <s v="Individual"/>
    <s v="London"/>
    <s v="Office"/>
    <x v="283"/>
    <n v="1"/>
    <s v="Desk Lamp"/>
    <n v="120.75"/>
    <n v="57.989999999999995"/>
    <n v="62.760000000000005"/>
    <n v="0.51975155279503105"/>
  </r>
  <r>
    <s v="BC-100414"/>
    <d v="2025-05-10T00:00:00"/>
    <s v="North"/>
    <s v="Individual"/>
    <s v="Furniture"/>
    <s v="Office Chair"/>
    <n v="1"/>
    <n v="178.67"/>
    <n v="119.09"/>
    <n v="0.05"/>
    <n v="2"/>
    <n v="5"/>
    <s v="No"/>
    <s v="Store"/>
    <s v="Card"/>
    <s v="Individual"/>
    <s v="North"/>
    <s v="Furniture"/>
    <x v="191"/>
    <n v="1"/>
    <s v="Office Chair"/>
    <n v="169.73649999999998"/>
    <n v="119.09"/>
    <n v="50.646499999999975"/>
    <n v="0.29838308201241326"/>
  </r>
  <r>
    <s v="BC-101210"/>
    <d v="2025-11-02T00:00:00"/>
    <s v="London"/>
    <s v="Individual"/>
    <s v="Office"/>
    <s v="Ergonomic Keyboard"/>
    <n v="1"/>
    <n v="69.739999999999995"/>
    <n v="37.909999999999997"/>
    <n v="0.05"/>
    <n v="5"/>
    <n v="5"/>
    <s v="No"/>
    <s v="Online"/>
    <s v="Bank Transfer"/>
    <s v="Individual"/>
    <s v="London"/>
    <s v="Office"/>
    <x v="44"/>
    <n v="1"/>
    <s v="Ergonomic Keyboard"/>
    <n v="66.252999999999986"/>
    <n v="37.909999999999997"/>
    <n v="28.342999999999989"/>
    <n v="0.42779949587188498"/>
  </r>
  <r>
    <s v="BC-101101"/>
    <d v="2025-07-10T00:00:00"/>
    <s v="London"/>
    <s v="Corporate"/>
    <s v="Office"/>
    <s v="Wireless Mouse"/>
    <n v="10"/>
    <n v="34.75"/>
    <n v="17.25"/>
    <n v="0.05"/>
    <n v="1"/>
    <n v="4"/>
    <s v="No"/>
    <s v="Online"/>
    <s v="Card"/>
    <s v="Corporate"/>
    <s v="London"/>
    <s v="Office"/>
    <x v="105"/>
    <n v="1"/>
    <s v="Wireless Mouse"/>
    <n v="330.125"/>
    <n v="172.5"/>
    <n v="157.625"/>
    <n v="0.47747065505490344"/>
  </r>
  <r>
    <s v="BC-101918"/>
    <d v="2025-10-18T00:00:00"/>
    <s v="London"/>
    <s v="Individual"/>
    <s v="Home &amp; Kitchen"/>
    <s v="Air Fryer"/>
    <n v="1"/>
    <n v="108.2"/>
    <n v="67.12"/>
    <n v="0.05"/>
    <n v="5"/>
    <n v="5"/>
    <s v="No"/>
    <s v="Online"/>
    <s v="Card"/>
    <s v="Individual"/>
    <s v="London"/>
    <s v="Home &amp; Kitchen"/>
    <x v="311"/>
    <n v="1"/>
    <s v="Air Fryer"/>
    <n v="102.78999999999999"/>
    <n v="67.12"/>
    <n v="35.669999999999987"/>
    <n v="0.34701819243117027"/>
  </r>
  <r>
    <s v="BC-101068"/>
    <d v="2025-02-01T00:00:00"/>
    <s v="London"/>
    <s v="Corporate"/>
    <s v="Electronics"/>
    <s v="SmartHome Hub"/>
    <n v="6"/>
    <n v="132.58000000000001"/>
    <n v="82.62"/>
    <n v="0.05"/>
    <n v="4"/>
    <n v="4"/>
    <s v="No"/>
    <s v="Online"/>
    <s v="Digital Wallet"/>
    <s v="Corporate"/>
    <s v="London"/>
    <s v="Electronics"/>
    <x v="312"/>
    <n v="1"/>
    <s v="SmartHome Hub"/>
    <n v="755.70600000000002"/>
    <n v="495.72"/>
    <n v="259.98599999999999"/>
    <n v="0.34403061508046778"/>
  </r>
  <r>
    <s v="BC-100015"/>
    <d v="2025-04-29T00:00:00"/>
    <s v="South"/>
    <s v="Individual"/>
    <s v="Electronics"/>
    <s v="SmartHome Hub"/>
    <n v="1"/>
    <n v="129.22"/>
    <n v="88.18"/>
    <n v="0.15000000000000002"/>
    <n v="3"/>
    <n v="4"/>
    <s v="No"/>
    <s v="Online"/>
    <s v="Card"/>
    <s v="Individual"/>
    <s v="South"/>
    <s v="Electronics"/>
    <x v="55"/>
    <n v="1"/>
    <s v="SmartHome Hub"/>
    <n v="109.83699999999999"/>
    <n v="88.18"/>
    <n v="21.656999999999982"/>
    <n v="0.19717399419139256"/>
  </r>
  <r>
    <s v="BC-100421"/>
    <d v="2025-11-30T00:00:00"/>
    <s v="Midlands"/>
    <s v="Individual"/>
    <s v="Electronics"/>
    <s v="SmartHome Hub"/>
    <n v="1"/>
    <n v="133.66999999999999"/>
    <n v="86.17"/>
    <n v="0.1"/>
    <n v="0"/>
    <n v="3"/>
    <s v="Yes"/>
    <s v="Store"/>
    <s v="Bank Transfer"/>
    <s v="Individual"/>
    <s v="Midlands"/>
    <s v="Electronics"/>
    <x v="73"/>
    <n v="1"/>
    <s v="SmartHome Hub"/>
    <n v="120.303"/>
    <n v="86.17"/>
    <n v="34.132999999999996"/>
    <n v="0.28372526038419654"/>
  </r>
  <r>
    <s v="BC-101415"/>
    <d v="2025-02-07T00:00:00"/>
    <s v="Midlands"/>
    <s v="Individual"/>
    <s v="Home &amp; Kitchen"/>
    <s v="Coffee Maker"/>
    <n v="1"/>
    <n v="78.25"/>
    <n v="45.43"/>
    <n v="0"/>
    <n v="4"/>
    <n v="4"/>
    <s v="No"/>
    <s v="Online"/>
    <s v="Card"/>
    <s v="Individual"/>
    <s v="Midlands"/>
    <s v="Home &amp; Kitchen"/>
    <x v="90"/>
    <n v="1"/>
    <s v="Coffee Maker"/>
    <n v="78.25"/>
    <n v="45.43"/>
    <n v="32.82"/>
    <n v="0.41942492012779553"/>
  </r>
  <r>
    <s v="BC-101204"/>
    <d v="2025-09-05T00:00:00"/>
    <s v="North"/>
    <s v="Individual"/>
    <s v="Office"/>
    <s v="Desk Lamp"/>
    <n v="2"/>
    <n v="40.25"/>
    <n v="19.93"/>
    <n v="0.05"/>
    <n v="2"/>
    <n v="5"/>
    <s v="No"/>
    <s v="Phone"/>
    <s v="Card"/>
    <s v="Individual"/>
    <s v="North"/>
    <s v="Office"/>
    <x v="134"/>
    <n v="1"/>
    <s v="Desk Lamp"/>
    <n v="76.474999999999994"/>
    <n v="39.86"/>
    <n v="36.614999999999995"/>
    <n v="0.47878391631252037"/>
  </r>
  <r>
    <s v="BC-101244"/>
    <d v="2025-06-25T00:00:00"/>
    <s v="South"/>
    <s v="Small Business"/>
    <s v="Furniture"/>
    <s v="Side Table"/>
    <n v="4"/>
    <n v="87.85"/>
    <n v="53.53"/>
    <n v="0.1"/>
    <n v="8"/>
    <n v="3"/>
    <s v="No"/>
    <s v="Online"/>
    <s v="Bank Transfer"/>
    <s v="Small Business"/>
    <s v="South"/>
    <s v="Furniture"/>
    <x v="20"/>
    <n v="1"/>
    <s v="Side Table"/>
    <n v="316.26"/>
    <n v="214.12"/>
    <n v="102.13999999999999"/>
    <n v="0.32296211977486877"/>
  </r>
  <r>
    <s v="BC-100209"/>
    <d v="2025-12-04T00:00:00"/>
    <s v="Midlands"/>
    <s v="Individual"/>
    <s v="Furniture"/>
    <s v="Side Table"/>
    <n v="1"/>
    <n v="93.16"/>
    <n v="54.94"/>
    <n v="0.1"/>
    <n v="4"/>
    <n v="4"/>
    <s v="No"/>
    <s v="Online"/>
    <s v="Card"/>
    <s v="Individual"/>
    <s v="Midlands"/>
    <s v="Furniture"/>
    <x v="75"/>
    <n v="1"/>
    <s v="Side Table"/>
    <n v="83.843999999999994"/>
    <n v="54.94"/>
    <n v="28.903999999999996"/>
    <n v="0.34473546109441344"/>
  </r>
  <r>
    <s v="BC-101069"/>
    <d v="2025-09-08T00:00:00"/>
    <s v="Midlands"/>
    <s v="Small Business"/>
    <s v="Home &amp; Kitchen"/>
    <s v="Coffee Maker"/>
    <n v="3"/>
    <n v="82.05"/>
    <n v="46.92"/>
    <n v="0"/>
    <n v="4"/>
    <n v="5"/>
    <s v="No"/>
    <s v="Phone"/>
    <s v="Card"/>
    <s v="Small Business"/>
    <s v="Midlands"/>
    <s v="Home &amp; Kitchen"/>
    <x v="301"/>
    <n v="1"/>
    <s v="Coffee Maker"/>
    <n v="246.14999999999998"/>
    <n v="140.76"/>
    <n v="105.38999999999999"/>
    <n v="0.42815356489945156"/>
  </r>
  <r>
    <s v="BC-100526"/>
    <d v="2025-05-06T00:00:00"/>
    <s v="London"/>
    <s v="Individual"/>
    <s v="Furniture"/>
    <s v="Storage Cabinet"/>
    <n v="1"/>
    <n v="158.52000000000001"/>
    <n v="104.91"/>
    <n v="0"/>
    <n v="5"/>
    <n v="5"/>
    <s v="No"/>
    <s v="Online"/>
    <s v="Card"/>
    <s v="Individual"/>
    <s v="London"/>
    <s v="Furniture"/>
    <x v="168"/>
    <n v="1"/>
    <s v="Storage Cabinet"/>
    <n v="158.52000000000001"/>
    <n v="104.91"/>
    <n v="53.610000000000014"/>
    <n v="0.3381907645722938"/>
  </r>
  <r>
    <s v="BC-101489"/>
    <d v="2025-11-18T00:00:00"/>
    <s v="South"/>
    <s v="Individual"/>
    <s v="Office"/>
    <s v="Ergonomic Keyboard"/>
    <n v="1"/>
    <n v="72.06"/>
    <n v="39.76"/>
    <n v="0.05"/>
    <n v="3"/>
    <n v="4"/>
    <s v="No"/>
    <s v="Online"/>
    <s v="Bank Transfer"/>
    <s v="Individual"/>
    <s v="South"/>
    <s v="Office"/>
    <x v="26"/>
    <n v="1"/>
    <s v="Ergonomic Keyboard"/>
    <n v="68.456999999999994"/>
    <n v="39.76"/>
    <n v="28.696999999999996"/>
    <n v="0.41919745241538481"/>
  </r>
  <r>
    <s v="BC-100920"/>
    <d v="2025-02-12T00:00:00"/>
    <s v="North"/>
    <s v="Individual"/>
    <s v="Furniture"/>
    <s v="Bookshelf"/>
    <n v="2"/>
    <n v="123.7"/>
    <n v="75.040000000000006"/>
    <n v="0.05"/>
    <n v="4"/>
    <n v="5"/>
    <s v="No"/>
    <s v="Store"/>
    <s v="Bank Transfer"/>
    <s v="Individual"/>
    <s v="North"/>
    <s v="Furniture"/>
    <x v="313"/>
    <n v="1"/>
    <s v="Bookshelf"/>
    <n v="235.03"/>
    <n v="150.08000000000001"/>
    <n v="84.949999999999989"/>
    <n v="0.36144322001446622"/>
  </r>
  <r>
    <s v="BC-101190"/>
    <d v="2025-12-30T00:00:00"/>
    <s v="South"/>
    <s v="Individual"/>
    <s v="Furniture"/>
    <s v="Bookshelf"/>
    <n v="1"/>
    <n v="119.68"/>
    <n v="72.92"/>
    <n v="0"/>
    <n v="8"/>
    <n v="3"/>
    <s v="No"/>
    <s v="Online"/>
    <s v="Digital Wallet"/>
    <s v="Individual"/>
    <s v="South"/>
    <s v="Furniture"/>
    <x v="0"/>
    <n v="1"/>
    <s v="Bookshelf"/>
    <n v="119.68"/>
    <n v="72.92"/>
    <n v="46.760000000000005"/>
    <n v="0.39070855614973266"/>
  </r>
  <r>
    <s v="BC-101765"/>
    <d v="2025-11-19T00:00:00"/>
    <s v="North"/>
    <s v="Individual"/>
    <s v="Home &amp; Kitchen"/>
    <s v="Electric Kettle"/>
    <n v="1"/>
    <n v="39.28"/>
    <n v="20.99"/>
    <n v="0.15000000000000002"/>
    <n v="2"/>
    <n v="3"/>
    <s v="Yes"/>
    <s v="Store"/>
    <s v="Card"/>
    <s v="Individual"/>
    <s v="North"/>
    <s v="Home &amp; Kitchen"/>
    <x v="264"/>
    <n v="1"/>
    <s v="Electric Kettle"/>
    <n v="33.387999999999998"/>
    <n v="20.99"/>
    <n v="12.398"/>
    <n v="0.3713310171319037"/>
  </r>
  <r>
    <s v="BC-101170"/>
    <d v="2025-12-05T00:00:00"/>
    <s v="South"/>
    <s v="Corporate"/>
    <s v="Electronics"/>
    <s v="SmartHome Hub"/>
    <n v="5"/>
    <n v="129.16999999999999"/>
    <n v="87.71"/>
    <n v="0.25"/>
    <n v="7"/>
    <n v="3"/>
    <s v="No"/>
    <s v="Online"/>
    <s v="Card"/>
    <s v="Corporate"/>
    <s v="South"/>
    <s v="Electronics"/>
    <x v="21"/>
    <n v="1"/>
    <s v="SmartHome Hub"/>
    <n v="484.38749999999993"/>
    <n v="438.54999999999995"/>
    <n v="45.837499999999977"/>
    <n v="9.4629816004748235E-2"/>
  </r>
  <r>
    <s v="BC-100218"/>
    <d v="2025-10-27T00:00:00"/>
    <s v="South"/>
    <s v="Individual"/>
    <s v="Office"/>
    <s v="Desk Lamp"/>
    <n v="1"/>
    <n v="39.53"/>
    <n v="19.41"/>
    <n v="0"/>
    <n v="3"/>
    <n v="4"/>
    <s v="No"/>
    <s v="Store"/>
    <s v="Card"/>
    <s v="Individual"/>
    <s v="South"/>
    <s v="Office"/>
    <x v="35"/>
    <n v="1"/>
    <s v="Desk Lamp"/>
    <n v="39.53"/>
    <n v="19.41"/>
    <n v="20.12"/>
    <n v="0.50898052112319758"/>
  </r>
  <r>
    <s v="BC-101637"/>
    <d v="2025-12-27T00:00:00"/>
    <s v="Midlands"/>
    <s v="Small Business"/>
    <s v="Electronics"/>
    <s v="SmartHome Hub"/>
    <n v="2"/>
    <n v="131.29"/>
    <n v="85.6"/>
    <n v="0.1"/>
    <n v="4"/>
    <n v="4"/>
    <s v="No"/>
    <s v="Online"/>
    <s v="Digital Wallet"/>
    <s v="Small Business"/>
    <s v="Midlands"/>
    <s v="Electronics"/>
    <x v="125"/>
    <n v="1"/>
    <s v="SmartHome Hub"/>
    <n v="236.322"/>
    <n v="171.2"/>
    <n v="65.122000000000014"/>
    <n v="0.27556469562715286"/>
  </r>
  <r>
    <s v="BC-100787"/>
    <d v="2025-04-08T00:00:00"/>
    <s v="South"/>
    <s v="Individual"/>
    <s v="Office"/>
    <s v="Desk Lamp"/>
    <n v="3"/>
    <n v="40.4"/>
    <n v="19.940000000000001"/>
    <n v="0.05"/>
    <n v="0"/>
    <n v="4"/>
    <s v="No"/>
    <s v="Store"/>
    <s v="Digital Wallet"/>
    <s v="Individual"/>
    <s v="South"/>
    <s v="Office"/>
    <x v="126"/>
    <n v="1"/>
    <s v="Desk Lamp"/>
    <n v="115.13999999999999"/>
    <n v="59.820000000000007"/>
    <n v="55.319999999999979"/>
    <n v="0.48045857217300664"/>
  </r>
  <r>
    <s v="BC-100340"/>
    <d v="2025-01-14T00:00:00"/>
    <s v="South"/>
    <s v="Small Business"/>
    <s v="Office"/>
    <s v="Ergonomic Keyboard"/>
    <n v="4"/>
    <n v="70.41"/>
    <n v="37.79"/>
    <n v="0.05"/>
    <n v="5"/>
    <n v="4"/>
    <s v="No"/>
    <s v="Store"/>
    <s v="Card"/>
    <s v="Small Business"/>
    <s v="South"/>
    <s v="Office"/>
    <x v="54"/>
    <n v="1"/>
    <s v="Ergonomic Keyboard"/>
    <n v="267.55799999999999"/>
    <n v="151.16"/>
    <n v="116.398"/>
    <n v="0.43503838420080881"/>
  </r>
  <r>
    <s v="BC-100880"/>
    <d v="2025-07-14T00:00:00"/>
    <s v="North"/>
    <s v="Individual"/>
    <s v="Furniture"/>
    <s v="Office Chair"/>
    <n v="1"/>
    <n v="184.86"/>
    <n v="117.75"/>
    <n v="0.05"/>
    <n v="3"/>
    <n v="5"/>
    <s v="No"/>
    <s v="Store"/>
    <s v="Card"/>
    <s v="Individual"/>
    <s v="North"/>
    <s v="Furniture"/>
    <x v="130"/>
    <n v="1"/>
    <s v="Office Chair"/>
    <n v="175.61700000000002"/>
    <n v="117.75"/>
    <n v="57.867000000000019"/>
    <n v="0.32950682451015567"/>
  </r>
  <r>
    <s v="BC-100184"/>
    <d v="2025-12-11T00:00:00"/>
    <s v="London"/>
    <s v="Individual"/>
    <s v="Home &amp; Kitchen"/>
    <s v="Coffee Maker"/>
    <n v="1"/>
    <n v="79.78"/>
    <n v="46.42"/>
    <n v="0.15000000000000002"/>
    <n v="5"/>
    <n v="4"/>
    <s v="No"/>
    <s v="Store"/>
    <s v="Digital Wallet"/>
    <s v="Individual"/>
    <s v="London"/>
    <s v="Home &amp; Kitchen"/>
    <x v="286"/>
    <n v="1"/>
    <s v="Coffee Maker"/>
    <n v="67.813000000000002"/>
    <n v="46.42"/>
    <n v="21.393000000000001"/>
    <n v="0.31547048501024877"/>
  </r>
  <r>
    <s v="BC-101630"/>
    <d v="2025-09-30T00:00:00"/>
    <s v="South"/>
    <s v="Small Business"/>
    <s v="Electronics"/>
    <s v="Wireless Headset"/>
    <n v="2"/>
    <n v="60.79"/>
    <n v="34.68"/>
    <n v="0.05"/>
    <n v="4"/>
    <n v="5"/>
    <s v="No"/>
    <s v="Store"/>
    <s v="Card"/>
    <s v="Small Business"/>
    <s v="South"/>
    <s v="Electronics"/>
    <x v="30"/>
    <n v="1"/>
    <s v="Wireless Headset"/>
    <n v="115.50099999999999"/>
    <n v="69.36"/>
    <n v="46.140999999999991"/>
    <n v="0.39948571873836586"/>
  </r>
  <r>
    <s v="BC-101616"/>
    <d v="2025-12-07T00:00:00"/>
    <s v="South"/>
    <s v="Corporate"/>
    <s v="Furniture"/>
    <s v="Storage Cabinet"/>
    <n v="6"/>
    <n v="163.56"/>
    <n v="102.33"/>
    <n v="0.1"/>
    <n v="3"/>
    <n v="4"/>
    <s v="Yes"/>
    <s v="Phone"/>
    <s v="Card"/>
    <s v="Corporate"/>
    <s v="South"/>
    <s v="Furniture"/>
    <x v="304"/>
    <n v="1"/>
    <s v="Storage Cabinet"/>
    <n v="883.22400000000005"/>
    <n v="613.98"/>
    <n v="269.24400000000003"/>
    <n v="0.30484225972120327"/>
  </r>
  <r>
    <s v="BC-100280"/>
    <d v="2025-12-28T00:00:00"/>
    <s v="South"/>
    <s v="Small Business"/>
    <s v="Office"/>
    <s v="Laptop Stand"/>
    <n v="3"/>
    <n v="45.36"/>
    <n v="21.5"/>
    <n v="0.2"/>
    <n v="2"/>
    <n v="5"/>
    <s v="No"/>
    <s v="Phone"/>
    <s v="Digital Wallet"/>
    <s v="Small Business"/>
    <s v="South"/>
    <s v="Office"/>
    <x v="6"/>
    <n v="1"/>
    <s v="Laptop Stand"/>
    <n v="108.86399999999999"/>
    <n v="64.5"/>
    <n v="44.36399999999999"/>
    <n v="0.4075176366843033"/>
  </r>
  <r>
    <s v="BC-100586"/>
    <d v="2025-11-24T00:00:00"/>
    <s v="South"/>
    <s v="Individual"/>
    <s v="Office"/>
    <s v="Laptop Stand"/>
    <n v="4"/>
    <n v="45.1"/>
    <n v="20.93"/>
    <n v="0.15000000000000002"/>
    <n v="3"/>
    <n v="4"/>
    <s v="No"/>
    <s v="Store"/>
    <s v="Card"/>
    <s v="Individual"/>
    <s v="South"/>
    <s v="Office"/>
    <x v="314"/>
    <n v="1"/>
    <s v="Laptop Stand"/>
    <n v="153.34"/>
    <n v="83.72"/>
    <n v="69.62"/>
    <n v="0.45402373809834357"/>
  </r>
  <r>
    <s v="BC-101678"/>
    <d v="2025-06-20T00:00:00"/>
    <s v="North"/>
    <s v="Individual"/>
    <s v="Electronics"/>
    <s v="Portable Speaker"/>
    <n v="1"/>
    <n v="73.989999999999995"/>
    <n v="45.15"/>
    <n v="0"/>
    <n v="0"/>
    <n v="4"/>
    <s v="No"/>
    <s v="Store"/>
    <s v="Card"/>
    <s v="Individual"/>
    <s v="North"/>
    <s v="Electronics"/>
    <x v="163"/>
    <n v="1"/>
    <s v="Portable Speaker"/>
    <n v="73.989999999999995"/>
    <n v="45.15"/>
    <n v="28.839999999999996"/>
    <n v="0.38978240302743611"/>
  </r>
  <r>
    <s v="BC-101202"/>
    <d v="2025-08-13T00:00:00"/>
    <s v="London"/>
    <s v="Corporate"/>
    <s v="Electronics"/>
    <s v="Webcam"/>
    <n v="8"/>
    <n v="50.79"/>
    <n v="25.42"/>
    <n v="0.15000000000000002"/>
    <n v="3"/>
    <n v="4"/>
    <s v="No"/>
    <s v="Phone"/>
    <s v="Card"/>
    <s v="Corporate"/>
    <s v="London"/>
    <s v="Electronics"/>
    <x v="261"/>
    <n v="1"/>
    <s v="Webcam"/>
    <n v="345.37199999999996"/>
    <n v="203.36"/>
    <n v="142.01199999999994"/>
    <n v="0.41118562014291826"/>
  </r>
  <r>
    <s v="BC-100612"/>
    <d v="2025-06-25T00:00:00"/>
    <s v="South"/>
    <s v="Small Business"/>
    <s v="Office"/>
    <s v="Wireless Mouse"/>
    <n v="2"/>
    <n v="35.08"/>
    <n v="17.18"/>
    <n v="0"/>
    <n v="1"/>
    <n v="4"/>
    <s v="Yes"/>
    <s v="Store"/>
    <s v="Digital Wallet"/>
    <s v="Small Business"/>
    <s v="South"/>
    <s v="Office"/>
    <x v="20"/>
    <n v="1"/>
    <s v="Wireless Mouse"/>
    <n v="70.16"/>
    <n v="34.36"/>
    <n v="35.799999999999997"/>
    <n v="0.51026225769669331"/>
  </r>
  <r>
    <s v="BC-100673"/>
    <d v="2025-02-21T00:00:00"/>
    <s v="South"/>
    <s v="Small Business"/>
    <s v="Electronics"/>
    <s v="SmartHome Hub"/>
    <n v="3"/>
    <n v="126.58"/>
    <n v="85.06"/>
    <n v="0.05"/>
    <n v="5"/>
    <n v="4"/>
    <s v="No"/>
    <s v="Online"/>
    <s v="Card"/>
    <s v="Small Business"/>
    <s v="South"/>
    <s v="Electronics"/>
    <x v="88"/>
    <n v="1"/>
    <s v="SmartHome Hub"/>
    <n v="360.75299999999999"/>
    <n v="255.18"/>
    <n v="105.57299999999998"/>
    <n v="0.29264621500029103"/>
  </r>
  <r>
    <s v="BC-101653"/>
    <d v="2025-10-20T00:00:00"/>
    <s v="South"/>
    <s v="Small Business"/>
    <s v="Furniture"/>
    <s v="Storage Cabinet"/>
    <n v="1"/>
    <n v="156.27000000000001"/>
    <n v="105.73"/>
    <n v="0.1"/>
    <n v="1"/>
    <n v="5"/>
    <s v="No"/>
    <s v="Store"/>
    <s v="Card"/>
    <s v="Small Business"/>
    <s v="South"/>
    <s v="Furniture"/>
    <x v="315"/>
    <n v="1"/>
    <s v="Storage Cabinet"/>
    <n v="140.643"/>
    <n v="105.73"/>
    <n v="34.912999999999997"/>
    <n v="0.24823844770091649"/>
  </r>
  <r>
    <s v="BC-101688"/>
    <d v="2025-11-25T00:00:00"/>
    <s v="Midlands"/>
    <s v="Small Business"/>
    <s v="Electronics"/>
    <s v="Portable Speaker"/>
    <n v="4"/>
    <n v="74.89"/>
    <n v="43.66"/>
    <n v="0.1"/>
    <n v="4"/>
    <n v="4"/>
    <s v="No"/>
    <s v="Online"/>
    <s v="Bank Transfer"/>
    <s v="Small Business"/>
    <s v="Midlands"/>
    <s v="Electronics"/>
    <x v="10"/>
    <n v="1"/>
    <s v="Portable Speaker"/>
    <n v="269.60399999999998"/>
    <n v="174.64"/>
    <n v="94.963999999999999"/>
    <n v="0.352235130042581"/>
  </r>
  <r>
    <s v="BC-101059"/>
    <d v="2025-07-24T00:00:00"/>
    <s v="Midlands"/>
    <s v="Individual"/>
    <s v="Home &amp; Kitchen"/>
    <s v="Electric Kettle"/>
    <n v="2"/>
    <n v="39.549999999999997"/>
    <n v="20.7"/>
    <n v="0"/>
    <n v="1"/>
    <n v="5"/>
    <s v="No"/>
    <s v="Store"/>
    <s v="Bank Transfer"/>
    <s v="Individual"/>
    <s v="Midlands"/>
    <s v="Home &amp; Kitchen"/>
    <x v="291"/>
    <n v="1"/>
    <s v="Electric Kettle"/>
    <n v="79.099999999999994"/>
    <n v="41.4"/>
    <n v="37.699999999999996"/>
    <n v="0.47661188369152968"/>
  </r>
  <r>
    <s v="BC-100911"/>
    <d v="2025-10-19T00:00:00"/>
    <s v="North"/>
    <s v="Individual"/>
    <s v="Office"/>
    <s v="Wireless Mouse"/>
    <n v="2"/>
    <n v="36.28"/>
    <n v="17.809999999999999"/>
    <n v="0.1"/>
    <n v="2"/>
    <n v="4"/>
    <s v="No"/>
    <s v="Online"/>
    <s v="Card"/>
    <s v="Individual"/>
    <s v="North"/>
    <s v="Office"/>
    <x v="58"/>
    <n v="1"/>
    <s v="Wireless Mouse"/>
    <n v="65.304000000000002"/>
    <n v="35.619999999999997"/>
    <n v="29.684000000000005"/>
    <n v="0.45455102290824456"/>
  </r>
  <r>
    <s v="BC-100594"/>
    <d v="2025-05-06T00:00:00"/>
    <s v="North"/>
    <s v="Individual"/>
    <s v="Office"/>
    <s v="Ergonomic Keyboard"/>
    <n v="1"/>
    <n v="69.989999999999995"/>
    <n v="38.4"/>
    <n v="0.05"/>
    <n v="2"/>
    <n v="5"/>
    <s v="No"/>
    <s v="Online"/>
    <s v="Card"/>
    <s v="Individual"/>
    <s v="North"/>
    <s v="Office"/>
    <x v="168"/>
    <n v="1"/>
    <s v="Ergonomic Keyboard"/>
    <n v="66.490499999999997"/>
    <n v="38.4"/>
    <n v="28.090499999999999"/>
    <n v="0.42247388724705032"/>
  </r>
  <r>
    <s v="BC-101476"/>
    <d v="2025-10-01T00:00:00"/>
    <s v="South"/>
    <s v="Individual"/>
    <s v="Electronics"/>
    <s v="Portable Speaker"/>
    <n v="3"/>
    <n v="74.16"/>
    <n v="44.45"/>
    <n v="0.15000000000000002"/>
    <n v="0"/>
    <n v="5"/>
    <s v="No"/>
    <s v="Store"/>
    <s v="Bank Transfer"/>
    <s v="Individual"/>
    <s v="South"/>
    <s v="Electronics"/>
    <x v="128"/>
    <n v="1"/>
    <s v="Portable Speaker"/>
    <n v="189.10799999999998"/>
    <n v="133.35000000000002"/>
    <n v="55.757999999999953"/>
    <n v="0.29484738879370498"/>
  </r>
  <r>
    <s v="BC-100800"/>
    <d v="2025-07-29T00:00:00"/>
    <s v="Midlands"/>
    <s v="Individual"/>
    <s v="Furniture"/>
    <s v="Bookshelf"/>
    <n v="1"/>
    <n v="119.05"/>
    <n v="71.709999999999994"/>
    <n v="0"/>
    <n v="5"/>
    <n v="5"/>
    <s v="No"/>
    <s v="Online"/>
    <s v="Card"/>
    <s v="Individual"/>
    <s v="Midlands"/>
    <s v="Furniture"/>
    <x v="273"/>
    <n v="1"/>
    <s v="Bookshelf"/>
    <n v="119.05"/>
    <n v="71.709999999999994"/>
    <n v="47.34"/>
    <n v="0.39764804703905926"/>
  </r>
  <r>
    <s v="BC-101112"/>
    <d v="2025-08-20T00:00:00"/>
    <s v="South"/>
    <s v="Individual"/>
    <s v="Furniture"/>
    <s v="Side Table"/>
    <n v="2"/>
    <n v="93.42"/>
    <n v="54.95"/>
    <n v="0.2"/>
    <n v="1"/>
    <n v="4"/>
    <s v="No"/>
    <s v="Store"/>
    <s v="Digital Wallet"/>
    <s v="Individual"/>
    <s v="South"/>
    <s v="Furniture"/>
    <x v="99"/>
    <n v="1"/>
    <s v="Side Table"/>
    <n v="149.47200000000001"/>
    <n v="109.9"/>
    <n v="39.572000000000003"/>
    <n v="0.26474523656604582"/>
  </r>
  <r>
    <s v="BC-101485"/>
    <d v="2025-07-18T00:00:00"/>
    <s v="South"/>
    <s v="Small Business"/>
    <s v="Home &amp; Kitchen"/>
    <s v="Electric Kettle"/>
    <n v="1"/>
    <n v="38.97"/>
    <n v="20.98"/>
    <n v="0.1"/>
    <n v="5"/>
    <n v="4"/>
    <s v="No"/>
    <s v="Phone"/>
    <s v="Card"/>
    <s v="Small Business"/>
    <s v="South"/>
    <s v="Home &amp; Kitchen"/>
    <x v="145"/>
    <n v="1"/>
    <s v="Electric Kettle"/>
    <n v="35.073"/>
    <n v="20.98"/>
    <n v="14.093"/>
    <n v="0.40181906309696919"/>
  </r>
  <r>
    <s v="BC-101470"/>
    <d v="2025-12-09T00:00:00"/>
    <s v="North"/>
    <s v="Individual"/>
    <s v="Furniture"/>
    <s v="Storage Cabinet"/>
    <n v="2"/>
    <n v="157.84"/>
    <n v="103.48"/>
    <n v="0.05"/>
    <n v="6"/>
    <n v="3"/>
    <s v="No"/>
    <s v="Online"/>
    <s v="Bank Transfer"/>
    <s v="Individual"/>
    <s v="North"/>
    <s v="Furniture"/>
    <x v="112"/>
    <n v="1"/>
    <s v="Storage Cabinet"/>
    <n v="299.89600000000002"/>
    <n v="206.96"/>
    <n v="92.936000000000007"/>
    <n v="0.30989409662016165"/>
  </r>
  <r>
    <s v="BC-101375"/>
    <d v="2025-10-14T00:00:00"/>
    <s v="North"/>
    <s v="Individual"/>
    <s v="Home &amp; Kitchen"/>
    <s v="Air Fryer"/>
    <n v="2"/>
    <n v="108.53"/>
    <n v="67.16"/>
    <n v="0"/>
    <n v="7"/>
    <n v="4"/>
    <s v="No"/>
    <s v="Online"/>
    <s v="Card"/>
    <s v="Individual"/>
    <s v="North"/>
    <s v="Home &amp; Kitchen"/>
    <x v="252"/>
    <n v="1"/>
    <s v="Air Fryer"/>
    <n v="217.06"/>
    <n v="134.32"/>
    <n v="82.740000000000009"/>
    <n v="0.38118492582696034"/>
  </r>
  <r>
    <s v="BC-100630"/>
    <d v="2025-12-24T00:00:00"/>
    <s v="South"/>
    <s v="Individual"/>
    <s v="Electronics"/>
    <s v="Portable Speaker"/>
    <n v="1"/>
    <n v="75"/>
    <n v="43.65"/>
    <n v="0.2"/>
    <n v="2"/>
    <n v="5"/>
    <s v="No"/>
    <s v="Store"/>
    <s v="Card"/>
    <s v="Individual"/>
    <s v="South"/>
    <s v="Electronics"/>
    <x v="316"/>
    <n v="1"/>
    <s v="Portable Speaker"/>
    <n v="60"/>
    <n v="43.65"/>
    <n v="16.350000000000001"/>
    <n v="0.27250000000000002"/>
  </r>
  <r>
    <s v="BC-100261"/>
    <d v="2025-09-12T00:00:00"/>
    <s v="London"/>
    <s v="Individual"/>
    <s v="Electronics"/>
    <s v="SmartHome Hub"/>
    <n v="3"/>
    <n v="130.33000000000001"/>
    <n v="86.54"/>
    <n v="0.1"/>
    <n v="5"/>
    <n v="3"/>
    <s v="Yes"/>
    <s v="Online"/>
    <s v="Card"/>
    <s v="Individual"/>
    <s v="London"/>
    <s v="Electronics"/>
    <x v="50"/>
    <n v="1"/>
    <s v="SmartHome Hub"/>
    <n v="351.89100000000002"/>
    <n v="259.62"/>
    <n v="92.271000000000015"/>
    <n v="0.2622147198990597"/>
  </r>
  <r>
    <s v="BC-101900"/>
    <d v="2025-11-29T00:00:00"/>
    <s v="North"/>
    <s v="Small Business"/>
    <s v="Electronics"/>
    <s v="SmartHome Hub"/>
    <n v="2"/>
    <n v="129.29"/>
    <n v="87.89"/>
    <n v="0.15000000000000002"/>
    <n v="0"/>
    <n v="4"/>
    <s v="No"/>
    <s v="Store"/>
    <s v="Bank Transfer"/>
    <s v="Small Business"/>
    <s v="North"/>
    <s v="Electronics"/>
    <x v="8"/>
    <n v="1"/>
    <s v="SmartHome Hub"/>
    <n v="219.79299999999998"/>
    <n v="175.78"/>
    <n v="44.012999999999977"/>
    <n v="0.20024750560754884"/>
  </r>
  <r>
    <s v="BC-100655"/>
    <d v="2025-12-15T00:00:00"/>
    <s v="South"/>
    <s v="Individual"/>
    <s v="Home &amp; Kitchen"/>
    <s v="Electric Kettle"/>
    <n v="2"/>
    <n v="40.94"/>
    <n v="20.96"/>
    <n v="0.1"/>
    <n v="2"/>
    <n v="3"/>
    <s v="Yes"/>
    <s v="Store"/>
    <s v="Bank Transfer"/>
    <s v="Individual"/>
    <s v="South"/>
    <s v="Home &amp; Kitchen"/>
    <x v="299"/>
    <n v="1"/>
    <s v="Electric Kettle"/>
    <n v="73.691999999999993"/>
    <n v="41.92"/>
    <n v="31.771999999999991"/>
    <n v="0.43114585029582581"/>
  </r>
  <r>
    <s v="BC-100389"/>
    <d v="2025-12-13T00:00:00"/>
    <s v="North"/>
    <s v="Corporate"/>
    <s v="Electronics"/>
    <s v="SmartHome Hub"/>
    <n v="4"/>
    <n v="130.38999999999999"/>
    <n v="82.03"/>
    <n v="0.1"/>
    <n v="4"/>
    <n v="3"/>
    <s v="Yes"/>
    <s v="Online"/>
    <s v="Digital Wallet"/>
    <s v="Corporate"/>
    <s v="North"/>
    <s v="Electronics"/>
    <x v="219"/>
    <n v="1"/>
    <s v="SmartHome Hub"/>
    <n v="469.40399999999994"/>
    <n v="328.12"/>
    <n v="141.28399999999993"/>
    <n v="0.30098593109560201"/>
  </r>
  <r>
    <s v="BC-100670"/>
    <d v="2025-06-23T00:00:00"/>
    <s v="North"/>
    <s v="Individual"/>
    <s v="Furniture"/>
    <s v="Side Table"/>
    <n v="1"/>
    <n v="93.57"/>
    <n v="52.81"/>
    <n v="0"/>
    <n v="2"/>
    <n v="4"/>
    <s v="No"/>
    <s v="Store"/>
    <s v="Card"/>
    <s v="Individual"/>
    <s v="North"/>
    <s v="Furniture"/>
    <x v="41"/>
    <n v="1"/>
    <s v="Side Table"/>
    <n v="93.57"/>
    <n v="52.81"/>
    <n v="40.759999999999991"/>
    <n v="0.43560970396494597"/>
  </r>
  <r>
    <s v="BC-101838"/>
    <d v="2025-01-26T00:00:00"/>
    <s v="South"/>
    <s v="Individual"/>
    <s v="Furniture"/>
    <s v="Side Table"/>
    <n v="1"/>
    <n v="87.43"/>
    <n v="55.39"/>
    <n v="0"/>
    <n v="6"/>
    <n v="4"/>
    <s v="No"/>
    <s v="Phone"/>
    <s v="Card"/>
    <s v="Individual"/>
    <s v="South"/>
    <s v="Furniture"/>
    <x v="237"/>
    <n v="1"/>
    <s v="Side Table"/>
    <n v="87.43"/>
    <n v="55.39"/>
    <n v="32.040000000000006"/>
    <n v="0.36646460025162991"/>
  </r>
  <r>
    <s v="BC-101491"/>
    <d v="2025-02-27T00:00:00"/>
    <s v="North"/>
    <s v="Individual"/>
    <s v="Furniture"/>
    <s v="Bookshelf"/>
    <n v="1"/>
    <n v="119.97"/>
    <n v="72.3"/>
    <n v="0.05"/>
    <n v="0"/>
    <n v="4"/>
    <s v="No"/>
    <s v="Store"/>
    <s v="Card"/>
    <s v="Individual"/>
    <s v="North"/>
    <s v="Furniture"/>
    <x v="317"/>
    <n v="1"/>
    <s v="Bookshelf"/>
    <n v="113.97149999999999"/>
    <n v="72.3"/>
    <n v="41.671499999999995"/>
    <n v="0.36563088140456163"/>
  </r>
  <r>
    <s v="BC-101519"/>
    <d v="2025-12-20T00:00:00"/>
    <s v="North"/>
    <s v="Individual"/>
    <s v="Home &amp; Kitchen"/>
    <s v="Blender"/>
    <n v="2"/>
    <n v="65.94"/>
    <n v="34.94"/>
    <n v="0.2"/>
    <n v="0"/>
    <n v="5"/>
    <s v="No"/>
    <s v="Store"/>
    <s v="Digital Wallet"/>
    <s v="Individual"/>
    <s v="North"/>
    <s v="Home &amp; Kitchen"/>
    <x v="220"/>
    <n v="1"/>
    <s v="Blender"/>
    <n v="105.504"/>
    <n v="69.88"/>
    <n v="35.624000000000009"/>
    <n v="0.33765544434334249"/>
  </r>
  <r>
    <s v="BC-100456"/>
    <d v="2025-07-24T00:00:00"/>
    <s v="South"/>
    <s v="Individual"/>
    <s v="Home &amp; Kitchen"/>
    <s v="Electric Kettle"/>
    <n v="1"/>
    <n v="38.85"/>
    <n v="20.81"/>
    <n v="0"/>
    <n v="0"/>
    <n v="5"/>
    <s v="No"/>
    <s v="Store"/>
    <s v="Card"/>
    <s v="Individual"/>
    <s v="South"/>
    <s v="Home &amp; Kitchen"/>
    <x v="291"/>
    <n v="1"/>
    <s v="Electric Kettle"/>
    <n v="38.85"/>
    <n v="20.81"/>
    <n v="18.040000000000003"/>
    <n v="0.46435006435006443"/>
  </r>
  <r>
    <s v="BC-101350"/>
    <d v="2025-01-13T00:00:00"/>
    <s v="North"/>
    <s v="Individual"/>
    <s v="Office"/>
    <s v="Ergonomic Keyboard"/>
    <n v="1"/>
    <n v="68.67"/>
    <n v="38.4"/>
    <n v="0.1"/>
    <n v="1"/>
    <n v="5"/>
    <s v="No"/>
    <s v="Store"/>
    <s v="Card"/>
    <s v="Individual"/>
    <s v="North"/>
    <s v="Office"/>
    <x v="186"/>
    <n v="1"/>
    <s v="Ergonomic Keyboard"/>
    <n v="61.803000000000004"/>
    <n v="38.4"/>
    <n v="23.403000000000006"/>
    <n v="0.37867093830396592"/>
  </r>
  <r>
    <s v="BC-100276"/>
    <d v="2025-05-19T00:00:00"/>
    <s v="South"/>
    <s v="Small Business"/>
    <s v="Electronics"/>
    <s v="SmartHome Hub"/>
    <n v="1"/>
    <n v="126.11"/>
    <n v="85.82"/>
    <n v="0.1"/>
    <n v="1"/>
    <n v="4"/>
    <s v="No"/>
    <s v="Online"/>
    <s v="Card"/>
    <s v="Small Business"/>
    <s v="South"/>
    <s v="Electronics"/>
    <x v="257"/>
    <n v="1"/>
    <s v="SmartHome Hub"/>
    <n v="113.499"/>
    <n v="85.82"/>
    <n v="27.679000000000002"/>
    <n v="0.24386999004396517"/>
  </r>
  <r>
    <s v="BC-100384"/>
    <d v="2025-11-28T00:00:00"/>
    <s v="Midlands"/>
    <s v="Small Business"/>
    <s v="Electronics"/>
    <s v="Wireless Headset"/>
    <n v="1"/>
    <n v="60.41"/>
    <n v="33.42"/>
    <n v="0.15000000000000002"/>
    <n v="5"/>
    <n v="4"/>
    <s v="No"/>
    <s v="Online"/>
    <s v="Card"/>
    <s v="Small Business"/>
    <s v="Midlands"/>
    <s v="Electronics"/>
    <x v="43"/>
    <n v="1"/>
    <s v="Wireless Headset"/>
    <n v="51.348499999999994"/>
    <n v="33.42"/>
    <n v="17.928499999999993"/>
    <n v="0.34915333456673503"/>
  </r>
  <r>
    <s v="BC-100831"/>
    <d v="2025-01-12T00:00:00"/>
    <s v="South"/>
    <s v="Individual"/>
    <s v="Electronics"/>
    <s v="Wireless Headset"/>
    <n v="3"/>
    <n v="61.12"/>
    <n v="33.869999999999997"/>
    <n v="0.05"/>
    <n v="6"/>
    <n v="4"/>
    <s v="No"/>
    <s v="Online"/>
    <s v="Bank Transfer"/>
    <s v="Individual"/>
    <s v="South"/>
    <s v="Electronics"/>
    <x v="141"/>
    <n v="1"/>
    <s v="Wireless Headset"/>
    <n v="174.19199999999998"/>
    <n v="101.60999999999999"/>
    <n v="72.581999999999994"/>
    <n v="0.41667814825020666"/>
  </r>
  <r>
    <s v="BC-101396"/>
    <d v="2025-01-09T00:00:00"/>
    <s v="South"/>
    <s v="Individual"/>
    <s v="Office"/>
    <s v="Ergonomic Keyboard"/>
    <n v="1"/>
    <n v="71.69"/>
    <n v="38.56"/>
    <n v="0.1"/>
    <n v="1"/>
    <n v="4"/>
    <s v="No"/>
    <s v="Store"/>
    <s v="Card"/>
    <s v="Individual"/>
    <s v="South"/>
    <s v="Office"/>
    <x v="251"/>
    <n v="1"/>
    <s v="Ergonomic Keyboard"/>
    <n v="64.521000000000001"/>
    <n v="38.56"/>
    <n v="25.960999999999999"/>
    <n v="0.40236512143333175"/>
  </r>
  <r>
    <s v="BC-101763"/>
    <d v="2025-03-05T00:00:00"/>
    <s v="London"/>
    <s v="Corporate"/>
    <s v="Office"/>
    <s v="Desk Lamp"/>
    <n v="6"/>
    <n v="40.94"/>
    <n v="19.059999999999999"/>
    <n v="0.05"/>
    <n v="3"/>
    <n v="4"/>
    <s v="No"/>
    <s v="Phone"/>
    <s v="Card"/>
    <s v="Corporate"/>
    <s v="London"/>
    <s v="Office"/>
    <x v="201"/>
    <n v="1"/>
    <s v="Desk Lamp"/>
    <n v="233.35799999999998"/>
    <n v="114.35999999999999"/>
    <n v="118.99799999999999"/>
    <n v="0.5099375208906487"/>
  </r>
  <r>
    <s v="BC-100319"/>
    <d v="2025-12-04T00:00:00"/>
    <s v="South"/>
    <s v="Individual"/>
    <s v="Home &amp; Kitchen"/>
    <s v="Electric Kettle"/>
    <n v="1"/>
    <n v="39.82"/>
    <n v="20.05"/>
    <n v="0.1"/>
    <n v="4"/>
    <n v="3"/>
    <s v="Yes"/>
    <s v="Online"/>
    <s v="Card"/>
    <s v="Individual"/>
    <s v="South"/>
    <s v="Home &amp; Kitchen"/>
    <x v="75"/>
    <n v="1"/>
    <s v="Electric Kettle"/>
    <n v="35.838000000000001"/>
    <n v="20.05"/>
    <n v="15.788"/>
    <n v="0.44053797644957865"/>
  </r>
  <r>
    <s v="BC-100485"/>
    <d v="2025-08-04T00:00:00"/>
    <s v="Midlands"/>
    <s v="Individual"/>
    <s v="Office"/>
    <s v="Wireless Mouse"/>
    <n v="1"/>
    <n v="36.049999999999997"/>
    <n v="17.68"/>
    <n v="0.1"/>
    <n v="4"/>
    <n v="4"/>
    <s v="No"/>
    <s v="Online"/>
    <s v="Card"/>
    <s v="Individual"/>
    <s v="Midlands"/>
    <s v="Office"/>
    <x v="318"/>
    <n v="1"/>
    <s v="Wireless Mouse"/>
    <n v="32.445"/>
    <n v="17.68"/>
    <n v="14.765000000000001"/>
    <n v="0.45507782400986285"/>
  </r>
  <r>
    <s v="BC-100405"/>
    <d v="2025-03-10T00:00:00"/>
    <s v="Midlands"/>
    <s v="Individual"/>
    <s v="Home &amp; Kitchen"/>
    <s v="Electric Kettle"/>
    <n v="1"/>
    <n v="39.71"/>
    <n v="19.62"/>
    <n v="0"/>
    <n v="2"/>
    <n v="4"/>
    <s v="No"/>
    <s v="Online"/>
    <s v="Card"/>
    <s v="Individual"/>
    <s v="Midlands"/>
    <s v="Home &amp; Kitchen"/>
    <x v="96"/>
    <n v="1"/>
    <s v="Electric Kettle"/>
    <n v="39.71"/>
    <n v="19.62"/>
    <n v="20.09"/>
    <n v="0.50591790480987153"/>
  </r>
  <r>
    <s v="BC-100106"/>
    <d v="2025-11-09T00:00:00"/>
    <s v="London"/>
    <s v="Individual"/>
    <s v="Office"/>
    <s v="Laptop Stand"/>
    <n v="1"/>
    <n v="45.81"/>
    <n v="21.48"/>
    <n v="0.1"/>
    <n v="6"/>
    <n v="4"/>
    <s v="No"/>
    <s v="Online"/>
    <s v="Digital Wallet"/>
    <s v="Individual"/>
    <s v="London"/>
    <s v="Office"/>
    <x v="67"/>
    <n v="1"/>
    <s v="Laptop Stand"/>
    <n v="41.229000000000006"/>
    <n v="21.48"/>
    <n v="19.749000000000006"/>
    <n v="0.47900749472458715"/>
  </r>
  <r>
    <s v="BC-101014"/>
    <d v="2025-09-08T00:00:00"/>
    <s v="North"/>
    <s v="Small Business"/>
    <s v="Electronics"/>
    <s v="Wireless Headset"/>
    <n v="1"/>
    <n v="58.55"/>
    <n v="33.409999999999997"/>
    <n v="0"/>
    <n v="2"/>
    <n v="4"/>
    <s v="No"/>
    <s v="Online"/>
    <s v="Digital Wallet"/>
    <s v="Small Business"/>
    <s v="North"/>
    <s v="Electronics"/>
    <x v="301"/>
    <n v="1"/>
    <s v="Wireless Headset"/>
    <n v="58.55"/>
    <n v="33.409999999999997"/>
    <n v="25.14"/>
    <n v="0.42937660119555937"/>
  </r>
  <r>
    <s v="BC-101007"/>
    <d v="2025-08-11T00:00:00"/>
    <s v="North"/>
    <s v="Small Business"/>
    <s v="Office"/>
    <s v="Laptop Stand"/>
    <n v="1"/>
    <n v="45.01"/>
    <n v="21.64"/>
    <n v="0.05"/>
    <n v="3"/>
    <n v="4"/>
    <s v="No"/>
    <s v="Online"/>
    <s v="Bank Transfer"/>
    <s v="Small Business"/>
    <s v="North"/>
    <s v="Office"/>
    <x v="148"/>
    <n v="1"/>
    <s v="Laptop Stand"/>
    <n v="42.759499999999996"/>
    <n v="21.64"/>
    <n v="21.119499999999995"/>
    <n v="0.49391363322770371"/>
  </r>
  <r>
    <s v="BC-100408"/>
    <d v="2025-06-16T00:00:00"/>
    <s v="South"/>
    <s v="Individual"/>
    <s v="Electronics"/>
    <s v="Webcam"/>
    <n v="1"/>
    <n v="50.6"/>
    <n v="25.68"/>
    <n v="0.2"/>
    <n v="4"/>
    <n v="5"/>
    <s v="No"/>
    <s v="Online"/>
    <s v="Card"/>
    <s v="Individual"/>
    <s v="South"/>
    <s v="Electronics"/>
    <x v="270"/>
    <n v="1"/>
    <s v="Webcam"/>
    <n v="40.480000000000004"/>
    <n v="25.68"/>
    <n v="14.800000000000004"/>
    <n v="0.36561264822134393"/>
  </r>
  <r>
    <s v="BC-100149"/>
    <d v="2025-09-20T00:00:00"/>
    <s v="South"/>
    <s v="Small Business"/>
    <s v="Electronics"/>
    <s v="Portable Speaker"/>
    <n v="4"/>
    <n v="77.64"/>
    <n v="44.6"/>
    <n v="0.1"/>
    <n v="0"/>
    <n v="4"/>
    <s v="No"/>
    <s v="Store"/>
    <s v="Card"/>
    <s v="Small Business"/>
    <s v="South"/>
    <s v="Electronics"/>
    <x v="76"/>
    <n v="1"/>
    <s v="Portable Speaker"/>
    <n v="279.50400000000002"/>
    <n v="178.4"/>
    <n v="101.10400000000001"/>
    <n v="0.36172648691968634"/>
  </r>
  <r>
    <s v="BC-101508"/>
    <d v="2025-05-26T00:00:00"/>
    <s v="London"/>
    <s v="Individual"/>
    <s v="Home &amp; Kitchen"/>
    <s v="Air Fryer"/>
    <n v="1"/>
    <n v="107.79"/>
    <n v="66.989999999999995"/>
    <n v="0.05"/>
    <n v="1"/>
    <n v="5"/>
    <s v="No"/>
    <s v="Store"/>
    <s v="Card"/>
    <s v="Individual"/>
    <s v="London"/>
    <s v="Home &amp; Kitchen"/>
    <x v="279"/>
    <n v="1"/>
    <s v="Air Fryer"/>
    <n v="102.40050000000001"/>
    <n v="66.989999999999995"/>
    <n v="35.410500000000013"/>
    <n v="0.34580397556652565"/>
  </r>
  <r>
    <s v="BC-101863"/>
    <d v="2025-04-27T00:00:00"/>
    <s v="Midlands"/>
    <s v="Small Business"/>
    <s v="Home &amp; Kitchen"/>
    <s v="Blender"/>
    <n v="4"/>
    <n v="63.05"/>
    <n v="34.270000000000003"/>
    <n v="0"/>
    <n v="0"/>
    <n v="5"/>
    <s v="No"/>
    <s v="Store"/>
    <s v="Card"/>
    <s v="Small Business"/>
    <s v="Midlands"/>
    <s v="Home &amp; Kitchen"/>
    <x v="233"/>
    <n v="1"/>
    <s v="Blender"/>
    <n v="252.2"/>
    <n v="137.08000000000001"/>
    <n v="115.11999999999998"/>
    <n v="0.45646312450436155"/>
  </r>
  <r>
    <s v="BC-100174"/>
    <d v="2025-03-02T00:00:00"/>
    <s v="North"/>
    <s v="Small Business"/>
    <s v="Electronics"/>
    <s v="SmartHome Hub"/>
    <n v="4"/>
    <n v="130.22"/>
    <n v="87.64"/>
    <n v="0"/>
    <n v="4"/>
    <n v="4"/>
    <s v="No"/>
    <s v="Online"/>
    <s v="Card"/>
    <s v="Small Business"/>
    <s v="North"/>
    <s v="Electronics"/>
    <x v="211"/>
    <n v="1"/>
    <s v="SmartHome Hub"/>
    <n v="520.88"/>
    <n v="350.56"/>
    <n v="170.32"/>
    <n v="0.32698510213484872"/>
  </r>
  <r>
    <s v="BC-100212"/>
    <d v="2025-03-11T00:00:00"/>
    <s v="London"/>
    <s v="Small Business"/>
    <s v="Home &amp; Kitchen"/>
    <s v="Electric Kettle"/>
    <n v="3"/>
    <n v="39.729999999999997"/>
    <n v="19.829999999999998"/>
    <n v="0"/>
    <n v="5"/>
    <n v="4"/>
    <s v="No"/>
    <s v="Store"/>
    <s v="Card"/>
    <s v="Small Business"/>
    <s v="London"/>
    <s v="Home &amp; Kitchen"/>
    <x v="260"/>
    <n v="1"/>
    <s v="Electric Kettle"/>
    <n v="119.19"/>
    <n v="59.489999999999995"/>
    <n v="59.7"/>
    <n v="0.50088094638811986"/>
  </r>
  <r>
    <s v="BC-101829"/>
    <d v="2025-10-17T00:00:00"/>
    <s v="South"/>
    <s v="Individual"/>
    <s v="Electronics"/>
    <s v="Webcam"/>
    <n v="1"/>
    <n v="50"/>
    <n v="26.85"/>
    <n v="0.15000000000000002"/>
    <n v="2"/>
    <n v="4"/>
    <s v="No"/>
    <s v="Online"/>
    <s v="Digital Wallet"/>
    <s v="Individual"/>
    <s v="South"/>
    <s v="Electronics"/>
    <x v="319"/>
    <n v="1"/>
    <s v="Webcam"/>
    <n v="42.5"/>
    <n v="26.85"/>
    <n v="15.649999999999999"/>
    <n v="0.36823529411764705"/>
  </r>
  <r>
    <s v="BC-101725"/>
    <d v="2025-02-12T00:00:00"/>
    <s v="Midlands"/>
    <s v="Individual"/>
    <s v="Electronics"/>
    <s v="Portable Speaker"/>
    <n v="2"/>
    <n v="74.81"/>
    <n v="42.37"/>
    <n v="0.05"/>
    <n v="3"/>
    <n v="4"/>
    <s v="No"/>
    <s v="Online"/>
    <s v="Card"/>
    <s v="Individual"/>
    <s v="Midlands"/>
    <s v="Electronics"/>
    <x v="313"/>
    <n v="1"/>
    <s v="Portable Speaker"/>
    <n v="142.13900000000001"/>
    <n v="84.74"/>
    <n v="57.399000000000015"/>
    <n v="0.40382301831305983"/>
  </r>
  <r>
    <s v="BC-100347"/>
    <d v="2025-05-20T00:00:00"/>
    <s v="South"/>
    <s v="Individual"/>
    <s v="Electronics"/>
    <s v="Wireless Headset"/>
    <n v="2"/>
    <n v="60.71"/>
    <n v="35.69"/>
    <n v="0.05"/>
    <n v="1"/>
    <n v="4"/>
    <s v="No"/>
    <s v="Store"/>
    <s v="Card"/>
    <s v="Individual"/>
    <s v="South"/>
    <s v="Electronics"/>
    <x v="127"/>
    <n v="1"/>
    <s v="Wireless Headset"/>
    <n v="115.34899999999999"/>
    <n v="71.38"/>
    <n v="43.968999999999994"/>
    <n v="0.38118232494429943"/>
  </r>
  <r>
    <s v="BC-100418"/>
    <d v="2025-04-11T00:00:00"/>
    <s v="London"/>
    <s v="Individual"/>
    <s v="Electronics"/>
    <s v="Webcam"/>
    <n v="1"/>
    <n v="50.7"/>
    <n v="26.83"/>
    <n v="0.1"/>
    <n v="5"/>
    <n v="4"/>
    <s v="No"/>
    <s v="Online"/>
    <s v="Digital Wallet"/>
    <s v="Individual"/>
    <s v="London"/>
    <s v="Electronics"/>
    <x v="271"/>
    <n v="1"/>
    <s v="Webcam"/>
    <n v="45.63"/>
    <n v="26.83"/>
    <n v="18.800000000000004"/>
    <n v="0.41200964277887364"/>
  </r>
  <r>
    <s v="BC-101488"/>
    <d v="2025-10-18T00:00:00"/>
    <s v="London"/>
    <s v="Individual"/>
    <s v="Office"/>
    <s v="Wireless Mouse"/>
    <n v="3"/>
    <n v="34.840000000000003"/>
    <n v="17.739999999999998"/>
    <n v="0.05"/>
    <n v="0"/>
    <n v="4"/>
    <s v="No"/>
    <s v="Store"/>
    <s v="Digital Wallet"/>
    <s v="Individual"/>
    <s v="London"/>
    <s v="Office"/>
    <x v="311"/>
    <n v="1"/>
    <s v="Wireless Mouse"/>
    <n v="99.294000000000011"/>
    <n v="53.22"/>
    <n v="46.074000000000012"/>
    <n v="0.46401595262553635"/>
  </r>
  <r>
    <s v="BC-101100"/>
    <d v="2025-01-02T00:00:00"/>
    <s v="South"/>
    <s v="Individual"/>
    <s v="Office"/>
    <s v="Laptop Stand"/>
    <n v="1"/>
    <n v="43.69"/>
    <n v="21.57"/>
    <n v="0"/>
    <n v="4"/>
    <n v="4"/>
    <s v="No"/>
    <s v="Phone"/>
    <s v="Digital Wallet"/>
    <s v="Individual"/>
    <s v="South"/>
    <s v="Office"/>
    <x v="320"/>
    <n v="1"/>
    <s v="Laptop Stand"/>
    <n v="43.69"/>
    <n v="21.57"/>
    <n v="22.119999999999997"/>
    <n v="0.50629434653238725"/>
  </r>
  <r>
    <s v="BC-100233"/>
    <d v="2025-12-04T00:00:00"/>
    <s v="North"/>
    <s v="Individual"/>
    <s v="Home &amp; Kitchen"/>
    <s v="Electric Kettle"/>
    <n v="1"/>
    <n v="39.85"/>
    <n v="20.22"/>
    <n v="0.1"/>
    <n v="2"/>
    <n v="5"/>
    <s v="No"/>
    <s v="Online"/>
    <s v="Card"/>
    <s v="Individual"/>
    <s v="North"/>
    <s v="Home &amp; Kitchen"/>
    <x v="75"/>
    <n v="1"/>
    <s v="Electric Kettle"/>
    <n v="35.865000000000002"/>
    <n v="20.22"/>
    <n v="15.645000000000003"/>
    <n v="0.43621915516520293"/>
  </r>
  <r>
    <s v="BC-100468"/>
    <d v="2025-07-23T00:00:00"/>
    <s v="North"/>
    <s v="Individual"/>
    <s v="Home &amp; Kitchen"/>
    <s v="Coffee Maker"/>
    <n v="1"/>
    <n v="80.97"/>
    <n v="44.05"/>
    <n v="0.05"/>
    <n v="1"/>
    <n v="4"/>
    <s v="No"/>
    <s v="Store"/>
    <s v="Card"/>
    <s v="Individual"/>
    <s v="North"/>
    <s v="Home &amp; Kitchen"/>
    <x v="209"/>
    <n v="1"/>
    <s v="Coffee Maker"/>
    <n v="76.921499999999995"/>
    <n v="44.05"/>
    <n v="32.871499999999997"/>
    <n v="0.42733826043433892"/>
  </r>
  <r>
    <s v="BC-101484"/>
    <d v="2025-02-11T00:00:00"/>
    <s v="Midlands"/>
    <s v="Individual"/>
    <s v="Furniture"/>
    <s v="Storage Cabinet"/>
    <n v="1"/>
    <n v="158.57"/>
    <n v="98.24"/>
    <n v="0"/>
    <n v="4"/>
    <n v="3"/>
    <s v="Yes"/>
    <s v="Online"/>
    <s v="Bank Transfer"/>
    <s v="Individual"/>
    <s v="Midlands"/>
    <s v="Furniture"/>
    <x v="288"/>
    <n v="1"/>
    <s v="Storage Cabinet"/>
    <n v="158.57"/>
    <n v="98.24"/>
    <n v="60.33"/>
    <n v="0.38046288705303655"/>
  </r>
  <r>
    <s v="BC-101798"/>
    <d v="2025-06-13T00:00:00"/>
    <s v="London"/>
    <s v="Individual"/>
    <s v="Furniture"/>
    <s v="Storage Cabinet"/>
    <n v="1"/>
    <n v="164.09"/>
    <n v="102.54"/>
    <n v="0"/>
    <n v="4"/>
    <n v="4"/>
    <s v="No"/>
    <s v="Store"/>
    <s v="Card"/>
    <s v="Individual"/>
    <s v="London"/>
    <s v="Furniture"/>
    <x v="70"/>
    <n v="1"/>
    <s v="Storage Cabinet"/>
    <n v="164.09"/>
    <n v="102.54"/>
    <n v="61.55"/>
    <n v="0.37509903101956243"/>
  </r>
  <r>
    <s v="BC-100307"/>
    <d v="2025-02-03T00:00:00"/>
    <s v="North"/>
    <s v="Individual"/>
    <s v="Office"/>
    <s v="Wireless Mouse"/>
    <n v="1"/>
    <n v="33.94"/>
    <n v="17.059999999999999"/>
    <n v="0"/>
    <n v="0"/>
    <n v="5"/>
    <s v="No"/>
    <s v="Store"/>
    <s v="Card"/>
    <s v="Individual"/>
    <s v="North"/>
    <s v="Office"/>
    <x v="321"/>
    <n v="1"/>
    <s v="Wireless Mouse"/>
    <n v="33.94"/>
    <n v="17.059999999999999"/>
    <n v="16.88"/>
    <n v="0.49734826163818502"/>
  </r>
  <r>
    <s v="BC-100452"/>
    <d v="2025-10-21T00:00:00"/>
    <s v="South"/>
    <s v="Individual"/>
    <s v="Furniture"/>
    <s v="Bookshelf"/>
    <n v="1"/>
    <n v="118.78"/>
    <n v="71.25"/>
    <n v="0.1"/>
    <n v="4"/>
    <n v="4"/>
    <s v="No"/>
    <s v="Store"/>
    <s v="Card"/>
    <s v="Individual"/>
    <s v="South"/>
    <s v="Furniture"/>
    <x v="184"/>
    <n v="1"/>
    <s v="Bookshelf"/>
    <n v="106.902"/>
    <n v="71.25"/>
    <n v="35.652000000000001"/>
    <n v="0.33350171184823485"/>
  </r>
  <r>
    <s v="BC-101329"/>
    <d v="2025-08-20T00:00:00"/>
    <s v="North"/>
    <s v="Individual"/>
    <s v="Furniture"/>
    <s v="Office Chair"/>
    <n v="1"/>
    <n v="177.26"/>
    <n v="118.74"/>
    <n v="0"/>
    <n v="4"/>
    <n v="5"/>
    <s v="No"/>
    <s v="Online"/>
    <s v="Digital Wallet"/>
    <s v="Individual"/>
    <s v="North"/>
    <s v="Furniture"/>
    <x v="99"/>
    <n v="1"/>
    <s v="Office Chair"/>
    <n v="177.26"/>
    <n v="118.74"/>
    <n v="58.519999999999996"/>
    <n v="0.33013652262213694"/>
  </r>
  <r>
    <s v="BC-100204"/>
    <d v="2025-09-15T00:00:00"/>
    <s v="London"/>
    <s v="Small Business"/>
    <s v="Home &amp; Kitchen"/>
    <s v="Electric Kettle"/>
    <n v="1"/>
    <n v="41.29"/>
    <n v="19.420000000000002"/>
    <n v="0.05"/>
    <n v="4"/>
    <n v="4"/>
    <s v="No"/>
    <s v="Phone"/>
    <s v="Card"/>
    <s v="Small Business"/>
    <s v="London"/>
    <s v="Home &amp; Kitchen"/>
    <x v="100"/>
    <n v="1"/>
    <s v="Electric Kettle"/>
    <n v="39.225499999999997"/>
    <n v="19.420000000000002"/>
    <n v="19.805499999999995"/>
    <n v="0.5049138952977017"/>
  </r>
  <r>
    <s v="BC-101237"/>
    <d v="2025-04-06T00:00:00"/>
    <s v="Midlands"/>
    <s v="Individual"/>
    <s v="Home &amp; Kitchen"/>
    <s v="Blender"/>
    <n v="1"/>
    <n v="64.739999999999995"/>
    <n v="36.43"/>
    <n v="0.1"/>
    <n v="4"/>
    <n v="4"/>
    <s v="No"/>
    <s v="Online"/>
    <s v="Bank Transfer"/>
    <s v="Individual"/>
    <s v="Midlands"/>
    <s v="Home &amp; Kitchen"/>
    <x v="107"/>
    <n v="1"/>
    <s v="Blender"/>
    <n v="58.265999999999998"/>
    <n v="36.43"/>
    <n v="21.835999999999999"/>
    <n v="0.37476401331823017"/>
  </r>
  <r>
    <s v="BC-100049"/>
    <d v="2025-12-25T00:00:00"/>
    <s v="North"/>
    <s v="Individual"/>
    <s v="Furniture"/>
    <s v="Storage Cabinet"/>
    <n v="2"/>
    <n v="156.55000000000001"/>
    <n v="104.41"/>
    <n v="0.05"/>
    <n v="7"/>
    <n v="4"/>
    <s v="No"/>
    <s v="Online"/>
    <s v="Card"/>
    <s v="Individual"/>
    <s v="North"/>
    <s v="Furniture"/>
    <x v="28"/>
    <n v="1"/>
    <s v="Storage Cabinet"/>
    <n v="297.44499999999999"/>
    <n v="208.82"/>
    <n v="88.625"/>
    <n v="0.29795424364168166"/>
  </r>
  <r>
    <s v="BC-101188"/>
    <d v="2025-01-13T00:00:00"/>
    <s v="South"/>
    <s v="Individual"/>
    <s v="Home &amp; Kitchen"/>
    <s v="Electric Kettle"/>
    <n v="4"/>
    <n v="40.65"/>
    <n v="19.89"/>
    <n v="0.15000000000000002"/>
    <n v="5"/>
    <n v="4"/>
    <s v="No"/>
    <s v="Online"/>
    <s v="Card"/>
    <s v="Individual"/>
    <s v="South"/>
    <s v="Home &amp; Kitchen"/>
    <x v="186"/>
    <n v="1"/>
    <s v="Electric Kettle"/>
    <n v="138.20999999999998"/>
    <n v="79.56"/>
    <n v="58.649999999999977"/>
    <n v="0.42435424354243534"/>
  </r>
  <r>
    <s v="BC-101666"/>
    <d v="2025-04-12T00:00:00"/>
    <s v="South"/>
    <s v="Individual"/>
    <s v="Home &amp; Kitchen"/>
    <s v="Coffee Maker"/>
    <n v="1"/>
    <n v="78.08"/>
    <n v="45.62"/>
    <n v="0.1"/>
    <n v="3"/>
    <n v="4"/>
    <s v="No"/>
    <s v="Online"/>
    <s v="Card"/>
    <s v="Individual"/>
    <s v="South"/>
    <s v="Home &amp; Kitchen"/>
    <x v="306"/>
    <n v="1"/>
    <s v="Coffee Maker"/>
    <n v="70.272000000000006"/>
    <n v="45.62"/>
    <n v="24.652000000000008"/>
    <n v="0.35080828779599282"/>
  </r>
  <r>
    <s v="BC-101452"/>
    <d v="2025-04-18T00:00:00"/>
    <s v="London"/>
    <s v="Individual"/>
    <s v="Home &amp; Kitchen"/>
    <s v="Air Fryer"/>
    <n v="2"/>
    <n v="112.72"/>
    <n v="68.81"/>
    <n v="0.05"/>
    <n v="3"/>
    <n v="5"/>
    <s v="No"/>
    <s v="Phone"/>
    <s v="Card"/>
    <s v="Individual"/>
    <s v="London"/>
    <s v="Home &amp; Kitchen"/>
    <x v="72"/>
    <n v="1"/>
    <s v="Air Fryer"/>
    <n v="214.16799999999998"/>
    <n v="137.62"/>
    <n v="76.547999999999973"/>
    <n v="0.35742034290837094"/>
  </r>
  <r>
    <s v="BC-101345"/>
    <d v="2025-07-28T00:00:00"/>
    <s v="London"/>
    <s v="Small Business"/>
    <s v="Furniture"/>
    <s v="Side Table"/>
    <n v="4"/>
    <n v="89.22"/>
    <n v="55.9"/>
    <n v="0.1"/>
    <n v="3"/>
    <n v="5"/>
    <s v="No"/>
    <s v="Store"/>
    <s v="Card"/>
    <s v="Small Business"/>
    <s v="London"/>
    <s v="Furniture"/>
    <x v="39"/>
    <n v="1"/>
    <s v="Side Table"/>
    <n v="321.19200000000001"/>
    <n v="223.6"/>
    <n v="97.592000000000013"/>
    <n v="0.30384318413908196"/>
  </r>
  <r>
    <s v="BC-100602"/>
    <d v="2025-12-23T00:00:00"/>
    <s v="South"/>
    <s v="Individual"/>
    <s v="Home &amp; Kitchen"/>
    <s v="Electric Kettle"/>
    <n v="3"/>
    <n v="40.200000000000003"/>
    <n v="20.440000000000001"/>
    <n v="0.05"/>
    <n v="3"/>
    <n v="4"/>
    <s v="No"/>
    <s v="Store"/>
    <s v="Card"/>
    <s v="Individual"/>
    <s v="South"/>
    <s v="Home &amp; Kitchen"/>
    <x v="214"/>
    <n v="1"/>
    <s v="Electric Kettle"/>
    <n v="114.57000000000001"/>
    <n v="61.320000000000007"/>
    <n v="53.25"/>
    <n v="0.46478135637601464"/>
  </r>
  <r>
    <s v="BC-101252"/>
    <d v="2025-04-27T00:00:00"/>
    <s v="North"/>
    <s v="Small Business"/>
    <s v="Office"/>
    <s v="Wireless Mouse"/>
    <n v="2"/>
    <n v="33.99"/>
    <n v="17.21"/>
    <n v="0"/>
    <n v="0"/>
    <n v="5"/>
    <s v="No"/>
    <s v="Store"/>
    <s v="Card"/>
    <s v="Small Business"/>
    <s v="North"/>
    <s v="Office"/>
    <x v="233"/>
    <n v="1"/>
    <s v="Wireless Mouse"/>
    <n v="67.98"/>
    <n v="34.42"/>
    <n v="33.56"/>
    <n v="0.49367461017946457"/>
  </r>
  <r>
    <s v="BC-101958"/>
    <d v="2025-11-27T00:00:00"/>
    <s v="London"/>
    <s v="Individual"/>
    <s v="Furniture"/>
    <s v="Side Table"/>
    <n v="3"/>
    <n v="89.64"/>
    <n v="56.35"/>
    <n v="0.1"/>
    <n v="6"/>
    <n v="4"/>
    <s v="No"/>
    <s v="Phone"/>
    <s v="Bank Transfer"/>
    <s v="Individual"/>
    <s v="London"/>
    <s v="Furniture"/>
    <x v="307"/>
    <n v="1"/>
    <s v="Side Table"/>
    <n v="242.02800000000002"/>
    <n v="169.05"/>
    <n v="72.978000000000009"/>
    <n v="0.30152709603847488"/>
  </r>
  <r>
    <s v="BC-100006"/>
    <d v="2025-07-11T00:00:00"/>
    <s v="South"/>
    <s v="Small Business"/>
    <s v="Office"/>
    <s v="Wireless Mouse"/>
    <n v="4"/>
    <n v="35.380000000000003"/>
    <n v="17.059999999999999"/>
    <n v="0.2"/>
    <n v="8"/>
    <n v="2"/>
    <s v="Yes"/>
    <s v="Online"/>
    <s v="Card"/>
    <s v="Small Business"/>
    <s v="South"/>
    <s v="Office"/>
    <x v="49"/>
    <n v="1"/>
    <s v="Wireless Mouse"/>
    <n v="113.21600000000001"/>
    <n v="68.239999999999995"/>
    <n v="44.976000000000013"/>
    <n v="0.39725833804409277"/>
  </r>
  <r>
    <s v="BC-100242"/>
    <d v="2025-08-14T00:00:00"/>
    <s v="South"/>
    <s v="Individual"/>
    <s v="Office"/>
    <s v="Desk Lamp"/>
    <n v="1"/>
    <n v="39.07"/>
    <n v="19.64"/>
    <n v="0.1"/>
    <n v="8"/>
    <n v="4"/>
    <s v="No"/>
    <s v="Online"/>
    <s v="Card"/>
    <s v="Individual"/>
    <s v="South"/>
    <s v="Office"/>
    <x v="165"/>
    <n v="1"/>
    <s v="Desk Lamp"/>
    <n v="35.163000000000004"/>
    <n v="19.64"/>
    <n v="15.523000000000003"/>
    <n v="0.44145835110769849"/>
  </r>
  <r>
    <s v="BC-100930"/>
    <d v="2025-04-20T00:00:00"/>
    <s v="London"/>
    <s v="Individual"/>
    <s v="Electronics"/>
    <s v="Portable Speaker"/>
    <n v="3"/>
    <n v="75.819999999999993"/>
    <n v="41.76"/>
    <n v="0.05"/>
    <n v="6"/>
    <n v="4"/>
    <s v="No"/>
    <s v="Online"/>
    <s v="Digital Wallet"/>
    <s v="Individual"/>
    <s v="London"/>
    <s v="Electronics"/>
    <x v="151"/>
    <n v="1"/>
    <s v="Portable Speaker"/>
    <n v="216.08699999999996"/>
    <n v="125.28"/>
    <n v="90.80699999999996"/>
    <n v="0.42023351705563028"/>
  </r>
  <r>
    <s v="BC-100705"/>
    <d v="2025-11-29T00:00:00"/>
    <s v="North"/>
    <s v="Small Business"/>
    <s v="Electronics"/>
    <s v="Portable Speaker"/>
    <n v="3"/>
    <n v="77.489999999999995"/>
    <n v="43.98"/>
    <n v="0.05"/>
    <n v="6"/>
    <n v="3"/>
    <s v="No"/>
    <s v="Online"/>
    <s v="Card"/>
    <s v="Small Business"/>
    <s v="North"/>
    <s v="Electronics"/>
    <x v="8"/>
    <n v="1"/>
    <s v="Portable Speaker"/>
    <n v="220.84649999999996"/>
    <n v="131.94"/>
    <n v="88.906499999999966"/>
    <n v="0.40257146932371568"/>
  </r>
  <r>
    <s v="BC-100139"/>
    <d v="2025-05-05T00:00:00"/>
    <s v="South"/>
    <s v="Individual"/>
    <s v="Electronics"/>
    <s v="Webcam"/>
    <n v="1"/>
    <n v="49.2"/>
    <n v="26.05"/>
    <n v="0"/>
    <n v="0"/>
    <n v="5"/>
    <s v="No"/>
    <s v="Store"/>
    <s v="Card"/>
    <s v="Individual"/>
    <s v="South"/>
    <s v="Electronics"/>
    <x v="235"/>
    <n v="1"/>
    <s v="Webcam"/>
    <n v="49.2"/>
    <n v="26.05"/>
    <n v="23.150000000000002"/>
    <n v="0.47052845528455284"/>
  </r>
  <r>
    <s v="BC-100383"/>
    <d v="2025-08-28T00:00:00"/>
    <s v="South"/>
    <s v="Individual"/>
    <s v="Home &amp; Kitchen"/>
    <s v="Electric Kettle"/>
    <n v="1"/>
    <n v="39.76"/>
    <n v="19.8"/>
    <n v="0.15000000000000002"/>
    <n v="2"/>
    <n v="4"/>
    <s v="No"/>
    <s v="Store"/>
    <s v="Bank Transfer"/>
    <s v="Individual"/>
    <s v="South"/>
    <s v="Home &amp; Kitchen"/>
    <x v="302"/>
    <n v="1"/>
    <s v="Electric Kettle"/>
    <n v="33.795999999999999"/>
    <n v="19.8"/>
    <n v="13.995999999999999"/>
    <n v="0.41413184992306779"/>
  </r>
  <r>
    <s v="BC-101008"/>
    <d v="2025-07-07T00:00:00"/>
    <s v="South"/>
    <s v="Small Business"/>
    <s v="Office"/>
    <s v="Ergonomic Keyboard"/>
    <n v="6"/>
    <n v="72.290000000000006"/>
    <n v="38.49"/>
    <n v="0.2"/>
    <n v="5"/>
    <n v="5"/>
    <s v="No"/>
    <s v="Phone"/>
    <s v="Card"/>
    <s v="Small Business"/>
    <s v="South"/>
    <s v="Office"/>
    <x v="62"/>
    <n v="1"/>
    <s v="Ergonomic Keyboard"/>
    <n v="346.99200000000002"/>
    <n v="230.94"/>
    <n v="116.05200000000002"/>
    <n v="0.33445151473232815"/>
  </r>
  <r>
    <s v="BC-101334"/>
    <d v="2025-12-22T00:00:00"/>
    <s v="South"/>
    <s v="Individual"/>
    <s v="Electronics"/>
    <s v="Webcam"/>
    <n v="1"/>
    <n v="48.85"/>
    <n v="25.47"/>
    <n v="0.1"/>
    <n v="0"/>
    <n v="4"/>
    <s v="No"/>
    <s v="Store"/>
    <s v="Bank Transfer"/>
    <s v="Individual"/>
    <s v="South"/>
    <s v="Electronics"/>
    <x v="36"/>
    <n v="1"/>
    <s v="Webcam"/>
    <n v="43.965000000000003"/>
    <n v="25.47"/>
    <n v="18.495000000000005"/>
    <n v="0.42067553735926311"/>
  </r>
  <r>
    <s v="BC-101236"/>
    <d v="2025-07-17T00:00:00"/>
    <s v="South"/>
    <s v="Individual"/>
    <s v="Electronics"/>
    <s v="SmartHome Hub"/>
    <n v="1"/>
    <n v="130.6"/>
    <n v="83.12"/>
    <n v="0.1"/>
    <n v="2"/>
    <n v="4"/>
    <s v="No"/>
    <s v="Store"/>
    <s v="Card"/>
    <s v="Individual"/>
    <s v="South"/>
    <s v="Electronics"/>
    <x v="217"/>
    <n v="1"/>
    <s v="SmartHome Hub"/>
    <n v="117.53999999999999"/>
    <n v="83.12"/>
    <n v="34.419999999999987"/>
    <n v="0.29283648119789002"/>
  </r>
  <r>
    <s v="BC-101103"/>
    <d v="2025-11-13T00:00:00"/>
    <s v="Midlands"/>
    <s v="Individual"/>
    <s v="Home &amp; Kitchen"/>
    <s v="Coffee Maker"/>
    <n v="1"/>
    <n v="82.62"/>
    <n v="46.44"/>
    <n v="0"/>
    <n v="5"/>
    <n v="5"/>
    <s v="No"/>
    <s v="Phone"/>
    <s v="Card"/>
    <s v="Individual"/>
    <s v="Midlands"/>
    <s v="Home &amp; Kitchen"/>
    <x v="22"/>
    <n v="1"/>
    <s v="Coffee Maker"/>
    <n v="82.62"/>
    <n v="46.44"/>
    <n v="36.180000000000007"/>
    <n v="0.4379084967320262"/>
  </r>
  <r>
    <s v="BC-100376"/>
    <d v="2025-04-30T00:00:00"/>
    <s v="Midlands"/>
    <s v="Individual"/>
    <s v="Electronics"/>
    <s v="Webcam"/>
    <n v="1"/>
    <n v="49.48"/>
    <n v="26.56"/>
    <n v="0"/>
    <n v="0"/>
    <n v="5"/>
    <s v="No"/>
    <s v="Store"/>
    <s v="Card"/>
    <s v="Individual"/>
    <s v="Midlands"/>
    <s v="Electronics"/>
    <x v="231"/>
    <n v="1"/>
    <s v="Webcam"/>
    <n v="49.48"/>
    <n v="26.56"/>
    <n v="22.919999999999998"/>
    <n v="0.4632174616006467"/>
  </r>
  <r>
    <s v="BC-100865"/>
    <d v="2025-08-21T00:00:00"/>
    <s v="North"/>
    <s v="Individual"/>
    <s v="Office"/>
    <s v="Ergonomic Keyboard"/>
    <n v="1"/>
    <n v="69.040000000000006"/>
    <n v="39.46"/>
    <n v="0"/>
    <n v="4"/>
    <n v="5"/>
    <s v="No"/>
    <s v="Online"/>
    <s v="Digital Wallet"/>
    <s v="Individual"/>
    <s v="North"/>
    <s v="Office"/>
    <x v="322"/>
    <n v="1"/>
    <s v="Ergonomic Keyboard"/>
    <n v="69.040000000000006"/>
    <n v="39.46"/>
    <n v="29.580000000000005"/>
    <n v="0.42844727694090384"/>
  </r>
  <r>
    <s v="BC-101543"/>
    <d v="2025-12-07T00:00:00"/>
    <s v="South"/>
    <s v="Individual"/>
    <s v="Home &amp; Kitchen"/>
    <s v="Blender"/>
    <n v="2"/>
    <n v="64.62"/>
    <n v="34.880000000000003"/>
    <n v="0.2"/>
    <n v="0"/>
    <n v="4"/>
    <s v="No"/>
    <s v="Store"/>
    <s v="Card"/>
    <s v="Individual"/>
    <s v="South"/>
    <s v="Home &amp; Kitchen"/>
    <x v="304"/>
    <n v="1"/>
    <s v="Blender"/>
    <n v="103.39200000000001"/>
    <n v="69.760000000000005"/>
    <n v="33.632000000000005"/>
    <n v="0.32528628907458995"/>
  </r>
  <r>
    <s v="BC-100396"/>
    <d v="2025-06-10T00:00:00"/>
    <s v="South"/>
    <s v="Individual"/>
    <s v="Electronics"/>
    <s v="SmartHome Hub"/>
    <n v="2"/>
    <n v="132.44"/>
    <n v="87.99"/>
    <n v="0.15000000000000002"/>
    <n v="5"/>
    <n v="3"/>
    <s v="Yes"/>
    <s v="Phone"/>
    <s v="Card"/>
    <s v="Individual"/>
    <s v="South"/>
    <s v="Electronics"/>
    <x v="113"/>
    <n v="1"/>
    <s v="SmartHome Hub"/>
    <n v="225.148"/>
    <n v="175.98"/>
    <n v="49.168000000000006"/>
    <n v="0.21838079840815822"/>
  </r>
  <r>
    <s v="BC-100690"/>
    <d v="2025-12-04T00:00:00"/>
    <s v="South"/>
    <s v="Individual"/>
    <s v="Office"/>
    <s v="Desk Lamp"/>
    <n v="1"/>
    <n v="40.369999999999997"/>
    <n v="19.62"/>
    <n v="0.1"/>
    <n v="4"/>
    <n v="4"/>
    <s v="No"/>
    <s v="Online"/>
    <s v="Digital Wallet"/>
    <s v="Individual"/>
    <s v="South"/>
    <s v="Office"/>
    <x v="75"/>
    <n v="1"/>
    <s v="Desk Lamp"/>
    <n v="36.332999999999998"/>
    <n v="19.62"/>
    <n v="16.712999999999997"/>
    <n v="0.45999504582610845"/>
  </r>
  <r>
    <s v="BC-101831"/>
    <d v="2025-09-15T00:00:00"/>
    <s v="North"/>
    <s v="Individual"/>
    <s v="Home &amp; Kitchen"/>
    <s v="Air Fryer"/>
    <n v="1"/>
    <n v="109.44"/>
    <n v="65.05"/>
    <n v="0"/>
    <n v="2"/>
    <n v="4"/>
    <s v="No"/>
    <s v="Store"/>
    <s v="Card"/>
    <s v="Individual"/>
    <s v="North"/>
    <s v="Home &amp; Kitchen"/>
    <x v="100"/>
    <n v="1"/>
    <s v="Air Fryer"/>
    <n v="109.44"/>
    <n v="65.05"/>
    <n v="44.39"/>
    <n v="0.4056103801169591"/>
  </r>
  <r>
    <s v="BC-100706"/>
    <d v="2025-02-27T00:00:00"/>
    <s v="Midlands"/>
    <s v="Corporate"/>
    <s v="Electronics"/>
    <s v="Webcam"/>
    <n v="4"/>
    <n v="50.21"/>
    <n v="26.55"/>
    <n v="0.05"/>
    <n v="4"/>
    <n v="4"/>
    <s v="No"/>
    <s v="Online"/>
    <s v="Digital Wallet"/>
    <s v="Corporate"/>
    <s v="Midlands"/>
    <s v="Electronics"/>
    <x v="317"/>
    <n v="1"/>
    <s v="Webcam"/>
    <n v="190.798"/>
    <n v="106.2"/>
    <n v="84.597999999999999"/>
    <n v="0.44339039193282948"/>
  </r>
  <r>
    <s v="BC-100740"/>
    <d v="2025-09-06T00:00:00"/>
    <s v="South"/>
    <s v="Small Business"/>
    <s v="Home &amp; Kitchen"/>
    <s v="Coffee Maker"/>
    <n v="2"/>
    <n v="79.11"/>
    <n v="46.46"/>
    <n v="0.05"/>
    <n v="6"/>
    <n v="4"/>
    <s v="No"/>
    <s v="Store"/>
    <s v="Card"/>
    <s v="Small Business"/>
    <s v="South"/>
    <s v="Home &amp; Kitchen"/>
    <x v="171"/>
    <n v="1"/>
    <s v="Coffee Maker"/>
    <n v="150.309"/>
    <n v="92.92"/>
    <n v="57.388999999999996"/>
    <n v="0.38180681130205107"/>
  </r>
  <r>
    <s v="BC-101281"/>
    <d v="2025-02-01T00:00:00"/>
    <s v="Midlands"/>
    <s v="Corporate"/>
    <s v="Furniture"/>
    <s v="Storage Cabinet"/>
    <n v="10"/>
    <n v="160.4"/>
    <n v="102.53"/>
    <n v="0.05"/>
    <n v="8"/>
    <n v="3"/>
    <s v="No"/>
    <s v="Online"/>
    <s v="Bank Transfer"/>
    <s v="Corporate"/>
    <s v="Midlands"/>
    <s v="Furniture"/>
    <x v="312"/>
    <n v="1"/>
    <s v="Storage Cabinet"/>
    <n v="1523.8"/>
    <n v="1025.3"/>
    <n v="498.5"/>
    <n v="0.32714266964168526"/>
  </r>
  <r>
    <s v="BC-100395"/>
    <d v="2025-10-21T00:00:00"/>
    <s v="South"/>
    <s v="Individual"/>
    <s v="Office"/>
    <s v="Ergonomic Keyboard"/>
    <n v="2"/>
    <n v="69.67"/>
    <n v="37.82"/>
    <n v="0.05"/>
    <n v="4"/>
    <n v="5"/>
    <s v="No"/>
    <s v="Online"/>
    <s v="Digital Wallet"/>
    <s v="Individual"/>
    <s v="South"/>
    <s v="Office"/>
    <x v="184"/>
    <n v="1"/>
    <s v="Ergonomic Keyboard"/>
    <n v="132.37299999999999"/>
    <n v="75.64"/>
    <n v="56.73299999999999"/>
    <n v="0.42858437898967305"/>
  </r>
  <r>
    <s v="BC-100284"/>
    <d v="2025-11-17T00:00:00"/>
    <s v="South"/>
    <s v="Individual"/>
    <s v="Furniture"/>
    <s v="Bookshelf"/>
    <n v="1"/>
    <n v="118.51"/>
    <n v="72.09"/>
    <n v="0.2"/>
    <n v="5"/>
    <n v="4"/>
    <s v="Yes"/>
    <s v="Online"/>
    <s v="Card"/>
    <s v="Individual"/>
    <s v="South"/>
    <s v="Furniture"/>
    <x v="223"/>
    <n v="1"/>
    <s v="Bookshelf"/>
    <n v="94.808000000000007"/>
    <n v="72.09"/>
    <n v="22.718000000000004"/>
    <n v="0.23962112901864824"/>
  </r>
  <r>
    <s v="BC-100585"/>
    <d v="2025-05-20T00:00:00"/>
    <s v="North"/>
    <s v="Individual"/>
    <s v="Furniture"/>
    <s v="Side Table"/>
    <n v="2"/>
    <n v="88.26"/>
    <n v="56.28"/>
    <n v="0.05"/>
    <n v="3"/>
    <n v="4"/>
    <s v="No"/>
    <s v="Online"/>
    <s v="Card"/>
    <s v="Individual"/>
    <s v="North"/>
    <s v="Furniture"/>
    <x v="127"/>
    <n v="1"/>
    <s v="Side Table"/>
    <n v="167.69399999999999"/>
    <n v="112.56"/>
    <n v="55.133999999999986"/>
    <n v="0.32877741600772831"/>
  </r>
  <r>
    <s v="BC-101722"/>
    <d v="2025-04-18T00:00:00"/>
    <s v="London"/>
    <s v="Individual"/>
    <s v="Office"/>
    <s v="Wireless Mouse"/>
    <n v="2"/>
    <n v="35.090000000000003"/>
    <n v="17.5"/>
    <n v="0"/>
    <n v="4"/>
    <n v="4"/>
    <s v="No"/>
    <s v="Store"/>
    <s v="Card"/>
    <s v="Individual"/>
    <s v="London"/>
    <s v="Office"/>
    <x v="72"/>
    <n v="1"/>
    <s v="Wireless Mouse"/>
    <n v="70.180000000000007"/>
    <n v="35"/>
    <n v="35.180000000000007"/>
    <n v="0.50128241664291828"/>
  </r>
  <r>
    <s v="BC-100980"/>
    <d v="2025-04-28T00:00:00"/>
    <s v="North"/>
    <s v="Individual"/>
    <s v="Office"/>
    <s v="Wireless Mouse"/>
    <n v="2"/>
    <n v="33.96"/>
    <n v="17.75"/>
    <n v="0"/>
    <n v="3"/>
    <n v="4"/>
    <s v="No"/>
    <s v="Online"/>
    <s v="Card"/>
    <s v="Individual"/>
    <s v="North"/>
    <s v="Office"/>
    <x v="174"/>
    <n v="1"/>
    <s v="Wireless Mouse"/>
    <n v="67.92"/>
    <n v="35.5"/>
    <n v="32.42"/>
    <n v="0.47732626619552415"/>
  </r>
  <r>
    <s v="BC-100566"/>
    <d v="2025-08-19T00:00:00"/>
    <s v="South"/>
    <s v="Individual"/>
    <s v="Home &amp; Kitchen"/>
    <s v="Blender"/>
    <n v="2"/>
    <n v="65.17"/>
    <n v="35.99"/>
    <n v="0.2"/>
    <n v="4"/>
    <n v="4"/>
    <s v="No"/>
    <s v="Online"/>
    <s v="Card"/>
    <s v="Individual"/>
    <s v="South"/>
    <s v="Home &amp; Kitchen"/>
    <x v="122"/>
    <n v="1"/>
    <s v="Blender"/>
    <n v="104.27200000000001"/>
    <n v="71.98"/>
    <n v="32.292000000000002"/>
    <n v="0.30969004143010587"/>
  </r>
  <r>
    <s v="BC-100145"/>
    <d v="2025-06-01T00:00:00"/>
    <s v="South"/>
    <s v="Small Business"/>
    <s v="Electronics"/>
    <s v="Webcam"/>
    <n v="2"/>
    <n v="49.14"/>
    <n v="25.63"/>
    <n v="0"/>
    <n v="8"/>
    <n v="3"/>
    <s v="Yes"/>
    <s v="Online"/>
    <s v="Bank Transfer"/>
    <s v="Small Business"/>
    <s v="South"/>
    <s v="Electronics"/>
    <x v="310"/>
    <n v="1"/>
    <s v="Webcam"/>
    <n v="98.28"/>
    <n v="51.26"/>
    <n v="47.02"/>
    <n v="0.47842897842897847"/>
  </r>
  <r>
    <s v="BC-101310"/>
    <d v="2025-05-12T00:00:00"/>
    <s v="London"/>
    <s v="Small Business"/>
    <s v="Home &amp; Kitchen"/>
    <s v="Coffee Maker"/>
    <n v="5"/>
    <n v="77.78"/>
    <n v="44.99"/>
    <n v="0.05"/>
    <n v="0"/>
    <n v="4"/>
    <s v="No"/>
    <s v="Store"/>
    <s v="Card"/>
    <s v="Small Business"/>
    <s v="London"/>
    <s v="Home &amp; Kitchen"/>
    <x v="296"/>
    <n v="1"/>
    <s v="Coffee Maker"/>
    <n v="369.45499999999998"/>
    <n v="224.95000000000002"/>
    <n v="144.50499999999997"/>
    <n v="0.391130178235509"/>
  </r>
  <r>
    <s v="BC-101035"/>
    <d v="2025-09-02T00:00:00"/>
    <s v="South"/>
    <s v="Small Business"/>
    <s v="Furniture"/>
    <s v="Storage Cabinet"/>
    <n v="1"/>
    <n v="161.07"/>
    <n v="98.7"/>
    <n v="0.05"/>
    <n v="6"/>
    <n v="4"/>
    <s v="No"/>
    <s v="Online"/>
    <s v="Bank Transfer"/>
    <s v="Small Business"/>
    <s v="South"/>
    <s v="Furniture"/>
    <x v="142"/>
    <n v="1"/>
    <s v="Storage Cabinet"/>
    <n v="153.01649999999998"/>
    <n v="98.7"/>
    <n v="54.316499999999976"/>
    <n v="0.35497152267892668"/>
  </r>
  <r>
    <s v="BC-101039"/>
    <d v="2025-03-29T00:00:00"/>
    <s v="London"/>
    <s v="Small Business"/>
    <s v="Office"/>
    <s v="Ergonomic Keyboard"/>
    <n v="2"/>
    <n v="70.48"/>
    <n v="39.770000000000003"/>
    <n v="0"/>
    <n v="4"/>
    <n v="5"/>
    <s v="No"/>
    <s v="Online"/>
    <s v="Card"/>
    <s v="Small Business"/>
    <s v="London"/>
    <s v="Office"/>
    <x v="227"/>
    <n v="1"/>
    <s v="Ergonomic Keyboard"/>
    <n v="140.96"/>
    <n v="79.540000000000006"/>
    <n v="61.42"/>
    <n v="0.43572644721906922"/>
  </r>
  <r>
    <s v="BC-101432"/>
    <d v="2025-07-17T00:00:00"/>
    <s v="London"/>
    <s v="Individual"/>
    <s v="Home &amp; Kitchen"/>
    <s v="Coffee Maker"/>
    <n v="3"/>
    <n v="78.25"/>
    <n v="45.35"/>
    <n v="0.05"/>
    <n v="3"/>
    <n v="4"/>
    <s v="No"/>
    <s v="Online"/>
    <s v="Card"/>
    <s v="Individual"/>
    <s v="London"/>
    <s v="Home &amp; Kitchen"/>
    <x v="217"/>
    <n v="1"/>
    <s v="Coffee Maker"/>
    <n v="223.01249999999999"/>
    <n v="136.05000000000001"/>
    <n v="86.962499999999977"/>
    <n v="0.38994450983689249"/>
  </r>
  <r>
    <s v="BC-101624"/>
    <d v="2025-04-27T00:00:00"/>
    <s v="London"/>
    <s v="Individual"/>
    <s v="Office"/>
    <s v="Laptop Stand"/>
    <n v="3"/>
    <n v="45.94"/>
    <n v="20.84"/>
    <n v="0"/>
    <n v="2"/>
    <n v="4"/>
    <s v="No"/>
    <s v="Online"/>
    <s v="Bank Transfer"/>
    <s v="Individual"/>
    <s v="London"/>
    <s v="Office"/>
    <x v="233"/>
    <n v="1"/>
    <s v="Laptop Stand"/>
    <n v="137.82"/>
    <n v="62.519999999999996"/>
    <n v="75.3"/>
    <n v="0.54636482368306483"/>
  </r>
  <r>
    <s v="BC-101199"/>
    <d v="2025-10-16T00:00:00"/>
    <s v="London"/>
    <s v="Individual"/>
    <s v="Furniture"/>
    <s v="Office Chair"/>
    <n v="2"/>
    <n v="179.17"/>
    <n v="116.86"/>
    <n v="0.05"/>
    <n v="3"/>
    <n v="5"/>
    <s v="No"/>
    <s v="Store"/>
    <s v="Card"/>
    <s v="Individual"/>
    <s v="London"/>
    <s v="Furniture"/>
    <x v="282"/>
    <n v="1"/>
    <s v="Office Chair"/>
    <n v="340.42299999999994"/>
    <n v="233.72"/>
    <n v="106.70299999999995"/>
    <n v="0.31344239372780325"/>
  </r>
  <r>
    <s v="BC-101561"/>
    <d v="2025-04-25T00:00:00"/>
    <s v="North"/>
    <s v="Individual"/>
    <s v="Electronics"/>
    <s v="Webcam"/>
    <n v="4"/>
    <n v="50.95"/>
    <n v="27.21"/>
    <n v="0.1"/>
    <n v="3"/>
    <n v="5"/>
    <s v="No"/>
    <s v="Online"/>
    <s v="Card"/>
    <s v="Individual"/>
    <s v="North"/>
    <s v="Electronics"/>
    <x v="206"/>
    <n v="1"/>
    <s v="Webcam"/>
    <n v="183.42000000000002"/>
    <n v="108.84"/>
    <n v="74.580000000000013"/>
    <n v="0.40660778541053322"/>
  </r>
  <r>
    <s v="BC-101095"/>
    <d v="2025-05-02T00:00:00"/>
    <s v="Midlands"/>
    <s v="Individual"/>
    <s v="Furniture"/>
    <s v="Office Chair"/>
    <n v="1"/>
    <n v="177"/>
    <n v="117.57"/>
    <n v="0.05"/>
    <n v="0"/>
    <n v="4"/>
    <s v="No"/>
    <s v="Store"/>
    <s v="Card"/>
    <s v="Individual"/>
    <s v="Midlands"/>
    <s v="Furniture"/>
    <x v="37"/>
    <n v="1"/>
    <s v="Office Chair"/>
    <n v="168.15"/>
    <n v="117.57"/>
    <n v="50.580000000000013"/>
    <n v="0.30080285459411249"/>
  </r>
  <r>
    <s v="BC-101782"/>
    <d v="2025-11-18T00:00:00"/>
    <s v="London"/>
    <s v="Individual"/>
    <s v="Office"/>
    <s v="Laptop Stand"/>
    <n v="1"/>
    <n v="45.03"/>
    <n v="21.48"/>
    <n v="0.15000000000000002"/>
    <n v="1"/>
    <n v="4"/>
    <s v="No"/>
    <s v="Store"/>
    <s v="Card"/>
    <s v="Individual"/>
    <s v="London"/>
    <s v="Office"/>
    <x v="26"/>
    <n v="1"/>
    <s v="Laptop Stand"/>
    <n v="38.275500000000001"/>
    <n v="21.48"/>
    <n v="16.795500000000001"/>
    <n v="0.43880550221421016"/>
  </r>
  <r>
    <s v="BC-101043"/>
    <d v="2025-10-20T00:00:00"/>
    <s v="Midlands"/>
    <s v="Individual"/>
    <s v="Office"/>
    <s v="Wireless Mouse"/>
    <n v="2"/>
    <n v="34.26"/>
    <n v="17.12"/>
    <n v="0"/>
    <n v="4"/>
    <n v="5"/>
    <s v="No"/>
    <s v="Online"/>
    <s v="Bank Transfer"/>
    <s v="Individual"/>
    <s v="Midlands"/>
    <s v="Office"/>
    <x v="315"/>
    <n v="1"/>
    <s v="Wireless Mouse"/>
    <n v="68.52"/>
    <n v="34.24"/>
    <n v="34.279999999999994"/>
    <n v="0.50029188558085225"/>
  </r>
  <r>
    <s v="BC-101968"/>
    <d v="2025-08-20T00:00:00"/>
    <s v="South"/>
    <s v="Individual"/>
    <s v="Office"/>
    <s v="Desk Lamp"/>
    <n v="1"/>
    <n v="39.909999999999997"/>
    <n v="19.88"/>
    <n v="0"/>
    <n v="6"/>
    <n v="4"/>
    <s v="No"/>
    <s v="Online"/>
    <s v="Card"/>
    <s v="Individual"/>
    <s v="South"/>
    <s v="Office"/>
    <x v="99"/>
    <n v="1"/>
    <s v="Desk Lamp"/>
    <n v="39.909999999999997"/>
    <n v="19.88"/>
    <n v="20.029999999999998"/>
    <n v="0.5018792282635931"/>
  </r>
  <r>
    <s v="BC-100450"/>
    <d v="2025-12-30T00:00:00"/>
    <s v="South"/>
    <s v="Individual"/>
    <s v="Electronics"/>
    <s v="SmartHome Hub"/>
    <n v="2"/>
    <n v="131.38"/>
    <n v="87.73"/>
    <n v="0.25"/>
    <n v="5"/>
    <n v="4"/>
    <s v="No"/>
    <s v="Online"/>
    <s v="Card"/>
    <s v="Individual"/>
    <s v="South"/>
    <s v="Electronics"/>
    <x v="0"/>
    <n v="1"/>
    <s v="SmartHome Hub"/>
    <n v="197.07"/>
    <n v="175.46"/>
    <n v="21.609999999999985"/>
    <n v="0.10965646724514125"/>
  </r>
  <r>
    <s v="BC-100537"/>
    <d v="2025-04-26T00:00:00"/>
    <s v="South"/>
    <s v="Individual"/>
    <s v="Electronics"/>
    <s v="Webcam"/>
    <n v="1"/>
    <n v="49.99"/>
    <n v="27.3"/>
    <n v="0.05"/>
    <n v="4"/>
    <n v="3"/>
    <s v="Yes"/>
    <s v="Online"/>
    <s v="Digital Wallet"/>
    <s v="Individual"/>
    <s v="South"/>
    <s v="Electronics"/>
    <x v="249"/>
    <n v="1"/>
    <s v="Webcam"/>
    <n v="47.490499999999997"/>
    <n v="27.3"/>
    <n v="20.190499999999997"/>
    <n v="0.42514818753224326"/>
  </r>
  <r>
    <s v="BC-100685"/>
    <d v="2025-04-15T00:00:00"/>
    <s v="Midlands"/>
    <s v="Small Business"/>
    <s v="Home &amp; Kitchen"/>
    <s v="Coffee Maker"/>
    <n v="2"/>
    <n v="81.89"/>
    <n v="45.73"/>
    <n v="0.05"/>
    <n v="2"/>
    <n v="4"/>
    <s v="No"/>
    <s v="Online"/>
    <s v="Card"/>
    <s v="Small Business"/>
    <s v="Midlands"/>
    <s v="Home &amp; Kitchen"/>
    <x v="323"/>
    <n v="1"/>
    <s v="Coffee Maker"/>
    <n v="155.59099999999998"/>
    <n v="91.46"/>
    <n v="64.130999999999986"/>
    <n v="0.41217679685843006"/>
  </r>
  <r>
    <s v="BC-100990"/>
    <d v="2025-06-06T00:00:00"/>
    <s v="London"/>
    <s v="Small Business"/>
    <s v="Electronics"/>
    <s v="Portable Speaker"/>
    <n v="1"/>
    <n v="75.8"/>
    <n v="44.14"/>
    <n v="0.05"/>
    <n v="5"/>
    <n v="3"/>
    <s v="Yes"/>
    <s v="Store"/>
    <s v="Card"/>
    <s v="Small Business"/>
    <s v="London"/>
    <s v="Electronics"/>
    <x v="236"/>
    <n v="1"/>
    <s v="Portable Speaker"/>
    <n v="72.009999999999991"/>
    <n v="44.14"/>
    <n v="27.86999999999999"/>
    <n v="0.38702957922510756"/>
  </r>
  <r>
    <s v="BC-101930"/>
    <d v="2025-05-14T00:00:00"/>
    <s v="Midlands"/>
    <s v="Small Business"/>
    <s v="Electronics"/>
    <s v="Webcam"/>
    <n v="2"/>
    <n v="51.43"/>
    <n v="26.23"/>
    <n v="0"/>
    <n v="5"/>
    <n v="4"/>
    <s v="No"/>
    <s v="Phone"/>
    <s v="Bank Transfer"/>
    <s v="Small Business"/>
    <s v="Midlands"/>
    <s v="Electronics"/>
    <x v="159"/>
    <n v="1"/>
    <s v="Webcam"/>
    <n v="102.86"/>
    <n v="52.46"/>
    <n v="50.4"/>
    <n v="0.48998638926696481"/>
  </r>
  <r>
    <s v="BC-100028"/>
    <d v="2025-12-07T00:00:00"/>
    <s v="South"/>
    <s v="Corporate"/>
    <s v="Office"/>
    <s v="Wireless Mouse"/>
    <n v="4"/>
    <n v="36.340000000000003"/>
    <n v="17.68"/>
    <n v="0.2"/>
    <n v="4"/>
    <n v="5"/>
    <s v="No"/>
    <s v="Online"/>
    <s v="Card"/>
    <s v="Corporate"/>
    <s v="South"/>
    <s v="Office"/>
    <x v="304"/>
    <n v="1"/>
    <s v="Wireless Mouse"/>
    <n v="116.28800000000001"/>
    <n v="70.72"/>
    <n v="45.568000000000012"/>
    <n v="0.39185470555861318"/>
  </r>
  <r>
    <s v="BC-100237"/>
    <d v="2025-11-18T00:00:00"/>
    <s v="London"/>
    <s v="Individual"/>
    <s v="Office"/>
    <s v="Desk Lamp"/>
    <n v="1"/>
    <n v="40.659999999999997"/>
    <n v="18.62"/>
    <n v="0"/>
    <n v="3"/>
    <n v="5"/>
    <s v="No"/>
    <s v="Store"/>
    <s v="Digital Wallet"/>
    <s v="Individual"/>
    <s v="London"/>
    <s v="Office"/>
    <x v="26"/>
    <n v="1"/>
    <s v="Desk Lamp"/>
    <n v="40.659999999999997"/>
    <n v="18.62"/>
    <n v="22.039999999999996"/>
    <n v="0.54205607476635509"/>
  </r>
  <r>
    <s v="BC-100118"/>
    <d v="2025-12-13T00:00:00"/>
    <s v="South"/>
    <s v="Individual"/>
    <s v="Office"/>
    <s v="Ergonomic Keyboard"/>
    <n v="1"/>
    <n v="69.290000000000006"/>
    <n v="38.619999999999997"/>
    <n v="0.1"/>
    <n v="0"/>
    <n v="5"/>
    <s v="No"/>
    <s v="Store"/>
    <s v="Card"/>
    <s v="Individual"/>
    <s v="South"/>
    <s v="Office"/>
    <x v="219"/>
    <n v="1"/>
    <s v="Ergonomic Keyboard"/>
    <n v="62.361000000000004"/>
    <n v="38.619999999999997"/>
    <n v="23.741000000000007"/>
    <n v="0.38070268276647273"/>
  </r>
  <r>
    <s v="BC-100351"/>
    <d v="2025-01-05T00:00:00"/>
    <s v="South"/>
    <s v="Individual"/>
    <s v="Electronics"/>
    <s v="Portable Speaker"/>
    <n v="1"/>
    <n v="77.81"/>
    <n v="43.42"/>
    <n v="0.05"/>
    <n v="3"/>
    <n v="5"/>
    <s v="No"/>
    <s v="Online"/>
    <s v="Card"/>
    <s v="Individual"/>
    <s v="South"/>
    <s v="Electronics"/>
    <x v="42"/>
    <n v="1"/>
    <s v="Portable Speaker"/>
    <n v="73.919499999999999"/>
    <n v="43.42"/>
    <n v="30.499499999999998"/>
    <n v="0.41260425192269967"/>
  </r>
  <r>
    <s v="BC-101041"/>
    <d v="2025-02-01T00:00:00"/>
    <s v="London"/>
    <s v="Individual"/>
    <s v="Furniture"/>
    <s v="Bookshelf"/>
    <n v="2"/>
    <n v="120.87"/>
    <n v="70.17"/>
    <n v="0.1"/>
    <n v="4"/>
    <n v="4"/>
    <s v="No"/>
    <s v="Store"/>
    <s v="Digital Wallet"/>
    <s v="Individual"/>
    <s v="London"/>
    <s v="Furniture"/>
    <x v="312"/>
    <n v="1"/>
    <s v="Bookshelf"/>
    <n v="217.566"/>
    <n v="140.34"/>
    <n v="77.225999999999999"/>
    <n v="0.35495435867736685"/>
  </r>
  <r>
    <s v="BC-101130"/>
    <d v="2025-12-06T00:00:00"/>
    <s v="Midlands"/>
    <s v="Individual"/>
    <s v="Electronics"/>
    <s v="Portable Speaker"/>
    <n v="1"/>
    <n v="73.13"/>
    <n v="41.81"/>
    <n v="0.1"/>
    <n v="2"/>
    <n v="5"/>
    <s v="No"/>
    <s v="Store"/>
    <s v="Bank Transfer"/>
    <s v="Individual"/>
    <s v="Midlands"/>
    <s v="Electronics"/>
    <x v="131"/>
    <n v="1"/>
    <s v="Portable Speaker"/>
    <n v="65.816999999999993"/>
    <n v="41.81"/>
    <n v="24.006999999999991"/>
    <n v="0.36475378701551259"/>
  </r>
  <r>
    <s v="BC-100009"/>
    <d v="2025-09-14T00:00:00"/>
    <s v="South"/>
    <s v="Small Business"/>
    <s v="Office"/>
    <s v="Laptop Stand"/>
    <n v="4"/>
    <n v="45.69"/>
    <n v="20.64"/>
    <n v="0.05"/>
    <n v="7"/>
    <n v="4"/>
    <s v="No"/>
    <s v="Online"/>
    <s v="Card"/>
    <s v="Small Business"/>
    <s v="South"/>
    <s v="Office"/>
    <x v="110"/>
    <n v="1"/>
    <s v="Laptop Stand"/>
    <n v="173.62199999999999"/>
    <n v="82.56"/>
    <n v="91.061999999999983"/>
    <n v="0.52448422434944875"/>
  </r>
  <r>
    <s v="BC-101733"/>
    <d v="2025-03-16T00:00:00"/>
    <s v="North"/>
    <s v="Individual"/>
    <s v="Furniture"/>
    <s v="Bookshelf"/>
    <n v="2"/>
    <n v="121.76"/>
    <n v="70.33"/>
    <n v="0.1"/>
    <n v="7"/>
    <n v="4"/>
    <s v="No"/>
    <s v="Online"/>
    <s v="Card"/>
    <s v="Individual"/>
    <s v="North"/>
    <s v="Furniture"/>
    <x v="324"/>
    <n v="1"/>
    <s v="Bookshelf"/>
    <n v="219.16800000000001"/>
    <n v="140.66"/>
    <n v="78.50800000000001"/>
    <n v="0.35820922762447077"/>
  </r>
  <r>
    <s v="BC-100007"/>
    <d v="2025-08-15T00:00:00"/>
    <s v="Midlands"/>
    <s v="Small Business"/>
    <s v="Home &amp; Kitchen"/>
    <s v="Coffee Maker"/>
    <n v="1"/>
    <n v="79.25"/>
    <n v="45.53"/>
    <n v="0.05"/>
    <n v="4"/>
    <n v="4"/>
    <s v="No"/>
    <s v="Online"/>
    <s v="Digital Wallet"/>
    <s v="Small Business"/>
    <s v="Midlands"/>
    <s v="Home &amp; Kitchen"/>
    <x v="325"/>
    <n v="1"/>
    <s v="Coffee Maker"/>
    <n v="75.287499999999994"/>
    <n v="45.53"/>
    <n v="29.757499999999993"/>
    <n v="0.39525153577951183"/>
  </r>
  <r>
    <s v="BC-100622"/>
    <d v="2025-05-08T00:00:00"/>
    <s v="Midlands"/>
    <s v="Individual"/>
    <s v="Home &amp; Kitchen"/>
    <s v="Air Fryer"/>
    <n v="3"/>
    <n v="109.63"/>
    <n v="65.400000000000006"/>
    <n v="0.05"/>
    <n v="4"/>
    <n v="4"/>
    <s v="No"/>
    <s v="Store"/>
    <s v="Card"/>
    <s v="Individual"/>
    <s v="Midlands"/>
    <s v="Home &amp; Kitchen"/>
    <x v="326"/>
    <n v="1"/>
    <s v="Air Fryer"/>
    <n v="312.44549999999998"/>
    <n v="196.20000000000002"/>
    <n v="116.24549999999996"/>
    <n v="0.37205048560468934"/>
  </r>
  <r>
    <s v="BC-101151"/>
    <d v="2025-08-24T00:00:00"/>
    <s v="North"/>
    <s v="Individual"/>
    <s v="Electronics"/>
    <s v="SmartHome Hub"/>
    <n v="2"/>
    <n v="128.04"/>
    <n v="86.8"/>
    <n v="0"/>
    <n v="7"/>
    <n v="4"/>
    <s v="No"/>
    <s v="Online"/>
    <s v="Bank Transfer"/>
    <s v="Individual"/>
    <s v="North"/>
    <s v="Electronics"/>
    <x v="77"/>
    <n v="1"/>
    <s v="SmartHome Hub"/>
    <n v="256.08"/>
    <n v="173.6"/>
    <n v="82.47999999999999"/>
    <n v="0.32208684786004371"/>
  </r>
  <r>
    <s v="BC-100563"/>
    <d v="2025-03-21T00:00:00"/>
    <s v="Midlands"/>
    <s v="Individual"/>
    <s v="Electronics"/>
    <s v="SmartHome Hub"/>
    <n v="1"/>
    <n v="131.03"/>
    <n v="86.94"/>
    <n v="0"/>
    <n v="3"/>
    <n v="4"/>
    <s v="No"/>
    <s v="Online"/>
    <s v="Card"/>
    <s v="Individual"/>
    <s v="Midlands"/>
    <s v="Electronics"/>
    <x v="241"/>
    <n v="1"/>
    <s v="SmartHome Hub"/>
    <n v="131.03"/>
    <n v="86.94"/>
    <n v="44.09"/>
    <n v="0.33648782721514159"/>
  </r>
  <r>
    <s v="BC-100104"/>
    <d v="2025-05-18T00:00:00"/>
    <s v="Midlands"/>
    <s v="Individual"/>
    <s v="Office"/>
    <s v="Wireless Mouse"/>
    <n v="1"/>
    <n v="34.69"/>
    <n v="17.420000000000002"/>
    <n v="0"/>
    <n v="4"/>
    <n v="5"/>
    <s v="No"/>
    <s v="Online"/>
    <s v="Card"/>
    <s v="Individual"/>
    <s v="Midlands"/>
    <s v="Office"/>
    <x v="140"/>
    <n v="1"/>
    <s v="Wireless Mouse"/>
    <n v="34.69"/>
    <n v="17.420000000000002"/>
    <n v="17.269999999999996"/>
    <n v="0.49783799365811465"/>
  </r>
  <r>
    <s v="BC-101694"/>
    <d v="2025-05-12T00:00:00"/>
    <s v="South"/>
    <s v="Individual"/>
    <s v="Office"/>
    <s v="Ergonomic Keyboard"/>
    <n v="1"/>
    <n v="70.430000000000007"/>
    <n v="37.97"/>
    <n v="0.15000000000000002"/>
    <n v="5"/>
    <n v="4"/>
    <s v="No"/>
    <s v="Online"/>
    <s v="Bank Transfer"/>
    <s v="Individual"/>
    <s v="South"/>
    <s v="Office"/>
    <x v="296"/>
    <n v="1"/>
    <s v="Ergonomic Keyboard"/>
    <n v="59.865500000000004"/>
    <n v="37.97"/>
    <n v="21.895500000000006"/>
    <n v="0.36574487810174483"/>
  </r>
  <r>
    <s v="BC-100572"/>
    <d v="2025-10-12T00:00:00"/>
    <s v="London"/>
    <s v="Small Business"/>
    <s v="Home &amp; Kitchen"/>
    <s v="Coffee Maker"/>
    <n v="4"/>
    <n v="82.02"/>
    <n v="46.09"/>
    <n v="0"/>
    <n v="4"/>
    <n v="4"/>
    <s v="No"/>
    <s v="Online"/>
    <s v="Card"/>
    <s v="Small Business"/>
    <s v="London"/>
    <s v="Home &amp; Kitchen"/>
    <x v="266"/>
    <n v="1"/>
    <s v="Coffee Maker"/>
    <n v="328.08"/>
    <n v="184.36"/>
    <n v="143.71999999999997"/>
    <n v="0.43806388685686409"/>
  </r>
  <r>
    <s v="BC-101843"/>
    <d v="2025-07-30T00:00:00"/>
    <s v="London"/>
    <s v="Individual"/>
    <s v="Home &amp; Kitchen"/>
    <s v="Coffee Maker"/>
    <n v="1"/>
    <n v="79.94"/>
    <n v="44.81"/>
    <n v="0"/>
    <n v="7"/>
    <n v="4"/>
    <s v="No"/>
    <s v="Online"/>
    <s v="Digital Wallet"/>
    <s v="Individual"/>
    <s v="London"/>
    <s v="Home &amp; Kitchen"/>
    <x v="193"/>
    <n v="1"/>
    <s v="Coffee Maker"/>
    <n v="79.94"/>
    <n v="44.81"/>
    <n v="35.129999999999995"/>
    <n v="0.43945459094320738"/>
  </r>
  <r>
    <s v="BC-101455"/>
    <d v="2025-12-22T00:00:00"/>
    <s v="London"/>
    <s v="Individual"/>
    <s v="Electronics"/>
    <s v="Portable Speaker"/>
    <n v="1"/>
    <n v="76.41"/>
    <n v="43.05"/>
    <n v="0"/>
    <n v="1"/>
    <n v="5"/>
    <s v="No"/>
    <s v="Online"/>
    <s v="Card"/>
    <s v="Individual"/>
    <s v="London"/>
    <s v="Electronics"/>
    <x v="36"/>
    <n v="1"/>
    <s v="Portable Speaker"/>
    <n v="76.41"/>
    <n v="43.05"/>
    <n v="33.36"/>
    <n v="0.43659206910090304"/>
  </r>
  <r>
    <s v="BC-100254"/>
    <d v="2025-09-03T00:00:00"/>
    <s v="London"/>
    <s v="Individual"/>
    <s v="Office"/>
    <s v="Laptop Stand"/>
    <n v="1"/>
    <n v="45.65"/>
    <n v="20.45"/>
    <n v="0"/>
    <n v="2"/>
    <n v="4"/>
    <s v="No"/>
    <s v="Online"/>
    <s v="Card"/>
    <s v="Individual"/>
    <s v="London"/>
    <s v="Office"/>
    <x v="106"/>
    <n v="1"/>
    <s v="Laptop Stand"/>
    <n v="45.65"/>
    <n v="20.45"/>
    <n v="25.2"/>
    <n v="0.55202628696604605"/>
  </r>
  <r>
    <s v="BC-101070"/>
    <d v="2025-02-24T00:00:00"/>
    <s v="South"/>
    <s v="Individual"/>
    <s v="Office"/>
    <s v="Wireless Mouse"/>
    <n v="1"/>
    <n v="35.22"/>
    <n v="17.04"/>
    <n v="0.2"/>
    <n v="0"/>
    <n v="4"/>
    <s v="No"/>
    <s v="Store"/>
    <s v="Digital Wallet"/>
    <s v="Individual"/>
    <s v="South"/>
    <s v="Office"/>
    <x v="158"/>
    <n v="1"/>
    <s v="Wireless Mouse"/>
    <n v="28.176000000000002"/>
    <n v="17.04"/>
    <n v="11.136000000000003"/>
    <n v="0.39522998296422496"/>
  </r>
  <r>
    <s v="BC-100169"/>
    <d v="2025-05-04T00:00:00"/>
    <s v="South"/>
    <s v="Small Business"/>
    <s v="Home &amp; Kitchen"/>
    <s v="Blender"/>
    <n v="4"/>
    <n v="64.75"/>
    <n v="34.549999999999997"/>
    <n v="0.05"/>
    <n v="0"/>
    <n v="3"/>
    <s v="Yes"/>
    <s v="Store"/>
    <s v="Card"/>
    <s v="Small Business"/>
    <s v="South"/>
    <s v="Home &amp; Kitchen"/>
    <x v="51"/>
    <n v="1"/>
    <s v="Blender"/>
    <n v="246.04999999999998"/>
    <n v="138.19999999999999"/>
    <n v="107.85"/>
    <n v="0.43832554358870152"/>
  </r>
  <r>
    <s v="BC-100096"/>
    <d v="2025-01-22T00:00:00"/>
    <s v="London"/>
    <s v="Individual"/>
    <s v="Electronics"/>
    <s v="Wireless Headset"/>
    <n v="2"/>
    <n v="61.09"/>
    <n v="34.479999999999997"/>
    <n v="0"/>
    <n v="0"/>
    <n v="4"/>
    <s v="No"/>
    <s v="Store"/>
    <s v="Card"/>
    <s v="Individual"/>
    <s v="London"/>
    <s v="Electronics"/>
    <x v="327"/>
    <n v="1"/>
    <s v="Wireless Headset"/>
    <n v="122.18"/>
    <n v="68.959999999999994"/>
    <n v="53.220000000000013"/>
    <n v="0.43558683908986751"/>
  </r>
  <r>
    <s v="BC-100129"/>
    <d v="2025-12-20T00:00:00"/>
    <s v="Midlands"/>
    <s v="Individual"/>
    <s v="Office"/>
    <s v="Laptop Stand"/>
    <n v="1"/>
    <n v="46.08"/>
    <n v="20.59"/>
    <n v="0"/>
    <n v="0"/>
    <n v="4"/>
    <s v="No"/>
    <s v="Store"/>
    <s v="Card"/>
    <s v="Individual"/>
    <s v="Midlands"/>
    <s v="Office"/>
    <x v="220"/>
    <n v="1"/>
    <s v="Laptop Stand"/>
    <n v="46.08"/>
    <n v="20.59"/>
    <n v="25.49"/>
    <n v="0.55316840277777779"/>
  </r>
  <r>
    <s v="BC-100334"/>
    <d v="2025-06-14T00:00:00"/>
    <s v="London"/>
    <s v="Individual"/>
    <s v="Electronics"/>
    <s v="Webcam"/>
    <n v="2"/>
    <n v="50.67"/>
    <n v="26.56"/>
    <n v="0"/>
    <n v="0"/>
    <n v="4"/>
    <s v="No"/>
    <s v="Store"/>
    <s v="Bank Transfer"/>
    <s v="Individual"/>
    <s v="London"/>
    <s v="Electronics"/>
    <x v="284"/>
    <n v="1"/>
    <s v="Webcam"/>
    <n v="101.34"/>
    <n v="53.12"/>
    <n v="48.220000000000006"/>
    <n v="0.47582395895006913"/>
  </r>
  <r>
    <s v="BC-100465"/>
    <d v="2025-06-10T00:00:00"/>
    <s v="North"/>
    <s v="Individual"/>
    <s v="Office"/>
    <s v="Wireless Mouse"/>
    <n v="2"/>
    <n v="35.049999999999997"/>
    <n v="17.649999999999999"/>
    <n v="0.05"/>
    <n v="1"/>
    <n v="4"/>
    <s v="No"/>
    <s v="Online"/>
    <s v="Bank Transfer"/>
    <s v="Individual"/>
    <s v="North"/>
    <s v="Office"/>
    <x v="113"/>
    <n v="1"/>
    <s v="Wireless Mouse"/>
    <n v="66.594999999999985"/>
    <n v="35.299999999999997"/>
    <n v="31.294999999999987"/>
    <n v="0.46993017493805833"/>
  </r>
  <r>
    <s v="BC-101685"/>
    <d v="2025-09-06T00:00:00"/>
    <s v="South"/>
    <s v="Individual"/>
    <s v="Home &amp; Kitchen"/>
    <s v="Blender"/>
    <n v="2"/>
    <n v="67.38"/>
    <n v="35.35"/>
    <n v="0.1"/>
    <n v="5"/>
    <n v="5"/>
    <s v="No"/>
    <s v="Online"/>
    <s v="Card"/>
    <s v="Individual"/>
    <s v="South"/>
    <s v="Home &amp; Kitchen"/>
    <x v="171"/>
    <n v="1"/>
    <s v="Blender"/>
    <n v="121.28399999999999"/>
    <n v="70.7"/>
    <n v="50.583999999999989"/>
    <n v="0.41707067708848644"/>
  </r>
  <r>
    <s v="BC-101054"/>
    <d v="2025-10-31T00:00:00"/>
    <s v="South"/>
    <s v="Individual"/>
    <s v="Home &amp; Kitchen"/>
    <s v="Coffee Maker"/>
    <n v="1"/>
    <n v="80.2"/>
    <n v="46.58"/>
    <n v="0.1"/>
    <n v="6"/>
    <n v="4"/>
    <s v="No"/>
    <s v="Online"/>
    <s v="Card"/>
    <s v="Individual"/>
    <s v="South"/>
    <s v="Home &amp; Kitchen"/>
    <x v="46"/>
    <n v="1"/>
    <s v="Coffee Maker"/>
    <n v="72.180000000000007"/>
    <n v="46.58"/>
    <n v="25.600000000000009"/>
    <n v="0.35466888334718766"/>
  </r>
  <r>
    <s v="BC-100289"/>
    <d v="2025-11-15T00:00:00"/>
    <s v="Midlands"/>
    <s v="Individual"/>
    <s v="Electronics"/>
    <s v="Webcam"/>
    <n v="3"/>
    <n v="50.38"/>
    <n v="26.92"/>
    <n v="0.1"/>
    <n v="2"/>
    <n v="5"/>
    <s v="No"/>
    <s v="Store"/>
    <s v="Bank Transfer"/>
    <s v="Individual"/>
    <s v="Midlands"/>
    <s v="Electronics"/>
    <x v="172"/>
    <n v="1"/>
    <s v="Webcam"/>
    <n v="136.02600000000001"/>
    <n v="80.760000000000005"/>
    <n v="55.266000000000005"/>
    <n v="0.40628997397556349"/>
  </r>
  <r>
    <s v="BC-101464"/>
    <d v="2025-12-01T00:00:00"/>
    <s v="London"/>
    <s v="Individual"/>
    <s v="Home &amp; Kitchen"/>
    <s v="Electric Kettle"/>
    <n v="1"/>
    <n v="38.82"/>
    <n v="20.22"/>
    <n v="0.1"/>
    <n v="0"/>
    <n v="4"/>
    <s v="No"/>
    <s v="Store"/>
    <s v="Card"/>
    <s v="Individual"/>
    <s v="London"/>
    <s v="Home &amp; Kitchen"/>
    <x v="11"/>
    <n v="1"/>
    <s v="Electric Kettle"/>
    <n v="34.938000000000002"/>
    <n v="20.22"/>
    <n v="14.718000000000004"/>
    <n v="0.42126051863300712"/>
  </r>
  <r>
    <s v="BC-101093"/>
    <d v="2025-10-11T00:00:00"/>
    <s v="South"/>
    <s v="Individual"/>
    <s v="Home &amp; Kitchen"/>
    <s v="Coffee Maker"/>
    <n v="3"/>
    <n v="82.18"/>
    <n v="44.61"/>
    <n v="0"/>
    <n v="0"/>
    <n v="5"/>
    <s v="No"/>
    <s v="Store"/>
    <s v="Card"/>
    <s v="Individual"/>
    <s v="South"/>
    <s v="Home &amp; Kitchen"/>
    <x v="328"/>
    <n v="1"/>
    <s v="Coffee Maker"/>
    <n v="246.54000000000002"/>
    <n v="133.82999999999998"/>
    <n v="112.71000000000004"/>
    <n v="0.45716719396446837"/>
  </r>
  <r>
    <s v="BC-100826"/>
    <d v="2025-06-04T00:00:00"/>
    <s v="South"/>
    <s v="Individual"/>
    <s v="Electronics"/>
    <s v="Wireless Headset"/>
    <n v="1"/>
    <n v="60.1"/>
    <n v="33.4"/>
    <n v="0"/>
    <n v="7"/>
    <n v="3"/>
    <s v="No"/>
    <s v="Online"/>
    <s v="Card"/>
    <s v="Individual"/>
    <s v="South"/>
    <s v="Electronics"/>
    <x v="175"/>
    <n v="1"/>
    <s v="Wireless Headset"/>
    <n v="60.1"/>
    <n v="33.4"/>
    <n v="26.700000000000003"/>
    <n v="0.44425956738768724"/>
  </r>
  <r>
    <s v="BC-101813"/>
    <d v="2025-11-24T00:00:00"/>
    <s v="North"/>
    <s v="Individual"/>
    <s v="Electronics"/>
    <s v="Portable Speaker"/>
    <n v="3"/>
    <n v="77.23"/>
    <n v="43.91"/>
    <n v="0.1"/>
    <n v="1"/>
    <n v="4"/>
    <s v="No"/>
    <s v="Store"/>
    <s v="Digital Wallet"/>
    <s v="Individual"/>
    <s v="North"/>
    <s v="Electronics"/>
    <x v="314"/>
    <n v="1"/>
    <s v="Portable Speaker"/>
    <n v="208.52100000000002"/>
    <n v="131.72999999999999"/>
    <n v="76.791000000000025"/>
    <n v="0.36826506682780163"/>
  </r>
  <r>
    <s v="BC-100852"/>
    <d v="2025-12-02T00:00:00"/>
    <s v="South"/>
    <s v="Individual"/>
    <s v="Home &amp; Kitchen"/>
    <s v="Air Fryer"/>
    <n v="2"/>
    <n v="108.33"/>
    <n v="68.099999999999994"/>
    <n v="0.15000000000000002"/>
    <n v="3"/>
    <n v="5"/>
    <s v="No"/>
    <s v="Online"/>
    <s v="Card"/>
    <s v="Individual"/>
    <s v="South"/>
    <s v="Home &amp; Kitchen"/>
    <x v="183"/>
    <n v="1"/>
    <s v="Air Fryer"/>
    <n v="184.161"/>
    <n v="136.19999999999999"/>
    <n v="47.961000000000013"/>
    <n v="0.2604297326795576"/>
  </r>
  <r>
    <s v="BC-101929"/>
    <d v="2025-11-15T00:00:00"/>
    <s v="London"/>
    <s v="Small Business"/>
    <s v="Furniture"/>
    <s v="Office Chair"/>
    <n v="4"/>
    <n v="181.68"/>
    <n v="114.9"/>
    <n v="0"/>
    <n v="8"/>
    <n v="3"/>
    <s v="No"/>
    <s v="Online"/>
    <s v="Card"/>
    <s v="Small Business"/>
    <s v="London"/>
    <s v="Furniture"/>
    <x v="172"/>
    <n v="1"/>
    <s v="Office Chair"/>
    <n v="726.72"/>
    <n v="459.6"/>
    <n v="267.12"/>
    <n v="0.36756935270805813"/>
  </r>
  <r>
    <s v="BC-101193"/>
    <d v="2025-12-12T00:00:00"/>
    <s v="London"/>
    <s v="Individual"/>
    <s v="Electronics"/>
    <s v="SmartHome Hub"/>
    <n v="1"/>
    <n v="128.11000000000001"/>
    <n v="83.17"/>
    <n v="0.1"/>
    <n v="4"/>
    <n v="4"/>
    <s v="No"/>
    <s v="Online"/>
    <s v="Card"/>
    <s v="Individual"/>
    <s v="London"/>
    <s v="Electronics"/>
    <x v="247"/>
    <n v="1"/>
    <s v="SmartHome Hub"/>
    <n v="115.29900000000002"/>
    <n v="83.17"/>
    <n v="32.129000000000019"/>
    <n v="0.27865809764178368"/>
  </r>
  <r>
    <s v="BC-100906"/>
    <d v="2025-03-14T00:00:00"/>
    <s v="London"/>
    <s v="Small Business"/>
    <s v="Home &amp; Kitchen"/>
    <s v="Coffee Maker"/>
    <n v="3"/>
    <n v="80.94"/>
    <n v="44.65"/>
    <n v="0.05"/>
    <n v="6"/>
    <n v="3"/>
    <s v="No"/>
    <s v="Phone"/>
    <s v="Card"/>
    <s v="Small Business"/>
    <s v="London"/>
    <s v="Home &amp; Kitchen"/>
    <x v="329"/>
    <n v="1"/>
    <s v="Coffee Maker"/>
    <n v="230.67899999999997"/>
    <n v="133.94999999999999"/>
    <n v="96.728999999999985"/>
    <n v="0.41932295527551272"/>
  </r>
  <r>
    <s v="BC-101473"/>
    <d v="2025-09-19T00:00:00"/>
    <s v="Midlands"/>
    <s v="Individual"/>
    <s v="Electronics"/>
    <s v="Wireless Headset"/>
    <n v="1"/>
    <n v="59.61"/>
    <n v="33.979999999999997"/>
    <n v="0"/>
    <n v="3"/>
    <n v="4"/>
    <s v="No"/>
    <s v="Online"/>
    <s v="Card"/>
    <s v="Individual"/>
    <s v="Midlands"/>
    <s v="Electronics"/>
    <x v="68"/>
    <n v="1"/>
    <s v="Wireless Headset"/>
    <n v="59.61"/>
    <n v="33.979999999999997"/>
    <n v="25.630000000000003"/>
    <n v="0.42996141586982056"/>
  </r>
  <r>
    <s v="BC-100663"/>
    <d v="2025-05-11T00:00:00"/>
    <s v="South"/>
    <s v="Corporate"/>
    <s v="Home &amp; Kitchen"/>
    <s v="Blender"/>
    <n v="6"/>
    <n v="66.930000000000007"/>
    <n v="36.08"/>
    <n v="0.15000000000000002"/>
    <n v="6"/>
    <n v="3"/>
    <s v="Yes"/>
    <s v="Store"/>
    <s v="Digital Wallet"/>
    <s v="Corporate"/>
    <s v="South"/>
    <s v="Home &amp; Kitchen"/>
    <x v="135"/>
    <n v="1"/>
    <s v="Blender"/>
    <n v="341.34300000000002"/>
    <n v="216.48"/>
    <n v="124.86300000000003"/>
    <n v="0.36579921076453897"/>
  </r>
  <r>
    <s v="BC-100393"/>
    <d v="2025-10-07T00:00:00"/>
    <s v="Midlands"/>
    <s v="Individual"/>
    <s v="Home &amp; Kitchen"/>
    <s v="Electric Kettle"/>
    <n v="1"/>
    <n v="40.71"/>
    <n v="19.829999999999998"/>
    <n v="0.05"/>
    <n v="2"/>
    <n v="3"/>
    <s v="Yes"/>
    <s v="Phone"/>
    <s v="Card"/>
    <s v="Individual"/>
    <s v="Midlands"/>
    <s v="Home &amp; Kitchen"/>
    <x v="23"/>
    <n v="1"/>
    <s v="Electric Kettle"/>
    <n v="38.674500000000002"/>
    <n v="19.829999999999998"/>
    <n v="18.844500000000004"/>
    <n v="0.48725904665865111"/>
  </r>
  <r>
    <s v="BC-100488"/>
    <d v="2025-04-01T00:00:00"/>
    <s v="Midlands"/>
    <s v="Individual"/>
    <s v="Electronics"/>
    <s v="Wireless Headset"/>
    <n v="4"/>
    <n v="58.44"/>
    <n v="35.42"/>
    <n v="0"/>
    <n v="5"/>
    <n v="5"/>
    <s v="No"/>
    <s v="Online"/>
    <s v="Card"/>
    <s v="Individual"/>
    <s v="Midlands"/>
    <s v="Electronics"/>
    <x v="59"/>
    <n v="1"/>
    <s v="Wireless Headset"/>
    <n v="233.76"/>
    <n v="141.68"/>
    <n v="92.079999999999984"/>
    <n v="0.39390828199863104"/>
  </r>
  <r>
    <s v="BC-101076"/>
    <d v="2025-04-13T00:00:00"/>
    <s v="Midlands"/>
    <s v="Individual"/>
    <s v="Home &amp; Kitchen"/>
    <s v="Electric Kettle"/>
    <n v="1"/>
    <n v="40.99"/>
    <n v="20.5"/>
    <n v="0"/>
    <n v="7"/>
    <n v="3"/>
    <s v="No"/>
    <s v="Online"/>
    <s v="Card"/>
    <s v="Individual"/>
    <s v="Midlands"/>
    <s v="Home &amp; Kitchen"/>
    <x v="188"/>
    <n v="1"/>
    <s v="Electric Kettle"/>
    <n v="40.99"/>
    <n v="20.5"/>
    <n v="20.490000000000002"/>
    <n v="0.49987801902903151"/>
  </r>
  <r>
    <s v="BC-100834"/>
    <d v="2025-04-17T00:00:00"/>
    <s v="London"/>
    <s v="Individual"/>
    <s v="Home &amp; Kitchen"/>
    <s v="Coffee Maker"/>
    <n v="3"/>
    <n v="80.47"/>
    <n v="43.81"/>
    <n v="0.05"/>
    <n v="4"/>
    <n v="5"/>
    <s v="No"/>
    <s v="Online"/>
    <s v="Bank Transfer"/>
    <s v="Individual"/>
    <s v="London"/>
    <s v="Home &amp; Kitchen"/>
    <x v="330"/>
    <n v="1"/>
    <s v="Coffee Maker"/>
    <n v="229.33949999999999"/>
    <n v="131.43"/>
    <n v="97.90949999999998"/>
    <n v="0.42691947963608529"/>
  </r>
  <r>
    <s v="BC-100346"/>
    <d v="2025-11-25T00:00:00"/>
    <s v="London"/>
    <s v="Individual"/>
    <s v="Furniture"/>
    <s v="Side Table"/>
    <n v="1"/>
    <n v="91.87"/>
    <n v="56.34"/>
    <n v="0.05"/>
    <n v="6"/>
    <n v="4"/>
    <s v="No"/>
    <s v="Online"/>
    <s v="Card"/>
    <s v="Individual"/>
    <s v="London"/>
    <s v="Furniture"/>
    <x v="10"/>
    <n v="1"/>
    <s v="Side Table"/>
    <n v="87.276499999999999"/>
    <n v="56.34"/>
    <n v="30.936499999999995"/>
    <n v="0.35446540592255643"/>
  </r>
  <r>
    <s v="BC-101448"/>
    <d v="2025-07-18T00:00:00"/>
    <s v="South"/>
    <s v="Individual"/>
    <s v="Electronics"/>
    <s v="SmartHome Hub"/>
    <n v="1"/>
    <n v="131.65"/>
    <n v="82.01"/>
    <n v="0.05"/>
    <n v="1"/>
    <n v="3"/>
    <s v="Yes"/>
    <s v="Store"/>
    <s v="Card"/>
    <s v="Individual"/>
    <s v="South"/>
    <s v="Electronics"/>
    <x v="145"/>
    <n v="1"/>
    <s v="SmartHome Hub"/>
    <n v="125.0675"/>
    <n v="82.01"/>
    <n v="43.05749999999999"/>
    <n v="0.34427409199032516"/>
  </r>
  <r>
    <s v="BC-101260"/>
    <d v="2025-08-05T00:00:00"/>
    <s v="South"/>
    <s v="Individual"/>
    <s v="Office"/>
    <s v="Ergonomic Keyboard"/>
    <n v="1"/>
    <n v="72.739999999999995"/>
    <n v="37.729999999999997"/>
    <n v="0.05"/>
    <n v="1"/>
    <n v="5"/>
    <s v="No"/>
    <s v="Store"/>
    <s v="Bank Transfer"/>
    <s v="Individual"/>
    <s v="South"/>
    <s v="Office"/>
    <x v="256"/>
    <n v="1"/>
    <s v="Ergonomic Keyboard"/>
    <n v="69.102999999999994"/>
    <n v="37.729999999999997"/>
    <n v="31.372999999999998"/>
    <n v="0.45400344413411864"/>
  </r>
  <r>
    <s v="BC-100839"/>
    <d v="2025-04-18T00:00:00"/>
    <s v="London"/>
    <s v="Individual"/>
    <s v="Home &amp; Kitchen"/>
    <s v="Air Fryer"/>
    <n v="1"/>
    <n v="108.33"/>
    <n v="69.959999999999994"/>
    <n v="0.1"/>
    <n v="4"/>
    <n v="5"/>
    <s v="No"/>
    <s v="Online"/>
    <s v="Bank Transfer"/>
    <s v="Individual"/>
    <s v="London"/>
    <s v="Home &amp; Kitchen"/>
    <x v="72"/>
    <n v="1"/>
    <s v="Air Fryer"/>
    <n v="97.497"/>
    <n v="69.959999999999994"/>
    <n v="27.537000000000006"/>
    <n v="0.2824394596756824"/>
  </r>
  <r>
    <s v="BC-100644"/>
    <d v="2025-11-18T00:00:00"/>
    <s v="South"/>
    <s v="Individual"/>
    <s v="Office"/>
    <s v="Wireless Mouse"/>
    <n v="2"/>
    <n v="35.07"/>
    <n v="17.760000000000002"/>
    <n v="0.2"/>
    <n v="1"/>
    <n v="4"/>
    <s v="No"/>
    <s v="Store"/>
    <s v="Card"/>
    <s v="Individual"/>
    <s v="South"/>
    <s v="Office"/>
    <x v="26"/>
    <n v="1"/>
    <s v="Wireless Mouse"/>
    <n v="56.112000000000002"/>
    <n v="35.520000000000003"/>
    <n v="20.591999999999999"/>
    <n v="0.36698032506415734"/>
  </r>
  <r>
    <s v="BC-100004"/>
    <d v="2025-12-18T00:00:00"/>
    <s v="Midlands"/>
    <s v="Individual"/>
    <s v="Office"/>
    <s v="Laptop Stand"/>
    <n v="4"/>
    <n v="44.52"/>
    <n v="20.62"/>
    <n v="0.1"/>
    <n v="2"/>
    <n v="4"/>
    <s v="No"/>
    <s v="Phone"/>
    <s v="Card"/>
    <s v="Individual"/>
    <s v="Midlands"/>
    <s v="Office"/>
    <x v="114"/>
    <n v="1"/>
    <s v="Laptop Stand"/>
    <n v="160.27200000000002"/>
    <n v="82.48"/>
    <n v="77.792000000000016"/>
    <n v="0.48537486273335334"/>
  </r>
  <r>
    <s v="BC-100232"/>
    <d v="2025-01-23T00:00:00"/>
    <s v="North"/>
    <s v="Individual"/>
    <s v="Electronics"/>
    <s v="Webcam"/>
    <n v="1"/>
    <n v="49.84"/>
    <n v="26.61"/>
    <n v="0.05"/>
    <n v="7"/>
    <n v="3"/>
    <s v="No"/>
    <s v="Online"/>
    <s v="Bank Transfer"/>
    <s v="Individual"/>
    <s v="North"/>
    <s v="Electronics"/>
    <x v="331"/>
    <n v="1"/>
    <s v="Webcam"/>
    <n v="47.347999999999999"/>
    <n v="26.61"/>
    <n v="20.738"/>
    <n v="0.43799104502830111"/>
  </r>
  <r>
    <s v="BC-100064"/>
    <d v="2025-07-29T00:00:00"/>
    <s v="Midlands"/>
    <s v="Small Business"/>
    <s v="Electronics"/>
    <s v="Webcam"/>
    <n v="4"/>
    <n v="51.73"/>
    <n v="27.1"/>
    <n v="0.1"/>
    <n v="4"/>
    <n v="4"/>
    <s v="No"/>
    <s v="Online"/>
    <s v="Digital Wallet"/>
    <s v="Small Business"/>
    <s v="Midlands"/>
    <s v="Electronics"/>
    <x v="273"/>
    <n v="1"/>
    <s v="Webcam"/>
    <n v="186.22799999999998"/>
    <n v="108.4"/>
    <n v="77.827999999999975"/>
    <n v="0.41791782116545301"/>
  </r>
  <r>
    <s v="BC-101294"/>
    <d v="2025-02-28T00:00:00"/>
    <s v="South"/>
    <s v="Individual"/>
    <s v="Electronics"/>
    <s v="Portable Speaker"/>
    <n v="4"/>
    <n v="73.540000000000006"/>
    <n v="44.74"/>
    <n v="0.05"/>
    <n v="4"/>
    <n v="4"/>
    <s v="No"/>
    <s v="Store"/>
    <s v="Digital Wallet"/>
    <s v="Individual"/>
    <s v="South"/>
    <s v="Electronics"/>
    <x v="332"/>
    <n v="1"/>
    <s v="Portable Speaker"/>
    <n v="279.452"/>
    <n v="178.96"/>
    <n v="100.49199999999999"/>
    <n v="0.35960379600074427"/>
  </r>
  <r>
    <s v="BC-101062"/>
    <d v="2025-12-14T00:00:00"/>
    <s v="North"/>
    <s v="Corporate"/>
    <s v="Home &amp; Kitchen"/>
    <s v="Coffee Maker"/>
    <n v="4"/>
    <n v="80.08"/>
    <n v="44.08"/>
    <n v="0.2"/>
    <n v="4"/>
    <n v="5"/>
    <s v="No"/>
    <s v="Phone"/>
    <s v="Digital Wallet"/>
    <s v="Corporate"/>
    <s v="North"/>
    <s v="Home &amp; Kitchen"/>
    <x v="166"/>
    <n v="1"/>
    <s v="Coffee Maker"/>
    <n v="256.25600000000003"/>
    <n v="176.32"/>
    <n v="79.936000000000035"/>
    <n v="0.31193806193806206"/>
  </r>
  <r>
    <s v="BC-101153"/>
    <d v="2025-03-24T00:00:00"/>
    <s v="London"/>
    <s v="Individual"/>
    <s v="Electronics"/>
    <s v="SmartHome Hub"/>
    <n v="4"/>
    <n v="132.51"/>
    <n v="83.83"/>
    <n v="0"/>
    <n v="3"/>
    <n v="4"/>
    <s v="No"/>
    <s v="Online"/>
    <s v="Card"/>
    <s v="Individual"/>
    <s v="London"/>
    <s v="Electronics"/>
    <x v="144"/>
    <n v="1"/>
    <s v="SmartHome Hub"/>
    <n v="530.04"/>
    <n v="335.32"/>
    <n v="194.71999999999997"/>
    <n v="0.36736850049052899"/>
  </r>
  <r>
    <s v="BC-101964"/>
    <d v="2025-07-15T00:00:00"/>
    <s v="London"/>
    <s v="Individual"/>
    <s v="Home &amp; Kitchen"/>
    <s v="Electric Kettle"/>
    <n v="3"/>
    <n v="39.56"/>
    <n v="19.86"/>
    <n v="0"/>
    <n v="1"/>
    <n v="5"/>
    <s v="No"/>
    <s v="Store"/>
    <s v="Card"/>
    <s v="Individual"/>
    <s v="London"/>
    <s v="Home &amp; Kitchen"/>
    <x v="239"/>
    <n v="1"/>
    <s v="Electric Kettle"/>
    <n v="118.68"/>
    <n v="59.58"/>
    <n v="59.100000000000009"/>
    <n v="0.49797775530839233"/>
  </r>
  <r>
    <s v="BC-101534"/>
    <d v="2025-10-18T00:00:00"/>
    <s v="South"/>
    <s v="Individual"/>
    <s v="Home &amp; Kitchen"/>
    <s v="Air Fryer"/>
    <n v="1"/>
    <n v="112.06"/>
    <n v="67.239999999999995"/>
    <n v="0.1"/>
    <n v="2"/>
    <n v="5"/>
    <s v="No"/>
    <s v="Store"/>
    <s v="Bank Transfer"/>
    <s v="Individual"/>
    <s v="South"/>
    <s v="Home &amp; Kitchen"/>
    <x v="311"/>
    <n v="1"/>
    <s v="Air Fryer"/>
    <n v="100.854"/>
    <n v="67.239999999999995"/>
    <n v="33.614000000000004"/>
    <n v="0.33329367204077187"/>
  </r>
  <r>
    <s v="BC-101181"/>
    <d v="2025-06-13T00:00:00"/>
    <s v="South"/>
    <s v="Individual"/>
    <s v="Office"/>
    <s v="Ergonomic Keyboard"/>
    <n v="1"/>
    <n v="71.150000000000006"/>
    <n v="36.9"/>
    <n v="0"/>
    <n v="0"/>
    <n v="4"/>
    <s v="No"/>
    <s v="Store"/>
    <s v="Bank Transfer"/>
    <s v="Individual"/>
    <s v="South"/>
    <s v="Office"/>
    <x v="70"/>
    <n v="1"/>
    <s v="Ergonomic Keyboard"/>
    <n v="71.150000000000006"/>
    <n v="36.9"/>
    <n v="34.250000000000007"/>
    <n v="0.48137737174982437"/>
  </r>
  <r>
    <s v="BC-101802"/>
    <d v="2025-03-26T00:00:00"/>
    <s v="South"/>
    <s v="Corporate"/>
    <s v="Electronics"/>
    <s v="Webcam"/>
    <n v="6"/>
    <n v="51.78"/>
    <n v="26.32"/>
    <n v="0.05"/>
    <n v="4"/>
    <n v="4"/>
    <s v="No"/>
    <s v="Online"/>
    <s v="Digital Wallet"/>
    <s v="Corporate"/>
    <s v="South"/>
    <s v="Electronics"/>
    <x v="60"/>
    <n v="1"/>
    <s v="Webcam"/>
    <n v="295.14600000000002"/>
    <n v="157.92000000000002"/>
    <n v="137.226"/>
    <n v="0.46494277408469026"/>
  </r>
  <r>
    <s v="BC-101596"/>
    <d v="2025-05-06T00:00:00"/>
    <s v="North"/>
    <s v="Individual"/>
    <s v="Office"/>
    <s v="Wireless Mouse"/>
    <n v="3"/>
    <n v="36.229999999999997"/>
    <n v="16.96"/>
    <n v="0"/>
    <n v="1"/>
    <n v="5"/>
    <s v="No"/>
    <s v="Phone"/>
    <s v="Digital Wallet"/>
    <s v="Individual"/>
    <s v="North"/>
    <s v="Office"/>
    <x v="168"/>
    <n v="1"/>
    <s v="Wireless Mouse"/>
    <n v="108.69"/>
    <n v="50.88"/>
    <n v="57.809999999999995"/>
    <n v="0.53187965774220258"/>
  </r>
  <r>
    <s v="BC-100955"/>
    <d v="2025-10-22T00:00:00"/>
    <s v="North"/>
    <s v="Small Business"/>
    <s v="Electronics"/>
    <s v="SmartHome Hub"/>
    <n v="5"/>
    <n v="132.47999999999999"/>
    <n v="85.34"/>
    <n v="0"/>
    <n v="0"/>
    <n v="3"/>
    <s v="Yes"/>
    <s v="Store"/>
    <s v="Card"/>
    <s v="Small Business"/>
    <s v="North"/>
    <s v="Electronics"/>
    <x v="147"/>
    <n v="1"/>
    <s v="SmartHome Hub"/>
    <n v="662.4"/>
    <n v="426.70000000000005"/>
    <n v="235.69999999999993"/>
    <n v="0.35582729468599023"/>
  </r>
  <r>
    <s v="BC-101386"/>
    <d v="2025-12-23T00:00:00"/>
    <s v="London"/>
    <s v="Individual"/>
    <s v="Home &amp; Kitchen"/>
    <s v="Blender"/>
    <n v="1"/>
    <n v="64.81"/>
    <n v="35.76"/>
    <n v="0.15000000000000002"/>
    <n v="2"/>
    <n v="4"/>
    <s v="No"/>
    <s v="Online"/>
    <s v="Card"/>
    <s v="Individual"/>
    <s v="London"/>
    <s v="Home &amp; Kitchen"/>
    <x v="214"/>
    <n v="1"/>
    <s v="Blender"/>
    <n v="55.088500000000003"/>
    <n v="35.76"/>
    <n v="19.328500000000005"/>
    <n v="0.35086270274195164"/>
  </r>
  <r>
    <s v="BC-100693"/>
    <d v="2025-12-17T00:00:00"/>
    <s v="South"/>
    <s v="Small Business"/>
    <s v="Electronics"/>
    <s v="SmartHome Hub"/>
    <n v="2"/>
    <n v="134.74"/>
    <n v="85.81"/>
    <n v="0.2"/>
    <n v="3"/>
    <n v="3"/>
    <s v="Yes"/>
    <s v="Store"/>
    <s v="Digital Wallet"/>
    <s v="Small Business"/>
    <s v="South"/>
    <s v="Electronics"/>
    <x v="95"/>
    <n v="1"/>
    <s v="SmartHome Hub"/>
    <n v="215.58400000000003"/>
    <n v="171.62"/>
    <n v="43.964000000000027"/>
    <n v="0.20392979070803038"/>
  </r>
  <r>
    <s v="BC-101442"/>
    <d v="2025-12-09T00:00:00"/>
    <s v="Midlands"/>
    <s v="Individual"/>
    <s v="Office"/>
    <s v="Laptop Stand"/>
    <n v="2"/>
    <n v="43.82"/>
    <n v="21.62"/>
    <n v="0.15000000000000002"/>
    <n v="4"/>
    <n v="5"/>
    <s v="No"/>
    <s v="Online"/>
    <s v="Card"/>
    <s v="Individual"/>
    <s v="Midlands"/>
    <s v="Office"/>
    <x v="112"/>
    <n v="1"/>
    <s v="Laptop Stand"/>
    <n v="74.494"/>
    <n v="43.24"/>
    <n v="31.253999999999998"/>
    <n v="0.41955056783096623"/>
  </r>
  <r>
    <s v="BC-100992"/>
    <d v="2025-06-17T00:00:00"/>
    <s v="South"/>
    <s v="Individual"/>
    <s v="Electronics"/>
    <s v="Wireless Headset"/>
    <n v="1"/>
    <n v="59.27"/>
    <n v="33.78"/>
    <n v="0"/>
    <n v="4"/>
    <n v="5"/>
    <s v="No"/>
    <s v="Online"/>
    <s v="Digital Wallet"/>
    <s v="Individual"/>
    <s v="South"/>
    <s v="Electronics"/>
    <x v="230"/>
    <n v="1"/>
    <s v="Wireless Headset"/>
    <n v="59.27"/>
    <n v="33.78"/>
    <n v="25.490000000000002"/>
    <n v="0.43006580057364602"/>
  </r>
  <r>
    <s v="BC-101250"/>
    <d v="2025-05-01T00:00:00"/>
    <s v="London"/>
    <s v="Small Business"/>
    <s v="Home &amp; Kitchen"/>
    <s v="Electric Kettle"/>
    <n v="5"/>
    <n v="41.44"/>
    <n v="20.86"/>
    <n v="0.1"/>
    <n v="0"/>
    <n v="4"/>
    <s v="No"/>
    <s v="Store"/>
    <s v="Card"/>
    <s v="Small Business"/>
    <s v="London"/>
    <s v="Home &amp; Kitchen"/>
    <x v="89"/>
    <n v="1"/>
    <s v="Electric Kettle"/>
    <n v="186.48"/>
    <n v="104.3"/>
    <n v="82.179999999999993"/>
    <n v="0.44069069069069067"/>
  </r>
  <r>
    <s v="BC-100625"/>
    <d v="2025-01-19T00:00:00"/>
    <s v="South"/>
    <s v="Small Business"/>
    <s v="Office"/>
    <s v="Laptop Stand"/>
    <n v="2"/>
    <n v="44.93"/>
    <n v="21.79"/>
    <n v="0.05"/>
    <n v="4"/>
    <n v="4"/>
    <s v="No"/>
    <s v="Online"/>
    <s v="Digital Wallet"/>
    <s v="Small Business"/>
    <s v="South"/>
    <s v="Office"/>
    <x v="333"/>
    <n v="1"/>
    <s v="Laptop Stand"/>
    <n v="85.36699999999999"/>
    <n v="43.58"/>
    <n v="41.786999999999992"/>
    <n v="0.48949828388018785"/>
  </r>
  <r>
    <s v="BC-100048"/>
    <d v="2025-10-16T00:00:00"/>
    <s v="North"/>
    <s v="Individual"/>
    <s v="Electronics"/>
    <s v="Webcam"/>
    <n v="2"/>
    <n v="50.83"/>
    <n v="25.78"/>
    <n v="0"/>
    <n v="3"/>
    <n v="4"/>
    <s v="No"/>
    <s v="Online"/>
    <s v="Card"/>
    <s v="Individual"/>
    <s v="North"/>
    <s v="Electronics"/>
    <x v="282"/>
    <n v="1"/>
    <s v="Webcam"/>
    <n v="101.66"/>
    <n v="51.56"/>
    <n v="50.099999999999994"/>
    <n v="0.49281920125909889"/>
  </r>
  <r>
    <s v="BC-100868"/>
    <d v="2025-10-20T00:00:00"/>
    <s v="London"/>
    <s v="Corporate"/>
    <s v="Electronics"/>
    <s v="Portable Speaker"/>
    <n v="8"/>
    <n v="73.27"/>
    <n v="42.57"/>
    <n v="0.1"/>
    <n v="3"/>
    <n v="5"/>
    <s v="No"/>
    <s v="Online"/>
    <s v="Bank Transfer"/>
    <s v="Corporate"/>
    <s v="London"/>
    <s v="Electronics"/>
    <x v="315"/>
    <n v="1"/>
    <s v="Portable Speaker"/>
    <n v="527.54399999999998"/>
    <n v="340.56"/>
    <n v="186.98399999999998"/>
    <n v="0.3544424730449024"/>
  </r>
  <r>
    <s v="BC-101580"/>
    <d v="2025-05-14T00:00:00"/>
    <s v="North"/>
    <s v="Individual"/>
    <s v="Electronics"/>
    <s v="Wireless Headset"/>
    <n v="2"/>
    <n v="61.3"/>
    <n v="34.29"/>
    <n v="0"/>
    <n v="0"/>
    <n v="4"/>
    <s v="No"/>
    <s v="Store"/>
    <s v="Card"/>
    <s v="Individual"/>
    <s v="North"/>
    <s v="Electronics"/>
    <x v="159"/>
    <n v="1"/>
    <s v="Wireless Headset"/>
    <n v="122.6"/>
    <n v="68.58"/>
    <n v="54.019999999999996"/>
    <n v="0.44061990212071778"/>
  </r>
  <r>
    <s v="BC-100090"/>
    <d v="2025-11-26T00:00:00"/>
    <s v="London"/>
    <s v="Individual"/>
    <s v="Furniture"/>
    <s v="Side Table"/>
    <n v="1"/>
    <n v="90.17"/>
    <n v="55.84"/>
    <n v="0.1"/>
    <n v="3"/>
    <n v="4"/>
    <s v="No"/>
    <s v="Store"/>
    <s v="Digital Wallet"/>
    <s v="Individual"/>
    <s v="London"/>
    <s v="Furniture"/>
    <x v="210"/>
    <n v="1"/>
    <s v="Side Table"/>
    <n v="81.153000000000006"/>
    <n v="55.84"/>
    <n v="25.313000000000002"/>
    <n v="0.31191699629095659"/>
  </r>
  <r>
    <s v="BC-101923"/>
    <d v="2025-03-06T00:00:00"/>
    <s v="London"/>
    <s v="Individual"/>
    <s v="Electronics"/>
    <s v="Wireless Headset"/>
    <n v="1"/>
    <n v="59.46"/>
    <n v="35.090000000000003"/>
    <n v="0"/>
    <n v="2"/>
    <n v="4"/>
    <s v="No"/>
    <s v="Online"/>
    <s v="Digital Wallet"/>
    <s v="Individual"/>
    <s v="London"/>
    <s v="Electronics"/>
    <x v="275"/>
    <n v="1"/>
    <s v="Wireless Headset"/>
    <n v="59.46"/>
    <n v="35.090000000000003"/>
    <n v="24.369999999999997"/>
    <n v="0.40985536495122765"/>
  </r>
  <r>
    <s v="BC-100757"/>
    <d v="2025-09-17T00:00:00"/>
    <s v="North"/>
    <s v="Individual"/>
    <s v="Electronics"/>
    <s v="Portable Speaker"/>
    <n v="2"/>
    <n v="75.959999999999994"/>
    <n v="44.03"/>
    <n v="0"/>
    <n v="4"/>
    <n v="5"/>
    <s v="No"/>
    <s v="Online"/>
    <s v="Card"/>
    <s v="Individual"/>
    <s v="North"/>
    <s v="Electronics"/>
    <x v="31"/>
    <n v="1"/>
    <s v="Portable Speaker"/>
    <n v="151.91999999999999"/>
    <n v="88.06"/>
    <n v="63.859999999999985"/>
    <n v="0.42035281727224849"/>
  </r>
  <r>
    <s v="BC-101004"/>
    <d v="2025-10-08T00:00:00"/>
    <s v="London"/>
    <s v="Small Business"/>
    <s v="Office"/>
    <s v="Wireless Mouse"/>
    <n v="4"/>
    <n v="35.36"/>
    <n v="16.5"/>
    <n v="0.05"/>
    <n v="1"/>
    <n v="5"/>
    <s v="No"/>
    <s v="Online"/>
    <s v="Card"/>
    <s v="Small Business"/>
    <s v="London"/>
    <s v="Office"/>
    <x v="27"/>
    <n v="1"/>
    <s v="Wireless Mouse"/>
    <n v="134.36799999999999"/>
    <n v="66"/>
    <n v="68.367999999999995"/>
    <n v="0.50881162181471773"/>
  </r>
  <r>
    <s v="BC-101263"/>
    <d v="2025-11-04T00:00:00"/>
    <s v="Midlands"/>
    <s v="Small Business"/>
    <s v="Electronics"/>
    <s v="SmartHome Hub"/>
    <n v="4"/>
    <n v="128.16"/>
    <n v="83.03"/>
    <n v="0.1"/>
    <n v="4"/>
    <n v="4"/>
    <s v="No"/>
    <s v="Online"/>
    <s v="Card"/>
    <s v="Small Business"/>
    <s v="Midlands"/>
    <s v="Electronics"/>
    <x v="258"/>
    <n v="1"/>
    <s v="SmartHome Hub"/>
    <n v="461.37599999999998"/>
    <n v="332.12"/>
    <n v="129.25599999999997"/>
    <n v="0.28015328062144534"/>
  </r>
  <r>
    <s v="BC-100688"/>
    <d v="2025-10-25T00:00:00"/>
    <s v="North"/>
    <s v="Individual"/>
    <s v="Electronics"/>
    <s v="Webcam"/>
    <n v="1"/>
    <n v="51.31"/>
    <n v="26.53"/>
    <n v="0"/>
    <n v="4"/>
    <n v="4"/>
    <s v="No"/>
    <s v="Store"/>
    <s v="Card"/>
    <s v="Individual"/>
    <s v="North"/>
    <s v="Electronics"/>
    <x v="138"/>
    <n v="1"/>
    <s v="Webcam"/>
    <n v="51.31"/>
    <n v="26.53"/>
    <n v="24.78"/>
    <n v="0.48294679399727147"/>
  </r>
  <r>
    <s v="BC-100825"/>
    <d v="2025-11-15T00:00:00"/>
    <s v="South"/>
    <s v="Individual"/>
    <s v="Furniture"/>
    <s v="Storage Cabinet"/>
    <n v="1"/>
    <n v="156.63999999999999"/>
    <n v="98"/>
    <n v="0.1"/>
    <n v="8"/>
    <n v="3"/>
    <s v="No"/>
    <s v="Online"/>
    <s v="Bank Transfer"/>
    <s v="Individual"/>
    <s v="South"/>
    <s v="Furniture"/>
    <x v="172"/>
    <n v="1"/>
    <s v="Storage Cabinet"/>
    <n v="140.976"/>
    <n v="98"/>
    <n v="42.975999999999999"/>
    <n v="0.3048462149585745"/>
  </r>
  <r>
    <s v="BC-101418"/>
    <d v="2025-12-28T00:00:00"/>
    <s v="South"/>
    <s v="Small Business"/>
    <s v="Electronics"/>
    <s v="Webcam"/>
    <n v="2"/>
    <n v="50.93"/>
    <n v="26.83"/>
    <n v="0.1"/>
    <n v="2"/>
    <n v="4"/>
    <s v="No"/>
    <s v="Online"/>
    <s v="Card"/>
    <s v="Small Business"/>
    <s v="South"/>
    <s v="Electronics"/>
    <x v="6"/>
    <n v="1"/>
    <s v="Webcam"/>
    <n v="91.674000000000007"/>
    <n v="53.66"/>
    <n v="38.01400000000001"/>
    <n v="0.4146650086174925"/>
  </r>
  <r>
    <s v="BC-100199"/>
    <d v="2025-12-17T00:00:00"/>
    <s v="Midlands"/>
    <s v="Individual"/>
    <s v="Electronics"/>
    <s v="SmartHome Hub"/>
    <n v="1"/>
    <n v="128.72"/>
    <n v="84.82"/>
    <n v="0.1"/>
    <n v="3"/>
    <n v="3"/>
    <s v="Yes"/>
    <s v="Online"/>
    <s v="Card"/>
    <s v="Individual"/>
    <s v="Midlands"/>
    <s v="Electronics"/>
    <x v="95"/>
    <n v="1"/>
    <s v="SmartHome Hub"/>
    <n v="115.848"/>
    <n v="84.82"/>
    <n v="31.028000000000006"/>
    <n v="0.26783371314135768"/>
  </r>
  <r>
    <s v="BC-101256"/>
    <d v="2025-12-22T00:00:00"/>
    <s v="South"/>
    <s v="Individual"/>
    <s v="Electronics"/>
    <s v="Webcam"/>
    <n v="1"/>
    <n v="48.54"/>
    <n v="26.55"/>
    <n v="0.1"/>
    <n v="2"/>
    <n v="5"/>
    <s v="No"/>
    <s v="Online"/>
    <s v="Bank Transfer"/>
    <s v="Individual"/>
    <s v="South"/>
    <s v="Electronics"/>
    <x v="36"/>
    <n v="1"/>
    <s v="Webcam"/>
    <n v="43.686"/>
    <n v="26.55"/>
    <n v="17.135999999999999"/>
    <n v="0.39225381128965797"/>
  </r>
  <r>
    <s v="BC-100328"/>
    <d v="2025-07-31T00:00:00"/>
    <s v="South"/>
    <s v="Small Business"/>
    <s v="Electronics"/>
    <s v="SmartHome Hub"/>
    <n v="2"/>
    <n v="128.80000000000001"/>
    <n v="86.41"/>
    <n v="0.05"/>
    <n v="5"/>
    <n v="4"/>
    <s v="No"/>
    <s v="Online"/>
    <s v="Card"/>
    <s v="Small Business"/>
    <s v="South"/>
    <s v="Electronics"/>
    <x v="9"/>
    <n v="1"/>
    <s v="SmartHome Hub"/>
    <n v="244.72"/>
    <n v="172.82"/>
    <n v="71.900000000000006"/>
    <n v="0.29380516508662963"/>
  </r>
  <r>
    <s v="BC-100251"/>
    <d v="2025-09-22T00:00:00"/>
    <s v="North"/>
    <s v="Individual"/>
    <s v="Home &amp; Kitchen"/>
    <s v="Coffee Maker"/>
    <n v="1"/>
    <n v="81.23"/>
    <n v="46.68"/>
    <n v="0"/>
    <n v="1"/>
    <n v="5"/>
    <s v="No"/>
    <s v="Online"/>
    <s v="Card"/>
    <s v="Individual"/>
    <s v="North"/>
    <s v="Home &amp; Kitchen"/>
    <x v="189"/>
    <n v="1"/>
    <s v="Coffee Maker"/>
    <n v="81.23"/>
    <n v="46.68"/>
    <n v="34.550000000000004"/>
    <n v="0.42533546719192422"/>
  </r>
  <r>
    <s v="BC-101275"/>
    <d v="2025-01-01T00:00:00"/>
    <s v="South"/>
    <s v="Individual"/>
    <s v="Home &amp; Kitchen"/>
    <s v="Air Fryer"/>
    <n v="1"/>
    <n v="112.96"/>
    <n v="65.36"/>
    <n v="0.05"/>
    <n v="5"/>
    <n v="3"/>
    <s v="Yes"/>
    <s v="Online"/>
    <s v="Card"/>
    <s v="Individual"/>
    <s v="South"/>
    <s v="Home &amp; Kitchen"/>
    <x v="34"/>
    <n v="1"/>
    <s v="Air Fryer"/>
    <n v="107.31199999999998"/>
    <n v="65.36"/>
    <n v="41.951999999999984"/>
    <n v="0.39093484419263447"/>
  </r>
  <r>
    <s v="BC-101636"/>
    <d v="2025-07-09T00:00:00"/>
    <s v="South"/>
    <s v="Individual"/>
    <s v="Home &amp; Kitchen"/>
    <s v="Blender"/>
    <n v="2"/>
    <n v="63.13"/>
    <n v="36.4"/>
    <n v="0.1"/>
    <n v="6"/>
    <n v="3"/>
    <s v="No"/>
    <s v="Online"/>
    <s v="Card"/>
    <s v="Individual"/>
    <s v="South"/>
    <s v="Home &amp; Kitchen"/>
    <x v="245"/>
    <n v="1"/>
    <s v="Blender"/>
    <n v="113.634"/>
    <n v="72.8"/>
    <n v="40.834000000000003"/>
    <n v="0.35934667441082779"/>
  </r>
  <r>
    <s v="BC-100030"/>
    <d v="2025-03-19T00:00:00"/>
    <s v="Midlands"/>
    <s v="Small Business"/>
    <s v="Home &amp; Kitchen"/>
    <s v="Air Fryer"/>
    <n v="3"/>
    <n v="110.97"/>
    <n v="65.739999999999995"/>
    <n v="0.05"/>
    <n v="6"/>
    <n v="4"/>
    <s v="No"/>
    <s v="Phone"/>
    <s v="Bank Transfer"/>
    <s v="Small Business"/>
    <s v="Midlands"/>
    <s v="Home &amp; Kitchen"/>
    <x v="93"/>
    <n v="1"/>
    <s v="Air Fryer"/>
    <n v="316.26449999999994"/>
    <n v="197.21999999999997"/>
    <n v="119.04449999999997"/>
    <n v="0.37640803820852481"/>
  </r>
  <r>
    <s v="BC-101634"/>
    <d v="2025-01-20T00:00:00"/>
    <s v="North"/>
    <s v="Individual"/>
    <s v="Home &amp; Kitchen"/>
    <s v="Blender"/>
    <n v="1"/>
    <n v="67.260000000000005"/>
    <n v="35.92"/>
    <n v="0"/>
    <n v="3"/>
    <n v="5"/>
    <s v="No"/>
    <s v="Online"/>
    <s v="Bank Transfer"/>
    <s v="Individual"/>
    <s v="North"/>
    <s v="Home &amp; Kitchen"/>
    <x v="225"/>
    <n v="1"/>
    <s v="Blender"/>
    <n v="67.260000000000005"/>
    <n v="35.92"/>
    <n v="31.340000000000003"/>
    <n v="0.46595301813856677"/>
  </r>
  <r>
    <s v="BC-100560"/>
    <d v="2025-10-09T00:00:00"/>
    <s v="Midlands"/>
    <s v="Individual"/>
    <s v="Furniture"/>
    <s v="Side Table"/>
    <n v="1"/>
    <n v="87.4"/>
    <n v="55.21"/>
    <n v="0"/>
    <n v="3"/>
    <n v="4"/>
    <s v="No"/>
    <s v="Store"/>
    <s v="Bank Transfer"/>
    <s v="Individual"/>
    <s v="Midlands"/>
    <s v="Furniture"/>
    <x v="255"/>
    <n v="1"/>
    <s v="Side Table"/>
    <n v="87.4"/>
    <n v="55.21"/>
    <n v="32.190000000000005"/>
    <n v="0.36830663615560644"/>
  </r>
  <r>
    <s v="BC-101705"/>
    <d v="2025-05-09T00:00:00"/>
    <s v="London"/>
    <s v="Small Business"/>
    <s v="Home &amp; Kitchen"/>
    <s v="Blender"/>
    <n v="4"/>
    <n v="66.53"/>
    <n v="36.479999999999997"/>
    <n v="0"/>
    <n v="6"/>
    <n v="4"/>
    <s v="No"/>
    <s v="Online"/>
    <s v="Digital Wallet"/>
    <s v="Small Business"/>
    <s v="London"/>
    <s v="Home &amp; Kitchen"/>
    <x v="334"/>
    <n v="1"/>
    <s v="Blender"/>
    <n v="266.12"/>
    <n v="145.91999999999999"/>
    <n v="120.20000000000002"/>
    <n v="0.4516759356681197"/>
  </r>
  <r>
    <s v="BC-101178"/>
    <d v="2025-03-24T00:00:00"/>
    <s v="South"/>
    <s v="Individual"/>
    <s v="Office"/>
    <s v="Wireless Mouse"/>
    <n v="1"/>
    <n v="34.9"/>
    <n v="17.22"/>
    <n v="0.05"/>
    <n v="3"/>
    <n v="4"/>
    <s v="No"/>
    <s v="Online"/>
    <s v="Card"/>
    <s v="Individual"/>
    <s v="South"/>
    <s v="Office"/>
    <x v="144"/>
    <n v="1"/>
    <s v="Wireless Mouse"/>
    <n v="33.154999999999994"/>
    <n v="17.22"/>
    <n v="15.934999999999995"/>
    <n v="0.48062132408384856"/>
  </r>
  <r>
    <s v="BC-101917"/>
    <d v="2025-12-18T00:00:00"/>
    <s v="London"/>
    <s v="Corporate"/>
    <s v="Office"/>
    <s v="Ergonomic Keyboard"/>
    <n v="8"/>
    <n v="69.900000000000006"/>
    <n v="39.65"/>
    <n v="0.05"/>
    <n v="1"/>
    <n v="4"/>
    <s v="No"/>
    <s v="Store"/>
    <s v="Bank Transfer"/>
    <s v="Corporate"/>
    <s v="London"/>
    <s v="Office"/>
    <x v="114"/>
    <n v="1"/>
    <s v="Ergonomic Keyboard"/>
    <n v="531.24"/>
    <n v="317.2"/>
    <n v="214.04000000000002"/>
    <n v="0.40290640765002639"/>
  </r>
  <r>
    <s v="BC-101786"/>
    <d v="2025-04-28T00:00:00"/>
    <s v="South"/>
    <s v="Small Business"/>
    <s v="Office"/>
    <s v="Laptop Stand"/>
    <n v="4"/>
    <n v="44.96"/>
    <n v="20.55"/>
    <n v="0.1"/>
    <n v="3"/>
    <n v="4"/>
    <s v="No"/>
    <s v="Online"/>
    <s v="Card"/>
    <s v="Small Business"/>
    <s v="South"/>
    <s v="Office"/>
    <x v="174"/>
    <n v="1"/>
    <s v="Laptop Stand"/>
    <n v="161.85599999999999"/>
    <n v="82.2"/>
    <n v="79.655999999999992"/>
    <n v="0.49214116251482798"/>
  </r>
  <r>
    <s v="BC-101535"/>
    <d v="2025-05-03T00:00:00"/>
    <s v="Midlands"/>
    <s v="Individual"/>
    <s v="Home &amp; Kitchen"/>
    <s v="Coffee Maker"/>
    <n v="1"/>
    <n v="82.41"/>
    <n v="47.01"/>
    <n v="0"/>
    <n v="1"/>
    <n v="4"/>
    <s v="No"/>
    <s v="Online"/>
    <s v="Card"/>
    <s v="Individual"/>
    <s v="Midlands"/>
    <s v="Home &amp; Kitchen"/>
    <x v="303"/>
    <n v="1"/>
    <s v="Coffee Maker"/>
    <n v="82.41"/>
    <n v="47.01"/>
    <n v="35.4"/>
    <n v="0.4295595194757918"/>
  </r>
  <r>
    <s v="BC-100445"/>
    <d v="2025-01-17T00:00:00"/>
    <s v="North"/>
    <s v="Corporate"/>
    <s v="Home &amp; Kitchen"/>
    <s v="Coffee Maker"/>
    <n v="4"/>
    <n v="79.930000000000007"/>
    <n v="45.06"/>
    <n v="0.05"/>
    <n v="4"/>
    <n v="5"/>
    <s v="No"/>
    <s v="Online"/>
    <s v="Card"/>
    <s v="Corporate"/>
    <s v="North"/>
    <s v="Home &amp; Kitchen"/>
    <x v="335"/>
    <n v="1"/>
    <s v="Coffee Maker"/>
    <n v="303.73400000000004"/>
    <n v="180.24"/>
    <n v="123.49400000000003"/>
    <n v="0.40658602593058402"/>
  </r>
  <r>
    <s v="BC-100914"/>
    <d v="2025-01-21T00:00:00"/>
    <s v="Midlands"/>
    <s v="Small Business"/>
    <s v="Electronics"/>
    <s v="Portable Speaker"/>
    <n v="2"/>
    <n v="74.17"/>
    <n v="45.05"/>
    <n v="0.05"/>
    <n v="3"/>
    <n v="4"/>
    <s v="No"/>
    <s v="Online"/>
    <s v="Card"/>
    <s v="Small Business"/>
    <s v="Midlands"/>
    <s v="Electronics"/>
    <x v="218"/>
    <n v="1"/>
    <s v="Portable Speaker"/>
    <n v="140.923"/>
    <n v="90.1"/>
    <n v="50.823000000000008"/>
    <n v="0.36064375580991043"/>
  </r>
  <r>
    <s v="BC-101704"/>
    <d v="2025-06-27T00:00:00"/>
    <s v="London"/>
    <s v="Small Business"/>
    <s v="Office"/>
    <s v="Ergonomic Keyboard"/>
    <n v="6"/>
    <n v="70.17"/>
    <n v="37.159999999999997"/>
    <n v="0"/>
    <n v="0"/>
    <n v="5"/>
    <s v="No"/>
    <s v="Store"/>
    <s v="Digital Wallet"/>
    <s v="Small Business"/>
    <s v="London"/>
    <s v="Office"/>
    <x v="56"/>
    <n v="1"/>
    <s v="Ergonomic Keyboard"/>
    <n v="421.02"/>
    <n v="222.95999999999998"/>
    <n v="198.06"/>
    <n v="0.47042895824426395"/>
  </r>
  <r>
    <s v="BC-100001"/>
    <d v="2025-12-28T00:00:00"/>
    <s v="London"/>
    <s v="Small Business"/>
    <s v="Furniture"/>
    <s v="Bookshelf"/>
    <n v="4"/>
    <n v="123.68"/>
    <n v="74.81"/>
    <n v="0.05"/>
    <n v="6"/>
    <n v="4"/>
    <s v="No"/>
    <s v="Online"/>
    <s v="Card"/>
    <s v="Small Business"/>
    <s v="London"/>
    <s v="Furniture"/>
    <x v="6"/>
    <n v="1"/>
    <s v="Bookshelf"/>
    <n v="469.98399999999998"/>
    <n v="299.24"/>
    <n v="170.74399999999997"/>
    <n v="0.3632974739565602"/>
  </r>
  <r>
    <s v="BC-101689"/>
    <d v="2025-01-21T00:00:00"/>
    <s v="London"/>
    <s v="Individual"/>
    <s v="Home &amp; Kitchen"/>
    <s v="Electric Kettle"/>
    <n v="3"/>
    <n v="38.82"/>
    <n v="20.04"/>
    <n v="0"/>
    <n v="3"/>
    <n v="4"/>
    <s v="No"/>
    <s v="Phone"/>
    <s v="Digital Wallet"/>
    <s v="Individual"/>
    <s v="London"/>
    <s v="Home &amp; Kitchen"/>
    <x v="218"/>
    <n v="1"/>
    <s v="Electric Kettle"/>
    <n v="116.46000000000001"/>
    <n v="60.12"/>
    <n v="56.340000000000011"/>
    <n v="0.48377125193199388"/>
  </r>
  <r>
    <s v="BC-100087"/>
    <d v="2025-05-04T00:00:00"/>
    <s v="South"/>
    <s v="Individual"/>
    <s v="Furniture"/>
    <s v="Side Table"/>
    <n v="1"/>
    <n v="91.88"/>
    <n v="54.29"/>
    <n v="0.15000000000000002"/>
    <n v="1"/>
    <n v="4"/>
    <s v="No"/>
    <s v="Store"/>
    <s v="Card"/>
    <s v="Individual"/>
    <s v="South"/>
    <s v="Furniture"/>
    <x v="51"/>
    <n v="1"/>
    <s v="Side Table"/>
    <n v="78.097999999999999"/>
    <n v="54.29"/>
    <n v="23.808"/>
    <n v="0.30484775538426079"/>
  </r>
  <r>
    <s v="BC-101361"/>
    <d v="2025-12-12T00:00:00"/>
    <s v="North"/>
    <s v="Small Business"/>
    <s v="Home &amp; Kitchen"/>
    <s v="Electric Kettle"/>
    <n v="2"/>
    <n v="39.26"/>
    <n v="20.39"/>
    <n v="0.1"/>
    <n v="6"/>
    <n v="4"/>
    <s v="No"/>
    <s v="Online"/>
    <s v="Card"/>
    <s v="Small Business"/>
    <s v="North"/>
    <s v="Home &amp; Kitchen"/>
    <x v="247"/>
    <n v="1"/>
    <s v="Electric Kettle"/>
    <n v="70.667999999999992"/>
    <n v="40.78"/>
    <n v="29.887999999999991"/>
    <n v="0.42293541631289966"/>
  </r>
  <r>
    <s v="BC-100977"/>
    <d v="2025-11-20T00:00:00"/>
    <s v="London"/>
    <s v="Individual"/>
    <s v="Home &amp; Kitchen"/>
    <s v="Electric Kettle"/>
    <n v="1"/>
    <n v="39.75"/>
    <n v="20.56"/>
    <n v="0.15000000000000002"/>
    <n v="2"/>
    <n v="4"/>
    <s v="No"/>
    <s v="Online"/>
    <s v="Card"/>
    <s v="Individual"/>
    <s v="London"/>
    <s v="Home &amp; Kitchen"/>
    <x v="33"/>
    <n v="1"/>
    <s v="Electric Kettle"/>
    <n v="33.787500000000001"/>
    <n v="20.56"/>
    <n v="13.227500000000003"/>
    <n v="0.39149093599704038"/>
  </r>
  <r>
    <s v="BC-100508"/>
    <d v="2025-11-20T00:00:00"/>
    <s v="South"/>
    <s v="Small Business"/>
    <s v="Office"/>
    <s v="Ergonomic Keyboard"/>
    <n v="2"/>
    <n v="71.959999999999994"/>
    <n v="38.42"/>
    <n v="0.15000000000000002"/>
    <n v="6"/>
    <n v="4"/>
    <s v="No"/>
    <s v="Online"/>
    <s v="Card"/>
    <s v="Small Business"/>
    <s v="South"/>
    <s v="Office"/>
    <x v="33"/>
    <n v="1"/>
    <s v="Ergonomic Keyboard"/>
    <n v="122.33199999999998"/>
    <n v="76.84"/>
    <n v="45.491999999999976"/>
    <n v="0.37187326292384643"/>
  </r>
  <r>
    <s v="BC-100571"/>
    <d v="2025-12-01T00:00:00"/>
    <s v="South"/>
    <s v="Individual"/>
    <s v="Furniture"/>
    <s v="Bookshelf"/>
    <n v="3"/>
    <n v="124.67"/>
    <n v="72.44"/>
    <n v="0.05"/>
    <n v="2"/>
    <n v="4"/>
    <s v="No"/>
    <s v="Store"/>
    <s v="Card"/>
    <s v="Individual"/>
    <s v="South"/>
    <s v="Furniture"/>
    <x v="11"/>
    <n v="1"/>
    <s v="Bookshelf"/>
    <n v="355.30949999999996"/>
    <n v="217.32"/>
    <n v="137.98949999999996"/>
    <n v="0.38836422893280359"/>
  </r>
  <r>
    <s v="BC-101336"/>
    <d v="2025-08-17T00:00:00"/>
    <s v="South"/>
    <s v="Individual"/>
    <s v="Furniture"/>
    <s v="Bookshelf"/>
    <n v="2"/>
    <n v="120.49"/>
    <n v="72.2"/>
    <n v="0.15000000000000002"/>
    <n v="7"/>
    <n v="4"/>
    <s v="No"/>
    <s v="Online"/>
    <s v="Digital Wallet"/>
    <s v="Individual"/>
    <s v="South"/>
    <s v="Furniture"/>
    <x v="12"/>
    <n v="1"/>
    <s v="Bookshelf"/>
    <n v="204.833"/>
    <n v="144.4"/>
    <n v="60.432999999999993"/>
    <n v="0.29503546791776714"/>
  </r>
  <r>
    <s v="BC-101368"/>
    <d v="2025-12-20T00:00:00"/>
    <s v="Midlands"/>
    <s v="Small Business"/>
    <s v="Home &amp; Kitchen"/>
    <s v="Air Fryer"/>
    <n v="1"/>
    <n v="114.21"/>
    <n v="64.989999999999995"/>
    <n v="0.15000000000000002"/>
    <n v="5"/>
    <n v="5"/>
    <s v="No"/>
    <s v="Online"/>
    <s v="Bank Transfer"/>
    <s v="Small Business"/>
    <s v="Midlands"/>
    <s v="Home &amp; Kitchen"/>
    <x v="220"/>
    <n v="1"/>
    <s v="Air Fryer"/>
    <n v="97.078499999999991"/>
    <n v="64.989999999999995"/>
    <n v="32.088499999999996"/>
    <n v="0.33054177804560225"/>
  </r>
  <r>
    <s v="BC-101602"/>
    <d v="2025-12-31T00:00:00"/>
    <s v="South"/>
    <s v="Corporate"/>
    <s v="Home &amp; Kitchen"/>
    <s v="Electric Kettle"/>
    <n v="10"/>
    <n v="40.659999999999997"/>
    <n v="20.36"/>
    <n v="0.2"/>
    <n v="1"/>
    <n v="3"/>
    <s v="Yes"/>
    <s v="Online"/>
    <s v="Digital Wallet"/>
    <s v="Corporate"/>
    <s v="South"/>
    <s v="Home &amp; Kitchen"/>
    <x v="81"/>
    <n v="1"/>
    <s v="Electric Kettle"/>
    <n v="325.27999999999997"/>
    <n v="203.6"/>
    <n v="121.67999999999998"/>
    <n v="0.37407771765863251"/>
  </r>
  <r>
    <s v="BC-101169"/>
    <d v="2025-05-18T00:00:00"/>
    <s v="Midlands"/>
    <s v="Small Business"/>
    <s v="Home &amp; Kitchen"/>
    <s v="Air Fryer"/>
    <n v="1"/>
    <n v="111.19"/>
    <n v="67.010000000000005"/>
    <n v="0"/>
    <n v="1"/>
    <n v="4"/>
    <s v="No"/>
    <s v="Online"/>
    <s v="Card"/>
    <s v="Small Business"/>
    <s v="Midlands"/>
    <s v="Home &amp; Kitchen"/>
    <x v="140"/>
    <n v="1"/>
    <s v="Air Fryer"/>
    <n v="111.19"/>
    <n v="67.010000000000005"/>
    <n v="44.179999999999993"/>
    <n v="0.39733789009803033"/>
  </r>
  <r>
    <s v="BC-101676"/>
    <d v="2025-03-19T00:00:00"/>
    <s v="Midlands"/>
    <s v="Individual"/>
    <s v="Electronics"/>
    <s v="Portable Speaker"/>
    <n v="1"/>
    <n v="76.47"/>
    <n v="42.93"/>
    <n v="0"/>
    <n v="5"/>
    <n v="4"/>
    <s v="No"/>
    <s v="Online"/>
    <s v="Digital Wallet"/>
    <s v="Individual"/>
    <s v="Midlands"/>
    <s v="Electronics"/>
    <x v="93"/>
    <n v="1"/>
    <s v="Portable Speaker"/>
    <n v="76.47"/>
    <n v="42.93"/>
    <n v="33.54"/>
    <n v="0.43860337387210668"/>
  </r>
  <r>
    <s v="BC-101446"/>
    <d v="2025-01-02T00:00:00"/>
    <s v="London"/>
    <s v="Individual"/>
    <s v="Electronics"/>
    <s v="Wireless Headset"/>
    <n v="1"/>
    <n v="59.85"/>
    <n v="35.33"/>
    <n v="0.05"/>
    <n v="4"/>
    <n v="4"/>
    <s v="No"/>
    <s v="Store"/>
    <s v="Card"/>
    <s v="Individual"/>
    <s v="London"/>
    <s v="Electronics"/>
    <x v="320"/>
    <n v="1"/>
    <s v="Wireless Headset"/>
    <n v="56.857500000000002"/>
    <n v="35.33"/>
    <n v="21.527500000000003"/>
    <n v="0.37862199358044241"/>
  </r>
  <r>
    <s v="BC-100270"/>
    <d v="2025-11-16T00:00:00"/>
    <s v="South"/>
    <s v="Small Business"/>
    <s v="Home &amp; Kitchen"/>
    <s v="Air Fryer"/>
    <n v="5"/>
    <n v="107.57"/>
    <n v="65.84"/>
    <n v="0.1"/>
    <n v="6"/>
    <n v="4"/>
    <s v="No"/>
    <s v="Phone"/>
    <s v="Card"/>
    <s v="Small Business"/>
    <s v="South"/>
    <s v="Home &amp; Kitchen"/>
    <x v="178"/>
    <n v="1"/>
    <s v="Air Fryer"/>
    <n v="484.06499999999994"/>
    <n v="329.20000000000005"/>
    <n v="154.8649999999999"/>
    <n v="0.31992604299009414"/>
  </r>
  <r>
    <s v="BC-101347"/>
    <d v="2025-01-05T00:00:00"/>
    <s v="London"/>
    <s v="Individual"/>
    <s v="Electronics"/>
    <s v="Wireless Headset"/>
    <n v="2"/>
    <n v="60.58"/>
    <n v="34.03"/>
    <n v="0"/>
    <n v="0"/>
    <n v="4"/>
    <s v="No"/>
    <s v="Store"/>
    <s v="Card"/>
    <s v="Individual"/>
    <s v="London"/>
    <s v="Electronics"/>
    <x v="42"/>
    <n v="1"/>
    <s v="Wireless Headset"/>
    <n v="121.16"/>
    <n v="68.06"/>
    <n v="53.099999999999994"/>
    <n v="0.43826345328491245"/>
  </r>
  <r>
    <s v="BC-101365"/>
    <d v="2025-12-25T00:00:00"/>
    <s v="Midlands"/>
    <s v="Individual"/>
    <s v="Electronics"/>
    <s v="Webcam"/>
    <n v="2"/>
    <n v="50.23"/>
    <n v="25.58"/>
    <n v="0.05"/>
    <n v="0"/>
    <n v="3"/>
    <s v="Yes"/>
    <s v="Store"/>
    <s v="Bank Transfer"/>
    <s v="Individual"/>
    <s v="Midlands"/>
    <s v="Electronics"/>
    <x v="28"/>
    <n v="1"/>
    <s v="Webcam"/>
    <n v="95.436999999999983"/>
    <n v="51.16"/>
    <n v="44.276999999999987"/>
    <n v="0.4639395622242945"/>
  </r>
  <r>
    <s v="BC-101629"/>
    <d v="2025-09-24T00:00:00"/>
    <s v="South"/>
    <s v="Individual"/>
    <s v="Furniture"/>
    <s v="Bookshelf"/>
    <n v="1"/>
    <n v="117.38"/>
    <n v="72.44"/>
    <n v="0.1"/>
    <n v="2"/>
    <n v="4"/>
    <s v="No"/>
    <s v="Store"/>
    <s v="Card"/>
    <s v="Individual"/>
    <s v="South"/>
    <s v="Furniture"/>
    <x v="146"/>
    <n v="1"/>
    <s v="Bookshelf"/>
    <n v="105.642"/>
    <n v="72.44"/>
    <n v="33.201999999999998"/>
    <n v="0.31428787792733948"/>
  </r>
  <r>
    <s v="BC-100157"/>
    <d v="2025-04-03T00:00:00"/>
    <s v="London"/>
    <s v="Small Business"/>
    <s v="Home &amp; Kitchen"/>
    <s v="Coffee Maker"/>
    <n v="3"/>
    <n v="80.67"/>
    <n v="46.22"/>
    <n v="0"/>
    <n v="0"/>
    <n v="5"/>
    <s v="No"/>
    <s v="Store"/>
    <s v="Card"/>
    <s v="Small Business"/>
    <s v="London"/>
    <s v="Home &amp; Kitchen"/>
    <x v="19"/>
    <n v="1"/>
    <s v="Coffee Maker"/>
    <n v="242.01"/>
    <n v="138.66"/>
    <n v="103.35"/>
    <n v="0.42704846907152594"/>
  </r>
  <r>
    <s v="BC-100257"/>
    <d v="2025-08-20T00:00:00"/>
    <s v="London"/>
    <s v="Individual"/>
    <s v="Office"/>
    <s v="Desk Lamp"/>
    <n v="1"/>
    <n v="38.799999999999997"/>
    <n v="19.62"/>
    <n v="0"/>
    <n v="2"/>
    <n v="5"/>
    <s v="No"/>
    <s v="Online"/>
    <s v="Bank Transfer"/>
    <s v="Individual"/>
    <s v="London"/>
    <s v="Office"/>
    <x v="99"/>
    <n v="1"/>
    <s v="Desk Lamp"/>
    <n v="38.799999999999997"/>
    <n v="19.62"/>
    <n v="19.179999999999996"/>
    <n v="0.49432989690721646"/>
  </r>
  <r>
    <s v="BC-101400"/>
    <d v="2025-04-19T00:00:00"/>
    <s v="North"/>
    <s v="Corporate"/>
    <s v="Electronics"/>
    <s v="Webcam"/>
    <n v="8"/>
    <n v="51.84"/>
    <n v="26.94"/>
    <n v="0.05"/>
    <n v="0"/>
    <n v="4"/>
    <s v="No"/>
    <s v="Store"/>
    <s v="Bank Transfer"/>
    <s v="Corporate"/>
    <s v="North"/>
    <s v="Electronics"/>
    <x v="336"/>
    <n v="1"/>
    <s v="Webcam"/>
    <n v="393.98399999999998"/>
    <n v="215.52"/>
    <n v="178.46399999999997"/>
    <n v="0.45297270955165686"/>
  </r>
  <r>
    <s v="BC-100976"/>
    <d v="2025-05-18T00:00:00"/>
    <s v="South"/>
    <s v="Small Business"/>
    <s v="Furniture"/>
    <s v="Side Table"/>
    <n v="3"/>
    <n v="88.84"/>
    <n v="56.67"/>
    <n v="0.2"/>
    <n v="7"/>
    <n v="4"/>
    <s v="No"/>
    <s v="Online"/>
    <s v="Card"/>
    <s v="Small Business"/>
    <s v="South"/>
    <s v="Furniture"/>
    <x v="140"/>
    <n v="1"/>
    <s v="Side Table"/>
    <n v="213.21600000000001"/>
    <n v="170.01"/>
    <n v="43.206000000000017"/>
    <n v="0.20263957676722205"/>
  </r>
  <r>
    <s v="BC-101475"/>
    <d v="2025-10-18T00:00:00"/>
    <s v="London"/>
    <s v="Individual"/>
    <s v="Furniture"/>
    <s v="Storage Cabinet"/>
    <n v="3"/>
    <n v="159.57"/>
    <n v="104.67"/>
    <n v="0"/>
    <n v="2"/>
    <n v="5"/>
    <s v="No"/>
    <s v="Store"/>
    <s v="Digital Wallet"/>
    <s v="Individual"/>
    <s v="London"/>
    <s v="Furniture"/>
    <x v="311"/>
    <n v="1"/>
    <s v="Storage Cabinet"/>
    <n v="478.71"/>
    <n v="314.01"/>
    <n v="164.7"/>
    <n v="0.34404963338973488"/>
  </r>
  <r>
    <s v="BC-100116"/>
    <d v="2025-03-26T00:00:00"/>
    <s v="Midlands"/>
    <s v="Small Business"/>
    <s v="Electronics"/>
    <s v="SmartHome Hub"/>
    <n v="3"/>
    <n v="133.53"/>
    <n v="85.91"/>
    <n v="0.05"/>
    <n v="2"/>
    <n v="4"/>
    <s v="No"/>
    <s v="Store"/>
    <s v="Card"/>
    <s v="Small Business"/>
    <s v="Midlands"/>
    <s v="Electronics"/>
    <x v="60"/>
    <n v="1"/>
    <s v="SmartHome Hub"/>
    <n v="380.56049999999999"/>
    <n v="257.73"/>
    <n v="122.83049999999997"/>
    <n v="0.32276208382110066"/>
  </r>
  <r>
    <s v="BC-101299"/>
    <d v="2025-12-09T00:00:00"/>
    <s v="Midlands"/>
    <s v="Individual"/>
    <s v="Office"/>
    <s v="Desk Lamp"/>
    <n v="1"/>
    <n v="41.04"/>
    <n v="19.71"/>
    <n v="0.1"/>
    <n v="3"/>
    <n v="4"/>
    <s v="No"/>
    <s v="Online"/>
    <s v="Card"/>
    <s v="Individual"/>
    <s v="Midlands"/>
    <s v="Office"/>
    <x v="112"/>
    <n v="1"/>
    <s v="Desk Lamp"/>
    <n v="36.936"/>
    <n v="19.71"/>
    <n v="17.225999999999999"/>
    <n v="0.46637426900584794"/>
  </r>
  <r>
    <s v="BC-101049"/>
    <d v="2025-11-19T00:00:00"/>
    <s v="South"/>
    <s v="Small Business"/>
    <s v="Electronics"/>
    <s v="Portable Speaker"/>
    <n v="3"/>
    <n v="76.19"/>
    <n v="43.51"/>
    <n v="0.05"/>
    <n v="1"/>
    <n v="5"/>
    <s v="No"/>
    <s v="Store"/>
    <s v="Digital Wallet"/>
    <s v="Small Business"/>
    <s v="South"/>
    <s v="Electronics"/>
    <x v="264"/>
    <n v="1"/>
    <s v="Portable Speaker"/>
    <n v="217.14149999999998"/>
    <n v="130.53"/>
    <n v="86.611499999999978"/>
    <n v="0.39887124294526832"/>
  </r>
  <r>
    <s v="BC-101525"/>
    <d v="2025-11-22T00:00:00"/>
    <s v="London"/>
    <s v="Small Business"/>
    <s v="Electronics"/>
    <s v="Wireless Headset"/>
    <n v="4"/>
    <n v="58.85"/>
    <n v="34.43"/>
    <n v="0.05"/>
    <n v="5"/>
    <n v="4"/>
    <s v="No"/>
    <s v="Online"/>
    <s v="Digital Wallet"/>
    <s v="Small Business"/>
    <s v="London"/>
    <s v="Electronics"/>
    <x v="82"/>
    <n v="1"/>
    <s v="Wireless Headset"/>
    <n v="223.63"/>
    <n v="137.72"/>
    <n v="85.91"/>
    <n v="0.38416133792424989"/>
  </r>
  <r>
    <s v="BC-101322"/>
    <d v="2025-12-02T00:00:00"/>
    <s v="London"/>
    <s v="Small Business"/>
    <s v="Office"/>
    <s v="Wireless Mouse"/>
    <n v="2"/>
    <n v="35.380000000000003"/>
    <n v="17.489999999999998"/>
    <n v="0.15000000000000002"/>
    <n v="5"/>
    <n v="4"/>
    <s v="No"/>
    <s v="Online"/>
    <s v="Card"/>
    <s v="Small Business"/>
    <s v="London"/>
    <s v="Office"/>
    <x v="183"/>
    <n v="1"/>
    <s v="Wireless Mouse"/>
    <n v="60.146000000000001"/>
    <n v="34.979999999999997"/>
    <n v="25.166000000000004"/>
    <n v="0.41841518970505109"/>
  </r>
  <r>
    <s v="BC-101453"/>
    <d v="2025-12-27T00:00:00"/>
    <s v="Midlands"/>
    <s v="Individual"/>
    <s v="Furniture"/>
    <s v="Side Table"/>
    <n v="2"/>
    <n v="93.31"/>
    <n v="54.65"/>
    <n v="0.05"/>
    <n v="3"/>
    <n v="4"/>
    <s v="No"/>
    <s v="Store"/>
    <s v="Card"/>
    <s v="Individual"/>
    <s v="Midlands"/>
    <s v="Furniture"/>
    <x v="125"/>
    <n v="1"/>
    <s v="Side Table"/>
    <n v="177.28899999999999"/>
    <n v="109.3"/>
    <n v="67.98899999999999"/>
    <n v="0.38349248966376931"/>
  </r>
  <r>
    <s v="BC-101871"/>
    <d v="2025-05-30T00:00:00"/>
    <s v="Midlands"/>
    <s v="Small Business"/>
    <s v="Home &amp; Kitchen"/>
    <s v="Coffee Maker"/>
    <n v="2"/>
    <n v="80.319999999999993"/>
    <n v="44.43"/>
    <n v="0"/>
    <n v="5"/>
    <n v="5"/>
    <s v="No"/>
    <s v="Online"/>
    <s v="Card"/>
    <s v="Small Business"/>
    <s v="Midlands"/>
    <s v="Home &amp; Kitchen"/>
    <x v="305"/>
    <n v="1"/>
    <s v="Coffee Maker"/>
    <n v="160.63999999999999"/>
    <n v="88.86"/>
    <n v="71.779999999999987"/>
    <n v="0.4468376494023904"/>
  </r>
  <r>
    <s v="BC-100497"/>
    <d v="2025-06-15T00:00:00"/>
    <s v="London"/>
    <s v="Corporate"/>
    <s v="Furniture"/>
    <s v="Side Table"/>
    <n v="6"/>
    <n v="92.92"/>
    <n v="53.18"/>
    <n v="0.05"/>
    <n v="3"/>
    <n v="3"/>
    <s v="Yes"/>
    <s v="Store"/>
    <s v="Card"/>
    <s v="Corporate"/>
    <s v="London"/>
    <s v="Furniture"/>
    <x v="119"/>
    <n v="1"/>
    <s v="Side Table"/>
    <n v="529.64400000000001"/>
    <n v="319.08"/>
    <n v="210.56400000000002"/>
    <n v="0.39755760473072482"/>
  </r>
  <r>
    <s v="BC-101482"/>
    <d v="2025-06-25T00:00:00"/>
    <s v="South"/>
    <s v="Individual"/>
    <s v="Home &amp; Kitchen"/>
    <s v="Coffee Maker"/>
    <n v="1"/>
    <n v="78.48"/>
    <n v="46.3"/>
    <n v="0.05"/>
    <n v="3"/>
    <n v="4"/>
    <s v="No"/>
    <s v="Phone"/>
    <s v="Bank Transfer"/>
    <s v="Individual"/>
    <s v="South"/>
    <s v="Home &amp; Kitchen"/>
    <x v="20"/>
    <n v="1"/>
    <s v="Coffee Maker"/>
    <n v="74.555999999999997"/>
    <n v="46.3"/>
    <n v="28.256"/>
    <n v="0.378990289178604"/>
  </r>
  <r>
    <s v="BC-101266"/>
    <d v="2025-09-14T00:00:00"/>
    <s v="London"/>
    <s v="Small Business"/>
    <s v="Furniture"/>
    <s v="Office Chair"/>
    <n v="2"/>
    <n v="182.25"/>
    <n v="119.46"/>
    <n v="0"/>
    <n v="1"/>
    <n v="5"/>
    <s v="No"/>
    <s v="Store"/>
    <s v="Card"/>
    <s v="Small Business"/>
    <s v="London"/>
    <s v="Furniture"/>
    <x v="110"/>
    <n v="1"/>
    <s v="Office Chair"/>
    <n v="364.5"/>
    <n v="238.92"/>
    <n v="125.58000000000001"/>
    <n v="0.34452674897119345"/>
  </r>
  <r>
    <s v="BC-100460"/>
    <d v="2025-06-09T00:00:00"/>
    <s v="South"/>
    <s v="Small Business"/>
    <s v="Electronics"/>
    <s v="Webcam"/>
    <n v="4"/>
    <n v="51.86"/>
    <n v="26.73"/>
    <n v="0.1"/>
    <n v="3"/>
    <n v="4"/>
    <s v="No"/>
    <s v="Phone"/>
    <s v="Digital Wallet"/>
    <s v="Small Business"/>
    <s v="South"/>
    <s v="Electronics"/>
    <x v="337"/>
    <n v="1"/>
    <s v="Webcam"/>
    <n v="186.696"/>
    <n v="106.92"/>
    <n v="79.775999999999996"/>
    <n v="0.42730428075588123"/>
  </r>
  <r>
    <s v="BC-101935"/>
    <d v="2025-09-04T00:00:00"/>
    <s v="South"/>
    <s v="Corporate"/>
    <s v="Electronics"/>
    <s v="SmartHome Hub"/>
    <n v="2"/>
    <n v="134.81"/>
    <n v="85.47"/>
    <n v="0.1"/>
    <n v="2"/>
    <n v="4"/>
    <s v="No"/>
    <s v="Online"/>
    <s v="Bank Transfer"/>
    <s v="Corporate"/>
    <s v="South"/>
    <s v="Electronics"/>
    <x v="267"/>
    <n v="1"/>
    <s v="SmartHome Hub"/>
    <n v="242.65800000000002"/>
    <n v="170.94"/>
    <n v="71.718000000000018"/>
    <n v="0.29555176421135926"/>
  </r>
  <r>
    <s v="BC-101143"/>
    <d v="2025-10-21T00:00:00"/>
    <s v="Midlands"/>
    <s v="Individual"/>
    <s v="Electronics"/>
    <s v="Wireless Headset"/>
    <n v="1"/>
    <n v="59.6"/>
    <n v="35.53"/>
    <n v="0"/>
    <n v="0"/>
    <n v="4"/>
    <s v="No"/>
    <s v="Store"/>
    <s v="Card"/>
    <s v="Individual"/>
    <s v="Midlands"/>
    <s v="Electronics"/>
    <x v="184"/>
    <n v="1"/>
    <s v="Wireless Headset"/>
    <n v="59.6"/>
    <n v="35.53"/>
    <n v="24.07"/>
    <n v="0.40385906040268454"/>
  </r>
  <r>
    <s v="BC-101868"/>
    <d v="2025-04-16T00:00:00"/>
    <s v="Midlands"/>
    <s v="Small Business"/>
    <s v="Electronics"/>
    <s v="Wireless Headset"/>
    <n v="3"/>
    <n v="59.92"/>
    <n v="35.31"/>
    <n v="0.1"/>
    <n v="3"/>
    <n v="5"/>
    <s v="No"/>
    <s v="Online"/>
    <s v="Bank Transfer"/>
    <s v="Small Business"/>
    <s v="Midlands"/>
    <s v="Electronics"/>
    <x v="262"/>
    <n v="1"/>
    <s v="Wireless Headset"/>
    <n v="161.78399999999999"/>
    <n v="105.93"/>
    <n v="55.853999999999985"/>
    <n v="0.34523809523809518"/>
  </r>
  <r>
    <s v="BC-100986"/>
    <d v="2025-11-23T00:00:00"/>
    <s v="London"/>
    <s v="Individual"/>
    <s v="Electronics"/>
    <s v="Portable Speaker"/>
    <n v="2"/>
    <n v="73.52"/>
    <n v="45"/>
    <n v="0.05"/>
    <n v="1"/>
    <n v="4"/>
    <s v="No"/>
    <s v="Phone"/>
    <s v="Card"/>
    <s v="Individual"/>
    <s v="London"/>
    <s v="Electronics"/>
    <x v="259"/>
    <n v="1"/>
    <s v="Portable Speaker"/>
    <n v="139.68799999999999"/>
    <n v="90"/>
    <n v="49.687999999999988"/>
    <n v="0.35570700418074563"/>
  </r>
  <r>
    <s v="BC-101090"/>
    <d v="2025-11-25T00:00:00"/>
    <s v="Midlands"/>
    <s v="Individual"/>
    <s v="Home &amp; Kitchen"/>
    <s v="Air Fryer"/>
    <n v="2"/>
    <n v="107.06"/>
    <n v="69.84"/>
    <n v="0.05"/>
    <n v="3"/>
    <n v="4"/>
    <s v="No"/>
    <s v="Online"/>
    <s v="Card"/>
    <s v="Individual"/>
    <s v="Midlands"/>
    <s v="Home &amp; Kitchen"/>
    <x v="10"/>
    <n v="1"/>
    <s v="Air Fryer"/>
    <n v="203.41399999999999"/>
    <n v="139.68"/>
    <n v="63.73399999999998"/>
    <n v="0.31332160028316625"/>
  </r>
  <r>
    <s v="BC-101947"/>
    <d v="2025-03-10T00:00:00"/>
    <s v="London"/>
    <s v="Individual"/>
    <s v="Furniture"/>
    <s v="Side Table"/>
    <n v="1"/>
    <n v="88.4"/>
    <n v="55.36"/>
    <n v="0.05"/>
    <n v="1"/>
    <n v="4"/>
    <s v="No"/>
    <s v="Store"/>
    <s v="Card"/>
    <s v="Individual"/>
    <s v="London"/>
    <s v="Furniture"/>
    <x v="96"/>
    <n v="1"/>
    <s v="Side Table"/>
    <n v="83.98"/>
    <n v="55.36"/>
    <n v="28.620000000000005"/>
    <n v="0.340795427482734"/>
  </r>
  <r>
    <s v="BC-100527"/>
    <d v="2025-08-25T00:00:00"/>
    <s v="Midlands"/>
    <s v="Individual"/>
    <s v="Home &amp; Kitchen"/>
    <s v="Coffee Maker"/>
    <n v="1"/>
    <n v="81.900000000000006"/>
    <n v="44.63"/>
    <n v="0.1"/>
    <n v="5"/>
    <n v="3"/>
    <s v="Yes"/>
    <s v="Online"/>
    <s v="Bank Transfer"/>
    <s v="Individual"/>
    <s v="Midlands"/>
    <s v="Home &amp; Kitchen"/>
    <x v="290"/>
    <n v="1"/>
    <s v="Coffee Maker"/>
    <n v="73.710000000000008"/>
    <n v="44.63"/>
    <n v="29.080000000000005"/>
    <n v="0.39451906118572788"/>
  </r>
  <r>
    <s v="BC-100038"/>
    <d v="2025-11-28T00:00:00"/>
    <s v="North"/>
    <s v="Individual"/>
    <s v="Furniture"/>
    <s v="Office Chair"/>
    <n v="2"/>
    <n v="182.99"/>
    <n v="115.91"/>
    <n v="0.05"/>
    <n v="4"/>
    <n v="5"/>
    <s v="No"/>
    <s v="Store"/>
    <s v="Bank Transfer"/>
    <s v="Individual"/>
    <s v="North"/>
    <s v="Furniture"/>
    <x v="43"/>
    <n v="1"/>
    <s v="Office Chair"/>
    <n v="347.68099999999998"/>
    <n v="231.82"/>
    <n v="115.86099999999999"/>
    <n v="0.33323937747532939"/>
  </r>
  <r>
    <s v="BC-100379"/>
    <d v="2025-02-19T00:00:00"/>
    <s v="Midlands"/>
    <s v="Individual"/>
    <s v="Furniture"/>
    <s v="Bookshelf"/>
    <n v="1"/>
    <n v="116.75"/>
    <n v="70.650000000000006"/>
    <n v="0.1"/>
    <n v="9"/>
    <n v="3"/>
    <s v="No"/>
    <s v="Online"/>
    <s v="Bank Transfer"/>
    <s v="Individual"/>
    <s v="Midlands"/>
    <s v="Furniture"/>
    <x v="338"/>
    <n v="1"/>
    <s v="Bookshelf"/>
    <n v="105.075"/>
    <n v="70.650000000000006"/>
    <n v="34.424999999999997"/>
    <n v="0.32762312633832974"/>
  </r>
  <r>
    <s v="BC-100188"/>
    <d v="2025-12-02T00:00:00"/>
    <s v="London"/>
    <s v="Small Business"/>
    <s v="Electronics"/>
    <s v="Webcam"/>
    <n v="2"/>
    <n v="48.86"/>
    <n v="25.6"/>
    <n v="0.05"/>
    <n v="0"/>
    <n v="5"/>
    <s v="No"/>
    <s v="Store"/>
    <s v="Card"/>
    <s v="Small Business"/>
    <s v="London"/>
    <s v="Electronics"/>
    <x v="183"/>
    <n v="1"/>
    <s v="Webcam"/>
    <n v="92.833999999999989"/>
    <n v="51.2"/>
    <n v="41.633999999999986"/>
    <n v="0.44847792834521827"/>
  </r>
  <r>
    <s v="BC-100887"/>
    <d v="2025-12-23T00:00:00"/>
    <s v="North"/>
    <s v="Small Business"/>
    <s v="Home &amp; Kitchen"/>
    <s v="Coffee Maker"/>
    <n v="5"/>
    <n v="82.14"/>
    <n v="47.13"/>
    <n v="0.15000000000000002"/>
    <n v="5"/>
    <n v="5"/>
    <s v="No"/>
    <s v="Online"/>
    <s v="Card"/>
    <s v="Small Business"/>
    <s v="North"/>
    <s v="Home &amp; Kitchen"/>
    <x v="214"/>
    <n v="1"/>
    <s v="Coffee Maker"/>
    <n v="349.09499999999997"/>
    <n v="235.65"/>
    <n v="113.44499999999996"/>
    <n v="0.32496884802131215"/>
  </r>
  <r>
    <s v="BC-101874"/>
    <d v="2025-12-19T00:00:00"/>
    <s v="North"/>
    <s v="Individual"/>
    <s v="Furniture"/>
    <s v="Office Chair"/>
    <n v="1"/>
    <n v="180.42"/>
    <n v="116.44"/>
    <n v="0.1"/>
    <n v="6"/>
    <n v="4"/>
    <s v="No"/>
    <s v="Online"/>
    <s v="Card"/>
    <s v="Individual"/>
    <s v="North"/>
    <s v="Furniture"/>
    <x v="18"/>
    <n v="1"/>
    <s v="Office Chair"/>
    <n v="162.37799999999999"/>
    <n v="116.44"/>
    <n v="45.937999999999988"/>
    <n v="0.28290778307406172"/>
  </r>
  <r>
    <s v="BC-101589"/>
    <d v="2025-03-25T00:00:00"/>
    <s v="London"/>
    <s v="Individual"/>
    <s v="Office"/>
    <s v="Desk Lamp"/>
    <n v="3"/>
    <n v="38.83"/>
    <n v="19.37"/>
    <n v="0.05"/>
    <n v="0"/>
    <n v="4"/>
    <s v="No"/>
    <s v="Store"/>
    <s v="Card"/>
    <s v="Individual"/>
    <s v="London"/>
    <s v="Office"/>
    <x v="117"/>
    <n v="1"/>
    <s v="Desk Lamp"/>
    <n v="110.66549999999999"/>
    <n v="58.11"/>
    <n v="52.555499999999995"/>
    <n v="0.47490410290469925"/>
  </r>
  <r>
    <s v="BC-101623"/>
    <d v="2025-06-27T00:00:00"/>
    <s v="Midlands"/>
    <s v="Small Business"/>
    <s v="Home &amp; Kitchen"/>
    <s v="Coffee Maker"/>
    <n v="2"/>
    <n v="82.89"/>
    <n v="46.08"/>
    <n v="0.05"/>
    <n v="6"/>
    <n v="4"/>
    <s v="No"/>
    <s v="Online"/>
    <s v="Digital Wallet"/>
    <s v="Small Business"/>
    <s v="Midlands"/>
    <s v="Home &amp; Kitchen"/>
    <x v="56"/>
    <n v="1"/>
    <s v="Coffee Maker"/>
    <n v="157.49099999999999"/>
    <n v="92.16"/>
    <n v="65.330999999999989"/>
    <n v="0.4148237042116692"/>
  </r>
  <r>
    <s v="BC-101774"/>
    <d v="2025-10-06T00:00:00"/>
    <s v="North"/>
    <s v="Individual"/>
    <s v="Home &amp; Kitchen"/>
    <s v="Air Fryer"/>
    <n v="1"/>
    <n v="111.12"/>
    <n v="65.09"/>
    <n v="0"/>
    <n v="3"/>
    <n v="4"/>
    <s v="No"/>
    <s v="Online"/>
    <s v="Bank Transfer"/>
    <s v="Individual"/>
    <s v="North"/>
    <s v="Home &amp; Kitchen"/>
    <x v="32"/>
    <n v="1"/>
    <s v="Air Fryer"/>
    <n v="111.12"/>
    <n v="65.09"/>
    <n v="46.03"/>
    <n v="0.4142368610511159"/>
  </r>
  <r>
    <s v="BC-101550"/>
    <d v="2025-12-22T00:00:00"/>
    <s v="London"/>
    <s v="Small Business"/>
    <s v="Home &amp; Kitchen"/>
    <s v="Blender"/>
    <n v="3"/>
    <n v="63.85"/>
    <n v="36.659999999999997"/>
    <n v="0.1"/>
    <n v="0"/>
    <n v="4"/>
    <s v="No"/>
    <s v="Store"/>
    <s v="Card"/>
    <s v="Small Business"/>
    <s v="London"/>
    <s v="Home &amp; Kitchen"/>
    <x v="36"/>
    <n v="1"/>
    <s v="Blender"/>
    <n v="172.39500000000001"/>
    <n v="109.97999999999999"/>
    <n v="62.41500000000002"/>
    <n v="0.36204646306447413"/>
  </r>
  <r>
    <s v="BC-101001"/>
    <d v="2025-11-26T00:00:00"/>
    <s v="Midlands"/>
    <s v="Individual"/>
    <s v="Home &amp; Kitchen"/>
    <s v="Coffee Maker"/>
    <n v="2"/>
    <n v="79.209999999999994"/>
    <n v="45.91"/>
    <n v="0.05"/>
    <n v="6"/>
    <n v="4"/>
    <s v="No"/>
    <s v="Online"/>
    <s v="Card"/>
    <s v="Individual"/>
    <s v="Midlands"/>
    <s v="Home &amp; Kitchen"/>
    <x v="210"/>
    <n v="1"/>
    <s v="Coffee Maker"/>
    <n v="150.499"/>
    <n v="91.82"/>
    <n v="58.679000000000002"/>
    <n v="0.38989627838058727"/>
  </r>
  <r>
    <s v="BC-101509"/>
    <d v="2025-12-02T00:00:00"/>
    <s v="North"/>
    <s v="Small Business"/>
    <s v="Electronics"/>
    <s v="Portable Speaker"/>
    <n v="5"/>
    <n v="73.989999999999995"/>
    <n v="43.92"/>
    <n v="0"/>
    <n v="2"/>
    <n v="5"/>
    <s v="No"/>
    <s v="Phone"/>
    <s v="Bank Transfer"/>
    <s v="Small Business"/>
    <s v="North"/>
    <s v="Electronics"/>
    <x v="183"/>
    <n v="1"/>
    <s v="Portable Speaker"/>
    <n v="369.95"/>
    <n v="219.60000000000002"/>
    <n v="150.34999999999997"/>
    <n v="0.40640627111771854"/>
  </r>
  <r>
    <s v="BC-100394"/>
    <d v="2025-06-19T00:00:00"/>
    <s v="North"/>
    <s v="Small Business"/>
    <s v="Home &amp; Kitchen"/>
    <s v="Blender"/>
    <n v="3"/>
    <n v="64.400000000000006"/>
    <n v="34.4"/>
    <n v="0"/>
    <n v="2"/>
    <n v="4"/>
    <s v="No"/>
    <s v="Online"/>
    <s v="Card"/>
    <s v="Small Business"/>
    <s v="North"/>
    <s v="Home &amp; Kitchen"/>
    <x v="339"/>
    <n v="1"/>
    <s v="Blender"/>
    <n v="193.20000000000002"/>
    <n v="103.19999999999999"/>
    <n v="90.000000000000028"/>
    <n v="0.46583850931677029"/>
  </r>
  <r>
    <s v="BC-101752"/>
    <d v="2025-11-24T00:00:00"/>
    <s v="North"/>
    <s v="Individual"/>
    <s v="Office"/>
    <s v="Laptop Stand"/>
    <n v="1"/>
    <n v="45.2"/>
    <n v="21.9"/>
    <n v="0.15000000000000002"/>
    <n v="4"/>
    <n v="4"/>
    <s v="No"/>
    <s v="Store"/>
    <s v="Card"/>
    <s v="Individual"/>
    <s v="North"/>
    <s v="Office"/>
    <x v="314"/>
    <n v="1"/>
    <s v="Laptop Stand"/>
    <n v="38.42"/>
    <n v="21.9"/>
    <n v="16.520000000000003"/>
    <n v="0.42998438313378456"/>
  </r>
  <r>
    <s v="BC-101438"/>
    <d v="2025-08-21T00:00:00"/>
    <s v="London"/>
    <s v="Individual"/>
    <s v="Furniture"/>
    <s v="Office Chair"/>
    <n v="1"/>
    <n v="183.6"/>
    <n v="120.57"/>
    <n v="0"/>
    <n v="1"/>
    <n v="4"/>
    <s v="No"/>
    <s v="Store"/>
    <s v="Digital Wallet"/>
    <s v="Individual"/>
    <s v="London"/>
    <s v="Furniture"/>
    <x v="322"/>
    <n v="1"/>
    <s v="Office Chair"/>
    <n v="183.6"/>
    <n v="120.57"/>
    <n v="63.03"/>
    <n v="0.34330065359477124"/>
  </r>
  <r>
    <s v="BC-101658"/>
    <d v="2025-02-28T00:00:00"/>
    <s v="North"/>
    <s v="Individual"/>
    <s v="Office"/>
    <s v="Ergonomic Keyboard"/>
    <n v="1"/>
    <n v="71.98"/>
    <n v="37"/>
    <n v="0.05"/>
    <n v="4"/>
    <n v="5"/>
    <s v="No"/>
    <s v="Online"/>
    <s v="Card"/>
    <s v="Individual"/>
    <s v="North"/>
    <s v="Office"/>
    <x v="332"/>
    <n v="1"/>
    <s v="Ergonomic Keyboard"/>
    <n v="68.381"/>
    <n v="37"/>
    <n v="31.381"/>
    <n v="0.45891402582588731"/>
  </r>
  <r>
    <s v="BC-101973"/>
    <d v="2025-02-19T00:00:00"/>
    <s v="South"/>
    <s v="Small Business"/>
    <s v="Home &amp; Kitchen"/>
    <s v="Blender"/>
    <n v="1"/>
    <n v="66.760000000000005"/>
    <n v="36.36"/>
    <n v="0.2"/>
    <n v="6"/>
    <n v="4"/>
    <s v="No"/>
    <s v="Online"/>
    <s v="Digital Wallet"/>
    <s v="Small Business"/>
    <s v="South"/>
    <s v="Home &amp; Kitchen"/>
    <x v="338"/>
    <n v="1"/>
    <s v="Blender"/>
    <n v="53.408000000000008"/>
    <n v="36.36"/>
    <n v="17.048000000000009"/>
    <n v="0.31920311563810677"/>
  </r>
  <r>
    <s v="BC-101702"/>
    <d v="2025-11-02T00:00:00"/>
    <s v="London"/>
    <s v="Individual"/>
    <s v="Furniture"/>
    <s v="Storage Cabinet"/>
    <n v="1"/>
    <n v="159.04"/>
    <n v="99"/>
    <n v="0.1"/>
    <n v="6"/>
    <n v="4"/>
    <s v="No"/>
    <s v="Store"/>
    <s v="Card"/>
    <s v="Individual"/>
    <s v="London"/>
    <s v="Furniture"/>
    <x v="44"/>
    <n v="1"/>
    <s v="Storage Cabinet"/>
    <n v="143.136"/>
    <n v="99"/>
    <n v="44.135999999999996"/>
    <n v="0.30835010060362172"/>
  </r>
  <r>
    <s v="BC-101119"/>
    <d v="2025-02-14T00:00:00"/>
    <s v="South"/>
    <s v="Individual"/>
    <s v="Home &amp; Kitchen"/>
    <s v="Air Fryer"/>
    <n v="2"/>
    <n v="107.02"/>
    <n v="66.400000000000006"/>
    <n v="0.1"/>
    <n v="0"/>
    <n v="4"/>
    <s v="No"/>
    <s v="Store"/>
    <s v="Card"/>
    <s v="Individual"/>
    <s v="South"/>
    <s v="Home &amp; Kitchen"/>
    <x v="194"/>
    <n v="1"/>
    <s v="Air Fryer"/>
    <n v="192.636"/>
    <n v="132.80000000000001"/>
    <n v="59.835999999999984"/>
    <n v="0.31061691480304815"/>
  </r>
  <r>
    <s v="BC-101450"/>
    <d v="2025-04-23T00:00:00"/>
    <s v="North"/>
    <s v="Individual"/>
    <s v="Home &amp; Kitchen"/>
    <s v="Coffee Maker"/>
    <n v="1"/>
    <n v="80.59"/>
    <n v="47.15"/>
    <n v="0.05"/>
    <n v="4"/>
    <n v="4"/>
    <s v="No"/>
    <s v="Online"/>
    <s v="Card"/>
    <s v="Individual"/>
    <s v="North"/>
    <s v="Home &amp; Kitchen"/>
    <x v="84"/>
    <n v="1"/>
    <s v="Coffee Maker"/>
    <n v="76.560500000000005"/>
    <n v="47.15"/>
    <n v="29.410500000000006"/>
    <n v="0.38414717772219359"/>
  </r>
  <r>
    <s v="BC-101042"/>
    <d v="2025-11-11T00:00:00"/>
    <s v="London"/>
    <s v="Small Business"/>
    <s v="Office"/>
    <s v="Wireless Mouse"/>
    <n v="2"/>
    <n v="34.619999999999997"/>
    <n v="17.84"/>
    <n v="0"/>
    <n v="2"/>
    <n v="5"/>
    <s v="No"/>
    <s v="Online"/>
    <s v="Card"/>
    <s v="Small Business"/>
    <s v="London"/>
    <s v="Office"/>
    <x v="274"/>
    <n v="1"/>
    <s v="Wireless Mouse"/>
    <n v="69.239999999999995"/>
    <n v="35.68"/>
    <n v="33.559999999999995"/>
    <n v="0.48469093009820907"/>
  </r>
  <r>
    <s v="BC-101111"/>
    <d v="2025-11-15T00:00:00"/>
    <s v="London"/>
    <s v="Individual"/>
    <s v="Office"/>
    <s v="Wireless Mouse"/>
    <n v="1"/>
    <n v="34.75"/>
    <n v="17.59"/>
    <n v="0.15000000000000002"/>
    <n v="3"/>
    <n v="4"/>
    <s v="No"/>
    <s v="Online"/>
    <s v="Digital Wallet"/>
    <s v="Individual"/>
    <s v="London"/>
    <s v="Office"/>
    <x v="172"/>
    <n v="1"/>
    <s v="Wireless Mouse"/>
    <n v="29.537499999999998"/>
    <n v="17.59"/>
    <n v="11.947499999999998"/>
    <n v="0.40448582310622089"/>
  </r>
  <r>
    <s v="BC-100878"/>
    <d v="2025-12-13T00:00:00"/>
    <s v="London"/>
    <s v="Individual"/>
    <s v="Furniture"/>
    <s v="Office Chair"/>
    <n v="2"/>
    <n v="186.56"/>
    <n v="118.33"/>
    <n v="0.05"/>
    <n v="6"/>
    <n v="4"/>
    <s v="No"/>
    <s v="Online"/>
    <s v="Bank Transfer"/>
    <s v="Individual"/>
    <s v="London"/>
    <s v="Furniture"/>
    <x v="219"/>
    <n v="1"/>
    <s v="Office Chair"/>
    <n v="354.464"/>
    <n v="236.66"/>
    <n v="117.804"/>
    <n v="0.33234404622190122"/>
  </r>
  <r>
    <s v="BC-101837"/>
    <d v="2025-10-06T00:00:00"/>
    <s v="North"/>
    <s v="Individual"/>
    <s v="Electronics"/>
    <s v="SmartHome Hub"/>
    <n v="1"/>
    <n v="133.57"/>
    <n v="84.29"/>
    <n v="0.05"/>
    <n v="1"/>
    <n v="4"/>
    <s v="No"/>
    <s v="Store"/>
    <s v="Card"/>
    <s v="Individual"/>
    <s v="North"/>
    <s v="Electronics"/>
    <x v="32"/>
    <n v="1"/>
    <s v="SmartHome Hub"/>
    <n v="126.89149999999999"/>
    <n v="84.29"/>
    <n v="42.601499999999987"/>
    <n v="0.33573170779760653"/>
  </r>
  <r>
    <s v="BC-100743"/>
    <s v="08/08/2025"/>
    <s v="North"/>
    <s v="Small Business"/>
    <s v="Office"/>
    <s v="Wireless Mouse"/>
    <n v="2"/>
    <n v="35.119999999999997"/>
    <n v="17"/>
    <n v="0.05"/>
    <n v="6"/>
    <n v="4"/>
    <s v="No"/>
    <s v="Online"/>
    <s v="Bank Transfer"/>
    <s v="Small Business"/>
    <s v="North"/>
    <s v="Office"/>
    <x v="74"/>
    <n v="1"/>
    <s v="Wireless Mouse"/>
    <n v="66.727999999999994"/>
    <n v="34"/>
    <n v="32.727999999999994"/>
    <n v="0.49046876873276579"/>
  </r>
  <r>
    <s v="BC-100900"/>
    <d v="2025-07-23T00:00:00"/>
    <s v="North"/>
    <s v="Small Business"/>
    <s v="Electronics"/>
    <s v="Webcam"/>
    <n v="5"/>
    <n v="48.58"/>
    <n v="25.23"/>
    <n v="0.05"/>
    <n v="3"/>
    <n v="4"/>
    <s v="No"/>
    <s v="Store"/>
    <s v="Card"/>
    <s v="Small Business"/>
    <s v="North"/>
    <s v="Electronics"/>
    <x v="209"/>
    <n v="1"/>
    <s v="Webcam"/>
    <n v="230.75499999999997"/>
    <n v="126.15"/>
    <n v="104.60499999999996"/>
    <n v="0.45331628783774991"/>
  </r>
  <r>
    <s v="BC-101140"/>
    <d v="2025-02-15T00:00:00"/>
    <s v="Midlands"/>
    <s v="Small Business"/>
    <s v="Electronics"/>
    <s v="SmartHome Hub"/>
    <n v="1"/>
    <n v="134.74"/>
    <n v="85.85"/>
    <n v="0"/>
    <n v="3"/>
    <n v="4"/>
    <s v="No"/>
    <s v="Online"/>
    <s v="Card"/>
    <s v="Small Business"/>
    <s v="Midlands"/>
    <s v="Electronics"/>
    <x v="340"/>
    <n v="1"/>
    <s v="SmartHome Hub"/>
    <n v="134.74"/>
    <n v="85.85"/>
    <n v="48.890000000000015"/>
    <n v="0.36284696452426907"/>
  </r>
  <r>
    <s v="BC-100454"/>
    <d v="2025-07-20T00:00:00"/>
    <s v="North"/>
    <s v="Individual"/>
    <s v="Electronics"/>
    <s v="Webcam"/>
    <n v="1"/>
    <n v="49.95"/>
    <n v="26.75"/>
    <n v="0.1"/>
    <n v="1"/>
    <n v="4"/>
    <s v="No"/>
    <s v="Store"/>
    <s v="Card"/>
    <s v="Individual"/>
    <s v="North"/>
    <s v="Electronics"/>
    <x v="101"/>
    <n v="1"/>
    <s v="Webcam"/>
    <n v="44.955000000000005"/>
    <n v="26.75"/>
    <n v="18.205000000000005"/>
    <n v="0.40496051607162725"/>
  </r>
  <r>
    <s v="BC-101124"/>
    <d v="2025-08-31T00:00:00"/>
    <s v="Midlands"/>
    <s v="Individual"/>
    <s v="Furniture"/>
    <s v="Side Table"/>
    <n v="1"/>
    <n v="87.93"/>
    <n v="53.28"/>
    <n v="0.05"/>
    <n v="6"/>
    <n v="4"/>
    <s v="No"/>
    <s v="Phone"/>
    <s v="Card"/>
    <s v="Individual"/>
    <s v="Midlands"/>
    <s v="Furniture"/>
    <x v="308"/>
    <n v="1"/>
    <s v="Side Table"/>
    <n v="83.533500000000004"/>
    <n v="53.28"/>
    <n v="30.253500000000003"/>
    <n v="0.36217206270538171"/>
  </r>
  <r>
    <s v="BC-100222"/>
    <d v="2025-11-20T00:00:00"/>
    <s v="London"/>
    <s v="Individual"/>
    <s v="Electronics"/>
    <s v="Wireless Headset"/>
    <n v="2"/>
    <n v="62.11"/>
    <n v="33.4"/>
    <n v="0.05"/>
    <n v="2"/>
    <n v="5"/>
    <s v="No"/>
    <s v="Store"/>
    <s v="Card"/>
    <s v="Individual"/>
    <s v="London"/>
    <s v="Electronics"/>
    <x v="33"/>
    <n v="1"/>
    <s v="Wireless Headset"/>
    <n v="118.009"/>
    <n v="66.8"/>
    <n v="51.209000000000003"/>
    <n v="0.43394147903973429"/>
  </r>
  <r>
    <s v="BC-100777"/>
    <d v="2025-06-03T00:00:00"/>
    <s v="Midlands"/>
    <s v="Individual"/>
    <s v="Furniture"/>
    <s v="Office Chair"/>
    <n v="1"/>
    <n v="183.45"/>
    <n v="119.85"/>
    <n v="0.05"/>
    <n v="6"/>
    <m/>
    <s v="No"/>
    <s v="Store"/>
    <s v="Card"/>
    <s v="Individual"/>
    <s v="Midlands"/>
    <s v="Furniture"/>
    <x v="341"/>
    <n v="1"/>
    <s v="Office Chair"/>
    <n v="174.27749999999997"/>
    <n v="119.85"/>
    <n v="54.427499999999981"/>
    <n v="0.31230365365580748"/>
  </r>
  <r>
    <s v="BC-101773"/>
    <d v="2025-11-15T00:00:00"/>
    <s v="Midlands"/>
    <s v="Individual"/>
    <s v="Electronics"/>
    <s v="SmartHome Hub"/>
    <n v="1"/>
    <n v="128.16999999999999"/>
    <n v="85.05"/>
    <n v="0.05"/>
    <n v="2"/>
    <n v="4"/>
    <s v="No"/>
    <s v="Store"/>
    <s v="Card"/>
    <s v="Individual"/>
    <s v="Midlands"/>
    <s v="Electronics"/>
    <x v="172"/>
    <n v="1"/>
    <s v="SmartHome Hub"/>
    <n v="121.76149999999998"/>
    <n v="85.05"/>
    <n v="36.711499999999987"/>
    <n v="0.30150334875966533"/>
  </r>
  <r>
    <s v="BC-101481"/>
    <d v="2025-02-26T00:00:00"/>
    <s v="South"/>
    <s v="Small Business"/>
    <s v="Home &amp; Kitchen"/>
    <s v="Air Fryer"/>
    <n v="3"/>
    <n v="108.22"/>
    <n v="66.540000000000006"/>
    <n v="0.05"/>
    <n v="0"/>
    <n v="5"/>
    <s v="No"/>
    <s v="Store"/>
    <s v="Bank Transfer"/>
    <s v="Small Business"/>
    <s v="South"/>
    <s v="Home &amp; Kitchen"/>
    <x v="254"/>
    <n v="1"/>
    <s v="Air Fryer"/>
    <n v="308.42699999999996"/>
    <n v="199.62"/>
    <n v="108.80699999999996"/>
    <n v="0.35278039860323501"/>
  </r>
  <r>
    <s v="BC-100985"/>
    <d v="2025-10-10T00:00:00"/>
    <s v="Midlands"/>
    <s v="Individual"/>
    <s v="Furniture"/>
    <s v="Bookshelf"/>
    <n v="2"/>
    <n v="117.98"/>
    <n v="73.03"/>
    <n v="0.05"/>
    <n v="3"/>
    <n v="4"/>
    <s v="No"/>
    <s v="Store"/>
    <s v="Bank Transfer"/>
    <s v="Individual"/>
    <s v="Midlands"/>
    <s v="Furniture"/>
    <x v="203"/>
    <n v="1"/>
    <s v="Bookshelf"/>
    <n v="224.16200000000001"/>
    <n v="146.06"/>
    <n v="78.102000000000004"/>
    <n v="0.34841766222642556"/>
  </r>
  <r>
    <s v="BC-100304"/>
    <d v="2025-03-26T00:00:00"/>
    <s v="North"/>
    <s v="Corporate"/>
    <s v="Home &amp; Kitchen"/>
    <s v="Electric Kettle"/>
    <n v="5"/>
    <n v="40.200000000000003"/>
    <n v="19.46"/>
    <n v="0.1"/>
    <n v="3"/>
    <n v="4"/>
    <s v="No"/>
    <s v="Store"/>
    <s v="Bank Transfer"/>
    <s v="Corporate"/>
    <s v="North"/>
    <s v="Home &amp; Kitchen"/>
    <x v="60"/>
    <n v="1"/>
    <s v="Electric Kettle"/>
    <n v="180.9"/>
    <n v="97.300000000000011"/>
    <n v="83.6"/>
    <n v="0.46213377556661134"/>
  </r>
  <r>
    <s v="BC-101087"/>
    <d v="2025-08-04T00:00:00"/>
    <s v="South"/>
    <s v="Individual"/>
    <s v="Home &amp; Kitchen"/>
    <s v="Air Fryer"/>
    <n v="1"/>
    <n v="108.75"/>
    <n v="69.86"/>
    <n v="0"/>
    <n v="1"/>
    <n v="4"/>
    <s v="No"/>
    <s v="Store"/>
    <s v="Card"/>
    <s v="Individual"/>
    <s v="South"/>
    <s v="Home &amp; Kitchen"/>
    <x v="318"/>
    <n v="1"/>
    <s v="Air Fryer"/>
    <n v="108.75"/>
    <n v="69.86"/>
    <n v="38.89"/>
    <n v="0.35760919540229885"/>
  </r>
  <r>
    <s v="BC-100595"/>
    <d v="2025-11-28T00:00:00"/>
    <s v="North"/>
    <s v="Individual"/>
    <s v="Electronics"/>
    <s v="Webcam"/>
    <n v="3"/>
    <n v="51.3"/>
    <n v="25.84"/>
    <n v="0.05"/>
    <n v="0"/>
    <n v="5"/>
    <s v="No"/>
    <s v="Store"/>
    <s v="Digital Wallet"/>
    <s v="Individual"/>
    <s v="North"/>
    <s v="Electronics"/>
    <x v="43"/>
    <n v="1"/>
    <s v="Webcam"/>
    <n v="146.20499999999998"/>
    <n v="77.52"/>
    <n v="68.684999999999988"/>
    <n v="0.46978557504873292"/>
  </r>
  <r>
    <s v="BC-101337"/>
    <d v="2025-03-09T00:00:00"/>
    <s v="Midlands"/>
    <s v="Individual"/>
    <s v="Electronics"/>
    <s v="Wireless Headset"/>
    <n v="1"/>
    <n v="59.43"/>
    <n v="33.450000000000003"/>
    <n v="0.05"/>
    <n v="6"/>
    <n v="3"/>
    <s v="No"/>
    <s v="Online"/>
    <s v="Card"/>
    <s v="Individual"/>
    <s v="Midlands"/>
    <s v="Electronics"/>
    <x v="92"/>
    <n v="1"/>
    <s v="Wireless Headset"/>
    <n v="56.458499999999994"/>
    <n v="33.450000000000003"/>
    <n v="23.008499999999991"/>
    <n v="0.40752942426738215"/>
  </r>
  <r>
    <s v="BC-101526"/>
    <d v="2025-12-26T00:00:00"/>
    <s v="Midlands"/>
    <s v="Individual"/>
    <s v="Furniture"/>
    <s v="Storage Cabinet"/>
    <n v="2"/>
    <n v="161.66"/>
    <n v="99.75"/>
    <n v="0.1"/>
    <n v="4"/>
    <n v="3"/>
    <s v="Yes"/>
    <s v="Store"/>
    <s v="Card"/>
    <s v="Individual"/>
    <s v="Midlands"/>
    <s v="Furniture"/>
    <x v="215"/>
    <n v="1"/>
    <s v="Storage Cabinet"/>
    <n v="290.988"/>
    <n v="199.5"/>
    <n v="91.488"/>
    <n v="0.31440471772031836"/>
  </r>
  <r>
    <s v="BC-101071"/>
    <d v="2025-06-17T00:00:00"/>
    <s v="South"/>
    <s v="Individual"/>
    <s v="Home &amp; Kitchen"/>
    <s v="Electric Kettle"/>
    <n v="3"/>
    <n v="40.880000000000003"/>
    <n v="19.64"/>
    <n v="0.2"/>
    <n v="6"/>
    <n v="4"/>
    <s v="No"/>
    <s v="Online"/>
    <s v="Card"/>
    <s v="Individual"/>
    <s v="South"/>
    <s v="Home &amp; Kitchen"/>
    <x v="230"/>
    <n v="1"/>
    <s v="Electric Kettle"/>
    <n v="98.112000000000023"/>
    <n v="58.92"/>
    <n v="39.192000000000021"/>
    <n v="0.39946183953033282"/>
  </r>
  <r>
    <s v="BC-100095"/>
    <d v="2025-11-29T00:00:00"/>
    <s v="Midlands"/>
    <s v="Individual"/>
    <s v="Home &amp; Kitchen"/>
    <s v="Air Fryer"/>
    <n v="2"/>
    <n v="111.6"/>
    <n v="65.37"/>
    <n v="0.1"/>
    <n v="3"/>
    <n v="4"/>
    <s v="No"/>
    <s v="Online"/>
    <s v="Card"/>
    <s v="Individual"/>
    <s v="Midlands"/>
    <s v="Home &amp; Kitchen"/>
    <x v="8"/>
    <n v="1"/>
    <s v="Air Fryer"/>
    <n v="200.88"/>
    <n v="130.74"/>
    <n v="70.139999999999986"/>
    <n v="0.34916367980884105"/>
  </r>
  <r>
    <s v="BC-100011"/>
    <d v="2025-12-12T00:00:00"/>
    <s v="South"/>
    <s v="Individual"/>
    <s v="Home &amp; Kitchen"/>
    <s v="Coffee Maker"/>
    <n v="1"/>
    <n v="81.84"/>
    <n v="46.43"/>
    <n v="0.05"/>
    <n v="4"/>
    <n v="4"/>
    <s v="Yes"/>
    <s v="Online"/>
    <s v="Card"/>
    <s v="Individual"/>
    <s v="South"/>
    <s v="Home &amp; Kitchen"/>
    <x v="247"/>
    <n v="1"/>
    <s v="Coffee Maker"/>
    <n v="77.748000000000005"/>
    <n v="46.43"/>
    <n v="31.318000000000005"/>
    <n v="0.40281422030148689"/>
  </r>
  <r>
    <s v="BC-100267"/>
    <d v="2025-04-17T00:00:00"/>
    <s v="South"/>
    <s v="Small Business"/>
    <s v="Home &amp; Kitchen"/>
    <s v="Air Fryer"/>
    <n v="3"/>
    <n v="112.08"/>
    <n v="66.17"/>
    <n v="0.05"/>
    <n v="4"/>
    <n v="4"/>
    <s v="No"/>
    <s v="Online"/>
    <s v="Bank Transfer"/>
    <s v="Small Business"/>
    <s v="South"/>
    <s v="Home &amp; Kitchen"/>
    <x v="330"/>
    <n v="1"/>
    <s v="Air Fryer"/>
    <n v="319.428"/>
    <n v="198.51"/>
    <n v="120.91800000000001"/>
    <n v="0.37854539990232544"/>
  </r>
  <r>
    <s v="BC-101298"/>
    <d v="2025-09-04T00:00:00"/>
    <s v="South"/>
    <s v="Individual"/>
    <s v="Office"/>
    <s v="Desk Lamp"/>
    <n v="2"/>
    <n v="40.630000000000003"/>
    <n v="18.86"/>
    <n v="0.1"/>
    <n v="2"/>
    <n v="4"/>
    <s v="No"/>
    <s v="Store"/>
    <s v="Card"/>
    <s v="Individual"/>
    <s v="South"/>
    <s v="Office"/>
    <x v="267"/>
    <n v="1"/>
    <s v="Desk Lamp"/>
    <n v="73.134"/>
    <n v="37.72"/>
    <n v="35.414000000000001"/>
    <n v="0.48423441901167719"/>
  </r>
  <r>
    <s v="BC-100182"/>
    <d v="2025-07-18T00:00:00"/>
    <s v="London"/>
    <s v="Individual"/>
    <s v="Electronics"/>
    <s v="Webcam"/>
    <n v="1"/>
    <n v="51.85"/>
    <n v="26.17"/>
    <n v="0.05"/>
    <n v="3"/>
    <n v="5"/>
    <s v="No"/>
    <s v="Online"/>
    <s v="Bank Transfer"/>
    <s v="Individual"/>
    <s v="London"/>
    <s v="Electronics"/>
    <x v="145"/>
    <n v="1"/>
    <s v="Webcam"/>
    <n v="49.2575"/>
    <n v="26.17"/>
    <n v="23.087499999999999"/>
    <n v="0.46871034867786626"/>
  </r>
  <r>
    <s v="BC-100381"/>
    <d v="2025-04-04T00:00:00"/>
    <s v="Midlands"/>
    <s v="Individual"/>
    <s v="Electronics"/>
    <s v="Portable Speaker"/>
    <n v="2"/>
    <n v="77.41"/>
    <n v="43.22"/>
    <n v="0"/>
    <n v="4"/>
    <n v="5"/>
    <s v="No"/>
    <s v="Online"/>
    <s v="Card"/>
    <s v="Individual"/>
    <s v="Midlands"/>
    <s v="Electronics"/>
    <x v="232"/>
    <n v="1"/>
    <s v="Portable Speaker"/>
    <n v="154.82"/>
    <n v="86.44"/>
    <n v="68.38"/>
    <n v="0.44167420229944448"/>
  </r>
  <r>
    <s v="BC-101427"/>
    <d v="2025-07-07T00:00:00"/>
    <s v="Midlands"/>
    <s v="Corporate"/>
    <s v="Furniture"/>
    <s v="Storage Cabinet"/>
    <n v="10"/>
    <n v="156.9"/>
    <n v="105.89"/>
    <n v="0.05"/>
    <n v="2"/>
    <n v="4"/>
    <s v="No"/>
    <s v="Store"/>
    <s v="Card"/>
    <s v="Corporate"/>
    <s v="Midlands"/>
    <s v="Furniture"/>
    <x v="62"/>
    <n v="1"/>
    <s v="Storage Cabinet"/>
    <n v="1490.55"/>
    <n v="1058.9000000000001"/>
    <n v="431.64999999999986"/>
    <n v="0.28959109053705001"/>
  </r>
  <r>
    <s v="BC-100124"/>
    <d v="2025-04-16T00:00:00"/>
    <s v="London"/>
    <s v="Individual"/>
    <s v="Electronics"/>
    <s v="SmartHome Hub"/>
    <n v="2"/>
    <n v="132.16999999999999"/>
    <n v="84.9"/>
    <n v="0"/>
    <n v="4"/>
    <n v="4"/>
    <s v="No"/>
    <s v="Online"/>
    <s v="Card"/>
    <s v="Individual"/>
    <s v="London"/>
    <s v="Electronics"/>
    <x v="262"/>
    <n v="1"/>
    <s v="SmartHome Hub"/>
    <n v="264.33999999999997"/>
    <n v="169.8"/>
    <n v="94.539999999999964"/>
    <n v="0.35764545660891267"/>
  </r>
  <r>
    <s v="BC-101644"/>
    <d v="2025-07-28T00:00:00"/>
    <s v="London"/>
    <s v="Individual"/>
    <s v="Electronics"/>
    <s v="Wireless Headset"/>
    <n v="1"/>
    <n v="58.84"/>
    <n v="35.5"/>
    <n v="0.05"/>
    <n v="6"/>
    <n v="3"/>
    <s v="No"/>
    <s v="Online"/>
    <s v="Bank Transfer"/>
    <s v="Individual"/>
    <s v="London"/>
    <s v="Electronics"/>
    <x v="39"/>
    <n v="1"/>
    <s v="Wireless Headset"/>
    <n v="55.898000000000003"/>
    <n v="35.5"/>
    <n v="20.398000000000003"/>
    <n v="0.36491466599878353"/>
  </r>
  <r>
    <s v="BC-101051"/>
    <d v="2025-09-11T00:00:00"/>
    <s v="London"/>
    <s v="Individual"/>
    <s v="Furniture"/>
    <s v="Bookshelf"/>
    <n v="1"/>
    <n v="116.94"/>
    <n v="74.66"/>
    <n v="0"/>
    <n v="4"/>
    <n v="4"/>
    <s v="No"/>
    <s v="Online"/>
    <s v="Card"/>
    <s v="Individual"/>
    <s v="London"/>
    <s v="Furniture"/>
    <x v="187"/>
    <n v="1"/>
    <s v="Bookshelf"/>
    <n v="116.94"/>
    <n v="74.66"/>
    <n v="42.28"/>
    <n v="0.36155293312809988"/>
  </r>
  <r>
    <s v="BC-100576"/>
    <d v="2025-01-07T00:00:00"/>
    <s v="South"/>
    <s v="Individual"/>
    <s v="Home &amp; Kitchen"/>
    <s v="Blender"/>
    <n v="2"/>
    <n v="65.11"/>
    <n v="34.29"/>
    <n v="0.05"/>
    <n v="5"/>
    <n v="4"/>
    <s v="No"/>
    <s v="Online"/>
    <s v="Card"/>
    <s v="Individual"/>
    <s v="South"/>
    <s v="Home &amp; Kitchen"/>
    <x v="15"/>
    <n v="1"/>
    <s v="Blender"/>
    <n v="123.70899999999999"/>
    <n v="68.58"/>
    <n v="55.128999999999991"/>
    <n v="0.44563451325287567"/>
  </r>
  <r>
    <s v="BC-101739"/>
    <d v="2025-09-26T00:00:00"/>
    <s v="Midlands"/>
    <s v="Corporate"/>
    <s v="Office"/>
    <s v="Ergonomic Keyboard"/>
    <n v="5"/>
    <n v="68.37"/>
    <n v="38.159999999999997"/>
    <n v="0.05"/>
    <n v="6"/>
    <n v="3"/>
    <s v="No"/>
    <s v="Phone"/>
    <s v="Card"/>
    <s v="Corporate"/>
    <s v="Midlands"/>
    <s v="Office"/>
    <x v="342"/>
    <n v="1"/>
    <s v="Ergonomic Keyboard"/>
    <n v="324.75749999999999"/>
    <n v="190.79999999999998"/>
    <n v="133.95750000000001"/>
    <n v="0.41248470012239907"/>
  </r>
  <r>
    <s v="BC-100846"/>
    <d v="2025-12-19T00:00:00"/>
    <s v="North"/>
    <s v="Small Business"/>
    <s v="Office"/>
    <s v="Ergonomic Keyboard"/>
    <n v="2"/>
    <n v="70.69"/>
    <n v="38.15"/>
    <n v="0.05"/>
    <n v="2"/>
    <n v="4"/>
    <s v="No"/>
    <s v="Online"/>
    <s v="Bank Transfer"/>
    <s v="Small Business"/>
    <s v="North"/>
    <s v="Office"/>
    <x v="18"/>
    <n v="1"/>
    <s v="Ergonomic Keyboard"/>
    <n v="134.31099999999998"/>
    <n v="76.3"/>
    <n v="58.010999999999981"/>
    <n v="0.4319154797447714"/>
  </r>
  <r>
    <s v="BC-100079"/>
    <d v="2025-03-30T00:00:00"/>
    <s v="Midlands"/>
    <s v="Individual"/>
    <s v="Electronics"/>
    <s v="Portable Speaker"/>
    <n v="1"/>
    <n v="75.77"/>
    <n v="44.28"/>
    <n v="0"/>
    <n v="1"/>
    <n v="5"/>
    <s v="No"/>
    <s v="Store"/>
    <s v="Card"/>
    <s v="Individual"/>
    <s v="Midlands"/>
    <s v="Electronics"/>
    <x v="196"/>
    <n v="1"/>
    <s v="Portable Speaker"/>
    <n v="75.77"/>
    <n v="44.28"/>
    <n v="31.489999999999995"/>
    <n v="0.4155998416259733"/>
  </r>
  <r>
    <s v="BC-100213"/>
    <d v="2025-12-19T00:00:00"/>
    <s v="London"/>
    <s v="Individual"/>
    <s v="Furniture"/>
    <s v="Side Table"/>
    <n v="1"/>
    <n v="89.6"/>
    <n v="53.97"/>
    <n v="0.1"/>
    <n v="4"/>
    <n v="4"/>
    <s v="Yes"/>
    <s v="Online"/>
    <s v="Card"/>
    <s v="Individual"/>
    <s v="London"/>
    <s v="Furniture"/>
    <x v="18"/>
    <n v="1"/>
    <s v="Side Table"/>
    <n v="80.64"/>
    <n v="53.97"/>
    <n v="26.67"/>
    <n v="0.33072916666666669"/>
  </r>
  <r>
    <s v="BC-100747"/>
    <d v="2025-12-14T00:00:00"/>
    <s v="London"/>
    <s v="Individual"/>
    <s v="Home &amp; Kitchen"/>
    <s v="Air Fryer"/>
    <n v="1"/>
    <n v="108.89"/>
    <n v="68.97"/>
    <n v="0.1"/>
    <n v="0"/>
    <n v="4"/>
    <s v="No"/>
    <s v="Store"/>
    <s v="Card"/>
    <s v="Individual"/>
    <s v="London"/>
    <s v="Home &amp; Kitchen"/>
    <x v="166"/>
    <n v="1"/>
    <s v="Air Fryer"/>
    <n v="98.001000000000005"/>
    <n v="68.97"/>
    <n v="29.031000000000006"/>
    <n v="0.29623167110539694"/>
  </r>
  <r>
    <s v="BC-100984"/>
    <d v="2025-08-07T00:00:00"/>
    <s v="North"/>
    <s v="Corporate"/>
    <s v="Electronics"/>
    <s v="Portable Speaker"/>
    <n v="5"/>
    <n v="77.3"/>
    <n v="43.55"/>
    <n v="0.05"/>
    <n v="0"/>
    <n v="4"/>
    <s v="Yes"/>
    <s v="Store"/>
    <s v="Digital Wallet"/>
    <s v="Corporate"/>
    <s v="North"/>
    <s v="Electronics"/>
    <x v="343"/>
    <n v="1"/>
    <s v="Portable Speaker"/>
    <n v="367.17499999999995"/>
    <n v="217.75"/>
    <n v="149.42499999999995"/>
    <n v="0.40695853475863003"/>
  </r>
  <r>
    <s v="BC-101474"/>
    <d v="2025-08-21T00:00:00"/>
    <s v="London"/>
    <s v="Small Business"/>
    <s v="Office"/>
    <s v="Desk Lamp"/>
    <n v="1"/>
    <n v="39.409999999999997"/>
    <n v="19.88"/>
    <n v="0.1"/>
    <n v="0"/>
    <n v="4"/>
    <s v="No"/>
    <s v="Store"/>
    <s v="Card"/>
    <s v="Small Business"/>
    <s v="London"/>
    <s v="Office"/>
    <x v="322"/>
    <n v="1"/>
    <s v="Desk Lamp"/>
    <n v="35.469000000000001"/>
    <n v="19.88"/>
    <n v="15.589000000000002"/>
    <n v="0.43951055851588716"/>
  </r>
  <r>
    <s v="BC-100962"/>
    <d v="2025-11-16T00:00:00"/>
    <s v="North"/>
    <s v="Individual"/>
    <s v="Furniture"/>
    <s v="Office Chair"/>
    <n v="2"/>
    <n v="184.64"/>
    <n v="119.16"/>
    <n v="0.05"/>
    <n v="0"/>
    <n v="4"/>
    <s v="No"/>
    <s v="Store"/>
    <s v="Card"/>
    <s v="Individual"/>
    <s v="North"/>
    <s v="Furniture"/>
    <x v="178"/>
    <n v="1"/>
    <s v="Office Chair"/>
    <n v="350.81599999999997"/>
    <n v="238.32"/>
    <n v="112.49599999999998"/>
    <n v="0.32066952476511901"/>
  </r>
  <r>
    <s v="BC-100272"/>
    <d v="2025-06-22T00:00:00"/>
    <s v="London"/>
    <s v="Small Business"/>
    <s v="Furniture"/>
    <s v="Side Table"/>
    <n v="1"/>
    <n v="89.12"/>
    <n v="53.61"/>
    <n v="0"/>
    <n v="6"/>
    <n v="4"/>
    <s v="No"/>
    <s v="Online"/>
    <s v="Digital Wallet"/>
    <s v="Small Business"/>
    <s v="London"/>
    <s v="Furniture"/>
    <x v="154"/>
    <n v="1"/>
    <s v="Side Table"/>
    <n v="89.12"/>
    <n v="53.61"/>
    <n v="35.510000000000005"/>
    <n v="0.39845152603231604"/>
  </r>
  <r>
    <s v="BC-100851"/>
    <d v="2025-07-25T00:00:00"/>
    <s v="London"/>
    <s v="Individual"/>
    <s v="Home &amp; Kitchen"/>
    <s v="Blender"/>
    <n v="1"/>
    <n v="64.16"/>
    <n v="35.26"/>
    <n v="0"/>
    <n v="0"/>
    <n v="4"/>
    <s v="No"/>
    <s v="Store"/>
    <s v="Card"/>
    <s v="Individual"/>
    <s v="London"/>
    <s v="Home &amp; Kitchen"/>
    <x v="143"/>
    <n v="1"/>
    <s v="Blender"/>
    <n v="64.16"/>
    <n v="35.26"/>
    <n v="28.9"/>
    <n v="0.4504364089775561"/>
  </r>
  <r>
    <s v="BC-100635"/>
    <d v="2025-10-09T00:00:00"/>
    <s v="North"/>
    <s v="Individual"/>
    <s v="Home &amp; Kitchen"/>
    <s v="Electric Kettle"/>
    <n v="3"/>
    <n v="40.25"/>
    <n v="20.27"/>
    <n v="0.05"/>
    <n v="2"/>
    <n v="4"/>
    <s v="No"/>
    <s v="Online"/>
    <s v="Card"/>
    <s v="Individual"/>
    <s v="North"/>
    <s v="Home &amp; Kitchen"/>
    <x v="255"/>
    <n v="1"/>
    <s v="Electric Kettle"/>
    <n v="114.71249999999999"/>
    <n v="60.81"/>
    <n v="53.902499999999989"/>
    <n v="0.46989212160836868"/>
  </r>
  <r>
    <s v="BC-101927"/>
    <d v="2025-12-04T00:00:00"/>
    <s v="London"/>
    <s v="Small Business"/>
    <s v="Office"/>
    <s v="Wireless Mouse"/>
    <n v="2"/>
    <n v="35.43"/>
    <n v="17.29"/>
    <n v="0.05"/>
    <n v="2"/>
    <n v="5"/>
    <s v="No"/>
    <s v="Online"/>
    <s v="Bank Transfer"/>
    <s v="Small Business"/>
    <s v="London"/>
    <s v="Office"/>
    <x v="75"/>
    <n v="1"/>
    <s v="Wireless Mouse"/>
    <n v="67.316999999999993"/>
    <n v="34.58"/>
    <n v="32.736999999999995"/>
    <n v="0.48631103584532881"/>
  </r>
  <r>
    <s v="BC-101880"/>
    <d v="2025-03-08T00:00:00"/>
    <s v="London"/>
    <s v="Individual"/>
    <s v="Home &amp; Kitchen"/>
    <s v="Electric Kettle"/>
    <n v="1"/>
    <n v="40.46"/>
    <n v="19.489999999999998"/>
    <n v="0.1"/>
    <n v="3"/>
    <n v="5"/>
    <s v="No"/>
    <s v="Online"/>
    <s v="Card"/>
    <s v="Individual"/>
    <s v="London"/>
    <s v="Home &amp; Kitchen"/>
    <x v="293"/>
    <n v="1"/>
    <s v="Electric Kettle"/>
    <n v="36.414000000000001"/>
    <n v="19.489999999999998"/>
    <n v="16.924000000000003"/>
    <n v="0.46476629867633334"/>
  </r>
  <r>
    <s v="BC-101742"/>
    <d v="2025-01-15T00:00:00"/>
    <s v="Midlands"/>
    <s v="Corporate"/>
    <s v="Home &amp; Kitchen"/>
    <s v="Air Fryer"/>
    <n v="10"/>
    <n v="112.23"/>
    <n v="69.63"/>
    <n v="0.05"/>
    <n v="4"/>
    <n v="4"/>
    <s v="No"/>
    <s v="Online"/>
    <s v="Card"/>
    <s v="Corporate"/>
    <s v="Midlands"/>
    <s v="Home &amp; Kitchen"/>
    <x v="344"/>
    <n v="1"/>
    <s v="Air Fryer"/>
    <n v="1066.1849999999999"/>
    <n v="696.3"/>
    <n v="369.88499999999999"/>
    <n v="0.34692384529889281"/>
  </r>
  <r>
    <s v="BC-101326"/>
    <d v="2025-03-25T00:00:00"/>
    <s v="Midlands"/>
    <s v="Individual"/>
    <s v="Electronics"/>
    <s v="SmartHome Hub"/>
    <n v="4"/>
    <n v="129.68"/>
    <n v="86.3"/>
    <n v="0"/>
    <n v="1"/>
    <n v="4"/>
    <s v="No"/>
    <s v="Store"/>
    <s v="Card"/>
    <s v="Individual"/>
    <s v="Midlands"/>
    <s v="Electronics"/>
    <x v="117"/>
    <n v="1"/>
    <s v="SmartHome Hub"/>
    <n v="518.72"/>
    <n v="345.2"/>
    <n v="173.52000000000004"/>
    <n v="0.3345157310302283"/>
  </r>
  <r>
    <s v="BC-101713"/>
    <d v="2025-01-05T00:00:00"/>
    <s v="North"/>
    <s v="Individual"/>
    <s v="Electronics"/>
    <s v="Webcam"/>
    <n v="4"/>
    <n v="51.49"/>
    <n v="26.51"/>
    <n v="0"/>
    <n v="3"/>
    <n v="4"/>
    <s v="No"/>
    <s v="Online"/>
    <s v="Digital Wallet"/>
    <s v="Individual"/>
    <s v="North"/>
    <s v="Electronics"/>
    <x v="42"/>
    <n v="1"/>
    <s v="Webcam"/>
    <n v="205.96"/>
    <n v="106.04"/>
    <n v="99.92"/>
    <n v="0.48514274616430375"/>
  </r>
  <r>
    <s v="BC-100819"/>
    <d v="2025-09-10T00:00:00"/>
    <s v="North"/>
    <s v="Corporate"/>
    <s v="Home &amp; Kitchen"/>
    <s v="Blender"/>
    <n v="6"/>
    <n v="65.78"/>
    <n v="36.08"/>
    <n v="0.05"/>
    <n v="1"/>
    <n v="5"/>
    <s v="No"/>
    <s v="Store"/>
    <s v="Card"/>
    <s v="Corporate"/>
    <s v="North"/>
    <s v="Home &amp; Kitchen"/>
    <x v="71"/>
    <n v="1"/>
    <s v="Blender"/>
    <n v="374.94599999999997"/>
    <n v="216.48"/>
    <n v="158.46599999999998"/>
    <n v="0.42263685970779791"/>
  </r>
  <r>
    <s v="BC-100713"/>
    <d v="2025-08-07T00:00:00"/>
    <s v="London"/>
    <s v="Individual"/>
    <s v="Home &amp; Kitchen"/>
    <s v="Coffee Maker"/>
    <n v="3"/>
    <n v="82.59"/>
    <n v="46.17"/>
    <n v="0.05"/>
    <n v="5"/>
    <n v="4"/>
    <s v="No"/>
    <s v="Online"/>
    <s v="Card"/>
    <s v="Individual"/>
    <s v="London"/>
    <s v="Home &amp; Kitchen"/>
    <x v="343"/>
    <n v="1"/>
    <s v="Coffee Maker"/>
    <n v="235.38149999999999"/>
    <n v="138.51"/>
    <n v="96.871499999999997"/>
    <n v="0.41155103523428987"/>
  </r>
  <r>
    <s v="BC-101620"/>
    <d v="2025-10-22T00:00:00"/>
    <s v="Midlands"/>
    <s v="Individual"/>
    <s v="Electronics"/>
    <s v="SmartHome Hub"/>
    <n v="1"/>
    <n v="126.59"/>
    <n v="86.02"/>
    <n v="0.05"/>
    <n v="5"/>
    <n v="4"/>
    <s v="No"/>
    <s v="Online"/>
    <s v="Card"/>
    <s v="Individual"/>
    <s v="Midlands"/>
    <s v="Electronics"/>
    <x v="147"/>
    <n v="1"/>
    <s v="SmartHome Hub"/>
    <n v="120.26049999999999"/>
    <n v="86.02"/>
    <n v="34.240499999999997"/>
    <n v="0.28471942158896729"/>
  </r>
  <r>
    <s v="BC-100370"/>
    <d v="2025-10-07T00:00:00"/>
    <s v="South"/>
    <s v="Individual"/>
    <s v="Furniture"/>
    <s v="Storage Cabinet"/>
    <n v="3"/>
    <n v="166.05"/>
    <n v="103.88"/>
    <n v="0"/>
    <n v="2"/>
    <n v="5"/>
    <s v="No"/>
    <s v="Store"/>
    <s v="Card"/>
    <s v="Individual"/>
    <s v="South"/>
    <s v="Furniture"/>
    <x v="23"/>
    <n v="1"/>
    <s v="Storage Cabinet"/>
    <n v="498.15000000000003"/>
    <n v="311.64"/>
    <n v="186.51000000000005"/>
    <n v="0.37440529960855173"/>
  </r>
  <r>
    <s v="BC-101891"/>
    <d v="2025-12-17T00:00:00"/>
    <s v="North"/>
    <s v="Individual"/>
    <s v="Home &amp; Kitchen"/>
    <s v="Electric Kettle"/>
    <n v="1"/>
    <n v="40.67"/>
    <n v="20.74"/>
    <n v="0.15000000000000002"/>
    <n v="0"/>
    <m/>
    <s v="No"/>
    <s v="Store"/>
    <s v="Card"/>
    <s v="Individual"/>
    <s v="North"/>
    <s v="Home &amp; Kitchen"/>
    <x v="95"/>
    <n v="1"/>
    <s v="Electric Kettle"/>
    <n v="34.569499999999998"/>
    <n v="20.74"/>
    <n v="13.829499999999999"/>
    <n v="0.40004917629702486"/>
  </r>
  <r>
    <s v="BC-101756"/>
    <d v="2025-07-15T00:00:00"/>
    <s v="Midlands"/>
    <s v="Individual"/>
    <s v="Home &amp; Kitchen"/>
    <s v="Air Fryer"/>
    <n v="2"/>
    <n v="111.91"/>
    <n v="66.03"/>
    <n v="0.05"/>
    <n v="3"/>
    <n v="3"/>
    <s v="Yes"/>
    <s v="Online"/>
    <s v="Card"/>
    <s v="Individual"/>
    <s v="Midlands"/>
    <s v="Home &amp; Kitchen"/>
    <x v="239"/>
    <n v="1"/>
    <s v="Air Fryer"/>
    <n v="212.62899999999999"/>
    <n v="132.06"/>
    <n v="80.568999999999988"/>
    <n v="0.37891820965155265"/>
  </r>
  <r>
    <s v="BC-101684"/>
    <d v="2025-06-04T00:00:00"/>
    <s v="South"/>
    <s v="Individual"/>
    <s v="Electronics"/>
    <s v="Portable Speaker"/>
    <n v="1"/>
    <n v="73.650000000000006"/>
    <n v="44.76"/>
    <n v="0"/>
    <n v="4"/>
    <n v="4"/>
    <s v="No"/>
    <s v="Online"/>
    <s v="Card"/>
    <s v="Individual"/>
    <s v="South"/>
    <s v="Electronics"/>
    <x v="175"/>
    <n v="1"/>
    <s v="Portable Speaker"/>
    <n v="73.650000000000006"/>
    <n v="44.76"/>
    <n v="28.890000000000008"/>
    <n v="0.39226069246435852"/>
  </r>
  <r>
    <s v="BC-100158"/>
    <d v="2025-05-24T00:00:00"/>
    <s v="North"/>
    <s v="Individual"/>
    <s v="Electronics"/>
    <s v="Portable Speaker"/>
    <n v="1"/>
    <n v="73.099999999999994"/>
    <n v="41.88"/>
    <n v="0"/>
    <n v="1"/>
    <n v="4"/>
    <s v="No"/>
    <s v="Store"/>
    <s v="Card"/>
    <s v="Individual"/>
    <s v="North"/>
    <s v="Electronics"/>
    <x v="265"/>
    <n v="1"/>
    <s v="Portable Speaker"/>
    <n v="73.099999999999994"/>
    <n v="41.88"/>
    <n v="31.219999999999992"/>
    <n v="0.42708618331053344"/>
  </r>
  <r>
    <s v="BC-101426"/>
    <d v="2025-08-02T00:00:00"/>
    <s v="Midlands"/>
    <s v="Individual"/>
    <s v="Home &amp; Kitchen"/>
    <s v="Coffee Maker"/>
    <n v="1"/>
    <n v="83.08"/>
    <n v="44.56"/>
    <n v="0.1"/>
    <n v="4"/>
    <n v="5"/>
    <s v="No"/>
    <s v="Online"/>
    <s v="Bank Transfer"/>
    <s v="Individual"/>
    <s v="Midlands"/>
    <s v="Home &amp; Kitchen"/>
    <x v="78"/>
    <n v="1"/>
    <s v="Coffee Maker"/>
    <n v="74.772000000000006"/>
    <n v="44.56"/>
    <n v="30.212000000000003"/>
    <n v="0.40405499384796451"/>
  </r>
  <r>
    <s v="BC-100894"/>
    <d v="2025-04-22T00:00:00"/>
    <s v="North"/>
    <s v="Small Business"/>
    <s v="Furniture"/>
    <s v="Office Chair"/>
    <n v="4"/>
    <n v="186.52"/>
    <n v="115.01"/>
    <n v="0.05"/>
    <n v="7"/>
    <n v="4"/>
    <s v="No"/>
    <s v="Online"/>
    <s v="Card"/>
    <s v="Small Business"/>
    <s v="North"/>
    <s v="Furniture"/>
    <x v="149"/>
    <n v="1"/>
    <s v="Office Chair"/>
    <n v="708.77599999999995"/>
    <n v="460.04"/>
    <n v="248.73599999999993"/>
    <n v="0.35093739065656843"/>
  </r>
  <r>
    <s v="BC-101186"/>
    <d v="2025-12-06T00:00:00"/>
    <s v="London"/>
    <s v="Individual"/>
    <s v="Furniture"/>
    <s v="Storage Cabinet"/>
    <n v="1"/>
    <n v="159.94"/>
    <n v="104.83"/>
    <n v="0.1"/>
    <n v="4"/>
    <n v="4"/>
    <s v="No"/>
    <s v="Online"/>
    <s v="Card"/>
    <s v="Individual"/>
    <s v="London"/>
    <s v="Furniture"/>
    <x v="131"/>
    <n v="1"/>
    <s v="Storage Cabinet"/>
    <n v="143.946"/>
    <n v="104.83"/>
    <n v="39.116"/>
    <n v="0.27174079168577103"/>
  </r>
  <r>
    <s v="BC-100417"/>
    <d v="2025-09-09T00:00:00"/>
    <s v="Midlands"/>
    <s v="Small Business"/>
    <s v="Electronics"/>
    <s v="Webcam"/>
    <n v="3"/>
    <n v="50.46"/>
    <n v="26.6"/>
    <n v="0.05"/>
    <n v="1"/>
    <n v="5"/>
    <s v="No"/>
    <s v="Store"/>
    <s v="Card"/>
    <s v="Small Business"/>
    <s v="Midlands"/>
    <s v="Electronics"/>
    <x v="102"/>
    <n v="1"/>
    <s v="Webcam"/>
    <n v="143.81099999999998"/>
    <n v="79.800000000000011"/>
    <n v="64.010999999999967"/>
    <n v="0.44510503369005139"/>
  </r>
  <r>
    <s v="BC-101218"/>
    <d v="2025-08-06T00:00:00"/>
    <s v="London"/>
    <s v="Individual"/>
    <s v="Furniture"/>
    <s v="Office Chair"/>
    <n v="1"/>
    <n v="185.01"/>
    <n v="116.7"/>
    <n v="0"/>
    <n v="1"/>
    <n v="4"/>
    <s v="No"/>
    <s v="Store"/>
    <s v="Card"/>
    <s v="Individual"/>
    <s v="London"/>
    <s v="Furniture"/>
    <x v="139"/>
    <n v="1"/>
    <s v="Office Chair"/>
    <n v="185.01"/>
    <n v="116.7"/>
    <n v="68.309999999999988"/>
    <n v="0.36922328522782549"/>
  </r>
  <r>
    <s v="BC-101748"/>
    <d v="2025-10-06T00:00:00"/>
    <s v="North"/>
    <s v="Individual"/>
    <s v="Office"/>
    <s v="Laptop Stand"/>
    <n v="2"/>
    <n v="46.69"/>
    <n v="21.7"/>
    <n v="0"/>
    <n v="4"/>
    <n v="4"/>
    <s v="No"/>
    <s v="Phone"/>
    <s v="Digital Wallet"/>
    <s v="Individual"/>
    <s v="North"/>
    <s v="Office"/>
    <x v="32"/>
    <n v="1"/>
    <s v="Laptop Stand"/>
    <n v="93.38"/>
    <n v="43.4"/>
    <n v="49.98"/>
    <n v="0.5352323838080959"/>
  </r>
  <r>
    <s v="BC-101138"/>
    <d v="2025-12-22T00:00:00"/>
    <s v="North"/>
    <s v="Individual"/>
    <s v="Electronics"/>
    <s v="Wireless Headset"/>
    <n v="1"/>
    <n v="59.62"/>
    <n v="33.97"/>
    <n v="0.15000000000000002"/>
    <n v="7"/>
    <n v="4"/>
    <s v="No"/>
    <s v="Online"/>
    <s v="Card"/>
    <s v="Individual"/>
    <s v="North"/>
    <s v="Electronics"/>
    <x v="36"/>
    <n v="1"/>
    <s v="Wireless Headset"/>
    <n v="50.677"/>
    <n v="33.97"/>
    <n v="16.707000000000001"/>
    <n v="0.3296761844623794"/>
  </r>
  <r>
    <s v="BC-101821"/>
    <d v="2025-09-06T00:00:00"/>
    <s v="London"/>
    <s v="Small Business"/>
    <s v="Electronics"/>
    <s v="Wireless Headset"/>
    <n v="3"/>
    <n v="61.18"/>
    <n v="33.299999999999997"/>
    <n v="0.05"/>
    <n v="0"/>
    <n v="5"/>
    <s v="No"/>
    <s v="Store"/>
    <s v="Card"/>
    <s v="Small Business"/>
    <s v="London"/>
    <s v="Electronics"/>
    <x v="171"/>
    <n v="1"/>
    <s v="Wireless Headset"/>
    <n v="174.36299999999997"/>
    <n v="99.899999999999991"/>
    <n v="74.46299999999998"/>
    <n v="0.42705734588186711"/>
  </r>
  <r>
    <s v="BC-100498"/>
    <d v="2025-11-06T00:00:00"/>
    <s v="Midlands"/>
    <s v="Individual"/>
    <s v="Electronics"/>
    <s v="SmartHome Hub"/>
    <n v="1"/>
    <n v="133.69999999999999"/>
    <n v="85.68"/>
    <n v="0.1"/>
    <n v="3"/>
    <n v="4"/>
    <s v="No"/>
    <s v="Online"/>
    <s v="Card"/>
    <s v="Individual"/>
    <s v="Midlands"/>
    <s v="Electronics"/>
    <x v="176"/>
    <n v="1"/>
    <s v="SmartHome Hub"/>
    <n v="120.33"/>
    <n v="85.68"/>
    <n v="34.649999999999991"/>
    <n v="0.28795811518324599"/>
  </r>
  <r>
    <s v="BC-100326"/>
    <d v="2025-03-29T00:00:00"/>
    <s v="London"/>
    <s v="Individual"/>
    <s v="Office"/>
    <s v="Desk Lamp"/>
    <n v="1"/>
    <n v="40.07"/>
    <n v="19.78"/>
    <n v="0.05"/>
    <n v="3"/>
    <n v="3"/>
    <s v="Yes"/>
    <s v="Online"/>
    <s v="Bank Transfer"/>
    <s v="Individual"/>
    <s v="London"/>
    <s v="Office"/>
    <x v="227"/>
    <n v="1"/>
    <s v="Desk Lamp"/>
    <n v="38.066499999999998"/>
    <n v="19.78"/>
    <n v="18.286499999999997"/>
    <n v="0.48038301393613803"/>
  </r>
  <r>
    <s v="BC-101955"/>
    <d v="2025-05-19T00:00:00"/>
    <s v="London"/>
    <s v="Individual"/>
    <s v="Electronics"/>
    <s v="Wireless Headset"/>
    <n v="1"/>
    <n v="58.3"/>
    <n v="35.130000000000003"/>
    <n v="0"/>
    <n v="0"/>
    <n v="5"/>
    <s v="No"/>
    <s v="Store"/>
    <s v="Card"/>
    <s v="Individual"/>
    <s v="London"/>
    <s v="Electronics"/>
    <x v="257"/>
    <n v="1"/>
    <s v="Wireless Headset"/>
    <n v="58.3"/>
    <n v="35.130000000000003"/>
    <n v="23.169999999999995"/>
    <n v="0.39742710120068603"/>
  </r>
  <r>
    <s v="BC-100748"/>
    <d v="2025-12-11T00:00:00"/>
    <s v="London"/>
    <s v="Individual"/>
    <s v="Home &amp; Kitchen"/>
    <s v="Electric Kettle"/>
    <n v="1"/>
    <n v="38.93"/>
    <n v="20.91"/>
    <n v="0.2"/>
    <n v="0"/>
    <n v="4"/>
    <s v="No"/>
    <s v="Store"/>
    <s v="Card"/>
    <s v="Individual"/>
    <s v="London"/>
    <s v="Home &amp; Kitchen"/>
    <x v="286"/>
    <n v="1"/>
    <s v="Electric Kettle"/>
    <n v="31.144000000000002"/>
    <n v="20.91"/>
    <n v="10.234000000000002"/>
    <n v="0.32860262008733626"/>
  </r>
  <r>
    <s v="BC-100173"/>
    <d v="2025-11-12T00:00:00"/>
    <s v="North"/>
    <s v="Small Business"/>
    <s v="Home &amp; Kitchen"/>
    <s v="Coffee Maker"/>
    <n v="2"/>
    <n v="82.23"/>
    <n v="46.09"/>
    <n v="0.1"/>
    <n v="1"/>
    <n v="4"/>
    <s v="No"/>
    <s v="Store"/>
    <s v="Card"/>
    <s v="Small Business"/>
    <s v="North"/>
    <s v="Home &amp; Kitchen"/>
    <x v="61"/>
    <n v="1"/>
    <s v="Coffee Maker"/>
    <n v="148.01400000000001"/>
    <n v="92.18"/>
    <n v="55.834000000000003"/>
    <n v="0.37722107368221924"/>
  </r>
  <r>
    <s v="BC-100772"/>
    <d v="2025-02-08T00:00:00"/>
    <s v="London"/>
    <s v="Individual"/>
    <s v="Home &amp; Kitchen"/>
    <s v="Blender"/>
    <n v="1"/>
    <n v="63.82"/>
    <n v="34.340000000000003"/>
    <n v="0.05"/>
    <n v="0"/>
    <n v="4"/>
    <s v="No"/>
    <s v="Store"/>
    <s v="Card"/>
    <s v="Individual"/>
    <s v="London"/>
    <s v="Home &amp; Kitchen"/>
    <x v="287"/>
    <n v="1"/>
    <s v="Blender"/>
    <n v="60.628999999999998"/>
    <n v="34.340000000000003"/>
    <n v="26.288999999999994"/>
    <n v="0.43360438074188912"/>
  </r>
  <r>
    <s v="BC-100469"/>
    <d v="2025-03-10T00:00:00"/>
    <s v="London"/>
    <s v="Individual"/>
    <s v="Home &amp; Kitchen"/>
    <s v="Air Fryer"/>
    <n v="3"/>
    <n v="114.05"/>
    <n v="69.09"/>
    <n v="0"/>
    <n v="4"/>
    <n v="4"/>
    <s v="No"/>
    <s v="Online"/>
    <s v="Digital Wallet"/>
    <s v="Individual"/>
    <s v="London"/>
    <s v="Home &amp; Kitchen"/>
    <x v="96"/>
    <n v="1"/>
    <s v="Air Fryer"/>
    <n v="342.15"/>
    <n v="207.27"/>
    <n v="134.87999999999997"/>
    <n v="0.39421306444541859"/>
  </r>
  <r>
    <s v="BC-101166"/>
    <d v="2025-03-20T00:00:00"/>
    <s v="Midlands"/>
    <s v="Individual"/>
    <s v="Home &amp; Kitchen"/>
    <s v="Blender"/>
    <n v="2"/>
    <n v="64.2"/>
    <n v="34.630000000000003"/>
    <n v="0.05"/>
    <n v="1"/>
    <n v="4"/>
    <s v="No"/>
    <s v="Store"/>
    <s v="Digital Wallet"/>
    <s v="Individual"/>
    <s v="Midlands"/>
    <s v="Home &amp; Kitchen"/>
    <x v="298"/>
    <n v="1"/>
    <s v="Blender"/>
    <n v="121.98"/>
    <n v="69.260000000000005"/>
    <n v="52.72"/>
    <n v="0.43220200032792261"/>
  </r>
  <r>
    <s v="BC-101769"/>
    <d v="2025-03-29T00:00:00"/>
    <s v="South"/>
    <s v="Individual"/>
    <s v="Furniture"/>
    <s v="Side Table"/>
    <n v="1"/>
    <n v="88.27"/>
    <n v="53.9"/>
    <n v="0"/>
    <n v="3"/>
    <n v="4"/>
    <s v="No"/>
    <s v="Online"/>
    <s v="Bank Transfer"/>
    <s v="Individual"/>
    <s v="South"/>
    <s v="Furniture"/>
    <x v="227"/>
    <n v="1"/>
    <s v="Side Table"/>
    <n v="88.27"/>
    <n v="53.9"/>
    <n v="34.369999999999997"/>
    <n v="0.3893735130848533"/>
  </r>
  <r>
    <s v="BC-101383"/>
    <d v="2025-02-08T00:00:00"/>
    <s v="South"/>
    <s v="Individual"/>
    <s v="Home &amp; Kitchen"/>
    <s v="Electric Kettle"/>
    <n v="3"/>
    <n v="38.950000000000003"/>
    <n v="20.61"/>
    <n v="0.05"/>
    <n v="1"/>
    <n v="4"/>
    <s v="No"/>
    <s v="Store"/>
    <s v="Card"/>
    <s v="Individual"/>
    <s v="South"/>
    <s v="Home &amp; Kitchen"/>
    <x v="287"/>
    <n v="1"/>
    <s v="Electric Kettle"/>
    <n v="111.00750000000001"/>
    <n v="61.83"/>
    <n v="49.177500000000009"/>
    <n v="0.44301060739139253"/>
  </r>
  <r>
    <s v="BC-101512"/>
    <d v="2025-10-05T00:00:00"/>
    <s v="South"/>
    <s v="Individual"/>
    <s v="Home &amp; Kitchen"/>
    <s v="Blender"/>
    <n v="3"/>
    <n v="64.44"/>
    <n v="34.85"/>
    <n v="0.2"/>
    <n v="3"/>
    <n v="4"/>
    <s v="No"/>
    <s v="Online"/>
    <s v="Bank Transfer"/>
    <s v="Individual"/>
    <s v="South"/>
    <s v="Home &amp; Kitchen"/>
    <x v="118"/>
    <n v="1"/>
    <s v="Blender"/>
    <n v="154.65600000000001"/>
    <n v="104.55000000000001"/>
    <n v="50.105999999999995"/>
    <n v="0.3239835505896958"/>
  </r>
  <r>
    <s v="BC-100715"/>
    <d v="2025-05-27T00:00:00"/>
    <s v="Midlands"/>
    <s v="Corporate"/>
    <s v="Office"/>
    <s v="Ergonomic Keyboard"/>
    <n v="4"/>
    <n v="68.790000000000006"/>
    <n v="38.42"/>
    <n v="0.1"/>
    <n v="6"/>
    <n v="4"/>
    <s v="No"/>
    <s v="Online"/>
    <s v="Card"/>
    <s v="Corporate"/>
    <s v="Midlands"/>
    <s v="Office"/>
    <x v="224"/>
    <n v="1"/>
    <s v="Ergonomic Keyboard"/>
    <n v="247.64400000000003"/>
    <n v="153.68"/>
    <n v="93.964000000000027"/>
    <n v="0.37943176495291636"/>
  </r>
  <r>
    <s v="BC-100146"/>
    <d v="2025-04-04T00:00:00"/>
    <s v="Midlands"/>
    <s v="Small Business"/>
    <s v="Home &amp; Kitchen"/>
    <s v="Electric Kettle"/>
    <n v="5"/>
    <n v="40.65"/>
    <n v="20.94"/>
    <n v="0"/>
    <n v="3"/>
    <n v="5"/>
    <s v="No"/>
    <s v="Online"/>
    <s v="Bank Transfer"/>
    <s v="Small Business"/>
    <s v="Midlands"/>
    <s v="Home &amp; Kitchen"/>
    <x v="232"/>
    <n v="1"/>
    <s v="Electric Kettle"/>
    <n v="203.25"/>
    <n v="104.7"/>
    <n v="98.55"/>
    <n v="0.48487084870848707"/>
  </r>
  <r>
    <s v="BC-101738"/>
    <d v="2025-10-29T00:00:00"/>
    <s v="North"/>
    <s v="Small Business"/>
    <s v="Furniture"/>
    <s v="Bookshelf"/>
    <n v="3"/>
    <n v="121.34"/>
    <n v="71.39"/>
    <n v="0.05"/>
    <n v="6"/>
    <n v="4"/>
    <s v="No"/>
    <s v="Online"/>
    <s v="Card"/>
    <s v="Small Business"/>
    <s v="North"/>
    <s v="Furniture"/>
    <x v="97"/>
    <n v="1"/>
    <s v="Bookshelf"/>
    <n v="345.81899999999996"/>
    <n v="214.17000000000002"/>
    <n v="131.64899999999994"/>
    <n v="0.38068758512400985"/>
  </r>
  <r>
    <s v="BC-100193"/>
    <d v="2025-06-17T00:00:00"/>
    <s v="Midlands"/>
    <s v="Individual"/>
    <s v="Home &amp; Kitchen"/>
    <s v="Coffee Maker"/>
    <n v="1"/>
    <n v="78.95"/>
    <n v="45.77"/>
    <n v="0"/>
    <n v="3"/>
    <n v="5"/>
    <s v="No"/>
    <s v="Online"/>
    <s v="Card"/>
    <s v="Individual"/>
    <s v="Midlands"/>
    <s v="Home &amp; Kitchen"/>
    <x v="230"/>
    <n v="1"/>
    <s v="Coffee Maker"/>
    <n v="78.95"/>
    <n v="45.77"/>
    <n v="33.18"/>
    <n v="0.42026599113362884"/>
  </r>
  <r>
    <s v="BC-101028"/>
    <d v="2025-07-11T00:00:00"/>
    <s v="London"/>
    <s v="Corporate"/>
    <s v="Furniture"/>
    <s v="Side Table"/>
    <n v="10"/>
    <n v="87.46"/>
    <n v="55.31"/>
    <n v="0.1"/>
    <n v="4"/>
    <n v="4"/>
    <s v="No"/>
    <s v="Online"/>
    <s v="Digital Wallet"/>
    <s v="Corporate"/>
    <s v="London"/>
    <s v="Furniture"/>
    <x v="49"/>
    <n v="1"/>
    <s v="Side Table"/>
    <n v="787.14"/>
    <n v="553.1"/>
    <n v="234.03999999999996"/>
    <n v="0.29732957288411205"/>
  </r>
  <r>
    <s v="BC-101019"/>
    <d v="2025-04-24T00:00:00"/>
    <s v="North"/>
    <s v="Individual"/>
    <s v="Home &amp; Kitchen"/>
    <s v="Coffee Maker"/>
    <n v="1"/>
    <n v="82.08"/>
    <n v="45.65"/>
    <n v="0"/>
    <n v="3"/>
    <n v="4"/>
    <s v="No"/>
    <s v="Online"/>
    <s v="Card"/>
    <s v="Individual"/>
    <s v="North"/>
    <s v="Home &amp; Kitchen"/>
    <x v="278"/>
    <n v="1"/>
    <s v="Coffee Maker"/>
    <n v="82.08"/>
    <n v="45.65"/>
    <n v="36.43"/>
    <n v="0.44383528265107214"/>
  </r>
  <r>
    <s v="BC-100783"/>
    <d v="2025-11-17T00:00:00"/>
    <s v="Midlands"/>
    <s v="Individual"/>
    <s v="Furniture"/>
    <s v="Storage Cabinet"/>
    <n v="1"/>
    <n v="160.87"/>
    <n v="102.89"/>
    <n v="0.05"/>
    <n v="5"/>
    <n v="5"/>
    <s v="No"/>
    <s v="Online"/>
    <s v="Bank Transfer"/>
    <s v="Individual"/>
    <s v="Midlands"/>
    <s v="Furniture"/>
    <x v="223"/>
    <n v="1"/>
    <s v="Storage Cabinet"/>
    <n v="152.82650000000001"/>
    <n v="102.89"/>
    <n v="49.936500000000009"/>
    <n v="0.32675288644312345"/>
  </r>
  <r>
    <s v="BC-101128"/>
    <d v="2025-12-06T00:00:00"/>
    <s v="London"/>
    <s v="Individual"/>
    <s v="Office"/>
    <s v="Desk Lamp"/>
    <n v="1"/>
    <n v="40.47"/>
    <n v="18.46"/>
    <n v="0.1"/>
    <n v="3"/>
    <n v="4"/>
    <s v="No"/>
    <s v="Store"/>
    <s v="Card"/>
    <s v="Individual"/>
    <s v="London"/>
    <s v="Office"/>
    <x v="131"/>
    <n v="1"/>
    <s v="Desk Lamp"/>
    <n v="36.423000000000002"/>
    <n v="18.46"/>
    <n v="17.963000000000001"/>
    <n v="0.49317738791423005"/>
  </r>
  <r>
    <s v="BC-101814"/>
    <d v="2025-12-27T00:00:00"/>
    <s v="Midlands"/>
    <s v="Individual"/>
    <s v="Office"/>
    <s v="Desk Lamp"/>
    <n v="1"/>
    <n v="40.96"/>
    <n v="19.39"/>
    <n v="0.1"/>
    <n v="2"/>
    <n v="4"/>
    <s v="Yes"/>
    <s v="Online"/>
    <s v="Card"/>
    <s v="Individual"/>
    <s v="Midlands"/>
    <s v="Office"/>
    <x v="125"/>
    <n v="1"/>
    <s v="Desk Lamp"/>
    <n v="36.864000000000004"/>
    <n v="19.39"/>
    <n v="17.474000000000004"/>
    <n v="0.47401258680555558"/>
  </r>
  <r>
    <s v="BC-100147"/>
    <d v="2025-07-12T00:00:00"/>
    <s v="Midlands"/>
    <s v="Individual"/>
    <s v="Furniture"/>
    <s v="Storage Cabinet"/>
    <n v="2"/>
    <n v="158.44999999999999"/>
    <n v="103.42"/>
    <n v="0"/>
    <n v="0"/>
    <n v="4"/>
    <s v="No"/>
    <s v="Store"/>
    <s v="Card"/>
    <s v="Individual"/>
    <s v="Midlands"/>
    <s v="Furniture"/>
    <x v="199"/>
    <n v="1"/>
    <s v="Storage Cabinet"/>
    <n v="316.89999999999998"/>
    <n v="206.84"/>
    <n v="110.05999999999997"/>
    <n v="0.34730198800883555"/>
  </r>
  <r>
    <s v="BC-101033"/>
    <d v="2025-11-13T00:00:00"/>
    <s v="London"/>
    <s v="Corporate"/>
    <s v="Office"/>
    <s v="Ergonomic Keyboard"/>
    <n v="6"/>
    <n v="72.72"/>
    <n v="37.92"/>
    <n v="0.25"/>
    <n v="3"/>
    <n v="3"/>
    <s v="Yes"/>
    <s v="Online"/>
    <s v="Card"/>
    <s v="Corporate"/>
    <s v="London"/>
    <s v="Office"/>
    <x v="22"/>
    <n v="1"/>
    <s v="Ergonomic Keyboard"/>
    <n v="327.24"/>
    <n v="227.52"/>
    <n v="99.72"/>
    <n v="0.30473047304730472"/>
  </r>
  <r>
    <s v="BC-100716"/>
    <d v="2025-06-22T00:00:00"/>
    <s v="London"/>
    <s v="Individual"/>
    <s v="Electronics"/>
    <s v="Webcam"/>
    <n v="1"/>
    <n v="50.55"/>
    <n v="26.43"/>
    <n v="0.05"/>
    <n v="3"/>
    <n v="4"/>
    <s v="No"/>
    <s v="Online"/>
    <s v="Card"/>
    <s v="Individual"/>
    <s v="London"/>
    <s v="Electronics"/>
    <x v="154"/>
    <n v="1"/>
    <s v="Webcam"/>
    <n v="48.022499999999994"/>
    <n v="26.43"/>
    <n v="21.592499999999994"/>
    <n v="0.44963298453849754"/>
  </r>
  <r>
    <s v="BC-100496"/>
    <d v="2025-04-19T00:00:00"/>
    <s v="Midlands"/>
    <s v="Individual"/>
    <s v="Furniture"/>
    <s v="Side Table"/>
    <n v="2"/>
    <n v="87.85"/>
    <n v="54.91"/>
    <n v="0"/>
    <n v="8"/>
    <n v="3"/>
    <s v="No"/>
    <s v="Phone"/>
    <s v="Digital Wallet"/>
    <s v="Individual"/>
    <s v="Midlands"/>
    <s v="Furniture"/>
    <x v="336"/>
    <n v="1"/>
    <s v="Side Table"/>
    <n v="175.7"/>
    <n v="109.82"/>
    <n v="65.88"/>
    <n v="0.37495731360273193"/>
  </r>
  <r>
    <s v="BC-100380"/>
    <d v="2025-08-21T00:00:00"/>
    <s v="North"/>
    <s v="Small Business"/>
    <s v="Office"/>
    <s v="Laptop Stand"/>
    <n v="3"/>
    <n v="44.51"/>
    <n v="20.440000000000001"/>
    <n v="0.1"/>
    <n v="2"/>
    <n v="5"/>
    <s v="No"/>
    <s v="Online"/>
    <s v="Digital Wallet"/>
    <s v="Small Business"/>
    <s v="North"/>
    <s v="Office"/>
    <x v="322"/>
    <n v="1"/>
    <s v="Laptop Stand"/>
    <n v="120.17700000000001"/>
    <n v="61.320000000000007"/>
    <n v="58.856999999999999"/>
    <n v="0.48975261489303273"/>
  </r>
  <r>
    <s v="BC-100024"/>
    <d v="2025-07-15T00:00:00"/>
    <s v="South"/>
    <s v="Individual"/>
    <s v="Electronics"/>
    <s v="SmartHome Hub"/>
    <n v="2"/>
    <n v="128.93"/>
    <n v="86.45"/>
    <n v="0.1"/>
    <n v="6"/>
    <n v="4"/>
    <s v="No"/>
    <s v="Online"/>
    <s v="Bank Transfer"/>
    <s v="Individual"/>
    <s v="South"/>
    <s v="Electronics"/>
    <x v="239"/>
    <n v="1"/>
    <s v="SmartHome Hub"/>
    <n v="232.07400000000001"/>
    <n v="172.9"/>
    <n v="59.174000000000007"/>
    <n v="0.25497901531408085"/>
  </r>
  <r>
    <s v="BC-101545"/>
    <d v="2025-07-28T00:00:00"/>
    <s v="North"/>
    <s v="Individual"/>
    <s v="Electronics"/>
    <s v="Portable Speaker"/>
    <n v="1"/>
    <n v="75.11"/>
    <n v="42.5"/>
    <n v="0"/>
    <n v="4"/>
    <n v="4"/>
    <s v="Yes"/>
    <s v="Online"/>
    <s v="Card"/>
    <s v="Individual"/>
    <s v="North"/>
    <s v="Electronics"/>
    <x v="39"/>
    <n v="1"/>
    <s v="Portable Speaker"/>
    <n v="75.11"/>
    <n v="42.5"/>
    <n v="32.61"/>
    <n v="0.43416322726667556"/>
  </r>
  <r>
    <s v="BC-100567"/>
    <d v="2025-02-21T00:00:00"/>
    <s v="Midlands"/>
    <s v="Small Business"/>
    <s v="Electronics"/>
    <s v="SmartHome Hub"/>
    <n v="2"/>
    <n v="134.4"/>
    <n v="87.22"/>
    <n v="0.1"/>
    <n v="7"/>
    <n v="3"/>
    <s v="No"/>
    <s v="Online"/>
    <s v="Card"/>
    <s v="Small Business"/>
    <s v="Midlands"/>
    <s v="Electronics"/>
    <x v="88"/>
    <n v="1"/>
    <s v="SmartHome Hub"/>
    <n v="241.92000000000002"/>
    <n v="174.44"/>
    <n v="67.480000000000018"/>
    <n v="0.27893518518518523"/>
  </r>
  <r>
    <s v="BC-101264"/>
    <d v="2025-03-03T00:00:00"/>
    <s v="North"/>
    <s v="Individual"/>
    <s v="Electronics"/>
    <s v="Portable Speaker"/>
    <n v="3"/>
    <n v="75.77"/>
    <n v="41.85"/>
    <n v="0"/>
    <n v="4"/>
    <n v="3"/>
    <s v="Yes"/>
    <s v="Online"/>
    <s v="Bank Transfer"/>
    <s v="Individual"/>
    <s v="North"/>
    <s v="Electronics"/>
    <x v="345"/>
    <n v="1"/>
    <s v="Portable Speaker"/>
    <n v="227.31"/>
    <n v="125.55000000000001"/>
    <n v="101.75999999999999"/>
    <n v="0.4476705820245479"/>
  </r>
  <r>
    <s v="BC-100486"/>
    <d v="2025-11-16T00:00:00"/>
    <s v="North"/>
    <s v="Individual"/>
    <s v="Furniture"/>
    <s v="Office Chair"/>
    <n v="2"/>
    <n v="179.91"/>
    <n v="112.91"/>
    <n v="0"/>
    <n v="7"/>
    <n v="4"/>
    <s v="No"/>
    <s v="Online"/>
    <s v="Digital Wallet"/>
    <s v="Individual"/>
    <s v="North"/>
    <s v="Furniture"/>
    <x v="178"/>
    <n v="1"/>
    <s v="Office Chair"/>
    <n v="359.82"/>
    <n v="225.82"/>
    <n v="134"/>
    <n v="0.37240842643543998"/>
  </r>
  <r>
    <s v="BC-100774"/>
    <d v="2025-10-25T00:00:00"/>
    <s v="South"/>
    <s v="Individual"/>
    <s v="Office"/>
    <s v="Ergonomic Keyboard"/>
    <n v="3"/>
    <n v="71.180000000000007"/>
    <n v="37.28"/>
    <n v="0.05"/>
    <n v="0"/>
    <n v="4"/>
    <s v="No"/>
    <s v="Store"/>
    <s v="Bank Transfer"/>
    <s v="Individual"/>
    <s v="South"/>
    <s v="Office"/>
    <x v="138"/>
    <n v="1"/>
    <s v="Ergonomic Keyboard"/>
    <n v="202.863"/>
    <n v="111.84"/>
    <n v="91.022999999999996"/>
    <n v="0.44869197438665503"/>
  </r>
  <r>
    <s v="BC-101564"/>
    <d v="2025-09-17T00:00:00"/>
    <s v="South"/>
    <s v="Individual"/>
    <s v="Home &amp; Kitchen"/>
    <s v="Electric Kettle"/>
    <n v="1"/>
    <n v="39.53"/>
    <n v="19.850000000000001"/>
    <n v="0.1"/>
    <n v="3"/>
    <n v="4"/>
    <s v="No"/>
    <s v="Online"/>
    <s v="Card"/>
    <s v="Individual"/>
    <s v="South"/>
    <s v="Home &amp; Kitchen"/>
    <x v="31"/>
    <n v="1"/>
    <s v="Electric Kettle"/>
    <n v="35.577000000000005"/>
    <n v="19.850000000000001"/>
    <n v="15.727000000000004"/>
    <n v="0.44205526042105858"/>
  </r>
  <r>
    <s v="BC-100626"/>
    <d v="2025-03-04T00:00:00"/>
    <s v="South"/>
    <s v="Small Business"/>
    <s v="Home &amp; Kitchen"/>
    <s v="Electric Kettle"/>
    <n v="1"/>
    <n v="40.619999999999997"/>
    <n v="20.97"/>
    <n v="0.15000000000000002"/>
    <n v="2"/>
    <n v="3"/>
    <s v="Yes"/>
    <s v="Online"/>
    <s v="Digital Wallet"/>
    <s v="Small Business"/>
    <s v="South"/>
    <s v="Home &amp; Kitchen"/>
    <x v="229"/>
    <n v="1"/>
    <s v="Electric Kettle"/>
    <n v="34.526999999999994"/>
    <n v="20.97"/>
    <n v="13.556999999999995"/>
    <n v="0.39264923103658"/>
  </r>
  <r>
    <s v="BC-100137"/>
    <d v="2025-01-27T00:00:00"/>
    <s v="South"/>
    <s v="Individual"/>
    <s v="Home &amp; Kitchen"/>
    <s v="Coffee Maker"/>
    <n v="1"/>
    <n v="80.900000000000006"/>
    <n v="45.59"/>
    <n v="0.2"/>
    <n v="5"/>
    <n v="4"/>
    <s v="No"/>
    <s v="Online"/>
    <s v="Bank Transfer"/>
    <s v="Individual"/>
    <s v="South"/>
    <s v="Home &amp; Kitchen"/>
    <x v="1"/>
    <n v="1"/>
    <s v="Coffee Maker"/>
    <n v="64.720000000000013"/>
    <n v="45.59"/>
    <n v="19.13000000000001"/>
    <n v="0.29558096415327573"/>
  </r>
  <r>
    <s v="BC-100249"/>
    <d v="2025-01-16T00:00:00"/>
    <s v="North"/>
    <s v="Individual"/>
    <s v="Electronics"/>
    <s v="Wireless Headset"/>
    <n v="2"/>
    <n v="59.9"/>
    <n v="33.979999999999997"/>
    <n v="0.05"/>
    <n v="0"/>
    <n v="5"/>
    <s v="No"/>
    <s v="Store"/>
    <s v="Card"/>
    <s v="Individual"/>
    <s v="North"/>
    <s v="Electronics"/>
    <x v="79"/>
    <n v="1"/>
    <s v="Wireless Headset"/>
    <n v="113.80999999999999"/>
    <n v="67.959999999999994"/>
    <n v="45.849999999999994"/>
    <n v="0.40286442316140936"/>
  </r>
  <r>
    <s v="BC-101034"/>
    <d v="2025-06-19T00:00:00"/>
    <s v="South"/>
    <s v="Individual"/>
    <s v="Home &amp; Kitchen"/>
    <s v="Electric Kettle"/>
    <n v="1"/>
    <n v="41.35"/>
    <n v="20.260000000000002"/>
    <n v="0.15000000000000002"/>
    <n v="0"/>
    <n v="4"/>
    <s v="No"/>
    <s v="Store"/>
    <s v="Bank Transfer"/>
    <s v="Individual"/>
    <s v="South"/>
    <s v="Home &amp; Kitchen"/>
    <x v="339"/>
    <n v="1"/>
    <s v="Electric Kettle"/>
    <n v="35.147500000000001"/>
    <n v="20.260000000000002"/>
    <n v="14.887499999999999"/>
    <n v="0.42357208905327542"/>
  </r>
  <r>
    <s v="BC-101332"/>
    <d v="2025-09-04T00:00:00"/>
    <s v="South"/>
    <m/>
    <s v="Home &amp; Kitchen"/>
    <s v="Electric Kettle"/>
    <n v="4"/>
    <n v="41.56"/>
    <n v="20.43"/>
    <n v="0.05"/>
    <n v="6"/>
    <n v="4"/>
    <s v="No"/>
    <s v="Online"/>
    <s v="Card"/>
    <s v="Unknow"/>
    <s v="South"/>
    <s v="Home &amp; Kitchen"/>
    <x v="267"/>
    <n v="1"/>
    <s v="Electric Kettle"/>
    <n v="157.928"/>
    <n v="81.72"/>
    <n v="76.207999999999998"/>
    <n v="0.48254900967529507"/>
  </r>
  <r>
    <s v="BC-101311"/>
    <d v="2025-10-31T00:00:00"/>
    <s v="North"/>
    <s v="Individual"/>
    <s v="Electronics"/>
    <s v="SmartHome Hub"/>
    <n v="1"/>
    <n v="127.07"/>
    <n v="85.9"/>
    <n v="0.1"/>
    <n v="3"/>
    <n v="4"/>
    <s v="No"/>
    <s v="Store"/>
    <s v="Card"/>
    <s v="Individual"/>
    <s v="North"/>
    <s v="Electronics"/>
    <x v="46"/>
    <n v="1"/>
    <s v="SmartHome Hub"/>
    <n v="114.363"/>
    <n v="85.9"/>
    <n v="28.462999999999994"/>
    <n v="0.24888294290985716"/>
  </r>
  <r>
    <s v="BC-100974"/>
    <d v="2025-12-13T00:00:00"/>
    <s v="London"/>
    <s v="Individual"/>
    <s v="Furniture"/>
    <s v="Office Chair"/>
    <n v="1"/>
    <n v="178.18"/>
    <n v="119.89"/>
    <n v="0.15000000000000002"/>
    <n v="7"/>
    <n v="3"/>
    <s v="No"/>
    <s v="Phone"/>
    <s v="Card"/>
    <s v="Individual"/>
    <s v="London"/>
    <s v="Furniture"/>
    <x v="219"/>
    <n v="1"/>
    <s v="Office Chair"/>
    <n v="151.453"/>
    <n v="119.89"/>
    <n v="31.563000000000002"/>
    <n v="0.20840128620760237"/>
  </r>
  <r>
    <s v="BC-100969"/>
    <d v="2025-11-13T00:00:00"/>
    <s v="London"/>
    <s v="Individual"/>
    <s v="Office"/>
    <s v="Wireless Mouse"/>
    <n v="1"/>
    <n v="34.72"/>
    <n v="16.63"/>
    <n v="0.1"/>
    <n v="3"/>
    <n v="4"/>
    <s v="No"/>
    <s v="Online"/>
    <s v="Bank Transfer"/>
    <s v="Individual"/>
    <s v="London"/>
    <s v="Office"/>
    <x v="22"/>
    <n v="1"/>
    <s v="Wireless Mouse"/>
    <n v="31.248000000000001"/>
    <n v="16.63"/>
    <n v="14.618000000000002"/>
    <n v="0.46780593958013317"/>
  </r>
  <r>
    <s v="BC-101941"/>
    <d v="2025-03-11T00:00:00"/>
    <s v="Midlands"/>
    <s v="Individual"/>
    <s v="Home &amp; Kitchen"/>
    <s v="Coffee Maker"/>
    <n v="2"/>
    <n v="82.24"/>
    <n v="45.06"/>
    <n v="0"/>
    <n v="3"/>
    <n v="4"/>
    <s v="No"/>
    <s v="Online"/>
    <s v="Digital Wallet"/>
    <s v="Individual"/>
    <s v="Midlands"/>
    <s v="Home &amp; Kitchen"/>
    <x v="260"/>
    <n v="1"/>
    <s v="Coffee Maker"/>
    <n v="164.48"/>
    <n v="90.12"/>
    <n v="74.359999999999985"/>
    <n v="0.4520914396887159"/>
  </r>
  <r>
    <s v="BC-100546"/>
    <d v="2025-10-25T00:00:00"/>
    <s v="North"/>
    <s v="Individual"/>
    <s v="Electronics"/>
    <s v="Wireless Headset"/>
    <n v="1"/>
    <n v="61.22"/>
    <n v="33.93"/>
    <n v="0"/>
    <n v="2"/>
    <n v="4"/>
    <s v="No"/>
    <s v="Online"/>
    <s v="Card"/>
    <s v="Individual"/>
    <s v="North"/>
    <s v="Electronics"/>
    <x v="138"/>
    <n v="1"/>
    <s v="Wireless Headset"/>
    <n v="61.22"/>
    <n v="33.93"/>
    <n v="27.29"/>
    <n v="0.44576935641947074"/>
  </r>
  <r>
    <s v="BC-100637"/>
    <d v="2025-09-18T00:00:00"/>
    <s v="London"/>
    <s v="Individual"/>
    <s v="Home &amp; Kitchen"/>
    <s v="Blender"/>
    <n v="1"/>
    <n v="64.45"/>
    <n v="34.770000000000003"/>
    <n v="0.1"/>
    <n v="2"/>
    <n v="4"/>
    <s v="No"/>
    <s v="Online"/>
    <s v="Card"/>
    <s v="Individual"/>
    <s v="London"/>
    <s v="Home &amp; Kitchen"/>
    <x v="198"/>
    <n v="1"/>
    <s v="Blender"/>
    <n v="58.005000000000003"/>
    <n v="34.770000000000003"/>
    <n v="23.234999999999999"/>
    <n v="0.40056891647271786"/>
  </r>
  <r>
    <s v="BC-100392"/>
    <d v="2025-08-02T00:00:00"/>
    <s v="North"/>
    <s v="Individual"/>
    <s v="Office"/>
    <s v="Desk Lamp"/>
    <n v="1"/>
    <n v="39.71"/>
    <n v="19.25"/>
    <n v="0.05"/>
    <n v="3"/>
    <n v="4"/>
    <s v="No"/>
    <s v="Online"/>
    <s v="Digital Wallet"/>
    <s v="Individual"/>
    <s v="North"/>
    <s v="Office"/>
    <x v="78"/>
    <n v="1"/>
    <s v="Desk Lamp"/>
    <n v="37.724499999999999"/>
    <n v="19.25"/>
    <n v="18.474499999999999"/>
    <n v="0.48972153375127569"/>
  </r>
  <r>
    <s v="BC-100094"/>
    <d v="2025-07-30T00:00:00"/>
    <s v="North"/>
    <s v="Small Business"/>
    <s v="Home &amp; Kitchen"/>
    <s v="Air Fryer"/>
    <n v="3"/>
    <n v="112.62"/>
    <n v="66.790000000000006"/>
    <n v="0"/>
    <n v="4"/>
    <n v="5"/>
    <s v="No"/>
    <s v="Store"/>
    <s v="Card"/>
    <s v="Small Business"/>
    <s v="North"/>
    <s v="Home &amp; Kitchen"/>
    <x v="193"/>
    <n v="1"/>
    <s v="Air Fryer"/>
    <n v="337.86"/>
    <n v="200.37"/>
    <n v="137.49"/>
    <n v="0.40694370449298528"/>
  </r>
  <r>
    <s v="BC-100847"/>
    <d v="2025-04-12T00:00:00"/>
    <s v="London"/>
    <s v="Small Business"/>
    <s v="Electronics"/>
    <s v="Webcam"/>
    <n v="3"/>
    <n v="48.88"/>
    <n v="25.3"/>
    <n v="0"/>
    <n v="1"/>
    <n v="5"/>
    <s v="No"/>
    <s v="Store"/>
    <s v="Card"/>
    <s v="Small Business"/>
    <s v="London"/>
    <s v="Electronics"/>
    <x v="306"/>
    <n v="1"/>
    <s v="Webcam"/>
    <n v="146.64000000000001"/>
    <n v="75.900000000000006"/>
    <n v="70.740000000000009"/>
    <n v="0.4824058919803601"/>
  </r>
  <r>
    <s v="BC-101711"/>
    <d v="2025-08-20T00:00:00"/>
    <s v="North"/>
    <s v="Individual"/>
    <s v="Home &amp; Kitchen"/>
    <s v="Air Fryer"/>
    <n v="1"/>
    <n v="106.89"/>
    <n v="65.930000000000007"/>
    <n v="0.1"/>
    <n v="7"/>
    <n v="4"/>
    <s v="No"/>
    <s v="Online"/>
    <s v="Digital Wallet"/>
    <s v="Individual"/>
    <s v="North"/>
    <s v="Home &amp; Kitchen"/>
    <x v="99"/>
    <n v="1"/>
    <s v="Air Fryer"/>
    <n v="96.201000000000008"/>
    <n v="65.930000000000007"/>
    <n v="30.271000000000001"/>
    <n v="0.31466408873088636"/>
  </r>
  <r>
    <s v="BC-101937"/>
    <d v="2025-08-15T00:00:00"/>
    <s v="North"/>
    <s v="Small Business"/>
    <s v="Home &amp; Kitchen"/>
    <s v="Air Fryer"/>
    <n v="6"/>
    <n v="111.43"/>
    <n v="68.64"/>
    <n v="0"/>
    <n v="3"/>
    <n v="5"/>
    <s v="No"/>
    <s v="Phone"/>
    <s v="Card"/>
    <s v="Small Business"/>
    <s v="North"/>
    <s v="Home &amp; Kitchen"/>
    <x v="325"/>
    <n v="1"/>
    <s v="Air Fryer"/>
    <n v="668.58"/>
    <n v="411.84000000000003"/>
    <n v="256.74"/>
    <n v="0.38400789733464957"/>
  </r>
  <r>
    <s v="BC-100023"/>
    <d v="2025-05-09T00:00:00"/>
    <s v="London"/>
    <s v="Individual"/>
    <s v="Home &amp; Kitchen"/>
    <s v="Air Fryer"/>
    <n v="1"/>
    <n v="110.91"/>
    <n v="69.64"/>
    <n v="0"/>
    <n v="3"/>
    <n v="4"/>
    <s v="No"/>
    <s v="Online"/>
    <s v="Card"/>
    <s v="Individual"/>
    <s v="London"/>
    <s v="Home &amp; Kitchen"/>
    <x v="334"/>
    <n v="1"/>
    <s v="Air Fryer"/>
    <n v="110.91"/>
    <n v="69.64"/>
    <n v="41.269999999999996"/>
    <n v="0.37210350734830039"/>
  </r>
  <r>
    <s v="BC-101471"/>
    <d v="2025-08-15T00:00:00"/>
    <s v="South"/>
    <s v="Individual"/>
    <s v="Furniture"/>
    <s v="Bookshelf"/>
    <n v="2"/>
    <n v="121.42"/>
    <n v="75.41"/>
    <n v="0.05"/>
    <n v="0"/>
    <n v="4"/>
    <s v="No"/>
    <s v="Store"/>
    <s v="Card"/>
    <s v="Individual"/>
    <s v="South"/>
    <s v="Furniture"/>
    <x v="325"/>
    <n v="1"/>
    <s v="Bookshelf"/>
    <n v="230.69799999999998"/>
    <n v="150.82"/>
    <n v="79.877999999999986"/>
    <n v="0.3462448742511855"/>
  </r>
  <r>
    <s v="BC-100916"/>
    <d v="2025-12-19T00:00:00"/>
    <s v="South"/>
    <m/>
    <s v="Home &amp; Kitchen"/>
    <s v="Electric Kettle"/>
    <n v="1"/>
    <n v="40.729999999999997"/>
    <n v="19.940000000000001"/>
    <n v="0.2"/>
    <n v="0"/>
    <n v="5"/>
    <s v="No"/>
    <s v="Store"/>
    <s v="Card"/>
    <s v="Unknow"/>
    <s v="South"/>
    <s v="Home &amp; Kitchen"/>
    <x v="18"/>
    <n v="1"/>
    <s v="Electric Kettle"/>
    <n v="32.583999999999996"/>
    <n v="19.940000000000001"/>
    <n v="12.643999999999995"/>
    <n v="0.38804321139209419"/>
  </r>
  <r>
    <s v="BC-101544"/>
    <d v="2025-01-31T00:00:00"/>
    <s v="South"/>
    <s v="Small Business"/>
    <s v="Office"/>
    <s v="Wireless Mouse"/>
    <n v="3"/>
    <n v="36.04"/>
    <n v="16.8"/>
    <n v="0.1"/>
    <n v="3"/>
    <n v="4"/>
    <s v="No"/>
    <s v="Online"/>
    <s v="Card"/>
    <s v="Small Business"/>
    <s v="South"/>
    <s v="Office"/>
    <x v="66"/>
    <n v="1"/>
    <s v="Wireless Mouse"/>
    <n v="97.308000000000007"/>
    <n v="50.400000000000006"/>
    <n v="46.908000000000001"/>
    <n v="0.48205697373288936"/>
  </r>
  <r>
    <s v="BC-101796"/>
    <d v="2025-11-28T00:00:00"/>
    <s v="London"/>
    <s v="Individual"/>
    <s v="Home &amp; Kitchen"/>
    <s v="Coffee Maker"/>
    <n v="1"/>
    <n v="78.89"/>
    <n v="43.79"/>
    <n v="0.1"/>
    <n v="0"/>
    <n v="4"/>
    <s v="No"/>
    <s v="Store"/>
    <s v="Bank Transfer"/>
    <s v="Individual"/>
    <s v="London"/>
    <s v="Home &amp; Kitchen"/>
    <x v="43"/>
    <n v="1"/>
    <s v="Coffee Maker"/>
    <n v="71.001000000000005"/>
    <n v="43.79"/>
    <n v="27.211000000000006"/>
    <n v="0.38324812326586954"/>
  </r>
  <r>
    <s v="BC-101686"/>
    <d v="2025-06-11T00:00:00"/>
    <s v="North"/>
    <s v="Small Business"/>
    <s v="Office"/>
    <s v="Laptop Stand"/>
    <n v="1"/>
    <n v="45.63"/>
    <n v="20.38"/>
    <n v="0.1"/>
    <n v="3"/>
    <n v="5"/>
    <s v="No"/>
    <s v="Online"/>
    <s v="Bank Transfer"/>
    <s v="Small Business"/>
    <s v="North"/>
    <s v="Office"/>
    <x v="346"/>
    <n v="1"/>
    <s v="Laptop Stand"/>
    <n v="41.067"/>
    <n v="20.38"/>
    <n v="20.687000000000001"/>
    <n v="0.50373779433608501"/>
  </r>
  <r>
    <s v="BC-100589"/>
    <d v="2025-12-06T00:00:00"/>
    <s v="London"/>
    <s v="Individual"/>
    <s v="Office"/>
    <s v="Ergonomic Keyboard"/>
    <n v="2"/>
    <n v="72.25"/>
    <n v="36.97"/>
    <n v="0.05"/>
    <n v="3"/>
    <n v="3"/>
    <s v="Yes"/>
    <s v="Phone"/>
    <s v="Card"/>
    <s v="Individual"/>
    <s v="London"/>
    <s v="Office"/>
    <x v="131"/>
    <n v="1"/>
    <s v="Ergonomic Keyboard"/>
    <n v="137.27500000000001"/>
    <n v="73.94"/>
    <n v="63.335000000000008"/>
    <n v="0.46137315607357499"/>
  </r>
  <r>
    <s v="BC-100607"/>
    <d v="2025-05-04T00:00:00"/>
    <s v="North"/>
    <s v="Small Business"/>
    <s v="Office"/>
    <s v="Ergonomic Keyboard"/>
    <n v="1"/>
    <n v="68.150000000000006"/>
    <n v="39.01"/>
    <n v="0"/>
    <n v="4"/>
    <n v="5"/>
    <s v="No"/>
    <s v="Online"/>
    <s v="Bank Transfer"/>
    <s v="Small Business"/>
    <s v="North"/>
    <s v="Office"/>
    <x v="51"/>
    <n v="1"/>
    <s v="Ergonomic Keyboard"/>
    <n v="68.150000000000006"/>
    <n v="39.01"/>
    <n v="29.140000000000008"/>
    <n v="0.4275862068965518"/>
  </r>
  <r>
    <s v="BC-100724"/>
    <d v="2025-11-16T00:00:00"/>
    <s v="Midlands"/>
    <s v="Individual"/>
    <s v="Electronics"/>
    <s v="Portable Speaker"/>
    <n v="3"/>
    <n v="73.67"/>
    <n v="45.08"/>
    <n v="0.1"/>
    <n v="5"/>
    <n v="5"/>
    <s v="No"/>
    <s v="Phone"/>
    <s v="Digital Wallet"/>
    <s v="Individual"/>
    <s v="Midlands"/>
    <s v="Electronics"/>
    <x v="178"/>
    <n v="1"/>
    <s v="Portable Speaker"/>
    <n v="198.90899999999999"/>
    <n v="135.24"/>
    <n v="63.668999999999983"/>
    <n v="0.32009109693377369"/>
  </r>
  <r>
    <s v="BC-100306"/>
    <d v="2025-10-06T00:00:00"/>
    <s v="South"/>
    <s v="Small Business"/>
    <s v="Office"/>
    <s v="Desk Lamp"/>
    <n v="5"/>
    <n v="39.200000000000003"/>
    <n v="18.670000000000002"/>
    <n v="0"/>
    <n v="1"/>
    <n v="4"/>
    <s v="No"/>
    <s v="Store"/>
    <s v="Card"/>
    <s v="Small Business"/>
    <s v="South"/>
    <s v="Office"/>
    <x v="32"/>
    <n v="1"/>
    <s v="Desk Lamp"/>
    <n v="196"/>
    <n v="93.350000000000009"/>
    <n v="102.64999999999999"/>
    <n v="0.52372448979591835"/>
  </r>
  <r>
    <s v="BC-101074"/>
    <d v="2025-01-09T00:00:00"/>
    <s v="Midlands"/>
    <s v="Small Business"/>
    <s v="Furniture"/>
    <s v="Storage Cabinet"/>
    <n v="1"/>
    <n v="156.83000000000001"/>
    <n v="99.36"/>
    <n v="0.05"/>
    <n v="5"/>
    <n v="3"/>
    <s v="Yes"/>
    <s v="Online"/>
    <s v="Card"/>
    <s v="Small Business"/>
    <s v="Midlands"/>
    <s v="Furniture"/>
    <x v="251"/>
    <n v="1"/>
    <s v="Storage Cabinet"/>
    <n v="148.98850000000002"/>
    <n v="99.36"/>
    <n v="49.628500000000017"/>
    <n v="0.33310289049154806"/>
  </r>
  <r>
    <s v="BC-100103"/>
    <d v="2025-12-15T00:00:00"/>
    <s v="South"/>
    <s v="Corporate"/>
    <s v="Furniture"/>
    <s v="Side Table"/>
    <n v="6"/>
    <n v="87.99"/>
    <n v="55.56"/>
    <n v="0.1"/>
    <n v="3"/>
    <n v="4"/>
    <s v="Yes"/>
    <s v="Store"/>
    <s v="Card"/>
    <s v="Corporate"/>
    <s v="South"/>
    <s v="Furniture"/>
    <x v="299"/>
    <n v="1"/>
    <s v="Side Table"/>
    <n v="475.14599999999996"/>
    <n v="333.36"/>
    <n v="141.78599999999994"/>
    <n v="0.29840512179414319"/>
  </r>
  <r>
    <s v="BC-101832"/>
    <d v="2025-05-05T00:00:00"/>
    <s v="North"/>
    <s v="Corporate"/>
    <s v="Office"/>
    <s v="Ergonomic Keyboard"/>
    <n v="6"/>
    <n v="71.34"/>
    <n v="39.76"/>
    <n v="0.05"/>
    <n v="1"/>
    <m/>
    <s v="No"/>
    <s v="Online"/>
    <s v="Card"/>
    <s v="Corporate"/>
    <s v="North"/>
    <s v="Office"/>
    <x v="235"/>
    <n v="1"/>
    <s v="Ergonomic Keyboard"/>
    <n v="406.63799999999998"/>
    <n v="238.56"/>
    <n v="168.07799999999997"/>
    <n v="0.4133356941554896"/>
  </r>
  <r>
    <s v="BC-100036"/>
    <d v="2025-06-18T00:00:00"/>
    <s v="London"/>
    <s v="Small Business"/>
    <s v="Home &amp; Kitchen"/>
    <s v="Blender"/>
    <n v="4"/>
    <n v="65.97"/>
    <n v="34.33"/>
    <n v="0.1"/>
    <n v="0"/>
    <m/>
    <s v="No"/>
    <s v="Store"/>
    <s v="Card"/>
    <s v="Small Business"/>
    <s v="London"/>
    <s v="Home &amp; Kitchen"/>
    <x v="153"/>
    <n v="1"/>
    <s v="Blender"/>
    <n v="237.49199999999999"/>
    <n v="137.32"/>
    <n v="100.172"/>
    <n v="0.42179104980378285"/>
  </r>
  <r>
    <s v="BC-100337"/>
    <d v="2025-12-25T00:00:00"/>
    <s v="London"/>
    <s v="Individual"/>
    <s v="Electronics"/>
    <s v="Webcam"/>
    <n v="2"/>
    <n v="51.48"/>
    <n v="27.08"/>
    <n v="0.05"/>
    <n v="0"/>
    <n v="4"/>
    <s v="No"/>
    <s v="Store"/>
    <s v="Bank Transfer"/>
    <s v="Individual"/>
    <s v="London"/>
    <s v="Electronics"/>
    <x v="28"/>
    <n v="1"/>
    <s v="Webcam"/>
    <n v="97.811999999999983"/>
    <n v="54.16"/>
    <n v="43.651999999999987"/>
    <n v="0.44628470944260412"/>
  </r>
  <r>
    <s v="BC-101784"/>
    <d v="2025-11-10T00:00:00"/>
    <s v="South"/>
    <s v="Small Business"/>
    <s v="Home &amp; Kitchen"/>
    <s v="Air Fryer"/>
    <n v="1"/>
    <n v="112.11"/>
    <n v="69.540000000000006"/>
    <n v="0.15000000000000002"/>
    <n v="4"/>
    <n v="5"/>
    <s v="No"/>
    <s v="Online"/>
    <s v="Card"/>
    <s v="Small Business"/>
    <s v="South"/>
    <s v="Home &amp; Kitchen"/>
    <x v="280"/>
    <n v="1"/>
    <s v="Air Fryer"/>
    <n v="95.293499999999995"/>
    <n v="69.540000000000006"/>
    <n v="25.753499999999988"/>
    <n v="0.27025452942750544"/>
  </r>
  <r>
    <s v="BC-100711"/>
    <d v="2025-12-14T00:00:00"/>
    <s v="South"/>
    <s v="Individual"/>
    <s v="Office"/>
    <s v="Wireless Mouse"/>
    <n v="1"/>
    <n v="34.770000000000003"/>
    <n v="17.34"/>
    <n v="0.15000000000000002"/>
    <n v="5"/>
    <n v="5"/>
    <s v="No"/>
    <s v="Online"/>
    <s v="Card"/>
    <s v="Individual"/>
    <s v="South"/>
    <s v="Office"/>
    <x v="166"/>
    <n v="1"/>
    <s v="Wireless Mouse"/>
    <n v="29.554500000000001"/>
    <n v="17.34"/>
    <n v="12.214500000000001"/>
    <n v="0.41328731665228646"/>
  </r>
  <r>
    <s v="BC-101248"/>
    <d v="2025-02-19T00:00:00"/>
    <s v="South"/>
    <s v="Corporate"/>
    <s v="Home &amp; Kitchen"/>
    <s v="Coffee Maker"/>
    <n v="6"/>
    <n v="79.430000000000007"/>
    <n v="44.03"/>
    <n v="0.1"/>
    <n v="4"/>
    <n v="3"/>
    <s v="Yes"/>
    <s v="Store"/>
    <s v="Digital Wallet"/>
    <s v="Corporate"/>
    <s v="South"/>
    <s v="Home &amp; Kitchen"/>
    <x v="338"/>
    <n v="1"/>
    <s v="Coffee Maker"/>
    <n v="428.92200000000003"/>
    <n v="264.18"/>
    <n v="164.74200000000002"/>
    <n v="0.38408381943570163"/>
  </r>
  <r>
    <s v="BC-101221"/>
    <d v="2025-02-26T00:00:00"/>
    <s v="London"/>
    <s v="Individual"/>
    <s v="Office"/>
    <s v="Laptop Stand"/>
    <n v="2"/>
    <n v="45.64"/>
    <n v="21.4"/>
    <n v="0"/>
    <n v="3"/>
    <n v="4"/>
    <s v="No"/>
    <s v="Online"/>
    <s v="Card"/>
    <s v="Individual"/>
    <s v="London"/>
    <s v="Office"/>
    <x v="254"/>
    <n v="1"/>
    <s v="Laptop Stand"/>
    <n v="91.28"/>
    <n v="42.8"/>
    <n v="48.480000000000004"/>
    <n v="0.53111305872042069"/>
  </r>
  <r>
    <s v="BC-101873"/>
    <d v="2025-04-18T00:00:00"/>
    <s v="London"/>
    <s v="Individual"/>
    <s v="Office"/>
    <s v="Ergonomic Keyboard"/>
    <n v="1"/>
    <n v="71.11"/>
    <n v="37.24"/>
    <n v="0"/>
    <n v="5"/>
    <n v="4"/>
    <s v="No"/>
    <s v="Phone"/>
    <s v="Card"/>
    <s v="Individual"/>
    <s v="London"/>
    <s v="Office"/>
    <x v="72"/>
    <n v="1"/>
    <s v="Ergonomic Keyboard"/>
    <n v="71.11"/>
    <n v="37.24"/>
    <n v="33.869999999999997"/>
    <n v="0.47630431725495709"/>
  </r>
  <r>
    <s v="BC-100605"/>
    <d v="2025-05-25T00:00:00"/>
    <s v="London"/>
    <s v="Small Business"/>
    <s v="Home &amp; Kitchen"/>
    <s v="Air Fryer"/>
    <n v="4"/>
    <n v="113.82"/>
    <n v="70.3"/>
    <n v="0"/>
    <n v="2"/>
    <n v="4"/>
    <s v="No"/>
    <s v="Online"/>
    <s v="Card"/>
    <s v="Small Business"/>
    <s v="London"/>
    <s v="Home &amp; Kitchen"/>
    <x v="234"/>
    <n v="1"/>
    <s v="Air Fryer"/>
    <n v="455.28"/>
    <n v="281.2"/>
    <n v="174.07999999999998"/>
    <n v="0.38235810929537867"/>
  </r>
  <r>
    <s v="BC-101749"/>
    <d v="2025-11-05T00:00:00"/>
    <s v="London"/>
    <s v="Small Business"/>
    <s v="Home &amp; Kitchen"/>
    <s v="Blender"/>
    <n v="5"/>
    <n v="64.66"/>
    <n v="35.04"/>
    <n v="0.1"/>
    <n v="4"/>
    <n v="4"/>
    <s v="No"/>
    <s v="Online"/>
    <s v="Card"/>
    <s v="Small Business"/>
    <s v="London"/>
    <s v="Home &amp; Kitchen"/>
    <x v="347"/>
    <n v="1"/>
    <s v="Blender"/>
    <n v="290.96999999999997"/>
    <n v="175.2"/>
    <n v="115.76999999999998"/>
    <n v="0.39787606969790695"/>
  </r>
  <r>
    <s v="BC-100540"/>
    <d v="2025-12-02T00:00:00"/>
    <s v="London"/>
    <s v="Individual"/>
    <s v="Electronics"/>
    <s v="Wireless Headset"/>
    <n v="1"/>
    <n v="61.29"/>
    <n v="34.71"/>
    <n v="0.05"/>
    <n v="3"/>
    <n v="4"/>
    <s v="No"/>
    <s v="Online"/>
    <s v="Card"/>
    <s v="Individual"/>
    <s v="London"/>
    <s v="Electronics"/>
    <x v="183"/>
    <n v="1"/>
    <s v="Wireless Headset"/>
    <n v="58.225499999999997"/>
    <n v="34.71"/>
    <n v="23.515499999999996"/>
    <n v="0.403869438648015"/>
  </r>
  <r>
    <s v="BC-100078"/>
    <d v="2025-02-09T00:00:00"/>
    <s v="South"/>
    <s v="Individual"/>
    <s v="Electronics"/>
    <s v="Portable Speaker"/>
    <n v="2"/>
    <n v="77.22"/>
    <n v="42.16"/>
    <n v="0.1"/>
    <n v="1"/>
    <n v="4"/>
    <s v="No"/>
    <s v="Online"/>
    <s v="Bank Transfer"/>
    <s v="Individual"/>
    <s v="South"/>
    <s v="Electronics"/>
    <x v="238"/>
    <n v="1"/>
    <s v="Portable Speaker"/>
    <n v="138.99600000000001"/>
    <n v="84.32"/>
    <n v="54.676000000000016"/>
    <n v="0.39336383780828232"/>
  </r>
  <r>
    <s v="BC-100761"/>
    <d v="2025-10-18T00:00:00"/>
    <s v="North"/>
    <s v="Individual"/>
    <s v="Electronics"/>
    <s v="Wireless Headset"/>
    <n v="1"/>
    <n v="59.73"/>
    <n v="35.43"/>
    <n v="0"/>
    <n v="2"/>
    <n v="4"/>
    <s v="No"/>
    <s v="Online"/>
    <s v="Card"/>
    <s v="Individual"/>
    <s v="North"/>
    <s v="Electronics"/>
    <x v="311"/>
    <n v="1"/>
    <s v="Wireless Headset"/>
    <n v="59.73"/>
    <n v="35.43"/>
    <n v="24.299999999999997"/>
    <n v="0.40683073832245098"/>
  </r>
  <r>
    <s v="BC-100954"/>
    <d v="2025-09-20T00:00:00"/>
    <s v="London"/>
    <s v="Individual"/>
    <s v="Office"/>
    <s v="Desk Lamp"/>
    <n v="2"/>
    <n v="41.16"/>
    <n v="19.84"/>
    <n v="0.05"/>
    <n v="4"/>
    <n v="5"/>
    <s v="No"/>
    <s v="Phone"/>
    <s v="Digital Wallet"/>
    <s v="Individual"/>
    <s v="London"/>
    <s v="Office"/>
    <x v="76"/>
    <n v="1"/>
    <s v="Desk Lamp"/>
    <n v="78.203999999999994"/>
    <n v="39.68"/>
    <n v="38.523999999999994"/>
    <n v="0.49260907370466978"/>
  </r>
  <r>
    <s v="BC-100710"/>
    <d v="2025-05-19T00:00:00"/>
    <s v="London"/>
    <s v="Small Business"/>
    <s v="Office"/>
    <s v="Ergonomic Keyboard"/>
    <n v="3"/>
    <n v="71.13"/>
    <n v="39.61"/>
    <n v="0"/>
    <n v="0"/>
    <n v="5"/>
    <s v="No"/>
    <s v="Store"/>
    <s v="Digital Wallet"/>
    <s v="Small Business"/>
    <s v="London"/>
    <s v="Office"/>
    <x v="257"/>
    <n v="1"/>
    <s v="Ergonomic Keyboard"/>
    <n v="213.39"/>
    <n v="118.83"/>
    <n v="94.559999999999988"/>
    <n v="0.44313229298467594"/>
  </r>
  <r>
    <s v="BC-100833"/>
    <d v="2025-03-16T00:00:00"/>
    <s v="Midlands"/>
    <s v="Small Business"/>
    <s v="Home &amp; Kitchen"/>
    <s v="Blender"/>
    <n v="2"/>
    <n v="64.349999999999994"/>
    <n v="35.29"/>
    <n v="0.05"/>
    <n v="4"/>
    <n v="4"/>
    <s v="No"/>
    <s v="Online"/>
    <s v="Card"/>
    <s v="Small Business"/>
    <s v="Midlands"/>
    <s v="Home &amp; Kitchen"/>
    <x v="324"/>
    <n v="1"/>
    <s v="Blender"/>
    <n v="122.26499999999999"/>
    <n v="70.58"/>
    <n v="51.684999999999988"/>
    <n v="0.42272931746615949"/>
  </r>
  <r>
    <s v="BC-100736"/>
    <d v="2025-09-05T00:00:00"/>
    <s v="London"/>
    <s v="Individual"/>
    <s v="Electronics"/>
    <s v="Webcam"/>
    <n v="1"/>
    <n v="50.51"/>
    <n v="27.08"/>
    <n v="0.1"/>
    <n v="5"/>
    <n v="4"/>
    <s v="No"/>
    <s v="Online"/>
    <s v="Card"/>
    <s v="Individual"/>
    <s v="London"/>
    <s v="Electronics"/>
    <x v="134"/>
    <n v="1"/>
    <s v="Webcam"/>
    <n v="45.458999999999996"/>
    <n v="27.08"/>
    <n v="18.378999999999998"/>
    <n v="0.40429837875888164"/>
  </r>
  <r>
    <s v="BC-101957"/>
    <d v="2025-12-31T00:00:00"/>
    <s v="North"/>
    <s v="Individual"/>
    <s v="Home &amp; Kitchen"/>
    <s v="Electric Kettle"/>
    <n v="1"/>
    <n v="41.16"/>
    <n v="19.88"/>
    <n v="0.1"/>
    <n v="4"/>
    <n v="4"/>
    <s v="No"/>
    <s v="Online"/>
    <s v="Card"/>
    <s v="Individual"/>
    <s v="North"/>
    <s v="Home &amp; Kitchen"/>
    <x v="81"/>
    <n v="1"/>
    <s v="Electric Kettle"/>
    <n v="37.043999999999997"/>
    <n v="19.88"/>
    <n v="17.163999999999998"/>
    <n v="0.46334089191232047"/>
  </r>
  <r>
    <s v="BC-101631"/>
    <d v="2025-09-27T00:00:00"/>
    <s v="South"/>
    <s v="Individual"/>
    <s v="Office"/>
    <s v="Desk Lamp"/>
    <n v="1"/>
    <n v="39.07"/>
    <n v="19.010000000000002"/>
    <n v="0.05"/>
    <n v="3"/>
    <n v="4"/>
    <s v="No"/>
    <s v="Store"/>
    <s v="Bank Transfer"/>
    <s v="Individual"/>
    <s v="South"/>
    <s v="Office"/>
    <x v="16"/>
    <n v="1"/>
    <s v="Desk Lamp"/>
    <n v="37.116500000000002"/>
    <n v="19.010000000000002"/>
    <n v="18.1065"/>
    <n v="0.48782886317406005"/>
  </r>
  <r>
    <s v="BC-101335"/>
    <d v="2025-06-24T00:00:00"/>
    <s v="North"/>
    <s v="Individual"/>
    <s v="Furniture"/>
    <s v="Storage Cabinet"/>
    <n v="2"/>
    <n v="162.44"/>
    <n v="98.36"/>
    <n v="0.05"/>
    <n v="4"/>
    <n v="3"/>
    <s v="Yes"/>
    <s v="Store"/>
    <s v="Bank Transfer"/>
    <s v="Individual"/>
    <s v="North"/>
    <s v="Furniture"/>
    <x v="243"/>
    <n v="1"/>
    <s v="Storage Cabinet"/>
    <n v="308.63599999999997"/>
    <n v="196.72"/>
    <n v="111.91599999999997"/>
    <n v="0.36261486022369388"/>
  </r>
  <r>
    <s v="BC-100074"/>
    <d v="2025-12-31T00:00:00"/>
    <s v="London"/>
    <s v="Individual"/>
    <s v="Electronics"/>
    <s v="Wireless Headset"/>
    <n v="1"/>
    <n v="62.31"/>
    <n v="35.369999999999997"/>
    <n v="0"/>
    <n v="0"/>
    <n v="5"/>
    <s v="No"/>
    <s v="Store"/>
    <s v="Bank Transfer"/>
    <s v="Individual"/>
    <s v="London"/>
    <s v="Electronics"/>
    <x v="81"/>
    <n v="1"/>
    <s v="Wireless Headset"/>
    <n v="62.31"/>
    <n v="35.369999999999997"/>
    <n v="26.940000000000005"/>
    <n v="0.432354357246028"/>
  </r>
  <r>
    <s v="BC-101890"/>
    <d v="2025-03-21T00:00:00"/>
    <s v="North"/>
    <s v="Individual"/>
    <s v="Office"/>
    <s v="Wireless Mouse"/>
    <n v="3"/>
    <n v="34.590000000000003"/>
    <n v="17.53"/>
    <n v="0"/>
    <n v="0"/>
    <n v="4"/>
    <s v="No"/>
    <s v="Store"/>
    <s v="Card"/>
    <s v="Individual"/>
    <s v="North"/>
    <s v="Office"/>
    <x v="241"/>
    <n v="1"/>
    <s v="Wireless Mouse"/>
    <n v="103.77000000000001"/>
    <n v="52.59"/>
    <n v="51.180000000000007"/>
    <n v="0.49320612893899973"/>
  </r>
  <r>
    <s v="BC-100813"/>
    <d v="2025-03-16T00:00:00"/>
    <s v="London"/>
    <s v="Small Business"/>
    <s v="Electronics"/>
    <s v="Wireless Headset"/>
    <n v="4"/>
    <n v="58.75"/>
    <n v="33.99"/>
    <n v="0"/>
    <n v="3"/>
    <n v="5"/>
    <s v="No"/>
    <s v="Online"/>
    <s v="Card"/>
    <s v="Small Business"/>
    <s v="London"/>
    <s v="Electronics"/>
    <x v="324"/>
    <n v="1"/>
    <s v="Wireless Headset"/>
    <n v="235"/>
    <n v="135.96"/>
    <n v="99.039999999999992"/>
    <n v="0.42144680851063826"/>
  </r>
  <r>
    <s v="BC-100809"/>
    <d v="2025-05-29T00:00:00"/>
    <s v="North"/>
    <s v="Individual"/>
    <s v="Electronics"/>
    <s v="SmartHome Hub"/>
    <n v="2"/>
    <n v="135.07"/>
    <n v="86"/>
    <n v="0"/>
    <n v="0"/>
    <n v="4"/>
    <s v="No"/>
    <s v="Store"/>
    <s v="Digital Wallet"/>
    <s v="Individual"/>
    <s v="North"/>
    <s v="Electronics"/>
    <x v="86"/>
    <n v="1"/>
    <s v="SmartHome Hub"/>
    <n v="270.14"/>
    <n v="172"/>
    <n v="98.139999999999986"/>
    <n v="0.36329310727770781"/>
  </r>
  <r>
    <s v="BC-100853"/>
    <d v="2025-08-28T00:00:00"/>
    <s v="South"/>
    <s v="Corporate"/>
    <s v="Electronics"/>
    <s v="Wireless Headset"/>
    <n v="10"/>
    <n v="62.37"/>
    <n v="35.200000000000003"/>
    <n v="0.05"/>
    <n v="2"/>
    <n v="5"/>
    <s v="No"/>
    <s v="Phone"/>
    <s v="Card"/>
    <s v="Corporate"/>
    <s v="South"/>
    <s v="Electronics"/>
    <x v="302"/>
    <n v="1"/>
    <s v="Wireless Headset"/>
    <n v="592.51499999999987"/>
    <n v="352"/>
    <n v="240.51499999999987"/>
    <n v="0.40592221293975667"/>
  </r>
  <r>
    <s v="BC-100325"/>
    <d v="2025-12-05T00:00:00"/>
    <s v="Midlands"/>
    <s v="Small Business"/>
    <s v="Office"/>
    <s v="Desk Lamp"/>
    <n v="2"/>
    <n v="40.74"/>
    <n v="19.399999999999999"/>
    <n v="0.15000000000000002"/>
    <n v="2"/>
    <n v="5"/>
    <s v="No"/>
    <s v="Online"/>
    <s v="Card"/>
    <s v="Small Business"/>
    <s v="Midlands"/>
    <s v="Office"/>
    <x v="21"/>
    <n v="1"/>
    <s v="Desk Lamp"/>
    <n v="69.257999999999996"/>
    <n v="38.799999999999997"/>
    <n v="30.457999999999998"/>
    <n v="0.43977591036414565"/>
  </r>
  <r>
    <s v="BC-101077"/>
    <d v="2025-06-30T00:00:00"/>
    <s v="London"/>
    <s v="Individual"/>
    <s v="Office"/>
    <s v="Desk Lamp"/>
    <n v="1"/>
    <n v="41.06"/>
    <n v="18.87"/>
    <n v="0"/>
    <n v="2"/>
    <n v="4"/>
    <s v="No"/>
    <s v="Online"/>
    <s v="Card"/>
    <s v="Individual"/>
    <s v="London"/>
    <s v="Office"/>
    <x v="204"/>
    <n v="1"/>
    <s v="Desk Lamp"/>
    <n v="41.06"/>
    <n v="18.87"/>
    <n v="22.19"/>
    <n v="0.54042864101315147"/>
  </r>
  <r>
    <s v="BC-101895"/>
    <d v="2025-03-18T00:00:00"/>
    <s v="London"/>
    <s v="Individual"/>
    <s v="Home &amp; Kitchen"/>
    <s v="Blender"/>
    <n v="1"/>
    <n v="64.47"/>
    <n v="34.520000000000003"/>
    <n v="0"/>
    <n v="4"/>
    <n v="5"/>
    <s v="No"/>
    <s v="Store"/>
    <s v="Bank Transfer"/>
    <s v="Individual"/>
    <s v="London"/>
    <s v="Home &amp; Kitchen"/>
    <x v="348"/>
    <n v="1"/>
    <s v="Blender"/>
    <n v="64.47"/>
    <n v="34.520000000000003"/>
    <n v="29.949999999999996"/>
    <n v="0.46455715836823325"/>
  </r>
  <r>
    <s v="BC-101013"/>
    <d v="2025-10-21T00:00:00"/>
    <s v="London"/>
    <s v="Small Business"/>
    <s v="Furniture"/>
    <s v="Storage Cabinet"/>
    <n v="4"/>
    <n v="164.16"/>
    <n v="101.26"/>
    <n v="0.05"/>
    <n v="5"/>
    <n v="4"/>
    <s v="No"/>
    <s v="Online"/>
    <s v="Digital Wallet"/>
    <s v="Small Business"/>
    <s v="London"/>
    <s v="Furniture"/>
    <x v="184"/>
    <n v="1"/>
    <s v="Storage Cabinet"/>
    <n v="623.80799999999999"/>
    <n v="405.04"/>
    <n v="218.76799999999997"/>
    <n v="0.35069765055914637"/>
  </r>
  <r>
    <s v="BC-100536"/>
    <d v="2025-04-02T00:00:00"/>
    <s v="South"/>
    <s v="Individual"/>
    <s v="Electronics"/>
    <s v="Webcam"/>
    <n v="1"/>
    <n v="49.19"/>
    <n v="25.67"/>
    <n v="0.15000000000000002"/>
    <n v="3"/>
    <n v="4"/>
    <s v="No"/>
    <s v="Online"/>
    <s v="Card"/>
    <s v="Individual"/>
    <s v="South"/>
    <s v="Electronics"/>
    <x v="170"/>
    <n v="1"/>
    <s v="Webcam"/>
    <n v="41.811499999999995"/>
    <n v="25.67"/>
    <n v="16.141499999999994"/>
    <n v="0.38605407603171366"/>
  </r>
  <r>
    <s v="BC-100461"/>
    <d v="2025-11-29T00:00:00"/>
    <s v="North"/>
    <s v="Individual"/>
    <s v="Home &amp; Kitchen"/>
    <s v="Blender"/>
    <n v="2"/>
    <n v="64.989999999999995"/>
    <n v="35.6"/>
    <n v="0.15000000000000002"/>
    <n v="2"/>
    <n v="5"/>
    <s v="No"/>
    <s v="Online"/>
    <s v="Card"/>
    <s v="Individual"/>
    <s v="North"/>
    <s v="Home &amp; Kitchen"/>
    <x v="8"/>
    <n v="1"/>
    <s v="Blender"/>
    <n v="110.48299999999999"/>
    <n v="71.2"/>
    <n v="39.282999999999987"/>
    <n v="0.3555569635147488"/>
  </r>
  <r>
    <s v="BC-100475"/>
    <d v="2025-07-18T00:00:00"/>
    <s v="Midlands"/>
    <s v="Individual"/>
    <s v="Office"/>
    <s v="Desk Lamp"/>
    <n v="2"/>
    <n v="40.909999999999997"/>
    <n v="18.5"/>
    <n v="0.05"/>
    <n v="2"/>
    <n v="4"/>
    <s v="No"/>
    <s v="Store"/>
    <s v="Card"/>
    <s v="Individual"/>
    <s v="Midlands"/>
    <s v="Office"/>
    <x v="145"/>
    <n v="1"/>
    <s v="Desk Lamp"/>
    <n v="77.728999999999985"/>
    <n v="37"/>
    <n v="40.728999999999985"/>
    <n v="0.52398718624966223"/>
  </r>
  <r>
    <s v="BC-100309"/>
    <d v="2025-08-28T00:00:00"/>
    <s v="South"/>
    <s v="Individual"/>
    <s v="Office"/>
    <s v="Wireless Mouse"/>
    <n v="1"/>
    <n v="34.74"/>
    <n v="17.38"/>
    <n v="0"/>
    <n v="3"/>
    <n v="4"/>
    <s v="No"/>
    <s v="Store"/>
    <s v="Card"/>
    <s v="Individual"/>
    <s v="South"/>
    <s v="Office"/>
    <x v="302"/>
    <n v="1"/>
    <s v="Wireless Mouse"/>
    <n v="34.74"/>
    <n v="17.38"/>
    <n v="17.360000000000003"/>
    <n v="0.49971214738054121"/>
  </r>
  <r>
    <s v="BC-100343"/>
    <d v="2025-06-09T00:00:00"/>
    <s v="London"/>
    <s v="Individual"/>
    <s v="Electronics"/>
    <s v="Wireless Headset"/>
    <n v="1"/>
    <n v="59.5"/>
    <n v="33.36"/>
    <n v="0"/>
    <n v="3"/>
    <n v="3"/>
    <s v="Yes"/>
    <s v="Online"/>
    <s v="Card"/>
    <s v="Individual"/>
    <s v="London"/>
    <s v="Electronics"/>
    <x v="337"/>
    <n v="1"/>
    <s v="Wireless Headset"/>
    <n v="59.5"/>
    <n v="33.36"/>
    <n v="26.14"/>
    <n v="0.439327731092437"/>
  </r>
  <r>
    <s v="BC-100937"/>
    <d v="2025-06-06T00:00:00"/>
    <s v="South"/>
    <s v="Small Business"/>
    <s v="Office"/>
    <s v="Ergonomic Keyboard"/>
    <n v="3"/>
    <n v="70.36"/>
    <n v="39.65"/>
    <n v="0"/>
    <n v="4"/>
    <n v="5"/>
    <s v="No"/>
    <s v="Online"/>
    <s v="Card"/>
    <s v="Small Business"/>
    <s v="South"/>
    <s v="Office"/>
    <x v="236"/>
    <n v="1"/>
    <s v="Ergonomic Keyboard"/>
    <n v="211.07999999999998"/>
    <n v="118.94999999999999"/>
    <n v="92.13"/>
    <n v="0.43646958499147243"/>
  </r>
  <r>
    <s v="BC-101055"/>
    <d v="2025-10-30T00:00:00"/>
    <s v="South"/>
    <s v="Individual"/>
    <s v="Electronics"/>
    <s v="SmartHome Hub"/>
    <n v="3"/>
    <n v="130.88"/>
    <n v="83.24"/>
    <n v="0"/>
    <n v="2"/>
    <n v="4"/>
    <s v="No"/>
    <s v="Online"/>
    <s v="Bank Transfer"/>
    <s v="Individual"/>
    <s v="South"/>
    <s v="Electronics"/>
    <x v="48"/>
    <n v="1"/>
    <s v="SmartHome Hub"/>
    <n v="392.64"/>
    <n v="249.71999999999997"/>
    <n v="142.92000000000002"/>
    <n v="0.36399755501222497"/>
  </r>
  <r>
    <s v="BC-100256"/>
    <d v="2025-12-01T00:00:00"/>
    <s v="Midlands"/>
    <s v="Individual"/>
    <s v="Electronics"/>
    <s v="Portable Speaker"/>
    <n v="4"/>
    <n v="77.040000000000006"/>
    <n v="44.31"/>
    <n v="0.15000000000000002"/>
    <n v="3"/>
    <n v="4"/>
    <s v="No"/>
    <s v="Online"/>
    <s v="Card"/>
    <s v="Individual"/>
    <s v="Midlands"/>
    <s v="Electronics"/>
    <x v="11"/>
    <n v="1"/>
    <s v="Portable Speaker"/>
    <n v="261.93600000000004"/>
    <n v="177.24"/>
    <n v="84.696000000000026"/>
    <n v="0.32334616089426432"/>
  </r>
  <r>
    <s v="BC-101131"/>
    <d v="2025-07-27T00:00:00"/>
    <s v="North"/>
    <s v="Individual"/>
    <s v="Furniture"/>
    <s v="Bookshelf"/>
    <n v="1"/>
    <n v="118.63"/>
    <n v="71.540000000000006"/>
    <n v="0"/>
    <n v="7"/>
    <n v="3"/>
    <s v="No"/>
    <s v="Online"/>
    <s v="Card"/>
    <s v="Individual"/>
    <s v="North"/>
    <s v="Furniture"/>
    <x v="349"/>
    <n v="1"/>
    <s v="Bookshelf"/>
    <n v="118.63"/>
    <n v="71.540000000000006"/>
    <n v="47.089999999999989"/>
    <n v="0.39694849532158805"/>
  </r>
  <r>
    <s v="BC-101064"/>
    <d v="2025-03-22T00:00:00"/>
    <s v="South"/>
    <s v="Small Business"/>
    <s v="Electronics"/>
    <s v="Wireless Headset"/>
    <n v="2"/>
    <n v="62.09"/>
    <n v="35.18"/>
    <n v="0.1"/>
    <n v="4"/>
    <n v="3"/>
    <s v="Yes"/>
    <s v="Online"/>
    <s v="Card"/>
    <s v="Small Business"/>
    <s v="South"/>
    <s v="Electronics"/>
    <x v="295"/>
    <n v="1"/>
    <s v="Wireless Headset"/>
    <n v="111.76200000000001"/>
    <n v="70.36"/>
    <n v="41.402000000000015"/>
    <n v="0.37044791610744271"/>
  </r>
  <r>
    <s v="BC-101401"/>
    <d v="2025-07-02T00:00:00"/>
    <s v="Midlands"/>
    <s v="Individual"/>
    <s v="Home &amp; Kitchen"/>
    <s v="Air Fryer"/>
    <n v="1"/>
    <n v="111.19"/>
    <n v="68.11"/>
    <n v="0.1"/>
    <n v="3"/>
    <n v="4"/>
    <s v="No"/>
    <s v="Store"/>
    <s v="Card"/>
    <s v="Individual"/>
    <s v="Midlands"/>
    <s v="Home &amp; Kitchen"/>
    <x v="350"/>
    <n v="1"/>
    <s v="Air Fryer"/>
    <n v="100.071"/>
    <n v="68.11"/>
    <n v="31.960999999999999"/>
    <n v="0.31938323790109024"/>
  </r>
  <r>
    <s v="BC-101320"/>
    <d v="2025-10-06T00:00:00"/>
    <s v="London"/>
    <s v="Individual"/>
    <s v="Electronics"/>
    <s v="Wireless Headset"/>
    <n v="2"/>
    <n v="59.07"/>
    <n v="34.25"/>
    <n v="0"/>
    <n v="6"/>
    <n v="4"/>
    <s v="No"/>
    <s v="Phone"/>
    <s v="Bank Transfer"/>
    <s v="Individual"/>
    <s v="London"/>
    <s v="Electronics"/>
    <x v="32"/>
    <n v="1"/>
    <s v="Wireless Headset"/>
    <n v="118.14"/>
    <n v="68.5"/>
    <n v="49.64"/>
    <n v="0.42017944811240898"/>
  </r>
  <r>
    <s v="BC-101940"/>
    <d v="2025-09-30T00:00:00"/>
    <s v="Midlands"/>
    <s v="Corporate"/>
    <s v="Home &amp; Kitchen"/>
    <s v="Coffee Maker"/>
    <n v="6"/>
    <n v="82.74"/>
    <n v="44.82"/>
    <n v="0.05"/>
    <n v="3"/>
    <n v="4"/>
    <s v="No"/>
    <s v="Online"/>
    <s v="Bank Transfer"/>
    <s v="Corporate"/>
    <s v="Midlands"/>
    <s v="Home &amp; Kitchen"/>
    <x v="30"/>
    <n v="1"/>
    <s v="Coffee Maker"/>
    <n v="471.61799999999994"/>
    <n v="268.92"/>
    <n v="202.69799999999992"/>
    <n v="0.42979275600167921"/>
  </r>
  <r>
    <s v="BC-100600"/>
    <d v="2025-02-06T00:00:00"/>
    <s v="London"/>
    <s v="Small Business"/>
    <s v="Office"/>
    <s v="Laptop Stand"/>
    <n v="1"/>
    <n v="46.46"/>
    <n v="20.82"/>
    <n v="0.05"/>
    <n v="1"/>
    <n v="5"/>
    <s v="No"/>
    <s v="Phone"/>
    <s v="Card"/>
    <s v="Small Business"/>
    <s v="London"/>
    <s v="Office"/>
    <x v="121"/>
    <n v="1"/>
    <s v="Laptop Stand"/>
    <n v="44.137"/>
    <n v="20.82"/>
    <n v="23.317"/>
    <n v="0.52828692480232009"/>
  </r>
  <r>
    <s v="BC-101590"/>
    <d v="2025-09-25T00:00:00"/>
    <s v="London"/>
    <s v="Small Business"/>
    <s v="Home &amp; Kitchen"/>
    <s v="Electric Kettle"/>
    <n v="4"/>
    <n v="40.04"/>
    <n v="20.99"/>
    <n v="0"/>
    <n v="3"/>
    <n v="5"/>
    <s v="No"/>
    <s v="Online"/>
    <s v="Digital Wallet"/>
    <s v="Small Business"/>
    <s v="London"/>
    <s v="Home &amp; Kitchen"/>
    <x v="213"/>
    <n v="1"/>
    <s v="Electric Kettle"/>
    <n v="160.16"/>
    <n v="83.96"/>
    <n v="76.2"/>
    <n v="0.47577422577422579"/>
  </r>
  <r>
    <s v="BC-100114"/>
    <d v="2025-01-01T00:00:00"/>
    <s v="London"/>
    <s v="Individual"/>
    <s v="Electronics"/>
    <s v="Portable Speaker"/>
    <n v="1"/>
    <n v="73.02"/>
    <n v="44.35"/>
    <n v="0.05"/>
    <n v="2"/>
    <n v="4"/>
    <s v="No"/>
    <s v="Online"/>
    <s v="Bank Transfer"/>
    <s v="Individual"/>
    <s v="London"/>
    <s v="Electronics"/>
    <x v="34"/>
    <n v="1"/>
    <s v="Portable Speaker"/>
    <n v="69.369"/>
    <n v="44.35"/>
    <n v="25.018999999999998"/>
    <n v="0.36066542691980563"/>
  </r>
  <r>
    <s v="BC-101761"/>
    <d v="2025-03-03T00:00:00"/>
    <s v="Midlands"/>
    <s v="Individual"/>
    <s v="Home &amp; Kitchen"/>
    <s v="Electric Kettle"/>
    <n v="4"/>
    <n v="40.53"/>
    <n v="20.83"/>
    <n v="0.1"/>
    <n v="6"/>
    <n v="4"/>
    <s v="No"/>
    <s v="Online"/>
    <s v="Bank Transfer"/>
    <s v="Individual"/>
    <s v="Midlands"/>
    <s v="Home &amp; Kitchen"/>
    <x v="345"/>
    <n v="1"/>
    <s v="Electric Kettle"/>
    <n v="145.90800000000002"/>
    <n v="83.32"/>
    <n v="62.588000000000022"/>
    <n v="0.42895523206404046"/>
  </r>
  <r>
    <s v="BC-101595"/>
    <d v="2025-08-31T00:00:00"/>
    <s v="North"/>
    <s v="Small Business"/>
    <s v="Home &amp; Kitchen"/>
    <s v="Coffee Maker"/>
    <n v="3"/>
    <n v="81.3"/>
    <n v="45.81"/>
    <n v="0.05"/>
    <n v="4"/>
    <n v="4"/>
    <s v="Yes"/>
    <s v="Online"/>
    <s v="Card"/>
    <s v="Small Business"/>
    <s v="North"/>
    <s v="Home &amp; Kitchen"/>
    <x v="308"/>
    <n v="1"/>
    <s v="Coffee Maker"/>
    <n v="231.70499999999996"/>
    <n v="137.43"/>
    <n v="94.274999999999949"/>
    <n v="0.40687512138279264"/>
  </r>
  <r>
    <s v="BC-101360"/>
    <d v="2025-08-14T00:00:00"/>
    <s v="South"/>
    <s v="Small Business"/>
    <s v="Furniture"/>
    <s v="Storage Cabinet"/>
    <n v="4"/>
    <n v="164.46"/>
    <n v="100.04"/>
    <n v="0"/>
    <n v="6"/>
    <n v="4"/>
    <s v="No"/>
    <s v="Online"/>
    <s v="Card"/>
    <s v="Small Business"/>
    <s v="South"/>
    <s v="Furniture"/>
    <x v="165"/>
    <n v="1"/>
    <s v="Storage Cabinet"/>
    <n v="657.84"/>
    <n v="400.16"/>
    <n v="257.68"/>
    <n v="0.39170618995500422"/>
  </r>
  <r>
    <s v="BC-101050"/>
    <d v="2025-12-25T00:00:00"/>
    <s v="Midlands"/>
    <s v="Individual"/>
    <s v="Office"/>
    <s v="Laptop Stand"/>
    <n v="2"/>
    <n v="45.1"/>
    <n v="21.04"/>
    <n v="0.1"/>
    <n v="3"/>
    <n v="4"/>
    <s v="No"/>
    <s v="Online"/>
    <s v="Card"/>
    <s v="Individual"/>
    <s v="Midlands"/>
    <s v="Office"/>
    <x v="28"/>
    <n v="1"/>
    <s v="Laptop Stand"/>
    <n v="81.180000000000007"/>
    <n v="42.08"/>
    <n v="39.100000000000009"/>
    <n v="0.48164572554816465"/>
  </r>
  <r>
    <s v="BC-100069"/>
    <d v="2025-10-16T00:00:00"/>
    <s v="Midlands"/>
    <s v="Small Business"/>
    <s v="Electronics"/>
    <s v="Webcam"/>
    <n v="4"/>
    <n v="48.78"/>
    <n v="26.04"/>
    <n v="0"/>
    <n v="3"/>
    <n v="4"/>
    <s v="No"/>
    <s v="Phone"/>
    <s v="Bank Transfer"/>
    <s v="Small Business"/>
    <s v="Midlands"/>
    <s v="Electronics"/>
    <x v="282"/>
    <n v="1"/>
    <s v="Webcam"/>
    <n v="195.12"/>
    <n v="104.16"/>
    <n v="90.960000000000008"/>
    <n v="0.46617466174661748"/>
  </r>
  <r>
    <s v="BC-101627"/>
    <d v="2025-03-29T00:00:00"/>
    <s v="South"/>
    <s v="Individual"/>
    <s v="Home &amp; Kitchen"/>
    <s v="Coffee Maker"/>
    <n v="1"/>
    <n v="82.13"/>
    <n v="46.07"/>
    <n v="0.1"/>
    <n v="7"/>
    <n v="4"/>
    <s v="No"/>
    <s v="Online"/>
    <s v="Card"/>
    <s v="Individual"/>
    <s v="South"/>
    <s v="Home &amp; Kitchen"/>
    <x v="227"/>
    <n v="1"/>
    <s v="Coffee Maker"/>
    <n v="73.917000000000002"/>
    <n v="46.07"/>
    <n v="27.847000000000001"/>
    <n v="0.37673336309644601"/>
  </r>
  <r>
    <s v="BC-100115"/>
    <d v="2025-06-22T00:00:00"/>
    <s v="North"/>
    <s v="Individual"/>
    <s v="Electronics"/>
    <s v="Portable Speaker"/>
    <n v="3"/>
    <n v="76.22"/>
    <n v="44.26"/>
    <n v="0"/>
    <n v="3"/>
    <n v="4"/>
    <s v="No"/>
    <s v="Online"/>
    <s v="Card"/>
    <s v="Individual"/>
    <s v="North"/>
    <s v="Electronics"/>
    <x v="154"/>
    <n v="1"/>
    <s v="Portable Speaker"/>
    <n v="228.66"/>
    <n v="132.78"/>
    <n v="95.88"/>
    <n v="0.41931251639989503"/>
  </r>
  <r>
    <s v="BC-100050"/>
    <d v="2025-09-15T00:00:00"/>
    <s v="Midlands"/>
    <s v="Individual"/>
    <s v="Office"/>
    <s v="Wireless Mouse"/>
    <n v="1"/>
    <n v="35.119999999999997"/>
    <n v="17.3"/>
    <n v="0.05"/>
    <n v="0"/>
    <n v="4"/>
    <s v="No"/>
    <s v="Store"/>
    <s v="Card"/>
    <s v="Individual"/>
    <s v="Midlands"/>
    <s v="Office"/>
    <x v="100"/>
    <n v="1"/>
    <s v="Wireless Mouse"/>
    <n v="33.363999999999997"/>
    <n v="17.3"/>
    <n v="16.063999999999997"/>
    <n v="0.48147704112216755"/>
  </r>
  <r>
    <s v="BC-100909"/>
    <d v="2025-01-25T00:00:00"/>
    <s v="North"/>
    <s v="Small Business"/>
    <s v="Electronics"/>
    <s v="Portable Speaker"/>
    <n v="3"/>
    <n v="73.290000000000006"/>
    <n v="42.79"/>
    <n v="0.1"/>
    <n v="4"/>
    <n v="4"/>
    <s v="No"/>
    <s v="Online"/>
    <s v="Card"/>
    <s v="Small Business"/>
    <s v="North"/>
    <s v="Electronics"/>
    <x v="14"/>
    <n v="1"/>
    <s v="Portable Speaker"/>
    <n v="197.88300000000001"/>
    <n v="128.37"/>
    <n v="69.513000000000005"/>
    <n v="0.35128333409135704"/>
  </r>
  <r>
    <s v="BC-100793"/>
    <d v="2025-03-01T00:00:00"/>
    <s v="South"/>
    <s v="Individual"/>
    <s v="Office"/>
    <s v="Ergonomic Keyboard"/>
    <n v="1"/>
    <n v="70.209999999999994"/>
    <n v="38.409999999999997"/>
    <n v="0.15000000000000002"/>
    <n v="1"/>
    <n v="4"/>
    <s v="No"/>
    <s v="Store"/>
    <s v="Card"/>
    <s v="Individual"/>
    <s v="South"/>
    <s v="Office"/>
    <x v="207"/>
    <n v="1"/>
    <s v="Ergonomic Keyboard"/>
    <n v="59.678499999999993"/>
    <n v="38.409999999999997"/>
    <n v="21.268499999999996"/>
    <n v="0.35638462762971584"/>
  </r>
  <r>
    <s v="BC-100063"/>
    <d v="2025-05-30T00:00:00"/>
    <s v="South"/>
    <s v="Individual"/>
    <s v="Home &amp; Kitchen"/>
    <s v="Air Fryer"/>
    <n v="1"/>
    <n v="110.73"/>
    <n v="68.62"/>
    <n v="0.05"/>
    <n v="2"/>
    <n v="5"/>
    <s v="No"/>
    <s v="Store"/>
    <s v="Card"/>
    <s v="Individual"/>
    <s v="South"/>
    <s v="Home &amp; Kitchen"/>
    <x v="305"/>
    <n v="1"/>
    <s v="Air Fryer"/>
    <n v="105.1935"/>
    <n v="68.62"/>
    <n v="36.573499999999996"/>
    <n v="0.34767832613231803"/>
  </r>
  <r>
    <s v="BC-101758"/>
    <d v="2025-10-20T00:00:00"/>
    <s v="London"/>
    <s v="Corporate"/>
    <s v="Electronics"/>
    <s v="Portable Speaker"/>
    <n v="5"/>
    <n v="77.12"/>
    <n v="43.47"/>
    <n v="0.1"/>
    <n v="3"/>
    <n v="4"/>
    <s v="No"/>
    <s v="Online"/>
    <s v="Digital Wallet"/>
    <s v="Corporate"/>
    <s v="London"/>
    <s v="Electronics"/>
    <x v="315"/>
    <n v="1"/>
    <s v="Portable Speaker"/>
    <n v="347.04"/>
    <n v="217.35"/>
    <n v="129.69000000000003"/>
    <n v="0.37370331950207475"/>
  </r>
  <r>
    <s v="BC-100501"/>
    <d v="2025-01-24T00:00:00"/>
    <s v="South"/>
    <s v="Small Business"/>
    <s v="Electronics"/>
    <s v="SmartHome Hub"/>
    <n v="3"/>
    <n v="133.54"/>
    <n v="82.39"/>
    <n v="0.05"/>
    <n v="4"/>
    <n v="4"/>
    <s v="No"/>
    <s v="Phone"/>
    <s v="Card"/>
    <s v="Small Business"/>
    <s v="South"/>
    <s v="Electronics"/>
    <x v="351"/>
    <n v="1"/>
    <s v="SmartHome Hub"/>
    <n v="380.589"/>
    <n v="247.17000000000002"/>
    <n v="133.41899999999998"/>
    <n v="0.35055926471863347"/>
  </r>
  <r>
    <s v="BC-101882"/>
    <d v="2025-08-27T00:00:00"/>
    <s v="North"/>
    <s v="Small Business"/>
    <s v="Furniture"/>
    <s v="Storage Cabinet"/>
    <n v="6"/>
    <n v="158.22999999999999"/>
    <n v="104.45"/>
    <n v="0"/>
    <n v="1"/>
    <n v="5"/>
    <s v="No"/>
    <s v="Store"/>
    <s v="Bank Transfer"/>
    <s v="Small Business"/>
    <s v="North"/>
    <s v="Furniture"/>
    <x v="167"/>
    <n v="1"/>
    <s v="Storage Cabinet"/>
    <n v="949.37999999999988"/>
    <n v="626.70000000000005"/>
    <n v="322.67999999999984"/>
    <n v="0.33988497756430497"/>
  </r>
  <r>
    <s v="BC-101878"/>
    <d v="2025-02-09T00:00:00"/>
    <s v="London"/>
    <s v="Individual"/>
    <s v="Furniture"/>
    <s v="Side Table"/>
    <n v="1"/>
    <n v="91.89"/>
    <n v="54.39"/>
    <n v="0.05"/>
    <n v="1"/>
    <n v="5"/>
    <s v="No"/>
    <s v="Store"/>
    <s v="Card"/>
    <s v="Individual"/>
    <s v="London"/>
    <s v="Furniture"/>
    <x v="238"/>
    <n v="1"/>
    <s v="Side Table"/>
    <n v="87.29549999999999"/>
    <n v="54.39"/>
    <n v="32.905499999999989"/>
    <n v="0.3769438287196934"/>
  </r>
  <r>
    <s v="BC-101593"/>
    <d v="2025-10-20T00:00:00"/>
    <s v="Midlands"/>
    <s v="Individual"/>
    <s v="Office"/>
    <s v="Laptop Stand"/>
    <n v="1"/>
    <n v="45.71"/>
    <n v="20.91"/>
    <n v="0"/>
    <n v="5"/>
    <n v="4"/>
    <s v="No"/>
    <s v="Online"/>
    <s v="Bank Transfer"/>
    <s v="Individual"/>
    <s v="Midlands"/>
    <s v="Office"/>
    <x v="315"/>
    <n v="1"/>
    <s v="Laptop Stand"/>
    <n v="45.71"/>
    <n v="20.91"/>
    <n v="24.8"/>
    <n v="0.5425508641435135"/>
  </r>
  <r>
    <s v="BC-101363"/>
    <d v="2025-07-22T00:00:00"/>
    <s v="South"/>
    <s v="Individual"/>
    <s v="Office"/>
    <s v="Ergonomic Keyboard"/>
    <n v="2"/>
    <n v="71.040000000000006"/>
    <n v="38.619999999999997"/>
    <n v="0"/>
    <n v="3"/>
    <n v="5"/>
    <s v="No"/>
    <s v="Online"/>
    <s v="Digital Wallet"/>
    <s v="Individual"/>
    <s v="South"/>
    <s v="Office"/>
    <x v="91"/>
    <n v="1"/>
    <s v="Ergonomic Keyboard"/>
    <n v="142.08000000000001"/>
    <n v="77.239999999999995"/>
    <n v="64.840000000000018"/>
    <n v="0.45636261261261268"/>
  </r>
  <r>
    <s v="BC-101706"/>
    <d v="2025-04-03T00:00:00"/>
    <s v="North"/>
    <s v="Individual"/>
    <s v="Office"/>
    <s v="Desk Lamp"/>
    <n v="1"/>
    <n v="41.59"/>
    <n v="19.09"/>
    <n v="0"/>
    <n v="5"/>
    <n v="3"/>
    <s v="Yes"/>
    <s v="Online"/>
    <s v="Card"/>
    <s v="Individual"/>
    <s v="North"/>
    <s v="Office"/>
    <x v="19"/>
    <n v="1"/>
    <s v="Desk Lamp"/>
    <n v="41.59"/>
    <n v="19.09"/>
    <n v="22.500000000000004"/>
    <n v="0.54099543159413321"/>
  </r>
  <r>
    <s v="BC-100647"/>
    <d v="2025-03-24T00:00:00"/>
    <s v="London"/>
    <s v="Corporate"/>
    <s v="Furniture"/>
    <s v="Storage Cabinet"/>
    <n v="5"/>
    <n v="164.05"/>
    <n v="103.16"/>
    <n v="0.05"/>
    <n v="7"/>
    <n v="4"/>
    <s v="No"/>
    <s v="Store"/>
    <s v="Bank Transfer"/>
    <s v="Corporate"/>
    <s v="London"/>
    <s v="Furniture"/>
    <x v="144"/>
    <n v="1"/>
    <s v="Storage Cabinet"/>
    <n v="779.23749999999995"/>
    <n v="515.79999999999995"/>
    <n v="263.4375"/>
    <n v="0.33807087056256918"/>
  </r>
  <r>
    <s v="BC-100098"/>
    <d v="2025-05-06T00:00:00"/>
    <s v="Midlands"/>
    <s v="Small Business"/>
    <s v="Electronics"/>
    <s v="Wireless Headset"/>
    <n v="3"/>
    <n v="59.83"/>
    <n v="35.44"/>
    <n v="0.1"/>
    <n v="3"/>
    <n v="5"/>
    <s v="No"/>
    <s v="Store"/>
    <s v="Card"/>
    <s v="Small Business"/>
    <s v="Midlands"/>
    <s v="Electronics"/>
    <x v="168"/>
    <n v="1"/>
    <s v="Wireless Headset"/>
    <n v="161.54100000000003"/>
    <n v="106.32"/>
    <n v="55.221000000000032"/>
    <n v="0.34183891395992361"/>
  </r>
  <r>
    <s v="BC-100479"/>
    <d v="2025-04-07T00:00:00"/>
    <s v="London"/>
    <s v="Individual"/>
    <s v="Home &amp; Kitchen"/>
    <s v="Air Fryer"/>
    <n v="1"/>
    <n v="111.51"/>
    <n v="68.95"/>
    <n v="0.05"/>
    <n v="2"/>
    <n v="5"/>
    <s v="No"/>
    <s v="Online"/>
    <s v="Card"/>
    <s v="Individual"/>
    <s v="London"/>
    <s v="Home &amp; Kitchen"/>
    <x v="2"/>
    <n v="1"/>
    <s v="Air Fryer"/>
    <n v="105.9345"/>
    <n v="68.95"/>
    <n v="36.984499999999997"/>
    <n v="0.34912611094591467"/>
  </r>
  <r>
    <s v="BC-100609"/>
    <d v="2025-05-17T00:00:00"/>
    <s v="London"/>
    <s v="Small Business"/>
    <s v="Furniture"/>
    <s v="Side Table"/>
    <n v="2"/>
    <n v="87.6"/>
    <n v="54.49"/>
    <n v="0.05"/>
    <n v="6"/>
    <n v="4"/>
    <s v="No"/>
    <s v="Online"/>
    <s v="Card"/>
    <s v="Small Business"/>
    <s v="London"/>
    <s v="Furniture"/>
    <x v="164"/>
    <n v="1"/>
    <s v="Side Table"/>
    <n v="166.43999999999997"/>
    <n v="108.98"/>
    <n v="57.459999999999965"/>
    <n v="0.34522951213650549"/>
  </r>
  <r>
    <s v="BC-101584"/>
    <d v="2025-01-12T00:00:00"/>
    <s v="London"/>
    <s v="Small Business"/>
    <s v="Office"/>
    <s v="Wireless Mouse"/>
    <n v="5"/>
    <n v="34.909999999999997"/>
    <n v="17.399999999999999"/>
    <n v="0.05"/>
    <n v="0"/>
    <n v="5"/>
    <s v="No"/>
    <s v="Store"/>
    <s v="Card"/>
    <s v="Small Business"/>
    <s v="London"/>
    <s v="Office"/>
    <x v="141"/>
    <n v="1"/>
    <s v="Wireless Mouse"/>
    <n v="165.82249999999996"/>
    <n v="87"/>
    <n v="78.822499999999962"/>
    <n v="0.47534261032127717"/>
  </r>
  <r>
    <s v="BC-100968"/>
    <d v="2025-11-01T00:00:00"/>
    <s v="London"/>
    <s v="Individual"/>
    <s v="Furniture"/>
    <s v="Side Table"/>
    <n v="3"/>
    <n v="91.53"/>
    <n v="54.56"/>
    <n v="0.1"/>
    <n v="4"/>
    <n v="5"/>
    <s v="No"/>
    <s v="Online"/>
    <s v="Card"/>
    <s v="Individual"/>
    <s v="London"/>
    <s v="Furniture"/>
    <x v="65"/>
    <n v="1"/>
    <s v="Side Table"/>
    <n v="247.13100000000003"/>
    <n v="163.68"/>
    <n v="83.451000000000022"/>
    <n v="0.33767920657465073"/>
  </r>
  <r>
    <s v="BC-101113"/>
    <d v="2025-11-01T00:00:00"/>
    <s v="London"/>
    <s v="Individual"/>
    <s v="Office"/>
    <s v="Desk Lamp"/>
    <n v="1"/>
    <n v="41.17"/>
    <n v="19.05"/>
    <n v="0"/>
    <n v="6"/>
    <n v="4"/>
    <s v="No"/>
    <s v="Online"/>
    <s v="Card"/>
    <s v="Individual"/>
    <s v="London"/>
    <s v="Office"/>
    <x v="65"/>
    <n v="1"/>
    <s v="Desk Lamp"/>
    <n v="41.17"/>
    <n v="19.05"/>
    <n v="22.12"/>
    <n v="0.53728443041049312"/>
  </r>
  <r>
    <s v="BC-101458"/>
    <d v="2025-03-12T00:00:00"/>
    <s v="Midlands"/>
    <s v="Small Business"/>
    <s v="Home &amp; Kitchen"/>
    <s v="Air Fryer"/>
    <n v="1"/>
    <n v="107.15"/>
    <n v="69.94"/>
    <n v="0"/>
    <n v="3"/>
    <n v="5"/>
    <s v="No"/>
    <s v="Phone"/>
    <s v="Bank Transfer"/>
    <s v="Small Business"/>
    <s v="Midlands"/>
    <s v="Home &amp; Kitchen"/>
    <x v="45"/>
    <n v="1"/>
    <s v="Air Fryer"/>
    <n v="107.15"/>
    <n v="69.94"/>
    <n v="37.210000000000008"/>
    <n v="0.34727018198786752"/>
  </r>
  <r>
    <s v="BC-101609"/>
    <d v="2025-11-12T00:00:00"/>
    <s v="London"/>
    <s v="Individual"/>
    <s v="Office"/>
    <s v="Laptop Stand"/>
    <n v="1"/>
    <n v="43.97"/>
    <n v="20.65"/>
    <n v="0.05"/>
    <n v="4"/>
    <n v="4"/>
    <s v="No"/>
    <s v="Online"/>
    <s v="Bank Transfer"/>
    <s v="Individual"/>
    <s v="London"/>
    <s v="Office"/>
    <x v="61"/>
    <n v="1"/>
    <s v="Laptop Stand"/>
    <n v="41.771499999999996"/>
    <n v="20.65"/>
    <n v="21.121499999999997"/>
    <n v="0.50564380019870003"/>
  </r>
  <r>
    <s v="BC-101006"/>
    <d v="2025-09-07T00:00:00"/>
    <s v="Midlands"/>
    <s v="Small Business"/>
    <s v="Office"/>
    <s v="Laptop Stand"/>
    <n v="2"/>
    <n v="46.07"/>
    <n v="21.01"/>
    <n v="0"/>
    <n v="3"/>
    <n v="4"/>
    <s v="No"/>
    <s v="Store"/>
    <s v="Card"/>
    <s v="Small Business"/>
    <s v="Midlands"/>
    <s v="Office"/>
    <x v="83"/>
    <n v="1"/>
    <s v="Laptop Stand"/>
    <n v="92.14"/>
    <n v="42.02"/>
    <n v="50.12"/>
    <n v="0.54395485131321897"/>
  </r>
  <r>
    <s v="BC-101403"/>
    <d v="2025-10-23T00:00:00"/>
    <s v="South"/>
    <s v="Individual"/>
    <s v="Electronics"/>
    <s v="Wireless Headset"/>
    <n v="1"/>
    <n v="61.54"/>
    <n v="34.46"/>
    <n v="0.05"/>
    <n v="2"/>
    <n v="4"/>
    <s v="No"/>
    <s v="Store"/>
    <s v="Card"/>
    <s v="Individual"/>
    <s v="South"/>
    <s v="Electronics"/>
    <x v="212"/>
    <n v="1"/>
    <s v="Wireless Headset"/>
    <n v="58.462999999999994"/>
    <n v="34.46"/>
    <n v="24.002999999999993"/>
    <n v="0.41056736739476241"/>
  </r>
  <r>
    <s v="BC-100893"/>
    <d v="2025-11-17T00:00:00"/>
    <s v="North"/>
    <s v="Individual"/>
    <s v="Home &amp; Kitchen"/>
    <s v="Blender"/>
    <n v="1"/>
    <n v="63.21"/>
    <n v="36.74"/>
    <n v="0.05"/>
    <n v="4"/>
    <n v="4"/>
    <s v="No"/>
    <s v="Store"/>
    <s v="Card"/>
    <s v="Individual"/>
    <s v="North"/>
    <s v="Home &amp; Kitchen"/>
    <x v="223"/>
    <n v="1"/>
    <s v="Blender"/>
    <n v="60.049499999999995"/>
    <n v="36.74"/>
    <n v="23.309499999999993"/>
    <n v="0.38817142524084286"/>
  </r>
  <r>
    <s v="BC-100824"/>
    <d v="2025-08-29T00:00:00"/>
    <s v="Midlands"/>
    <s v="Individual"/>
    <s v="Office"/>
    <s v="Laptop Stand"/>
    <n v="1"/>
    <n v="45"/>
    <n v="20.87"/>
    <n v="0"/>
    <n v="2"/>
    <n v="4"/>
    <s v="No"/>
    <s v="Store"/>
    <s v="Card"/>
    <s v="Individual"/>
    <s v="Midlands"/>
    <s v="Office"/>
    <x v="309"/>
    <n v="1"/>
    <s v="Laptop Stand"/>
    <n v="45"/>
    <n v="20.87"/>
    <n v="24.13"/>
    <n v="0.53622222222222216"/>
  </r>
  <r>
    <s v="BC-100523"/>
    <d v="2025-08-27T00:00:00"/>
    <s v="Midlands"/>
    <s v="Individual"/>
    <s v="Office"/>
    <s v="Laptop Stand"/>
    <n v="1"/>
    <n v="44.16"/>
    <n v="21.95"/>
    <n v="0.05"/>
    <n v="2"/>
    <n v="4"/>
    <s v="No"/>
    <s v="Store"/>
    <s v="Card"/>
    <s v="Individual"/>
    <s v="Midlands"/>
    <s v="Office"/>
    <x v="167"/>
    <n v="1"/>
    <s v="Laptop Stand"/>
    <n v="41.951999999999998"/>
    <n v="21.95"/>
    <n v="20.001999999999999"/>
    <n v="0.4767829900839054"/>
  </r>
  <r>
    <s v="BC-101899"/>
    <d v="2025-12-03T00:00:00"/>
    <s v="South"/>
    <s v="Small Business"/>
    <s v="Electronics"/>
    <s v="Webcam"/>
    <n v="3"/>
    <n v="48.72"/>
    <n v="26.09"/>
    <n v="0.2"/>
    <n v="5"/>
    <n v="5"/>
    <s v="No"/>
    <s v="Online"/>
    <s v="Card"/>
    <s v="Small Business"/>
    <s v="South"/>
    <s v="Electronics"/>
    <x v="108"/>
    <n v="1"/>
    <s v="Webcam"/>
    <n v="116.928"/>
    <n v="78.27"/>
    <n v="38.658000000000001"/>
    <n v="0.33061371100164205"/>
  </r>
  <r>
    <s v="BC-101351"/>
    <d v="2025-10-12T00:00:00"/>
    <s v="South"/>
    <s v="Small Business"/>
    <s v="Electronics"/>
    <s v="Portable Speaker"/>
    <n v="3"/>
    <n v="74.67"/>
    <n v="43"/>
    <n v="0.1"/>
    <n v="5"/>
    <n v="5"/>
    <s v="No"/>
    <s v="Online"/>
    <s v="Card"/>
    <s v="Small Business"/>
    <s v="South"/>
    <s v="Electronics"/>
    <x v="266"/>
    <n v="1"/>
    <s v="Portable Speaker"/>
    <n v="201.60900000000001"/>
    <n v="129"/>
    <n v="72.609000000000009"/>
    <n v="0.36014761245777721"/>
  </r>
  <r>
    <s v="BC-101833"/>
    <d v="2025-04-17T00:00:00"/>
    <s v="Midlands"/>
    <s v="Small Business"/>
    <s v="Office"/>
    <s v="Desk Lamp"/>
    <n v="3"/>
    <n v="40.06"/>
    <n v="19.89"/>
    <n v="0"/>
    <n v="2"/>
    <n v="4"/>
    <s v="No"/>
    <s v="Store"/>
    <s v="Card"/>
    <s v="Small Business"/>
    <s v="Midlands"/>
    <s v="Office"/>
    <x v="330"/>
    <n v="1"/>
    <s v="Desk Lamp"/>
    <n v="120.18"/>
    <n v="59.67"/>
    <n v="60.510000000000005"/>
    <n v="0.50349475786320519"/>
  </r>
  <r>
    <s v="BC-101539"/>
    <d v="2025-07-29T00:00:00"/>
    <s v="South"/>
    <s v="Individual"/>
    <s v="Home &amp; Kitchen"/>
    <s v="Air Fryer"/>
    <n v="1"/>
    <n v="106.8"/>
    <n v="68.86"/>
    <n v="0.1"/>
    <n v="0"/>
    <n v="5"/>
    <s v="No"/>
    <s v="Store"/>
    <s v="Card"/>
    <s v="Individual"/>
    <s v="South"/>
    <s v="Home &amp; Kitchen"/>
    <x v="273"/>
    <n v="1"/>
    <s v="Air Fryer"/>
    <n v="96.12"/>
    <n v="68.86"/>
    <n v="27.260000000000005"/>
    <n v="0.28360382854764882"/>
  </r>
  <r>
    <s v="BC-100476"/>
    <d v="2025-08-15T00:00:00"/>
    <s v="London"/>
    <s v="Small Business"/>
    <s v="Furniture"/>
    <s v="Office Chair"/>
    <n v="3"/>
    <n v="182.25"/>
    <n v="119.99"/>
    <n v="0"/>
    <n v="8"/>
    <n v="4"/>
    <s v="No"/>
    <s v="Online"/>
    <s v="Card"/>
    <s v="Small Business"/>
    <s v="London"/>
    <s v="Furniture"/>
    <x v="325"/>
    <n v="1"/>
    <s v="Office Chair"/>
    <n v="546.75"/>
    <n v="359.96999999999997"/>
    <n v="186.78000000000003"/>
    <n v="0.34161865569272981"/>
  </r>
  <r>
    <s v="BC-100695"/>
    <d v="2025-12-09T00:00:00"/>
    <s v="Midlands"/>
    <s v="Corporate"/>
    <s v="Electronics"/>
    <s v="Wireless Headset"/>
    <n v="2"/>
    <n v="58.78"/>
    <n v="33.159999999999997"/>
    <n v="0.2"/>
    <n v="0"/>
    <n v="4"/>
    <s v="No"/>
    <s v="Store"/>
    <s v="Bank Transfer"/>
    <s v="Corporate"/>
    <s v="Midlands"/>
    <s v="Electronics"/>
    <x v="112"/>
    <n v="1"/>
    <s v="Wireless Headset"/>
    <n v="94.048000000000002"/>
    <n v="66.319999999999993"/>
    <n v="27.728000000000009"/>
    <n v="0.29482817284790752"/>
  </r>
  <r>
    <s v="BC-101788"/>
    <d v="2025-08-27T00:00:00"/>
    <s v="North"/>
    <s v="Individual"/>
    <s v="Furniture"/>
    <s v="Bookshelf"/>
    <n v="2"/>
    <n v="121.22"/>
    <n v="73.760000000000005"/>
    <n v="0.05"/>
    <n v="6"/>
    <n v="4"/>
    <s v="No"/>
    <s v="Online"/>
    <s v="Bank Transfer"/>
    <s v="Individual"/>
    <s v="North"/>
    <s v="Furniture"/>
    <x v="167"/>
    <n v="1"/>
    <s v="Bookshelf"/>
    <n v="230.31799999999998"/>
    <n v="147.52000000000001"/>
    <n v="82.797999999999973"/>
    <n v="0.35949426445175792"/>
  </r>
  <r>
    <s v="BC-100722"/>
    <d v="2025-02-08T00:00:00"/>
    <s v="London"/>
    <s v="Small Business"/>
    <s v="Furniture"/>
    <s v="Storage Cabinet"/>
    <n v="4"/>
    <n v="155.68"/>
    <n v="105.93"/>
    <n v="0"/>
    <n v="9"/>
    <n v="3"/>
    <s v="No"/>
    <s v="Online"/>
    <s v="Card"/>
    <s v="Small Business"/>
    <s v="London"/>
    <s v="Furniture"/>
    <x v="287"/>
    <n v="1"/>
    <s v="Storage Cabinet"/>
    <n v="622.72"/>
    <n v="423.72"/>
    <n v="199"/>
    <n v="0.31956577595066804"/>
  </r>
  <r>
    <s v="BC-101911"/>
    <d v="2025-03-11T00:00:00"/>
    <s v="Midlands"/>
    <s v="Individual"/>
    <s v="Electronics"/>
    <s v="SmartHome Hub"/>
    <n v="2"/>
    <n v="133.46"/>
    <n v="87.87"/>
    <n v="0.05"/>
    <n v="6"/>
    <n v="3"/>
    <s v="Yes"/>
    <s v="Phone"/>
    <s v="Card"/>
    <s v="Individual"/>
    <s v="Midlands"/>
    <s v="Electronics"/>
    <x v="260"/>
    <n v="1"/>
    <s v="SmartHome Hub"/>
    <n v="253.57400000000001"/>
    <n v="175.74"/>
    <n v="77.834000000000003"/>
    <n v="0.3069478732046661"/>
  </r>
  <r>
    <s v="BC-100820"/>
    <s v="20/05/2025"/>
    <s v="North"/>
    <s v="Individual"/>
    <s v="Furniture"/>
    <s v="Storage Cabinet"/>
    <n v="2"/>
    <n v="161.06"/>
    <n v="105.33"/>
    <n v="0.1"/>
    <n v="5"/>
    <n v="5"/>
    <s v="No"/>
    <s v="Online"/>
    <s v="Card"/>
    <s v="Individual"/>
    <s v="North"/>
    <s v="Furniture"/>
    <x v="127"/>
    <n v="1"/>
    <s v="Storage Cabinet"/>
    <n v="289.90800000000002"/>
    <n v="210.66"/>
    <n v="79.248000000000019"/>
    <n v="0.27335568525187304"/>
  </r>
  <r>
    <s v="BC-100640"/>
    <s v="23/03/2025"/>
    <s v="South"/>
    <s v="Individual"/>
    <s v="Electronics"/>
    <s v="Webcam"/>
    <n v="1"/>
    <n v="50.11"/>
    <n v="25.42"/>
    <n v="0"/>
    <n v="2"/>
    <n v="3"/>
    <s v="Yes"/>
    <s v="Store"/>
    <s v="Card"/>
    <s v="Individual"/>
    <s v="South"/>
    <s v="Electronics"/>
    <x v="161"/>
    <n v="1"/>
    <s v="Webcam"/>
    <n v="50.11"/>
    <n v="25.42"/>
    <n v="24.689999999999998"/>
    <n v="0.49271602474555976"/>
  </r>
  <r>
    <s v="BC-101496"/>
    <d v="2025-07-16T00:00:00"/>
    <s v="London"/>
    <s v="Individual"/>
    <s v="Furniture"/>
    <s v="Office Chair"/>
    <n v="1"/>
    <n v="182.13"/>
    <n v="114.21"/>
    <n v="0"/>
    <n v="7"/>
    <n v="4"/>
    <s v="No"/>
    <s v="Online"/>
    <s v="Card"/>
    <s v="Individual"/>
    <s v="London"/>
    <s v="Furniture"/>
    <x v="185"/>
    <n v="1"/>
    <s v="Office Chair"/>
    <n v="182.13"/>
    <n v="114.21"/>
    <n v="67.92"/>
    <n v="0.37292044144292541"/>
  </r>
  <r>
    <s v="BC-101277"/>
    <d v="2025-11-12T00:00:00"/>
    <s v="Midlands"/>
    <s v="Individual"/>
    <s v="Electronics"/>
    <s v="Wireless Headset"/>
    <n v="1"/>
    <n v="60.87"/>
    <n v="33.51"/>
    <n v="0.05"/>
    <n v="0"/>
    <n v="5"/>
    <s v="No"/>
    <s v="Store"/>
    <s v="Card"/>
    <s v="Individual"/>
    <s v="Midlands"/>
    <s v="Electronics"/>
    <x v="61"/>
    <n v="1"/>
    <s v="Wireless Headset"/>
    <n v="57.826499999999996"/>
    <n v="33.51"/>
    <n v="24.316499999999998"/>
    <n v="0.42050789862779175"/>
  </r>
  <r>
    <s v="BC-101165"/>
    <d v="2025-12-28T00:00:00"/>
    <s v="Midlands"/>
    <s v="Individual"/>
    <s v="Electronics"/>
    <s v="Wireless Headset"/>
    <n v="4"/>
    <n v="59.55"/>
    <n v="35.4"/>
    <n v="0.15000000000000002"/>
    <n v="3"/>
    <n v="4"/>
    <s v="No"/>
    <s v="Online"/>
    <s v="Card"/>
    <s v="Individual"/>
    <s v="Midlands"/>
    <s v="Electronics"/>
    <x v="6"/>
    <n v="1"/>
    <s v="Wireless Headset"/>
    <n v="202.47"/>
    <n v="141.6"/>
    <n v="60.870000000000005"/>
    <n v="0.30063713142687809"/>
  </r>
  <r>
    <s v="BC-101129"/>
    <d v="2025-06-24T00:00:00"/>
    <s v="London"/>
    <s v="Small Business"/>
    <s v="Furniture"/>
    <s v="Bookshelf"/>
    <n v="3"/>
    <n v="120.92"/>
    <n v="75.16"/>
    <n v="0"/>
    <n v="2"/>
    <n v="4"/>
    <s v="No"/>
    <s v="Store"/>
    <s v="Digital Wallet"/>
    <s v="Small Business"/>
    <s v="London"/>
    <s v="Furniture"/>
    <x v="243"/>
    <n v="1"/>
    <s v="Bookshelf"/>
    <n v="362.76"/>
    <n v="225.48"/>
    <n v="137.28"/>
    <n v="0.3784320211710222"/>
  </r>
  <r>
    <s v="BC-100412"/>
    <d v="2025-07-28T00:00:00"/>
    <s v="Midlands"/>
    <s v="Corporate"/>
    <s v="Electronics"/>
    <s v="Wireless Headset"/>
    <n v="3"/>
    <n v="58.71"/>
    <n v="34.950000000000003"/>
    <n v="0.1"/>
    <n v="1"/>
    <n v="5"/>
    <s v="No"/>
    <s v="Store"/>
    <s v="Digital Wallet"/>
    <s v="Corporate"/>
    <s v="Midlands"/>
    <s v="Electronics"/>
    <x v="39"/>
    <n v="1"/>
    <s v="Wireless Headset"/>
    <n v="158.517"/>
    <n v="104.85000000000001"/>
    <n v="53.666999999999987"/>
    <n v="0.3385567478566967"/>
  </r>
  <r>
    <s v="BC-100294"/>
    <d v="2025-04-27T00:00:00"/>
    <s v="North"/>
    <s v="Individual"/>
    <s v="Electronics"/>
    <s v="Portable Speaker"/>
    <n v="3"/>
    <n v="76.84"/>
    <n v="44.33"/>
    <n v="0.05"/>
    <n v="1"/>
    <n v="5"/>
    <s v="No"/>
    <s v="Store"/>
    <s v="Card"/>
    <s v="Individual"/>
    <s v="North"/>
    <s v="Electronics"/>
    <x v="233"/>
    <n v="1"/>
    <s v="Portable Speaker"/>
    <n v="218.994"/>
    <n v="132.99"/>
    <n v="86.003999999999991"/>
    <n v="0.3927230883037891"/>
  </r>
  <r>
    <s v="BC-100886"/>
    <d v="2025-01-06T00:00:00"/>
    <s v="North"/>
    <s v="Small Business"/>
    <s v="Furniture"/>
    <s v="Storage Cabinet"/>
    <n v="6"/>
    <n v="158.34"/>
    <n v="100.46"/>
    <n v="0"/>
    <n v="5"/>
    <n v="4"/>
    <s v="No"/>
    <s v="Online"/>
    <s v="Card"/>
    <s v="Small Business"/>
    <s v="North"/>
    <s v="Furniture"/>
    <x v="132"/>
    <n v="1"/>
    <s v="Storage Cabinet"/>
    <n v="950.04"/>
    <n v="602.76"/>
    <n v="347.28"/>
    <n v="0.36554250347353795"/>
  </r>
  <r>
    <s v="BC-100952"/>
    <d v="2025-02-05T00:00:00"/>
    <s v="South"/>
    <s v="Individual"/>
    <s v="Electronics"/>
    <s v="SmartHome Hub"/>
    <n v="2"/>
    <n v="132.18"/>
    <n v="82.96"/>
    <n v="0.15000000000000002"/>
    <n v="0"/>
    <n v="3"/>
    <s v="Yes"/>
    <s v="Store"/>
    <s v="Card"/>
    <s v="Individual"/>
    <s v="South"/>
    <s v="Electronics"/>
    <x v="173"/>
    <n v="1"/>
    <s v="SmartHome Hub"/>
    <n v="224.70600000000002"/>
    <n v="165.92"/>
    <n v="58.78600000000003"/>
    <n v="0.26161295203510376"/>
  </r>
  <r>
    <s v="BC-100708"/>
    <d v="2025-09-29T00:00:00"/>
    <s v="London"/>
    <s v="Small Business"/>
    <s v="Office"/>
    <s v="Laptop Stand"/>
    <n v="4"/>
    <n v="44.39"/>
    <n v="21.92"/>
    <n v="0"/>
    <n v="4"/>
    <n v="4"/>
    <s v="No"/>
    <s v="Online"/>
    <s v="Card"/>
    <s v="Small Business"/>
    <s v="London"/>
    <s v="Office"/>
    <x v="17"/>
    <n v="1"/>
    <s v="Laptop Stand"/>
    <n v="177.56"/>
    <n v="87.68"/>
    <n v="89.88"/>
    <n v="0.50619508898400534"/>
  </r>
  <r>
    <s v="BC-101146"/>
    <d v="2025-11-26T00:00:00"/>
    <s v="South"/>
    <s v="Small Business"/>
    <s v="Home &amp; Kitchen"/>
    <s v="Electric Kettle"/>
    <n v="1"/>
    <n v="40.590000000000003"/>
    <n v="20.91"/>
    <n v="0.1"/>
    <n v="5"/>
    <n v="4"/>
    <s v="No"/>
    <s v="Store"/>
    <s v="Digital Wallet"/>
    <s v="Small Business"/>
    <s v="South"/>
    <s v="Home &amp; Kitchen"/>
    <x v="210"/>
    <n v="1"/>
    <s v="Electric Kettle"/>
    <n v="36.531000000000006"/>
    <n v="20.91"/>
    <n v="15.621000000000006"/>
    <n v="0.42760942760942772"/>
  </r>
  <r>
    <s v="BC-100719"/>
    <d v="2025-12-25T00:00:00"/>
    <s v="North"/>
    <s v="Individual"/>
    <s v="Office"/>
    <s v="Laptop Stand"/>
    <n v="2"/>
    <n v="45.29"/>
    <n v="21.47"/>
    <n v="0.1"/>
    <n v="2"/>
    <n v="4"/>
    <s v="No"/>
    <s v="Store"/>
    <s v="Card"/>
    <s v="Individual"/>
    <s v="North"/>
    <s v="Office"/>
    <x v="28"/>
    <n v="1"/>
    <s v="Laptop Stand"/>
    <n v="81.522000000000006"/>
    <n v="42.94"/>
    <n v="38.582000000000008"/>
    <n v="0.47327101886607303"/>
  </r>
  <r>
    <s v="BC-101289"/>
    <d v="2025-12-05T00:00:00"/>
    <s v="South"/>
    <s v="Individual"/>
    <s v="Home &amp; Kitchen"/>
    <s v="Blender"/>
    <n v="1"/>
    <n v="63.81"/>
    <n v="36.479999999999997"/>
    <n v="0.2"/>
    <n v="1"/>
    <n v="4"/>
    <s v="No"/>
    <s v="Store"/>
    <s v="Card"/>
    <s v="Individual"/>
    <s v="South"/>
    <s v="Home &amp; Kitchen"/>
    <x v="21"/>
    <n v="1"/>
    <s v="Blender"/>
    <n v="51.048000000000002"/>
    <n v="36.479999999999997"/>
    <n v="14.568000000000005"/>
    <n v="0.28537846732487082"/>
  </r>
  <r>
    <s v="BC-100667"/>
    <d v="2025-02-03T00:00:00"/>
    <s v="London"/>
    <s v="Individual"/>
    <s v="Office"/>
    <s v="Wireless Mouse"/>
    <n v="1"/>
    <n v="34.79"/>
    <n v="17.75"/>
    <n v="0"/>
    <n v="1"/>
    <n v="5"/>
    <s v="No"/>
    <s v="Online"/>
    <s v="Card"/>
    <s v="Individual"/>
    <s v="London"/>
    <s v="Office"/>
    <x v="321"/>
    <n v="1"/>
    <s v="Wireless Mouse"/>
    <n v="34.79"/>
    <n v="17.75"/>
    <n v="17.04"/>
    <n v="0.48979591836734693"/>
  </r>
  <r>
    <s v="BC-100856"/>
    <d v="2025-04-26T00:00:00"/>
    <s v="Midlands"/>
    <s v="Individual"/>
    <s v="Home &amp; Kitchen"/>
    <s v="Air Fryer"/>
    <n v="1"/>
    <n v="109.69"/>
    <n v="66.16"/>
    <n v="0"/>
    <n v="3"/>
    <n v="3"/>
    <s v="Yes"/>
    <s v="Online"/>
    <s v="Card"/>
    <s v="Individual"/>
    <s v="Midlands"/>
    <s v="Home &amp; Kitchen"/>
    <x v="249"/>
    <n v="1"/>
    <s v="Air Fryer"/>
    <n v="109.69"/>
    <n v="66.16"/>
    <n v="43.53"/>
    <n v="0.3968456559394658"/>
  </r>
  <r>
    <s v="BC-101038"/>
    <d v="2025-04-27T00:00:00"/>
    <s v="South"/>
    <s v="Individual"/>
    <s v="Office"/>
    <s v="Laptop Stand"/>
    <n v="1"/>
    <n v="45.1"/>
    <n v="20.96"/>
    <n v="0.1"/>
    <n v="6"/>
    <n v="4"/>
    <s v="No"/>
    <s v="Online"/>
    <s v="Bank Transfer"/>
    <s v="Individual"/>
    <s v="South"/>
    <s v="Office"/>
    <x v="233"/>
    <n v="1"/>
    <s v="Laptop Stand"/>
    <n v="40.590000000000003"/>
    <n v="20.96"/>
    <n v="19.630000000000003"/>
    <n v="0.48361665434836171"/>
  </r>
  <r>
    <s v="BC-101306"/>
    <d v="2025-11-18T00:00:00"/>
    <s v="Midlands"/>
    <s v="Individual"/>
    <s v="Office"/>
    <s v="Desk Lamp"/>
    <n v="2"/>
    <n v="41.34"/>
    <n v="19.64"/>
    <n v="0.1"/>
    <n v="2"/>
    <n v="3"/>
    <s v="Yes"/>
    <s v="Phone"/>
    <s v="Card"/>
    <s v="Individual"/>
    <s v="Midlands"/>
    <s v="Office"/>
    <x v="26"/>
    <n v="1"/>
    <s v="Desk Lamp"/>
    <n v="74.412000000000006"/>
    <n v="39.28"/>
    <n v="35.132000000000005"/>
    <n v="0.47212815137343445"/>
  </r>
  <r>
    <s v="BC-100133"/>
    <d v="2025-07-26T00:00:00"/>
    <s v="London"/>
    <s v="Individual"/>
    <s v="Office"/>
    <s v="Ergonomic Keyboard"/>
    <n v="2"/>
    <n v="72.41"/>
    <n v="37.630000000000003"/>
    <n v="0.05"/>
    <n v="2"/>
    <n v="4"/>
    <s v="No"/>
    <s v="Online"/>
    <s v="Card"/>
    <s v="Individual"/>
    <s v="London"/>
    <s v="Office"/>
    <x v="352"/>
    <n v="1"/>
    <s v="Ergonomic Keyboard"/>
    <n v="137.57899999999998"/>
    <n v="75.260000000000005"/>
    <n v="62.318999999999974"/>
    <n v="0.45296883972117824"/>
  </r>
  <r>
    <s v="BC-101385"/>
    <d v="2025-09-06T00:00:00"/>
    <s v="London"/>
    <s v="Individual"/>
    <s v="Furniture"/>
    <s v="Bookshelf"/>
    <n v="1"/>
    <n v="117.87"/>
    <n v="71.84"/>
    <n v="0"/>
    <n v="5"/>
    <n v="4"/>
    <s v="No"/>
    <s v="Phone"/>
    <s v="Digital Wallet"/>
    <s v="Individual"/>
    <s v="London"/>
    <s v="Furniture"/>
    <x v="171"/>
    <n v="1"/>
    <s v="Bookshelf"/>
    <n v="117.87"/>
    <n v="71.84"/>
    <n v="46.03"/>
    <n v="0.39051497412403496"/>
  </r>
  <r>
    <s v="BC-100008"/>
    <d v="2025-04-14T00:00:00"/>
    <s v="South"/>
    <s v="Individual"/>
    <s v="Home &amp; Kitchen"/>
    <s v="Coffee Maker"/>
    <n v="3"/>
    <n v="78.36"/>
    <n v="44.65"/>
    <n v="0.05"/>
    <n v="1"/>
    <n v="4"/>
    <s v="No"/>
    <s v="Store"/>
    <s v="Card"/>
    <s v="Individual"/>
    <s v="South"/>
    <s v="Home &amp; Kitchen"/>
    <x v="38"/>
    <n v="1"/>
    <s v="Coffee Maker"/>
    <n v="223.32599999999996"/>
    <n v="133.94999999999999"/>
    <n v="89.375999999999976"/>
    <n v="0.40020418580908623"/>
  </r>
  <r>
    <s v="BC-101472"/>
    <d v="2025-04-06T00:00:00"/>
    <s v="Midlands"/>
    <s v="Individual"/>
    <s v="Office"/>
    <s v="Wireless Mouse"/>
    <n v="1"/>
    <n v="35.15"/>
    <n v="16.79"/>
    <n v="0"/>
    <n v="1"/>
    <n v="4"/>
    <s v="No"/>
    <s v="Store"/>
    <s v="Card"/>
    <s v="Individual"/>
    <s v="Midlands"/>
    <s v="Office"/>
    <x v="107"/>
    <n v="1"/>
    <s v="Wireless Mouse"/>
    <n v="35.15"/>
    <n v="16.79"/>
    <n v="18.36"/>
    <n v="0.52233285917496441"/>
  </r>
  <r>
    <s v="BC-100584"/>
    <d v="2025-01-24T00:00:00"/>
    <s v="North"/>
    <s v="Individual"/>
    <s v="Home &amp; Kitchen"/>
    <s v="Air Fryer"/>
    <n v="1"/>
    <n v="111.08"/>
    <n v="66.23"/>
    <n v="0"/>
    <n v="2"/>
    <n v="5"/>
    <s v="No"/>
    <s v="Online"/>
    <s v="Card"/>
    <s v="Individual"/>
    <s v="North"/>
    <s v="Home &amp; Kitchen"/>
    <x v="351"/>
    <n v="1"/>
    <s v="Air Fryer"/>
    <n v="111.08"/>
    <n v="66.23"/>
    <n v="44.849999999999994"/>
    <n v="0.40376305365502335"/>
  </r>
  <r>
    <s v="BC-101529"/>
    <d v="2025-12-24T00:00:00"/>
    <s v="London"/>
    <s v="Individual"/>
    <s v="Electronics"/>
    <s v="Portable Speaker"/>
    <n v="1"/>
    <n v="77.489999999999995"/>
    <n v="44.74"/>
    <n v="0.15000000000000002"/>
    <n v="0"/>
    <n v="4"/>
    <s v="No"/>
    <s v="Store"/>
    <s v="Card"/>
    <s v="Individual"/>
    <s v="London"/>
    <s v="Electronics"/>
    <x v="316"/>
    <n v="1"/>
    <s v="Portable Speaker"/>
    <n v="65.866499999999988"/>
    <n v="44.74"/>
    <n v="21.126499999999986"/>
    <n v="0.32074726909734069"/>
  </r>
  <r>
    <s v="BC-100140"/>
    <d v="2025-07-07T00:00:00"/>
    <s v="South"/>
    <s v="Small Business"/>
    <s v="Electronics"/>
    <s v="Webcam"/>
    <n v="1"/>
    <n v="48.8"/>
    <n v="25.88"/>
    <n v="0.1"/>
    <n v="1"/>
    <n v="4"/>
    <s v="No"/>
    <s v="Store"/>
    <s v="Card"/>
    <s v="Small Business"/>
    <s v="South"/>
    <s v="Electronics"/>
    <x v="62"/>
    <n v="1"/>
    <s v="Webcam"/>
    <n v="43.92"/>
    <n v="25.88"/>
    <n v="18.040000000000003"/>
    <n v="0.41074681238615668"/>
  </r>
  <r>
    <s v="BC-101881"/>
    <d v="2025-02-14T00:00:00"/>
    <s v="North"/>
    <s v="Individual"/>
    <s v="Home &amp; Kitchen"/>
    <s v="Blender"/>
    <n v="1"/>
    <n v="64.02"/>
    <n v="36.340000000000003"/>
    <n v="0"/>
    <n v="4"/>
    <n v="4"/>
    <s v="No"/>
    <s v="Online"/>
    <s v="Card"/>
    <s v="Individual"/>
    <s v="North"/>
    <s v="Home &amp; Kitchen"/>
    <x v="194"/>
    <n v="1"/>
    <s v="Blender"/>
    <n v="64.02"/>
    <n v="36.340000000000003"/>
    <n v="27.679999999999993"/>
    <n v="0.43236488597313333"/>
  </r>
  <r>
    <s v="BC-100766"/>
    <d v="2025-07-26T00:00:00"/>
    <s v="London"/>
    <s v="Individual"/>
    <s v="Electronics"/>
    <s v="Wireless Headset"/>
    <n v="1"/>
    <n v="59.51"/>
    <n v="34.159999999999997"/>
    <n v="0.1"/>
    <n v="4"/>
    <n v="4"/>
    <s v="No"/>
    <s v="Online"/>
    <s v="Card"/>
    <s v="Individual"/>
    <s v="London"/>
    <s v="Electronics"/>
    <x v="352"/>
    <n v="1"/>
    <s v="Wireless Headset"/>
    <n v="53.558999999999997"/>
    <n v="34.159999999999997"/>
    <n v="19.399000000000001"/>
    <n v="0.36219869676431604"/>
  </r>
  <r>
    <s v="BC-100198"/>
    <d v="2025-10-25T00:00:00"/>
    <s v="London"/>
    <s v="Small Business"/>
    <s v="Office"/>
    <s v="Desk Lamp"/>
    <n v="4"/>
    <n v="39.200000000000003"/>
    <n v="19.63"/>
    <n v="0"/>
    <n v="7"/>
    <n v="4"/>
    <s v="No"/>
    <s v="Online"/>
    <s v="Bank Transfer"/>
    <s v="Small Business"/>
    <s v="London"/>
    <s v="Office"/>
    <x v="138"/>
    <n v="1"/>
    <s v="Desk Lamp"/>
    <n v="156.80000000000001"/>
    <n v="78.52"/>
    <n v="78.280000000000015"/>
    <n v="0.49923469387755109"/>
  </r>
  <r>
    <s v="BC-100236"/>
    <d v="2025-04-05T00:00:00"/>
    <s v="South"/>
    <s v="Individual"/>
    <s v="Home &amp; Kitchen"/>
    <s v="Electric Kettle"/>
    <n v="1"/>
    <n v="38.979999999999997"/>
    <n v="19.97"/>
    <n v="0.1"/>
    <n v="5"/>
    <n v="4"/>
    <s v="No"/>
    <s v="Online"/>
    <s v="Bank Transfer"/>
    <s v="Individual"/>
    <s v="South"/>
    <s v="Home &amp; Kitchen"/>
    <x v="87"/>
    <n v="1"/>
    <s v="Electric Kettle"/>
    <n v="35.082000000000001"/>
    <n v="19.97"/>
    <n v="15.112000000000002"/>
    <n v="0.43076221424092132"/>
  </r>
  <r>
    <s v="BC-101497"/>
    <d v="2025-12-13T00:00:00"/>
    <s v="Midlands"/>
    <s v="Small Business"/>
    <s v="Office"/>
    <s v="Ergonomic Keyboard"/>
    <n v="3"/>
    <n v="71.8"/>
    <n v="36.909999999999997"/>
    <n v="0.15000000000000002"/>
    <n v="7"/>
    <n v="3"/>
    <s v="No"/>
    <s v="Online"/>
    <s v="Digital Wallet"/>
    <s v="Small Business"/>
    <s v="Midlands"/>
    <s v="Office"/>
    <x v="219"/>
    <n v="1"/>
    <s v="Ergonomic Keyboard"/>
    <n v="183.08999999999997"/>
    <n v="110.72999999999999"/>
    <n v="72.359999999999985"/>
    <n v="0.39521546780271993"/>
  </r>
  <r>
    <s v="BC-100322"/>
    <d v="2025-08-23T00:00:00"/>
    <s v="Midlands"/>
    <s v="Individual"/>
    <s v="Office"/>
    <s v="Laptop Stand"/>
    <n v="2"/>
    <n v="46.54"/>
    <n v="21.62"/>
    <n v="0.05"/>
    <n v="4"/>
    <n v="4"/>
    <s v="No"/>
    <s v="Online"/>
    <s v="Card"/>
    <s v="Individual"/>
    <s v="Midlands"/>
    <s v="Office"/>
    <x v="120"/>
    <n v="1"/>
    <s v="Laptop Stand"/>
    <n v="88.425999999999988"/>
    <n v="43.24"/>
    <n v="45.185999999999986"/>
    <n v="0.51100355099178962"/>
  </r>
  <r>
    <s v="BC-101504"/>
    <d v="2025-02-17T00:00:00"/>
    <s v="Midlands"/>
    <s v="Individual"/>
    <s v="Office"/>
    <s v="Desk Lamp"/>
    <n v="1"/>
    <n v="41.04"/>
    <n v="19.34"/>
    <n v="0.1"/>
    <n v="4"/>
    <n v="4"/>
    <s v="No"/>
    <s v="Online"/>
    <s v="Card"/>
    <s v="Individual"/>
    <s v="Midlands"/>
    <s v="Office"/>
    <x v="353"/>
    <n v="1"/>
    <s v="Desk Lamp"/>
    <n v="36.936"/>
    <n v="19.34"/>
    <n v="17.596"/>
    <n v="0.47639159627463723"/>
  </r>
  <r>
    <s v="BC-100141"/>
    <d v="2025-12-02T00:00:00"/>
    <s v="London"/>
    <s v="Small Business"/>
    <s v="Home &amp; Kitchen"/>
    <s v="Air Fryer"/>
    <n v="2"/>
    <n v="113.74"/>
    <n v="66.41"/>
    <n v="0.2"/>
    <n v="3"/>
    <n v="4"/>
    <s v="No"/>
    <s v="Store"/>
    <s v="Card"/>
    <s v="Small Business"/>
    <s v="London"/>
    <s v="Home &amp; Kitchen"/>
    <x v="183"/>
    <n v="1"/>
    <s v="Air Fryer"/>
    <n v="181.98400000000001"/>
    <n v="132.82"/>
    <n v="49.164000000000016"/>
    <n v="0.2701556180763145"/>
  </r>
  <r>
    <s v="BC-101716"/>
    <d v="2025-09-03T00:00:00"/>
    <s v="Midlands"/>
    <s v="Corporate"/>
    <s v="Home &amp; Kitchen"/>
    <s v="Electric Kettle"/>
    <n v="10"/>
    <n v="41.29"/>
    <n v="20.97"/>
    <n v="0.05"/>
    <n v="0"/>
    <n v="4"/>
    <s v="No"/>
    <s v="Store"/>
    <s v="Card"/>
    <s v="Corporate"/>
    <s v="Midlands"/>
    <s v="Home &amp; Kitchen"/>
    <x v="106"/>
    <n v="1"/>
    <s v="Electric Kettle"/>
    <n v="392.25499999999994"/>
    <n v="209.7"/>
    <n v="182.55499999999995"/>
    <n v="0.46539878395431539"/>
  </r>
  <r>
    <s v="BC-100926"/>
    <d v="2025-10-20T00:00:00"/>
    <s v="London"/>
    <s v="Small Business"/>
    <s v="Office"/>
    <s v="Ergonomic Keyboard"/>
    <n v="1"/>
    <n v="68.349999999999994"/>
    <n v="38.61"/>
    <n v="0.05"/>
    <n v="7"/>
    <n v="4"/>
    <s v="No"/>
    <s v="Phone"/>
    <s v="Card"/>
    <s v="Small Business"/>
    <s v="London"/>
    <s v="Office"/>
    <x v="315"/>
    <n v="1"/>
    <s v="Ergonomic Keyboard"/>
    <n v="64.93249999999999"/>
    <n v="38.61"/>
    <n v="26.322499999999991"/>
    <n v="0.40538251260924796"/>
  </r>
  <r>
    <s v="BC-101486"/>
    <d v="2025-12-08T00:00:00"/>
    <s v="London"/>
    <s v="Individual"/>
    <s v="Electronics"/>
    <s v="Portable Speaker"/>
    <n v="1"/>
    <n v="76.239999999999995"/>
    <n v="43.12"/>
    <n v="0.05"/>
    <n v="3"/>
    <n v="4"/>
    <s v="No"/>
    <s v="Online"/>
    <s v="Bank Transfer"/>
    <s v="Individual"/>
    <s v="London"/>
    <s v="Electronics"/>
    <x v="242"/>
    <n v="1"/>
    <s v="Portable Speaker"/>
    <n v="72.427999999999997"/>
    <n v="43.12"/>
    <n v="29.308"/>
    <n v="0.40465013530678745"/>
  </r>
  <r>
    <s v="BC-101572"/>
    <d v="2025-04-12T00:00:00"/>
    <s v="Midlands"/>
    <s v="Individual"/>
    <s v="Home &amp; Kitchen"/>
    <s v="Coffee Maker"/>
    <n v="2"/>
    <n v="79.319999999999993"/>
    <n v="43.98"/>
    <n v="0"/>
    <n v="3"/>
    <n v="5"/>
    <s v="No"/>
    <s v="Online"/>
    <s v="Bank Transfer"/>
    <s v="Individual"/>
    <s v="Midlands"/>
    <s v="Home &amp; Kitchen"/>
    <x v="306"/>
    <n v="1"/>
    <s v="Coffee Maker"/>
    <n v="158.63999999999999"/>
    <n v="87.96"/>
    <n v="70.679999999999993"/>
    <n v="0.44553706505295004"/>
  </r>
  <r>
    <s v="BC-101377"/>
    <d v="2025-08-24T00:00:00"/>
    <s v="Midlands"/>
    <s v="Individual"/>
    <s v="Home &amp; Kitchen"/>
    <s v="Coffee Maker"/>
    <n v="2"/>
    <n v="78.8"/>
    <n v="46.9"/>
    <n v="0"/>
    <n v="5"/>
    <n v="4"/>
    <s v="No"/>
    <s v="Online"/>
    <s v="Card"/>
    <s v="Individual"/>
    <s v="Midlands"/>
    <s v="Home &amp; Kitchen"/>
    <x v="77"/>
    <n v="1"/>
    <s v="Coffee Maker"/>
    <n v="157.6"/>
    <n v="93.8"/>
    <n v="63.8"/>
    <n v="0.40482233502538073"/>
  </r>
  <r>
    <s v="BC-101533"/>
    <d v="2025-09-15T00:00:00"/>
    <s v="North"/>
    <s v="Individual"/>
    <s v="Home &amp; Kitchen"/>
    <s v="Electric Kettle"/>
    <n v="3"/>
    <n v="40.32"/>
    <n v="19.71"/>
    <n v="0.05"/>
    <n v="1"/>
    <n v="5"/>
    <s v="No"/>
    <s v="Online"/>
    <s v="Digital Wallet"/>
    <s v="Individual"/>
    <s v="North"/>
    <s v="Home &amp; Kitchen"/>
    <x v="100"/>
    <n v="1"/>
    <s v="Electric Kettle"/>
    <n v="114.91200000000001"/>
    <n v="59.13"/>
    <n v="55.782000000000004"/>
    <n v="0.48543233082706766"/>
  </r>
  <r>
    <s v="BC-100859"/>
    <d v="2025-07-08T00:00:00"/>
    <s v="South"/>
    <s v="Small Business"/>
    <s v="Furniture"/>
    <s v="Side Table"/>
    <n v="5"/>
    <n v="92.76"/>
    <n v="53.71"/>
    <n v="0.1"/>
    <n v="6"/>
    <n v="4"/>
    <s v="No"/>
    <s v="Online"/>
    <s v="Bank Transfer"/>
    <s v="Small Business"/>
    <s v="South"/>
    <s v="Furniture"/>
    <x v="216"/>
    <n v="1"/>
    <s v="Side Table"/>
    <n v="417.42"/>
    <n v="268.55"/>
    <n v="148.87"/>
    <n v="0.35664318911408172"/>
  </r>
  <r>
    <s v="BC-101661"/>
    <d v="2025-11-21T00:00:00"/>
    <s v="Midlands"/>
    <s v="Individual"/>
    <s v="Office"/>
    <s v="Ergonomic Keyboard"/>
    <n v="2"/>
    <n v="69.28"/>
    <n v="38.69"/>
    <n v="0.1"/>
    <n v="7"/>
    <n v="4"/>
    <s v="No"/>
    <s v="Online"/>
    <s v="Card"/>
    <s v="Individual"/>
    <s v="Midlands"/>
    <s v="Office"/>
    <x v="300"/>
    <n v="1"/>
    <s v="Ergonomic Keyboard"/>
    <n v="124.70400000000001"/>
    <n v="77.38"/>
    <n v="47.324000000000012"/>
    <n v="0.37949063382088793"/>
  </r>
  <r>
    <s v="BC-100620"/>
    <d v="2025-08-08T00:00:00"/>
    <s v="Midlands"/>
    <s v="Small Business"/>
    <s v="Electronics"/>
    <s v="Portable Speaker"/>
    <n v="5"/>
    <n v="74.739999999999995"/>
    <n v="43.96"/>
    <n v="0.1"/>
    <n v="3"/>
    <n v="4"/>
    <s v="No"/>
    <s v="Online"/>
    <s v="Card"/>
    <s v="Small Business"/>
    <s v="Midlands"/>
    <s v="Electronics"/>
    <x v="74"/>
    <n v="1"/>
    <s v="Portable Speaker"/>
    <n v="336.33"/>
    <n v="219.8"/>
    <n v="116.52999999999997"/>
    <n v="0.34647518805934641"/>
  </r>
  <r>
    <s v="BC-100499"/>
    <d v="2025-06-19T00:00:00"/>
    <s v="London"/>
    <s v="Individual"/>
    <s v="Office"/>
    <s v="Laptop Stand"/>
    <n v="3"/>
    <n v="46.16"/>
    <n v="21.44"/>
    <n v="0.05"/>
    <n v="4"/>
    <n v="4"/>
    <s v="No"/>
    <s v="Phone"/>
    <s v="Card"/>
    <s v="Individual"/>
    <s v="London"/>
    <s v="Office"/>
    <x v="339"/>
    <n v="1"/>
    <s v="Laptop Stand"/>
    <n v="131.55599999999998"/>
    <n v="64.320000000000007"/>
    <n v="67.235999999999976"/>
    <n v="0.51108273282860517"/>
  </r>
  <r>
    <s v="BC-101031"/>
    <d v="2025-11-12T00:00:00"/>
    <s v="North"/>
    <s v="Individual"/>
    <s v="Electronics"/>
    <s v="Wireless Headset"/>
    <n v="2"/>
    <n v="62.31"/>
    <n v="35.11"/>
    <n v="0.1"/>
    <n v="0"/>
    <n v="5"/>
    <s v="No"/>
    <s v="Store"/>
    <s v="Digital Wallet"/>
    <s v="Individual"/>
    <s v="North"/>
    <s v="Electronics"/>
    <x v="61"/>
    <n v="1"/>
    <s v="Wireless Headset"/>
    <n v="112.158"/>
    <n v="70.22"/>
    <n v="41.938000000000002"/>
    <n v="0.37391893578701474"/>
  </r>
  <r>
    <s v="BC-100060"/>
    <d v="2025-02-22T00:00:00"/>
    <s v="London"/>
    <s v="Individual"/>
    <s v="Furniture"/>
    <s v="Bookshelf"/>
    <n v="1"/>
    <n v="124.41"/>
    <n v="75.42"/>
    <n v="0"/>
    <n v="3"/>
    <n v="4"/>
    <s v="No"/>
    <s v="Store"/>
    <s v="Bank Transfer"/>
    <s v="Individual"/>
    <s v="London"/>
    <s v="Furniture"/>
    <x v="222"/>
    <n v="1"/>
    <s v="Bookshelf"/>
    <n v="124.41"/>
    <n v="75.42"/>
    <n v="48.989999999999995"/>
    <n v="0.39377863515794548"/>
  </r>
  <r>
    <s v="BC-101500"/>
    <d v="2025-11-17T00:00:00"/>
    <s v="London"/>
    <s v="Individual"/>
    <s v="Home &amp; Kitchen"/>
    <s v="Blender"/>
    <n v="3"/>
    <n v="66.819999999999993"/>
    <n v="36.24"/>
    <n v="0.1"/>
    <n v="3"/>
    <n v="4"/>
    <s v="No"/>
    <s v="Phone"/>
    <s v="Card"/>
    <s v="Individual"/>
    <s v="London"/>
    <s v="Home &amp; Kitchen"/>
    <x v="223"/>
    <n v="1"/>
    <s v="Blender"/>
    <n v="180.41399999999999"/>
    <n v="108.72"/>
    <n v="71.693999999999988"/>
    <n v="0.39738601217200437"/>
  </r>
  <r>
    <s v="BC-101552"/>
    <d v="2025-01-25T00:00:00"/>
    <s v="South"/>
    <s v="Small Business"/>
    <s v="Electronics"/>
    <s v="Portable Speaker"/>
    <n v="1"/>
    <n v="77.2"/>
    <n v="45.09"/>
    <n v="0.05"/>
    <n v="2"/>
    <n v="4"/>
    <s v="No"/>
    <s v="Store"/>
    <s v="Card"/>
    <s v="Small Business"/>
    <s v="South"/>
    <s v="Electronics"/>
    <x v="14"/>
    <n v="1"/>
    <s v="Portable Speaker"/>
    <n v="73.34"/>
    <n v="45.09"/>
    <n v="28.25"/>
    <n v="0.38519225524952277"/>
  </r>
  <r>
    <s v="BC-100391"/>
    <d v="2025-07-17T00:00:00"/>
    <s v="South"/>
    <s v="Individual"/>
    <s v="Electronics"/>
    <s v="Webcam"/>
    <n v="1"/>
    <n v="50.34"/>
    <n v="27.08"/>
    <n v="0.1"/>
    <n v="3"/>
    <n v="5"/>
    <s v="No"/>
    <s v="Online"/>
    <s v="Bank Transfer"/>
    <s v="Individual"/>
    <s v="South"/>
    <s v="Electronics"/>
    <x v="217"/>
    <n v="1"/>
    <s v="Webcam"/>
    <n v="45.306000000000004"/>
    <n v="27.08"/>
    <n v="18.226000000000006"/>
    <n v="0.40228667284686365"/>
  </r>
  <r>
    <s v="BC-101098"/>
    <d v="2025-09-13T00:00:00"/>
    <s v="London"/>
    <s v="Individual"/>
    <s v="Electronics"/>
    <s v="SmartHome Hub"/>
    <n v="1"/>
    <n v="128.35"/>
    <n v="87.4"/>
    <n v="0"/>
    <n v="3"/>
    <n v="4"/>
    <s v="No"/>
    <s v="Online"/>
    <s v="Card"/>
    <s v="Individual"/>
    <s v="London"/>
    <s v="Electronics"/>
    <x v="111"/>
    <n v="1"/>
    <s v="SmartHome Hub"/>
    <n v="128.35"/>
    <n v="87.4"/>
    <n v="40.949999999999989"/>
    <n v="0.31904947409427342"/>
  </r>
  <r>
    <s v="BC-100987"/>
    <d v="2025-06-29T00:00:00"/>
    <s v="London"/>
    <s v="Individual"/>
    <s v="Home &amp; Kitchen"/>
    <s v="Coffee Maker"/>
    <n v="4"/>
    <n v="83.15"/>
    <n v="46.74"/>
    <n v="0"/>
    <n v="3"/>
    <n v="5"/>
    <s v="No"/>
    <s v="Phone"/>
    <s v="Card"/>
    <s v="Individual"/>
    <s v="London"/>
    <s v="Home &amp; Kitchen"/>
    <x v="57"/>
    <n v="1"/>
    <s v="Coffee Maker"/>
    <n v="332.6"/>
    <n v="186.96"/>
    <n v="145.64000000000001"/>
    <n v="0.43788334335538187"/>
  </r>
  <r>
    <s v="BC-101373"/>
    <d v="2025-03-22T00:00:00"/>
    <s v="London"/>
    <s v="Individual"/>
    <s v="Office"/>
    <s v="Ergonomic Keyboard"/>
    <n v="1"/>
    <n v="72.56"/>
    <n v="39.26"/>
    <n v="0.05"/>
    <n v="3"/>
    <n v="4"/>
    <s v="No"/>
    <s v="Online"/>
    <s v="Card"/>
    <s v="Individual"/>
    <s v="London"/>
    <s v="Office"/>
    <x v="295"/>
    <n v="1"/>
    <s v="Ergonomic Keyboard"/>
    <n v="68.932000000000002"/>
    <n v="39.26"/>
    <n v="29.672000000000004"/>
    <n v="0.43045320025532413"/>
  </r>
  <r>
    <s v="BC-101578"/>
    <d v="2025-01-29T00:00:00"/>
    <s v="North"/>
    <s v="Individual"/>
    <s v="Furniture"/>
    <s v="Side Table"/>
    <n v="1"/>
    <n v="91.92"/>
    <n v="54.39"/>
    <n v="0.05"/>
    <n v="0"/>
    <n v="4"/>
    <s v="No"/>
    <s v="Store"/>
    <s v="Card"/>
    <s v="Individual"/>
    <s v="North"/>
    <s v="Furniture"/>
    <x v="354"/>
    <n v="1"/>
    <s v="Side Table"/>
    <n v="87.323999999999998"/>
    <n v="54.39"/>
    <n v="32.933999999999997"/>
    <n v="0.37714717603407993"/>
  </r>
  <r>
    <s v="BC-100061"/>
    <d v="2025-05-24T00:00:00"/>
    <s v="North"/>
    <s v="Individual"/>
    <s v="Office"/>
    <s v="Wireless Mouse"/>
    <n v="1"/>
    <n v="34.1"/>
    <n v="17.079999999999998"/>
    <n v="0.1"/>
    <n v="2"/>
    <n v="5"/>
    <s v="No"/>
    <s v="Online"/>
    <s v="Card"/>
    <s v="Individual"/>
    <s v="North"/>
    <s v="Office"/>
    <x v="265"/>
    <n v="1"/>
    <s v="Wireless Mouse"/>
    <n v="30.69"/>
    <n v="17.079999999999998"/>
    <n v="13.610000000000003"/>
    <n v="0.44346692733789517"/>
  </r>
  <r>
    <s v="BC-101680"/>
    <d v="2025-04-18T00:00:00"/>
    <s v="North"/>
    <s v="Individual"/>
    <s v="Electronics"/>
    <s v="SmartHome Hub"/>
    <n v="1"/>
    <n v="134.02000000000001"/>
    <n v="81.540000000000006"/>
    <n v="0"/>
    <n v="2"/>
    <n v="4"/>
    <s v="No"/>
    <s v="Online"/>
    <s v="Card"/>
    <s v="Individual"/>
    <s v="North"/>
    <s v="Electronics"/>
    <x v="72"/>
    <n v="1"/>
    <s v="SmartHome Hub"/>
    <n v="134.02000000000001"/>
    <n v="81.540000000000006"/>
    <n v="52.480000000000004"/>
    <n v="0.39158334576928816"/>
  </r>
  <r>
    <s v="BC-100195"/>
    <d v="2025-12-15T00:00:00"/>
    <s v="South"/>
    <s v="Individual"/>
    <s v="Electronics"/>
    <s v="Portable Speaker"/>
    <n v="1"/>
    <n v="75.180000000000007"/>
    <n v="41.76"/>
    <n v="0"/>
    <n v="4"/>
    <n v="4"/>
    <s v="No"/>
    <s v="Online"/>
    <s v="Card"/>
    <s v="Individual"/>
    <s v="South"/>
    <s v="Electronics"/>
    <x v="299"/>
    <n v="1"/>
    <s v="Portable Speaker"/>
    <n v="75.180000000000007"/>
    <n v="41.76"/>
    <n v="33.420000000000009"/>
    <n v="0.4445331205107742"/>
  </r>
  <r>
    <s v="BC-100473"/>
    <d v="2025-02-02T00:00:00"/>
    <s v="Midlands"/>
    <s v="Small Business"/>
    <s v="Electronics"/>
    <s v="Wireless Headset"/>
    <n v="3"/>
    <n v="61.88"/>
    <n v="34.82"/>
    <n v="0"/>
    <n v="4"/>
    <n v="4"/>
    <s v="No"/>
    <s v="Online"/>
    <s v="Bank Transfer"/>
    <s v="Small Business"/>
    <s v="Midlands"/>
    <s v="Electronics"/>
    <x v="156"/>
    <n v="1"/>
    <s v="Wireless Headset"/>
    <n v="185.64000000000001"/>
    <n v="104.46000000000001"/>
    <n v="81.180000000000007"/>
    <n v="0.43729799612152553"/>
  </r>
  <r>
    <s v="BC-100244"/>
    <d v="2025-03-27T00:00:00"/>
    <s v="South"/>
    <s v="Corporate"/>
    <s v="Office"/>
    <s v="Ergonomic Keyboard"/>
    <n v="4"/>
    <n v="70.790000000000006"/>
    <n v="37.619999999999997"/>
    <n v="0.1"/>
    <n v="5"/>
    <n v="5"/>
    <s v="No"/>
    <s v="Online"/>
    <s v="Digital Wallet"/>
    <s v="Corporate"/>
    <s v="South"/>
    <s v="Office"/>
    <x v="246"/>
    <n v="1"/>
    <s v="Ergonomic Keyboard"/>
    <n v="254.84400000000002"/>
    <n v="150.47999999999999"/>
    <n v="104.36400000000003"/>
    <n v="0.4095211188020908"/>
  </r>
  <r>
    <s v="BC-101511"/>
    <d v="2025-09-15T00:00:00"/>
    <s v="South"/>
    <s v="Individual"/>
    <s v="Office"/>
    <s v="Laptop Stand"/>
    <n v="1"/>
    <n v="44.28"/>
    <n v="20.48"/>
    <n v="0.15000000000000002"/>
    <n v="5"/>
    <n v="5"/>
    <s v="No"/>
    <s v="Online"/>
    <s v="Card"/>
    <s v="Individual"/>
    <s v="South"/>
    <s v="Office"/>
    <x v="100"/>
    <n v="1"/>
    <s v="Laptop Stand"/>
    <n v="37.637999999999998"/>
    <n v="20.48"/>
    <n v="17.157999999999998"/>
    <n v="0.45586906849460646"/>
  </r>
  <r>
    <s v="BC-100286"/>
    <d v="2025-08-07T00:00:00"/>
    <s v="South"/>
    <s v="Individual"/>
    <s v="Electronics"/>
    <s v="SmartHome Hub"/>
    <n v="3"/>
    <n v="132.69"/>
    <n v="83.17"/>
    <n v="0.1"/>
    <n v="3"/>
    <n v="4"/>
    <s v="No"/>
    <s v="Phone"/>
    <s v="Card"/>
    <s v="Individual"/>
    <s v="South"/>
    <s v="Electronics"/>
    <x v="343"/>
    <n v="1"/>
    <s v="SmartHome Hub"/>
    <n v="358.26299999999998"/>
    <n v="249.51"/>
    <n v="108.75299999999999"/>
    <n v="0.30355632593932391"/>
  </r>
  <r>
    <s v="BC-100671"/>
    <d v="2025-09-16T00:00:00"/>
    <s v="South"/>
    <s v="Small Business"/>
    <s v="Home &amp; Kitchen"/>
    <s v="Electric Kettle"/>
    <n v="4"/>
    <n v="38.89"/>
    <n v="20.010000000000002"/>
    <n v="0.05"/>
    <n v="4"/>
    <n v="5"/>
    <s v="No"/>
    <s v="Online"/>
    <s v="Card"/>
    <s v="Small Business"/>
    <s v="South"/>
    <s v="Home &amp; Kitchen"/>
    <x v="285"/>
    <n v="1"/>
    <s v="Electric Kettle"/>
    <n v="147.78199999999998"/>
    <n v="80.040000000000006"/>
    <n v="67.741999999999976"/>
    <n v="0.45839141438064163"/>
  </r>
  <r>
    <s v="BC-101514"/>
    <d v="2025-12-02T00:00:00"/>
    <s v="Midlands"/>
    <s v="Individual"/>
    <s v="Furniture"/>
    <s v="Bookshelf"/>
    <n v="1"/>
    <n v="121.54"/>
    <n v="72.11"/>
    <n v="0.05"/>
    <n v="6"/>
    <n v="4"/>
    <s v="No"/>
    <s v="Online"/>
    <s v="Card"/>
    <s v="Individual"/>
    <s v="Midlands"/>
    <s v="Furniture"/>
    <x v="183"/>
    <n v="1"/>
    <s v="Bookshelf"/>
    <n v="115.46299999999999"/>
    <n v="72.11"/>
    <n v="43.352999999999994"/>
    <n v="0.37547093008149796"/>
  </r>
  <r>
    <s v="BC-100709"/>
    <d v="2025-12-11T00:00:00"/>
    <s v="South"/>
    <s v="Individual"/>
    <s v="Electronics"/>
    <s v="Portable Speaker"/>
    <n v="1"/>
    <n v="75.69"/>
    <n v="44.42"/>
    <n v="0.05"/>
    <n v="2"/>
    <n v="4"/>
    <s v="No"/>
    <s v="Online"/>
    <s v="Card"/>
    <s v="Individual"/>
    <s v="South"/>
    <s v="Electronics"/>
    <x v="286"/>
    <n v="1"/>
    <s v="Portable Speaker"/>
    <n v="71.905499999999989"/>
    <n v="44.42"/>
    <n v="27.485499999999988"/>
    <n v="0.38224475179228279"/>
  </r>
  <r>
    <s v="BC-101848"/>
    <d v="2025-12-11T00:00:00"/>
    <s v="Midlands"/>
    <s v="Corporate"/>
    <s v="Office"/>
    <s v="Wireless Mouse"/>
    <n v="3"/>
    <n v="34.99"/>
    <n v="17.7"/>
    <n v="0.15000000000000002"/>
    <n v="3"/>
    <n v="4"/>
    <s v="No"/>
    <s v="Online"/>
    <s v="Digital Wallet"/>
    <s v="Corporate"/>
    <s v="Midlands"/>
    <s v="Office"/>
    <x v="286"/>
    <n v="1"/>
    <s v="Wireless Mouse"/>
    <n v="89.224499999999992"/>
    <n v="53.099999999999994"/>
    <n v="36.124499999999998"/>
    <n v="0.40487198022964543"/>
  </r>
  <r>
    <s v="BC-100636"/>
    <d v="2025-09-05T00:00:00"/>
    <s v="London"/>
    <s v="Individual"/>
    <s v="Furniture"/>
    <s v="Side Table"/>
    <n v="1"/>
    <n v="92.19"/>
    <n v="56.58"/>
    <n v="0.1"/>
    <n v="6"/>
    <n v="3"/>
    <s v="No"/>
    <s v="Online"/>
    <s v="Card"/>
    <s v="Individual"/>
    <s v="London"/>
    <s v="Furniture"/>
    <x v="134"/>
    <n v="1"/>
    <s v="Side Table"/>
    <n v="82.971000000000004"/>
    <n v="56.58"/>
    <n v="26.391000000000005"/>
    <n v="0.31807499005676687"/>
  </r>
  <r>
    <s v="BC-100707"/>
    <d v="2025-02-28T00:00:00"/>
    <s v="North"/>
    <s v="Small Business"/>
    <s v="Furniture"/>
    <s v="Side Table"/>
    <n v="2"/>
    <n v="90.34"/>
    <n v="54.09"/>
    <n v="0"/>
    <n v="5"/>
    <n v="4"/>
    <s v="No"/>
    <s v="Phone"/>
    <s v="Bank Transfer"/>
    <s v="Small Business"/>
    <s v="North"/>
    <s v="Furniture"/>
    <x v="332"/>
    <n v="1"/>
    <s v="Side Table"/>
    <n v="180.68"/>
    <n v="108.18"/>
    <n v="72.5"/>
    <n v="0.40126189949081248"/>
  </r>
  <r>
    <s v="BC-100569"/>
    <d v="2025-08-29T00:00:00"/>
    <s v="South"/>
    <s v="Individual"/>
    <s v="Office"/>
    <s v="Wireless Mouse"/>
    <n v="1"/>
    <n v="35.03"/>
    <n v="16.73"/>
    <n v="0"/>
    <n v="6"/>
    <n v="4"/>
    <s v="No"/>
    <s v="Online"/>
    <s v="Digital Wallet"/>
    <s v="Individual"/>
    <s v="South"/>
    <s v="Office"/>
    <x v="309"/>
    <n v="1"/>
    <s v="Wireless Mouse"/>
    <n v="35.03"/>
    <n v="16.73"/>
    <n v="18.3"/>
    <n v="0.52240936340279764"/>
  </r>
  <r>
    <s v="BC-100219"/>
    <d v="2025-06-20T00:00:00"/>
    <s v="North"/>
    <s v="Individual"/>
    <s v="Electronics"/>
    <s v="Wireless Headset"/>
    <n v="1"/>
    <n v="58.47"/>
    <n v="33.39"/>
    <n v="0"/>
    <n v="6"/>
    <n v="4"/>
    <s v="No"/>
    <s v="Online"/>
    <s v="Digital Wallet"/>
    <s v="Individual"/>
    <s v="North"/>
    <s v="Electronics"/>
    <x v="163"/>
    <n v="1"/>
    <s v="Wireless Headset"/>
    <n v="58.47"/>
    <n v="33.39"/>
    <n v="25.08"/>
    <n v="0.42893791688045152"/>
  </r>
  <r>
    <s v="BC-101982"/>
    <d v="2025-03-01T00:00:00"/>
    <s v="Midlands"/>
    <s v="Corporate"/>
    <s v="Office"/>
    <s v="Laptop Stand"/>
    <n v="4"/>
    <n v="45.93"/>
    <n v="20.81"/>
    <n v="0.05"/>
    <n v="6"/>
    <n v="4"/>
    <s v="No"/>
    <s v="Online"/>
    <s v="Card"/>
    <s v="Corporate"/>
    <s v="Midlands"/>
    <s v="Office"/>
    <x v="207"/>
    <n v="1"/>
    <s v="Laptop Stand"/>
    <n v="174.53399999999999"/>
    <n v="83.24"/>
    <n v="91.293999999999997"/>
    <n v="0.52307286832365041"/>
  </r>
  <r>
    <s v="BC-101428"/>
    <d v="2025-03-28T00:00:00"/>
    <s v="Midlands"/>
    <s v="Individual"/>
    <s v="Home &amp; Kitchen"/>
    <s v="Blender"/>
    <n v="1"/>
    <n v="63.11"/>
    <n v="34.61"/>
    <n v="0"/>
    <n v="3"/>
    <n v="4"/>
    <s v="No"/>
    <s v="Online"/>
    <s v="Card"/>
    <s v="Individual"/>
    <s v="Midlands"/>
    <s v="Home &amp; Kitchen"/>
    <x v="355"/>
    <n v="1"/>
    <s v="Blender"/>
    <n v="63.11"/>
    <n v="34.61"/>
    <n v="28.5"/>
    <n v="0.45159245761369038"/>
  </r>
  <r>
    <s v="BC-100679"/>
    <d v="2025-01-22T00:00:00"/>
    <s v="London"/>
    <s v="Individual"/>
    <s v="Electronics"/>
    <s v="Wireless Headset"/>
    <n v="1"/>
    <n v="60.55"/>
    <n v="35.18"/>
    <n v="0"/>
    <n v="6"/>
    <n v="4"/>
    <s v="No"/>
    <s v="Online"/>
    <s v="Card"/>
    <s v="Individual"/>
    <s v="London"/>
    <s v="Electronics"/>
    <x v="327"/>
    <n v="1"/>
    <s v="Wireless Headset"/>
    <n v="60.55"/>
    <n v="35.18"/>
    <n v="25.369999999999997"/>
    <n v="0.41899256812551611"/>
  </r>
  <r>
    <s v="BC-100844"/>
    <d v="2025-09-24T00:00:00"/>
    <s v="Midlands"/>
    <s v="Corporate"/>
    <s v="Furniture"/>
    <s v="Storage Cabinet"/>
    <n v="3"/>
    <n v="156.78"/>
    <n v="105.2"/>
    <n v="0.1"/>
    <n v="1"/>
    <n v="4"/>
    <s v="No"/>
    <s v="Store"/>
    <s v="Card"/>
    <s v="Corporate"/>
    <s v="Midlands"/>
    <s v="Furniture"/>
    <x v="146"/>
    <n v="1"/>
    <s v="Storage Cabinet"/>
    <n v="423.30600000000004"/>
    <n v="315.60000000000002"/>
    <n v="107.70600000000002"/>
    <n v="0.25444005045995099"/>
  </r>
  <r>
    <s v="BC-101378"/>
    <d v="2025-05-09T00:00:00"/>
    <s v="London"/>
    <s v="Individual"/>
    <s v="Office"/>
    <s v="Wireless Mouse"/>
    <n v="2"/>
    <n v="34.659999999999997"/>
    <n v="16.73"/>
    <n v="0"/>
    <n v="4"/>
    <n v="3"/>
    <s v="Yes"/>
    <s v="Online"/>
    <s v="Bank Transfer"/>
    <s v="Individual"/>
    <s v="London"/>
    <s v="Office"/>
    <x v="334"/>
    <n v="1"/>
    <s v="Wireless Mouse"/>
    <n v="69.319999999999993"/>
    <n v="33.46"/>
    <n v="35.859999999999992"/>
    <n v="0.51731102135025964"/>
  </r>
  <r>
    <s v="BC-101762"/>
    <d v="2025-08-05T00:00:00"/>
    <s v="London"/>
    <s v="Small Business"/>
    <s v="Electronics"/>
    <s v="SmartHome Hub"/>
    <n v="1"/>
    <n v="128.69"/>
    <n v="86.91"/>
    <n v="0"/>
    <n v="0"/>
    <n v="4"/>
    <s v="No"/>
    <s v="Store"/>
    <s v="Card"/>
    <s v="Small Business"/>
    <s v="London"/>
    <s v="Electronics"/>
    <x v="256"/>
    <n v="1"/>
    <s v="SmartHome Hub"/>
    <n v="128.69"/>
    <n v="86.91"/>
    <n v="41.78"/>
    <n v="0.32465615043903956"/>
  </r>
  <r>
    <s v="BC-100159"/>
    <d v="2025-10-04T00:00:00"/>
    <s v="North"/>
    <s v="Small Business"/>
    <s v="Furniture"/>
    <s v="Storage Cabinet"/>
    <n v="3"/>
    <n v="162.19"/>
    <n v="101.7"/>
    <n v="0"/>
    <n v="4"/>
    <n v="3"/>
    <s v="Yes"/>
    <s v="Phone"/>
    <s v="Card"/>
    <s v="Small Business"/>
    <s v="North"/>
    <s v="Furniture"/>
    <x v="269"/>
    <n v="1"/>
    <s v="Storage Cabinet"/>
    <n v="486.57"/>
    <n v="305.10000000000002"/>
    <n v="181.46999999999997"/>
    <n v="0.37295764227141004"/>
  </r>
  <r>
    <s v="BC-101214"/>
    <d v="2025-06-22T00:00:00"/>
    <s v="North"/>
    <s v="Individual"/>
    <s v="Office"/>
    <s v="Desk Lamp"/>
    <n v="1"/>
    <n v="39.46"/>
    <n v="19.82"/>
    <n v="0"/>
    <n v="0"/>
    <n v="4"/>
    <s v="No"/>
    <s v="Store"/>
    <s v="Bank Transfer"/>
    <s v="Individual"/>
    <s v="North"/>
    <s v="Office"/>
    <x v="154"/>
    <n v="1"/>
    <s v="Desk Lamp"/>
    <n v="39.46"/>
    <n v="19.82"/>
    <n v="19.64"/>
    <n v="0.49771920932589964"/>
  </r>
  <r>
    <s v="BC-101574"/>
    <d v="2025-06-09T00:00:00"/>
    <s v="Midlands"/>
    <s v="Individual"/>
    <s v="Furniture"/>
    <s v="Office Chair"/>
    <n v="1"/>
    <n v="184.11"/>
    <n v="112.91"/>
    <n v="0"/>
    <n v="4"/>
    <n v="5"/>
    <s v="No"/>
    <s v="Phone"/>
    <s v="Card"/>
    <s v="Individual"/>
    <s v="Midlands"/>
    <s v="Furniture"/>
    <x v="337"/>
    <n v="1"/>
    <s v="Office Chair"/>
    <n v="184.11"/>
    <n v="112.91"/>
    <n v="71.200000000000017"/>
    <n v="0.38672532725001363"/>
  </r>
  <r>
    <s v="BC-101577"/>
    <d v="2025-07-12T00:00:00"/>
    <s v="South"/>
    <s v="Individual"/>
    <s v="Office"/>
    <s v="Desk Lamp"/>
    <n v="2"/>
    <n v="40.18"/>
    <n v="18.55"/>
    <n v="0.05"/>
    <n v="3"/>
    <n v="4"/>
    <s v="No"/>
    <s v="Store"/>
    <s v="Card"/>
    <s v="Individual"/>
    <s v="South"/>
    <s v="Office"/>
    <x v="199"/>
    <n v="1"/>
    <s v="Desk Lamp"/>
    <n v="76.341999999999999"/>
    <n v="37.1"/>
    <n v="39.241999999999997"/>
    <n v="0.51402897487621491"/>
  </r>
  <r>
    <s v="BC-101528"/>
    <d v="2025-03-26T00:00:00"/>
    <s v="South"/>
    <s v="Individual"/>
    <s v="Furniture"/>
    <s v="Side Table"/>
    <n v="1"/>
    <n v="93.48"/>
    <n v="53.12"/>
    <n v="0.1"/>
    <n v="2"/>
    <n v="4"/>
    <s v="No"/>
    <s v="Store"/>
    <s v="Card"/>
    <s v="Individual"/>
    <s v="South"/>
    <s v="Furniture"/>
    <x v="60"/>
    <n v="1"/>
    <s v="Side Table"/>
    <n v="84.132000000000005"/>
    <n v="53.12"/>
    <n v="31.012000000000008"/>
    <n v="0.36861122997194889"/>
  </r>
  <r>
    <s v="BC-100153"/>
    <d v="2025-10-18T00:00:00"/>
    <s v="South"/>
    <s v="Individual"/>
    <s v="Electronics"/>
    <s v="SmartHome Hub"/>
    <n v="1"/>
    <n v="126.49"/>
    <n v="87.38"/>
    <n v="0.15000000000000002"/>
    <n v="1"/>
    <n v="4"/>
    <s v="No"/>
    <s v="Store"/>
    <s v="Card"/>
    <s v="Individual"/>
    <s v="South"/>
    <s v="Electronics"/>
    <x v="311"/>
    <n v="1"/>
    <s v="SmartHome Hub"/>
    <n v="107.51649999999999"/>
    <n v="87.38"/>
    <n v="20.136499999999998"/>
    <n v="0.18728753261127362"/>
  </r>
  <r>
    <s v="BC-101105"/>
    <d v="2025-10-15T00:00:00"/>
    <s v="North"/>
    <s v="Individual"/>
    <s v="Furniture"/>
    <s v="Side Table"/>
    <n v="1"/>
    <n v="88.36"/>
    <n v="56.22"/>
    <n v="0.05"/>
    <n v="5"/>
    <n v="4"/>
    <s v="No"/>
    <s v="Phone"/>
    <s v="Card"/>
    <s v="Individual"/>
    <s v="North"/>
    <s v="Furniture"/>
    <x v="133"/>
    <n v="1"/>
    <s v="Side Table"/>
    <n v="83.941999999999993"/>
    <n v="56.22"/>
    <n v="27.721999999999994"/>
    <n v="0.33025184055657475"/>
  </r>
  <r>
    <s v="BC-100742"/>
    <d v="2025-10-29T00:00:00"/>
    <s v="London"/>
    <s v="Small Business"/>
    <s v="Electronics"/>
    <s v="Wireless Headset"/>
    <n v="3"/>
    <n v="59.7"/>
    <n v="35.6"/>
    <n v="0.05"/>
    <n v="4"/>
    <n v="4"/>
    <s v="No"/>
    <s v="Store"/>
    <s v="Bank Transfer"/>
    <s v="Small Business"/>
    <s v="London"/>
    <s v="Electronics"/>
    <x v="97"/>
    <n v="1"/>
    <s v="Wireless Headset"/>
    <n v="170.14500000000001"/>
    <n v="106.80000000000001"/>
    <n v="63.344999999999999"/>
    <n v="0.37230009697610861"/>
  </r>
  <r>
    <s v="BC-101136"/>
    <d v="2025-01-22T00:00:00"/>
    <s v="London"/>
    <s v="Corporate"/>
    <s v="Furniture"/>
    <s v="Bookshelf"/>
    <n v="2"/>
    <n v="118.81"/>
    <n v="75.459999999999994"/>
    <n v="0.05"/>
    <n v="6"/>
    <n v="4"/>
    <s v="No"/>
    <s v="Online"/>
    <s v="Card"/>
    <s v="Corporate"/>
    <s v="London"/>
    <s v="Furniture"/>
    <x v="327"/>
    <n v="1"/>
    <s v="Bookshelf"/>
    <n v="225.739"/>
    <n v="150.91999999999999"/>
    <n v="74.819000000000017"/>
    <n v="0.33144029166426719"/>
  </r>
  <r>
    <s v="BC-101083"/>
    <d v="2025-06-29T00:00:00"/>
    <s v="North"/>
    <s v="Individual"/>
    <s v="Furniture"/>
    <s v="Side Table"/>
    <n v="2"/>
    <n v="91.15"/>
    <n v="53.54"/>
    <n v="0"/>
    <n v="6"/>
    <n v="4"/>
    <s v="No"/>
    <s v="Store"/>
    <s v="Card"/>
    <s v="Individual"/>
    <s v="North"/>
    <s v="Furniture"/>
    <x v="57"/>
    <n v="1"/>
    <s v="Side Table"/>
    <n v="182.3"/>
    <n v="107.08"/>
    <n v="75.220000000000013"/>
    <n v="0.41261656609983549"/>
  </r>
  <r>
    <s v="BC-101583"/>
    <d v="2025-05-19T00:00:00"/>
    <s v="North"/>
    <s v="Individual"/>
    <s v="Home &amp; Kitchen"/>
    <s v="Air Fryer"/>
    <n v="2"/>
    <n v="110.48"/>
    <n v="67.62"/>
    <n v="0"/>
    <n v="4"/>
    <n v="4"/>
    <s v="No"/>
    <s v="Online"/>
    <s v="Bank Transfer"/>
    <s v="Individual"/>
    <s v="North"/>
    <s v="Home &amp; Kitchen"/>
    <x v="257"/>
    <n v="1"/>
    <s v="Air Fryer"/>
    <n v="220.96"/>
    <n v="135.24"/>
    <n v="85.72"/>
    <n v="0.38794351918899345"/>
  </r>
  <r>
    <s v="BC-100132"/>
    <d v="2025-06-12T00:00:00"/>
    <s v="North"/>
    <s v="Small Business"/>
    <s v="Office"/>
    <s v="Laptop Stand"/>
    <n v="1"/>
    <n v="44.34"/>
    <n v="21.21"/>
    <n v="0.1"/>
    <n v="4"/>
    <n v="5"/>
    <s v="No"/>
    <s v="Phone"/>
    <s v="Bank Transfer"/>
    <s v="Small Business"/>
    <s v="North"/>
    <s v="Office"/>
    <x v="25"/>
    <n v="1"/>
    <s v="Laptop Stand"/>
    <n v="39.906000000000006"/>
    <n v="21.21"/>
    <n v="18.696000000000005"/>
    <n v="0.46850097729664719"/>
  </r>
  <r>
    <s v="BC-101046"/>
    <d v="2025-06-25T00:00:00"/>
    <s v="South"/>
    <s v="Corporate"/>
    <s v="Home &amp; Kitchen"/>
    <s v="Blender"/>
    <n v="8"/>
    <n v="66.849999999999994"/>
    <n v="34.65"/>
    <n v="0.05"/>
    <n v="4"/>
    <n v="5"/>
    <s v="No"/>
    <s v="Phone"/>
    <s v="Card"/>
    <s v="Corporate"/>
    <s v="South"/>
    <s v="Home &amp; Kitchen"/>
    <x v="20"/>
    <n v="1"/>
    <s v="Blender"/>
    <n v="508.05999999999995"/>
    <n v="277.2"/>
    <n v="230.85999999999996"/>
    <n v="0.45439515017911269"/>
  </r>
  <r>
    <s v="BC-101343"/>
    <d v="2025-02-13T00:00:00"/>
    <s v="Midlands"/>
    <s v="Individual"/>
    <s v="Office"/>
    <s v="Wireless Mouse"/>
    <n v="3"/>
    <n v="35.04"/>
    <n v="16.64"/>
    <n v="0"/>
    <n v="1"/>
    <n v="5"/>
    <s v="No"/>
    <s v="Store"/>
    <s v="Bank Transfer"/>
    <s v="Individual"/>
    <s v="Midlands"/>
    <s v="Office"/>
    <x v="356"/>
    <n v="1"/>
    <s v="Wireless Mouse"/>
    <n v="105.12"/>
    <n v="49.92"/>
    <n v="55.2"/>
    <n v="0.52511415525114158"/>
  </r>
  <r>
    <s v="BC-101232"/>
    <d v="2025-11-08T00:00:00"/>
    <s v="South"/>
    <s v="Individual"/>
    <s v="Office"/>
    <s v="Wireless Mouse"/>
    <n v="2"/>
    <n v="34.96"/>
    <n v="16.809999999999999"/>
    <n v="0.05"/>
    <n v="6"/>
    <n v="4"/>
    <s v="No"/>
    <s v="Online"/>
    <s v="Bank Transfer"/>
    <s v="Individual"/>
    <s v="South"/>
    <s v="Office"/>
    <x v="124"/>
    <n v="1"/>
    <s v="Wireless Mouse"/>
    <n v="66.423999999999992"/>
    <n v="33.619999999999997"/>
    <n v="32.803999999999995"/>
    <n v="0.493857641816211"/>
  </r>
  <r>
    <s v="BC-100614"/>
    <d v="2025-06-15T00:00:00"/>
    <s v="Midlands"/>
    <s v="Individual"/>
    <s v="Office"/>
    <s v="Desk Lamp"/>
    <n v="1"/>
    <n v="39.28"/>
    <n v="19.45"/>
    <n v="0"/>
    <n v="3"/>
    <n v="4"/>
    <s v="No"/>
    <s v="Online"/>
    <s v="Card"/>
    <s v="Individual"/>
    <s v="Midlands"/>
    <s v="Office"/>
    <x v="119"/>
    <n v="1"/>
    <s v="Desk Lamp"/>
    <n v="39.28"/>
    <n v="19.45"/>
    <n v="19.830000000000002"/>
    <n v="0.50483706720977595"/>
  </r>
  <r>
    <s v="BC-100610"/>
    <d v="2025-07-14T00:00:00"/>
    <s v="London"/>
    <s v="Small Business"/>
    <s v="Electronics"/>
    <s v="Portable Speaker"/>
    <n v="1"/>
    <n v="73.75"/>
    <n v="45.02"/>
    <n v="0"/>
    <n v="2"/>
    <n v="5"/>
    <s v="No"/>
    <s v="Online"/>
    <s v="Card"/>
    <s v="Small Business"/>
    <s v="London"/>
    <s v="Electronics"/>
    <x v="130"/>
    <n v="1"/>
    <s v="Portable Speaker"/>
    <n v="73.75"/>
    <n v="45.02"/>
    <n v="28.729999999999997"/>
    <n v="0.38955932203389826"/>
  </r>
  <r>
    <s v="BC-100601"/>
    <d v="2025-02-02T00:00:00"/>
    <s v="South"/>
    <s v="Individual"/>
    <s v="Home &amp; Kitchen"/>
    <s v="Electric Kettle"/>
    <n v="1"/>
    <n v="39.380000000000003"/>
    <n v="20.97"/>
    <n v="0.1"/>
    <n v="1"/>
    <n v="3"/>
    <s v="Yes"/>
    <s v="Online"/>
    <s v="Card"/>
    <s v="Individual"/>
    <s v="South"/>
    <s v="Home &amp; Kitchen"/>
    <x v="156"/>
    <n v="1"/>
    <s v="Electric Kettle"/>
    <n v="35.442"/>
    <n v="20.97"/>
    <n v="14.472000000000001"/>
    <n v="0.40832910106653125"/>
  </r>
  <r>
    <s v="BC-100659"/>
    <d v="2025-11-03T00:00:00"/>
    <s v="South"/>
    <s v="Individual"/>
    <s v="Electronics"/>
    <s v="SmartHome Hub"/>
    <n v="2"/>
    <n v="131.79"/>
    <n v="85.95"/>
    <n v="0.05"/>
    <n v="5"/>
    <n v="4"/>
    <s v="No"/>
    <s v="Online"/>
    <s v="Card"/>
    <s v="Individual"/>
    <s v="South"/>
    <s v="Electronics"/>
    <x v="180"/>
    <n v="1"/>
    <s v="SmartHome Hub"/>
    <n v="250.40099999999998"/>
    <n v="171.9"/>
    <n v="78.500999999999976"/>
    <n v="0.31350114416475966"/>
  </r>
  <r>
    <s v="BC-100861"/>
    <d v="2025-03-27T00:00:00"/>
    <s v="Midlands"/>
    <s v="Individual"/>
    <s v="Furniture"/>
    <s v="Bookshelf"/>
    <n v="3"/>
    <n v="121.9"/>
    <n v="72.95"/>
    <n v="0"/>
    <n v="4"/>
    <n v="4"/>
    <s v="No"/>
    <s v="Online"/>
    <s v="Card"/>
    <s v="Individual"/>
    <s v="Midlands"/>
    <s v="Furniture"/>
    <x v="246"/>
    <n v="1"/>
    <s v="Bookshelf"/>
    <n v="365.70000000000005"/>
    <n v="218.85000000000002"/>
    <n v="146.85000000000002"/>
    <n v="0.40155865463494667"/>
  </r>
  <r>
    <s v="BC-101338"/>
    <d v="2025-07-27T00:00:00"/>
    <s v="Midlands"/>
    <s v="Individual"/>
    <s v="Electronics"/>
    <s v="Wireless Headset"/>
    <n v="1"/>
    <n v="59.45"/>
    <n v="35.11"/>
    <n v="0.05"/>
    <n v="0"/>
    <n v="5"/>
    <s v="No"/>
    <s v="Store"/>
    <s v="Card"/>
    <s v="Individual"/>
    <s v="Midlands"/>
    <s v="Electronics"/>
    <x v="349"/>
    <n v="1"/>
    <s v="Wireless Headset"/>
    <n v="56.477499999999999"/>
    <n v="35.11"/>
    <n v="21.3675"/>
    <n v="0.3783365056881059"/>
  </r>
  <r>
    <s v="BC-100994"/>
    <d v="2025-10-12T00:00:00"/>
    <s v="London"/>
    <s v="Individual"/>
    <s v="Electronics"/>
    <s v="Portable Speaker"/>
    <n v="1"/>
    <n v="77.72"/>
    <n v="42.83"/>
    <n v="0.05"/>
    <n v="3"/>
    <n v="5"/>
    <s v="No"/>
    <s v="Online"/>
    <s v="Card"/>
    <s v="Individual"/>
    <s v="London"/>
    <s v="Electronics"/>
    <x v="266"/>
    <n v="1"/>
    <s v="Portable Speaker"/>
    <n v="73.833999999999989"/>
    <n v="42.83"/>
    <n v="31.003999999999991"/>
    <n v="0.41991494433458831"/>
  </r>
  <r>
    <s v="BC-100243"/>
    <d v="2025-12-09T00:00:00"/>
    <s v="South"/>
    <s v="Individual"/>
    <s v="Furniture"/>
    <s v="Side Table"/>
    <n v="1"/>
    <n v="89.29"/>
    <n v="52.96"/>
    <n v="0.15000000000000002"/>
    <n v="8"/>
    <n v="4"/>
    <s v="No"/>
    <s v="Online"/>
    <s v="Card"/>
    <s v="Individual"/>
    <s v="South"/>
    <s v="Furniture"/>
    <x v="112"/>
    <n v="1"/>
    <s v="Side Table"/>
    <n v="75.896500000000003"/>
    <n v="52.96"/>
    <n v="22.936500000000002"/>
    <n v="0.30220761168169813"/>
  </r>
  <r>
    <s v="BC-101342"/>
    <d v="2025-12-11T00:00:00"/>
    <s v="London"/>
    <s v="Individual"/>
    <s v="Furniture"/>
    <s v="Storage Cabinet"/>
    <n v="1"/>
    <n v="163.72"/>
    <n v="100.62"/>
    <n v="0.05"/>
    <n v="4"/>
    <n v="4"/>
    <s v="No"/>
    <s v="Store"/>
    <s v="Digital Wallet"/>
    <s v="Individual"/>
    <s v="London"/>
    <s v="Furniture"/>
    <x v="286"/>
    <n v="1"/>
    <s v="Storage Cabinet"/>
    <n v="155.53399999999999"/>
    <n v="100.62"/>
    <n v="54.913999999999987"/>
    <n v="0.35306749649594293"/>
  </r>
  <r>
    <s v="BC-100241"/>
    <d v="2025-04-06T00:00:00"/>
    <s v="Midlands"/>
    <s v="Small Business"/>
    <s v="Office"/>
    <s v="Ergonomic Keyboard"/>
    <n v="3"/>
    <n v="69.39"/>
    <n v="39.58"/>
    <n v="0"/>
    <n v="3"/>
    <n v="5"/>
    <s v="No"/>
    <s v="Phone"/>
    <s v="Card"/>
    <s v="Small Business"/>
    <s v="Midlands"/>
    <s v="Office"/>
    <x v="107"/>
    <n v="1"/>
    <s v="Ergonomic Keyboard"/>
    <n v="208.17000000000002"/>
    <n v="118.74"/>
    <n v="89.430000000000021"/>
    <n v="0.42960080703271369"/>
  </r>
  <r>
    <s v="BC-100321"/>
    <d v="2025-11-21T00:00:00"/>
    <s v="London"/>
    <s v="Individual"/>
    <s v="Furniture"/>
    <s v="Storage Cabinet"/>
    <n v="4"/>
    <n v="163.94"/>
    <n v="101.62"/>
    <n v="0.15000000000000002"/>
    <n v="6"/>
    <n v="4"/>
    <s v="No"/>
    <s v="Online"/>
    <s v="Card"/>
    <s v="Individual"/>
    <s v="London"/>
    <s v="Furniture"/>
    <x v="300"/>
    <n v="1"/>
    <s v="Storage Cabinet"/>
    <n v="557.39599999999996"/>
    <n v="406.48"/>
    <n v="150.91599999999994"/>
    <n v="0.27075185326051848"/>
  </r>
  <r>
    <s v="BC-100290"/>
    <d v="2025-02-23T00:00:00"/>
    <s v="South"/>
    <s v="Individual"/>
    <s v="Furniture"/>
    <s v="Office Chair"/>
    <n v="1"/>
    <n v="186.65"/>
    <n v="115.76"/>
    <n v="0.05"/>
    <n v="5"/>
    <n v="3"/>
    <s v="Yes"/>
    <s v="Phone"/>
    <s v="Bank Transfer"/>
    <s v="Individual"/>
    <s v="South"/>
    <s v="Furniture"/>
    <x v="104"/>
    <n v="1"/>
    <s v="Office Chair"/>
    <n v="177.3175"/>
    <n v="115.76"/>
    <n v="61.55749999999999"/>
    <n v="0.34715975580526454"/>
  </r>
  <r>
    <s v="BC-101586"/>
    <d v="2025-05-08T00:00:00"/>
    <s v="Midlands"/>
    <s v="Individual"/>
    <s v="Electronics"/>
    <s v="Wireless Headset"/>
    <n v="1"/>
    <n v="61.98"/>
    <n v="35.6"/>
    <n v="0.1"/>
    <n v="0"/>
    <n v="4"/>
    <s v="No"/>
    <s v="Store"/>
    <s v="Card"/>
    <s v="Individual"/>
    <s v="Midlands"/>
    <s v="Electronics"/>
    <x v="326"/>
    <n v="1"/>
    <s v="Wireless Headset"/>
    <n v="55.781999999999996"/>
    <n v="35.6"/>
    <n v="20.181999999999995"/>
    <n v="0.36180129790971993"/>
  </r>
  <r>
    <s v="BC-101946"/>
    <d v="2025-02-16T00:00:00"/>
    <s v="Midlands"/>
    <s v="Individual"/>
    <s v="Electronics"/>
    <s v="Webcam"/>
    <n v="2"/>
    <n v="49.45"/>
    <n v="27.24"/>
    <n v="0"/>
    <n v="3"/>
    <n v="5"/>
    <s v="No"/>
    <s v="Online"/>
    <s v="Card"/>
    <s v="Individual"/>
    <s v="Midlands"/>
    <s v="Electronics"/>
    <x v="200"/>
    <n v="1"/>
    <s v="Webcam"/>
    <n v="98.9"/>
    <n v="54.48"/>
    <n v="44.420000000000009"/>
    <n v="0.44914054600606679"/>
  </r>
  <r>
    <s v="BC-101003"/>
    <d v="2025-04-15T00:00:00"/>
    <s v="London"/>
    <s v="Individual"/>
    <s v="Office"/>
    <s v="Laptop Stand"/>
    <n v="1"/>
    <n v="43.84"/>
    <n v="21.07"/>
    <n v="0"/>
    <n v="4"/>
    <n v="4"/>
    <s v="No"/>
    <s v="Online"/>
    <s v="Card"/>
    <s v="Individual"/>
    <s v="London"/>
    <s v="Office"/>
    <x v="323"/>
    <n v="1"/>
    <s v="Laptop Stand"/>
    <n v="43.84"/>
    <n v="21.07"/>
    <n v="22.770000000000003"/>
    <n v="0.51938868613138689"/>
  </r>
  <r>
    <s v="BC-100956"/>
    <d v="2025-11-24T00:00:00"/>
    <s v="South"/>
    <s v="Individual"/>
    <s v="Furniture"/>
    <s v="Side Table"/>
    <n v="1"/>
    <n v="90.08"/>
    <n v="55.48"/>
    <n v="0.2"/>
    <n v="4"/>
    <n v="4"/>
    <s v="No"/>
    <s v="Store"/>
    <s v="Card"/>
    <s v="Individual"/>
    <s v="South"/>
    <s v="Furniture"/>
    <x v="314"/>
    <n v="1"/>
    <s v="Side Table"/>
    <n v="72.064000000000007"/>
    <n v="55.48"/>
    <n v="16.58400000000001"/>
    <n v="0.23012877442273547"/>
  </r>
  <r>
    <s v="BC-100110"/>
    <d v="2025-10-28T00:00:00"/>
    <s v="London"/>
    <s v="Corporate"/>
    <s v="Home &amp; Kitchen"/>
    <s v="Blender"/>
    <n v="8"/>
    <n v="66.650000000000006"/>
    <n v="36.53"/>
    <n v="0.15000000000000002"/>
    <n v="3"/>
    <n v="5"/>
    <s v="No"/>
    <s v="Online"/>
    <s v="Digital Wallet"/>
    <s v="Corporate"/>
    <s v="London"/>
    <s v="Home &amp; Kitchen"/>
    <x v="357"/>
    <n v="1"/>
    <s v="Blender"/>
    <n v="453.22"/>
    <n v="292.24"/>
    <n v="160.98000000000002"/>
    <n v="0.35519173911124841"/>
  </r>
  <r>
    <s v="BC-100518"/>
    <d v="2025-03-03T00:00:00"/>
    <s v="North"/>
    <s v="Individual"/>
    <s v="Electronics"/>
    <s v="Portable Speaker"/>
    <n v="1"/>
    <n v="76.38"/>
    <n v="44.06"/>
    <n v="0.05"/>
    <n v="0"/>
    <n v="5"/>
    <s v="No"/>
    <s v="Store"/>
    <s v="Card"/>
    <s v="Individual"/>
    <s v="North"/>
    <s v="Electronics"/>
    <x v="345"/>
    <n v="1"/>
    <s v="Portable Speaker"/>
    <n v="72.560999999999993"/>
    <n v="44.06"/>
    <n v="28.500999999999991"/>
    <n v="0.39278675872713981"/>
  </r>
  <r>
    <s v="BC-101555"/>
    <d v="2025-03-17T00:00:00"/>
    <s v="Midlands"/>
    <s v="Individual"/>
    <s v="Home &amp; Kitchen"/>
    <s v="Air Fryer"/>
    <n v="1"/>
    <n v="110.86"/>
    <n v="66.06"/>
    <n v="0"/>
    <n v="4"/>
    <n v="4"/>
    <s v="No"/>
    <s v="Phone"/>
    <s v="Card"/>
    <s v="Individual"/>
    <s v="Midlands"/>
    <s v="Home &amp; Kitchen"/>
    <x v="205"/>
    <n v="1"/>
    <s v="Air Fryer"/>
    <n v="110.86"/>
    <n v="66.06"/>
    <n v="44.8"/>
    <n v="0.40411329604907087"/>
  </r>
  <r>
    <s v="BC-101724"/>
    <d v="2025-09-09T00:00:00"/>
    <s v="Midlands"/>
    <m/>
    <s v="Office"/>
    <s v="Ergonomic Keyboard"/>
    <n v="1"/>
    <n v="71.239999999999995"/>
    <n v="39.1"/>
    <n v="0"/>
    <n v="0"/>
    <n v="4"/>
    <s v="No"/>
    <s v="Store"/>
    <s v="Bank Transfer"/>
    <s v="Unknow"/>
    <s v="Midlands"/>
    <s v="Office"/>
    <x v="102"/>
    <n v="1"/>
    <s v="Ergonomic Keyboard"/>
    <n v="71.239999999999995"/>
    <n v="39.1"/>
    <n v="32.139999999999993"/>
    <n v="0.45115103874227958"/>
  </r>
  <r>
    <s v="BC-101331"/>
    <d v="2025-05-15T00:00:00"/>
    <s v="North"/>
    <s v="Small Business"/>
    <s v="Furniture"/>
    <s v="Storage Cabinet"/>
    <n v="4"/>
    <n v="161.22"/>
    <n v="101.41"/>
    <n v="0"/>
    <n v="3"/>
    <n v="5"/>
    <s v="No"/>
    <s v="Online"/>
    <s v="Bank Transfer"/>
    <s v="Small Business"/>
    <s v="North"/>
    <s v="Furniture"/>
    <x v="47"/>
    <n v="1"/>
    <s v="Storage Cabinet"/>
    <n v="644.88"/>
    <n v="405.64"/>
    <n v="239.24"/>
    <n v="0.37098374891452673"/>
  </r>
  <r>
    <s v="BC-101983"/>
    <d v="2025-09-15T00:00:00"/>
    <s v="London"/>
    <s v="Individual"/>
    <s v="Furniture"/>
    <s v="Storage Cabinet"/>
    <n v="1"/>
    <n v="160.36000000000001"/>
    <n v="104.55"/>
    <n v="0"/>
    <n v="8"/>
    <n v="4"/>
    <s v="No"/>
    <s v="Phone"/>
    <s v="Digital Wallet"/>
    <s v="Individual"/>
    <s v="London"/>
    <s v="Furniture"/>
    <x v="100"/>
    <n v="1"/>
    <s v="Storage Cabinet"/>
    <n v="160.36000000000001"/>
    <n v="104.55"/>
    <n v="55.810000000000016"/>
    <n v="0.34802943377400858"/>
  </r>
  <r>
    <s v="BC-101576"/>
    <d v="2025-02-20T00:00:00"/>
    <s v="South"/>
    <s v="Individual"/>
    <s v="Office"/>
    <s v="Ergonomic Keyboard"/>
    <n v="3"/>
    <n v="72.44"/>
    <n v="39.880000000000003"/>
    <n v="0.05"/>
    <n v="0"/>
    <n v="5"/>
    <s v="No"/>
    <s v="Store"/>
    <s v="Digital Wallet"/>
    <s v="Individual"/>
    <s v="South"/>
    <s v="Office"/>
    <x v="94"/>
    <n v="1"/>
    <s v="Ergonomic Keyboard"/>
    <n v="206.45399999999998"/>
    <n v="119.64000000000001"/>
    <n v="86.813999999999965"/>
    <n v="0.4205004504635414"/>
  </r>
  <r>
    <s v="BC-100583"/>
    <d v="2025-11-05T00:00:00"/>
    <s v="North"/>
    <s v="Individual"/>
    <s v="Furniture"/>
    <s v="Side Table"/>
    <n v="1"/>
    <n v="93.55"/>
    <n v="54.88"/>
    <n v="0.15000000000000002"/>
    <n v="5"/>
    <n v="5"/>
    <s v="No"/>
    <s v="Online"/>
    <s v="Digital Wallet"/>
    <s v="Individual"/>
    <s v="North"/>
    <s v="Furniture"/>
    <x v="347"/>
    <n v="1"/>
    <s v="Side Table"/>
    <n v="79.517499999999998"/>
    <n v="54.88"/>
    <n v="24.637499999999996"/>
    <n v="0.3098374571635174"/>
  </r>
  <r>
    <s v="BC-100400"/>
    <d v="2025-11-09T00:00:00"/>
    <s v="South"/>
    <s v="Individual"/>
    <s v="Office"/>
    <s v="Laptop Stand"/>
    <n v="1"/>
    <n v="45.68"/>
    <n v="21.11"/>
    <n v="0.15000000000000002"/>
    <n v="2"/>
    <n v="4"/>
    <s v="No"/>
    <s v="Store"/>
    <s v="Card"/>
    <s v="Individual"/>
    <s v="South"/>
    <s v="Office"/>
    <x v="67"/>
    <n v="1"/>
    <s v="Laptop Stand"/>
    <n v="38.827999999999996"/>
    <n v="21.11"/>
    <n v="17.717999999999996"/>
    <n v="0.45632018131245489"/>
  </r>
  <r>
    <s v="BC-101971"/>
    <d v="2025-11-10T00:00:00"/>
    <s v="North"/>
    <s v="Individual"/>
    <s v="Home &amp; Kitchen"/>
    <s v="Coffee Maker"/>
    <n v="2"/>
    <n v="81.93"/>
    <n v="44.46"/>
    <n v="0.05"/>
    <n v="0"/>
    <n v="4"/>
    <s v="No"/>
    <s v="Store"/>
    <s v="Card"/>
    <s v="Individual"/>
    <s v="North"/>
    <s v="Home &amp; Kitchen"/>
    <x v="280"/>
    <n v="1"/>
    <s v="Coffee Maker"/>
    <n v="155.667"/>
    <n v="88.92"/>
    <n v="66.747"/>
    <n v="0.42878066642255586"/>
  </r>
  <r>
    <s v="BC-101324"/>
    <d v="2025-12-03T00:00:00"/>
    <s v="South"/>
    <s v="Individual"/>
    <s v="Furniture"/>
    <s v="Office Chair"/>
    <n v="2"/>
    <n v="178.5"/>
    <n v="117.1"/>
    <n v="0.1"/>
    <n v="3"/>
    <n v="4"/>
    <s v="No"/>
    <s v="Store"/>
    <s v="Card"/>
    <s v="Individual"/>
    <s v="South"/>
    <s v="Furniture"/>
    <x v="108"/>
    <n v="1"/>
    <s v="Office Chair"/>
    <n v="321.3"/>
    <n v="234.2"/>
    <n v="87.100000000000023"/>
    <n v="0.27108621226268292"/>
  </r>
  <r>
    <s v="BC-101389"/>
    <d v="2025-03-20T00:00:00"/>
    <s v="Midlands"/>
    <s v="Individual"/>
    <s v="Furniture"/>
    <s v="Office Chair"/>
    <n v="2"/>
    <n v="179.98"/>
    <n v="120.49"/>
    <n v="0"/>
    <n v="7"/>
    <n v="4"/>
    <s v="No"/>
    <s v="Phone"/>
    <s v="Card"/>
    <s v="Individual"/>
    <s v="Midlands"/>
    <s v="Furniture"/>
    <x v="298"/>
    <n v="1"/>
    <s v="Office Chair"/>
    <n v="359.96"/>
    <n v="240.98"/>
    <n v="118.97999999999999"/>
    <n v="0.33053672630292252"/>
  </r>
  <r>
    <s v="BC-100634"/>
    <d v="2025-03-02T00:00:00"/>
    <s v="Midlands"/>
    <s v="Small Business"/>
    <s v="Office"/>
    <s v="Ergonomic Keyboard"/>
    <n v="2"/>
    <n v="72.72"/>
    <n v="37.92"/>
    <n v="0.05"/>
    <n v="1"/>
    <n v="4"/>
    <s v="No"/>
    <s v="Online"/>
    <s v="Card"/>
    <s v="Small Business"/>
    <s v="Midlands"/>
    <s v="Office"/>
    <x v="211"/>
    <n v="1"/>
    <s v="Ergonomic Keyboard"/>
    <n v="138.16799999999998"/>
    <n v="75.84"/>
    <n v="62.327999999999975"/>
    <n v="0.45110300503734574"/>
  </r>
  <r>
    <s v="BC-100599"/>
    <d v="2025-03-13T00:00:00"/>
    <s v="London"/>
    <s v="Small Business"/>
    <s v="Furniture"/>
    <s v="Office Chair"/>
    <n v="1"/>
    <n v="179.23"/>
    <n v="114.52"/>
    <n v="0.05"/>
    <n v="6"/>
    <n v="4"/>
    <s v="No"/>
    <s v="Online"/>
    <s v="Card"/>
    <s v="Small Business"/>
    <s v="London"/>
    <s v="Furniture"/>
    <x v="103"/>
    <n v="1"/>
    <s v="Office Chair"/>
    <n v="170.26849999999999"/>
    <n v="114.52"/>
    <n v="55.748499999999993"/>
    <n v="0.32741522947579849"/>
  </r>
  <r>
    <s v="BC-100870"/>
    <d v="2025-11-01T00:00:00"/>
    <s v="North"/>
    <s v="Individual"/>
    <s v="Furniture"/>
    <s v="Side Table"/>
    <n v="1"/>
    <n v="89.24"/>
    <n v="53.96"/>
    <n v="0.15000000000000002"/>
    <n v="4"/>
    <m/>
    <s v="No"/>
    <s v="Online"/>
    <s v="Card"/>
    <s v="Individual"/>
    <s v="North"/>
    <s v="Furniture"/>
    <x v="65"/>
    <n v="1"/>
    <s v="Side Table"/>
    <n v="75.853999999999999"/>
    <n v="53.96"/>
    <n v="21.893999999999998"/>
    <n v="0.28863342737363884"/>
  </r>
  <r>
    <s v="BC-101333"/>
    <d v="2025-04-24T00:00:00"/>
    <s v="South"/>
    <s v="Individual"/>
    <s v="Office"/>
    <s v="Wireless Mouse"/>
    <n v="1"/>
    <n v="36.08"/>
    <n v="16.690000000000001"/>
    <n v="0.15000000000000002"/>
    <n v="1"/>
    <n v="5"/>
    <s v="No"/>
    <s v="Store"/>
    <s v="Card"/>
    <s v="Individual"/>
    <s v="South"/>
    <s v="Office"/>
    <x v="278"/>
    <n v="1"/>
    <s v="Wireless Mouse"/>
    <n v="30.667999999999999"/>
    <n v="16.690000000000001"/>
    <n v="13.977999999999998"/>
    <n v="0.45578453110734313"/>
  </r>
  <r>
    <s v="BC-100871"/>
    <d v="2025-03-13T00:00:00"/>
    <s v="London"/>
    <s v="Individual"/>
    <s v="Office"/>
    <s v="Wireless Mouse"/>
    <n v="1"/>
    <n v="34.69"/>
    <n v="16.88"/>
    <n v="0"/>
    <n v="5"/>
    <n v="5"/>
    <s v="No"/>
    <s v="Online"/>
    <s v="Card"/>
    <s v="Individual"/>
    <s v="London"/>
    <s v="Office"/>
    <x v="103"/>
    <n v="1"/>
    <s v="Wireless Mouse"/>
    <n v="34.69"/>
    <n v="16.88"/>
    <n v="17.809999999999999"/>
    <n v="0.51340443931968871"/>
  </r>
  <r>
    <s v="BC-101781"/>
    <d v="2025-09-25T00:00:00"/>
    <s v="North"/>
    <s v="Small Business"/>
    <s v="Electronics"/>
    <s v="SmartHome Hub"/>
    <n v="2"/>
    <n v="134.21"/>
    <n v="86.79"/>
    <n v="0.05"/>
    <n v="2"/>
    <n v="4"/>
    <s v="No"/>
    <s v="Phone"/>
    <s v="Digital Wallet"/>
    <s v="Small Business"/>
    <s v="North"/>
    <s v="Electronics"/>
    <x v="213"/>
    <n v="1"/>
    <s v="SmartHome Hub"/>
    <n v="254.999"/>
    <n v="173.58"/>
    <n v="81.418999999999983"/>
    <n v="0.31929144820175759"/>
  </r>
  <r>
    <s v="BC-100361"/>
    <d v="2025-10-01T00:00:00"/>
    <s v="Midlands"/>
    <s v="Small Business"/>
    <s v="Home &amp; Kitchen"/>
    <s v="Air Fryer"/>
    <n v="3"/>
    <n v="113"/>
    <n v="67.02"/>
    <n v="0"/>
    <n v="3"/>
    <n v="5"/>
    <s v="No"/>
    <s v="Phone"/>
    <s v="Card"/>
    <s v="Small Business"/>
    <s v="Midlands"/>
    <s v="Home &amp; Kitchen"/>
    <x v="128"/>
    <n v="1"/>
    <s v="Air Fryer"/>
    <n v="339"/>
    <n v="201.06"/>
    <n v="137.94"/>
    <n v="0.40690265486725663"/>
  </r>
  <r>
    <s v="BC-101317"/>
    <d v="2025-03-19T00:00:00"/>
    <s v="North"/>
    <s v="Individual"/>
    <s v="Furniture"/>
    <s v="Storage Cabinet"/>
    <n v="4"/>
    <n v="164.44"/>
    <n v="101.69"/>
    <n v="0"/>
    <n v="1"/>
    <n v="5"/>
    <s v="No"/>
    <s v="Store"/>
    <s v="Bank Transfer"/>
    <s v="Individual"/>
    <s v="North"/>
    <s v="Furniture"/>
    <x v="93"/>
    <n v="1"/>
    <s v="Storage Cabinet"/>
    <n v="657.76"/>
    <n v="406.76"/>
    <n v="251"/>
    <n v="0.38159815130138652"/>
  </r>
  <r>
    <s v="BC-101650"/>
    <d v="2025-07-20T00:00:00"/>
    <s v="North"/>
    <s v="Individual"/>
    <s v="Office"/>
    <s v="Wireless Mouse"/>
    <n v="3"/>
    <n v="36.25"/>
    <n v="17.62"/>
    <n v="0.1"/>
    <n v="4"/>
    <n v="4"/>
    <s v="No"/>
    <s v="Online"/>
    <s v="Card"/>
    <s v="Individual"/>
    <s v="North"/>
    <s v="Office"/>
    <x v="101"/>
    <n v="1"/>
    <s v="Wireless Mouse"/>
    <n v="97.875"/>
    <n v="52.86"/>
    <n v="45.015000000000001"/>
    <n v="0.45992337164750957"/>
  </r>
  <r>
    <s v="BC-101540"/>
    <d v="2025-05-20T00:00:00"/>
    <s v="London"/>
    <s v="Individual"/>
    <s v="Electronics"/>
    <s v="Webcam"/>
    <n v="1"/>
    <n v="48.99"/>
    <n v="26.07"/>
    <n v="0"/>
    <n v="3"/>
    <n v="4"/>
    <s v="No"/>
    <s v="Online"/>
    <s v="Bank Transfer"/>
    <s v="Individual"/>
    <s v="London"/>
    <s v="Electronics"/>
    <x v="127"/>
    <n v="1"/>
    <s v="Webcam"/>
    <n v="48.99"/>
    <n v="26.07"/>
    <n v="22.92"/>
    <n v="0.46785058175137784"/>
  </r>
  <r>
    <s v="BC-100055"/>
    <d v="2025-04-23T00:00:00"/>
    <s v="North"/>
    <s v="Individual"/>
    <s v="Electronics"/>
    <s v="SmartHome Hub"/>
    <n v="1"/>
    <n v="134.41"/>
    <n v="83.6"/>
    <n v="0.05"/>
    <n v="4"/>
    <n v="4"/>
    <s v="No"/>
    <s v="Online"/>
    <s v="Bank Transfer"/>
    <s v="Individual"/>
    <s v="North"/>
    <s v="Electronics"/>
    <x v="84"/>
    <n v="1"/>
    <s v="SmartHome Hub"/>
    <n v="127.6895"/>
    <n v="83.6"/>
    <n v="44.089500000000001"/>
    <n v="0.34528680901718622"/>
  </r>
  <r>
    <s v="BC-101356"/>
    <d v="2025-01-16T00:00:00"/>
    <s v="Midlands"/>
    <s v="Individual"/>
    <s v="Furniture"/>
    <s v="Storage Cabinet"/>
    <n v="1"/>
    <n v="165.12"/>
    <n v="103.99"/>
    <n v="0.1"/>
    <n v="4"/>
    <n v="4"/>
    <s v="No"/>
    <s v="Online"/>
    <s v="Digital Wallet"/>
    <s v="Individual"/>
    <s v="Midlands"/>
    <s v="Furniture"/>
    <x v="79"/>
    <n v="1"/>
    <s v="Storage Cabinet"/>
    <n v="148.608"/>
    <n v="103.99"/>
    <n v="44.618000000000009"/>
    <n v="0.30023955641688205"/>
  </r>
  <r>
    <s v="BC-101179"/>
    <d v="2025-09-14T00:00:00"/>
    <s v="Midlands"/>
    <s v="Individual"/>
    <s v="Home &amp; Kitchen"/>
    <s v="Coffee Maker"/>
    <n v="3"/>
    <n v="82.3"/>
    <n v="44.57"/>
    <n v="0"/>
    <n v="4"/>
    <n v="4"/>
    <s v="No"/>
    <s v="Online"/>
    <s v="Card"/>
    <s v="Individual"/>
    <s v="Midlands"/>
    <s v="Home &amp; Kitchen"/>
    <x v="110"/>
    <n v="1"/>
    <s v="Coffee Maker"/>
    <n v="246.89999999999998"/>
    <n v="133.71"/>
    <n v="113.18999999999997"/>
    <n v="0.45844471445929519"/>
  </r>
  <r>
    <s v="BC-100565"/>
    <d v="2025-06-04T00:00:00"/>
    <s v="London"/>
    <s v="Individual"/>
    <s v="Home &amp; Kitchen"/>
    <s v="Coffee Maker"/>
    <n v="1"/>
    <n v="80.55"/>
    <n v="45.45"/>
    <n v="0.05"/>
    <n v="4"/>
    <n v="5"/>
    <s v="No"/>
    <s v="Online"/>
    <s v="Card"/>
    <s v="Individual"/>
    <s v="London"/>
    <s v="Home &amp; Kitchen"/>
    <x v="175"/>
    <n v="1"/>
    <s v="Coffee Maker"/>
    <n v="76.522499999999994"/>
    <n v="45.45"/>
    <n v="31.072499999999991"/>
    <n v="0.40605704204645682"/>
  </r>
  <r>
    <s v="BC-100422"/>
    <d v="2025-06-12T00:00:00"/>
    <s v="South"/>
    <s v="Individual"/>
    <s v="Electronics"/>
    <s v="SmartHome Hub"/>
    <n v="3"/>
    <n v="130.44999999999999"/>
    <n v="86.17"/>
    <n v="0"/>
    <n v="6"/>
    <n v="4"/>
    <s v="No"/>
    <s v="Online"/>
    <s v="Card"/>
    <s v="Individual"/>
    <s v="South"/>
    <s v="Electronics"/>
    <x v="25"/>
    <n v="1"/>
    <s v="SmartHome Hub"/>
    <n v="391.34999999999997"/>
    <n v="258.51"/>
    <n v="132.83999999999997"/>
    <n v="0.33944039862016095"/>
  </r>
  <r>
    <s v="BC-101695"/>
    <d v="2025-08-28T00:00:00"/>
    <s v="London"/>
    <s v="Small Business"/>
    <s v="Electronics"/>
    <s v="Webcam"/>
    <n v="2"/>
    <n v="51.53"/>
    <n v="27.26"/>
    <n v="0.1"/>
    <n v="0"/>
    <n v="5"/>
    <s v="No"/>
    <s v="Store"/>
    <s v="Bank Transfer"/>
    <s v="Small Business"/>
    <s v="London"/>
    <s v="Electronics"/>
    <x v="302"/>
    <n v="1"/>
    <s v="Webcam"/>
    <n v="92.754000000000005"/>
    <n v="54.52"/>
    <n v="38.234000000000002"/>
    <n v="0.41220863790240853"/>
  </r>
  <r>
    <s v="BC-101000"/>
    <d v="2025-11-25T00:00:00"/>
    <s v="North"/>
    <s v="Small Business"/>
    <s v="Electronics"/>
    <s v="Portable Speaker"/>
    <n v="1"/>
    <n v="76.28"/>
    <n v="42.91"/>
    <n v="0.15000000000000002"/>
    <n v="3"/>
    <n v="5"/>
    <s v="No"/>
    <s v="Online"/>
    <s v="Card"/>
    <s v="Small Business"/>
    <s v="North"/>
    <s v="Electronics"/>
    <x v="10"/>
    <n v="1"/>
    <s v="Portable Speaker"/>
    <n v="64.837999999999994"/>
    <n v="42.91"/>
    <n v="21.927999999999997"/>
    <n v="0.33819673648169285"/>
  </r>
  <r>
    <s v="BC-101279"/>
    <d v="2025-05-14T00:00:00"/>
    <s v="North"/>
    <s v="Small Business"/>
    <s v="Office"/>
    <s v="Desk Lamp"/>
    <n v="3"/>
    <n v="41.3"/>
    <n v="19.149999999999999"/>
    <n v="0.1"/>
    <n v="0"/>
    <n v="4"/>
    <s v="No"/>
    <s v="Store"/>
    <s v="Card"/>
    <s v="Small Business"/>
    <s v="North"/>
    <s v="Office"/>
    <x v="159"/>
    <n v="1"/>
    <s v="Desk Lamp"/>
    <n v="111.50999999999999"/>
    <n v="57.449999999999996"/>
    <n v="54.059999999999995"/>
    <n v="0.48479956954533227"/>
  </r>
  <r>
    <s v="BC-100921"/>
    <d v="2025-09-21T00:00:00"/>
    <s v="London"/>
    <s v="Small Business"/>
    <s v="Electronics"/>
    <s v="Webcam"/>
    <n v="2"/>
    <n v="48.57"/>
    <n v="25.88"/>
    <n v="0.05"/>
    <n v="0"/>
    <n v="4"/>
    <s v="No"/>
    <s v="Store"/>
    <s v="Bank Transfer"/>
    <s v="Small Business"/>
    <s v="London"/>
    <s v="Electronics"/>
    <x v="297"/>
    <n v="1"/>
    <s v="Webcam"/>
    <n v="92.283000000000001"/>
    <n v="51.76"/>
    <n v="40.523000000000003"/>
    <n v="0.43911663036528942"/>
  </r>
  <r>
    <s v="BC-101478"/>
    <d v="2025-05-24T00:00:00"/>
    <s v="London"/>
    <s v="Individual"/>
    <s v="Electronics"/>
    <s v="Wireless Headset"/>
    <n v="1"/>
    <n v="61.8"/>
    <n v="35.51"/>
    <n v="0.05"/>
    <n v="2"/>
    <n v="4"/>
    <s v="No"/>
    <s v="Store"/>
    <s v="Digital Wallet"/>
    <s v="Individual"/>
    <s v="London"/>
    <s v="Electronics"/>
    <x v="265"/>
    <n v="1"/>
    <s v="Wireless Headset"/>
    <n v="58.709999999999994"/>
    <n v="35.51"/>
    <n v="23.199999999999996"/>
    <n v="0.39516266394140687"/>
  </r>
  <r>
    <s v="BC-100504"/>
    <d v="2025-08-28T00:00:00"/>
    <s v="South"/>
    <s v="Individual"/>
    <s v="Electronics"/>
    <s v="Portable Speaker"/>
    <n v="3"/>
    <n v="73.27"/>
    <n v="44.48"/>
    <n v="0.05"/>
    <n v="5"/>
    <n v="4"/>
    <s v="No"/>
    <s v="Online"/>
    <s v="Bank Transfer"/>
    <s v="Individual"/>
    <s v="South"/>
    <s v="Electronics"/>
    <x v="302"/>
    <n v="1"/>
    <s v="Portable Speaker"/>
    <n v="208.81950000000001"/>
    <n v="133.44"/>
    <n v="75.379500000000007"/>
    <n v="0.36097921889478712"/>
  </r>
  <r>
    <s v="BC-100348"/>
    <d v="2025-06-23T00:00:00"/>
    <s v="Midlands"/>
    <s v="Individual"/>
    <s v="Office"/>
    <s v="Laptop Stand"/>
    <n v="2"/>
    <n v="46.45"/>
    <n v="21.78"/>
    <n v="0"/>
    <n v="2"/>
    <n v="4"/>
    <s v="No"/>
    <s v="Store"/>
    <s v="Card"/>
    <s v="Individual"/>
    <s v="Midlands"/>
    <s v="Office"/>
    <x v="41"/>
    <n v="1"/>
    <s v="Laptop Stand"/>
    <n v="92.9"/>
    <n v="43.56"/>
    <n v="49.34"/>
    <n v="0.53110871905274493"/>
  </r>
  <r>
    <s v="BC-101434"/>
    <d v="2025-06-07T00:00:00"/>
    <s v="Midlands"/>
    <s v="Individual"/>
    <s v="Furniture"/>
    <s v="Office Chair"/>
    <n v="1"/>
    <n v="179.54"/>
    <n v="111.64"/>
    <n v="0.1"/>
    <n v="4"/>
    <n v="4"/>
    <s v="No"/>
    <s v="Online"/>
    <s v="Digital Wallet"/>
    <s v="Individual"/>
    <s v="Midlands"/>
    <s v="Furniture"/>
    <x v="98"/>
    <n v="1"/>
    <s v="Office Chair"/>
    <n v="161.58599999999998"/>
    <n v="111.64"/>
    <n v="49.945999999999984"/>
    <n v="0.30909856051885676"/>
  </r>
  <r>
    <s v="BC-101938"/>
    <d v="2025-07-26T00:00:00"/>
    <s v="South"/>
    <s v="Individual"/>
    <s v="Home &amp; Kitchen"/>
    <s v="Air Fryer"/>
    <n v="2"/>
    <n v="110.21"/>
    <n v="65.349999999999994"/>
    <n v="0"/>
    <n v="4"/>
    <n v="4"/>
    <s v="No"/>
    <s v="Online"/>
    <s v="Digital Wallet"/>
    <s v="Individual"/>
    <s v="South"/>
    <s v="Home &amp; Kitchen"/>
    <x v="352"/>
    <n v="1"/>
    <s v="Air Fryer"/>
    <n v="220.42"/>
    <n v="130.69999999999999"/>
    <n v="89.72"/>
    <n v="0.40704110334815352"/>
  </r>
  <r>
    <s v="BC-101162"/>
    <d v="2025-11-02T00:00:00"/>
    <s v="South"/>
    <s v="Small Business"/>
    <s v="Furniture"/>
    <s v="Office Chair"/>
    <n v="1"/>
    <n v="174.74"/>
    <n v="117.05"/>
    <n v="0.05"/>
    <n v="5"/>
    <n v="4"/>
    <s v="No"/>
    <s v="Store"/>
    <s v="Bank Transfer"/>
    <s v="Small Business"/>
    <s v="South"/>
    <s v="Furniture"/>
    <x v="44"/>
    <n v="1"/>
    <s v="Office Chair"/>
    <n v="166.00300000000001"/>
    <n v="117.05"/>
    <n v="48.953000000000017"/>
    <n v="0.29489226098323534"/>
  </r>
  <r>
    <s v="BC-101645"/>
    <d v="2025-12-14T00:00:00"/>
    <s v="South"/>
    <s v="Corporate"/>
    <s v="Electronics"/>
    <s v="Portable Speaker"/>
    <n v="4"/>
    <n v="74.61"/>
    <n v="42.62"/>
    <n v="0.25"/>
    <n v="2"/>
    <n v="5"/>
    <s v="No"/>
    <s v="Store"/>
    <s v="Card"/>
    <s v="Corporate"/>
    <s v="South"/>
    <s v="Electronics"/>
    <x v="166"/>
    <n v="1"/>
    <s v="Portable Speaker"/>
    <n v="223.82999999999998"/>
    <n v="170.48"/>
    <n v="53.349999999999994"/>
    <n v="0.23835053388732519"/>
  </r>
  <r>
    <s v="BC-101168"/>
    <d v="2025-01-01T00:00:00"/>
    <s v="London"/>
    <s v="Small Business"/>
    <s v="Electronics"/>
    <s v="Wireless Headset"/>
    <n v="6"/>
    <n v="61.97"/>
    <n v="33.549999999999997"/>
    <n v="0"/>
    <n v="2"/>
    <n v="4"/>
    <s v="No"/>
    <s v="Online"/>
    <s v="Card"/>
    <s v="Small Business"/>
    <s v="London"/>
    <s v="Electronics"/>
    <x v="34"/>
    <n v="1"/>
    <s v="Wireless Headset"/>
    <n v="371.82"/>
    <n v="201.29999999999998"/>
    <n v="170.52"/>
    <n v="0.45860900435694696"/>
  </r>
  <r>
    <s v="BC-100315"/>
    <d v="2025-08-11T00:00:00"/>
    <s v="Midlands"/>
    <s v="Small Business"/>
    <s v="Furniture"/>
    <s v="Bookshelf"/>
    <n v="5"/>
    <n v="119.19"/>
    <n v="70.45"/>
    <n v="0"/>
    <n v="3"/>
    <n v="5"/>
    <s v="No"/>
    <s v="Online"/>
    <s v="Card"/>
    <s v="Small Business"/>
    <s v="Midlands"/>
    <s v="Furniture"/>
    <x v="148"/>
    <n v="1"/>
    <s v="Bookshelf"/>
    <n v="595.95000000000005"/>
    <n v="352.25"/>
    <n v="243.70000000000005"/>
    <n v="0.40892692339961412"/>
  </r>
  <r>
    <s v="BC-101185"/>
    <d v="2025-08-14T00:00:00"/>
    <s v="London"/>
    <s v="Individual"/>
    <s v="Office"/>
    <s v="Wireless Mouse"/>
    <n v="1"/>
    <n v="35.89"/>
    <n v="17.670000000000002"/>
    <n v="0.05"/>
    <n v="0"/>
    <n v="5"/>
    <s v="No"/>
    <s v="Store"/>
    <s v="Digital Wallet"/>
    <s v="Individual"/>
    <s v="London"/>
    <s v="Office"/>
    <x v="165"/>
    <n v="1"/>
    <s v="Wireless Mouse"/>
    <n v="34.095500000000001"/>
    <n v="17.670000000000002"/>
    <n v="16.4255"/>
    <n v="0.48174979102814153"/>
  </r>
  <r>
    <s v="BC-101811"/>
    <d v="2025-08-07T00:00:00"/>
    <s v="London"/>
    <s v="Corporate"/>
    <s v="Furniture"/>
    <s v="Side Table"/>
    <n v="6"/>
    <n v="91.25"/>
    <n v="52.65"/>
    <n v="0.1"/>
    <n v="8"/>
    <n v="4"/>
    <s v="No"/>
    <s v="Online"/>
    <s v="Card"/>
    <s v="Corporate"/>
    <s v="London"/>
    <s v="Furniture"/>
    <x v="343"/>
    <n v="1"/>
    <s v="Side Table"/>
    <n v="492.75"/>
    <n v="315.89999999999998"/>
    <n v="176.85000000000002"/>
    <n v="0.35890410958904112"/>
  </r>
  <r>
    <s v="BC-100223"/>
    <d v="2025-06-06T00:00:00"/>
    <s v="London"/>
    <s v="Individual"/>
    <s v="Electronics"/>
    <s v="Webcam"/>
    <n v="3"/>
    <n v="48.99"/>
    <n v="25.59"/>
    <n v="0.05"/>
    <n v="2"/>
    <n v="4"/>
    <s v="No"/>
    <s v="Phone"/>
    <s v="Digital Wallet"/>
    <s v="Individual"/>
    <s v="London"/>
    <s v="Electronics"/>
    <x v="236"/>
    <n v="1"/>
    <s v="Webcam"/>
    <n v="139.6215"/>
    <n v="76.77"/>
    <n v="62.851500000000001"/>
    <n v="0.45015631546717377"/>
  </r>
  <r>
    <s v="BC-101392"/>
    <d v="2025-12-17T00:00:00"/>
    <s v="South"/>
    <s v="Individual"/>
    <s v="Home &amp; Kitchen"/>
    <s v="Air Fryer"/>
    <n v="2"/>
    <n v="108.59"/>
    <n v="65.87"/>
    <n v="0.1"/>
    <n v="3"/>
    <n v="4"/>
    <s v="No"/>
    <s v="Online"/>
    <s v="Card"/>
    <s v="Individual"/>
    <s v="South"/>
    <s v="Home &amp; Kitchen"/>
    <x v="95"/>
    <n v="1"/>
    <s v="Air Fryer"/>
    <n v="195.46200000000002"/>
    <n v="131.74"/>
    <n v="63.722000000000008"/>
    <n v="0.32600710112451525"/>
  </r>
  <r>
    <s v="BC-100627"/>
    <d v="2025-10-25T00:00:00"/>
    <s v="London"/>
    <s v="Individual"/>
    <s v="Office"/>
    <s v="Wireless Mouse"/>
    <n v="4"/>
    <n v="33.99"/>
    <n v="17.05"/>
    <n v="0.05"/>
    <n v="3"/>
    <n v="5"/>
    <s v="No"/>
    <s v="Online"/>
    <s v="Card"/>
    <s v="Individual"/>
    <s v="London"/>
    <s v="Office"/>
    <x v="138"/>
    <n v="1"/>
    <s v="Wireless Mouse"/>
    <n v="129.16200000000001"/>
    <n v="68.2"/>
    <n v="60.962000000000003"/>
    <n v="0.47198092318174079"/>
  </r>
  <r>
    <s v="BC-101849"/>
    <d v="2025-10-03T00:00:00"/>
    <s v="North"/>
    <s v="Individual"/>
    <s v="Electronics"/>
    <s v="Webcam"/>
    <n v="1"/>
    <n v="51.27"/>
    <n v="26.54"/>
    <n v="0"/>
    <n v="0"/>
    <n v="4"/>
    <s v="No"/>
    <s v="Store"/>
    <s v="Digital Wallet"/>
    <s v="Individual"/>
    <s v="North"/>
    <s v="Electronics"/>
    <x v="358"/>
    <n v="1"/>
    <s v="Webcam"/>
    <n v="51.27"/>
    <n v="26.54"/>
    <n v="24.730000000000004"/>
    <n v="0.48234835186268776"/>
  </r>
  <r>
    <s v="BC-101285"/>
    <d v="2025-10-13T00:00:00"/>
    <s v="London"/>
    <s v="Individual"/>
    <s v="Office"/>
    <s v="Wireless Mouse"/>
    <n v="1"/>
    <n v="35.49"/>
    <n v="17.45"/>
    <n v="0.05"/>
    <n v="2"/>
    <n v="5"/>
    <s v="No"/>
    <s v="Store"/>
    <s v="Card"/>
    <s v="Individual"/>
    <s v="London"/>
    <s v="Office"/>
    <x v="52"/>
    <n v="1"/>
    <s v="Wireless Mouse"/>
    <n v="33.715499999999999"/>
    <n v="17.45"/>
    <n v="16.265499999999999"/>
    <n v="0.48243389538936099"/>
  </r>
  <r>
    <s v="BC-100246"/>
    <d v="2025-04-30T00:00:00"/>
    <s v="London"/>
    <s v="Small Business"/>
    <s v="Home &amp; Kitchen"/>
    <s v="Air Fryer"/>
    <n v="3"/>
    <n v="111.93"/>
    <n v="67.819999999999993"/>
    <n v="0.05"/>
    <n v="0"/>
    <n v="4"/>
    <s v="No"/>
    <s v="Store"/>
    <s v="Card"/>
    <s v="Small Business"/>
    <s v="London"/>
    <s v="Home &amp; Kitchen"/>
    <x v="231"/>
    <n v="1"/>
    <s v="Air Fryer"/>
    <n v="319.00049999999999"/>
    <n v="203.45999999999998"/>
    <n v="115.54050000000001"/>
    <n v="0.36219535706056893"/>
  </r>
  <r>
    <s v="BC-100187"/>
    <d v="2025-05-12T00:00:00"/>
    <s v="London"/>
    <s v="Individual"/>
    <s v="Electronics"/>
    <s v="Wireless Headset"/>
    <n v="2"/>
    <n v="58.48"/>
    <n v="34.81"/>
    <n v="0"/>
    <n v="3"/>
    <n v="5"/>
    <s v="No"/>
    <s v="Online"/>
    <s v="Card"/>
    <s v="Individual"/>
    <s v="London"/>
    <s v="Electronics"/>
    <x v="296"/>
    <n v="1"/>
    <s v="Wireless Headset"/>
    <n v="116.96"/>
    <n v="69.62"/>
    <n v="47.339999999999989"/>
    <n v="0.40475376196990415"/>
  </r>
  <r>
    <s v="BC-100070"/>
    <d v="2025-03-16T00:00:00"/>
    <s v="North"/>
    <s v="Corporate"/>
    <s v="Electronics"/>
    <s v="Webcam"/>
    <n v="10"/>
    <n v="49.34"/>
    <n v="25.72"/>
    <n v="0.15000000000000002"/>
    <n v="6"/>
    <n v="4"/>
    <s v="No"/>
    <s v="Online"/>
    <s v="Card"/>
    <s v="Corporate"/>
    <s v="North"/>
    <s v="Electronics"/>
    <x v="324"/>
    <n v="1"/>
    <s v="Webcam"/>
    <n v="419.39000000000004"/>
    <n v="257.2"/>
    <n v="162.19000000000005"/>
    <n v="0.38672834354657964"/>
  </r>
  <r>
    <s v="BC-101931"/>
    <d v="2025-11-11T00:00:00"/>
    <s v="London"/>
    <s v="Small Business"/>
    <s v="Office"/>
    <s v="Ergonomic Keyboard"/>
    <n v="2"/>
    <n v="69.03"/>
    <n v="37.15"/>
    <n v="0.1"/>
    <n v="3"/>
    <n v="5"/>
    <s v="No"/>
    <s v="Online"/>
    <s v="Card"/>
    <s v="Small Business"/>
    <s v="London"/>
    <s v="Office"/>
    <x v="274"/>
    <n v="1"/>
    <s v="Ergonomic Keyboard"/>
    <n v="124.254"/>
    <n v="74.3"/>
    <n v="49.954000000000008"/>
    <n v="0.40203132293527777"/>
  </r>
  <r>
    <s v="BC-101002"/>
    <d v="2025-10-08T00:00:00"/>
    <s v="North"/>
    <s v="Individual"/>
    <s v="Office"/>
    <s v="Wireless Mouse"/>
    <n v="1"/>
    <n v="35.24"/>
    <n v="17.28"/>
    <n v="0.05"/>
    <n v="3"/>
    <n v="5"/>
    <s v="No"/>
    <s v="Online"/>
    <s v="Card"/>
    <s v="Individual"/>
    <s v="North"/>
    <s v="Office"/>
    <x v="27"/>
    <n v="1"/>
    <s v="Wireless Mouse"/>
    <n v="33.478000000000002"/>
    <n v="17.28"/>
    <n v="16.198"/>
    <n v="0.48384013381922458"/>
  </r>
  <r>
    <s v="BC-100668"/>
    <d v="2025-11-25T00:00:00"/>
    <s v="North"/>
    <s v="Small Business"/>
    <s v="Electronics"/>
    <s v="Wireless Headset"/>
    <n v="1"/>
    <n v="59.29"/>
    <n v="35.200000000000003"/>
    <n v="0.1"/>
    <n v="2"/>
    <n v="4"/>
    <s v="No"/>
    <s v="Online"/>
    <s v="Card"/>
    <s v="Small Business"/>
    <s v="North"/>
    <s v="Electronics"/>
    <x v="10"/>
    <n v="1"/>
    <s v="Wireless Headset"/>
    <n v="53.360999999999997"/>
    <n v="35.200000000000003"/>
    <n v="18.160999999999994"/>
    <n v="0.34034219748505457"/>
  </r>
  <r>
    <s v="BC-101163"/>
    <d v="2025-10-11T00:00:00"/>
    <s v="Midlands"/>
    <s v="Individual"/>
    <s v="Home &amp; Kitchen"/>
    <s v="Air Fryer"/>
    <n v="1"/>
    <n v="109.39"/>
    <n v="66.94"/>
    <n v="0.05"/>
    <n v="3"/>
    <n v="4"/>
    <s v="No"/>
    <s v="Store"/>
    <s v="Card"/>
    <s v="Individual"/>
    <s v="Midlands"/>
    <s v="Home &amp; Kitchen"/>
    <x v="328"/>
    <n v="1"/>
    <s v="Air Fryer"/>
    <n v="103.92049999999999"/>
    <n v="66.94"/>
    <n v="36.980499999999992"/>
    <n v="0.35585375359048499"/>
  </r>
  <r>
    <s v="BC-101547"/>
    <d v="2025-07-26T00:00:00"/>
    <s v="Midlands"/>
    <s v="Individual"/>
    <s v="Furniture"/>
    <s v="Side Table"/>
    <n v="1"/>
    <n v="92.01"/>
    <n v="52.45"/>
    <n v="0"/>
    <n v="4"/>
    <m/>
    <s v="No"/>
    <s v="Phone"/>
    <s v="Digital Wallet"/>
    <s v="Individual"/>
    <s v="Midlands"/>
    <s v="Furniture"/>
    <x v="352"/>
    <n v="1"/>
    <s v="Side Table"/>
    <n v="92.01"/>
    <n v="52.45"/>
    <n v="39.56"/>
    <n v="0.42995326594935335"/>
  </r>
  <r>
    <s v="BC-101669"/>
    <d v="2025-07-03T00:00:00"/>
    <s v="South"/>
    <s v="Individual"/>
    <s v="Home &amp; Kitchen"/>
    <s v="Blender"/>
    <n v="1"/>
    <n v="63.25"/>
    <n v="36.119999999999997"/>
    <n v="0.1"/>
    <n v="2"/>
    <n v="4"/>
    <s v="No"/>
    <s v="Store"/>
    <s v="Card"/>
    <s v="Individual"/>
    <s v="South"/>
    <s v="Home &amp; Kitchen"/>
    <x v="152"/>
    <n v="1"/>
    <s v="Blender"/>
    <n v="56.925000000000004"/>
    <n v="36.119999999999997"/>
    <n v="20.805000000000007"/>
    <n v="0.36548089591567862"/>
  </r>
  <r>
    <s v="BC-101601"/>
    <d v="2025-08-31T00:00:00"/>
    <s v="London"/>
    <s v="Individual"/>
    <s v="Home &amp; Kitchen"/>
    <s v="Electric Kettle"/>
    <n v="1"/>
    <n v="39.56"/>
    <n v="19.53"/>
    <n v="0.05"/>
    <n v="6"/>
    <n v="3"/>
    <s v="Yes"/>
    <s v="Online"/>
    <s v="Card"/>
    <s v="Individual"/>
    <s v="London"/>
    <s v="Home &amp; Kitchen"/>
    <x v="308"/>
    <n v="1"/>
    <s v="Electric Kettle"/>
    <n v="37.582000000000001"/>
    <n v="19.53"/>
    <n v="18.052"/>
    <n v="0.48033633122239366"/>
  </r>
  <r>
    <s v="BC-101709"/>
    <d v="2025-12-27T00:00:00"/>
    <s v="Midlands"/>
    <s v="Small Business"/>
    <s v="Electronics"/>
    <s v="Wireless Headset"/>
    <n v="4"/>
    <n v="59"/>
    <n v="33.200000000000003"/>
    <n v="0.15000000000000002"/>
    <n v="0"/>
    <n v="4"/>
    <s v="No"/>
    <s v="Store"/>
    <s v="Digital Wallet"/>
    <s v="Small Business"/>
    <s v="Midlands"/>
    <s v="Electronics"/>
    <x v="125"/>
    <n v="1"/>
    <s v="Wireless Headset"/>
    <n v="200.6"/>
    <n v="132.80000000000001"/>
    <n v="67.799999999999983"/>
    <n v="0.33798604187437681"/>
  </r>
  <r>
    <s v="BC-100727"/>
    <d v="2025-04-18T00:00:00"/>
    <s v="North"/>
    <s v="Individual"/>
    <s v="Electronics"/>
    <s v="Webcam"/>
    <n v="1"/>
    <n v="49.99"/>
    <n v="26.78"/>
    <n v="0"/>
    <n v="4"/>
    <n v="4"/>
    <s v="No"/>
    <s v="Online"/>
    <s v="Bank Transfer"/>
    <s v="Individual"/>
    <s v="North"/>
    <s v="Electronics"/>
    <x v="72"/>
    <n v="1"/>
    <s v="Webcam"/>
    <n v="49.99"/>
    <n v="26.78"/>
    <n v="23.21"/>
    <n v="0.46429285857171432"/>
  </r>
  <r>
    <s v="BC-100577"/>
    <d v="2025-02-02T00:00:00"/>
    <s v="North"/>
    <s v="Small Business"/>
    <s v="Office"/>
    <s v="Laptop Stand"/>
    <n v="3"/>
    <n v="44.55"/>
    <n v="20.87"/>
    <n v="0"/>
    <n v="0"/>
    <n v="5"/>
    <s v="No"/>
    <s v="Store"/>
    <s v="Card"/>
    <s v="Small Business"/>
    <s v="North"/>
    <s v="Office"/>
    <x v="156"/>
    <n v="1"/>
    <s v="Laptop Stand"/>
    <n v="133.64999999999998"/>
    <n v="62.61"/>
    <n v="71.039999999999978"/>
    <n v="0.53153759820426483"/>
  </r>
  <r>
    <s v="BC-101510"/>
    <d v="2025-12-16T00:00:00"/>
    <s v="London"/>
    <s v="Individual"/>
    <s v="Electronics"/>
    <s v="SmartHome Hub"/>
    <n v="1"/>
    <n v="130.28"/>
    <n v="85.86"/>
    <n v="0.05"/>
    <n v="2"/>
    <n v="3"/>
    <s v="Yes"/>
    <s v="Online"/>
    <s v="Digital Wallet"/>
    <s v="Individual"/>
    <s v="London"/>
    <s v="Electronics"/>
    <x v="69"/>
    <n v="1"/>
    <s v="SmartHome Hub"/>
    <n v="123.76599999999999"/>
    <n v="85.86"/>
    <n v="37.905999999999992"/>
    <n v="0.30627151237011774"/>
  </r>
  <r>
    <s v="BC-101610"/>
    <d v="2025-12-24T00:00:00"/>
    <s v="South"/>
    <s v="Individual"/>
    <s v="Furniture"/>
    <s v="Bookshelf"/>
    <n v="2"/>
    <n v="122.65"/>
    <n v="74.3"/>
    <n v="0.05"/>
    <n v="8"/>
    <n v="3"/>
    <s v="No"/>
    <s v="Online"/>
    <s v="Card"/>
    <s v="Individual"/>
    <s v="South"/>
    <s v="Furniture"/>
    <x v="316"/>
    <n v="1"/>
    <s v="Bookshelf"/>
    <n v="233.035"/>
    <n v="148.6"/>
    <n v="84.435000000000002"/>
    <n v="0.36232754736412986"/>
  </r>
  <r>
    <s v="BC-101177"/>
    <d v="2025-01-31T00:00:00"/>
    <s v="North"/>
    <s v="Individual"/>
    <s v="Home &amp; Kitchen"/>
    <s v="Electric Kettle"/>
    <n v="4"/>
    <n v="41.48"/>
    <n v="21"/>
    <n v="0.1"/>
    <n v="3"/>
    <n v="5"/>
    <s v="No"/>
    <s v="Phone"/>
    <s v="Digital Wallet"/>
    <s v="Individual"/>
    <s v="North"/>
    <s v="Home &amp; Kitchen"/>
    <x v="66"/>
    <n v="1"/>
    <s v="Electric Kettle"/>
    <n v="149.328"/>
    <n v="84"/>
    <n v="65.328000000000003"/>
    <n v="0.4374799099967856"/>
  </r>
  <r>
    <s v="BC-101726"/>
    <d v="2025-03-06T00:00:00"/>
    <s v="North"/>
    <s v="Individual"/>
    <s v="Electronics"/>
    <s v="Wireless Headset"/>
    <n v="1"/>
    <n v="59.29"/>
    <n v="34.549999999999997"/>
    <n v="0.1"/>
    <n v="7"/>
    <n v="4"/>
    <s v="No"/>
    <s v="Phone"/>
    <s v="Card"/>
    <s v="Individual"/>
    <s v="North"/>
    <s v="Electronics"/>
    <x v="275"/>
    <n v="1"/>
    <s v="Wireless Headset"/>
    <n v="53.360999999999997"/>
    <n v="34.549999999999997"/>
    <n v="18.811"/>
    <n v="0.3525233784974045"/>
  </r>
  <r>
    <s v="BC-101224"/>
    <d v="2025-11-05T00:00:00"/>
    <s v="North"/>
    <s v="Individual"/>
    <s v="Office"/>
    <s v="Desk Lamp"/>
    <n v="1"/>
    <n v="40.74"/>
    <n v="18.57"/>
    <n v="0.1"/>
    <n v="2"/>
    <n v="5"/>
    <s v="No"/>
    <s v="Store"/>
    <s v="Card"/>
    <s v="Individual"/>
    <s v="North"/>
    <s v="Office"/>
    <x v="347"/>
    <n v="1"/>
    <s v="Desk Lamp"/>
    <n v="36.666000000000004"/>
    <n v="18.57"/>
    <n v="18.096000000000004"/>
    <n v="0.49353624611356572"/>
  </r>
  <r>
    <s v="BC-100515"/>
    <d v="2025-05-24T00:00:00"/>
    <s v="London"/>
    <s v="Individual"/>
    <s v="Home &amp; Kitchen"/>
    <s v="Electric Kettle"/>
    <n v="1"/>
    <n v="40.07"/>
    <n v="19.809999999999999"/>
    <n v="0.05"/>
    <n v="3"/>
    <n v="4"/>
    <s v="No"/>
    <s v="Online"/>
    <s v="Bank Transfer"/>
    <s v="Individual"/>
    <s v="London"/>
    <s v="Home &amp; Kitchen"/>
    <x v="265"/>
    <n v="1"/>
    <s v="Electric Kettle"/>
    <n v="38.066499999999998"/>
    <n v="19.809999999999999"/>
    <n v="18.256499999999999"/>
    <n v="0.47959491941733545"/>
  </r>
  <r>
    <s v="BC-100745"/>
    <d v="2025-11-24T00:00:00"/>
    <s v="North"/>
    <s v="Individual"/>
    <s v="Furniture"/>
    <s v="Bookshelf"/>
    <n v="2"/>
    <n v="118.34"/>
    <n v="74.22"/>
    <n v="0.05"/>
    <n v="7"/>
    <n v="4"/>
    <s v="No"/>
    <s v="Online"/>
    <s v="Card"/>
    <s v="Individual"/>
    <s v="North"/>
    <s v="Furniture"/>
    <x v="314"/>
    <n v="1"/>
    <s v="Bookshelf"/>
    <n v="224.846"/>
    <n v="148.44"/>
    <n v="76.406000000000006"/>
    <n v="0.33981480657872504"/>
  </r>
  <r>
    <s v="BC-101864"/>
    <d v="2025-07-12T00:00:00"/>
    <s v="London"/>
    <s v="Individual"/>
    <s v="Home &amp; Kitchen"/>
    <s v="Blender"/>
    <n v="1"/>
    <n v="66.95"/>
    <n v="34.28"/>
    <n v="0.05"/>
    <n v="2"/>
    <n v="5"/>
    <s v="No"/>
    <s v="Store"/>
    <s v="Digital Wallet"/>
    <s v="Individual"/>
    <s v="London"/>
    <s v="Home &amp; Kitchen"/>
    <x v="199"/>
    <n v="1"/>
    <s v="Blender"/>
    <n v="63.602499999999999"/>
    <n v="34.28"/>
    <n v="29.322499999999998"/>
    <n v="0.46102747533508903"/>
  </r>
  <r>
    <s v="BC-101757"/>
    <d v="2025-06-11T00:00:00"/>
    <s v="London"/>
    <s v="Individual"/>
    <s v="Electronics"/>
    <s v="Portable Speaker"/>
    <n v="1"/>
    <n v="77.12"/>
    <n v="44.66"/>
    <n v="0.05"/>
    <n v="5"/>
    <n v="4"/>
    <s v="No"/>
    <s v="Online"/>
    <s v="Card"/>
    <s v="Individual"/>
    <s v="London"/>
    <s v="Electronics"/>
    <x v="346"/>
    <n v="1"/>
    <s v="Portable Speaker"/>
    <n v="73.263999999999996"/>
    <n v="44.66"/>
    <n v="28.603999999999999"/>
    <n v="0.39042367329111161"/>
  </r>
  <r>
    <s v="BC-101691"/>
    <d v="2025-03-15T00:00:00"/>
    <s v="South"/>
    <s v="Individual"/>
    <s v="Electronics"/>
    <s v="Portable Speaker"/>
    <n v="3"/>
    <n v="76.47"/>
    <n v="44.49"/>
    <n v="0.2"/>
    <n v="0"/>
    <n v="5"/>
    <s v="No"/>
    <s v="Store"/>
    <s v="Digital Wallet"/>
    <s v="Individual"/>
    <s v="South"/>
    <s v="Electronics"/>
    <x v="195"/>
    <n v="1"/>
    <s v="Portable Speaker"/>
    <n v="183.52800000000002"/>
    <n v="133.47"/>
    <n v="50.058000000000021"/>
    <n v="0.27275402118477843"/>
  </r>
  <r>
    <s v="BC-101423"/>
    <d v="2025-12-30T00:00:00"/>
    <s v="North"/>
    <s v="Individual"/>
    <s v="Furniture"/>
    <s v="Office Chair"/>
    <n v="1"/>
    <n v="175.94"/>
    <n v="114.66"/>
    <n v="0.15000000000000002"/>
    <n v="5"/>
    <n v="5"/>
    <s v="No"/>
    <s v="Online"/>
    <s v="Card"/>
    <s v="Individual"/>
    <s v="North"/>
    <s v="Furniture"/>
    <x v="0"/>
    <n v="1"/>
    <s v="Office Chair"/>
    <n v="149.54900000000001"/>
    <n v="114.66"/>
    <n v="34.88900000000001"/>
    <n v="0.23329477295067175"/>
  </r>
  <r>
    <s v="BC-100220"/>
    <d v="2025-09-28T00:00:00"/>
    <s v="London"/>
    <s v="Individual"/>
    <s v="Electronics"/>
    <s v="Wireless Headset"/>
    <n v="1"/>
    <n v="58.62"/>
    <n v="33.700000000000003"/>
    <n v="0"/>
    <n v="5"/>
    <n v="5"/>
    <s v="No"/>
    <s v="Store"/>
    <s v="Card"/>
    <s v="Individual"/>
    <s v="London"/>
    <s v="Electronics"/>
    <x v="169"/>
    <n v="1"/>
    <s v="Wireless Headset"/>
    <n v="58.62"/>
    <n v="33.700000000000003"/>
    <n v="24.919999999999995"/>
    <n v="0.4251108836574547"/>
  </r>
  <r>
    <s v="BC-101023"/>
    <d v="2025-11-29T00:00:00"/>
    <s v="South"/>
    <s v="Individual"/>
    <s v="Furniture"/>
    <s v="Storage Cabinet"/>
    <n v="1"/>
    <n v="156.47999999999999"/>
    <n v="101.72"/>
    <n v="0.15000000000000002"/>
    <n v="6"/>
    <n v="3"/>
    <s v="No"/>
    <s v="Online"/>
    <s v="Digital Wallet"/>
    <s v="Individual"/>
    <s v="South"/>
    <s v="Furniture"/>
    <x v="8"/>
    <n v="1"/>
    <s v="Storage Cabinet"/>
    <n v="133.00799999999998"/>
    <n v="101.72"/>
    <n v="31.287999999999982"/>
    <n v="0.235233970888969"/>
  </r>
  <r>
    <s v="BC-101217"/>
    <d v="2025-11-27T00:00:00"/>
    <s v="South"/>
    <s v="Individual"/>
    <s v="Furniture"/>
    <s v="Bookshelf"/>
    <n v="2"/>
    <n v="120.19"/>
    <n v="72.87"/>
    <n v="0.15000000000000002"/>
    <n v="8"/>
    <n v="3"/>
    <s v="No"/>
    <s v="Online"/>
    <s v="Card"/>
    <s v="Individual"/>
    <s v="South"/>
    <s v="Furniture"/>
    <x v="307"/>
    <n v="1"/>
    <s v="Bookshelf"/>
    <n v="204.32299999999998"/>
    <n v="145.74"/>
    <n v="58.58299999999997"/>
    <n v="0.28671759909554956"/>
  </r>
  <r>
    <s v="BC-100109"/>
    <d v="2025-04-11T00:00:00"/>
    <s v="North"/>
    <s v="Individual"/>
    <s v="Office"/>
    <s v="Desk Lamp"/>
    <n v="2"/>
    <n v="41.06"/>
    <n v="19.350000000000001"/>
    <n v="0.1"/>
    <n v="0"/>
    <n v="5"/>
    <s v="No"/>
    <s v="Store"/>
    <s v="Bank Transfer"/>
    <s v="Individual"/>
    <s v="North"/>
    <s v="Office"/>
    <x v="271"/>
    <n v="1"/>
    <s v="Desk Lamp"/>
    <n v="73.908000000000001"/>
    <n v="38.700000000000003"/>
    <n v="35.207999999999998"/>
    <n v="0.47637603507062831"/>
  </r>
  <r>
    <s v="BC-101876"/>
    <d v="2025-12-24T00:00:00"/>
    <s v="South"/>
    <s v="Individual"/>
    <s v="Electronics"/>
    <s v="Webcam"/>
    <n v="3"/>
    <n v="49.17"/>
    <n v="25.76"/>
    <n v="0.15000000000000002"/>
    <n v="1"/>
    <n v="5"/>
    <s v="No"/>
    <s v="Store"/>
    <s v="Digital Wallet"/>
    <s v="Individual"/>
    <s v="South"/>
    <s v="Electronics"/>
    <x v="316"/>
    <n v="1"/>
    <s v="Webcam"/>
    <n v="125.38349999999998"/>
    <n v="77.28"/>
    <n v="48.103499999999983"/>
    <n v="0.38365095885822287"/>
  </r>
  <r>
    <s v="BC-101149"/>
    <d v="2025-05-15T00:00:00"/>
    <s v="Midlands"/>
    <s v="Individual"/>
    <s v="Home &amp; Kitchen"/>
    <s v="Air Fryer"/>
    <n v="1"/>
    <n v="110.31"/>
    <n v="66.790000000000006"/>
    <n v="0"/>
    <n v="0"/>
    <n v="4"/>
    <s v="No"/>
    <s v="Store"/>
    <s v="Card"/>
    <s v="Individual"/>
    <s v="Midlands"/>
    <s v="Home &amp; Kitchen"/>
    <x v="47"/>
    <n v="1"/>
    <s v="Air Fryer"/>
    <n v="110.31"/>
    <n v="66.790000000000006"/>
    <n v="43.519999999999996"/>
    <n v="0.39452452180219377"/>
  </r>
  <r>
    <s v="BC-100684"/>
    <d v="2025-08-24T00:00:00"/>
    <s v="South"/>
    <s v="Individual"/>
    <s v="Office"/>
    <s v="Wireless Mouse"/>
    <n v="1"/>
    <n v="35.630000000000003"/>
    <n v="17.309999999999999"/>
    <n v="0.05"/>
    <n v="3"/>
    <n v="4"/>
    <s v="No"/>
    <s v="Online"/>
    <s v="Card"/>
    <s v="Individual"/>
    <s v="South"/>
    <s v="Office"/>
    <x v="77"/>
    <n v="1"/>
    <s v="Wireless Mouse"/>
    <n v="33.848500000000001"/>
    <n v="17.309999999999999"/>
    <n v="16.538500000000003"/>
    <n v="0.4886036308846774"/>
  </r>
  <r>
    <s v="BC-101835"/>
    <d v="2025-02-09T00:00:00"/>
    <s v="London"/>
    <s v="Small Business"/>
    <s v="Electronics"/>
    <s v="Portable Speaker"/>
    <n v="4"/>
    <n v="76.930000000000007"/>
    <n v="44.04"/>
    <n v="0.05"/>
    <n v="6"/>
    <n v="4"/>
    <s v="No"/>
    <s v="Online"/>
    <s v="Bank Transfer"/>
    <s v="Small Business"/>
    <s v="London"/>
    <s v="Electronics"/>
    <x v="238"/>
    <n v="1"/>
    <s v="Portable Speaker"/>
    <n v="292.334"/>
    <n v="176.16"/>
    <n v="116.17400000000001"/>
    <n v="0.39740160227684773"/>
  </r>
  <r>
    <s v="BC-100995"/>
    <d v="2025-05-18T00:00:00"/>
    <s v="South"/>
    <s v="Individual"/>
    <s v="Office"/>
    <s v="Ergonomic Keyboard"/>
    <n v="2"/>
    <n v="70.650000000000006"/>
    <n v="38.49"/>
    <n v="0.05"/>
    <n v="3"/>
    <n v="5"/>
    <s v="No"/>
    <s v="Online"/>
    <s v="Card"/>
    <s v="Individual"/>
    <s v="South"/>
    <s v="Office"/>
    <x v="140"/>
    <n v="1"/>
    <s v="Ergonomic Keyboard"/>
    <n v="134.23500000000001"/>
    <n v="76.98"/>
    <n v="57.25500000000001"/>
    <n v="0.42652810369873734"/>
  </r>
  <r>
    <s v="BC-100385"/>
    <d v="2025-12-09T00:00:00"/>
    <s v="Midlands"/>
    <s v="Individual"/>
    <s v="Electronics"/>
    <s v="Webcam"/>
    <n v="2"/>
    <n v="49.24"/>
    <n v="26.24"/>
    <n v="0.05"/>
    <n v="2"/>
    <n v="4"/>
    <s v="No"/>
    <s v="Phone"/>
    <s v="Card"/>
    <s v="Individual"/>
    <s v="Midlands"/>
    <s v="Electronics"/>
    <x v="112"/>
    <n v="1"/>
    <s v="Webcam"/>
    <n v="93.555999999999997"/>
    <n v="52.48"/>
    <n v="41.076000000000001"/>
    <n v="0.43905254606866478"/>
  </r>
  <r>
    <s v="BC-101820"/>
    <d v="2025-05-22T00:00:00"/>
    <s v="Midlands"/>
    <s v="Small Business"/>
    <s v="Home &amp; Kitchen"/>
    <s v="Blender"/>
    <n v="2"/>
    <n v="66.48"/>
    <n v="34.89"/>
    <n v="0.05"/>
    <n v="3"/>
    <n v="4"/>
    <s v="No"/>
    <s v="Online"/>
    <s v="Card"/>
    <s v="Small Business"/>
    <s v="Midlands"/>
    <s v="Home &amp; Kitchen"/>
    <x v="4"/>
    <n v="1"/>
    <s v="Blender"/>
    <n v="126.312"/>
    <n v="69.78"/>
    <n v="56.531999999999996"/>
    <n v="0.44755842675280255"/>
  </r>
  <r>
    <s v="BC-101180"/>
    <d v="2025-05-07T00:00:00"/>
    <s v="South"/>
    <s v="Individual"/>
    <s v="Electronics"/>
    <s v="Portable Speaker"/>
    <n v="1"/>
    <n v="73.69"/>
    <n v="41.99"/>
    <n v="0.05"/>
    <n v="4"/>
    <n v="5"/>
    <s v="No"/>
    <s v="Online"/>
    <s v="Card"/>
    <s v="Individual"/>
    <s v="South"/>
    <s v="Electronics"/>
    <x v="109"/>
    <n v="1"/>
    <s v="Portable Speaker"/>
    <n v="70.005499999999998"/>
    <n v="41.99"/>
    <n v="28.015499999999996"/>
    <n v="0.4001899850726014"/>
  </r>
  <r>
    <s v="BC-100532"/>
    <d v="2025-11-15T00:00:00"/>
    <s v="Midlands"/>
    <s v="Individual"/>
    <s v="Home &amp; Kitchen"/>
    <s v="Air Fryer"/>
    <n v="1"/>
    <n v="113.22"/>
    <n v="65.86"/>
    <n v="0.1"/>
    <n v="1"/>
    <n v="4"/>
    <s v="No"/>
    <s v="Online"/>
    <s v="Card"/>
    <s v="Individual"/>
    <s v="Midlands"/>
    <s v="Home &amp; Kitchen"/>
    <x v="172"/>
    <n v="1"/>
    <s v="Air Fryer"/>
    <n v="101.898"/>
    <n v="65.86"/>
    <n v="36.037999999999997"/>
    <n v="0.35366739288307913"/>
  </r>
  <r>
    <s v="BC-100411"/>
    <d v="2025-02-22T00:00:00"/>
    <s v="North"/>
    <s v="Small Business"/>
    <s v="Electronics"/>
    <s v="Webcam"/>
    <n v="4"/>
    <n v="50.02"/>
    <n v="27.08"/>
    <n v="0"/>
    <n v="0"/>
    <n v="4"/>
    <s v="No"/>
    <s v="Store"/>
    <s v="Card"/>
    <s v="Small Business"/>
    <s v="North"/>
    <s v="Electronics"/>
    <x v="222"/>
    <n v="1"/>
    <s v="Webcam"/>
    <n v="200.08"/>
    <n v="108.32"/>
    <n v="91.760000000000019"/>
    <n v="0.45861655337864859"/>
  </r>
  <r>
    <s v="BC-100368"/>
    <d v="2025-12-12T00:00:00"/>
    <s v="South"/>
    <s v="Individual"/>
    <s v="Home &amp; Kitchen"/>
    <s v="Electric Kettle"/>
    <n v="2"/>
    <n v="40.5"/>
    <n v="20.45"/>
    <n v="0.25"/>
    <n v="4"/>
    <n v="4"/>
    <s v="No"/>
    <s v="Online"/>
    <s v="Card"/>
    <s v="Individual"/>
    <s v="South"/>
    <s v="Home &amp; Kitchen"/>
    <x v="247"/>
    <n v="1"/>
    <s v="Electric Kettle"/>
    <n v="60.75"/>
    <n v="40.9"/>
    <n v="19.850000000000001"/>
    <n v="0.32674897119341567"/>
  </r>
  <r>
    <s v="BC-101588"/>
    <d v="2025-06-24T00:00:00"/>
    <s v="Midlands"/>
    <s v="Small Business"/>
    <s v="Home &amp; Kitchen"/>
    <s v="Electric Kettle"/>
    <n v="1"/>
    <n v="40.770000000000003"/>
    <n v="19.809999999999999"/>
    <n v="0"/>
    <n v="3"/>
    <n v="5"/>
    <s v="No"/>
    <s v="Online"/>
    <s v="Card"/>
    <s v="Small Business"/>
    <s v="Midlands"/>
    <s v="Home &amp; Kitchen"/>
    <x v="243"/>
    <n v="1"/>
    <s v="Electric Kettle"/>
    <n v="40.770000000000003"/>
    <n v="19.809999999999999"/>
    <n v="20.960000000000004"/>
    <n v="0.51410350748099098"/>
  </r>
  <r>
    <s v="BC-100262"/>
    <d v="2025-03-03T00:00:00"/>
    <s v="South"/>
    <s v="Individual"/>
    <s v="Home &amp; Kitchen"/>
    <s v="Air Fryer"/>
    <n v="3"/>
    <n v="111.49"/>
    <n v="69.78"/>
    <n v="0.15000000000000002"/>
    <n v="3"/>
    <n v="4"/>
    <s v="No"/>
    <s v="Online"/>
    <s v="Card"/>
    <s v="Individual"/>
    <s v="South"/>
    <s v="Home &amp; Kitchen"/>
    <x v="345"/>
    <n v="1"/>
    <s v="Air Fryer"/>
    <n v="284.29949999999997"/>
    <n v="209.34"/>
    <n v="74.959499999999963"/>
    <n v="0.26366384745664334"/>
  </r>
  <r>
    <s v="BC-101904"/>
    <d v="2025-07-19T00:00:00"/>
    <s v="North"/>
    <s v="Individual"/>
    <s v="Office"/>
    <s v="Desk Lamp"/>
    <n v="2"/>
    <n v="38.799999999999997"/>
    <n v="19.78"/>
    <n v="0"/>
    <n v="0"/>
    <n v="5"/>
    <s v="No"/>
    <s v="Store"/>
    <s v="Card"/>
    <s v="Individual"/>
    <s v="North"/>
    <s v="Office"/>
    <x v="253"/>
    <n v="1"/>
    <s v="Desk Lamp"/>
    <n v="77.599999999999994"/>
    <n v="39.56"/>
    <n v="38.039999999999992"/>
    <n v="0.49020618556701023"/>
  </r>
  <r>
    <s v="BC-100843"/>
    <d v="2025-04-17T00:00:00"/>
    <s v="North"/>
    <s v="Individual"/>
    <s v="Electronics"/>
    <s v="Portable Speaker"/>
    <n v="3"/>
    <n v="76.08"/>
    <n v="45.01"/>
    <n v="0"/>
    <n v="6"/>
    <n v="4"/>
    <s v="No"/>
    <s v="Online"/>
    <s v="Digital Wallet"/>
    <s v="Individual"/>
    <s v="North"/>
    <s v="Electronics"/>
    <x v="330"/>
    <n v="1"/>
    <s v="Portable Speaker"/>
    <n v="228.24"/>
    <n v="135.03"/>
    <n v="93.210000000000008"/>
    <n v="0.40838590956887488"/>
  </r>
  <r>
    <s v="BC-101463"/>
    <d v="2025-02-09T00:00:00"/>
    <s v="Midlands"/>
    <s v="Small Business"/>
    <s v="Furniture"/>
    <s v="Bookshelf"/>
    <n v="3"/>
    <n v="120.58"/>
    <n v="74.430000000000007"/>
    <n v="0.05"/>
    <n v="2"/>
    <n v="4"/>
    <s v="No"/>
    <s v="Store"/>
    <s v="Card"/>
    <s v="Small Business"/>
    <s v="Midlands"/>
    <s v="Furniture"/>
    <x v="238"/>
    <n v="1"/>
    <s v="Bookshelf"/>
    <n v="343.65300000000002"/>
    <n v="223.29000000000002"/>
    <n v="120.363"/>
    <n v="0.35024574207121717"/>
  </r>
  <r>
    <s v="BC-100093"/>
    <d v="2025-11-28T00:00:00"/>
    <s v="London"/>
    <s v="Individual"/>
    <s v="Office"/>
    <s v="Laptop Stand"/>
    <n v="1"/>
    <n v="45.57"/>
    <n v="21.9"/>
    <n v="0.1"/>
    <n v="1"/>
    <n v="4"/>
    <s v="No"/>
    <s v="Online"/>
    <s v="Card"/>
    <s v="Individual"/>
    <s v="London"/>
    <s v="Office"/>
    <x v="43"/>
    <n v="1"/>
    <s v="Laptop Stand"/>
    <n v="41.012999999999998"/>
    <n v="21.9"/>
    <n v="19.113"/>
    <n v="0.46602296832711582"/>
  </r>
  <r>
    <s v="BC-100466"/>
    <d v="2025-12-07T00:00:00"/>
    <s v="London"/>
    <s v="Individual"/>
    <s v="Office"/>
    <s v="Desk Lamp"/>
    <n v="1"/>
    <n v="41.18"/>
    <n v="18.89"/>
    <n v="0.05"/>
    <n v="4"/>
    <n v="3"/>
    <s v="Yes"/>
    <s v="Store"/>
    <s v="Bank Transfer"/>
    <s v="Individual"/>
    <s v="London"/>
    <s v="Office"/>
    <x v="304"/>
    <n v="1"/>
    <s v="Desk Lamp"/>
    <n v="39.120999999999995"/>
    <n v="18.89"/>
    <n v="20.230999999999995"/>
    <n v="0.51713913243526488"/>
  </r>
  <r>
    <s v="BC-100762"/>
    <d v="2025-12-17T00:00:00"/>
    <s v="London"/>
    <s v="Individual"/>
    <s v="Electronics"/>
    <s v="Wireless Headset"/>
    <n v="1"/>
    <n v="60.63"/>
    <n v="33.4"/>
    <n v="0.05"/>
    <n v="0"/>
    <n v="4"/>
    <s v="No"/>
    <s v="Store"/>
    <s v="Card"/>
    <s v="Individual"/>
    <s v="London"/>
    <s v="Electronics"/>
    <x v="95"/>
    <n v="1"/>
    <s v="Wireless Headset"/>
    <n v="57.598500000000001"/>
    <n v="33.4"/>
    <n v="24.198500000000003"/>
    <n v="0.42012378794586669"/>
  </r>
  <r>
    <s v="BC-100582"/>
    <d v="2025-10-05T00:00:00"/>
    <s v="Midlands"/>
    <s v="Individual"/>
    <s v="Electronics"/>
    <s v="Wireless Headset"/>
    <n v="1"/>
    <n v="60.57"/>
    <n v="34.03"/>
    <n v="0.05"/>
    <n v="6"/>
    <n v="3"/>
    <s v="No"/>
    <s v="Online"/>
    <s v="Bank Transfer"/>
    <s v="Individual"/>
    <s v="Midlands"/>
    <s v="Electronics"/>
    <x v="118"/>
    <n v="1"/>
    <s v="Wireless Headset"/>
    <n v="57.541499999999999"/>
    <n v="34.03"/>
    <n v="23.511499999999998"/>
    <n v="0.40860074902461696"/>
  </r>
  <r>
    <s v="BC-101449"/>
    <d v="2025-12-25T00:00:00"/>
    <s v="London"/>
    <s v="Individual"/>
    <s v="Electronics"/>
    <s v="Webcam"/>
    <n v="1"/>
    <n v="49.18"/>
    <n v="26.29"/>
    <n v="0.2"/>
    <n v="4"/>
    <n v="4"/>
    <s v="No"/>
    <s v="Online"/>
    <s v="Card"/>
    <s v="Individual"/>
    <s v="London"/>
    <s v="Electronics"/>
    <x v="28"/>
    <n v="1"/>
    <s v="Webcam"/>
    <n v="39.344000000000001"/>
    <n v="26.29"/>
    <n v="13.054000000000002"/>
    <n v="0.33179137860919078"/>
  </r>
  <r>
    <s v="BC-101036"/>
    <d v="2025-04-09T00:00:00"/>
    <s v="London"/>
    <s v="Individual"/>
    <s v="Furniture"/>
    <s v="Storage Cabinet"/>
    <n v="1"/>
    <n v="155.71"/>
    <n v="101.32"/>
    <n v="0.05"/>
    <n v="2"/>
    <n v="4"/>
    <s v="No"/>
    <s v="Store"/>
    <s v="Bank Transfer"/>
    <s v="Individual"/>
    <s v="London"/>
    <s v="Furniture"/>
    <x v="359"/>
    <n v="1"/>
    <s v="Storage Cabinet"/>
    <n v="147.92449999999999"/>
    <n v="101.32"/>
    <n v="46.604500000000002"/>
    <n v="0.31505599140101881"/>
  </r>
  <r>
    <s v="BC-100973"/>
    <d v="2025-05-28T00:00:00"/>
    <s v="North"/>
    <s v="Individual"/>
    <s v="Office"/>
    <s v="Wireless Mouse"/>
    <n v="1"/>
    <n v="34.200000000000003"/>
    <n v="16.79"/>
    <n v="0.1"/>
    <n v="4"/>
    <n v="4"/>
    <s v="No"/>
    <s v="Store"/>
    <s v="Card"/>
    <s v="Individual"/>
    <s v="North"/>
    <s v="Office"/>
    <x v="129"/>
    <n v="1"/>
    <s v="Wireless Mouse"/>
    <n v="30.780000000000005"/>
    <n v="16.79"/>
    <n v="13.990000000000006"/>
    <n v="0.45451591942820024"/>
  </r>
  <r>
    <s v="BC-100943"/>
    <d v="2025-11-26T00:00:00"/>
    <s v="London"/>
    <s v="Small Business"/>
    <s v="Office"/>
    <s v="Wireless Mouse"/>
    <n v="2"/>
    <n v="35.5"/>
    <n v="16.97"/>
    <n v="0.05"/>
    <n v="3"/>
    <n v="5"/>
    <s v="No"/>
    <s v="Online"/>
    <s v="Bank Transfer"/>
    <s v="Small Business"/>
    <s v="London"/>
    <s v="Office"/>
    <x v="210"/>
    <n v="1"/>
    <s v="Wireless Mouse"/>
    <n v="67.45"/>
    <n v="33.94"/>
    <n v="33.510000000000005"/>
    <n v="0.49681245366938476"/>
  </r>
  <r>
    <s v="BC-101295"/>
    <d v="2025-01-08T00:00:00"/>
    <s v="South"/>
    <s v="Individual"/>
    <s v="Furniture"/>
    <s v="Bookshelf"/>
    <n v="2"/>
    <n v="123.37"/>
    <n v="74.55"/>
    <n v="0.15000000000000002"/>
    <n v="6"/>
    <n v="4"/>
    <s v="No"/>
    <s v="Store"/>
    <s v="Bank Transfer"/>
    <s v="Individual"/>
    <s v="South"/>
    <s v="Furniture"/>
    <x v="190"/>
    <n v="1"/>
    <s v="Bookshelf"/>
    <n v="209.72900000000001"/>
    <n v="149.1"/>
    <n v="60.629000000000019"/>
    <n v="0.28908257799350595"/>
  </r>
  <r>
    <s v="BC-100587"/>
    <d v="2025-03-13T00:00:00"/>
    <s v="South"/>
    <s v="Individual"/>
    <s v="Furniture"/>
    <s v="Storage Cabinet"/>
    <n v="2"/>
    <n v="161.72999999999999"/>
    <n v="101.7"/>
    <n v="0.05"/>
    <n v="5"/>
    <n v="5"/>
    <s v="No"/>
    <s v="Online"/>
    <s v="Card"/>
    <s v="Individual"/>
    <s v="South"/>
    <s v="Furniture"/>
    <x v="103"/>
    <n v="1"/>
    <s v="Storage Cabinet"/>
    <n v="307.28699999999998"/>
    <n v="203.4"/>
    <n v="103.88699999999997"/>
    <n v="0.33807808335529971"/>
  </r>
  <r>
    <s v="BC-100313"/>
    <d v="2025-10-22T00:00:00"/>
    <s v="South"/>
    <s v="Individual"/>
    <s v="Furniture"/>
    <s v="Side Table"/>
    <n v="2"/>
    <n v="88.2"/>
    <n v="54.56"/>
    <n v="0.05"/>
    <n v="7"/>
    <n v="4"/>
    <s v="No"/>
    <s v="Online"/>
    <s v="Bank Transfer"/>
    <s v="Individual"/>
    <s v="South"/>
    <s v="Furniture"/>
    <x v="147"/>
    <n v="1"/>
    <s v="Side Table"/>
    <n v="167.57999999999998"/>
    <n v="109.12"/>
    <n v="58.45999999999998"/>
    <n v="0.34884831125432619"/>
  </r>
  <r>
    <s v="BC-101548"/>
    <d v="2025-08-17T00:00:00"/>
    <s v="Midlands"/>
    <s v="Individual"/>
    <s v="Electronics"/>
    <s v="Wireless Headset"/>
    <n v="2"/>
    <n v="58.7"/>
    <n v="34.69"/>
    <n v="0.1"/>
    <n v="3"/>
    <n v="4"/>
    <s v="No"/>
    <s v="Online"/>
    <s v="Card"/>
    <s v="Individual"/>
    <s v="Midlands"/>
    <s v="Electronics"/>
    <x v="12"/>
    <n v="1"/>
    <s v="Wireless Headset"/>
    <n v="105.66000000000001"/>
    <n v="69.38"/>
    <n v="36.280000000000015"/>
    <n v="0.3433655120196859"/>
  </r>
  <r>
    <s v="BC-100406"/>
    <d v="2025-06-15T00:00:00"/>
    <s v="London"/>
    <s v="Corporate"/>
    <s v="Furniture"/>
    <s v="Bookshelf"/>
    <n v="4"/>
    <n v="121.64"/>
    <n v="73.78"/>
    <n v="0.15000000000000002"/>
    <n v="4"/>
    <n v="5"/>
    <s v="No"/>
    <s v="Online"/>
    <s v="Card"/>
    <s v="Corporate"/>
    <s v="London"/>
    <s v="Furniture"/>
    <x v="119"/>
    <n v="1"/>
    <s v="Bookshelf"/>
    <n v="413.57599999999996"/>
    <n v="295.12"/>
    <n v="118.45599999999996"/>
    <n v="0.28641894113778354"/>
  </r>
  <r>
    <s v="BC-101417"/>
    <d v="2025-06-13T00:00:00"/>
    <s v="North"/>
    <s v="Small Business"/>
    <s v="Electronics"/>
    <s v="Wireless Headset"/>
    <n v="5"/>
    <n v="61.29"/>
    <n v="34.53"/>
    <n v="0.05"/>
    <n v="1"/>
    <n v="4"/>
    <s v="No"/>
    <s v="Store"/>
    <s v="Card"/>
    <s v="Small Business"/>
    <s v="North"/>
    <s v="Electronics"/>
    <x v="70"/>
    <n v="1"/>
    <s v="Wireless Headset"/>
    <n v="291.1275"/>
    <n v="172.65"/>
    <n v="118.47749999999999"/>
    <n v="0.40696086766107631"/>
  </r>
  <r>
    <s v="BC-101268"/>
    <d v="2025-10-24T00:00:00"/>
    <s v="London"/>
    <s v="Individual"/>
    <s v="Home &amp; Kitchen"/>
    <s v="Electric Kettle"/>
    <n v="1"/>
    <n v="41.16"/>
    <n v="19.989999999999998"/>
    <n v="0.1"/>
    <n v="0"/>
    <n v="4"/>
    <s v="No"/>
    <s v="Store"/>
    <s v="Card"/>
    <s v="Individual"/>
    <s v="London"/>
    <s v="Home &amp; Kitchen"/>
    <x v="248"/>
    <n v="1"/>
    <s v="Electric Kettle"/>
    <n v="37.043999999999997"/>
    <n v="19.989999999999998"/>
    <n v="17.053999999999998"/>
    <n v="0.46037145016736852"/>
  </r>
  <r>
    <s v="BC-101341"/>
    <d v="2025-09-17T00:00:00"/>
    <s v="London"/>
    <s v="Individual"/>
    <s v="Office"/>
    <s v="Ergonomic Keyboard"/>
    <n v="1"/>
    <n v="68.5"/>
    <n v="38.549999999999997"/>
    <n v="0.1"/>
    <n v="1"/>
    <n v="5"/>
    <s v="No"/>
    <s v="Store"/>
    <s v="Card"/>
    <s v="Individual"/>
    <s v="London"/>
    <s v="Office"/>
    <x v="31"/>
    <n v="1"/>
    <s v="Ergonomic Keyboard"/>
    <n v="61.65"/>
    <n v="38.549999999999997"/>
    <n v="23.1"/>
    <n v="0.37469586374695868"/>
  </r>
  <r>
    <s v="BC-101740"/>
    <d v="2025-06-21T00:00:00"/>
    <s v="London"/>
    <s v="Individual"/>
    <s v="Office"/>
    <s v="Wireless Mouse"/>
    <n v="1"/>
    <n v="34.520000000000003"/>
    <n v="16.77"/>
    <n v="0"/>
    <n v="3"/>
    <n v="5"/>
    <s v="No"/>
    <s v="Online"/>
    <s v="Bank Transfer"/>
    <s v="Individual"/>
    <s v="London"/>
    <s v="Office"/>
    <x v="240"/>
    <n v="1"/>
    <s v="Wireless Mouse"/>
    <n v="34.520000000000003"/>
    <n v="16.77"/>
    <n v="17.750000000000004"/>
    <n v="0.51419466975666284"/>
  </r>
  <r>
    <s v="BC-100997"/>
    <d v="2025-12-29T00:00:00"/>
    <s v="North"/>
    <s v="Individual"/>
    <s v="Office"/>
    <s v="Wireless Mouse"/>
    <n v="2"/>
    <n v="35.049999999999997"/>
    <n v="17.79"/>
    <n v="0.15000000000000002"/>
    <n v="0"/>
    <n v="4"/>
    <s v="No"/>
    <s v="Store"/>
    <s v="Card"/>
    <s v="Individual"/>
    <s v="North"/>
    <s v="Office"/>
    <x v="116"/>
    <n v="1"/>
    <s v="Wireless Mouse"/>
    <n v="59.584999999999994"/>
    <n v="35.58"/>
    <n v="24.004999999999995"/>
    <n v="0.40286984979441132"/>
  </r>
  <r>
    <s v="BC-101274"/>
    <d v="2025-11-12T00:00:00"/>
    <s v="South"/>
    <s v="Individual"/>
    <s v="Office"/>
    <s v="Wireless Mouse"/>
    <n v="1"/>
    <n v="35.14"/>
    <n v="17.440000000000001"/>
    <n v="0.1"/>
    <n v="5"/>
    <n v="5"/>
    <s v="No"/>
    <s v="Store"/>
    <s v="Card"/>
    <s v="Individual"/>
    <s v="South"/>
    <s v="Office"/>
    <x v="61"/>
    <n v="1"/>
    <s v="Wireless Mouse"/>
    <n v="31.626000000000001"/>
    <n v="17.440000000000001"/>
    <n v="14.186"/>
    <n v="0.44855498640359198"/>
  </r>
  <r>
    <s v="BC-101913"/>
    <d v="2025-04-22T00:00:00"/>
    <s v="Midlands"/>
    <s v="Individual"/>
    <s v="Office"/>
    <s v="Ergonomic Keyboard"/>
    <n v="4"/>
    <n v="69.11"/>
    <n v="39.5"/>
    <n v="0.05"/>
    <n v="6"/>
    <n v="3"/>
    <s v="Yes"/>
    <s v="Online"/>
    <s v="Card"/>
    <s v="Individual"/>
    <s v="Midlands"/>
    <s v="Office"/>
    <x v="149"/>
    <n v="1"/>
    <s v="Ergonomic Keyboard"/>
    <n v="262.61799999999999"/>
    <n v="158"/>
    <n v="104.61799999999999"/>
    <n v="0.39836568704353853"/>
  </r>
  <r>
    <s v="BC-100555"/>
    <d v="2025-10-05T00:00:00"/>
    <s v="South"/>
    <s v="Individual"/>
    <s v="Office"/>
    <s v="Ergonomic Keyboard"/>
    <n v="1"/>
    <n v="69.83"/>
    <n v="39.49"/>
    <n v="0.2"/>
    <n v="0"/>
    <n v="5"/>
    <s v="No"/>
    <s v="Store"/>
    <s v="Digital Wallet"/>
    <s v="Individual"/>
    <s v="South"/>
    <s v="Office"/>
    <x v="118"/>
    <n v="1"/>
    <s v="Ergonomic Keyboard"/>
    <n v="55.864000000000004"/>
    <n v="39.49"/>
    <n v="16.374000000000002"/>
    <n v="0.29310468280108837"/>
  </r>
  <r>
    <s v="BC-100785"/>
    <d v="2025-06-06T00:00:00"/>
    <s v="London"/>
    <s v="Individual"/>
    <s v="Electronics"/>
    <s v="Wireless Headset"/>
    <n v="3"/>
    <n v="61.01"/>
    <n v="33.69"/>
    <n v="0"/>
    <n v="2"/>
    <n v="4"/>
    <s v="No"/>
    <s v="Online"/>
    <s v="Digital Wallet"/>
    <s v="Individual"/>
    <s v="London"/>
    <s v="Electronics"/>
    <x v="236"/>
    <n v="1"/>
    <s v="Wireless Headset"/>
    <n v="183.03"/>
    <n v="101.07"/>
    <n v="81.960000000000008"/>
    <n v="0.44779544336993937"/>
  </r>
  <r>
    <s v="BC-101932"/>
    <d v="2025-08-14T00:00:00"/>
    <s v="London"/>
    <s v="Small Business"/>
    <s v="Electronics"/>
    <s v="SmartHome Hub"/>
    <n v="2"/>
    <n v="134.76"/>
    <n v="87.46"/>
    <n v="0"/>
    <n v="4"/>
    <n v="4"/>
    <s v="No"/>
    <s v="Online"/>
    <s v="Card"/>
    <s v="Small Business"/>
    <s v="London"/>
    <s v="Electronics"/>
    <x v="165"/>
    <n v="1"/>
    <s v="SmartHome Hub"/>
    <n v="269.52"/>
    <n v="174.92"/>
    <n v="94.6"/>
    <n v="0.3509943603443158"/>
  </r>
  <r>
    <s v="BC-101445"/>
    <d v="2025-02-13T00:00:00"/>
    <s v="London"/>
    <s v="Individual"/>
    <s v="Office"/>
    <s v="Laptop Stand"/>
    <n v="1"/>
    <n v="46.39"/>
    <n v="21.36"/>
    <n v="0"/>
    <n v="4"/>
    <n v="5"/>
    <s v="No"/>
    <s v="Online"/>
    <s v="Card"/>
    <s v="Individual"/>
    <s v="London"/>
    <s v="Office"/>
    <x v="356"/>
    <n v="1"/>
    <s v="Laptop Stand"/>
    <n v="46.39"/>
    <n v="21.36"/>
    <n v="25.03"/>
    <n v="0.53955593877990948"/>
  </r>
  <r>
    <s v="BC-100327"/>
    <d v="2025-12-19T00:00:00"/>
    <s v="North"/>
    <s v="Corporate"/>
    <s v="Home &amp; Kitchen"/>
    <s v="Coffee Maker"/>
    <n v="5"/>
    <n v="81.37"/>
    <n v="45.63"/>
    <n v="0.05"/>
    <n v="3"/>
    <n v="5"/>
    <s v="No"/>
    <s v="Store"/>
    <s v="Bank Transfer"/>
    <s v="Corporate"/>
    <s v="North"/>
    <s v="Home &amp; Kitchen"/>
    <x v="18"/>
    <n v="1"/>
    <s v="Coffee Maker"/>
    <n v="386.50749999999999"/>
    <n v="228.15"/>
    <n v="158.35749999999999"/>
    <n v="0.40971391240790928"/>
  </r>
  <r>
    <s v="BC-101110"/>
    <d v="2025-02-08T00:00:00"/>
    <s v="South"/>
    <s v="Small Business"/>
    <s v="Furniture"/>
    <s v="Bookshelf"/>
    <n v="4"/>
    <n v="122.27"/>
    <n v="70.989999999999995"/>
    <n v="0.1"/>
    <n v="6"/>
    <n v="3"/>
    <s v="Yes"/>
    <s v="Online"/>
    <s v="Digital Wallet"/>
    <s v="Small Business"/>
    <s v="South"/>
    <s v="Furniture"/>
    <x v="287"/>
    <n v="1"/>
    <s v="Bookshelf"/>
    <n v="440.17199999999997"/>
    <n v="283.95999999999998"/>
    <n v="156.21199999999999"/>
    <n v="0.35488854356933197"/>
  </r>
  <r>
    <s v="BC-101665"/>
    <d v="2025-07-10T00:00:00"/>
    <s v="London"/>
    <s v="Individual"/>
    <s v="Office"/>
    <s v="Wireless Mouse"/>
    <n v="1"/>
    <n v="35.92"/>
    <n v="17.73"/>
    <n v="0.1"/>
    <n v="5"/>
    <n v="4"/>
    <s v="No"/>
    <s v="Online"/>
    <s v="Digital Wallet"/>
    <s v="Individual"/>
    <s v="London"/>
    <s v="Office"/>
    <x v="105"/>
    <n v="1"/>
    <s v="Wireless Mouse"/>
    <n v="32.328000000000003"/>
    <n v="17.73"/>
    <n v="14.598000000000003"/>
    <n v="0.45155902004454346"/>
  </r>
  <r>
    <s v="BC-100016"/>
    <d v="2025-11-20T00:00:00"/>
    <s v="South"/>
    <s v="Individual"/>
    <s v="Electronics"/>
    <s v="SmartHome Hub"/>
    <n v="1"/>
    <n v="128.55000000000001"/>
    <n v="81.56"/>
    <n v="0.1"/>
    <n v="2"/>
    <n v="4"/>
    <s v="No"/>
    <s v="Store"/>
    <s v="Card"/>
    <s v="Individual"/>
    <s v="South"/>
    <s v="Electronics"/>
    <x v="33"/>
    <n v="1"/>
    <s v="SmartHome Hub"/>
    <n v="115.69500000000001"/>
    <n v="81.56"/>
    <n v="34.135000000000005"/>
    <n v="0.29504300099399283"/>
  </r>
  <r>
    <s v="BC-100373"/>
    <d v="2025-08-21T00:00:00"/>
    <s v="North"/>
    <s v="Individual"/>
    <s v="Home &amp; Kitchen"/>
    <s v="Blender"/>
    <n v="1"/>
    <n v="63.05"/>
    <n v="36.44"/>
    <n v="0.05"/>
    <n v="4"/>
    <n v="4"/>
    <s v="No"/>
    <s v="Online"/>
    <s v="Card"/>
    <s v="Individual"/>
    <s v="North"/>
    <s v="Home &amp; Kitchen"/>
    <x v="322"/>
    <n v="1"/>
    <s v="Blender"/>
    <n v="59.897499999999994"/>
    <n v="36.44"/>
    <n v="23.457499999999996"/>
    <n v="0.39162736341249632"/>
  </r>
  <r>
    <s v="BC-100067"/>
    <d v="2025-11-11T00:00:00"/>
    <s v="London"/>
    <m/>
    <s v="Furniture"/>
    <s v="Office Chair"/>
    <n v="1"/>
    <n v="186.67"/>
    <n v="116.5"/>
    <n v="0.15000000000000002"/>
    <n v="6"/>
    <n v="4"/>
    <s v="No"/>
    <s v="Online"/>
    <s v="Digital Wallet"/>
    <s v="Unknow"/>
    <s v="London"/>
    <s v="Furniture"/>
    <x v="274"/>
    <n v="1"/>
    <s v="Office Chair"/>
    <n v="158.6695"/>
    <n v="116.5"/>
    <n v="42.169499999999999"/>
    <n v="0.26576941378147662"/>
  </r>
  <r>
    <s v="BC-101381"/>
    <d v="2025-09-15T00:00:00"/>
    <s v="London"/>
    <s v="Individual"/>
    <s v="Home &amp; Kitchen"/>
    <s v="Coffee Maker"/>
    <n v="2"/>
    <n v="79.72"/>
    <n v="43.75"/>
    <n v="0"/>
    <n v="2"/>
    <n v="5"/>
    <s v="No"/>
    <s v="Online"/>
    <s v="Card"/>
    <s v="Individual"/>
    <s v="London"/>
    <s v="Home &amp; Kitchen"/>
    <x v="100"/>
    <n v="1"/>
    <s v="Coffee Maker"/>
    <n v="159.44"/>
    <n v="87.5"/>
    <n v="71.94"/>
    <n v="0.45120421475163069"/>
  </r>
  <r>
    <s v="BC-100470"/>
    <d v="2025-01-15T00:00:00"/>
    <s v="South"/>
    <s v="Individual"/>
    <s v="Furniture"/>
    <s v="Storage Cabinet"/>
    <n v="1"/>
    <n v="164.67"/>
    <n v="103.71"/>
    <n v="0.05"/>
    <n v="5"/>
    <n v="4"/>
    <s v="No"/>
    <s v="Online"/>
    <s v="Card"/>
    <s v="Individual"/>
    <s v="South"/>
    <s v="Furniture"/>
    <x v="344"/>
    <n v="1"/>
    <s v="Storage Cabinet"/>
    <n v="156.43649999999997"/>
    <n v="103.71"/>
    <n v="52.726499999999973"/>
    <n v="0.33704730034231134"/>
  </r>
  <r>
    <s v="BC-100211"/>
    <d v="2025-06-26T00:00:00"/>
    <s v="North"/>
    <s v="Small Business"/>
    <s v="Furniture"/>
    <s v="Storage Cabinet"/>
    <n v="3"/>
    <n v="158.97"/>
    <n v="103.28"/>
    <n v="0"/>
    <n v="3"/>
    <m/>
    <s v="No"/>
    <s v="Store"/>
    <s v="Card"/>
    <s v="Small Business"/>
    <s v="North"/>
    <s v="Furniture"/>
    <x v="221"/>
    <n v="1"/>
    <s v="Storage Cabinet"/>
    <n v="476.90999999999997"/>
    <n v="309.84000000000003"/>
    <n v="167.06999999999994"/>
    <n v="0.35031767000062897"/>
  </r>
  <r>
    <s v="BC-100278"/>
    <d v="2025-09-19T00:00:00"/>
    <s v="London"/>
    <s v="Individual"/>
    <s v="Home &amp; Kitchen"/>
    <s v="Coffee Maker"/>
    <n v="1"/>
    <n v="81.47"/>
    <n v="45.64"/>
    <n v="0"/>
    <n v="0"/>
    <n v="5"/>
    <s v="No"/>
    <s v="Store"/>
    <s v="Card"/>
    <s v="Individual"/>
    <s v="London"/>
    <s v="Home &amp; Kitchen"/>
    <x v="68"/>
    <n v="1"/>
    <s v="Coffee Maker"/>
    <n v="81.47"/>
    <n v="45.64"/>
    <n v="35.83"/>
    <n v="0.43979378912483119"/>
  </r>
  <r>
    <s v="BC-100293"/>
    <d v="2025-01-13T00:00:00"/>
    <s v="London"/>
    <s v="Small Business"/>
    <s v="Furniture"/>
    <s v="Storage Cabinet"/>
    <n v="3"/>
    <n v="158.94"/>
    <n v="99.6"/>
    <n v="0.1"/>
    <n v="6"/>
    <n v="3"/>
    <s v="No"/>
    <s v="Phone"/>
    <s v="Digital Wallet"/>
    <s v="Small Business"/>
    <s v="London"/>
    <s v="Furniture"/>
    <x v="186"/>
    <n v="1"/>
    <s v="Storage Cabinet"/>
    <n v="429.13799999999998"/>
    <n v="298.79999999999995"/>
    <n v="130.33800000000002"/>
    <n v="0.30372048152342612"/>
  </r>
  <r>
    <s v="BC-101359"/>
    <d v="2025-11-01T00:00:00"/>
    <s v="South"/>
    <s v="Small Business"/>
    <s v="Home &amp; Kitchen"/>
    <s v="Air Fryer"/>
    <n v="2"/>
    <n v="110.99"/>
    <n v="69.78"/>
    <n v="0.05"/>
    <n v="5"/>
    <n v="5"/>
    <s v="No"/>
    <s v="Online"/>
    <s v="Card"/>
    <s v="Small Business"/>
    <s v="South"/>
    <s v="Home &amp; Kitchen"/>
    <x v="65"/>
    <n v="1"/>
    <s v="Air Fryer"/>
    <n v="210.88099999999997"/>
    <n v="139.56"/>
    <n v="71.32099999999997"/>
    <n v="0.33820495919499616"/>
  </r>
  <r>
    <s v="BC-101715"/>
    <d v="2025-01-12T00:00:00"/>
    <s v="Midlands"/>
    <s v="Individual"/>
    <s v="Home &amp; Kitchen"/>
    <s v="Coffee Maker"/>
    <n v="1"/>
    <n v="79.959999999999994"/>
    <n v="44.7"/>
    <n v="0"/>
    <n v="3"/>
    <n v="4"/>
    <s v="Yes"/>
    <s v="Store"/>
    <s v="Bank Transfer"/>
    <s v="Individual"/>
    <s v="Midlands"/>
    <s v="Home &amp; Kitchen"/>
    <x v="141"/>
    <n v="1"/>
    <s v="Coffee Maker"/>
    <n v="79.959999999999994"/>
    <n v="44.7"/>
    <n v="35.259999999999991"/>
    <n v="0.44097048524262122"/>
  </r>
  <r>
    <s v="BC-100032"/>
    <d v="2025-12-25T00:00:00"/>
    <s v="Midlands"/>
    <s v="Individual"/>
    <s v="Furniture"/>
    <s v="Bookshelf"/>
    <n v="1"/>
    <n v="117.92"/>
    <n v="72.16"/>
    <n v="0.1"/>
    <n v="7"/>
    <n v="3"/>
    <s v="No"/>
    <s v="Store"/>
    <s v="Card"/>
    <s v="Individual"/>
    <s v="Midlands"/>
    <s v="Furniture"/>
    <x v="28"/>
    <n v="1"/>
    <s v="Bookshelf"/>
    <n v="106.128"/>
    <n v="72.16"/>
    <n v="33.968000000000004"/>
    <n v="0.32006633499170817"/>
  </r>
  <r>
    <s v="BC-100795"/>
    <d v="2025-11-06T00:00:00"/>
    <s v="North"/>
    <s v="Individual"/>
    <s v="Furniture"/>
    <s v="Office Chair"/>
    <n v="1"/>
    <n v="179.11"/>
    <n v="117.32"/>
    <n v="0.05"/>
    <n v="6"/>
    <n v="3"/>
    <s v="No"/>
    <s v="Online"/>
    <s v="Card"/>
    <s v="Individual"/>
    <s v="North"/>
    <s v="Furniture"/>
    <x v="176"/>
    <n v="1"/>
    <s v="Office Chair"/>
    <n v="170.15450000000001"/>
    <n v="117.32"/>
    <n v="52.83450000000002"/>
    <n v="0.31050897860473875"/>
  </r>
  <r>
    <s v="BC-100539"/>
    <d v="2025-08-07T00:00:00"/>
    <s v="South"/>
    <s v="Small Business"/>
    <s v="Electronics"/>
    <s v="Portable Speaker"/>
    <n v="4"/>
    <n v="73.209999999999994"/>
    <n v="42.56"/>
    <n v="0.05"/>
    <n v="7"/>
    <n v="4"/>
    <s v="No"/>
    <s v="Phone"/>
    <s v="Digital Wallet"/>
    <s v="Small Business"/>
    <s v="South"/>
    <s v="Electronics"/>
    <x v="343"/>
    <n v="1"/>
    <s v="Portable Speaker"/>
    <n v="278.19799999999998"/>
    <n v="170.24"/>
    <n v="107.95799999999997"/>
    <n v="0.38806174019942624"/>
  </r>
  <r>
    <s v="BC-101570"/>
    <d v="2025-12-16T00:00:00"/>
    <s v="North"/>
    <s v="Individual"/>
    <s v="Electronics"/>
    <s v="Portable Speaker"/>
    <n v="3"/>
    <n v="76.14"/>
    <n v="41.81"/>
    <n v="0.05"/>
    <n v="7"/>
    <n v="3"/>
    <s v="Yes"/>
    <s v="Phone"/>
    <s v="Card"/>
    <s v="Individual"/>
    <s v="North"/>
    <s v="Electronics"/>
    <x v="69"/>
    <n v="1"/>
    <s v="Portable Speaker"/>
    <n v="216.999"/>
    <n v="125.43"/>
    <n v="91.568999999999988"/>
    <n v="0.42197890312858582"/>
  </r>
  <r>
    <s v="BC-100788"/>
    <d v="2025-11-14T00:00:00"/>
    <s v="London"/>
    <s v="Small Business"/>
    <s v="Furniture"/>
    <s v="Office Chair"/>
    <n v="3"/>
    <n v="176.73"/>
    <n v="117.42"/>
    <n v="0"/>
    <n v="8"/>
    <n v="2"/>
    <s v="Yes"/>
    <s v="Online"/>
    <s v="Card"/>
    <s v="Small Business"/>
    <s v="London"/>
    <s v="Furniture"/>
    <x v="80"/>
    <n v="1"/>
    <s v="Office Chair"/>
    <n v="530.18999999999994"/>
    <n v="352.26"/>
    <n v="177.92999999999995"/>
    <n v="0.33559667289085038"/>
  </r>
  <r>
    <s v="BC-101240"/>
    <d v="2025-02-11T00:00:00"/>
    <s v="Midlands"/>
    <s v="Individual"/>
    <s v="Electronics"/>
    <s v="Webcam"/>
    <n v="2"/>
    <n v="50.22"/>
    <n v="26.66"/>
    <n v="0"/>
    <n v="7"/>
    <n v="2"/>
    <s v="Yes"/>
    <s v="Online"/>
    <s v="Card"/>
    <s v="Individual"/>
    <s v="Midlands"/>
    <s v="Electronics"/>
    <x v="288"/>
    <n v="1"/>
    <s v="Webcam"/>
    <n v="100.44"/>
    <n v="53.32"/>
    <n v="47.12"/>
    <n v="0.46913580246913578"/>
  </r>
  <r>
    <s v="BC-100991"/>
    <d v="2025-05-01T00:00:00"/>
    <s v="London"/>
    <s v="Corporate"/>
    <s v="Furniture"/>
    <s v="Bookshelf"/>
    <n v="6"/>
    <n v="117.04"/>
    <n v="71.989999999999995"/>
    <n v="0.1"/>
    <n v="5"/>
    <n v="4"/>
    <s v="No"/>
    <s v="Store"/>
    <s v="Digital Wallet"/>
    <s v="Corporate"/>
    <s v="London"/>
    <s v="Furniture"/>
    <x v="89"/>
    <n v="1"/>
    <s v="Bookshelf"/>
    <n v="632.01600000000008"/>
    <n v="431.93999999999994"/>
    <n v="200.07600000000014"/>
    <n v="0.31656793498898778"/>
  </r>
  <r>
    <s v="BC-100799"/>
    <d v="2025-12-24T00:00:00"/>
    <s v="London"/>
    <s v="Individual"/>
    <s v="Home &amp; Kitchen"/>
    <s v="Electric Kettle"/>
    <n v="1"/>
    <n v="40.42"/>
    <n v="20.93"/>
    <n v="0.1"/>
    <n v="3"/>
    <n v="4"/>
    <s v="No"/>
    <s v="Online"/>
    <s v="Card"/>
    <s v="Individual"/>
    <s v="London"/>
    <s v="Home &amp; Kitchen"/>
    <x v="316"/>
    <n v="1"/>
    <s v="Electric Kettle"/>
    <n v="36.378"/>
    <n v="20.93"/>
    <n v="15.448"/>
    <n v="0.42465226235636927"/>
  </r>
  <r>
    <s v="BC-101296"/>
    <d v="2025-12-20T00:00:00"/>
    <s v="South"/>
    <s v="Individual"/>
    <s v="Electronics"/>
    <s v="Wireless Headset"/>
    <n v="1"/>
    <n v="60.26"/>
    <n v="34.479999999999997"/>
    <n v="0.1"/>
    <n v="2"/>
    <n v="3"/>
    <s v="Yes"/>
    <s v="Phone"/>
    <s v="Card"/>
    <s v="Individual"/>
    <s v="South"/>
    <s v="Electronics"/>
    <x v="220"/>
    <n v="1"/>
    <s v="Wireless Headset"/>
    <n v="54.234000000000002"/>
    <n v="34.479999999999997"/>
    <n v="19.754000000000005"/>
    <n v="0.36423645683519573"/>
  </r>
  <r>
    <s v="BC-101089"/>
    <d v="2025-05-13T00:00:00"/>
    <s v="London"/>
    <s v="Individual"/>
    <s v="Furniture"/>
    <s v="Office Chair"/>
    <n v="1"/>
    <n v="184.41"/>
    <n v="111.62"/>
    <n v="0.05"/>
    <n v="5"/>
    <n v="5"/>
    <s v="No"/>
    <s v="Online"/>
    <s v="Card"/>
    <s v="Individual"/>
    <s v="London"/>
    <s v="Furniture"/>
    <x v="150"/>
    <n v="1"/>
    <s v="Office Chair"/>
    <n v="175.18949999999998"/>
    <n v="111.62"/>
    <n v="63.569499999999977"/>
    <n v="0.36286135870015029"/>
  </r>
  <r>
    <s v="BC-101527"/>
    <d v="2025-11-27T00:00:00"/>
    <s v="Midlands"/>
    <s v="Individual"/>
    <s v="Office"/>
    <s v="Laptop Stand"/>
    <n v="1"/>
    <n v="46.3"/>
    <n v="21.16"/>
    <n v="0.05"/>
    <n v="0"/>
    <n v="4"/>
    <s v="No"/>
    <s v="Store"/>
    <s v="Card"/>
    <s v="Individual"/>
    <s v="Midlands"/>
    <s v="Office"/>
    <x v="307"/>
    <n v="1"/>
    <s v="Laptop Stand"/>
    <n v="43.984999999999992"/>
    <n v="21.16"/>
    <n v="22.824999999999992"/>
    <n v="0.51892690690007948"/>
  </r>
  <r>
    <s v="BC-101541"/>
    <d v="2025-12-16T00:00:00"/>
    <s v="Midlands"/>
    <s v="Small Business"/>
    <s v="Home &amp; Kitchen"/>
    <s v="Air Fryer"/>
    <n v="4"/>
    <n v="113.87"/>
    <n v="67.77"/>
    <n v="0.05"/>
    <n v="0"/>
    <n v="4"/>
    <s v="No"/>
    <s v="Store"/>
    <s v="Bank Transfer"/>
    <s v="Small Business"/>
    <s v="Midlands"/>
    <s v="Home &amp; Kitchen"/>
    <x v="69"/>
    <n v="1"/>
    <s v="Air Fryer"/>
    <n v="432.70600000000002"/>
    <n v="271.08"/>
    <n v="161.62600000000003"/>
    <n v="0.37352382449053173"/>
  </r>
  <r>
    <s v="BC-101215"/>
    <d v="2025-03-11T00:00:00"/>
    <s v="London"/>
    <s v="Individual"/>
    <s v="Electronics"/>
    <s v="SmartHome Hub"/>
    <n v="2"/>
    <n v="128.68"/>
    <n v="81.64"/>
    <n v="0"/>
    <n v="2"/>
    <n v="4"/>
    <s v="No"/>
    <s v="Online"/>
    <s v="Digital Wallet"/>
    <s v="Individual"/>
    <s v="London"/>
    <s v="Electronics"/>
    <x v="260"/>
    <n v="1"/>
    <s v="SmartHome Hub"/>
    <n v="257.36"/>
    <n v="163.28"/>
    <n v="94.080000000000013"/>
    <n v="0.365557973267019"/>
  </r>
  <r>
    <s v="BC-100888"/>
    <d v="2025-10-07T00:00:00"/>
    <s v="South"/>
    <s v="Small Business"/>
    <s v="Furniture"/>
    <s v="Side Table"/>
    <n v="1"/>
    <n v="91.07"/>
    <n v="54.84"/>
    <n v="0.05"/>
    <n v="8"/>
    <n v="4"/>
    <s v="No"/>
    <s v="Online"/>
    <s v="Bank Transfer"/>
    <s v="Small Business"/>
    <s v="South"/>
    <s v="Furniture"/>
    <x v="23"/>
    <n v="1"/>
    <s v="Side Table"/>
    <n v="86.516499999999994"/>
    <n v="54.84"/>
    <n v="31.67649999999999"/>
    <n v="0.36613247184063147"/>
  </r>
  <r>
    <s v="BC-100231"/>
    <d v="2025-10-28T00:00:00"/>
    <s v="Midlands"/>
    <s v="Small Business"/>
    <s v="Electronics"/>
    <s v="SmartHome Hub"/>
    <n v="4"/>
    <n v="129"/>
    <n v="84.05"/>
    <n v="0"/>
    <n v="3"/>
    <n v="4"/>
    <s v="No"/>
    <s v="Online"/>
    <s v="Digital Wallet"/>
    <s v="Small Business"/>
    <s v="Midlands"/>
    <s v="Electronics"/>
    <x v="357"/>
    <n v="1"/>
    <s v="SmartHome Hub"/>
    <n v="516"/>
    <n v="336.2"/>
    <n v="179.8"/>
    <n v="0.34844961240310079"/>
  </r>
  <r>
    <s v="BC-101741"/>
    <d v="2025-10-05T00:00:00"/>
    <s v="Midlands"/>
    <s v="Individual"/>
    <s v="Home &amp; Kitchen"/>
    <s v="Coffee Maker"/>
    <n v="1"/>
    <n v="77.62"/>
    <n v="43.99"/>
    <n v="0.05"/>
    <n v="3"/>
    <n v="5"/>
    <s v="No"/>
    <s v="Online"/>
    <s v="Card"/>
    <s v="Individual"/>
    <s v="Midlands"/>
    <s v="Home &amp; Kitchen"/>
    <x v="118"/>
    <n v="1"/>
    <s v="Coffee Maker"/>
    <n v="73.739000000000004"/>
    <n v="43.99"/>
    <n v="29.749000000000002"/>
    <n v="0.40343644475786222"/>
  </r>
  <r>
    <s v="BC-100558"/>
    <d v="2025-05-12T00:00:00"/>
    <s v="London"/>
    <s v="Individual"/>
    <s v="Office"/>
    <s v="Laptop Stand"/>
    <n v="1"/>
    <n v="44.59"/>
    <n v="20.91"/>
    <n v="0"/>
    <n v="3"/>
    <n v="4"/>
    <s v="No"/>
    <s v="Online"/>
    <s v="Digital Wallet"/>
    <s v="Individual"/>
    <s v="London"/>
    <s v="Office"/>
    <x v="296"/>
    <n v="1"/>
    <s v="Laptop Stand"/>
    <n v="44.59"/>
    <n v="20.91"/>
    <n v="23.680000000000003"/>
    <n v="0.53106077595873513"/>
  </r>
  <r>
    <s v="BC-101573"/>
    <s v="22/03/2025"/>
    <s v="Midlands"/>
    <s v="Individual"/>
    <s v="Office"/>
    <s v="Desk Lamp"/>
    <n v="1"/>
    <n v="41.28"/>
    <n v="18.5"/>
    <n v="0.1"/>
    <n v="4"/>
    <n v="4"/>
    <s v="No"/>
    <s v="Online"/>
    <s v="Card"/>
    <s v="Individual"/>
    <s v="Midlands"/>
    <s v="Office"/>
    <x v="295"/>
    <n v="1"/>
    <s v="Desk Lamp"/>
    <n v="37.152000000000001"/>
    <n v="18.5"/>
    <n v="18.652000000000001"/>
    <n v="0.50204565030146431"/>
  </r>
  <r>
    <s v="BC-100441"/>
    <d v="2025-04-26T00:00:00"/>
    <s v="London"/>
    <s v="Individual"/>
    <s v="Electronics"/>
    <s v="Webcam"/>
    <n v="1"/>
    <n v="51.32"/>
    <n v="25.55"/>
    <n v="0.1"/>
    <n v="0"/>
    <n v="4"/>
    <s v="No"/>
    <s v="Store"/>
    <s v="Card"/>
    <s v="Individual"/>
    <s v="London"/>
    <s v="Electronics"/>
    <x v="249"/>
    <n v="1"/>
    <s v="Webcam"/>
    <n v="46.188000000000002"/>
    <n v="25.55"/>
    <n v="20.638000000000002"/>
    <n v="0.4468260154152594"/>
  </r>
  <r>
    <s v="BC-101246"/>
    <d v="2025-11-04T00:00:00"/>
    <s v="South"/>
    <s v="Individual"/>
    <s v="Home &amp; Kitchen"/>
    <s v="Air Fryer"/>
    <n v="2"/>
    <n v="111.38"/>
    <n v="68.52"/>
    <n v="0.25"/>
    <n v="5"/>
    <n v="4"/>
    <s v="No"/>
    <s v="Online"/>
    <s v="Card"/>
    <s v="Individual"/>
    <s v="South"/>
    <s v="Home &amp; Kitchen"/>
    <x v="258"/>
    <n v="1"/>
    <s v="Air Fryer"/>
    <n v="167.07"/>
    <n v="137.04"/>
    <n v="30.03"/>
    <n v="0.17974501705871793"/>
  </r>
  <r>
    <s v="BC-100764"/>
    <d v="2025-04-17T00:00:00"/>
    <s v="South"/>
    <s v="Small Business"/>
    <s v="Furniture"/>
    <s v="Office Chair"/>
    <n v="2"/>
    <n v="179.23"/>
    <n v="118.65"/>
    <n v="0.05"/>
    <n v="0"/>
    <n v="3"/>
    <s v="Yes"/>
    <s v="Store"/>
    <s v="Card"/>
    <s v="Small Business"/>
    <s v="South"/>
    <s v="Furniture"/>
    <x v="330"/>
    <n v="1"/>
    <s v="Office Chair"/>
    <n v="340.53699999999998"/>
    <n v="237.3"/>
    <n v="103.23699999999997"/>
    <n v="0.30315942173684496"/>
  </r>
  <r>
    <s v="BC-101305"/>
    <d v="2025-09-29T00:00:00"/>
    <s v="London"/>
    <s v="Individual"/>
    <s v="Office"/>
    <s v="Ergonomic Keyboard"/>
    <n v="3"/>
    <n v="72.11"/>
    <n v="39.619999999999997"/>
    <n v="0.1"/>
    <n v="5"/>
    <n v="5"/>
    <s v="No"/>
    <s v="Online"/>
    <s v="Card"/>
    <s v="Individual"/>
    <s v="London"/>
    <s v="Office"/>
    <x v="17"/>
    <n v="1"/>
    <s v="Ergonomic Keyboard"/>
    <n v="194.697"/>
    <n v="118.85999999999999"/>
    <n v="75.837000000000018"/>
    <n v="0.38951293548436811"/>
  </r>
  <r>
    <s v="BC-101743"/>
    <d v="2025-05-12T00:00:00"/>
    <s v="South"/>
    <s v="Individual"/>
    <s v="Home &amp; Kitchen"/>
    <s v="Blender"/>
    <n v="1"/>
    <n v="65.23"/>
    <n v="34.64"/>
    <n v="0.05"/>
    <n v="3"/>
    <n v="4"/>
    <s v="No"/>
    <s v="Online"/>
    <s v="Card"/>
    <s v="Individual"/>
    <s v="South"/>
    <s v="Home &amp; Kitchen"/>
    <x v="296"/>
    <n v="1"/>
    <s v="Blender"/>
    <n v="61.968499999999999"/>
    <n v="34.64"/>
    <n v="27.328499999999998"/>
    <n v="0.4410063177259414"/>
  </r>
  <r>
    <s v="BC-100295"/>
    <s v="06/07/2025"/>
    <s v="South"/>
    <s v="Individual"/>
    <s v="Office"/>
    <s v="Laptop Stand"/>
    <n v="1"/>
    <n v="44.69"/>
    <n v="20.95"/>
    <n v="0.05"/>
    <n v="3"/>
    <n v="5"/>
    <s v="No"/>
    <s v="Online"/>
    <s v="Bank Transfer"/>
    <s v="Individual"/>
    <s v="South"/>
    <s v="Office"/>
    <x v="179"/>
    <n v="1"/>
    <s v="Laptop Stand"/>
    <n v="42.455499999999994"/>
    <n v="20.95"/>
    <n v="21.505499999999994"/>
    <n v="0.50654214412738041"/>
  </r>
  <r>
    <s v="BC-101780"/>
    <d v="2025-07-31T00:00:00"/>
    <s v="London"/>
    <s v="Individual"/>
    <s v="Home &amp; Kitchen"/>
    <s v="Blender"/>
    <n v="1"/>
    <n v="63.71"/>
    <n v="35.729999999999997"/>
    <n v="0.05"/>
    <n v="5"/>
    <n v="5"/>
    <s v="No"/>
    <s v="Phone"/>
    <s v="Card"/>
    <s v="Individual"/>
    <s v="London"/>
    <s v="Home &amp; Kitchen"/>
    <x v="9"/>
    <n v="1"/>
    <s v="Blender"/>
    <n v="60.524499999999996"/>
    <n v="35.729999999999997"/>
    <n v="24.794499999999999"/>
    <n v="0.40966055068608581"/>
  </r>
  <r>
    <s v="BC-101920"/>
    <d v="2025-11-16T00:00:00"/>
    <s v="North"/>
    <s v="Small Business"/>
    <s v="Home &amp; Kitchen"/>
    <s v="Blender"/>
    <n v="3"/>
    <n v="65.900000000000006"/>
    <n v="34"/>
    <n v="0.1"/>
    <n v="1"/>
    <n v="4"/>
    <s v="No"/>
    <s v="Store"/>
    <s v="Card"/>
    <s v="Small Business"/>
    <s v="North"/>
    <s v="Home &amp; Kitchen"/>
    <x v="178"/>
    <n v="1"/>
    <s v="Blender"/>
    <n v="177.93"/>
    <n v="102"/>
    <n v="75.930000000000007"/>
    <n v="0.42674085314449506"/>
  </r>
  <r>
    <s v="BC-101352"/>
    <d v="2025-01-06T00:00:00"/>
    <s v="South"/>
    <m/>
    <s v="Home &amp; Kitchen"/>
    <s v="Blender"/>
    <n v="1"/>
    <n v="67.540000000000006"/>
    <n v="35.97"/>
    <n v="0.15000000000000002"/>
    <n v="3"/>
    <n v="4"/>
    <s v="No"/>
    <s v="Phone"/>
    <s v="Bank Transfer"/>
    <s v="Unknow"/>
    <s v="South"/>
    <s v="Home &amp; Kitchen"/>
    <x v="132"/>
    <n v="1"/>
    <s v="Blender"/>
    <n v="57.409000000000006"/>
    <n v="35.97"/>
    <n v="21.439000000000007"/>
    <n v="0.37344318835025875"/>
  </r>
  <r>
    <s v="BC-100483"/>
    <d v="2025-10-23T00:00:00"/>
    <s v="London"/>
    <s v="Small Business"/>
    <s v="Office"/>
    <s v="Ergonomic Keyboard"/>
    <n v="3"/>
    <n v="70.959999999999994"/>
    <n v="38.630000000000003"/>
    <n v="0"/>
    <n v="4"/>
    <n v="5"/>
    <s v="No"/>
    <s v="Online"/>
    <s v="Card"/>
    <s v="Small Business"/>
    <s v="London"/>
    <s v="Office"/>
    <x v="212"/>
    <n v="1"/>
    <s v="Ergonomic Keyboard"/>
    <n v="212.88"/>
    <n v="115.89000000000001"/>
    <n v="96.989999999999981"/>
    <n v="0.45560879368658391"/>
  </r>
  <r>
    <s v="BC-101699"/>
    <d v="2025-11-17T00:00:00"/>
    <s v="South"/>
    <s v="Corporate"/>
    <s v="Electronics"/>
    <s v="SmartHome Hub"/>
    <n v="6"/>
    <n v="134.91999999999999"/>
    <n v="86.78"/>
    <n v="0.15000000000000002"/>
    <n v="0"/>
    <n v="3"/>
    <s v="Yes"/>
    <s v="Store"/>
    <s v="Card"/>
    <s v="Corporate"/>
    <s v="South"/>
    <s v="Electronics"/>
    <x v="223"/>
    <n v="1"/>
    <s v="SmartHome Hub"/>
    <n v="688.09199999999998"/>
    <n v="520.68000000000006"/>
    <n v="167.41199999999992"/>
    <n v="0.24329886119879307"/>
  </r>
  <r>
    <s v="BC-101024"/>
    <d v="2025-01-28T00:00:00"/>
    <s v="South"/>
    <s v="Small Business"/>
    <s v="Office"/>
    <s v="Wireless Mouse"/>
    <n v="4"/>
    <n v="35.700000000000003"/>
    <n v="17.149999999999999"/>
    <n v="0.2"/>
    <n v="8"/>
    <n v="3"/>
    <s v="No"/>
    <s v="Online"/>
    <s v="Card"/>
    <s v="Small Business"/>
    <s v="South"/>
    <s v="Office"/>
    <x v="228"/>
    <n v="1"/>
    <s v="Wireless Mouse"/>
    <n v="114.24000000000001"/>
    <n v="68.599999999999994"/>
    <n v="45.640000000000015"/>
    <n v="0.39950980392156871"/>
  </r>
  <r>
    <s v="BC-101954"/>
    <d v="2025-12-23T00:00:00"/>
    <s v="North"/>
    <s v="Small Business"/>
    <s v="Electronics"/>
    <s v="SmartHome Hub"/>
    <n v="1"/>
    <n v="135.12"/>
    <n v="85.04"/>
    <n v="0.05"/>
    <n v="2"/>
    <n v="4"/>
    <s v="No"/>
    <s v="Online"/>
    <s v="Bank Transfer"/>
    <s v="Small Business"/>
    <s v="North"/>
    <s v="Electronics"/>
    <x v="214"/>
    <n v="1"/>
    <s v="SmartHome Hub"/>
    <n v="128.364"/>
    <n v="85.04"/>
    <n v="43.323999999999998"/>
    <n v="0.33750895889813343"/>
  </r>
  <r>
    <s v="BC-101827"/>
    <d v="2025-11-27T00:00:00"/>
    <s v="London"/>
    <s v="Individual"/>
    <s v="Furniture"/>
    <s v="Side Table"/>
    <n v="2"/>
    <n v="90.4"/>
    <n v="55.86"/>
    <n v="0"/>
    <n v="3"/>
    <n v="4"/>
    <s v="No"/>
    <s v="Store"/>
    <s v="Bank Transfer"/>
    <s v="Individual"/>
    <s v="London"/>
    <s v="Furniture"/>
    <x v="307"/>
    <n v="1"/>
    <s v="Side Table"/>
    <n v="180.8"/>
    <n v="111.72"/>
    <n v="69.080000000000013"/>
    <n v="0.38207964601769917"/>
  </r>
  <r>
    <s v="BC-101558"/>
    <d v="2025-05-30T00:00:00"/>
    <s v="North"/>
    <s v="Individual"/>
    <s v="Electronics"/>
    <s v="Wireless Headset"/>
    <n v="1"/>
    <n v="58.47"/>
    <n v="33.159999999999997"/>
    <n v="0"/>
    <n v="3"/>
    <n v="4"/>
    <s v="No"/>
    <s v="Online"/>
    <s v="Bank Transfer"/>
    <s v="Individual"/>
    <s v="North"/>
    <s v="Electronics"/>
    <x v="305"/>
    <n v="1"/>
    <s v="Wireless Headset"/>
    <n v="58.47"/>
    <n v="33.159999999999997"/>
    <n v="25.310000000000002"/>
    <n v="0.43287155806396449"/>
  </r>
  <r>
    <s v="BC-100046"/>
    <d v="2025-09-01T00:00:00"/>
    <s v="London"/>
    <s v="Individual"/>
    <s v="Electronics"/>
    <s v="SmartHome Hub"/>
    <n v="1"/>
    <n v="128.41"/>
    <n v="81.900000000000006"/>
    <n v="0.05"/>
    <n v="5"/>
    <n v="4"/>
    <s v="No"/>
    <s v="Online"/>
    <s v="Bank Transfer"/>
    <s v="Individual"/>
    <s v="London"/>
    <s v="Electronics"/>
    <x v="250"/>
    <n v="1"/>
    <s v="SmartHome Hub"/>
    <n v="121.98949999999999"/>
    <n v="81.900000000000006"/>
    <n v="40.089499999999987"/>
    <n v="0.3286307428098319"/>
  </r>
  <r>
    <s v="BC-100733"/>
    <d v="2025-01-06T00:00:00"/>
    <s v="South"/>
    <s v="Individual"/>
    <s v="Home &amp; Kitchen"/>
    <s v="Blender"/>
    <n v="1"/>
    <n v="64.14"/>
    <n v="34.96"/>
    <n v="0.1"/>
    <n v="3"/>
    <n v="4"/>
    <s v="No"/>
    <s v="Store"/>
    <s v="Card"/>
    <s v="Individual"/>
    <s v="South"/>
    <s v="Home &amp; Kitchen"/>
    <x v="132"/>
    <n v="1"/>
    <s v="Blender"/>
    <n v="57.725999999999999"/>
    <n v="34.96"/>
    <n v="22.765999999999998"/>
    <n v="0.39438034854311749"/>
  </r>
  <r>
    <s v="BC-100901"/>
    <d v="2025-12-05T00:00:00"/>
    <s v="North"/>
    <s v="Individual"/>
    <s v="Electronics"/>
    <s v="SmartHome Hub"/>
    <n v="1"/>
    <n v="128.71"/>
    <n v="85.85"/>
    <n v="0.1"/>
    <n v="3"/>
    <n v="4"/>
    <s v="No"/>
    <s v="Phone"/>
    <s v="Card"/>
    <s v="Individual"/>
    <s v="North"/>
    <s v="Electronics"/>
    <x v="21"/>
    <n v="1"/>
    <s v="SmartHome Hub"/>
    <n v="115.83900000000001"/>
    <n v="85.85"/>
    <n v="29.989000000000019"/>
    <n v="0.25888517684026979"/>
  </r>
  <r>
    <s v="BC-100275"/>
    <d v="2025-07-22T00:00:00"/>
    <s v="South"/>
    <s v="Individual"/>
    <s v="Electronics"/>
    <s v="Portable Speaker"/>
    <n v="3"/>
    <n v="75.03"/>
    <n v="43.63"/>
    <n v="0.1"/>
    <n v="0"/>
    <n v="5"/>
    <s v="No"/>
    <s v="Store"/>
    <s v="Card"/>
    <s v="Individual"/>
    <s v="South"/>
    <s v="Electronics"/>
    <x v="91"/>
    <n v="1"/>
    <s v="Portable Speaker"/>
    <n v="202.58100000000002"/>
    <n v="130.89000000000001"/>
    <n v="71.691000000000003"/>
    <n v="0.35388807439986969"/>
  </r>
  <r>
    <s v="BC-101908"/>
    <d v="2025-03-07T00:00:00"/>
    <s v="South"/>
    <s v="Small Business"/>
    <s v="Electronics"/>
    <s v="SmartHome Hub"/>
    <n v="3"/>
    <n v="133.11000000000001"/>
    <n v="87.33"/>
    <n v="0"/>
    <n v="4"/>
    <n v="4"/>
    <s v="No"/>
    <s v="Online"/>
    <s v="Card"/>
    <s v="Small Business"/>
    <s v="South"/>
    <s v="Electronics"/>
    <x v="281"/>
    <n v="1"/>
    <s v="SmartHome Hub"/>
    <n v="399.33000000000004"/>
    <n v="261.99"/>
    <n v="137.34000000000003"/>
    <n v="0.34392607617759752"/>
  </r>
  <r>
    <s v="BC-100959"/>
    <d v="2025-08-22T00:00:00"/>
    <s v="London"/>
    <s v="Small Business"/>
    <s v="Home &amp; Kitchen"/>
    <s v="Coffee Maker"/>
    <n v="1"/>
    <n v="80.86"/>
    <n v="46.36"/>
    <n v="0.05"/>
    <n v="0"/>
    <n v="4"/>
    <s v="No"/>
    <s v="Store"/>
    <s v="Card"/>
    <s v="Small Business"/>
    <s v="London"/>
    <s v="Home &amp; Kitchen"/>
    <x v="63"/>
    <n v="1"/>
    <s v="Coffee Maker"/>
    <n v="76.816999999999993"/>
    <n v="46.36"/>
    <n v="30.456999999999994"/>
    <n v="0.39648775661637392"/>
  </r>
  <r>
    <s v="BC-101729"/>
    <d v="2025-12-16T00:00:00"/>
    <s v="North"/>
    <s v="Individual"/>
    <s v="Home &amp; Kitchen"/>
    <s v="Coffee Maker"/>
    <n v="2"/>
    <n v="82.81"/>
    <n v="46.63"/>
    <n v="0.05"/>
    <n v="6"/>
    <n v="4"/>
    <s v="No"/>
    <s v="Online"/>
    <s v="Card"/>
    <s v="Individual"/>
    <s v="North"/>
    <s v="Home &amp; Kitchen"/>
    <x v="69"/>
    <n v="1"/>
    <s v="Coffee Maker"/>
    <n v="157.339"/>
    <n v="93.26"/>
    <n v="64.078999999999994"/>
    <n v="0.40726711114218339"/>
  </r>
  <r>
    <s v="BC-101287"/>
    <d v="2025-05-05T00:00:00"/>
    <s v="Midlands"/>
    <s v="Individual"/>
    <s v="Electronics"/>
    <s v="Portable Speaker"/>
    <n v="1"/>
    <n v="73.86"/>
    <n v="45.01"/>
    <n v="0"/>
    <n v="3"/>
    <n v="5"/>
    <s v="No"/>
    <s v="Online"/>
    <s v="Bank Transfer"/>
    <s v="Individual"/>
    <s v="Midlands"/>
    <s v="Electronics"/>
    <x v="235"/>
    <n v="1"/>
    <s v="Portable Speaker"/>
    <n v="73.86"/>
    <n v="45.01"/>
    <n v="28.85"/>
    <n v="0.39060384511237478"/>
  </r>
  <r>
    <s v="BC-101388"/>
    <d v="2025-12-03T00:00:00"/>
    <s v="North"/>
    <s v="Individual"/>
    <s v="Electronics"/>
    <s v="Wireless Headset"/>
    <n v="1"/>
    <n v="59.78"/>
    <n v="33"/>
    <n v="0.1"/>
    <n v="2"/>
    <n v="4"/>
    <s v="No"/>
    <s v="Online"/>
    <s v="Digital Wallet"/>
    <s v="Individual"/>
    <s v="North"/>
    <s v="Electronics"/>
    <x v="108"/>
    <n v="1"/>
    <s v="Wireless Headset"/>
    <n v="53.802"/>
    <n v="33"/>
    <n v="20.802"/>
    <n v="0.38663990186238428"/>
  </r>
  <r>
    <s v="BC-100464"/>
    <d v="2025-12-02T00:00:00"/>
    <s v="South"/>
    <s v="Individual"/>
    <s v="Office"/>
    <s v="Laptop Stand"/>
    <n v="1"/>
    <n v="45.59"/>
    <n v="21.71"/>
    <n v="0"/>
    <n v="3"/>
    <n v="5"/>
    <s v="No"/>
    <s v="Online"/>
    <s v="Card"/>
    <s v="Individual"/>
    <s v="South"/>
    <s v="Office"/>
    <x v="183"/>
    <n v="1"/>
    <s v="Laptop Stand"/>
    <n v="45.59"/>
    <n v="21.71"/>
    <n v="23.880000000000003"/>
    <n v="0.52379907874533893"/>
  </r>
  <r>
    <s v="BC-101925"/>
    <d v="2025-09-04T00:00:00"/>
    <s v="North"/>
    <s v="Small Business"/>
    <s v="Home &amp; Kitchen"/>
    <s v="Air Fryer"/>
    <n v="4"/>
    <n v="113.49"/>
    <n v="66.09"/>
    <n v="0"/>
    <n v="0"/>
    <n v="4"/>
    <s v="No"/>
    <s v="Store"/>
    <s v="Card"/>
    <s v="Small Business"/>
    <s v="North"/>
    <s v="Home &amp; Kitchen"/>
    <x v="267"/>
    <n v="1"/>
    <s v="Air Fryer"/>
    <n v="453.96"/>
    <n v="264.36"/>
    <n v="189.59999999999997"/>
    <n v="0.41765794343113927"/>
  </r>
  <r>
    <s v="BC-100759"/>
    <d v="2025-11-06T00:00:00"/>
    <s v="South"/>
    <s v="Corporate"/>
    <s v="Furniture"/>
    <s v="Bookshelf"/>
    <n v="5"/>
    <n v="124.76"/>
    <n v="74.650000000000006"/>
    <n v="0.1"/>
    <n v="9"/>
    <n v="3"/>
    <s v="No"/>
    <s v="Phone"/>
    <s v="Digital Wallet"/>
    <s v="Corporate"/>
    <s v="South"/>
    <s v="Furniture"/>
    <x v="176"/>
    <n v="1"/>
    <s v="Bookshelf"/>
    <n v="561.42000000000007"/>
    <n v="373.25"/>
    <n v="188.17000000000007"/>
    <n v="0.33516796694097117"/>
  </r>
  <r>
    <s v="BC-100804"/>
    <d v="2025-01-23T00:00:00"/>
    <s v="North"/>
    <s v="Individual"/>
    <s v="Electronics"/>
    <s v="Portable Speaker"/>
    <n v="1"/>
    <n v="77.87"/>
    <n v="43.23"/>
    <n v="0.05"/>
    <n v="4"/>
    <n v="5"/>
    <s v="No"/>
    <s v="Phone"/>
    <s v="Card"/>
    <s v="Individual"/>
    <s v="North"/>
    <s v="Electronics"/>
    <x v="331"/>
    <n v="1"/>
    <s v="Portable Speaker"/>
    <n v="73.976500000000001"/>
    <n v="43.23"/>
    <n v="30.746500000000005"/>
    <n v="0.41562523233729637"/>
  </r>
  <r>
    <s v="BC-100274"/>
    <d v="2025-11-04T00:00:00"/>
    <s v="South"/>
    <s v="Individual"/>
    <s v="Home &amp; Kitchen"/>
    <s v="Air Fryer"/>
    <n v="1"/>
    <n v="112.44"/>
    <n v="68.52"/>
    <n v="0.15000000000000002"/>
    <n v="2"/>
    <n v="5"/>
    <s v="No"/>
    <s v="Store"/>
    <s v="Card"/>
    <s v="Individual"/>
    <s v="South"/>
    <s v="Home &amp; Kitchen"/>
    <x v="258"/>
    <n v="1"/>
    <s v="Air Fryer"/>
    <n v="95.573999999999998"/>
    <n v="68.52"/>
    <n v="27.054000000000002"/>
    <n v="0.28306861698788377"/>
  </r>
  <r>
    <s v="BC-100057"/>
    <d v="2025-04-04T00:00:00"/>
    <s v="London"/>
    <s v="Individual"/>
    <s v="Furniture"/>
    <s v="Office Chair"/>
    <n v="1"/>
    <n v="181.86"/>
    <n v="119.93"/>
    <n v="0"/>
    <n v="7"/>
    <n v="4"/>
    <s v="No"/>
    <s v="Online"/>
    <s v="Card"/>
    <s v="Individual"/>
    <s v="London"/>
    <s v="Furniture"/>
    <x v="232"/>
    <n v="1"/>
    <s v="Office Chair"/>
    <n v="181.86"/>
    <n v="119.93"/>
    <n v="61.930000000000007"/>
    <n v="0.34053667656439018"/>
  </r>
  <r>
    <s v="BC-100143"/>
    <d v="2025-02-11T00:00:00"/>
    <s v="London"/>
    <s v="Small Business"/>
    <s v="Electronics"/>
    <s v="SmartHome Hub"/>
    <n v="3"/>
    <n v="135.06"/>
    <n v="84.74"/>
    <n v="0"/>
    <n v="4"/>
    <n v="4"/>
    <s v="No"/>
    <s v="Online"/>
    <s v="Bank Transfer"/>
    <s v="Small Business"/>
    <s v="London"/>
    <s v="Electronics"/>
    <x v="288"/>
    <n v="1"/>
    <s v="SmartHome Hub"/>
    <n v="405.18"/>
    <n v="254.21999999999997"/>
    <n v="150.96000000000004"/>
    <n v="0.37257515178439221"/>
  </r>
  <r>
    <s v="BC-101290"/>
    <d v="2025-02-03T00:00:00"/>
    <s v="North"/>
    <s v="Individual"/>
    <s v="Home &amp; Kitchen"/>
    <s v="Air Fryer"/>
    <n v="1"/>
    <n v="112.42"/>
    <n v="68.28"/>
    <n v="0"/>
    <n v="5"/>
    <n v="5"/>
    <s v="No"/>
    <s v="Online"/>
    <s v="Digital Wallet"/>
    <s v="Individual"/>
    <s v="North"/>
    <s v="Home &amp; Kitchen"/>
    <x v="321"/>
    <n v="1"/>
    <s v="Air Fryer"/>
    <n v="112.42"/>
    <n v="68.28"/>
    <n v="44.14"/>
    <n v="0.39263476249777618"/>
  </r>
  <r>
    <s v="BC-100931"/>
    <d v="2025-10-31T00:00:00"/>
    <s v="North"/>
    <s v="Individual"/>
    <s v="Electronics"/>
    <s v="Webcam"/>
    <n v="3"/>
    <n v="51.52"/>
    <n v="26.37"/>
    <n v="0.05"/>
    <n v="5"/>
    <n v="4"/>
    <s v="No"/>
    <s v="Online"/>
    <s v="Bank Transfer"/>
    <s v="Individual"/>
    <s v="North"/>
    <s v="Electronics"/>
    <x v="46"/>
    <n v="1"/>
    <s v="Webcam"/>
    <n v="146.83199999999999"/>
    <n v="79.11"/>
    <n v="67.721999999999994"/>
    <n v="0.46122098725073551"/>
  </r>
  <r>
    <s v="BC-101861"/>
    <d v="2025-12-13T00:00:00"/>
    <s v="North"/>
    <s v="Individual"/>
    <s v="Home &amp; Kitchen"/>
    <s v="Blender"/>
    <n v="1"/>
    <n v="64.34"/>
    <n v="36.36"/>
    <n v="0.15000000000000002"/>
    <n v="0"/>
    <n v="5"/>
    <s v="No"/>
    <s v="Store"/>
    <s v="Card"/>
    <s v="Individual"/>
    <s v="North"/>
    <s v="Home &amp; Kitchen"/>
    <x v="219"/>
    <n v="1"/>
    <s v="Blender"/>
    <n v="54.689"/>
    <n v="36.36"/>
    <n v="18.329000000000001"/>
    <n v="0.33514966446634609"/>
  </r>
  <r>
    <s v="BC-100617"/>
    <d v="2025-11-13T00:00:00"/>
    <s v="South"/>
    <s v="Individual"/>
    <s v="Office"/>
    <s v="Desk Lamp"/>
    <n v="1"/>
    <n v="40.56"/>
    <n v="19.940000000000001"/>
    <n v="0.15000000000000002"/>
    <n v="4"/>
    <n v="3"/>
    <s v="Yes"/>
    <s v="Online"/>
    <s v="Bank Transfer"/>
    <s v="Individual"/>
    <s v="South"/>
    <s v="Office"/>
    <x v="22"/>
    <n v="1"/>
    <s v="Desk Lamp"/>
    <n v="34.475999999999999"/>
    <n v="19.940000000000001"/>
    <n v="14.535999999999998"/>
    <n v="0.42162663882120893"/>
  </r>
  <r>
    <s v="BC-101235"/>
    <d v="2025-09-01T00:00:00"/>
    <s v="North"/>
    <s v="Individual"/>
    <s v="Electronics"/>
    <s v="SmartHome Hub"/>
    <n v="2"/>
    <n v="126.35"/>
    <n v="82.84"/>
    <n v="0.1"/>
    <n v="4"/>
    <n v="4"/>
    <s v="No"/>
    <s v="Store"/>
    <s v="Card"/>
    <s v="Individual"/>
    <s v="North"/>
    <s v="Electronics"/>
    <x v="250"/>
    <n v="1"/>
    <s v="SmartHome Hub"/>
    <n v="227.43"/>
    <n v="165.68"/>
    <n v="61.75"/>
    <n v="0.27151211361737676"/>
  </r>
  <r>
    <s v="BC-100665"/>
    <d v="2025-12-20T00:00:00"/>
    <s v="London"/>
    <s v="Small Business"/>
    <s v="Office"/>
    <s v="Desk Lamp"/>
    <n v="4"/>
    <n v="40.4"/>
    <n v="18.899999999999999"/>
    <n v="0.2"/>
    <n v="0"/>
    <n v="4"/>
    <s v="No"/>
    <s v="Store"/>
    <s v="Card"/>
    <s v="Small Business"/>
    <s v="London"/>
    <s v="Office"/>
    <x v="220"/>
    <n v="1"/>
    <s v="Desk Lamp"/>
    <n v="129.28"/>
    <n v="75.599999999999994"/>
    <n v="53.680000000000007"/>
    <n v="0.41522277227722776"/>
  </r>
  <r>
    <s v="BC-101800"/>
    <d v="2025-12-19T00:00:00"/>
    <s v="South"/>
    <s v="Corporate"/>
    <s v="Electronics"/>
    <s v="Wireless Headset"/>
    <n v="4"/>
    <n v="58.92"/>
    <n v="34.28"/>
    <n v="0.15000000000000002"/>
    <n v="3"/>
    <n v="5"/>
    <s v="No"/>
    <s v="Phone"/>
    <s v="Bank Transfer"/>
    <s v="Corporate"/>
    <s v="South"/>
    <s v="Electronics"/>
    <x v="18"/>
    <n v="1"/>
    <s v="Wireless Headset"/>
    <n v="200.328"/>
    <n v="137.12"/>
    <n v="63.207999999999998"/>
    <n v="0.31552254302943172"/>
  </r>
  <r>
    <s v="BC-100288"/>
    <d v="2025-10-21T00:00:00"/>
    <s v="South"/>
    <s v="Individual"/>
    <s v="Office"/>
    <s v="Laptop Stand"/>
    <n v="4"/>
    <n v="45.87"/>
    <n v="21.06"/>
    <n v="0.05"/>
    <n v="4"/>
    <n v="5"/>
    <s v="No"/>
    <s v="Online"/>
    <s v="Digital Wallet"/>
    <s v="Individual"/>
    <s v="South"/>
    <s v="Office"/>
    <x v="184"/>
    <n v="1"/>
    <s v="Laptop Stand"/>
    <n v="174.30599999999998"/>
    <n v="84.24"/>
    <n v="90.065999999999988"/>
    <n v="0.5167119892602664"/>
  </r>
  <r>
    <s v="BC-101805"/>
    <d v="2025-11-29T00:00:00"/>
    <s v="London"/>
    <s v="Individual"/>
    <s v="Electronics"/>
    <s v="SmartHome Hub"/>
    <n v="1"/>
    <n v="128.78"/>
    <n v="87.17"/>
    <n v="0.15000000000000002"/>
    <n v="4"/>
    <n v="4"/>
    <s v="No"/>
    <s v="Online"/>
    <s v="Bank Transfer"/>
    <s v="Individual"/>
    <s v="London"/>
    <s v="Electronics"/>
    <x v="8"/>
    <n v="1"/>
    <s v="SmartHome Hub"/>
    <n v="109.46299999999999"/>
    <n v="87.17"/>
    <n v="22.292999999999992"/>
    <n v="0.20365785699277375"/>
  </r>
  <r>
    <s v="BC-100596"/>
    <d v="2025-10-26T00:00:00"/>
    <s v="South"/>
    <s v="Individual"/>
    <s v="Home &amp; Kitchen"/>
    <s v="Electric Kettle"/>
    <n v="1"/>
    <n v="41.39"/>
    <n v="20.46"/>
    <n v="0.1"/>
    <n v="4"/>
    <n v="5"/>
    <s v="No"/>
    <s v="Online"/>
    <s v="Bank Transfer"/>
    <s v="Individual"/>
    <s v="South"/>
    <s v="Home &amp; Kitchen"/>
    <x v="360"/>
    <n v="1"/>
    <s v="Electric Kettle"/>
    <n v="37.251000000000005"/>
    <n v="20.46"/>
    <n v="16.791000000000004"/>
    <n v="0.45075299991946527"/>
  </r>
  <r>
    <s v="BC-101228"/>
    <d v="2025-11-17T00:00:00"/>
    <s v="South"/>
    <s v="Individual"/>
    <s v="Furniture"/>
    <s v="Bookshelf"/>
    <n v="2"/>
    <n v="116.75"/>
    <n v="75.41"/>
    <n v="0.15000000000000002"/>
    <n v="8"/>
    <n v="3"/>
    <s v="No"/>
    <s v="Online"/>
    <s v="Bank Transfer"/>
    <s v="Individual"/>
    <s v="South"/>
    <s v="Furniture"/>
    <x v="223"/>
    <n v="1"/>
    <s v="Bookshelf"/>
    <n v="198.47499999999999"/>
    <n v="150.82"/>
    <n v="47.655000000000001"/>
    <n v="0.24010580677667215"/>
  </r>
  <r>
    <s v="BC-101980"/>
    <d v="2025-04-02T00:00:00"/>
    <s v="North"/>
    <s v="Individual"/>
    <s v="Office"/>
    <s v="Ergonomic Keyboard"/>
    <n v="1"/>
    <n v="71.489999999999995"/>
    <n v="39.630000000000003"/>
    <n v="0.05"/>
    <n v="1"/>
    <n v="4"/>
    <s v="No"/>
    <s v="Store"/>
    <s v="Card"/>
    <s v="Individual"/>
    <s v="North"/>
    <s v="Office"/>
    <x v="170"/>
    <n v="1"/>
    <s v="Ergonomic Keyboard"/>
    <n v="67.915499999999994"/>
    <n v="39.630000000000003"/>
    <n v="28.285499999999992"/>
    <n v="0.41648077390286448"/>
  </r>
  <r>
    <s v="BC-101454"/>
    <d v="2025-04-14T00:00:00"/>
    <s v="Midlands"/>
    <s v="Individual"/>
    <s v="Office"/>
    <s v="Ergonomic Keyboard"/>
    <n v="1"/>
    <n v="69.069999999999993"/>
    <n v="39.22"/>
    <n v="0.05"/>
    <n v="4"/>
    <n v="4"/>
    <s v="No"/>
    <s v="Phone"/>
    <s v="Card"/>
    <s v="Individual"/>
    <s v="Midlands"/>
    <s v="Office"/>
    <x v="38"/>
    <n v="1"/>
    <s v="Ergonomic Keyboard"/>
    <n v="65.616499999999988"/>
    <n v="39.22"/>
    <n v="26.396499999999989"/>
    <n v="0.40228448637156805"/>
  </r>
  <r>
    <s v="BC-101565"/>
    <d v="2025-03-18T00:00:00"/>
    <s v="Midlands"/>
    <s v="Individual"/>
    <s v="Electronics"/>
    <s v="Webcam"/>
    <n v="2"/>
    <n v="50.47"/>
    <n v="25.61"/>
    <n v="0.05"/>
    <n v="4"/>
    <n v="5"/>
    <s v="No"/>
    <s v="Online"/>
    <s v="Card"/>
    <s v="Individual"/>
    <s v="Midlands"/>
    <s v="Electronics"/>
    <x v="348"/>
    <n v="1"/>
    <s v="Webcam"/>
    <n v="95.892999999999986"/>
    <n v="51.22"/>
    <n v="44.672999999999988"/>
    <n v="0.46586299312775692"/>
  </r>
  <r>
    <s v="BC-100507"/>
    <d v="2025-09-09T00:00:00"/>
    <s v="London"/>
    <s v="Individual"/>
    <s v="Furniture"/>
    <s v="Storage Cabinet"/>
    <n v="2"/>
    <n v="155.46"/>
    <n v="104.87"/>
    <n v="0"/>
    <n v="7"/>
    <n v="4"/>
    <s v="No"/>
    <s v="Online"/>
    <s v="Card"/>
    <s v="Individual"/>
    <s v="London"/>
    <s v="Furniture"/>
    <x v="102"/>
    <n v="1"/>
    <s v="Storage Cabinet"/>
    <n v="310.92"/>
    <n v="209.74"/>
    <n v="101.18"/>
    <n v="0.3254213302457224"/>
  </r>
  <r>
    <s v="BC-100698"/>
    <d v="2025-11-21T00:00:00"/>
    <s v="London"/>
    <s v="Small Business"/>
    <s v="Electronics"/>
    <s v="SmartHome Hub"/>
    <n v="2"/>
    <n v="129.97"/>
    <n v="84.14"/>
    <n v="0.1"/>
    <n v="4"/>
    <n v="2"/>
    <s v="Yes"/>
    <s v="Online"/>
    <s v="Bank Transfer"/>
    <s v="Small Business"/>
    <s v="London"/>
    <s v="Electronics"/>
    <x v="300"/>
    <n v="1"/>
    <s v="SmartHome Hub"/>
    <n v="233.946"/>
    <n v="168.28"/>
    <n v="65.665999999999997"/>
    <n v="0.28068870594068718"/>
  </r>
  <r>
    <s v="BC-101546"/>
    <d v="2025-02-05T00:00:00"/>
    <s v="London"/>
    <s v="Small Business"/>
    <s v="Home &amp; Kitchen"/>
    <s v="Coffee Maker"/>
    <n v="1"/>
    <n v="80.680000000000007"/>
    <n v="46.24"/>
    <n v="0"/>
    <n v="7"/>
    <n v="4"/>
    <s v="No"/>
    <s v="Phone"/>
    <s v="Bank Transfer"/>
    <s v="Small Business"/>
    <s v="London"/>
    <s v="Home &amp; Kitchen"/>
    <x v="173"/>
    <n v="1"/>
    <s v="Coffee Maker"/>
    <n v="80.680000000000007"/>
    <n v="46.24"/>
    <n v="34.440000000000005"/>
    <n v="0.42687159147248394"/>
  </r>
  <r>
    <s v="BC-101582"/>
    <d v="2025-08-15T00:00:00"/>
    <s v="South"/>
    <s v="Individual"/>
    <s v="Electronics"/>
    <s v="Wireless Headset"/>
    <n v="1"/>
    <n v="60.75"/>
    <n v="33.07"/>
    <n v="0.1"/>
    <n v="7"/>
    <n v="3"/>
    <s v="No"/>
    <s v="Online"/>
    <s v="Bank Transfer"/>
    <s v="Individual"/>
    <s v="South"/>
    <s v="Electronics"/>
    <x v="325"/>
    <n v="1"/>
    <s v="Wireless Headset"/>
    <n v="54.675000000000004"/>
    <n v="33.07"/>
    <n v="21.605000000000004"/>
    <n v="0.39515317786922727"/>
  </r>
  <r>
    <s v="BC-100933"/>
    <d v="2025-02-11T00:00:00"/>
    <s v="South"/>
    <s v="Individual"/>
    <s v="Home &amp; Kitchen"/>
    <s v="Blender"/>
    <n v="4"/>
    <n v="63.24"/>
    <n v="35.03"/>
    <n v="0.1"/>
    <n v="4"/>
    <n v="4"/>
    <s v="No"/>
    <s v="Online"/>
    <s v="Bank Transfer"/>
    <s v="Individual"/>
    <s v="South"/>
    <s v="Home &amp; Kitchen"/>
    <x v="288"/>
    <n v="1"/>
    <s v="Blender"/>
    <n v="227.66400000000002"/>
    <n v="140.12"/>
    <n v="87.544000000000011"/>
    <n v="0.38453159041394336"/>
  </r>
  <r>
    <s v="BC-100424"/>
    <d v="2025-08-18T00:00:00"/>
    <s v="London"/>
    <s v="Individual"/>
    <s v="Office"/>
    <s v="Laptop Stand"/>
    <n v="1"/>
    <n v="44.13"/>
    <n v="21.38"/>
    <n v="0.05"/>
    <n v="0"/>
    <n v="5"/>
    <s v="No"/>
    <s v="Store"/>
    <s v="Digital Wallet"/>
    <s v="Individual"/>
    <s v="London"/>
    <s v="Office"/>
    <x v="157"/>
    <n v="1"/>
    <s v="Laptop Stand"/>
    <n v="41.923499999999997"/>
    <n v="21.38"/>
    <n v="20.543499999999998"/>
    <n v="0.49002349517573673"/>
  </r>
  <r>
    <s v="BC-101865"/>
    <d v="2025-12-24T00:00:00"/>
    <s v="North"/>
    <s v="Small Business"/>
    <s v="Furniture"/>
    <s v="Side Table"/>
    <n v="4"/>
    <n v="92.99"/>
    <n v="54.18"/>
    <n v="0.05"/>
    <n v="2"/>
    <n v="4"/>
    <s v="No"/>
    <s v="Store"/>
    <s v="Card"/>
    <s v="Small Business"/>
    <s v="North"/>
    <s v="Furniture"/>
    <x v="316"/>
    <n v="1"/>
    <s v="Side Table"/>
    <n v="353.36199999999997"/>
    <n v="216.72"/>
    <n v="136.64199999999997"/>
    <n v="0.38669126844425822"/>
  </r>
  <r>
    <s v="BC-101764"/>
    <d v="2025-07-29T00:00:00"/>
    <s v="London"/>
    <s v="Small Business"/>
    <s v="Office"/>
    <s v="Laptop Stand"/>
    <n v="3"/>
    <n v="46.06"/>
    <n v="20.62"/>
    <n v="0.1"/>
    <n v="0"/>
    <n v="4"/>
    <s v="No"/>
    <s v="Store"/>
    <s v="Bank Transfer"/>
    <s v="Small Business"/>
    <s v="London"/>
    <s v="Office"/>
    <x v="273"/>
    <n v="1"/>
    <s v="Laptop Stand"/>
    <n v="124.36200000000001"/>
    <n v="61.86"/>
    <n v="62.50200000000001"/>
    <n v="0.5025811743136972"/>
  </r>
  <r>
    <s v="BC-101502"/>
    <d v="2025-01-15T00:00:00"/>
    <s v="Midlands"/>
    <s v="Small Business"/>
    <s v="Office"/>
    <s v="Wireless Mouse"/>
    <n v="3"/>
    <n v="36.36"/>
    <n v="17.809999999999999"/>
    <n v="0"/>
    <n v="3"/>
    <n v="5"/>
    <s v="No"/>
    <s v="Online"/>
    <s v="Card"/>
    <s v="Small Business"/>
    <s v="Midlands"/>
    <s v="Office"/>
    <x v="344"/>
    <n v="1"/>
    <s v="Wireless Mouse"/>
    <n v="109.08"/>
    <n v="53.429999999999993"/>
    <n v="55.650000000000006"/>
    <n v="0.51017601760176023"/>
  </r>
  <r>
    <s v="BC-100420"/>
    <d v="2025-05-31T00:00:00"/>
    <s v="London"/>
    <s v="Individual"/>
    <s v="Office"/>
    <s v="Wireless Mouse"/>
    <n v="1"/>
    <n v="34.700000000000003"/>
    <n v="17.48"/>
    <n v="0"/>
    <n v="3"/>
    <n v="4"/>
    <s v="No"/>
    <s v="Phone"/>
    <s v="Bank Transfer"/>
    <s v="Individual"/>
    <s v="London"/>
    <s v="Office"/>
    <x v="13"/>
    <n v="1"/>
    <s v="Wireless Mouse"/>
    <n v="34.700000000000003"/>
    <n v="17.48"/>
    <n v="17.220000000000002"/>
    <n v="0.49625360230547555"/>
  </r>
  <r>
    <s v="BC-100446"/>
    <d v="2025-03-10T00:00:00"/>
    <s v="North"/>
    <s v="Individual"/>
    <s v="Furniture"/>
    <s v="Storage Cabinet"/>
    <n v="1"/>
    <n v="157.93"/>
    <n v="103.89"/>
    <n v="0"/>
    <n v="2"/>
    <n v="4"/>
    <s v="No"/>
    <s v="Store"/>
    <s v="Bank Transfer"/>
    <s v="Individual"/>
    <s v="North"/>
    <s v="Furniture"/>
    <x v="96"/>
    <n v="1"/>
    <s v="Storage Cabinet"/>
    <n v="157.93"/>
    <n v="103.89"/>
    <n v="54.040000000000006"/>
    <n v="0.34217691382257964"/>
  </r>
  <r>
    <s v="BC-100718"/>
    <d v="2025-04-14T00:00:00"/>
    <s v="South"/>
    <s v="Individual"/>
    <s v="Home &amp; Kitchen"/>
    <s v="Electric Kettle"/>
    <n v="1"/>
    <n v="40.4"/>
    <n v="19.98"/>
    <n v="0.15000000000000002"/>
    <n v="3"/>
    <n v="5"/>
    <s v="No"/>
    <s v="Online"/>
    <s v="Card"/>
    <s v="Individual"/>
    <s v="South"/>
    <s v="Home &amp; Kitchen"/>
    <x v="38"/>
    <n v="1"/>
    <s v="Electric Kettle"/>
    <n v="34.339999999999996"/>
    <n v="19.98"/>
    <n v="14.359999999999996"/>
    <n v="0.41817122888759456"/>
  </r>
  <r>
    <s v="BC-101134"/>
    <d v="2025-10-08T00:00:00"/>
    <s v="London"/>
    <s v="Small Business"/>
    <s v="Electronics"/>
    <s v="Webcam"/>
    <n v="2"/>
    <n v="48.7"/>
    <n v="25.47"/>
    <n v="0"/>
    <n v="0"/>
    <n v="4"/>
    <s v="No"/>
    <s v="Store"/>
    <s v="Card"/>
    <s v="Small Business"/>
    <s v="London"/>
    <s v="Electronics"/>
    <x v="27"/>
    <n v="1"/>
    <s v="Webcam"/>
    <n v="97.4"/>
    <n v="50.94"/>
    <n v="46.460000000000008"/>
    <n v="0.47700205338809043"/>
  </r>
  <r>
    <s v="BC-101184"/>
    <d v="2025-06-14T00:00:00"/>
    <s v="South"/>
    <s v="Individual"/>
    <s v="Electronics"/>
    <s v="Webcam"/>
    <n v="2"/>
    <n v="48.95"/>
    <n v="26.18"/>
    <n v="0.05"/>
    <n v="0"/>
    <n v="4"/>
    <s v="No"/>
    <s v="Store"/>
    <s v="Card"/>
    <s v="Individual"/>
    <s v="South"/>
    <s v="Electronics"/>
    <x v="284"/>
    <n v="1"/>
    <s v="Webcam"/>
    <n v="93.004999999999995"/>
    <n v="52.36"/>
    <n v="40.644999999999996"/>
    <n v="0.43701951507983439"/>
  </r>
  <r>
    <s v="BC-101267"/>
    <d v="2025-12-05T00:00:00"/>
    <s v="Midlands"/>
    <s v="Small Business"/>
    <s v="Furniture"/>
    <s v="Storage Cabinet"/>
    <n v="3"/>
    <n v="163.44"/>
    <n v="101.78"/>
    <n v="0.1"/>
    <n v="3"/>
    <n v="4"/>
    <s v="No"/>
    <s v="Online"/>
    <s v="Bank Transfer"/>
    <s v="Small Business"/>
    <s v="Midlands"/>
    <s v="Furniture"/>
    <x v="21"/>
    <n v="1"/>
    <s v="Storage Cabinet"/>
    <n v="441.28800000000001"/>
    <n v="305.34000000000003"/>
    <n v="135.94799999999998"/>
    <n v="0.30807091967150702"/>
  </r>
  <r>
    <s v="BC-101029"/>
    <d v="2025-07-31T00:00:00"/>
    <s v="North"/>
    <s v="Individual"/>
    <s v="Home &amp; Kitchen"/>
    <s v="Blender"/>
    <n v="1"/>
    <n v="67.17"/>
    <n v="34.69"/>
    <n v="0"/>
    <n v="2"/>
    <n v="4"/>
    <s v="No"/>
    <s v="Online"/>
    <s v="Card"/>
    <s v="Individual"/>
    <s v="North"/>
    <s v="Home &amp; Kitchen"/>
    <x v="9"/>
    <n v="1"/>
    <s v="Blender"/>
    <n v="67.17"/>
    <n v="34.69"/>
    <n v="32.480000000000004"/>
    <n v="0.4835492035134733"/>
  </r>
  <r>
    <s v="BC-100264"/>
    <d v="2025-02-18T00:00:00"/>
    <s v="South"/>
    <s v="Small Business"/>
    <s v="Electronics"/>
    <s v="Webcam"/>
    <n v="2"/>
    <n v="50.26"/>
    <n v="25.52"/>
    <n v="0.05"/>
    <n v="2"/>
    <n v="4"/>
    <s v="No"/>
    <s v="Online"/>
    <s v="Digital Wallet"/>
    <s v="Small Business"/>
    <s v="South"/>
    <s v="Electronics"/>
    <x v="276"/>
    <n v="1"/>
    <s v="Webcam"/>
    <n v="95.493999999999986"/>
    <n v="51.04"/>
    <n v="44.453999999999986"/>
    <n v="0.46551615808323027"/>
  </r>
  <r>
    <s v="BC-101367"/>
    <d v="2025-06-15T00:00:00"/>
    <s v="North"/>
    <s v="Individual"/>
    <s v="Home &amp; Kitchen"/>
    <s v="Coffee Maker"/>
    <n v="1"/>
    <n v="78.95"/>
    <n v="46.46"/>
    <n v="0.1"/>
    <n v="2"/>
    <n v="5"/>
    <s v="No"/>
    <s v="Online"/>
    <s v="Bank Transfer"/>
    <s v="Individual"/>
    <s v="North"/>
    <s v="Home &amp; Kitchen"/>
    <x v="119"/>
    <n v="1"/>
    <s v="Coffee Maker"/>
    <n v="71.055000000000007"/>
    <n v="46.46"/>
    <n v="24.595000000000006"/>
    <n v="0.34614031384139055"/>
  </r>
  <r>
    <s v="BC-100556"/>
    <d v="2025-07-24T00:00:00"/>
    <s v="North"/>
    <s v="Individual"/>
    <s v="Electronics"/>
    <s v="Portable Speaker"/>
    <n v="1"/>
    <n v="73.03"/>
    <n v="42.05"/>
    <n v="0"/>
    <n v="3"/>
    <n v="4"/>
    <s v="No"/>
    <s v="Phone"/>
    <s v="Bank Transfer"/>
    <s v="Individual"/>
    <s v="North"/>
    <s v="Electronics"/>
    <x v="291"/>
    <n v="1"/>
    <s v="Portable Speaker"/>
    <n v="73.03"/>
    <n v="42.05"/>
    <n v="30.980000000000004"/>
    <n v="0.42420922908393816"/>
  </r>
  <r>
    <s v="BC-101959"/>
    <d v="2025-06-22T00:00:00"/>
    <s v="Midlands"/>
    <s v="Individual"/>
    <s v="Home &amp; Kitchen"/>
    <s v="Coffee Maker"/>
    <n v="1"/>
    <n v="82.4"/>
    <n v="44.53"/>
    <n v="0.05"/>
    <n v="0"/>
    <n v="4"/>
    <s v="No"/>
    <s v="Store"/>
    <s v="Card"/>
    <s v="Individual"/>
    <s v="Midlands"/>
    <s v="Home &amp; Kitchen"/>
    <x v="154"/>
    <n v="1"/>
    <s v="Coffee Maker"/>
    <n v="78.28"/>
    <n v="44.53"/>
    <n v="33.75"/>
    <n v="0.43114460909555441"/>
  </r>
  <r>
    <s v="BC-100336"/>
    <d v="2025-06-20T00:00:00"/>
    <s v="North"/>
    <s v="Individual"/>
    <s v="Electronics"/>
    <s v="Webcam"/>
    <n v="2"/>
    <n v="50.52"/>
    <n v="25.32"/>
    <n v="0"/>
    <n v="3"/>
    <n v="4"/>
    <s v="No"/>
    <s v="Store"/>
    <s v="Card"/>
    <s v="Individual"/>
    <s v="North"/>
    <s v="Electronics"/>
    <x v="163"/>
    <n v="1"/>
    <s v="Webcam"/>
    <n v="101.04"/>
    <n v="50.64"/>
    <n v="50.400000000000006"/>
    <n v="0.49881235154394304"/>
  </r>
  <r>
    <s v="BC-100836"/>
    <d v="2025-01-02T00:00:00"/>
    <s v="North"/>
    <s v="Small Business"/>
    <s v="Electronics"/>
    <s v="SmartHome Hub"/>
    <n v="1"/>
    <n v="129.35"/>
    <n v="81.77"/>
    <n v="0"/>
    <n v="2"/>
    <n v="4"/>
    <s v="No"/>
    <s v="Store"/>
    <s v="Bank Transfer"/>
    <s v="Small Business"/>
    <s v="North"/>
    <s v="Electronics"/>
    <x v="320"/>
    <n v="1"/>
    <s v="SmartHome Hub"/>
    <n v="129.35"/>
    <n v="81.77"/>
    <n v="47.58"/>
    <n v="0.3678391959798995"/>
  </r>
  <r>
    <s v="BC-101370"/>
    <d v="2025-08-23T00:00:00"/>
    <s v="North"/>
    <s v="Small Business"/>
    <s v="Home &amp; Kitchen"/>
    <s v="Coffee Maker"/>
    <n v="4"/>
    <n v="80.23"/>
    <n v="45.13"/>
    <n v="0"/>
    <n v="3"/>
    <n v="4"/>
    <s v="No"/>
    <s v="Online"/>
    <s v="Card"/>
    <s v="Small Business"/>
    <s v="North"/>
    <s v="Home &amp; Kitchen"/>
    <x v="120"/>
    <n v="1"/>
    <s v="Coffee Maker"/>
    <n v="320.92"/>
    <n v="180.52"/>
    <n v="140.4"/>
    <n v="0.43749220989654741"/>
  </r>
  <r>
    <s v="BC-100228"/>
    <d v="2025-07-28T00:00:00"/>
    <s v="South"/>
    <s v="Small Business"/>
    <s v="Electronics"/>
    <s v="SmartHome Hub"/>
    <n v="3"/>
    <n v="132.44"/>
    <n v="82.26"/>
    <n v="0.15000000000000002"/>
    <n v="2"/>
    <n v="4"/>
    <s v="No"/>
    <s v="Online"/>
    <s v="Digital Wallet"/>
    <s v="Small Business"/>
    <s v="South"/>
    <s v="Electronics"/>
    <x v="39"/>
    <n v="1"/>
    <s v="SmartHome Hub"/>
    <n v="337.72199999999998"/>
    <n v="246.78000000000003"/>
    <n v="90.94199999999995"/>
    <n v="0.26928065094959747"/>
  </r>
  <r>
    <s v="BC-100730"/>
    <d v="2025-08-03T00:00:00"/>
    <s v="Midlands"/>
    <s v="Individual"/>
    <s v="Office"/>
    <s v="Desk Lamp"/>
    <n v="3"/>
    <n v="39.840000000000003"/>
    <n v="18.739999999999998"/>
    <n v="0"/>
    <n v="5"/>
    <n v="4"/>
    <s v="No"/>
    <s v="Online"/>
    <s v="Digital Wallet"/>
    <s v="Individual"/>
    <s v="Midlands"/>
    <s v="Office"/>
    <x v="289"/>
    <n v="1"/>
    <s v="Desk Lamp"/>
    <n v="119.52000000000001"/>
    <n v="56.22"/>
    <n v="63.300000000000011"/>
    <n v="0.52961847389558236"/>
  </r>
  <r>
    <s v="BC-100964"/>
    <d v="2025-07-19T00:00:00"/>
    <s v="North"/>
    <s v="Individual"/>
    <s v="Home &amp; Kitchen"/>
    <s v="Blender"/>
    <n v="1"/>
    <n v="65.25"/>
    <n v="34.42"/>
    <n v="0"/>
    <n v="0"/>
    <n v="5"/>
    <s v="No"/>
    <s v="Store"/>
    <s v="Card"/>
    <s v="Individual"/>
    <s v="North"/>
    <s v="Home &amp; Kitchen"/>
    <x v="253"/>
    <n v="1"/>
    <s v="Blender"/>
    <n v="65.25"/>
    <n v="34.42"/>
    <n v="30.83"/>
    <n v="0.47249042145593867"/>
  </r>
  <r>
    <s v="BC-101366"/>
    <d v="2025-02-11T00:00:00"/>
    <s v="London"/>
    <s v="Individual"/>
    <s v="Home &amp; Kitchen"/>
    <s v="Electric Kettle"/>
    <n v="1"/>
    <n v="40.83"/>
    <n v="20.87"/>
    <n v="0"/>
    <n v="1"/>
    <n v="4"/>
    <s v="No"/>
    <s v="Store"/>
    <s v="Digital Wallet"/>
    <s v="Individual"/>
    <s v="London"/>
    <s v="Home &amp; Kitchen"/>
    <x v="288"/>
    <n v="1"/>
    <s v="Electric Kettle"/>
    <n v="40.83"/>
    <n v="20.87"/>
    <n v="19.959999999999997"/>
    <n v="0.4888562331618907"/>
  </r>
  <r>
    <s v="BC-101225"/>
    <d v="2025-12-30T00:00:00"/>
    <s v="South"/>
    <s v="Individual"/>
    <s v="Furniture"/>
    <s v="Side Table"/>
    <n v="1"/>
    <n v="92.66"/>
    <n v="54.06"/>
    <n v="0"/>
    <n v="7"/>
    <n v="4"/>
    <s v="No"/>
    <s v="Online"/>
    <s v="Card"/>
    <s v="Individual"/>
    <s v="South"/>
    <s v="Furniture"/>
    <x v="0"/>
    <n v="1"/>
    <s v="Side Table"/>
    <n v="92.66"/>
    <n v="54.06"/>
    <n v="38.599999999999994"/>
    <n v="0.41657673213900276"/>
  </r>
  <r>
    <s v="BC-101792"/>
    <d v="2025-10-02T00:00:00"/>
    <s v="North"/>
    <s v="Individual"/>
    <s v="Office"/>
    <s v="Ergonomic Keyboard"/>
    <n v="1"/>
    <n v="70.48"/>
    <n v="38.54"/>
    <n v="0.1"/>
    <n v="4"/>
    <n v="5"/>
    <s v="No"/>
    <s v="Phone"/>
    <s v="Card"/>
    <s v="Individual"/>
    <s v="North"/>
    <s v="Office"/>
    <x v="263"/>
    <n v="1"/>
    <s v="Ergonomic Keyboard"/>
    <n v="63.432000000000002"/>
    <n v="38.54"/>
    <n v="24.892000000000003"/>
    <n v="0.39242022953714217"/>
  </r>
  <r>
    <s v="BC-101979"/>
    <d v="2025-12-26T00:00:00"/>
    <s v="London"/>
    <s v="Individual"/>
    <s v="Electronics"/>
    <s v="Portable Speaker"/>
    <n v="3"/>
    <n v="77.95"/>
    <n v="42.4"/>
    <n v="0.05"/>
    <n v="2"/>
    <n v="5"/>
    <s v="No"/>
    <s v="Online"/>
    <s v="Digital Wallet"/>
    <s v="Individual"/>
    <s v="London"/>
    <s v="Electronics"/>
    <x v="215"/>
    <n v="1"/>
    <s v="Portable Speaker"/>
    <n v="222.1575"/>
    <n v="127.19999999999999"/>
    <n v="94.95750000000001"/>
    <n v="0.42743323993112997"/>
  </r>
  <r>
    <s v="BC-101907"/>
    <d v="2025-09-24T00:00:00"/>
    <s v="London"/>
    <s v="Corporate"/>
    <s v="Electronics"/>
    <s v="SmartHome Hub"/>
    <n v="8"/>
    <n v="129.94999999999999"/>
    <n v="86.91"/>
    <n v="0.05"/>
    <n v="4"/>
    <n v="4"/>
    <s v="No"/>
    <s v="Online"/>
    <s v="Card"/>
    <s v="Corporate"/>
    <s v="London"/>
    <s v="Electronics"/>
    <x v="146"/>
    <n v="1"/>
    <s v="SmartHome Hub"/>
    <n v="987.61999999999989"/>
    <n v="695.28"/>
    <n v="292.33999999999992"/>
    <n v="0.29600453615763145"/>
  </r>
  <r>
    <s v="BC-100105"/>
    <d v="2025-04-27T00:00:00"/>
    <s v="Midlands"/>
    <s v="Corporate"/>
    <s v="Office"/>
    <s v="Desk Lamp"/>
    <n v="4"/>
    <n v="39.270000000000003"/>
    <n v="18.62"/>
    <n v="0.05"/>
    <n v="2"/>
    <m/>
    <s v="No"/>
    <s v="Store"/>
    <s v="Digital Wallet"/>
    <s v="Corporate"/>
    <s v="Midlands"/>
    <s v="Office"/>
    <x v="233"/>
    <n v="1"/>
    <s v="Desk Lamp"/>
    <n v="149.226"/>
    <n v="74.48"/>
    <n v="74.745999999999995"/>
    <n v="0.50089126559714792"/>
  </r>
  <r>
    <s v="BC-101858"/>
    <d v="2025-04-09T00:00:00"/>
    <s v="South"/>
    <s v="Individual"/>
    <s v="Office"/>
    <s v="Laptop Stand"/>
    <n v="1"/>
    <n v="43.99"/>
    <n v="20.69"/>
    <n v="0.1"/>
    <n v="4"/>
    <n v="5"/>
    <s v="No"/>
    <s v="Online"/>
    <s v="Card"/>
    <s v="Individual"/>
    <s v="South"/>
    <s v="Office"/>
    <x v="359"/>
    <n v="1"/>
    <s v="Laptop Stand"/>
    <n v="39.591000000000001"/>
    <n v="20.69"/>
    <n v="18.901"/>
    <n v="0.47740648127099594"/>
  </r>
  <r>
    <s v="BC-100168"/>
    <d v="2025-11-06T00:00:00"/>
    <s v="North"/>
    <s v="Corporate"/>
    <s v="Home &amp; Kitchen"/>
    <s v="Blender"/>
    <n v="4"/>
    <n v="67.53"/>
    <n v="35.82"/>
    <n v="0.1"/>
    <n v="3"/>
    <n v="5"/>
    <s v="No"/>
    <s v="Online"/>
    <s v="Card"/>
    <s v="Corporate"/>
    <s v="North"/>
    <s v="Home &amp; Kitchen"/>
    <x v="176"/>
    <n v="1"/>
    <s v="Blender"/>
    <n v="243.108"/>
    <n v="143.28"/>
    <n v="99.828000000000003"/>
    <n v="0.41063231156523028"/>
  </r>
  <r>
    <s v="BC-101772"/>
    <d v="2025-08-08T00:00:00"/>
    <s v="London"/>
    <s v="Individual"/>
    <s v="Furniture"/>
    <s v="Office Chair"/>
    <n v="1"/>
    <n v="177.89"/>
    <n v="116.11"/>
    <n v="0.05"/>
    <n v="5"/>
    <m/>
    <s v="Yes"/>
    <s v="Online"/>
    <s v="Digital Wallet"/>
    <s v="Individual"/>
    <s v="London"/>
    <s v="Furniture"/>
    <x v="74"/>
    <n v="1"/>
    <s v="Office Chair"/>
    <n v="168.99549999999999"/>
    <n v="116.11"/>
    <n v="52.885499999999993"/>
    <n v="0.31294028539221458"/>
  </r>
  <r>
    <s v="BC-101860"/>
    <d v="2025-12-18T00:00:00"/>
    <s v="London"/>
    <s v="Individual"/>
    <s v="Electronics"/>
    <s v="Wireless Headset"/>
    <n v="2"/>
    <n v="58.71"/>
    <n v="33.130000000000003"/>
    <n v="0.05"/>
    <n v="5"/>
    <n v="4"/>
    <s v="No"/>
    <s v="Online"/>
    <s v="Card"/>
    <s v="Individual"/>
    <s v="London"/>
    <s v="Electronics"/>
    <x v="114"/>
    <n v="1"/>
    <s v="Wireless Headset"/>
    <n v="111.54899999999999"/>
    <n v="66.260000000000005"/>
    <n v="45.288999999999987"/>
    <n v="0.40600095025504479"/>
  </r>
  <r>
    <s v="BC-101364"/>
    <d v="2025-09-10T00:00:00"/>
    <s v="North"/>
    <s v="Individual"/>
    <s v="Electronics"/>
    <s v="Portable Speaker"/>
    <n v="1"/>
    <n v="73.78"/>
    <n v="42.8"/>
    <n v="0.1"/>
    <n v="3"/>
    <n v="5"/>
    <s v="No"/>
    <s v="Online"/>
    <s v="Card"/>
    <s v="Individual"/>
    <s v="North"/>
    <s v="Electronics"/>
    <x v="71"/>
    <n v="1"/>
    <s v="Portable Speaker"/>
    <n v="66.402000000000001"/>
    <n v="42.8"/>
    <n v="23.602000000000004"/>
    <n v="0.35544110117165151"/>
  </r>
  <r>
    <s v="BC-100938"/>
    <d v="2025-11-03T00:00:00"/>
    <s v="North"/>
    <s v="Small Business"/>
    <s v="Electronics"/>
    <s v="Portable Speaker"/>
    <n v="1"/>
    <n v="73.48"/>
    <n v="43.15"/>
    <n v="0"/>
    <n v="5"/>
    <n v="4"/>
    <s v="No"/>
    <s v="Online"/>
    <s v="Card"/>
    <s v="Small Business"/>
    <s v="North"/>
    <s v="Electronics"/>
    <x v="180"/>
    <n v="1"/>
    <s v="Portable Speaker"/>
    <n v="73.48"/>
    <n v="43.15"/>
    <n v="30.330000000000005"/>
    <n v="0.41276537833424065"/>
  </r>
  <r>
    <s v="BC-101660"/>
    <d v="2025-06-19T00:00:00"/>
    <s v="London"/>
    <s v="Individual"/>
    <s v="Electronics"/>
    <s v="Webcam"/>
    <n v="2"/>
    <n v="51.84"/>
    <n v="25.81"/>
    <n v="0"/>
    <n v="1"/>
    <n v="5"/>
    <s v="No"/>
    <s v="Store"/>
    <s v="Card"/>
    <s v="Individual"/>
    <s v="London"/>
    <s v="Electronics"/>
    <x v="339"/>
    <n v="1"/>
    <s v="Webcam"/>
    <n v="103.68"/>
    <n v="51.62"/>
    <n v="52.060000000000009"/>
    <n v="0.50212191358024694"/>
  </r>
  <r>
    <s v="BC-100037"/>
    <d v="2025-02-19T00:00:00"/>
    <s v="North"/>
    <s v="Corporate"/>
    <s v="Home &amp; Kitchen"/>
    <s v="Air Fryer"/>
    <n v="10"/>
    <n v="113.99"/>
    <n v="65.400000000000006"/>
    <n v="0.1"/>
    <n v="2"/>
    <n v="5"/>
    <s v="No"/>
    <s v="Store"/>
    <s v="Bank Transfer"/>
    <s v="Corporate"/>
    <s v="North"/>
    <s v="Home &amp; Kitchen"/>
    <x v="338"/>
    <n v="1"/>
    <s v="Air Fryer"/>
    <n v="1025.9099999999999"/>
    <n v="654"/>
    <n v="371.90999999999985"/>
    <n v="0.3625171798695791"/>
  </r>
  <r>
    <s v="BC-101198"/>
    <d v="2025-04-21T00:00:00"/>
    <s v="North"/>
    <s v="Individual"/>
    <s v="Office"/>
    <s v="Ergonomic Keyboard"/>
    <n v="1"/>
    <n v="69.540000000000006"/>
    <n v="38.880000000000003"/>
    <n v="0"/>
    <n v="4"/>
    <n v="4"/>
    <s v="Yes"/>
    <s v="Online"/>
    <s v="Digital Wallet"/>
    <s v="Individual"/>
    <s v="North"/>
    <s v="Office"/>
    <x v="29"/>
    <n v="1"/>
    <s v="Ergonomic Keyboard"/>
    <n v="69.540000000000006"/>
    <n v="38.880000000000003"/>
    <n v="30.660000000000004"/>
    <n v="0.44089732528041414"/>
  </r>
  <r>
    <s v="BC-100649"/>
    <d v="2025-11-23T00:00:00"/>
    <s v="Midlands"/>
    <s v="Individual"/>
    <s v="Furniture"/>
    <s v="Bookshelf"/>
    <n v="1"/>
    <n v="121.47"/>
    <n v="74.98"/>
    <n v="0.05"/>
    <n v="2"/>
    <n v="4"/>
    <s v="No"/>
    <s v="Store"/>
    <s v="Bank Transfer"/>
    <s v="Individual"/>
    <s v="Midlands"/>
    <s v="Furniture"/>
    <x v="259"/>
    <n v="1"/>
    <s v="Bookshelf"/>
    <n v="115.39649999999999"/>
    <n v="74.98"/>
    <n v="40.416499999999985"/>
    <n v="0.35024025858669883"/>
  </r>
  <r>
    <s v="BC-101708"/>
    <d v="2025-03-28T00:00:00"/>
    <s v="London"/>
    <s v="Small Business"/>
    <s v="Electronics"/>
    <s v="Portable Speaker"/>
    <n v="2"/>
    <n v="77.849999999999994"/>
    <n v="43.98"/>
    <n v="0.05"/>
    <n v="1"/>
    <n v="3"/>
    <s v="Yes"/>
    <s v="Store"/>
    <s v="Card"/>
    <s v="Small Business"/>
    <s v="London"/>
    <s v="Electronics"/>
    <x v="355"/>
    <n v="1"/>
    <s v="Portable Speaker"/>
    <n v="147.91499999999999"/>
    <n v="87.96"/>
    <n v="59.954999999999998"/>
    <n v="0.4053341446100801"/>
  </r>
  <r>
    <s v="BC-101524"/>
    <d v="2025-06-14T00:00:00"/>
    <s v="Midlands"/>
    <s v="Individual"/>
    <s v="Home &amp; Kitchen"/>
    <s v="Blender"/>
    <n v="2"/>
    <n v="64.38"/>
    <n v="34.409999999999997"/>
    <n v="0.1"/>
    <n v="4"/>
    <n v="5"/>
    <s v="No"/>
    <s v="Online"/>
    <s v="Card"/>
    <s v="Individual"/>
    <s v="Midlands"/>
    <s v="Home &amp; Kitchen"/>
    <x v="284"/>
    <n v="1"/>
    <s v="Blender"/>
    <n v="115.884"/>
    <n v="68.819999999999993"/>
    <n v="47.064000000000007"/>
    <n v="0.40613026819923376"/>
  </r>
  <r>
    <s v="BC-101721"/>
    <d v="2025-09-16T00:00:00"/>
    <s v="South"/>
    <s v="Individual"/>
    <s v="Furniture"/>
    <s v="Storage Cabinet"/>
    <n v="3"/>
    <n v="156.32"/>
    <n v="98.66"/>
    <n v="0.1"/>
    <n v="6"/>
    <n v="4"/>
    <s v="No"/>
    <s v="Online"/>
    <s v="Card"/>
    <s v="Individual"/>
    <s v="South"/>
    <s v="Furniture"/>
    <x v="285"/>
    <n v="1"/>
    <s v="Storage Cabinet"/>
    <n v="422.06399999999996"/>
    <n v="295.98"/>
    <n v="126.08399999999995"/>
    <n v="0.29873194586602969"/>
  </r>
  <r>
    <s v="BC-100355"/>
    <d v="2025-05-16T00:00:00"/>
    <s v="North"/>
    <s v="Corporate"/>
    <s v="Electronics"/>
    <s v="Webcam"/>
    <n v="5"/>
    <n v="49.68"/>
    <n v="25.49"/>
    <n v="0.1"/>
    <n v="3"/>
    <n v="5"/>
    <s v="No"/>
    <s v="Online"/>
    <s v="Card"/>
    <s v="Corporate"/>
    <s v="North"/>
    <s v="Electronics"/>
    <x v="53"/>
    <n v="1"/>
    <s v="Webcam"/>
    <n v="223.56"/>
    <n v="127.44999999999999"/>
    <n v="96.110000000000014"/>
    <n v="0.42990696010019686"/>
  </r>
  <r>
    <s v="BC-101137"/>
    <d v="2025-01-27T00:00:00"/>
    <s v="London"/>
    <s v="Small Business"/>
    <s v="Office"/>
    <s v="Wireless Mouse"/>
    <n v="2"/>
    <n v="35.6"/>
    <n v="16.649999999999999"/>
    <n v="0.05"/>
    <n v="4"/>
    <n v="5"/>
    <s v="No"/>
    <s v="Online"/>
    <s v="Digital Wallet"/>
    <s v="Small Business"/>
    <s v="London"/>
    <s v="Office"/>
    <x v="1"/>
    <n v="1"/>
    <s v="Wireless Mouse"/>
    <n v="67.64"/>
    <n v="33.299999999999997"/>
    <n v="34.340000000000003"/>
    <n v="0.50768775872264937"/>
  </r>
  <r>
    <s v="BC-100934"/>
    <d v="2025-06-01T00:00:00"/>
    <s v="South"/>
    <s v="Individual"/>
    <s v="Furniture"/>
    <s v="Storage Cabinet"/>
    <n v="4"/>
    <n v="159"/>
    <n v="103.13"/>
    <n v="0"/>
    <n v="2"/>
    <n v="5"/>
    <s v="No"/>
    <s v="Store"/>
    <s v="Card"/>
    <s v="Individual"/>
    <s v="South"/>
    <s v="Furniture"/>
    <x v="310"/>
    <n v="1"/>
    <s v="Storage Cabinet"/>
    <n v="636"/>
    <n v="412.52"/>
    <n v="223.48000000000002"/>
    <n v="0.35138364779874215"/>
  </r>
  <r>
    <s v="BC-101778"/>
    <d v="2025-11-03T00:00:00"/>
    <s v="North"/>
    <s v="Individual"/>
    <s v="Furniture"/>
    <s v="Storage Cabinet"/>
    <n v="1"/>
    <n v="161.65"/>
    <n v="101.16"/>
    <n v="0.05"/>
    <n v="3"/>
    <n v="4"/>
    <s v="No"/>
    <s v="Online"/>
    <s v="Card"/>
    <s v="Individual"/>
    <s v="North"/>
    <s v="Furniture"/>
    <x v="180"/>
    <n v="1"/>
    <s v="Storage Cabinet"/>
    <n v="153.5675"/>
    <n v="101.16"/>
    <n v="52.407499999999999"/>
    <n v="0.34126686961759489"/>
  </r>
  <r>
    <s v="BC-100039"/>
    <d v="2025-11-08T00:00:00"/>
    <s v="London"/>
    <s v="Individual"/>
    <s v="Office"/>
    <s v="Desk Lamp"/>
    <n v="2"/>
    <n v="40.479999999999997"/>
    <n v="19.52"/>
    <n v="0.1"/>
    <n v="3"/>
    <n v="4"/>
    <s v="No"/>
    <s v="Online"/>
    <s v="Card"/>
    <s v="Individual"/>
    <s v="London"/>
    <s v="Office"/>
    <x v="124"/>
    <n v="1"/>
    <s v="Desk Lamp"/>
    <n v="72.86399999999999"/>
    <n v="39.04"/>
    <n v="33.823999999999991"/>
    <n v="0.46420729029424673"/>
  </r>
  <r>
    <s v="BC-101683"/>
    <d v="2025-10-21T00:00:00"/>
    <s v="Midlands"/>
    <s v="Individual"/>
    <s v="Electronics"/>
    <s v="SmartHome Hub"/>
    <n v="3"/>
    <n v="133.96"/>
    <n v="85.9"/>
    <n v="0.05"/>
    <n v="0"/>
    <n v="3"/>
    <s v="Yes"/>
    <s v="Store"/>
    <s v="Digital Wallet"/>
    <s v="Individual"/>
    <s v="Midlands"/>
    <s v="Electronics"/>
    <x v="184"/>
    <n v="1"/>
    <s v="SmartHome Hub"/>
    <n v="381.786"/>
    <n v="257.70000000000005"/>
    <n v="124.08599999999996"/>
    <n v="0.32501453693954191"/>
  </r>
  <r>
    <s v="BC-100889"/>
    <d v="2025-05-10T00:00:00"/>
    <s v="Midlands"/>
    <s v="Individual"/>
    <s v="Home &amp; Kitchen"/>
    <s v="Air Fryer"/>
    <n v="1"/>
    <n v="106.7"/>
    <n v="65.040000000000006"/>
    <n v="0.05"/>
    <n v="2"/>
    <n v="4"/>
    <s v="No"/>
    <s v="Online"/>
    <s v="Card"/>
    <s v="Individual"/>
    <s v="Midlands"/>
    <s v="Home &amp; Kitchen"/>
    <x v="191"/>
    <n v="1"/>
    <s v="Air Fryer"/>
    <n v="101.36499999999999"/>
    <n v="65.040000000000006"/>
    <n v="36.324999999999989"/>
    <n v="0.35835840773442501"/>
  </r>
  <r>
    <s v="BC-100666"/>
    <d v="2025-11-12T00:00:00"/>
    <s v="North"/>
    <s v="Individual"/>
    <s v="Electronics"/>
    <s v="SmartHome Hub"/>
    <n v="2"/>
    <n v="129.27000000000001"/>
    <n v="86.75"/>
    <n v="0.15000000000000002"/>
    <n v="1"/>
    <n v="4"/>
    <s v="No"/>
    <s v="Store"/>
    <s v="Card"/>
    <s v="Individual"/>
    <s v="North"/>
    <s v="Electronics"/>
    <x v="61"/>
    <n v="1"/>
    <s v="SmartHome Hub"/>
    <n v="219.75900000000001"/>
    <n v="173.5"/>
    <n v="46.259000000000015"/>
    <n v="0.21049877365659658"/>
  </r>
  <r>
    <s v="BC-101319"/>
    <d v="2025-02-25T00:00:00"/>
    <s v="North"/>
    <s v="Individual"/>
    <s v="Office"/>
    <s v="Laptop Stand"/>
    <n v="2"/>
    <n v="46.67"/>
    <n v="22.02"/>
    <n v="0"/>
    <n v="3"/>
    <n v="5"/>
    <s v="No"/>
    <s v="Store"/>
    <s v="Card"/>
    <s v="Individual"/>
    <s v="North"/>
    <s v="Office"/>
    <x v="24"/>
    <n v="1"/>
    <s v="Laptop Stand"/>
    <n v="93.34"/>
    <n v="44.04"/>
    <n v="49.300000000000004"/>
    <n v="0.52817655881722736"/>
  </r>
  <r>
    <s v="BC-100919"/>
    <s v="26/11/2025"/>
    <s v="Midlands"/>
    <s v="Individual"/>
    <s v="Electronics"/>
    <s v="Wireless Headset"/>
    <n v="3"/>
    <n v="62.07"/>
    <n v="34.82"/>
    <n v="0.15000000000000002"/>
    <n v="2"/>
    <n v="5"/>
    <s v="No"/>
    <s v="Store"/>
    <s v="Card"/>
    <s v="Individual"/>
    <s v="Midlands"/>
    <s v="Electronics"/>
    <x v="210"/>
    <n v="1"/>
    <s v="Wireless Headset"/>
    <n v="158.27850000000001"/>
    <n v="104.46000000000001"/>
    <n v="53.8185"/>
    <n v="0.34002407149423325"/>
  </r>
  <r>
    <s v="BC-100076"/>
    <d v="2025-06-04T00:00:00"/>
    <s v="London"/>
    <s v="Small Business"/>
    <s v="Home &amp; Kitchen"/>
    <s v="Air Fryer"/>
    <n v="2"/>
    <n v="109.71"/>
    <n v="68.86"/>
    <n v="0.05"/>
    <n v="3"/>
    <n v="5"/>
    <s v="No"/>
    <s v="Online"/>
    <s v="Bank Transfer"/>
    <s v="Small Business"/>
    <s v="London"/>
    <s v="Home &amp; Kitchen"/>
    <x v="175"/>
    <n v="1"/>
    <s v="Air Fryer"/>
    <n v="208.44899999999998"/>
    <n v="137.72"/>
    <n v="70.728999999999985"/>
    <n v="0.33931081463571422"/>
  </r>
  <r>
    <s v="BC-101710"/>
    <d v="2025-12-29T00:00:00"/>
    <s v="North"/>
    <s v="Small Business"/>
    <s v="Home &amp; Kitchen"/>
    <s v="Coffee Maker"/>
    <n v="1"/>
    <n v="78.58"/>
    <n v="46.5"/>
    <n v="0.1"/>
    <n v="3"/>
    <n v="5"/>
    <s v="No"/>
    <s v="Store"/>
    <s v="Card"/>
    <s v="Small Business"/>
    <s v="North"/>
    <s v="Home &amp; Kitchen"/>
    <x v="116"/>
    <n v="1"/>
    <s v="Coffee Maker"/>
    <n v="70.721999999999994"/>
    <n v="46.5"/>
    <n v="24.221999999999994"/>
    <n v="0.34249597013659111"/>
  </r>
  <r>
    <s v="BC-100735"/>
    <d v="2025-08-17T00:00:00"/>
    <s v="Midlands"/>
    <s v="Small Business"/>
    <s v="Home &amp; Kitchen"/>
    <s v="Coffee Maker"/>
    <n v="3"/>
    <n v="80.53"/>
    <n v="46.4"/>
    <n v="0.05"/>
    <n v="4"/>
    <n v="5"/>
    <s v="No"/>
    <s v="Online"/>
    <s v="Bank Transfer"/>
    <s v="Small Business"/>
    <s v="Midlands"/>
    <s v="Home &amp; Kitchen"/>
    <x v="12"/>
    <n v="1"/>
    <s v="Coffee Maker"/>
    <n v="229.51049999999998"/>
    <n v="139.19999999999999"/>
    <n v="90.31049999999999"/>
    <n v="0.39349180102871112"/>
  </r>
  <r>
    <s v="BC-100263"/>
    <d v="2025-03-10T00:00:00"/>
    <s v="North"/>
    <s v="Small Business"/>
    <s v="Home &amp; Kitchen"/>
    <s v="Blender"/>
    <n v="2"/>
    <n v="64.680000000000007"/>
    <n v="35.97"/>
    <n v="0.05"/>
    <n v="0"/>
    <n v="5"/>
    <s v="No"/>
    <s v="Store"/>
    <s v="Card"/>
    <s v="Small Business"/>
    <s v="North"/>
    <s v="Home &amp; Kitchen"/>
    <x v="96"/>
    <n v="1"/>
    <s v="Blender"/>
    <n v="122.89200000000001"/>
    <n v="71.94"/>
    <n v="50.952000000000012"/>
    <n v="0.41460794844253496"/>
  </r>
  <r>
    <s v="BC-100907"/>
    <d v="2025-06-20T00:00:00"/>
    <s v="Midlands"/>
    <s v="Individual"/>
    <s v="Office"/>
    <s v="Desk Lamp"/>
    <n v="1"/>
    <n v="39.520000000000003"/>
    <n v="19.52"/>
    <n v="0.05"/>
    <n v="6"/>
    <n v="2"/>
    <s v="Yes"/>
    <s v="Online"/>
    <s v="Card"/>
    <s v="Individual"/>
    <s v="Midlands"/>
    <s v="Office"/>
    <x v="163"/>
    <n v="1"/>
    <s v="Desk Lamp"/>
    <n v="37.544000000000004"/>
    <n v="19.52"/>
    <n v="18.024000000000004"/>
    <n v="0.48007670999360758"/>
  </r>
  <r>
    <s v="BC-100535"/>
    <d v="2025-09-02T00:00:00"/>
    <s v="South"/>
    <s v="Individual"/>
    <s v="Home &amp; Kitchen"/>
    <s v="Electric Kettle"/>
    <n v="1"/>
    <n v="40.06"/>
    <n v="20.9"/>
    <n v="0.05"/>
    <n v="3"/>
    <n v="4"/>
    <s v="No"/>
    <s v="Online"/>
    <s v="Bank Transfer"/>
    <s v="Individual"/>
    <s v="South"/>
    <s v="Home &amp; Kitchen"/>
    <x v="142"/>
    <n v="1"/>
    <s v="Electric Kettle"/>
    <n v="38.057000000000002"/>
    <n v="20.9"/>
    <n v="17.157000000000004"/>
    <n v="0.45082376435346988"/>
  </r>
  <r>
    <s v="BC-100791"/>
    <d v="2025-09-28T00:00:00"/>
    <s v="South"/>
    <s v="Individual"/>
    <s v="Electronics"/>
    <s v="Portable Speaker"/>
    <n v="1"/>
    <n v="77.19"/>
    <n v="42.92"/>
    <n v="0.2"/>
    <n v="4"/>
    <n v="4"/>
    <s v="No"/>
    <s v="Online"/>
    <s v="Bank Transfer"/>
    <s v="Individual"/>
    <s v="South"/>
    <s v="Electronics"/>
    <x v="169"/>
    <n v="1"/>
    <s v="Portable Speaker"/>
    <n v="61.752000000000002"/>
    <n v="42.92"/>
    <n v="18.832000000000001"/>
    <n v="0.30496178261432827"/>
  </r>
  <r>
    <s v="BC-100189"/>
    <d v="2025-02-16T00:00:00"/>
    <s v="South"/>
    <s v="Corporate"/>
    <s v="Office"/>
    <s v="Laptop Stand"/>
    <n v="5"/>
    <n v="46.74"/>
    <n v="20.63"/>
    <n v="0.2"/>
    <n v="7"/>
    <n v="4"/>
    <s v="No"/>
    <s v="Online"/>
    <s v="Card"/>
    <s v="Corporate"/>
    <s v="South"/>
    <s v="Office"/>
    <x v="200"/>
    <n v="1"/>
    <s v="Laptop Stand"/>
    <n v="186.96000000000004"/>
    <n v="103.14999999999999"/>
    <n v="83.810000000000045"/>
    <n v="0.44827770646127529"/>
  </r>
  <r>
    <s v="BC-100676"/>
    <d v="2025-07-05T00:00:00"/>
    <s v="London"/>
    <s v="Individual"/>
    <s v="Furniture"/>
    <s v="Bookshelf"/>
    <n v="1"/>
    <n v="121.92"/>
    <n v="74.430000000000007"/>
    <n v="0.05"/>
    <n v="8"/>
    <n v="4"/>
    <s v="No"/>
    <s v="Online"/>
    <s v="Bank Transfer"/>
    <s v="Individual"/>
    <s v="London"/>
    <s v="Furniture"/>
    <x v="177"/>
    <n v="1"/>
    <s v="Bookshelf"/>
    <n v="115.824"/>
    <n v="74.430000000000007"/>
    <n v="41.393999999999991"/>
    <n v="0.35738707003729792"/>
  </r>
  <r>
    <s v="BC-101346"/>
    <d v="2025-01-30T00:00:00"/>
    <s v="Midlands"/>
    <s v="Individual"/>
    <s v="Electronics"/>
    <s v="Webcam"/>
    <n v="1"/>
    <n v="50.86"/>
    <n v="26.93"/>
    <n v="0"/>
    <n v="0"/>
    <n v="5"/>
    <s v="No"/>
    <s v="Store"/>
    <s v="Card"/>
    <s v="Individual"/>
    <s v="Midlands"/>
    <s v="Electronics"/>
    <x v="361"/>
    <n v="1"/>
    <s v="Webcam"/>
    <n v="50.86"/>
    <n v="26.93"/>
    <n v="23.93"/>
    <n v="0.47050727487219818"/>
  </r>
  <r>
    <s v="BC-100357"/>
    <d v="2025-01-20T00:00:00"/>
    <s v="South"/>
    <s v="Corporate"/>
    <s v="Office"/>
    <s v="Ergonomic Keyboard"/>
    <n v="4"/>
    <n v="69.569999999999993"/>
    <n v="38.14"/>
    <n v="0.2"/>
    <n v="3"/>
    <n v="4"/>
    <s v="No"/>
    <s v="Store"/>
    <s v="Card"/>
    <s v="Corporate"/>
    <s v="South"/>
    <s v="Office"/>
    <x v="225"/>
    <n v="1"/>
    <s v="Ergonomic Keyboard"/>
    <n v="222.624"/>
    <n v="152.56"/>
    <n v="70.063999999999993"/>
    <n v="0.31471898806957022"/>
  </r>
  <r>
    <s v="BC-100481"/>
    <d v="2025-10-17T00:00:00"/>
    <s v="London"/>
    <s v="Individual"/>
    <s v="Home &amp; Kitchen"/>
    <s v="Blender"/>
    <n v="3"/>
    <n v="64.14"/>
    <n v="35.85"/>
    <n v="0"/>
    <n v="0"/>
    <n v="5"/>
    <s v="No"/>
    <s v="Store"/>
    <s v="Card"/>
    <s v="Individual"/>
    <s v="London"/>
    <s v="Home &amp; Kitchen"/>
    <x v="319"/>
    <n v="1"/>
    <s v="Blender"/>
    <n v="192.42000000000002"/>
    <n v="107.55000000000001"/>
    <n v="84.87"/>
    <n v="0.44106641721234796"/>
  </r>
  <r>
    <s v="BC-101939"/>
    <d v="2025-12-25T00:00:00"/>
    <s v="South"/>
    <s v="Individual"/>
    <s v="Office"/>
    <s v="Wireless Mouse"/>
    <n v="2"/>
    <n v="35.5"/>
    <n v="17.09"/>
    <n v="0.15000000000000002"/>
    <n v="3"/>
    <n v="4"/>
    <s v="No"/>
    <s v="Store"/>
    <s v="Bank Transfer"/>
    <s v="Individual"/>
    <s v="South"/>
    <s v="Office"/>
    <x v="28"/>
    <n v="1"/>
    <s v="Wireless Mouse"/>
    <n v="60.35"/>
    <n v="34.18"/>
    <n v="26.17"/>
    <n v="0.43363711681855843"/>
  </r>
  <r>
    <s v="BC-101903"/>
    <d v="2025-09-17T00:00:00"/>
    <s v="London"/>
    <s v="Individual"/>
    <s v="Office"/>
    <s v="Ergonomic Keyboard"/>
    <n v="1"/>
    <n v="68.709999999999994"/>
    <n v="39.08"/>
    <n v="0"/>
    <n v="0"/>
    <n v="4"/>
    <s v="No"/>
    <s v="Store"/>
    <s v="Digital Wallet"/>
    <s v="Individual"/>
    <s v="London"/>
    <s v="Office"/>
    <x v="31"/>
    <n v="1"/>
    <s v="Ergonomic Keyboard"/>
    <n v="68.709999999999994"/>
    <n v="39.08"/>
    <n v="29.629999999999995"/>
    <n v="0.43123271721729001"/>
  </r>
  <r>
    <s v="BC-101978"/>
    <d v="2025-09-30T00:00:00"/>
    <s v="Midlands"/>
    <s v="Individual"/>
    <s v="Furniture"/>
    <s v="Office Chair"/>
    <n v="1"/>
    <n v="181.06"/>
    <n v="117.05"/>
    <n v="0"/>
    <n v="3"/>
    <n v="4"/>
    <s v="No"/>
    <s v="Online"/>
    <s v="Digital Wallet"/>
    <s v="Individual"/>
    <s v="Midlands"/>
    <s v="Furniture"/>
    <x v="30"/>
    <n v="1"/>
    <s v="Office Chair"/>
    <n v="181.06"/>
    <n v="117.05"/>
    <n v="64.010000000000005"/>
    <n v="0.35352921683419863"/>
  </r>
  <r>
    <s v="BC-101887"/>
    <d v="2025-06-16T00:00:00"/>
    <s v="South"/>
    <s v="Corporate"/>
    <s v="Office"/>
    <s v="Desk Lamp"/>
    <n v="6"/>
    <n v="41.03"/>
    <n v="18.899999999999999"/>
    <n v="0.1"/>
    <n v="1"/>
    <n v="4"/>
    <s v="No"/>
    <s v="Store"/>
    <s v="Bank Transfer"/>
    <s v="Corporate"/>
    <s v="South"/>
    <s v="Office"/>
    <x v="270"/>
    <n v="1"/>
    <s v="Desk Lamp"/>
    <n v="221.56200000000001"/>
    <n v="113.39999999999999"/>
    <n v="108.16200000000002"/>
    <n v="0.48817938094077512"/>
  </r>
  <r>
    <s v="BC-101698"/>
    <d v="2025-10-09T00:00:00"/>
    <s v="Midlands"/>
    <s v="Individual"/>
    <s v="Home &amp; Kitchen"/>
    <s v="Coffee Maker"/>
    <n v="3"/>
    <n v="77.66"/>
    <n v="45.59"/>
    <n v="0"/>
    <n v="3"/>
    <n v="4"/>
    <s v="No"/>
    <s v="Phone"/>
    <s v="Card"/>
    <s v="Individual"/>
    <s v="Midlands"/>
    <s v="Home &amp; Kitchen"/>
    <x v="255"/>
    <n v="1"/>
    <s v="Coffee Maker"/>
    <n v="232.98"/>
    <n v="136.77000000000001"/>
    <n v="96.20999999999998"/>
    <n v="0.41295390162245682"/>
  </r>
  <r>
    <s v="BC-101116"/>
    <d v="2025-10-20T00:00:00"/>
    <s v="South"/>
    <s v="Individual"/>
    <s v="Home &amp; Kitchen"/>
    <s v="Air Fryer"/>
    <n v="1"/>
    <n v="112.74"/>
    <n v="65.28"/>
    <n v="0.1"/>
    <n v="3"/>
    <n v="4"/>
    <s v="No"/>
    <s v="Online"/>
    <s v="Card"/>
    <s v="Individual"/>
    <s v="South"/>
    <s v="Home &amp; Kitchen"/>
    <x v="315"/>
    <n v="1"/>
    <s v="Air Fryer"/>
    <n v="101.46599999999999"/>
    <n v="65.28"/>
    <n v="36.185999999999993"/>
    <n v="0.3566317781325764"/>
  </r>
  <r>
    <s v="BC-100099"/>
    <d v="2025-04-25T00:00:00"/>
    <s v="London"/>
    <s v="Individual"/>
    <s v="Furniture"/>
    <s v="Bookshelf"/>
    <n v="1"/>
    <n v="119.77"/>
    <n v="72.819999999999993"/>
    <n v="0.05"/>
    <n v="4"/>
    <n v="4"/>
    <s v="No"/>
    <s v="Store"/>
    <s v="Card"/>
    <s v="Individual"/>
    <s v="London"/>
    <s v="Furniture"/>
    <x v="206"/>
    <n v="1"/>
    <s v="Bookshelf"/>
    <n v="113.78149999999999"/>
    <n v="72.819999999999993"/>
    <n v="40.961500000000001"/>
    <n v="0.36000140620399629"/>
  </r>
  <r>
    <s v="BC-100047"/>
    <d v="2025-05-07T00:00:00"/>
    <s v="South"/>
    <s v="Small Business"/>
    <s v="Office"/>
    <s v="Laptop Stand"/>
    <n v="3"/>
    <n v="46.48"/>
    <n v="21.56"/>
    <n v="0.1"/>
    <n v="1"/>
    <n v="4"/>
    <s v="No"/>
    <s v="Store"/>
    <s v="Bank Transfer"/>
    <s v="Small Business"/>
    <s v="South"/>
    <s v="Office"/>
    <x v="109"/>
    <n v="1"/>
    <s v="Laptop Stand"/>
    <n v="125.496"/>
    <n v="64.679999999999993"/>
    <n v="60.816000000000003"/>
    <n v="0.4846050870147256"/>
  </r>
  <r>
    <s v="BC-100005"/>
    <d v="2025-12-01T00:00:00"/>
    <s v="Midlands"/>
    <s v="Individual"/>
    <s v="Furniture"/>
    <s v="Office Chair"/>
    <n v="2"/>
    <n v="179.21"/>
    <n v="120.24"/>
    <n v="0.05"/>
    <n v="4"/>
    <n v="4"/>
    <s v="No"/>
    <s v="Online"/>
    <s v="Digital Wallet"/>
    <s v="Individual"/>
    <s v="Midlands"/>
    <s v="Furniture"/>
    <x v="11"/>
    <n v="1"/>
    <s v="Office Chair"/>
    <n v="340.49900000000002"/>
    <n v="240.48"/>
    <n v="100.01900000000003"/>
    <n v="0.29374241921415345"/>
  </r>
  <r>
    <s v="BC-100312"/>
    <d v="2025-11-05T00:00:00"/>
    <s v="London"/>
    <s v="Small Business"/>
    <s v="Furniture"/>
    <s v="Office Chair"/>
    <n v="6"/>
    <n v="179.72"/>
    <n v="111.74"/>
    <n v="0.1"/>
    <n v="2"/>
    <n v="4"/>
    <s v="No"/>
    <s v="Store"/>
    <s v="Card"/>
    <s v="Small Business"/>
    <s v="London"/>
    <s v="Furniture"/>
    <x v="347"/>
    <n v="1"/>
    <s v="Office Chair"/>
    <n v="970.48799999999994"/>
    <n v="670.43999999999994"/>
    <n v="300.048"/>
    <n v="0.30917229270222818"/>
  </r>
  <r>
    <s v="BC-100181"/>
    <d v="2025-04-30T00:00:00"/>
    <s v="London"/>
    <s v="Individual"/>
    <s v="Furniture"/>
    <s v="Side Table"/>
    <n v="2"/>
    <n v="91.8"/>
    <n v="54.8"/>
    <n v="0.05"/>
    <n v="3"/>
    <n v="5"/>
    <s v="No"/>
    <s v="Online"/>
    <s v="Card"/>
    <s v="Individual"/>
    <s v="London"/>
    <s v="Furniture"/>
    <x v="231"/>
    <n v="1"/>
    <s v="Side Table"/>
    <n v="174.42"/>
    <n v="109.6"/>
    <n v="64.819999999999993"/>
    <n v="0.37163169361311776"/>
  </r>
  <r>
    <s v="BC-100941"/>
    <d v="2025-08-22T00:00:00"/>
    <s v="Midlands"/>
    <s v="Individual"/>
    <s v="Home &amp; Kitchen"/>
    <s v="Air Fryer"/>
    <n v="3"/>
    <n v="113.53"/>
    <n v="68.45"/>
    <n v="0.1"/>
    <n v="4"/>
    <n v="3"/>
    <s v="Yes"/>
    <s v="Online"/>
    <s v="Card"/>
    <s v="Individual"/>
    <s v="Midlands"/>
    <s v="Home &amp; Kitchen"/>
    <x v="63"/>
    <n v="1"/>
    <s v="Air Fryer"/>
    <n v="306.53100000000006"/>
    <n v="205.35000000000002"/>
    <n v="101.18100000000004"/>
    <n v="0.33008406980044441"/>
  </r>
  <r>
    <s v="BC-100543"/>
    <d v="2025-11-27T00:00:00"/>
    <s v="South"/>
    <s v="Individual"/>
    <s v="Electronics"/>
    <s v="Portable Speaker"/>
    <n v="2"/>
    <n v="74.959999999999994"/>
    <n v="41.74"/>
    <n v="0"/>
    <n v="1"/>
    <n v="5"/>
    <s v="No"/>
    <s v="Store"/>
    <s v="Card"/>
    <s v="Individual"/>
    <s v="South"/>
    <s v="Electronics"/>
    <x v="307"/>
    <n v="1"/>
    <s v="Portable Speaker"/>
    <n v="149.91999999999999"/>
    <n v="83.48"/>
    <n v="66.439999999999984"/>
    <n v="0.44316969050160077"/>
  </r>
  <r>
    <s v="BC-101499"/>
    <d v="2025-01-14T00:00:00"/>
    <s v="Midlands"/>
    <s v="Individual"/>
    <s v="Home &amp; Kitchen"/>
    <s v="Coffee Maker"/>
    <n v="3"/>
    <n v="79.400000000000006"/>
    <n v="44.63"/>
    <n v="0"/>
    <n v="0"/>
    <n v="4"/>
    <s v="No"/>
    <s v="Store"/>
    <s v="Digital Wallet"/>
    <s v="Individual"/>
    <s v="Midlands"/>
    <s v="Home &amp; Kitchen"/>
    <x v="54"/>
    <n v="1"/>
    <s v="Coffee Maker"/>
    <n v="238.20000000000002"/>
    <n v="133.89000000000001"/>
    <n v="104.31"/>
    <n v="0.43790931989924431"/>
  </r>
  <r>
    <s v="BC-100025"/>
    <d v="2025-08-30T00:00:00"/>
    <s v="London"/>
    <s v="Individual"/>
    <s v="Home &amp; Kitchen"/>
    <s v="Electric Kettle"/>
    <n v="2"/>
    <n v="40.549999999999997"/>
    <n v="20.32"/>
    <n v="0"/>
    <n v="4"/>
    <n v="5"/>
    <s v="No"/>
    <s v="Online"/>
    <s v="Card"/>
    <s v="Individual"/>
    <s v="London"/>
    <s v="Home &amp; Kitchen"/>
    <x v="137"/>
    <n v="1"/>
    <s v="Electric Kettle"/>
    <n v="81.099999999999994"/>
    <n v="40.64"/>
    <n v="40.459999999999994"/>
    <n v="0.49889025893958072"/>
  </r>
  <r>
    <s v="BC-101585"/>
    <d v="2025-10-24T00:00:00"/>
    <s v="North"/>
    <s v="Individual"/>
    <s v="Electronics"/>
    <s v="Portable Speaker"/>
    <n v="1"/>
    <n v="76.88"/>
    <n v="42.21"/>
    <n v="0"/>
    <n v="3"/>
    <n v="4"/>
    <s v="No"/>
    <s v="Phone"/>
    <s v="Bank Transfer"/>
    <s v="Individual"/>
    <s v="North"/>
    <s v="Electronics"/>
    <x v="248"/>
    <n v="1"/>
    <s v="Portable Speaker"/>
    <n v="76.88"/>
    <n v="42.21"/>
    <n v="34.669999999999995"/>
    <n v="0.45096253902185218"/>
  </r>
  <r>
    <s v="BC-101191"/>
    <d v="2025-08-29T00:00:00"/>
    <s v="South"/>
    <s v="Individual"/>
    <s v="Electronics"/>
    <s v="SmartHome Hub"/>
    <n v="1"/>
    <n v="134.5"/>
    <n v="84.4"/>
    <n v="0.05"/>
    <n v="3"/>
    <n v="3"/>
    <s v="Yes"/>
    <s v="Online"/>
    <s v="Card"/>
    <s v="Individual"/>
    <s v="South"/>
    <s v="Electronics"/>
    <x v="309"/>
    <n v="1"/>
    <s v="SmartHome Hub"/>
    <n v="127.77499999999999"/>
    <n v="84.4"/>
    <n v="43.374999999999986"/>
    <n v="0.33946390138916055"/>
  </r>
  <r>
    <s v="BC-101735"/>
    <d v="2025-10-26T00:00:00"/>
    <s v="Midlands"/>
    <s v="Small Business"/>
    <s v="Home &amp; Kitchen"/>
    <s v="Air Fryer"/>
    <n v="2"/>
    <n v="112.11"/>
    <n v="69.06"/>
    <n v="0"/>
    <n v="1"/>
    <n v="5"/>
    <s v="No"/>
    <s v="Store"/>
    <s v="Card"/>
    <s v="Small Business"/>
    <s v="Midlands"/>
    <s v="Home &amp; Kitchen"/>
    <x v="360"/>
    <n v="1"/>
    <s v="Air Fryer"/>
    <n v="224.22"/>
    <n v="138.12"/>
    <n v="86.1"/>
    <n v="0.38399785924538399"/>
  </r>
  <r>
    <s v="BC-101303"/>
    <d v="2025-07-29T00:00:00"/>
    <s v="London"/>
    <s v="Individual"/>
    <s v="Office"/>
    <s v="Laptop Stand"/>
    <n v="1"/>
    <n v="44.41"/>
    <n v="20.95"/>
    <n v="0"/>
    <n v="1"/>
    <n v="5"/>
    <s v="No"/>
    <s v="Store"/>
    <s v="Bank Transfer"/>
    <s v="Individual"/>
    <s v="London"/>
    <s v="Office"/>
    <x v="273"/>
    <n v="1"/>
    <s v="Laptop Stand"/>
    <n v="44.41"/>
    <n v="20.95"/>
    <n v="23.459999999999997"/>
    <n v="0.52825940103580271"/>
  </r>
  <r>
    <s v="BC-100426"/>
    <d v="2025-12-29T00:00:00"/>
    <s v="South"/>
    <s v="Corporate"/>
    <s v="Office"/>
    <s v="Desk Lamp"/>
    <n v="5"/>
    <n v="40.4"/>
    <n v="19"/>
    <n v="0.2"/>
    <n v="3"/>
    <n v="5"/>
    <s v="No"/>
    <s v="Online"/>
    <s v="Card"/>
    <s v="Corporate"/>
    <s v="South"/>
    <s v="Office"/>
    <x v="116"/>
    <n v="1"/>
    <s v="Desk Lamp"/>
    <n v="161.60000000000002"/>
    <n v="95"/>
    <n v="66.600000000000023"/>
    <n v="0.41212871287128722"/>
  </r>
  <r>
    <s v="BC-101302"/>
    <d v="2025-04-22T00:00:00"/>
    <s v="London"/>
    <s v="Small Business"/>
    <s v="Electronics"/>
    <s v="Webcam"/>
    <n v="2"/>
    <n v="49.99"/>
    <n v="26.61"/>
    <n v="0"/>
    <n v="4"/>
    <n v="5"/>
    <s v="No"/>
    <s v="Online"/>
    <s v="Digital Wallet"/>
    <s v="Small Business"/>
    <s v="London"/>
    <s v="Electronics"/>
    <x v="149"/>
    <n v="1"/>
    <s v="Webcam"/>
    <n v="99.98"/>
    <n v="53.22"/>
    <n v="46.760000000000005"/>
    <n v="0.46769353870774161"/>
  </r>
  <r>
    <s v="BC-100439"/>
    <d v="2025-05-08T00:00:00"/>
    <s v="London"/>
    <s v="Corporate"/>
    <s v="Furniture"/>
    <s v="Office Chair"/>
    <n v="5"/>
    <n v="178.04"/>
    <n v="118.12"/>
    <n v="0.05"/>
    <n v="3"/>
    <n v="5"/>
    <s v="No"/>
    <s v="Store"/>
    <s v="Digital Wallet"/>
    <s v="Corporate"/>
    <s v="London"/>
    <s v="Furniture"/>
    <x v="326"/>
    <n v="1"/>
    <s v="Office Chair"/>
    <n v="845.68999999999994"/>
    <n v="590.6"/>
    <n v="255.08999999999992"/>
    <n v="0.30163535101514732"/>
  </r>
  <r>
    <s v="BC-100354"/>
    <d v="2025-06-02T00:00:00"/>
    <s v="South"/>
    <s v="Small Business"/>
    <s v="Home &amp; Kitchen"/>
    <s v="Blender"/>
    <n v="3"/>
    <n v="64.819999999999993"/>
    <n v="34.520000000000003"/>
    <n v="0.05"/>
    <n v="5"/>
    <n v="4"/>
    <s v="No"/>
    <s v="Online"/>
    <s v="Bank Transfer"/>
    <s v="Small Business"/>
    <s v="South"/>
    <s v="Home &amp; Kitchen"/>
    <x v="64"/>
    <n v="1"/>
    <s v="Blender"/>
    <n v="184.73699999999997"/>
    <n v="103.56"/>
    <n v="81.176999999999964"/>
    <n v="0.43941928254762164"/>
  </r>
  <r>
    <s v="BC-101714"/>
    <d v="2025-12-09T00:00:00"/>
    <s v="North"/>
    <s v="Individual"/>
    <s v="Home &amp; Kitchen"/>
    <s v="Air Fryer"/>
    <n v="1"/>
    <n v="108.72"/>
    <n v="69.34"/>
    <n v="0.05"/>
    <n v="3"/>
    <n v="4"/>
    <s v="No"/>
    <s v="Online"/>
    <s v="Digital Wallet"/>
    <s v="Individual"/>
    <s v="North"/>
    <s v="Home &amp; Kitchen"/>
    <x v="112"/>
    <n v="1"/>
    <s v="Air Fryer"/>
    <n v="103.28399999999999"/>
    <n v="69.34"/>
    <n v="33.943999999999988"/>
    <n v="0.32864722512683464"/>
  </r>
  <r>
    <s v="BC-100881"/>
    <d v="2025-12-20T00:00:00"/>
    <s v="South"/>
    <s v="Small Business"/>
    <s v="Electronics"/>
    <s v="Webcam"/>
    <n v="2"/>
    <n v="51.65"/>
    <n v="25.83"/>
    <n v="0.05"/>
    <n v="0"/>
    <n v="4"/>
    <s v="No"/>
    <s v="Store"/>
    <s v="Card"/>
    <s v="Small Business"/>
    <s v="South"/>
    <s v="Electronics"/>
    <x v="220"/>
    <n v="1"/>
    <s v="Webcam"/>
    <n v="98.134999999999991"/>
    <n v="51.66"/>
    <n v="46.474999999999994"/>
    <n v="0.47358231008304885"/>
  </r>
  <r>
    <s v="BC-101804"/>
    <d v="2025-09-17T00:00:00"/>
    <s v="London"/>
    <s v="Corporate"/>
    <s v="Office"/>
    <s v="Ergonomic Keyboard"/>
    <n v="4"/>
    <n v="70.540000000000006"/>
    <n v="38.15"/>
    <n v="0.05"/>
    <n v="0"/>
    <n v="4"/>
    <s v="No"/>
    <s v="Store"/>
    <s v="Card"/>
    <s v="Corporate"/>
    <s v="London"/>
    <s v="Office"/>
    <x v="31"/>
    <n v="1"/>
    <s v="Ergonomic Keyboard"/>
    <n v="268.05200000000002"/>
    <n v="152.6"/>
    <n v="115.45200000000003"/>
    <n v="0.43070747466909415"/>
  </r>
  <r>
    <s v="BC-101122"/>
    <d v="2025-04-13T00:00:00"/>
    <s v="London"/>
    <s v="Individual"/>
    <s v="Electronics"/>
    <s v="Wireless Headset"/>
    <n v="1"/>
    <n v="59.63"/>
    <n v="35.42"/>
    <n v="0"/>
    <n v="2"/>
    <n v="4"/>
    <s v="No"/>
    <s v="Online"/>
    <s v="Card"/>
    <s v="Individual"/>
    <s v="London"/>
    <s v="Electronics"/>
    <x v="188"/>
    <n v="1"/>
    <s v="Wireless Headset"/>
    <n v="59.63"/>
    <n v="35.42"/>
    <n v="24.21"/>
    <n v="0.40600368941807813"/>
  </r>
  <r>
    <s v="BC-100837"/>
    <d v="2025-11-25T00:00:00"/>
    <s v="North"/>
    <s v="Individual"/>
    <s v="Home &amp; Kitchen"/>
    <s v="Air Fryer"/>
    <n v="2"/>
    <n v="110.64"/>
    <n v="67.569999999999993"/>
    <n v="0.05"/>
    <n v="5"/>
    <n v="4"/>
    <s v="No"/>
    <s v="Online"/>
    <s v="Card"/>
    <s v="Individual"/>
    <s v="North"/>
    <s v="Home &amp; Kitchen"/>
    <x v="10"/>
    <n v="1"/>
    <s v="Air Fryer"/>
    <n v="210.21599999999998"/>
    <n v="135.13999999999999"/>
    <n v="75.075999999999993"/>
    <n v="0.35713742055790237"/>
  </r>
  <r>
    <s v="BC-100482"/>
    <d v="2025-11-28T00:00:00"/>
    <s v="South"/>
    <s v="Small Business"/>
    <s v="Office"/>
    <s v="Laptop Stand"/>
    <n v="3"/>
    <n v="45.03"/>
    <n v="21.17"/>
    <n v="0.05"/>
    <n v="4"/>
    <n v="4"/>
    <s v="No"/>
    <s v="Online"/>
    <s v="Card"/>
    <s v="Small Business"/>
    <s v="South"/>
    <s v="Office"/>
    <x v="43"/>
    <n v="1"/>
    <s v="Laptop Stand"/>
    <n v="128.3355"/>
    <n v="63.510000000000005"/>
    <n v="64.825499999999991"/>
    <n v="0.50512523814532995"/>
  </r>
  <r>
    <s v="BC-101339"/>
    <d v="2025-06-28T00:00:00"/>
    <s v="North"/>
    <s v="Individual"/>
    <s v="Home &amp; Kitchen"/>
    <s v="Air Fryer"/>
    <n v="2"/>
    <n v="111.15"/>
    <n v="65.08"/>
    <n v="0.1"/>
    <n v="0"/>
    <n v="4"/>
    <s v="No"/>
    <s v="Store"/>
    <s v="Card"/>
    <s v="Individual"/>
    <s v="North"/>
    <s v="Home &amp; Kitchen"/>
    <x v="208"/>
    <n v="1"/>
    <s v="Air Fryer"/>
    <n v="200.07000000000002"/>
    <n v="130.16"/>
    <n v="69.910000000000025"/>
    <n v="0.3494277003048934"/>
  </r>
  <r>
    <s v="BC-100957"/>
    <d v="2025-08-16T00:00:00"/>
    <s v="Midlands"/>
    <s v="Individual"/>
    <s v="Office"/>
    <s v="Laptop Stand"/>
    <n v="2"/>
    <n v="44.33"/>
    <n v="21.63"/>
    <n v="0"/>
    <n v="1"/>
    <n v="5"/>
    <s v="No"/>
    <s v="Online"/>
    <s v="Bank Transfer"/>
    <s v="Individual"/>
    <s v="Midlands"/>
    <s v="Office"/>
    <x v="5"/>
    <n v="1"/>
    <s v="Laptop Stand"/>
    <n v="88.66"/>
    <n v="43.26"/>
    <n v="45.4"/>
    <n v="0.51206857658470561"/>
  </r>
  <r>
    <s v="BC-100517"/>
    <d v="2025-02-16T00:00:00"/>
    <s v="North"/>
    <s v="Small Business"/>
    <s v="Electronics"/>
    <s v="Webcam"/>
    <n v="3"/>
    <n v="49.22"/>
    <n v="25.89"/>
    <n v="0"/>
    <n v="0"/>
    <n v="5"/>
    <s v="No"/>
    <s v="Store"/>
    <s v="Digital Wallet"/>
    <s v="Small Business"/>
    <s v="North"/>
    <s v="Electronics"/>
    <x v="200"/>
    <n v="1"/>
    <s v="Webcam"/>
    <n v="147.66"/>
    <n v="77.67"/>
    <n v="69.989999999999995"/>
    <n v="0.47399431125558711"/>
  </r>
  <r>
    <s v="BC-100058"/>
    <d v="2025-07-26T00:00:00"/>
    <s v="London"/>
    <s v="Individual"/>
    <s v="Furniture"/>
    <s v="Storage Cabinet"/>
    <n v="3"/>
    <n v="157.59"/>
    <n v="104.2"/>
    <n v="0"/>
    <n v="4"/>
    <n v="5"/>
    <s v="No"/>
    <s v="Online"/>
    <s v="Bank Transfer"/>
    <s v="Individual"/>
    <s v="London"/>
    <s v="Furniture"/>
    <x v="352"/>
    <n v="1"/>
    <s v="Storage Cabinet"/>
    <n v="472.77"/>
    <n v="312.60000000000002"/>
    <n v="160.16999999999996"/>
    <n v="0.33879053239418738"/>
  </r>
  <r>
    <s v="BC-100403"/>
    <d v="2025-01-21T00:00:00"/>
    <s v="North"/>
    <s v="Individual"/>
    <s v="Electronics"/>
    <s v="Portable Speaker"/>
    <n v="2"/>
    <n v="76.2"/>
    <n v="42.91"/>
    <n v="0"/>
    <n v="0"/>
    <n v="5"/>
    <s v="No"/>
    <s v="Store"/>
    <s v="Card"/>
    <s v="Individual"/>
    <s v="North"/>
    <s v="Electronics"/>
    <x v="218"/>
    <n v="1"/>
    <s v="Portable Speaker"/>
    <n v="152.4"/>
    <n v="85.82"/>
    <n v="66.580000000000013"/>
    <n v="0.43687664041994756"/>
  </r>
  <r>
    <s v="BC-100816"/>
    <d v="2025-12-11T00:00:00"/>
    <s v="North"/>
    <s v="Individual"/>
    <s v="Office"/>
    <s v="Wireless Mouse"/>
    <n v="1"/>
    <n v="33.97"/>
    <n v="17.75"/>
    <n v="0.1"/>
    <n v="1"/>
    <n v="4"/>
    <s v="No"/>
    <s v="Online"/>
    <s v="Card"/>
    <s v="Individual"/>
    <s v="North"/>
    <s v="Office"/>
    <x v="286"/>
    <n v="1"/>
    <s v="Wireless Mouse"/>
    <n v="30.573"/>
    <n v="17.75"/>
    <n v="12.823"/>
    <n v="0.41942236614005823"/>
  </r>
  <r>
    <s v="BC-100822"/>
    <d v="2025-02-24T00:00:00"/>
    <s v="London"/>
    <s v="Individual"/>
    <s v="Furniture"/>
    <s v="Bookshelf"/>
    <n v="3"/>
    <n v="116.45"/>
    <n v="70.33"/>
    <n v="0.05"/>
    <n v="2"/>
    <n v="4"/>
    <s v="No"/>
    <s v="Store"/>
    <s v="Digital Wallet"/>
    <s v="Individual"/>
    <s v="London"/>
    <s v="Furniture"/>
    <x v="158"/>
    <n v="1"/>
    <s v="Bookshelf"/>
    <n v="331.88249999999999"/>
    <n v="210.99"/>
    <n v="120.89249999999998"/>
    <n v="0.36426295450950258"/>
  </r>
  <r>
    <s v="BC-100427"/>
    <d v="2025-05-30T00:00:00"/>
    <s v="Midlands"/>
    <s v="Individual"/>
    <s v="Home &amp; Kitchen"/>
    <s v="Air Fryer"/>
    <n v="2"/>
    <n v="111.84"/>
    <n v="68.86"/>
    <n v="0.05"/>
    <n v="4"/>
    <n v="5"/>
    <s v="No"/>
    <s v="Online"/>
    <s v="Digital Wallet"/>
    <s v="Individual"/>
    <s v="Midlands"/>
    <s v="Home &amp; Kitchen"/>
    <x v="305"/>
    <n v="1"/>
    <s v="Air Fryer"/>
    <n v="212.49600000000001"/>
    <n v="137.72"/>
    <n v="74.77600000000001"/>
    <n v="0.35189368270461563"/>
  </r>
  <r>
    <s v="BC-101158"/>
    <d v="2025-12-21T00:00:00"/>
    <s v="North"/>
    <s v="Individual"/>
    <s v="Office"/>
    <s v="Ergonomic Keyboard"/>
    <n v="1"/>
    <n v="68.989999999999995"/>
    <n v="37.79"/>
    <n v="0.1"/>
    <n v="0"/>
    <n v="4"/>
    <s v="No"/>
    <s v="Store"/>
    <s v="Card"/>
    <s v="Individual"/>
    <s v="North"/>
    <s v="Office"/>
    <x v="3"/>
    <n v="1"/>
    <s v="Ergonomic Keyboard"/>
    <n v="62.090999999999994"/>
    <n v="37.79"/>
    <n v="24.300999999999995"/>
    <n v="0.39137717221497476"/>
  </r>
  <r>
    <s v="BC-100883"/>
    <d v="2025-02-13T00:00:00"/>
    <s v="South"/>
    <s v="Small Business"/>
    <s v="Furniture"/>
    <s v="Office Chair"/>
    <n v="2"/>
    <n v="185.68"/>
    <n v="119.29"/>
    <n v="0.05"/>
    <n v="6"/>
    <n v="4"/>
    <s v="No"/>
    <s v="Phone"/>
    <s v="Card"/>
    <s v="Small Business"/>
    <s v="South"/>
    <s v="Furniture"/>
    <x v="356"/>
    <n v="1"/>
    <s v="Office Chair"/>
    <n v="352.79199999999997"/>
    <n v="238.58"/>
    <n v="114.21199999999996"/>
    <n v="0.32373749971654675"/>
  </r>
  <r>
    <s v="BC-100829"/>
    <d v="2025-06-02T00:00:00"/>
    <s v="South"/>
    <s v="Individual"/>
    <s v="Electronics"/>
    <s v="Portable Speaker"/>
    <n v="1"/>
    <n v="74.489999999999995"/>
    <n v="44.93"/>
    <n v="0.15000000000000002"/>
    <n v="5"/>
    <n v="5"/>
    <s v="No"/>
    <s v="Online"/>
    <s v="Bank Transfer"/>
    <s v="Individual"/>
    <s v="South"/>
    <s v="Electronics"/>
    <x v="64"/>
    <n v="1"/>
    <s v="Portable Speaker"/>
    <n v="63.316499999999991"/>
    <n v="44.93"/>
    <n v="18.386499999999991"/>
    <n v="0.29039034059052526"/>
  </r>
  <r>
    <s v="BC-101047"/>
    <d v="2025-11-01T00:00:00"/>
    <s v="London"/>
    <s v="Corporate"/>
    <s v="Furniture"/>
    <s v="Side Table"/>
    <n v="4"/>
    <n v="88.95"/>
    <n v="54.95"/>
    <n v="0.2"/>
    <n v="5"/>
    <n v="4"/>
    <s v="No"/>
    <s v="Online"/>
    <s v="Card"/>
    <s v="Corporate"/>
    <s v="London"/>
    <s v="Furniture"/>
    <x v="65"/>
    <n v="1"/>
    <s v="Side Table"/>
    <n v="284.64000000000004"/>
    <n v="219.8"/>
    <n v="64.840000000000032"/>
    <n v="0.22779651489600908"/>
  </r>
  <r>
    <s v="BC-101587"/>
    <d v="2025-11-01T00:00:00"/>
    <s v="London"/>
    <s v="Small Business"/>
    <s v="Home &amp; Kitchen"/>
    <s v="Air Fryer"/>
    <n v="2"/>
    <n v="113.85"/>
    <n v="68.180000000000007"/>
    <n v="0"/>
    <n v="2"/>
    <n v="4"/>
    <s v="No"/>
    <s v="Online"/>
    <s v="Digital Wallet"/>
    <s v="Small Business"/>
    <s v="London"/>
    <s v="Home &amp; Kitchen"/>
    <x v="65"/>
    <n v="1"/>
    <s v="Air Fryer"/>
    <n v="227.7"/>
    <n v="136.36000000000001"/>
    <n v="91.339999999999975"/>
    <n v="0.40114185331576629"/>
  </r>
  <r>
    <s v="BC-100034"/>
    <d v="2025-11-18T00:00:00"/>
    <s v="South"/>
    <s v="Small Business"/>
    <s v="Office"/>
    <s v="Desk Lamp"/>
    <n v="1"/>
    <n v="41.03"/>
    <n v="19.170000000000002"/>
    <n v="0.2"/>
    <n v="4"/>
    <n v="3"/>
    <s v="Yes"/>
    <s v="Store"/>
    <s v="Card"/>
    <s v="Small Business"/>
    <s v="South"/>
    <s v="Office"/>
    <x v="26"/>
    <n v="1"/>
    <s v="Desk Lamp"/>
    <n v="32.824000000000005"/>
    <n v="19.170000000000002"/>
    <n v="13.654000000000003"/>
    <n v="0.41597611503777726"/>
  </r>
  <r>
    <s v="BC-101962"/>
    <d v="2025-12-23T00:00:00"/>
    <s v="Midlands"/>
    <s v="Small Business"/>
    <s v="Electronics"/>
    <s v="Portable Speaker"/>
    <n v="2"/>
    <n v="74"/>
    <n v="44.64"/>
    <n v="0.1"/>
    <n v="3"/>
    <n v="4"/>
    <s v="No"/>
    <s v="Online"/>
    <s v="Card"/>
    <s v="Small Business"/>
    <s v="Midlands"/>
    <s v="Electronics"/>
    <x v="214"/>
    <n v="1"/>
    <s v="Portable Speaker"/>
    <n v="133.20000000000002"/>
    <n v="89.28"/>
    <n v="43.920000000000016"/>
    <n v="0.3297297297297298"/>
  </r>
  <r>
    <s v="BC-100428"/>
    <d v="2025-12-14T00:00:00"/>
    <s v="North"/>
    <s v="Small Business"/>
    <s v="Home &amp; Kitchen"/>
    <s v="Air Fryer"/>
    <n v="1"/>
    <n v="108.23"/>
    <n v="66.739999999999995"/>
    <n v="0.1"/>
    <n v="1"/>
    <n v="4"/>
    <s v="No"/>
    <s v="Online"/>
    <s v="Card"/>
    <s v="Small Business"/>
    <s v="North"/>
    <s v="Home &amp; Kitchen"/>
    <x v="166"/>
    <n v="1"/>
    <s v="Air Fryer"/>
    <n v="97.407000000000011"/>
    <n v="66.739999999999995"/>
    <n v="30.667000000000016"/>
    <n v="0.31483363618631116"/>
  </r>
  <r>
    <s v="BC-100443"/>
    <d v="2025-09-29T00:00:00"/>
    <s v="North"/>
    <s v="Individual"/>
    <s v="Office"/>
    <s v="Ergonomic Keyboard"/>
    <n v="1"/>
    <n v="68.41"/>
    <n v="38.159999999999997"/>
    <n v="0.05"/>
    <n v="1"/>
    <n v="4"/>
    <s v="No"/>
    <s v="Store"/>
    <s v="Card"/>
    <s v="Individual"/>
    <s v="North"/>
    <s v="Office"/>
    <x v="17"/>
    <n v="1"/>
    <s v="Ergonomic Keyboard"/>
    <n v="64.989499999999992"/>
    <n v="38.159999999999997"/>
    <n v="26.829499999999996"/>
    <n v="0.41282822609806197"/>
  </r>
  <r>
    <s v="BC-101327"/>
    <d v="2025-10-31T00:00:00"/>
    <s v="London"/>
    <s v="Small Business"/>
    <s v="Electronics"/>
    <s v="Webcam"/>
    <n v="3"/>
    <n v="49.81"/>
    <n v="26.51"/>
    <n v="0"/>
    <n v="2"/>
    <n v="4"/>
    <s v="No"/>
    <s v="Store"/>
    <s v="Bank Transfer"/>
    <s v="Small Business"/>
    <s v="London"/>
    <s v="Electronics"/>
    <x v="46"/>
    <n v="1"/>
    <s v="Webcam"/>
    <n v="149.43"/>
    <n v="79.53"/>
    <n v="69.900000000000006"/>
    <n v="0.46777755470789001"/>
  </r>
  <r>
    <s v="BC-100305"/>
    <d v="2025-09-30T00:00:00"/>
    <s v="Midlands"/>
    <s v="Small Business"/>
    <s v="Home &amp; Kitchen"/>
    <s v="Blender"/>
    <n v="2"/>
    <n v="65.72"/>
    <n v="34.549999999999997"/>
    <n v="0.05"/>
    <n v="3"/>
    <n v="5"/>
    <s v="No"/>
    <s v="Online"/>
    <s v="Card"/>
    <s v="Small Business"/>
    <s v="Midlands"/>
    <s v="Home &amp; Kitchen"/>
    <x v="30"/>
    <n v="1"/>
    <s v="Blender"/>
    <n v="124.86799999999999"/>
    <n v="69.099999999999994"/>
    <n v="55.768000000000001"/>
    <n v="0.44661562610116284"/>
  </r>
  <r>
    <s v="BC-100490"/>
    <d v="2025-06-24T00:00:00"/>
    <s v="North"/>
    <s v="Small Business"/>
    <s v="Electronics"/>
    <s v="Portable Speaker"/>
    <n v="6"/>
    <n v="77.44"/>
    <n v="42.41"/>
    <n v="0.1"/>
    <n v="4"/>
    <n v="4"/>
    <s v="No"/>
    <s v="Online"/>
    <s v="Digital Wallet"/>
    <s v="Small Business"/>
    <s v="North"/>
    <s v="Electronics"/>
    <x v="243"/>
    <n v="1"/>
    <s v="Portable Speaker"/>
    <n v="418.17599999999999"/>
    <n v="254.45999999999998"/>
    <n v="163.71600000000001"/>
    <n v="0.39150022956841141"/>
  </r>
  <r>
    <s v="BC-100542"/>
    <d v="2025-01-03T00:00:00"/>
    <s v="South"/>
    <s v="Individual"/>
    <s v="Home &amp; Kitchen"/>
    <s v="Coffee Maker"/>
    <n v="2"/>
    <n v="79.31"/>
    <n v="46.85"/>
    <n v="0.15000000000000002"/>
    <n v="4"/>
    <n v="4"/>
    <s v="No"/>
    <s v="Phone"/>
    <s v="Card"/>
    <s v="Individual"/>
    <s v="South"/>
    <s v="Home &amp; Kitchen"/>
    <x v="294"/>
    <n v="1"/>
    <s v="Coffee Maker"/>
    <n v="134.827"/>
    <n v="93.7"/>
    <n v="41.126999999999995"/>
    <n v="0.30503534158588408"/>
  </r>
  <r>
    <s v="BC-100624"/>
    <d v="2025-04-18T00:00:00"/>
    <s v="Midlands"/>
    <s v="Individual"/>
    <s v="Office"/>
    <s v="Desk Lamp"/>
    <n v="1"/>
    <n v="40.159999999999997"/>
    <n v="18.649999999999999"/>
    <n v="0.05"/>
    <n v="0"/>
    <n v="4"/>
    <s v="No"/>
    <s v="Store"/>
    <s v="Card"/>
    <s v="Individual"/>
    <s v="Midlands"/>
    <s v="Office"/>
    <x v="72"/>
    <n v="1"/>
    <s v="Desk Lamp"/>
    <n v="38.151999999999994"/>
    <n v="18.649999999999999"/>
    <n v="19.501999999999995"/>
    <n v="0.51116586286433208"/>
  </r>
  <r>
    <s v="BC-100927"/>
    <d v="2025-03-03T00:00:00"/>
    <s v="South"/>
    <s v="Individual"/>
    <s v="Office"/>
    <s v="Ergonomic Keyboard"/>
    <n v="1"/>
    <n v="67.989999999999995"/>
    <n v="38.909999999999997"/>
    <n v="0"/>
    <n v="2"/>
    <n v="4"/>
    <s v="No"/>
    <s v="Store"/>
    <s v="Card"/>
    <s v="Individual"/>
    <s v="South"/>
    <s v="Office"/>
    <x v="345"/>
    <n v="1"/>
    <s v="Ergonomic Keyboard"/>
    <n v="67.989999999999995"/>
    <n v="38.909999999999997"/>
    <n v="29.08"/>
    <n v="0.42770995734666861"/>
  </r>
  <r>
    <s v="BC-100631"/>
    <d v="2025-07-10T00:00:00"/>
    <s v="London"/>
    <s v="Small Business"/>
    <s v="Electronics"/>
    <s v="SmartHome Hub"/>
    <n v="3"/>
    <n v="126.37"/>
    <n v="85.55"/>
    <n v="0.1"/>
    <n v="0"/>
    <n v="3"/>
    <s v="Yes"/>
    <s v="Store"/>
    <s v="Bank Transfer"/>
    <s v="Small Business"/>
    <s v="London"/>
    <s v="Electronics"/>
    <x v="105"/>
    <n v="1"/>
    <s v="SmartHome Hub"/>
    <n v="341.19900000000001"/>
    <n v="256.64999999999998"/>
    <n v="84.549000000000035"/>
    <n v="0.24779967115964593"/>
  </r>
  <r>
    <s v="BC-100101"/>
    <d v="2025-01-18T00:00:00"/>
    <s v="South"/>
    <s v="Small Business"/>
    <s v="Furniture"/>
    <s v="Side Table"/>
    <n v="2"/>
    <n v="90.99"/>
    <n v="55"/>
    <n v="0.1"/>
    <n v="1"/>
    <n v="5"/>
    <s v="No"/>
    <s v="Store"/>
    <s v="Digital Wallet"/>
    <s v="Small Business"/>
    <s v="South"/>
    <s v="Furniture"/>
    <x v="362"/>
    <n v="1"/>
    <s v="Side Table"/>
    <n v="163.78199999999998"/>
    <n v="110"/>
    <n v="53.781999999999982"/>
    <n v="0.32837552356180771"/>
  </r>
  <r>
    <s v="BC-101600"/>
    <d v="2025-11-16T00:00:00"/>
    <s v="South"/>
    <s v="Individual"/>
    <s v="Home &amp; Kitchen"/>
    <s v="Air Fryer"/>
    <n v="2"/>
    <n v="110.78"/>
    <n v="65.81"/>
    <n v="0.15000000000000002"/>
    <n v="8"/>
    <n v="3"/>
    <s v="No"/>
    <s v="Online"/>
    <s v="Card"/>
    <s v="Individual"/>
    <s v="South"/>
    <s v="Home &amp; Kitchen"/>
    <x v="178"/>
    <n v="1"/>
    <s v="Air Fryer"/>
    <n v="188.32599999999999"/>
    <n v="131.62"/>
    <n v="56.705999999999989"/>
    <n v="0.30110552977284066"/>
  </r>
  <r>
    <s v="BC-100877"/>
    <d v="2025-01-02T00:00:00"/>
    <s v="London"/>
    <s v="Individual"/>
    <s v="Furniture"/>
    <s v="Side Table"/>
    <n v="1"/>
    <n v="91.68"/>
    <n v="54.41"/>
    <n v="0.05"/>
    <n v="3"/>
    <n v="4"/>
    <s v="No"/>
    <s v="Store"/>
    <s v="Card"/>
    <s v="Individual"/>
    <s v="London"/>
    <s v="Furniture"/>
    <x v="320"/>
    <n v="1"/>
    <s v="Side Table"/>
    <n v="87.096000000000004"/>
    <n v="54.41"/>
    <n v="32.686000000000007"/>
    <n v="0.37528703958850013"/>
  </r>
  <r>
    <s v="BC-100574"/>
    <d v="2025-11-27T00:00:00"/>
    <s v="Midlands"/>
    <s v="Individual"/>
    <s v="Office"/>
    <s v="Laptop Stand"/>
    <n v="2"/>
    <n v="46.02"/>
    <n v="20.97"/>
    <n v="0.1"/>
    <n v="4"/>
    <n v="4"/>
    <s v="No"/>
    <s v="Phone"/>
    <s v="Card"/>
    <s v="Individual"/>
    <s v="Midlands"/>
    <s v="Office"/>
    <x v="307"/>
    <n v="1"/>
    <s v="Laptop Stand"/>
    <n v="82.836000000000013"/>
    <n v="41.94"/>
    <n v="40.896000000000015"/>
    <n v="0.49369839200347687"/>
  </r>
  <r>
    <s v="BC-101857"/>
    <d v="2025-02-11T00:00:00"/>
    <s v="London"/>
    <s v="Small Business"/>
    <s v="Home &amp; Kitchen"/>
    <s v="Electric Kettle"/>
    <n v="5"/>
    <n v="40.98"/>
    <n v="19.760000000000002"/>
    <n v="0"/>
    <n v="5"/>
    <n v="4"/>
    <s v="No"/>
    <s v="Online"/>
    <s v="Card"/>
    <s v="Small Business"/>
    <s v="London"/>
    <s v="Home &amp; Kitchen"/>
    <x v="288"/>
    <n v="1"/>
    <s v="Electric Kettle"/>
    <n v="204.89999999999998"/>
    <n v="98.800000000000011"/>
    <n v="106.09999999999997"/>
    <n v="0.51781356759394814"/>
  </r>
  <r>
    <s v="BC-101919"/>
    <d v="2025-12-05T00:00:00"/>
    <s v="North"/>
    <s v="Individual"/>
    <s v="Home &amp; Kitchen"/>
    <s v="Blender"/>
    <n v="4"/>
    <n v="63.25"/>
    <n v="36.67"/>
    <n v="0.2"/>
    <n v="2"/>
    <n v="5"/>
    <s v="No"/>
    <s v="Online"/>
    <s v="Card"/>
    <s v="Individual"/>
    <s v="North"/>
    <s v="Home &amp; Kitchen"/>
    <x v="21"/>
    <n v="1"/>
    <s v="Blender"/>
    <n v="202.4"/>
    <n v="146.68"/>
    <n v="55.72"/>
    <n v="0.275296442687747"/>
  </r>
  <r>
    <s v="BC-101633"/>
    <d v="2025-09-02T00:00:00"/>
    <s v="London"/>
    <s v="Individual"/>
    <s v="Office"/>
    <s v="Laptop Stand"/>
    <n v="1"/>
    <n v="43.74"/>
    <n v="21.65"/>
    <n v="0"/>
    <n v="2"/>
    <n v="4"/>
    <s v="No"/>
    <s v="Store"/>
    <s v="Digital Wallet"/>
    <s v="Individual"/>
    <s v="London"/>
    <s v="Office"/>
    <x v="142"/>
    <n v="1"/>
    <s v="Laptop Stand"/>
    <n v="43.74"/>
    <n v="21.65"/>
    <n v="22.090000000000003"/>
    <n v="0.50502972107910382"/>
  </r>
  <r>
    <s v="BC-101720"/>
    <d v="2025-06-19T00:00:00"/>
    <s v="London"/>
    <s v="Individual"/>
    <s v="Electronics"/>
    <s v="SmartHome Hub"/>
    <n v="3"/>
    <n v="126.51"/>
    <n v="84.2"/>
    <n v="0.05"/>
    <n v="1"/>
    <n v="4"/>
    <s v="No"/>
    <s v="Online"/>
    <s v="Card"/>
    <s v="Individual"/>
    <s v="London"/>
    <s v="Electronics"/>
    <x v="339"/>
    <n v="1"/>
    <s v="SmartHome Hub"/>
    <n v="360.55349999999999"/>
    <n v="252.60000000000002"/>
    <n v="107.95349999999996"/>
    <n v="0.29941048970541118"/>
  </r>
  <r>
    <s v="BC-100126"/>
    <d v="2025-05-13T00:00:00"/>
    <s v="London"/>
    <s v="Individual"/>
    <s v="Electronics"/>
    <s v="Portable Speaker"/>
    <n v="1"/>
    <n v="77.69"/>
    <n v="42.21"/>
    <n v="0"/>
    <n v="4"/>
    <n v="4"/>
    <s v="No"/>
    <s v="Online"/>
    <s v="Bank Transfer"/>
    <s v="Individual"/>
    <s v="London"/>
    <s v="Electronics"/>
    <x v="150"/>
    <n v="1"/>
    <s v="Portable Speaker"/>
    <n v="77.69"/>
    <n v="42.21"/>
    <n v="35.479999999999997"/>
    <n v="0.45668683228214696"/>
  </r>
  <r>
    <s v="BC-100714"/>
    <d v="2025-07-05T00:00:00"/>
    <s v="North"/>
    <s v="Individual"/>
    <s v="Electronics"/>
    <s v="SmartHome Hub"/>
    <n v="2"/>
    <n v="128.59"/>
    <n v="84.89"/>
    <n v="0"/>
    <n v="3"/>
    <n v="4"/>
    <s v="No"/>
    <s v="Online"/>
    <s v="Card"/>
    <s v="Individual"/>
    <s v="North"/>
    <s v="Electronics"/>
    <x v="177"/>
    <n v="1"/>
    <s v="SmartHome Hub"/>
    <n v="257.18"/>
    <n v="169.78"/>
    <n v="87.4"/>
    <n v="0.33983980091764526"/>
  </r>
  <r>
    <s v="BC-101647"/>
    <d v="2025-05-18T00:00:00"/>
    <s v="Midlands"/>
    <s v="Individual"/>
    <s v="Home &amp; Kitchen"/>
    <s v="Blender"/>
    <n v="2"/>
    <n v="66.989999999999995"/>
    <n v="36.700000000000003"/>
    <n v="0"/>
    <n v="1"/>
    <n v="5"/>
    <s v="No"/>
    <s v="Store"/>
    <s v="Card"/>
    <s v="Individual"/>
    <s v="Midlands"/>
    <s v="Home &amp; Kitchen"/>
    <x v="140"/>
    <n v="1"/>
    <s v="Blender"/>
    <n v="133.97999999999999"/>
    <n v="73.400000000000006"/>
    <n v="60.579999999999984"/>
    <n v="0.45215703836393484"/>
  </r>
  <r>
    <s v="BC-101608"/>
    <d v="2025-07-18T00:00:00"/>
    <s v="London"/>
    <s v="Individual"/>
    <s v="Electronics"/>
    <s v="Wireless Headset"/>
    <n v="1"/>
    <n v="61.92"/>
    <n v="34.83"/>
    <n v="0"/>
    <n v="0"/>
    <n v="5"/>
    <s v="No"/>
    <s v="Store"/>
    <s v="Card"/>
    <s v="Individual"/>
    <s v="London"/>
    <s v="Electronics"/>
    <x v="145"/>
    <n v="1"/>
    <s v="Wireless Headset"/>
    <n v="61.92"/>
    <n v="34.83"/>
    <n v="27.090000000000003"/>
    <n v="0.43750000000000006"/>
  </r>
  <r>
    <s v="BC-101183"/>
    <d v="2025-03-03T00:00:00"/>
    <s v="South"/>
    <s v="Individual"/>
    <s v="Office"/>
    <s v="Laptop Stand"/>
    <n v="2"/>
    <n v="45.23"/>
    <n v="21.58"/>
    <n v="0.05"/>
    <n v="2"/>
    <n v="4"/>
    <s v="No"/>
    <s v="Store"/>
    <s v="Card"/>
    <s v="Individual"/>
    <s v="South"/>
    <s v="Office"/>
    <x v="345"/>
    <n v="1"/>
    <s v="Laptop Stand"/>
    <n v="85.936999999999983"/>
    <n v="43.16"/>
    <n v="42.776999999999987"/>
    <n v="0.49777162339853609"/>
  </r>
  <r>
    <s v="BC-100947"/>
    <d v="2025-06-18T00:00:00"/>
    <s v="Midlands"/>
    <s v="Individual"/>
    <s v="Office"/>
    <s v="Laptop Stand"/>
    <n v="2"/>
    <n v="45.75"/>
    <n v="21.53"/>
    <n v="0"/>
    <n v="3"/>
    <n v="5"/>
    <s v="No"/>
    <s v="Online"/>
    <s v="Card"/>
    <s v="Individual"/>
    <s v="Midlands"/>
    <s v="Office"/>
    <x v="153"/>
    <n v="1"/>
    <s v="Laptop Stand"/>
    <n v="91.5"/>
    <n v="43.06"/>
    <n v="48.44"/>
    <n v="0.52939890710382509"/>
  </r>
  <r>
    <s v="BC-101258"/>
    <d v="2025-06-07T00:00:00"/>
    <s v="London"/>
    <s v="Individual"/>
    <s v="Office"/>
    <s v="Ergonomic Keyboard"/>
    <n v="1"/>
    <n v="72.09"/>
    <n v="37.67"/>
    <n v="0.05"/>
    <n v="6"/>
    <n v="4"/>
    <s v="No"/>
    <s v="Online"/>
    <s v="Card"/>
    <s v="Individual"/>
    <s v="London"/>
    <s v="Office"/>
    <x v="98"/>
    <n v="1"/>
    <s v="Ergonomic Keyboard"/>
    <n v="68.485500000000002"/>
    <n v="37.67"/>
    <n v="30.8155"/>
    <n v="0.44995656014776847"/>
  </r>
  <r>
    <s v="BC-100948"/>
    <d v="2025-03-05T00:00:00"/>
    <s v="South"/>
    <s v="Individual"/>
    <s v="Electronics"/>
    <s v="SmartHome Hub"/>
    <n v="1"/>
    <n v="131.36000000000001"/>
    <n v="84.15"/>
    <n v="0"/>
    <n v="6"/>
    <n v="3"/>
    <s v="No"/>
    <s v="Online"/>
    <s v="Bank Transfer"/>
    <s v="Individual"/>
    <s v="South"/>
    <s v="Electronics"/>
    <x v="201"/>
    <n v="1"/>
    <s v="SmartHome Hub"/>
    <n v="131.36000000000001"/>
    <n v="84.15"/>
    <n v="47.210000000000008"/>
    <n v="0.35939403166869671"/>
  </r>
  <r>
    <s v="BC-101828"/>
    <d v="2025-01-14T00:00:00"/>
    <s v="Midlands"/>
    <s v="Individual"/>
    <s v="Furniture"/>
    <s v="Bookshelf"/>
    <n v="1"/>
    <n v="120.19"/>
    <n v="70.209999999999994"/>
    <n v="0.05"/>
    <n v="4"/>
    <n v="4"/>
    <s v="No"/>
    <s v="Store"/>
    <s v="Digital Wallet"/>
    <s v="Individual"/>
    <s v="Midlands"/>
    <s v="Furniture"/>
    <x v="54"/>
    <n v="1"/>
    <s v="Bookshelf"/>
    <n v="114.18049999999999"/>
    <n v="70.209999999999994"/>
    <n v="43.970500000000001"/>
    <n v="0.38509640437727988"/>
  </r>
  <r>
    <s v="BC-101667"/>
    <d v="2025-12-14T00:00:00"/>
    <s v="North"/>
    <s v="Corporate"/>
    <s v="Electronics"/>
    <s v="Webcam"/>
    <n v="4"/>
    <n v="49.89"/>
    <n v="27.2"/>
    <n v="0.1"/>
    <n v="0"/>
    <n v="4"/>
    <s v="No"/>
    <s v="Store"/>
    <s v="Card"/>
    <s v="Corporate"/>
    <s v="North"/>
    <s v="Electronics"/>
    <x v="166"/>
    <n v="1"/>
    <s v="Webcam"/>
    <n v="179.60400000000001"/>
    <n v="108.8"/>
    <n v="70.804000000000016"/>
    <n v="0.39422284581635159"/>
  </r>
  <r>
    <s v="BC-100744"/>
    <d v="2025-07-08T00:00:00"/>
    <s v="South"/>
    <s v="Small Business"/>
    <s v="Electronics"/>
    <s v="Portable Speaker"/>
    <n v="3"/>
    <n v="75.45"/>
    <n v="42.2"/>
    <n v="0.1"/>
    <n v="7"/>
    <n v="4"/>
    <s v="No"/>
    <s v="Online"/>
    <s v="Digital Wallet"/>
    <s v="Small Business"/>
    <s v="South"/>
    <s v="Electronics"/>
    <x v="216"/>
    <n v="1"/>
    <s v="Portable Speaker"/>
    <n v="203.71500000000003"/>
    <n v="126.60000000000001"/>
    <n v="77.115000000000023"/>
    <n v="0.37854355349385177"/>
  </r>
  <r>
    <s v="BC-101819"/>
    <d v="2025-06-05T00:00:00"/>
    <s v="North"/>
    <s v="Individual"/>
    <s v="Home &amp; Kitchen"/>
    <s v="Electric Kettle"/>
    <n v="1"/>
    <n v="40.32"/>
    <n v="20.010000000000002"/>
    <n v="0"/>
    <n v="0"/>
    <n v="3"/>
    <s v="Yes"/>
    <s v="Store"/>
    <s v="Card"/>
    <s v="Individual"/>
    <s v="North"/>
    <s v="Home &amp; Kitchen"/>
    <x v="197"/>
    <n v="1"/>
    <s v="Electric Kettle"/>
    <n v="40.32"/>
    <n v="20.010000000000002"/>
    <n v="20.309999999999999"/>
    <n v="0.50372023809523803"/>
  </r>
  <r>
    <s v="BC-101707"/>
    <d v="2025-10-30T00:00:00"/>
    <s v="North"/>
    <s v="Individual"/>
    <s v="Home &amp; Kitchen"/>
    <s v="Electric Kettle"/>
    <n v="1"/>
    <n v="40.229999999999997"/>
    <n v="20.3"/>
    <n v="0"/>
    <n v="1"/>
    <n v="5"/>
    <s v="No"/>
    <s v="Phone"/>
    <s v="Bank Transfer"/>
    <s v="Individual"/>
    <s v="North"/>
    <s v="Home &amp; Kitchen"/>
    <x v="48"/>
    <n v="1"/>
    <s v="Electric Kettle"/>
    <n v="40.229999999999997"/>
    <n v="20.3"/>
    <n v="19.929999999999996"/>
    <n v="0.49540144171016648"/>
  </r>
  <r>
    <s v="BC-101516"/>
    <d v="2025-09-09T00:00:00"/>
    <s v="Midlands"/>
    <s v="Individual"/>
    <s v="Furniture"/>
    <s v="Office Chair"/>
    <n v="1"/>
    <n v="185.66"/>
    <n v="115.21"/>
    <n v="0"/>
    <n v="6"/>
    <n v="4"/>
    <s v="No"/>
    <s v="Online"/>
    <s v="Bank Transfer"/>
    <s v="Individual"/>
    <s v="Midlands"/>
    <s v="Furniture"/>
    <x v="102"/>
    <n v="1"/>
    <s v="Office Chair"/>
    <n v="185.66"/>
    <n v="115.21"/>
    <n v="70.45"/>
    <n v="0.37945707206721968"/>
  </r>
  <r>
    <s v="BC-101659"/>
    <d v="2025-05-26T00:00:00"/>
    <s v="South"/>
    <s v="Small Business"/>
    <s v="Electronics"/>
    <s v="Portable Speaker"/>
    <n v="6"/>
    <n v="74.849999999999994"/>
    <n v="42.59"/>
    <n v="0.1"/>
    <n v="3"/>
    <n v="4"/>
    <s v="No"/>
    <s v="Store"/>
    <s v="Digital Wallet"/>
    <s v="Small Business"/>
    <s v="South"/>
    <s v="Electronics"/>
    <x v="279"/>
    <n v="1"/>
    <s v="Portable Speaker"/>
    <n v="404.19"/>
    <n v="255.54000000000002"/>
    <n v="148.64999999999998"/>
    <n v="0.36777258220143988"/>
  </r>
  <r>
    <s v="BC-101969"/>
    <d v="2025-03-16T00:00:00"/>
    <s v="London"/>
    <s v="Individual"/>
    <s v="Office"/>
    <s v="Desk Lamp"/>
    <n v="3"/>
    <n v="39.119999999999997"/>
    <n v="18.73"/>
    <n v="0.05"/>
    <n v="4"/>
    <n v="3"/>
    <s v="Yes"/>
    <s v="Online"/>
    <s v="Card"/>
    <s v="Individual"/>
    <s v="London"/>
    <s v="Office"/>
    <x v="324"/>
    <n v="1"/>
    <s v="Desk Lamp"/>
    <n v="111.49199999999998"/>
    <n v="56.19"/>
    <n v="55.301999999999978"/>
    <n v="0.49601765149068983"/>
  </r>
  <r>
    <s v="BC-101465"/>
    <d v="2025-10-15T00:00:00"/>
    <s v="North"/>
    <s v="Individual"/>
    <s v="Electronics"/>
    <s v="Wireless Headset"/>
    <n v="1"/>
    <n v="60.04"/>
    <n v="33.11"/>
    <n v="0.05"/>
    <n v="4"/>
    <m/>
    <s v="No"/>
    <s v="Phone"/>
    <s v="Bank Transfer"/>
    <s v="Individual"/>
    <s v="North"/>
    <s v="Electronics"/>
    <x v="133"/>
    <n v="1"/>
    <s v="Wireless Headset"/>
    <n v="57.037999999999997"/>
    <n v="33.11"/>
    <n v="23.927999999999997"/>
    <n v="0.41950980048388792"/>
  </r>
  <r>
    <s v="BC-100739"/>
    <d v="2025-11-22T00:00:00"/>
    <s v="South"/>
    <s v="Individual"/>
    <s v="Electronics"/>
    <s v="SmartHome Hub"/>
    <n v="1"/>
    <n v="131.06"/>
    <n v="82.62"/>
    <n v="0.15000000000000002"/>
    <n v="0"/>
    <n v="4"/>
    <s v="No"/>
    <s v="Store"/>
    <s v="Card"/>
    <s v="Individual"/>
    <s v="South"/>
    <s v="Electronics"/>
    <x v="82"/>
    <n v="1"/>
    <s v="SmartHome Hub"/>
    <n v="111.401"/>
    <n v="82.62"/>
    <n v="28.780999999999992"/>
    <n v="0.25835495193041347"/>
  </r>
  <r>
    <s v="BC-100897"/>
    <d v="2025-06-10T00:00:00"/>
    <s v="Midlands"/>
    <s v="Individual"/>
    <s v="Electronics"/>
    <s v="Portable Speaker"/>
    <n v="2"/>
    <n v="74.239999999999995"/>
    <n v="42.04"/>
    <n v="0.05"/>
    <n v="2"/>
    <n v="4"/>
    <s v="No"/>
    <s v="Online"/>
    <s v="Card"/>
    <s v="Individual"/>
    <s v="Midlands"/>
    <s v="Electronics"/>
    <x v="113"/>
    <n v="1"/>
    <s v="Portable Speaker"/>
    <n v="141.05599999999998"/>
    <n v="84.08"/>
    <n v="56.975999999999985"/>
    <n v="0.40392468239564422"/>
  </r>
  <r>
    <s v="BC-101091"/>
    <d v="2025-09-04T00:00:00"/>
    <s v="London"/>
    <s v="Individual"/>
    <s v="Office"/>
    <s v="Desk Lamp"/>
    <n v="3"/>
    <n v="40.35"/>
    <n v="19.04"/>
    <n v="0.05"/>
    <n v="2"/>
    <n v="3"/>
    <s v="Yes"/>
    <s v="Online"/>
    <s v="Card"/>
    <s v="Individual"/>
    <s v="London"/>
    <s v="Office"/>
    <x v="267"/>
    <n v="1"/>
    <s v="Desk Lamp"/>
    <n v="114.9975"/>
    <n v="57.12"/>
    <n v="57.877500000000005"/>
    <n v="0.50329354985977959"/>
  </r>
  <r>
    <s v="BC-101056"/>
    <d v="2025-11-05T00:00:00"/>
    <s v="South"/>
    <s v="Individual"/>
    <s v="Electronics"/>
    <s v="Portable Speaker"/>
    <n v="1"/>
    <n v="76.31"/>
    <n v="42.63"/>
    <n v="0.15000000000000002"/>
    <n v="1"/>
    <n v="5"/>
    <s v="No"/>
    <s v="Store"/>
    <s v="Card"/>
    <s v="Individual"/>
    <s v="South"/>
    <s v="Electronics"/>
    <x v="347"/>
    <n v="1"/>
    <s v="Portable Speaker"/>
    <n v="64.863500000000002"/>
    <n v="42.63"/>
    <n v="22.233499999999999"/>
    <n v="0.3427736708626577"/>
  </r>
  <r>
    <s v="BC-100568"/>
    <d v="2025-05-02T00:00:00"/>
    <s v="South"/>
    <s v="Small Business"/>
    <s v="Office"/>
    <s v="Wireless Mouse"/>
    <n v="2"/>
    <n v="35.65"/>
    <n v="16.63"/>
    <n v="0"/>
    <n v="4"/>
    <n v="5"/>
    <s v="No"/>
    <s v="Online"/>
    <s v="Bank Transfer"/>
    <s v="Small Business"/>
    <s v="South"/>
    <s v="Office"/>
    <x v="37"/>
    <n v="1"/>
    <s v="Wireless Mouse"/>
    <n v="71.3"/>
    <n v="33.26"/>
    <n v="38.04"/>
    <n v="0.5335203366058906"/>
  </r>
  <r>
    <s v="BC-101223"/>
    <d v="2025-10-07T00:00:00"/>
    <s v="North"/>
    <s v="Small Business"/>
    <s v="Office"/>
    <s v="Desk Lamp"/>
    <n v="3"/>
    <n v="40.25"/>
    <n v="18.84"/>
    <n v="0"/>
    <n v="6"/>
    <n v="4"/>
    <s v="No"/>
    <s v="Phone"/>
    <s v="Bank Transfer"/>
    <s v="Small Business"/>
    <s v="North"/>
    <s v="Office"/>
    <x v="23"/>
    <n v="1"/>
    <s v="Desk Lamp"/>
    <n v="120.75"/>
    <n v="56.519999999999996"/>
    <n v="64.23"/>
    <n v="0.5319254658385093"/>
  </r>
  <r>
    <s v="BC-101810"/>
    <d v="2025-05-12T00:00:00"/>
    <s v="Midlands"/>
    <s v="Individual"/>
    <s v="Electronics"/>
    <s v="Wireless Headset"/>
    <n v="3"/>
    <n v="60.17"/>
    <n v="34.29"/>
    <n v="0.1"/>
    <n v="4"/>
    <n v="4"/>
    <s v="No"/>
    <s v="Online"/>
    <s v="Digital Wallet"/>
    <s v="Individual"/>
    <s v="Midlands"/>
    <s v="Electronics"/>
    <x v="296"/>
    <n v="1"/>
    <s v="Wireless Headset"/>
    <n v="162.459"/>
    <n v="102.87"/>
    <n v="59.588999999999999"/>
    <n v="0.36679408343028086"/>
  </r>
  <r>
    <s v="BC-100805"/>
    <d v="2025-06-10T00:00:00"/>
    <s v="Midlands"/>
    <s v="Individual"/>
    <s v="Home &amp; Kitchen"/>
    <s v="Electric Kettle"/>
    <n v="2"/>
    <n v="39.51"/>
    <n v="19.72"/>
    <n v="0.05"/>
    <n v="6"/>
    <n v="4"/>
    <s v="No"/>
    <s v="Online"/>
    <s v="Card"/>
    <s v="Individual"/>
    <s v="Midlands"/>
    <s v="Home &amp; Kitchen"/>
    <x v="113"/>
    <n v="1"/>
    <s v="Electric Kettle"/>
    <n v="75.068999999999988"/>
    <n v="39.44"/>
    <n v="35.628999999999991"/>
    <n v="0.47461668598222961"/>
  </r>
  <r>
    <s v="BC-100646"/>
    <d v="2025-11-11T00:00:00"/>
    <s v="Midlands"/>
    <s v="Individual"/>
    <s v="Office"/>
    <s v="Wireless Mouse"/>
    <n v="2"/>
    <n v="36.17"/>
    <n v="16.79"/>
    <n v="0.05"/>
    <n v="3"/>
    <n v="5"/>
    <s v="No"/>
    <s v="Online"/>
    <s v="Card"/>
    <s v="Individual"/>
    <s v="Midlands"/>
    <s v="Office"/>
    <x v="274"/>
    <n v="1"/>
    <s v="Wireless Mouse"/>
    <n v="68.722999999999999"/>
    <n v="33.58"/>
    <n v="35.143000000000001"/>
    <n v="0.51137173871920616"/>
  </r>
  <r>
    <s v="BC-100097"/>
    <d v="2025-08-14T00:00:00"/>
    <s v="South"/>
    <s v="Individual"/>
    <s v="Electronics"/>
    <s v="Webcam"/>
    <n v="3"/>
    <n v="48.56"/>
    <n v="25.43"/>
    <n v="0"/>
    <n v="5"/>
    <n v="4"/>
    <s v="No"/>
    <s v="Online"/>
    <s v="Card"/>
    <s v="Individual"/>
    <s v="South"/>
    <s v="Electronics"/>
    <x v="165"/>
    <n v="1"/>
    <s v="Webcam"/>
    <n v="145.68"/>
    <n v="76.289999999999992"/>
    <n v="69.390000000000015"/>
    <n v="0.47631795716639219"/>
  </r>
  <r>
    <s v="BC-101562"/>
    <d v="2025-06-08T00:00:00"/>
    <s v="North"/>
    <s v="Individual"/>
    <s v="Home &amp; Kitchen"/>
    <s v="Air Fryer"/>
    <n v="2"/>
    <n v="108.27"/>
    <n v="68.010000000000005"/>
    <n v="0"/>
    <n v="6"/>
    <n v="4"/>
    <s v="No"/>
    <s v="Online"/>
    <s v="Card"/>
    <s v="Individual"/>
    <s v="North"/>
    <s v="Home &amp; Kitchen"/>
    <x v="40"/>
    <n v="1"/>
    <s v="Air Fryer"/>
    <n v="216.54"/>
    <n v="136.02000000000001"/>
    <n v="80.519999999999982"/>
    <n v="0.37184815738431692"/>
  </r>
  <r>
    <s v="BC-101613"/>
    <d v="2025-10-08T00:00:00"/>
    <s v="North"/>
    <s v="Individual"/>
    <s v="Electronics"/>
    <s v="SmartHome Hub"/>
    <n v="2"/>
    <n v="127.68"/>
    <n v="87"/>
    <n v="0"/>
    <n v="0"/>
    <n v="4"/>
    <s v="No"/>
    <s v="Store"/>
    <s v="Card"/>
    <s v="Individual"/>
    <s v="North"/>
    <s v="Electronics"/>
    <x v="27"/>
    <n v="1"/>
    <s v="SmartHome Hub"/>
    <n v="255.36"/>
    <n v="174"/>
    <n v="81.360000000000014"/>
    <n v="0.31860902255639101"/>
  </r>
  <r>
    <s v="BC-100686"/>
    <d v="2025-05-15T00:00:00"/>
    <s v="North"/>
    <s v="Individual"/>
    <s v="Home &amp; Kitchen"/>
    <s v="Air Fryer"/>
    <n v="1"/>
    <n v="110.01"/>
    <n v="67.11"/>
    <n v="0"/>
    <n v="0"/>
    <n v="3"/>
    <s v="Yes"/>
    <s v="Store"/>
    <s v="Bank Transfer"/>
    <s v="Individual"/>
    <s v="North"/>
    <s v="Home &amp; Kitchen"/>
    <x v="47"/>
    <n v="1"/>
    <s v="Air Fryer"/>
    <n v="110.01"/>
    <n v="67.11"/>
    <n v="42.900000000000006"/>
    <n v="0.389964548677393"/>
  </r>
  <r>
    <s v="BC-101560"/>
    <d v="2025-01-18T00:00:00"/>
    <s v="North"/>
    <s v="Individual"/>
    <s v="Furniture"/>
    <s v="Office Chair"/>
    <n v="1"/>
    <n v="182.59"/>
    <n v="114.5"/>
    <n v="0.1"/>
    <n v="3"/>
    <n v="4"/>
    <s v="No"/>
    <s v="Store"/>
    <s v="Digital Wallet"/>
    <s v="Individual"/>
    <s v="North"/>
    <s v="Furniture"/>
    <x v="362"/>
    <n v="1"/>
    <s v="Office Chair"/>
    <n v="164.33100000000002"/>
    <n v="114.5"/>
    <n v="49.831000000000017"/>
    <n v="0.30323554289817511"/>
  </r>
  <r>
    <s v="BC-101854"/>
    <d v="2025-07-22T00:00:00"/>
    <s v="Midlands"/>
    <s v="Individual"/>
    <s v="Office"/>
    <s v="Laptop Stand"/>
    <n v="1"/>
    <n v="44.5"/>
    <n v="20.72"/>
    <n v="0.05"/>
    <n v="0"/>
    <n v="5"/>
    <s v="No"/>
    <s v="Store"/>
    <s v="Digital Wallet"/>
    <s v="Individual"/>
    <s v="Midlands"/>
    <s v="Office"/>
    <x v="91"/>
    <n v="1"/>
    <s v="Laptop Stand"/>
    <n v="42.274999999999999"/>
    <n v="20.72"/>
    <n v="21.555"/>
    <n v="0.50987581312832642"/>
  </r>
  <r>
    <s v="BC-100896"/>
    <d v="2025-04-09T00:00:00"/>
    <s v="London"/>
    <s v="Individual"/>
    <s v="Furniture"/>
    <s v="Bookshelf"/>
    <n v="2"/>
    <n v="116.55"/>
    <n v="73.28"/>
    <n v="0"/>
    <n v="7"/>
    <n v="4"/>
    <s v="No"/>
    <s v="Online"/>
    <s v="Bank Transfer"/>
    <s v="Individual"/>
    <s v="London"/>
    <s v="Furniture"/>
    <x v="359"/>
    <n v="1"/>
    <s v="Bookshelf"/>
    <n v="233.1"/>
    <n v="146.56"/>
    <n v="86.539999999999992"/>
    <n v="0.37125697125697121"/>
  </r>
  <r>
    <s v="BC-100514"/>
    <d v="2025-05-08T00:00:00"/>
    <s v="London"/>
    <s v="Corporate"/>
    <s v="Home &amp; Kitchen"/>
    <s v="Electric Kettle"/>
    <n v="2"/>
    <n v="40.92"/>
    <n v="20.45"/>
    <n v="0.05"/>
    <n v="2"/>
    <n v="4"/>
    <s v="No"/>
    <s v="Store"/>
    <s v="Card"/>
    <s v="Corporate"/>
    <s v="London"/>
    <s v="Home &amp; Kitchen"/>
    <x v="326"/>
    <n v="1"/>
    <s v="Electric Kettle"/>
    <n v="77.748000000000005"/>
    <n v="40.9"/>
    <n v="36.848000000000006"/>
    <n v="0.47394145187014464"/>
  </r>
  <r>
    <s v="BC-100413"/>
    <d v="2025-12-12T00:00:00"/>
    <s v="North"/>
    <s v="Individual"/>
    <s v="Furniture"/>
    <s v="Office Chair"/>
    <n v="2"/>
    <n v="186.19"/>
    <n v="116.07"/>
    <n v="0.2"/>
    <n v="4"/>
    <n v="4"/>
    <s v="No"/>
    <s v="Online"/>
    <s v="Card"/>
    <s v="Individual"/>
    <s v="North"/>
    <s v="Furniture"/>
    <x v="247"/>
    <n v="1"/>
    <s v="Office Chair"/>
    <n v="297.904"/>
    <n v="232.14"/>
    <n v="65.76400000000001"/>
    <n v="0.22075567968204526"/>
  </r>
  <r>
    <s v="BC-101673"/>
    <d v="2025-10-01T00:00:00"/>
    <s v="North"/>
    <s v="Small Business"/>
    <s v="Electronics"/>
    <s v="Portable Speaker"/>
    <n v="4"/>
    <n v="75.95"/>
    <n v="43.78"/>
    <n v="0.05"/>
    <n v="3"/>
    <n v="5"/>
    <s v="No"/>
    <s v="Online"/>
    <s v="Bank Transfer"/>
    <s v="Small Business"/>
    <s v="North"/>
    <s v="Electronics"/>
    <x v="128"/>
    <n v="1"/>
    <s v="Portable Speaker"/>
    <n v="288.61"/>
    <n v="175.12"/>
    <n v="113.49000000000001"/>
    <n v="0.39322961782336024"/>
  </r>
  <r>
    <s v="BC-100752"/>
    <d v="2025-05-18T00:00:00"/>
    <s v="Midlands"/>
    <s v="Individual"/>
    <s v="Home &amp; Kitchen"/>
    <s v="Air Fryer"/>
    <n v="1"/>
    <n v="112.61"/>
    <n v="68.91"/>
    <n v="0.05"/>
    <n v="2"/>
    <n v="5"/>
    <s v="No"/>
    <s v="Store"/>
    <s v="Card"/>
    <s v="Individual"/>
    <s v="Midlands"/>
    <s v="Home &amp; Kitchen"/>
    <x v="140"/>
    <n v="1"/>
    <s v="Air Fryer"/>
    <n v="106.97949999999999"/>
    <n v="68.91"/>
    <n v="38.069499999999991"/>
    <n v="0.35585789800849693"/>
  </r>
  <r>
    <s v="BC-101307"/>
    <d v="2025-11-20T00:00:00"/>
    <s v="South"/>
    <s v="Individual"/>
    <s v="Office"/>
    <s v="Wireless Mouse"/>
    <n v="1"/>
    <n v="35.24"/>
    <n v="17.649999999999999"/>
    <n v="0.15000000000000002"/>
    <n v="1"/>
    <n v="4"/>
    <s v="No"/>
    <s v="Store"/>
    <s v="Digital Wallet"/>
    <s v="Individual"/>
    <s v="South"/>
    <s v="Office"/>
    <x v="33"/>
    <n v="1"/>
    <s v="Wireless Mouse"/>
    <n v="29.954000000000001"/>
    <n v="17.649999999999999"/>
    <n v="12.304000000000002"/>
    <n v="0.41076317019429798"/>
  </r>
  <r>
    <s v="BC-101492"/>
    <d v="2025-04-14T00:00:00"/>
    <s v="Midlands"/>
    <s v="Individual"/>
    <s v="Furniture"/>
    <s v="Storage Cabinet"/>
    <n v="2"/>
    <n v="162.86000000000001"/>
    <n v="100.3"/>
    <n v="0"/>
    <n v="5"/>
    <n v="4"/>
    <s v="No"/>
    <s v="Online"/>
    <s v="Card"/>
    <s v="Individual"/>
    <s v="Midlands"/>
    <s v="Furniture"/>
    <x v="38"/>
    <n v="1"/>
    <s v="Storage Cabinet"/>
    <n v="325.72000000000003"/>
    <n v="200.6"/>
    <n v="125.12000000000003"/>
    <n v="0.38413361169102306"/>
  </r>
  <r>
    <s v="BC-100687"/>
    <d v="2025-04-13T00:00:00"/>
    <s v="Midlands"/>
    <s v="Small Business"/>
    <s v="Electronics"/>
    <s v="SmartHome Hub"/>
    <n v="4"/>
    <n v="131"/>
    <n v="83.05"/>
    <n v="0.1"/>
    <n v="3"/>
    <n v="4"/>
    <s v="No"/>
    <s v="Online"/>
    <s v="Digital Wallet"/>
    <s v="Small Business"/>
    <s v="Midlands"/>
    <s v="Electronics"/>
    <x v="188"/>
    <n v="1"/>
    <s v="SmartHome Hub"/>
    <n v="471.6"/>
    <n v="332.2"/>
    <n v="139.40000000000003"/>
    <n v="0.29558948261238344"/>
  </r>
  <r>
    <s v="BC-101840"/>
    <d v="2025-12-31T00:00:00"/>
    <s v="London"/>
    <s v="Small Business"/>
    <s v="Office"/>
    <s v="Desk Lamp"/>
    <n v="1"/>
    <n v="39.590000000000003"/>
    <n v="19.5"/>
    <n v="0"/>
    <n v="0"/>
    <n v="5"/>
    <s v="No"/>
    <s v="Store"/>
    <s v="Bank Transfer"/>
    <s v="Small Business"/>
    <s v="London"/>
    <s v="Office"/>
    <x v="81"/>
    <n v="1"/>
    <s v="Desk Lamp"/>
    <n v="39.590000000000003"/>
    <n v="19.5"/>
    <n v="20.090000000000003"/>
    <n v="0.50745137661025519"/>
  </r>
  <r>
    <s v="BC-100675"/>
    <d v="2025-07-26T00:00:00"/>
    <s v="Midlands"/>
    <s v="Corporate"/>
    <s v="Electronics"/>
    <s v="Portable Speaker"/>
    <n v="6"/>
    <n v="73.44"/>
    <n v="42.34"/>
    <n v="0.1"/>
    <n v="5"/>
    <n v="3"/>
    <s v="Yes"/>
    <s v="Online"/>
    <s v="Card"/>
    <s v="Corporate"/>
    <s v="Midlands"/>
    <s v="Electronics"/>
    <x v="352"/>
    <n v="1"/>
    <s v="Portable Speaker"/>
    <n v="396.57600000000002"/>
    <n v="254.04000000000002"/>
    <n v="142.536"/>
    <n v="0.3594166061486323"/>
  </r>
  <r>
    <s v="BC-100845"/>
    <d v="2025-04-02T00:00:00"/>
    <s v="South"/>
    <s v="Individual"/>
    <s v="Furniture"/>
    <s v="Storage Cabinet"/>
    <n v="2"/>
    <n v="157.36000000000001"/>
    <n v="103.98"/>
    <n v="0.1"/>
    <n v="5"/>
    <n v="5"/>
    <s v="No"/>
    <s v="Store"/>
    <s v="Digital Wallet"/>
    <s v="Individual"/>
    <s v="South"/>
    <s v="Furniture"/>
    <x v="170"/>
    <n v="1"/>
    <s v="Storage Cabinet"/>
    <n v="283.24800000000005"/>
    <n v="207.96"/>
    <n v="75.288000000000039"/>
    <n v="0.26580240637180147"/>
  </r>
  <r>
    <s v="BC-101430"/>
    <d v="2025-05-17T00:00:00"/>
    <s v="South"/>
    <s v="Individual"/>
    <s v="Electronics"/>
    <s v="Wireless Headset"/>
    <n v="2"/>
    <n v="59.55"/>
    <n v="33.090000000000003"/>
    <n v="0.15000000000000002"/>
    <n v="4"/>
    <n v="5"/>
    <s v="No"/>
    <s v="Store"/>
    <s v="Bank Transfer"/>
    <s v="Individual"/>
    <s v="South"/>
    <s v="Electronics"/>
    <x v="164"/>
    <n v="1"/>
    <s v="Wireless Headset"/>
    <n v="101.235"/>
    <n v="66.180000000000007"/>
    <n v="35.054999999999993"/>
    <n v="0.34627352200325967"/>
  </r>
  <r>
    <s v="BC-101080"/>
    <d v="2025-01-29T00:00:00"/>
    <s v="South"/>
    <s v="Individual"/>
    <s v="Electronics"/>
    <s v="Portable Speaker"/>
    <n v="3"/>
    <n v="75.92"/>
    <n v="43.58"/>
    <n v="0.05"/>
    <n v="4"/>
    <n v="5"/>
    <s v="No"/>
    <s v="Phone"/>
    <s v="Card"/>
    <s v="Individual"/>
    <s v="South"/>
    <s v="Electronics"/>
    <x v="354"/>
    <n v="1"/>
    <s v="Portable Speaker"/>
    <n v="216.37199999999999"/>
    <n v="130.74"/>
    <n v="85.631999999999977"/>
    <n v="0.39576285286451102"/>
  </r>
  <r>
    <s v="BC-101579"/>
    <d v="2025-04-09T00:00:00"/>
    <s v="Midlands"/>
    <s v="Individual"/>
    <s v="Home &amp; Kitchen"/>
    <s v="Air Fryer"/>
    <n v="1"/>
    <n v="109.2"/>
    <n v="65.180000000000007"/>
    <n v="0"/>
    <n v="3"/>
    <n v="4"/>
    <s v="No"/>
    <s v="Phone"/>
    <s v="Digital Wallet"/>
    <s v="Individual"/>
    <s v="Midlands"/>
    <s v="Home &amp; Kitchen"/>
    <x v="359"/>
    <n v="1"/>
    <s v="Air Fryer"/>
    <n v="109.2"/>
    <n v="65.180000000000007"/>
    <n v="44.019999999999996"/>
    <n v="0.40311355311355307"/>
  </r>
  <r>
    <s v="BC-100432"/>
    <d v="2025-09-28T00:00:00"/>
    <s v="Midlands"/>
    <s v="Individual"/>
    <s v="Home &amp; Kitchen"/>
    <s v="Air Fryer"/>
    <n v="1"/>
    <n v="109.12"/>
    <n v="65"/>
    <n v="0.05"/>
    <n v="3"/>
    <n v="4"/>
    <s v="No"/>
    <s v="Phone"/>
    <s v="Digital Wallet"/>
    <s v="Individual"/>
    <s v="Midlands"/>
    <s v="Home &amp; Kitchen"/>
    <x v="169"/>
    <n v="1"/>
    <s v="Air Fryer"/>
    <n v="103.664"/>
    <n v="65"/>
    <n v="38.664000000000001"/>
    <n v="0.37297422441734834"/>
  </r>
  <r>
    <s v="BC-101175"/>
    <d v="2025-12-04T00:00:00"/>
    <s v="Midlands"/>
    <s v="Corporate"/>
    <s v="Office"/>
    <s v="Ergonomic Keyboard"/>
    <n v="6"/>
    <n v="70.209999999999994"/>
    <n v="39.299999999999997"/>
    <n v="0.1"/>
    <n v="0"/>
    <n v="3"/>
    <s v="Yes"/>
    <s v="Store"/>
    <s v="Card"/>
    <s v="Corporate"/>
    <s v="Midlands"/>
    <s v="Office"/>
    <x v="75"/>
    <n v="1"/>
    <s v="Ergonomic Keyboard"/>
    <n v="379.13400000000001"/>
    <n v="235.79999999999998"/>
    <n v="143.33400000000003"/>
    <n v="0.37805630726867023"/>
  </r>
  <r>
    <s v="BC-100377"/>
    <d v="2025-12-04T00:00:00"/>
    <s v="Midlands"/>
    <s v="Individual"/>
    <s v="Electronics"/>
    <s v="Portable Speaker"/>
    <n v="1"/>
    <n v="74.650000000000006"/>
    <n v="44.64"/>
    <n v="0.05"/>
    <n v="3"/>
    <n v="4"/>
    <s v="No"/>
    <s v="Online"/>
    <s v="Card"/>
    <s v="Individual"/>
    <s v="Midlands"/>
    <s v="Electronics"/>
    <x v="75"/>
    <n v="1"/>
    <s v="Portable Speaker"/>
    <n v="70.917500000000004"/>
    <n v="44.64"/>
    <n v="26.277500000000003"/>
    <n v="0.37053618641379071"/>
  </r>
  <r>
    <s v="BC-100832"/>
    <d v="2025-11-30T00:00:00"/>
    <s v="London"/>
    <s v="Small Business"/>
    <s v="Electronics"/>
    <s v="SmartHome Hub"/>
    <n v="2"/>
    <n v="126.65"/>
    <n v="83"/>
    <n v="0.05"/>
    <n v="2"/>
    <n v="4"/>
    <s v="No"/>
    <s v="Store"/>
    <s v="Bank Transfer"/>
    <s v="Small Business"/>
    <s v="London"/>
    <s v="Electronics"/>
    <x v="73"/>
    <n v="1"/>
    <s v="SmartHome Hub"/>
    <n v="240.63499999999999"/>
    <n v="166"/>
    <n v="74.634999999999991"/>
    <n v="0.31015853886591721"/>
  </r>
  <r>
    <s v="BC-101406"/>
    <d v="2025-03-30T00:00:00"/>
    <s v="South"/>
    <s v="Individual"/>
    <s v="Furniture"/>
    <s v="Storage Cabinet"/>
    <n v="1"/>
    <n v="161.9"/>
    <n v="98.29"/>
    <n v="0.15000000000000002"/>
    <n v="3"/>
    <n v="5"/>
    <s v="No"/>
    <s v="Store"/>
    <s v="Card"/>
    <s v="Individual"/>
    <s v="South"/>
    <s v="Furniture"/>
    <x v="196"/>
    <n v="1"/>
    <s v="Storage Cabinet"/>
    <n v="137.61500000000001"/>
    <n v="98.29"/>
    <n v="39.325000000000003"/>
    <n v="0.28576099989100023"/>
  </r>
  <r>
    <s v="BC-101591"/>
    <d v="2025-04-09T00:00:00"/>
    <s v="London"/>
    <s v="Small Business"/>
    <s v="Electronics"/>
    <s v="Webcam"/>
    <n v="4"/>
    <n v="51.65"/>
    <n v="26.99"/>
    <n v="0"/>
    <n v="1"/>
    <n v="3"/>
    <s v="Yes"/>
    <s v="Store"/>
    <s v="Card"/>
    <s v="Small Business"/>
    <s v="London"/>
    <s v="Electronics"/>
    <x v="359"/>
    <n v="1"/>
    <s v="Webcam"/>
    <n v="206.6"/>
    <n v="107.96"/>
    <n v="98.64"/>
    <n v="0.47744433688286547"/>
  </r>
  <r>
    <s v="BC-100516"/>
    <d v="2025-12-17T00:00:00"/>
    <s v="Midlands"/>
    <s v="Small Business"/>
    <s v="Electronics"/>
    <s v="Wireless Headset"/>
    <n v="4"/>
    <n v="58.38"/>
    <n v="33.68"/>
    <n v="0.15000000000000002"/>
    <n v="5"/>
    <n v="4"/>
    <s v="No"/>
    <s v="Online"/>
    <s v="Card"/>
    <s v="Small Business"/>
    <s v="Midlands"/>
    <s v="Electronics"/>
    <x v="95"/>
    <n v="1"/>
    <s v="Wireless Headset"/>
    <n v="198.49199999999999"/>
    <n v="134.72"/>
    <n v="63.771999999999991"/>
    <n v="0.32128246982246134"/>
  </r>
  <r>
    <s v="BC-100324"/>
    <d v="2025-07-21T00:00:00"/>
    <s v="North"/>
    <s v="Small Business"/>
    <s v="Furniture"/>
    <s v="Side Table"/>
    <n v="4"/>
    <n v="91.58"/>
    <n v="53.93"/>
    <n v="0.05"/>
    <n v="5"/>
    <n v="4"/>
    <s v="No"/>
    <s v="Store"/>
    <s v="Card"/>
    <s v="Small Business"/>
    <s v="North"/>
    <s v="Furniture"/>
    <x v="277"/>
    <n v="1"/>
    <s v="Side Table"/>
    <n v="348.00399999999996"/>
    <n v="215.72"/>
    <n v="132.28399999999996"/>
    <n v="0.38012206756244177"/>
  </r>
  <r>
    <s v="BC-101414"/>
    <d v="2025-03-06T00:00:00"/>
    <s v="London"/>
    <s v="Individual"/>
    <s v="Electronics"/>
    <s v="Wireless Headset"/>
    <n v="1"/>
    <n v="61.8"/>
    <n v="33.590000000000003"/>
    <n v="0.1"/>
    <n v="5"/>
    <n v="5"/>
    <s v="No"/>
    <s v="Online"/>
    <s v="Bank Transfer"/>
    <s v="Individual"/>
    <s v="London"/>
    <s v="Electronics"/>
    <x v="275"/>
    <n v="1"/>
    <s v="Wireless Headset"/>
    <n v="55.62"/>
    <n v="33.590000000000003"/>
    <n v="22.029999999999994"/>
    <n v="0.39608054656598335"/>
  </r>
  <r>
    <s v="BC-101846"/>
    <d v="2025-02-23T00:00:00"/>
    <s v="South"/>
    <s v="Individual"/>
    <s v="Home &amp; Kitchen"/>
    <s v="Air Fryer"/>
    <n v="1"/>
    <n v="108.51"/>
    <n v="65.92"/>
    <n v="0.05"/>
    <n v="6"/>
    <n v="3"/>
    <s v="No"/>
    <s v="Online"/>
    <s v="Card"/>
    <s v="Individual"/>
    <s v="South"/>
    <s v="Home &amp; Kitchen"/>
    <x v="104"/>
    <n v="1"/>
    <s v="Air Fryer"/>
    <n v="103.08450000000001"/>
    <n v="65.92"/>
    <n v="37.164500000000004"/>
    <n v="0.36052461815306863"/>
  </r>
  <r>
    <s v="BC-101145"/>
    <d v="2025-07-28T00:00:00"/>
    <s v="London"/>
    <s v="Small Business"/>
    <s v="Home &amp; Kitchen"/>
    <s v="Blender"/>
    <n v="6"/>
    <n v="66.099999999999994"/>
    <n v="36.53"/>
    <n v="0.1"/>
    <n v="3"/>
    <n v="5"/>
    <s v="No"/>
    <s v="Store"/>
    <s v="Card"/>
    <s v="Small Business"/>
    <s v="London"/>
    <s v="Home &amp; Kitchen"/>
    <x v="39"/>
    <n v="1"/>
    <s v="Blender"/>
    <n v="356.94"/>
    <n v="219.18"/>
    <n v="137.76"/>
    <n v="0.38594721801983523"/>
  </r>
  <r>
    <s v="BC-101126"/>
    <d v="2025-12-18T00:00:00"/>
    <s v="South"/>
    <s v="Individual"/>
    <s v="Electronics"/>
    <s v="SmartHome Hub"/>
    <n v="4"/>
    <n v="134.78"/>
    <n v="87.33"/>
    <n v="0.15000000000000002"/>
    <n v="4"/>
    <n v="4"/>
    <s v="No"/>
    <s v="Online"/>
    <s v="Bank Transfer"/>
    <s v="Individual"/>
    <s v="South"/>
    <s v="Electronics"/>
    <x v="114"/>
    <n v="1"/>
    <s v="SmartHome Hub"/>
    <n v="458.25200000000001"/>
    <n v="349.32"/>
    <n v="108.93200000000002"/>
    <n v="0.23771200125695036"/>
  </r>
  <r>
    <s v="BC-100224"/>
    <d v="2025-12-23T00:00:00"/>
    <s v="Midlands"/>
    <s v="Individual"/>
    <s v="Office"/>
    <s v="Ergonomic Keyboard"/>
    <n v="2"/>
    <n v="69.88"/>
    <n v="37.450000000000003"/>
    <n v="0.05"/>
    <n v="7"/>
    <n v="3"/>
    <s v="No"/>
    <s v="Online"/>
    <s v="Bank Transfer"/>
    <s v="Individual"/>
    <s v="Midlands"/>
    <s v="Office"/>
    <x v="214"/>
    <n v="1"/>
    <s v="Ergonomic Keyboard"/>
    <n v="132.77199999999999"/>
    <n v="74.900000000000006"/>
    <n v="57.871999999999986"/>
    <n v="0.43587503389268811"/>
  </r>
  <r>
    <s v="BC-100125"/>
    <d v="2025-01-17T00:00:00"/>
    <s v="North"/>
    <s v="Individual"/>
    <s v="Office"/>
    <s v="Wireless Mouse"/>
    <n v="1"/>
    <n v="35.56"/>
    <n v="17.61"/>
    <n v="0.1"/>
    <n v="1"/>
    <n v="5"/>
    <s v="No"/>
    <s v="Online"/>
    <s v="Card"/>
    <s v="Individual"/>
    <s v="North"/>
    <s v="Office"/>
    <x v="335"/>
    <n v="1"/>
    <s v="Wireless Mouse"/>
    <n v="32.004000000000005"/>
    <n v="17.61"/>
    <n v="14.394000000000005"/>
    <n v="0.44975628046494198"/>
  </r>
  <r>
    <s v="BC-101308"/>
    <d v="2025-01-27T00:00:00"/>
    <s v="London"/>
    <s v="Individual"/>
    <s v="Electronics"/>
    <s v="Webcam"/>
    <n v="2"/>
    <n v="50.16"/>
    <n v="26.94"/>
    <n v="0"/>
    <n v="6"/>
    <n v="4"/>
    <s v="No"/>
    <s v="Online"/>
    <s v="Card"/>
    <s v="Individual"/>
    <s v="London"/>
    <s v="Electronics"/>
    <x v="1"/>
    <n v="1"/>
    <s v="Webcam"/>
    <n v="100.32"/>
    <n v="53.88"/>
    <n v="46.439999999999991"/>
    <n v="0.46291866028708128"/>
  </r>
  <r>
    <s v="BC-101405"/>
    <d v="2025-04-21T00:00:00"/>
    <s v="London"/>
    <s v="Individual"/>
    <s v="Home &amp; Kitchen"/>
    <s v="Blender"/>
    <n v="1"/>
    <n v="64.55"/>
    <n v="36.090000000000003"/>
    <n v="0.1"/>
    <n v="3"/>
    <n v="4"/>
    <s v="No"/>
    <s v="Store"/>
    <s v="Card"/>
    <s v="Individual"/>
    <s v="London"/>
    <s v="Home &amp; Kitchen"/>
    <x v="29"/>
    <n v="1"/>
    <s v="Blender"/>
    <n v="58.094999999999999"/>
    <n v="36.090000000000003"/>
    <n v="22.004999999999995"/>
    <n v="0.37877614252517422"/>
  </r>
  <r>
    <s v="BC-101538"/>
    <d v="2025-09-16T00:00:00"/>
    <s v="South"/>
    <s v="Small Business"/>
    <s v="Furniture"/>
    <s v="Office Chair"/>
    <n v="2"/>
    <n v="180.05"/>
    <n v="116.18"/>
    <n v="0.05"/>
    <n v="4"/>
    <n v="4"/>
    <s v="No"/>
    <s v="Store"/>
    <s v="Bank Transfer"/>
    <s v="Small Business"/>
    <s v="South"/>
    <s v="Furniture"/>
    <x v="285"/>
    <n v="1"/>
    <s v="Office Chair"/>
    <n v="342.09500000000003"/>
    <n v="232.36"/>
    <n v="109.73500000000001"/>
    <n v="0.32077346935792689"/>
  </r>
  <r>
    <s v="BC-100660"/>
    <d v="2025-08-08T00:00:00"/>
    <s v="London"/>
    <s v="Individual"/>
    <s v="Electronics"/>
    <s v="Wireless Headset"/>
    <n v="1"/>
    <n v="61.93"/>
    <n v="34.6"/>
    <n v="0"/>
    <n v="1"/>
    <n v="4"/>
    <s v="No"/>
    <s v="Store"/>
    <s v="Digital Wallet"/>
    <s v="Individual"/>
    <s v="London"/>
    <s v="Electronics"/>
    <x v="74"/>
    <n v="1"/>
    <s v="Wireless Headset"/>
    <n v="61.93"/>
    <n v="34.6"/>
    <n v="27.33"/>
    <n v="0.44130469885354429"/>
  </r>
  <r>
    <s v="BC-101075"/>
    <d v="2025-01-18T00:00:00"/>
    <s v="London"/>
    <s v="Individual"/>
    <s v="Office"/>
    <s v="Wireless Mouse"/>
    <n v="2"/>
    <n v="35.270000000000003"/>
    <n v="16.510000000000002"/>
    <n v="0"/>
    <n v="3"/>
    <n v="5"/>
    <s v="No"/>
    <s v="Online"/>
    <s v="Card"/>
    <s v="Individual"/>
    <s v="London"/>
    <s v="Office"/>
    <x v="362"/>
    <n v="1"/>
    <s v="Wireless Mouse"/>
    <n v="70.540000000000006"/>
    <n v="33.020000000000003"/>
    <n v="37.520000000000003"/>
    <n v="0.53189679614403174"/>
  </r>
  <r>
    <s v="BC-100503"/>
    <d v="2025-06-22T00:00:00"/>
    <s v="London"/>
    <s v="Individual"/>
    <s v="Electronics"/>
    <s v="Portable Speaker"/>
    <n v="1"/>
    <n v="75.72"/>
    <n v="41.91"/>
    <n v="0"/>
    <n v="0"/>
    <n v="4"/>
    <s v="No"/>
    <s v="Store"/>
    <s v="Bank Transfer"/>
    <s v="Individual"/>
    <s v="London"/>
    <s v="Electronics"/>
    <x v="154"/>
    <n v="1"/>
    <s v="Portable Speaker"/>
    <n v="75.72"/>
    <n v="41.91"/>
    <n v="33.81"/>
    <n v="0.44651347068145802"/>
  </r>
  <r>
    <s v="BC-101444"/>
    <d v="2025-09-05T00:00:00"/>
    <s v="South"/>
    <s v="Individual"/>
    <s v="Furniture"/>
    <s v="Bookshelf"/>
    <n v="3"/>
    <n v="122.85"/>
    <n v="73.400000000000006"/>
    <n v="0.2"/>
    <n v="6"/>
    <n v="3"/>
    <s v="No"/>
    <s v="Store"/>
    <s v="Digital Wallet"/>
    <s v="Individual"/>
    <s v="South"/>
    <s v="Furniture"/>
    <x v="134"/>
    <n v="1"/>
    <s v="Bookshelf"/>
    <n v="294.83999999999997"/>
    <n v="220.20000000000002"/>
    <n v="74.639999999999958"/>
    <n v="0.25315425315425305"/>
  </r>
  <r>
    <s v="BC-100592"/>
    <d v="2025-06-27T00:00:00"/>
    <s v="London"/>
    <s v="Individual"/>
    <s v="Home &amp; Kitchen"/>
    <s v="Blender"/>
    <n v="2"/>
    <n v="64.239999999999995"/>
    <n v="34.909999999999997"/>
    <n v="0.05"/>
    <n v="0"/>
    <n v="4"/>
    <s v="No"/>
    <s v="Store"/>
    <s v="Card"/>
    <s v="Individual"/>
    <s v="London"/>
    <s v="Home &amp; Kitchen"/>
    <x v="56"/>
    <n v="1"/>
    <s v="Blender"/>
    <n v="122.05599999999998"/>
    <n v="69.819999999999993"/>
    <n v="52.23599999999999"/>
    <n v="0.42796749033230647"/>
  </r>
  <r>
    <s v="BC-101410"/>
    <d v="2025-06-22T00:00:00"/>
    <s v="London"/>
    <s v="Individual"/>
    <s v="Electronics"/>
    <s v="Wireless Headset"/>
    <n v="2"/>
    <n v="59.7"/>
    <n v="34.049999999999997"/>
    <n v="0"/>
    <n v="3"/>
    <n v="4"/>
    <s v="No"/>
    <s v="Phone"/>
    <s v="Bank Transfer"/>
    <s v="Individual"/>
    <s v="London"/>
    <s v="Electronics"/>
    <x v="154"/>
    <n v="1"/>
    <s v="Wireless Headset"/>
    <n v="119.4"/>
    <n v="68.099999999999994"/>
    <n v="51.300000000000011"/>
    <n v="0.42964824120603023"/>
  </r>
  <r>
    <s v="BC-101542"/>
    <d v="2025-07-26T00:00:00"/>
    <s v="North"/>
    <s v="Individual"/>
    <s v="Furniture"/>
    <s v="Office Chair"/>
    <n v="2"/>
    <n v="179.76"/>
    <n v="111.82"/>
    <n v="0.05"/>
    <n v="8"/>
    <n v="2"/>
    <s v="Yes"/>
    <s v="Online"/>
    <s v="Card"/>
    <s v="Individual"/>
    <s v="North"/>
    <s v="Furniture"/>
    <x v="352"/>
    <n v="1"/>
    <s v="Office Chair"/>
    <n v="341.54399999999998"/>
    <n v="223.64"/>
    <n v="117.904"/>
    <n v="0.3452088164336074"/>
  </r>
  <r>
    <s v="BC-101737"/>
    <d v="2025-04-03T00:00:00"/>
    <s v="Midlands"/>
    <s v="Individual"/>
    <s v="Electronics"/>
    <s v="Portable Speaker"/>
    <n v="1"/>
    <n v="75.16"/>
    <n v="44.63"/>
    <n v="0.05"/>
    <n v="6"/>
    <n v="3"/>
    <s v="No"/>
    <s v="Online"/>
    <s v="Card"/>
    <s v="Individual"/>
    <s v="Midlands"/>
    <s v="Electronics"/>
    <x v="19"/>
    <n v="1"/>
    <s v="Portable Speaker"/>
    <n v="71.401999999999987"/>
    <n v="44.63"/>
    <n v="26.771999999999984"/>
    <n v="0.37494748046273196"/>
  </r>
  <r>
    <s v="BC-100581"/>
    <d v="2025-08-12T00:00:00"/>
    <s v="Midlands"/>
    <s v="Individual"/>
    <s v="Electronics"/>
    <s v="Wireless Headset"/>
    <n v="2"/>
    <n v="62.19"/>
    <n v="33.9"/>
    <n v="0.05"/>
    <n v="1"/>
    <n v="5"/>
    <s v="No"/>
    <s v="Online"/>
    <s v="Card"/>
    <s v="Individual"/>
    <s v="Midlands"/>
    <s v="Electronics"/>
    <x v="268"/>
    <n v="1"/>
    <s v="Wireless Headset"/>
    <n v="118.16099999999999"/>
    <n v="67.8"/>
    <n v="50.36099999999999"/>
    <n v="0.42620661639627283"/>
  </r>
  <r>
    <s v="BC-100310"/>
    <d v="2025-04-09T00:00:00"/>
    <s v="North"/>
    <s v="Individual"/>
    <s v="Home &amp; Kitchen"/>
    <s v="Blender"/>
    <n v="3"/>
    <n v="63.58"/>
    <n v="35.619999999999997"/>
    <n v="0.05"/>
    <n v="6"/>
    <n v="4"/>
    <s v="No"/>
    <s v="Online"/>
    <s v="Bank Transfer"/>
    <s v="Individual"/>
    <s v="North"/>
    <s v="Home &amp; Kitchen"/>
    <x v="359"/>
    <n v="1"/>
    <s v="Blender"/>
    <n v="181.203"/>
    <n v="106.85999999999999"/>
    <n v="74.343000000000018"/>
    <n v="0.41027466432674964"/>
  </r>
  <r>
    <s v="BC-100923"/>
    <d v="2025-10-03T00:00:00"/>
    <s v="Midlands"/>
    <s v="Corporate"/>
    <s v="Home &amp; Kitchen"/>
    <s v="Blender"/>
    <n v="10"/>
    <n v="65.52"/>
    <n v="34.26"/>
    <n v="0.05"/>
    <n v="3"/>
    <n v="4"/>
    <s v="No"/>
    <s v="Store"/>
    <s v="Card"/>
    <s v="Corporate"/>
    <s v="Midlands"/>
    <s v="Home &amp; Kitchen"/>
    <x v="358"/>
    <n v="1"/>
    <s v="Blender"/>
    <n v="622.43999999999994"/>
    <n v="342.59999999999997"/>
    <n v="279.83999999999997"/>
    <n v="0.44958550221708116"/>
  </r>
  <r>
    <s v="BC-100398"/>
    <d v="2025-09-28T00:00:00"/>
    <s v="London"/>
    <s v="Individual"/>
    <s v="Home &amp; Kitchen"/>
    <s v="Air Fryer"/>
    <n v="1"/>
    <n v="111.12"/>
    <n v="68.569999999999993"/>
    <n v="0.1"/>
    <n v="4"/>
    <n v="4"/>
    <s v="No"/>
    <s v="Online"/>
    <s v="Bank Transfer"/>
    <s v="Individual"/>
    <s v="London"/>
    <s v="Home &amp; Kitchen"/>
    <x v="169"/>
    <n v="1"/>
    <s v="Air Fryer"/>
    <n v="100.00800000000001"/>
    <n v="68.569999999999993"/>
    <n v="31.438000000000017"/>
    <n v="0.31435485161187121"/>
  </r>
  <r>
    <s v="BC-101238"/>
    <d v="2025-08-13T00:00:00"/>
    <s v="London"/>
    <s v="Individual"/>
    <s v="Home &amp; Kitchen"/>
    <s v="Blender"/>
    <n v="1"/>
    <n v="63.72"/>
    <n v="36.58"/>
    <n v="0"/>
    <n v="1"/>
    <n v="4"/>
    <s v="No"/>
    <s v="Store"/>
    <s v="Card"/>
    <s v="Individual"/>
    <s v="London"/>
    <s v="Home &amp; Kitchen"/>
    <x v="261"/>
    <n v="1"/>
    <s v="Blender"/>
    <n v="63.72"/>
    <n v="36.58"/>
    <n v="27.14"/>
    <n v="0.42592592592592593"/>
  </r>
  <r>
    <s v="BC-101700"/>
    <d v="2025-03-06T00:00:00"/>
    <s v="Midlands"/>
    <s v="Individual"/>
    <s v="Electronics"/>
    <s v="Portable Speaker"/>
    <n v="1"/>
    <n v="76.41"/>
    <n v="42.92"/>
    <n v="0.05"/>
    <n v="4"/>
    <n v="4"/>
    <s v="No"/>
    <s v="Phone"/>
    <s v="Card"/>
    <s v="Individual"/>
    <s v="Midlands"/>
    <s v="Electronics"/>
    <x v="275"/>
    <n v="1"/>
    <s v="Portable Speaker"/>
    <n v="72.589499999999987"/>
    <n v="42.92"/>
    <n v="29.669499999999985"/>
    <n v="0.40872991272842479"/>
  </r>
  <r>
    <s v="BC-100653"/>
    <d v="2025-04-18T00:00:00"/>
    <s v="Midlands"/>
    <s v="Individual"/>
    <s v="Furniture"/>
    <s v="Bookshelf"/>
    <n v="1"/>
    <n v="119.49"/>
    <n v="73.099999999999994"/>
    <n v="0"/>
    <n v="7"/>
    <n v="3"/>
    <s v="No"/>
    <s v="Online"/>
    <s v="Card"/>
    <s v="Individual"/>
    <s v="Midlands"/>
    <s v="Furniture"/>
    <x v="72"/>
    <n v="1"/>
    <s v="Bookshelf"/>
    <n v="119.49"/>
    <n v="73.099999999999994"/>
    <n v="46.39"/>
    <n v="0.38823332496443219"/>
  </r>
  <r>
    <s v="BC-101664"/>
    <d v="2025-04-21T00:00:00"/>
    <s v="London"/>
    <s v="Individual"/>
    <s v="Office"/>
    <s v="Wireless Mouse"/>
    <n v="1"/>
    <n v="34.43"/>
    <n v="17.739999999999998"/>
    <n v="0.05"/>
    <n v="1"/>
    <n v="4"/>
    <s v="No"/>
    <s v="Store"/>
    <s v="Card"/>
    <s v="Individual"/>
    <s v="London"/>
    <s v="Office"/>
    <x v="29"/>
    <n v="1"/>
    <s v="Wireless Mouse"/>
    <n v="32.708500000000001"/>
    <n v="17.739999999999998"/>
    <n v="14.968500000000002"/>
    <n v="0.4576333369001942"/>
  </r>
  <r>
    <s v="BC-101230"/>
    <d v="2025-03-09T00:00:00"/>
    <s v="London"/>
    <s v="Corporate"/>
    <s v="Furniture"/>
    <s v="Side Table"/>
    <n v="3"/>
    <n v="92.23"/>
    <n v="56.2"/>
    <n v="0.1"/>
    <n v="6"/>
    <n v="4"/>
    <s v="No"/>
    <s v="Online"/>
    <s v="Bank Transfer"/>
    <s v="Corporate"/>
    <s v="London"/>
    <s v="Furniture"/>
    <x v="92"/>
    <n v="1"/>
    <s v="Side Table"/>
    <n v="249.02100000000002"/>
    <n v="168.60000000000002"/>
    <n v="80.420999999999992"/>
    <n v="0.32294866697989322"/>
  </r>
  <r>
    <s v="BC-101625"/>
    <d v="2025-07-30T00:00:00"/>
    <s v="North"/>
    <s v="Corporate"/>
    <s v="Office"/>
    <s v="Laptop Stand"/>
    <n v="10"/>
    <n v="45.3"/>
    <n v="21.23"/>
    <n v="0.05"/>
    <n v="0"/>
    <n v="4"/>
    <s v="No"/>
    <s v="Store"/>
    <s v="Card"/>
    <s v="Corporate"/>
    <s v="North"/>
    <s v="Office"/>
    <x v="193"/>
    <n v="1"/>
    <s v="Laptop Stand"/>
    <n v="430.34999999999997"/>
    <n v="212.3"/>
    <n v="218.04999999999995"/>
    <n v="0.50668060880678512"/>
  </r>
  <r>
    <s v="BC-100279"/>
    <d v="2025-12-19T00:00:00"/>
    <s v="Midlands"/>
    <s v="Individual"/>
    <s v="Home &amp; Kitchen"/>
    <s v="Air Fryer"/>
    <n v="1"/>
    <n v="109.26"/>
    <n v="65.94"/>
    <n v="0.1"/>
    <n v="4"/>
    <n v="4"/>
    <s v="No"/>
    <s v="Online"/>
    <s v="Digital Wallet"/>
    <s v="Individual"/>
    <s v="Midlands"/>
    <s v="Home &amp; Kitchen"/>
    <x v="18"/>
    <n v="1"/>
    <s v="Air Fryer"/>
    <n v="98.334000000000003"/>
    <n v="65.94"/>
    <n v="32.394000000000005"/>
    <n v="0.32942827506254202"/>
  </r>
  <r>
    <s v="BC-101421"/>
    <d v="2025-02-05T00:00:00"/>
    <s v="North"/>
    <s v="Individual"/>
    <s v="Furniture"/>
    <s v="Office Chair"/>
    <n v="1"/>
    <n v="179.59"/>
    <n v="115.75"/>
    <n v="0"/>
    <n v="3"/>
    <n v="4"/>
    <s v="No"/>
    <s v="Online"/>
    <s v="Bank Transfer"/>
    <s v="Individual"/>
    <s v="North"/>
    <s v="Furniture"/>
    <x v="173"/>
    <n v="1"/>
    <s v="Office Chair"/>
    <n v="179.59"/>
    <n v="115.75"/>
    <n v="63.84"/>
    <n v="0.35547636282643802"/>
  </r>
  <r>
    <s v="BC-101044"/>
    <d v="2025-02-05T00:00:00"/>
    <s v="London"/>
    <s v="Small Business"/>
    <s v="Home &amp; Kitchen"/>
    <s v="Air Fryer"/>
    <n v="1"/>
    <n v="108.4"/>
    <n v="65.12"/>
    <n v="0"/>
    <n v="0"/>
    <n v="4"/>
    <s v="No"/>
    <s v="Store"/>
    <s v="Card"/>
    <s v="Small Business"/>
    <s v="London"/>
    <s v="Home &amp; Kitchen"/>
    <x v="173"/>
    <n v="1"/>
    <s v="Air Fryer"/>
    <n v="108.4"/>
    <n v="65.12"/>
    <n v="43.28"/>
    <n v="0.39926199261992618"/>
  </r>
  <r>
    <s v="BC-100178"/>
    <d v="2025-10-31T00:00:00"/>
    <s v="London"/>
    <s v="Small Business"/>
    <s v="Office"/>
    <s v="Desk Lamp"/>
    <n v="4"/>
    <n v="40.770000000000003"/>
    <n v="19.11"/>
    <n v="0.1"/>
    <n v="0"/>
    <n v="4"/>
    <s v="No"/>
    <s v="Store"/>
    <s v="Card"/>
    <s v="Small Business"/>
    <s v="London"/>
    <s v="Office"/>
    <x v="46"/>
    <n v="1"/>
    <s v="Desk Lamp"/>
    <n v="146.77200000000002"/>
    <n v="76.44"/>
    <n v="70.332000000000022"/>
    <n v="0.47919221649905985"/>
  </r>
  <r>
    <s v="BC-100089"/>
    <d v="2025-05-10T00:00:00"/>
    <s v="Midlands"/>
    <s v="Individual"/>
    <s v="Office"/>
    <s v="Desk Lamp"/>
    <n v="1"/>
    <n v="39.43"/>
    <n v="19.63"/>
    <n v="0"/>
    <n v="2"/>
    <n v="5"/>
    <s v="No"/>
    <s v="Store"/>
    <s v="Card"/>
    <s v="Individual"/>
    <s v="Midlands"/>
    <s v="Office"/>
    <x v="191"/>
    <n v="1"/>
    <s v="Desk Lamp"/>
    <n v="39.43"/>
    <n v="19.63"/>
    <n v="19.8"/>
    <n v="0.50215571899568856"/>
  </r>
  <r>
    <s v="BC-101108"/>
    <d v="2025-05-06T00:00:00"/>
    <s v="North"/>
    <s v="Individual"/>
    <s v="Home &amp; Kitchen"/>
    <s v="Air Fryer"/>
    <n v="2"/>
    <n v="107.76"/>
    <n v="70.09"/>
    <n v="0.1"/>
    <n v="3"/>
    <n v="4"/>
    <s v="No"/>
    <s v="Online"/>
    <s v="Digital Wallet"/>
    <s v="Individual"/>
    <s v="North"/>
    <s v="Home &amp; Kitchen"/>
    <x v="168"/>
    <n v="1"/>
    <s v="Air Fryer"/>
    <n v="193.96800000000002"/>
    <n v="140.18"/>
    <n v="53.788000000000011"/>
    <n v="0.27730347273777123"/>
  </r>
  <r>
    <s v="BC-100738"/>
    <d v="2025-12-25T00:00:00"/>
    <s v="London"/>
    <s v="Individual"/>
    <s v="Home &amp; Kitchen"/>
    <s v="Electric Kettle"/>
    <n v="2"/>
    <n v="39.28"/>
    <n v="20.72"/>
    <n v="0.1"/>
    <n v="6"/>
    <n v="4"/>
    <s v="No"/>
    <s v="Online"/>
    <s v="Card"/>
    <s v="Individual"/>
    <s v="London"/>
    <s v="Home &amp; Kitchen"/>
    <x v="28"/>
    <n v="1"/>
    <s v="Electric Kettle"/>
    <n v="70.704000000000008"/>
    <n v="41.44"/>
    <n v="29.26400000000001"/>
    <n v="0.41389454627743844"/>
  </r>
  <r>
    <s v="BC-100862"/>
    <d v="2025-01-06T00:00:00"/>
    <s v="South"/>
    <s v="Small Business"/>
    <s v="Office"/>
    <s v="Laptop Stand"/>
    <n v="3"/>
    <n v="44.26"/>
    <n v="21.68"/>
    <n v="0.05"/>
    <n v="4"/>
    <n v="4"/>
    <s v="No"/>
    <s v="Online"/>
    <s v="Digital Wallet"/>
    <s v="Small Business"/>
    <s v="South"/>
    <s v="Office"/>
    <x v="132"/>
    <n v="1"/>
    <s v="Laptop Stand"/>
    <n v="126.14099999999999"/>
    <n v="65.039999999999992"/>
    <n v="61.100999999999999"/>
    <n v="0.48438651984683812"/>
  </r>
  <r>
    <s v="BC-101853"/>
    <d v="2025-11-09T00:00:00"/>
    <s v="Midlands"/>
    <s v="Individual"/>
    <s v="Electronics"/>
    <s v="Wireless Headset"/>
    <n v="3"/>
    <n v="61.39"/>
    <n v="33.31"/>
    <n v="0.05"/>
    <n v="0"/>
    <n v="5"/>
    <s v="No"/>
    <s v="Store"/>
    <s v="Bank Transfer"/>
    <s v="Individual"/>
    <s v="Midlands"/>
    <s v="Electronics"/>
    <x v="67"/>
    <n v="1"/>
    <s v="Wireless Headset"/>
    <n v="174.9615"/>
    <n v="99.93"/>
    <n v="75.031499999999994"/>
    <n v="0.42884577464184975"/>
  </r>
  <r>
    <s v="BC-100296"/>
    <d v="2025-06-07T00:00:00"/>
    <s v="South"/>
    <s v="Individual"/>
    <s v="Electronics"/>
    <s v="Portable Speaker"/>
    <n v="1"/>
    <n v="74.459999999999994"/>
    <n v="42.16"/>
    <n v="0.15000000000000002"/>
    <n v="6"/>
    <n v="2"/>
    <s v="Yes"/>
    <s v="Online"/>
    <s v="Card"/>
    <s v="Individual"/>
    <s v="South"/>
    <s v="Electronics"/>
    <x v="98"/>
    <n v="1"/>
    <s v="Portable Speaker"/>
    <n v="63.29099999999999"/>
    <n v="42.16"/>
    <n v="21.130999999999993"/>
    <n v="0.3338705345151759"/>
  </r>
  <r>
    <s v="BC-101952"/>
    <d v="2025-03-12T00:00:00"/>
    <s v="South"/>
    <s v="Individual"/>
    <s v="Electronics"/>
    <s v="Portable Speaker"/>
    <n v="1"/>
    <n v="74.02"/>
    <n v="44.32"/>
    <n v="0"/>
    <n v="8"/>
    <n v="3"/>
    <s v="No"/>
    <s v="Phone"/>
    <s v="Digital Wallet"/>
    <s v="Individual"/>
    <s v="South"/>
    <s v="Electronics"/>
    <x v="45"/>
    <n v="1"/>
    <s v="Portable Speaker"/>
    <n v="74.02"/>
    <n v="44.32"/>
    <n v="29.699999999999996"/>
    <n v="0.4012429073223453"/>
  </r>
  <r>
    <s v="BC-100961"/>
    <d v="2025-08-22T00:00:00"/>
    <s v="South"/>
    <s v="Individual"/>
    <s v="Furniture"/>
    <s v="Office Chair"/>
    <n v="2"/>
    <n v="179.9"/>
    <n v="113.38"/>
    <n v="0.15000000000000002"/>
    <n v="6"/>
    <n v="4"/>
    <s v="No"/>
    <s v="Online"/>
    <s v="Card"/>
    <s v="Individual"/>
    <s v="South"/>
    <s v="Furniture"/>
    <x v="63"/>
    <n v="1"/>
    <s v="Office Chair"/>
    <n v="305.83"/>
    <n v="226.76"/>
    <n v="79.069999999999993"/>
    <n v="0.25854232743681127"/>
  </r>
  <r>
    <s v="BC-100205"/>
    <d v="2025-06-03T00:00:00"/>
    <s v="London"/>
    <s v="Individual"/>
    <s v="Office"/>
    <s v="Laptop Stand"/>
    <n v="2"/>
    <n v="43.83"/>
    <n v="20.88"/>
    <n v="0"/>
    <n v="1"/>
    <n v="5"/>
    <s v="No"/>
    <s v="Store"/>
    <s v="Card"/>
    <s v="Individual"/>
    <s v="London"/>
    <s v="Office"/>
    <x v="341"/>
    <n v="1"/>
    <s v="Laptop Stand"/>
    <n v="87.66"/>
    <n v="41.76"/>
    <n v="45.9"/>
    <n v="0.52361396303901442"/>
  </r>
  <r>
    <s v="BC-101505"/>
    <d v="2025-08-12T00:00:00"/>
    <s v="South"/>
    <s v="Individual"/>
    <s v="Furniture"/>
    <s v="Bookshelf"/>
    <n v="1"/>
    <n v="119.09"/>
    <n v="74.349999999999994"/>
    <n v="0.05"/>
    <n v="7"/>
    <n v="4"/>
    <s v="No"/>
    <s v="Store"/>
    <s v="Card"/>
    <s v="Individual"/>
    <s v="South"/>
    <s v="Furniture"/>
    <x v="268"/>
    <n v="1"/>
    <s v="Bookshelf"/>
    <n v="113.13549999999999"/>
    <n v="74.349999999999994"/>
    <n v="38.785499999999999"/>
    <n v="0.342823428543649"/>
  </r>
  <r>
    <s v="BC-100163"/>
    <d v="2025-10-22T00:00:00"/>
    <s v="London"/>
    <s v="Individual"/>
    <s v="Electronics"/>
    <s v="Portable Speaker"/>
    <n v="2"/>
    <n v="75.52"/>
    <n v="42.02"/>
    <n v="0.05"/>
    <n v="5"/>
    <n v="5"/>
    <s v="No"/>
    <s v="Online"/>
    <s v="Card"/>
    <s v="Individual"/>
    <s v="London"/>
    <s v="Electronics"/>
    <x v="147"/>
    <n v="1"/>
    <s v="Portable Speaker"/>
    <n v="143.488"/>
    <n v="84.04"/>
    <n v="59.447999999999993"/>
    <n v="0.41430642283675284"/>
  </r>
  <r>
    <s v="BC-100703"/>
    <d v="2025-05-15T00:00:00"/>
    <s v="London"/>
    <s v="Individual"/>
    <s v="Office"/>
    <s v="Ergonomic Keyboard"/>
    <n v="1"/>
    <n v="72.52"/>
    <n v="39.58"/>
    <n v="0.05"/>
    <n v="5"/>
    <n v="4"/>
    <s v="No"/>
    <s v="Online"/>
    <s v="Card"/>
    <s v="Individual"/>
    <s v="London"/>
    <s v="Office"/>
    <x v="47"/>
    <n v="1"/>
    <s v="Ergonomic Keyboard"/>
    <n v="68.893999999999991"/>
    <n v="39.58"/>
    <n v="29.313999999999993"/>
    <n v="0.42549423752431265"/>
  </r>
  <r>
    <s v="BC-101690"/>
    <d v="2025-06-11T00:00:00"/>
    <s v="London"/>
    <s v="Corporate"/>
    <s v="Electronics"/>
    <s v="Portable Speaker"/>
    <n v="5"/>
    <n v="76.59"/>
    <n v="43.71"/>
    <n v="0.1"/>
    <n v="1"/>
    <n v="4"/>
    <s v="No"/>
    <s v="Online"/>
    <s v="Bank Transfer"/>
    <s v="Corporate"/>
    <s v="London"/>
    <s v="Electronics"/>
    <x v="346"/>
    <n v="1"/>
    <s v="Portable Speaker"/>
    <n v="344.65500000000003"/>
    <n v="218.55"/>
    <n v="126.10500000000002"/>
    <n v="0.365887626757192"/>
  </r>
  <r>
    <s v="BC-100484"/>
    <d v="2025-07-15T00:00:00"/>
    <s v="Midlands"/>
    <s v="Individual"/>
    <s v="Home &amp; Kitchen"/>
    <s v="Electric Kettle"/>
    <n v="1"/>
    <n v="40.630000000000003"/>
    <n v="20.5"/>
    <n v="0"/>
    <n v="2"/>
    <n v="4"/>
    <s v="No"/>
    <s v="Online"/>
    <s v="Card"/>
    <s v="Individual"/>
    <s v="Midlands"/>
    <s v="Home &amp; Kitchen"/>
    <x v="239"/>
    <n v="1"/>
    <s v="Electric Kettle"/>
    <n v="40.630000000000003"/>
    <n v="20.5"/>
    <n v="20.130000000000003"/>
    <n v="0.49544671425055381"/>
  </r>
  <r>
    <s v="BC-101611"/>
    <d v="2025-04-30T00:00:00"/>
    <s v="Midlands"/>
    <s v="Small Business"/>
    <s v="Furniture"/>
    <s v="Bookshelf"/>
    <n v="2"/>
    <n v="118.37"/>
    <n v="72.959999999999994"/>
    <n v="0.1"/>
    <n v="4"/>
    <n v="4"/>
    <s v="No"/>
    <s v="Online"/>
    <s v="Card"/>
    <s v="Small Business"/>
    <s v="Midlands"/>
    <s v="Furniture"/>
    <x v="231"/>
    <n v="1"/>
    <s v="Bookshelf"/>
    <n v="213.066"/>
    <n v="145.91999999999999"/>
    <n v="67.146000000000015"/>
    <n v="0.31514178705189949"/>
  </r>
  <r>
    <s v="BC-101234"/>
    <d v="2025-07-03T00:00:00"/>
    <s v="North"/>
    <s v="Individual"/>
    <s v="Electronics"/>
    <s v="Portable Speaker"/>
    <n v="1"/>
    <n v="74.400000000000006"/>
    <n v="43.91"/>
    <n v="0.05"/>
    <n v="3"/>
    <n v="5"/>
    <s v="No"/>
    <s v="Online"/>
    <s v="Card"/>
    <s v="Individual"/>
    <s v="North"/>
    <s v="Electronics"/>
    <x v="152"/>
    <n v="1"/>
    <s v="Portable Speaker"/>
    <n v="70.680000000000007"/>
    <n v="43.91"/>
    <n v="26.77000000000001"/>
    <n v="0.37874929258630458"/>
  </r>
  <r>
    <s v="BC-101245"/>
    <d v="2025-01-06T00:00:00"/>
    <s v="Midlands"/>
    <s v="Individual"/>
    <s v="Electronics"/>
    <s v="Wireless Headset"/>
    <n v="2"/>
    <n v="60.75"/>
    <n v="35.299999999999997"/>
    <n v="0.05"/>
    <n v="4"/>
    <n v="4"/>
    <s v="No"/>
    <s v="Online"/>
    <s v="Card"/>
    <s v="Individual"/>
    <s v="Midlands"/>
    <s v="Electronics"/>
    <x v="132"/>
    <n v="1"/>
    <s v="Wireless Headset"/>
    <n v="115.425"/>
    <n v="70.599999999999994"/>
    <n v="44.825000000000003"/>
    <n v="0.38834741173922466"/>
  </r>
  <r>
    <s v="BC-101148"/>
    <d v="2025-01-15T00:00:00"/>
    <s v="Midlands"/>
    <s v="Small Business"/>
    <s v="Electronics"/>
    <s v="Wireless Headset"/>
    <n v="2"/>
    <n v="59.95"/>
    <n v="34.479999999999997"/>
    <n v="0"/>
    <n v="4"/>
    <n v="5"/>
    <s v="No"/>
    <s v="Online"/>
    <s v="Digital Wallet"/>
    <s v="Small Business"/>
    <s v="Midlands"/>
    <s v="Electronics"/>
    <x v="344"/>
    <n v="1"/>
    <s v="Wireless Headset"/>
    <n v="119.9"/>
    <n v="68.959999999999994"/>
    <n v="50.940000000000012"/>
    <n v="0.42485404503753138"/>
  </r>
  <r>
    <s v="BC-100260"/>
    <d v="2025-05-22T00:00:00"/>
    <s v="North"/>
    <s v="Individual"/>
    <s v="Home &amp; Kitchen"/>
    <s v="Electric Kettle"/>
    <n v="2"/>
    <n v="39.61"/>
    <n v="19.57"/>
    <n v="0.05"/>
    <n v="2"/>
    <n v="4"/>
    <s v="No"/>
    <s v="Online"/>
    <s v="Bank Transfer"/>
    <s v="Individual"/>
    <s v="North"/>
    <s v="Home &amp; Kitchen"/>
    <x v="4"/>
    <n v="1"/>
    <s v="Electric Kettle"/>
    <n v="75.259"/>
    <n v="39.14"/>
    <n v="36.119"/>
    <n v="0.47992931078010603"/>
  </r>
  <r>
    <s v="BC-100840"/>
    <d v="2025-03-25T00:00:00"/>
    <s v="London"/>
    <s v="Corporate"/>
    <s v="Office"/>
    <s v="Laptop Stand"/>
    <n v="4"/>
    <n v="45.19"/>
    <n v="21.42"/>
    <n v="0.05"/>
    <n v="3"/>
    <n v="5"/>
    <s v="No"/>
    <s v="Online"/>
    <s v="Card"/>
    <s v="Corporate"/>
    <s v="London"/>
    <s v="Office"/>
    <x v="117"/>
    <n v="1"/>
    <s v="Laptop Stand"/>
    <n v="171.72199999999998"/>
    <n v="85.68"/>
    <n v="86.041999999999973"/>
    <n v="0.5010540291867086"/>
  </r>
  <r>
    <s v="BC-101010"/>
    <d v="2025-12-07T00:00:00"/>
    <s v="London"/>
    <s v="Individual"/>
    <s v="Office"/>
    <s v="Laptop Stand"/>
    <n v="2"/>
    <n v="44.78"/>
    <n v="20.72"/>
    <n v="0"/>
    <n v="0"/>
    <n v="4"/>
    <s v="No"/>
    <s v="Store"/>
    <s v="Card"/>
    <s v="Individual"/>
    <s v="London"/>
    <s v="Office"/>
    <x v="304"/>
    <n v="1"/>
    <s v="Laptop Stand"/>
    <n v="89.56"/>
    <n v="41.44"/>
    <n v="48.120000000000005"/>
    <n v="0.53729343456900402"/>
  </r>
  <r>
    <s v="BC-100084"/>
    <d v="2025-10-02T00:00:00"/>
    <s v="South"/>
    <s v="Individual"/>
    <s v="Furniture"/>
    <s v="Side Table"/>
    <n v="2"/>
    <n v="92.43"/>
    <n v="53.95"/>
    <n v="0.05"/>
    <n v="7"/>
    <n v="4"/>
    <s v="No"/>
    <s v="Online"/>
    <s v="Card"/>
    <s v="Individual"/>
    <s v="South"/>
    <s v="Furniture"/>
    <x v="263"/>
    <n v="1"/>
    <s v="Side Table"/>
    <n v="175.61700000000002"/>
    <n v="107.9"/>
    <n v="67.717000000000013"/>
    <n v="0.38559478865941227"/>
  </r>
  <r>
    <s v="BC-100633"/>
    <d v="2025-05-09T00:00:00"/>
    <s v="South"/>
    <s v="Small Business"/>
    <s v="Electronics"/>
    <s v="Webcam"/>
    <n v="5"/>
    <n v="49.62"/>
    <n v="26.04"/>
    <n v="0.05"/>
    <n v="5"/>
    <n v="4"/>
    <s v="No"/>
    <s v="Online"/>
    <s v="Bank Transfer"/>
    <s v="Small Business"/>
    <s v="South"/>
    <s v="Electronics"/>
    <x v="334"/>
    <n v="1"/>
    <s v="Webcam"/>
    <n v="235.69499999999999"/>
    <n v="130.19999999999999"/>
    <n v="105.495"/>
    <n v="0.44759116654999048"/>
  </r>
  <r>
    <s v="BC-100082"/>
    <d v="2025-08-27T00:00:00"/>
    <s v="London"/>
    <s v="Corporate"/>
    <s v="Home &amp; Kitchen"/>
    <s v="Blender"/>
    <n v="5"/>
    <n v="64.489999999999995"/>
    <n v="35.700000000000003"/>
    <n v="0.1"/>
    <n v="2"/>
    <n v="4"/>
    <s v="No"/>
    <s v="Online"/>
    <s v="Card"/>
    <s v="Corporate"/>
    <s v="London"/>
    <s v="Home &amp; Kitchen"/>
    <x v="167"/>
    <n v="1"/>
    <s v="Blender"/>
    <n v="290.20499999999998"/>
    <n v="178.5"/>
    <n v="111.70499999999998"/>
    <n v="0.38491755827776913"/>
  </r>
  <r>
    <s v="BC-100100"/>
    <d v="2025-11-23T00:00:00"/>
    <s v="South"/>
    <s v="Corporate"/>
    <s v="Home &amp; Kitchen"/>
    <s v="Blender"/>
    <n v="5"/>
    <n v="65"/>
    <n v="34.99"/>
    <n v="0.2"/>
    <n v="1"/>
    <n v="4"/>
    <s v="No"/>
    <s v="Store"/>
    <s v="Card"/>
    <s v="Corporate"/>
    <s v="South"/>
    <s v="Home &amp; Kitchen"/>
    <x v="259"/>
    <n v="1"/>
    <s v="Blender"/>
    <n v="260"/>
    <n v="174.95000000000002"/>
    <n v="85.049999999999983"/>
    <n v="0.32711538461538453"/>
  </r>
  <r>
    <s v="BC-101192"/>
    <d v="2025-06-23T00:00:00"/>
    <s v="North"/>
    <s v="Individual"/>
    <s v="Office"/>
    <s v="Laptop Stand"/>
    <n v="1"/>
    <n v="44.02"/>
    <n v="21.18"/>
    <n v="0.05"/>
    <n v="3"/>
    <n v="4"/>
    <s v="No"/>
    <s v="Online"/>
    <s v="Digital Wallet"/>
    <s v="Individual"/>
    <s v="North"/>
    <s v="Office"/>
    <x v="41"/>
    <n v="1"/>
    <s v="Laptop Stand"/>
    <n v="41.819000000000003"/>
    <n v="21.18"/>
    <n v="20.639000000000003"/>
    <n v="0.49353164829383778"/>
  </r>
  <r>
    <s v="BC-100029"/>
    <d v="2025-11-06T00:00:00"/>
    <s v="Midlands"/>
    <s v="Individual"/>
    <s v="Office"/>
    <s v="Laptop Stand"/>
    <n v="1"/>
    <n v="45.67"/>
    <n v="20.91"/>
    <n v="0.05"/>
    <n v="3"/>
    <n v="5"/>
    <s v="No"/>
    <s v="Online"/>
    <s v="Digital Wallet"/>
    <s v="Individual"/>
    <s v="Midlands"/>
    <s v="Office"/>
    <x v="176"/>
    <n v="1"/>
    <s v="Laptop Stand"/>
    <n v="43.386499999999998"/>
    <n v="20.91"/>
    <n v="22.476499999999998"/>
    <n v="0.51805285054106687"/>
  </r>
  <r>
    <s v="BC-101517"/>
    <d v="2025-06-04T00:00:00"/>
    <s v="London"/>
    <s v="Individual"/>
    <s v="Home &amp; Kitchen"/>
    <s v="Blender"/>
    <n v="1"/>
    <n v="65.2"/>
    <n v="35.78"/>
    <n v="0.05"/>
    <n v="3"/>
    <n v="4"/>
    <s v="No"/>
    <s v="Store"/>
    <s v="Card"/>
    <s v="Individual"/>
    <s v="London"/>
    <s v="Home &amp; Kitchen"/>
    <x v="175"/>
    <n v="1"/>
    <s v="Blender"/>
    <n v="61.94"/>
    <n v="35.78"/>
    <n v="26.159999999999997"/>
    <n v="0.4223442040684533"/>
  </r>
  <r>
    <s v="BC-100083"/>
    <d v="2025-05-14T00:00:00"/>
    <s v="South"/>
    <s v="Individual"/>
    <s v="Office"/>
    <s v="Laptop Stand"/>
    <n v="1"/>
    <n v="45.93"/>
    <n v="21.86"/>
    <n v="0.05"/>
    <n v="1"/>
    <n v="4"/>
    <s v="No"/>
    <s v="Phone"/>
    <s v="Card"/>
    <s v="Individual"/>
    <s v="South"/>
    <s v="Office"/>
    <x v="159"/>
    <n v="1"/>
    <s v="Laptop Stand"/>
    <n v="43.633499999999998"/>
    <n v="21.86"/>
    <n v="21.773499999999999"/>
    <n v="0.49900878911845253"/>
  </r>
  <r>
    <s v="BC-100162"/>
    <d v="2025-10-17T00:00:00"/>
    <s v="London"/>
    <s v="Individual"/>
    <s v="Office"/>
    <s v="Ergonomic Keyboard"/>
    <n v="1"/>
    <n v="68.87"/>
    <n v="37.979999999999997"/>
    <n v="0.05"/>
    <n v="6"/>
    <n v="4"/>
    <s v="No"/>
    <s v="Online"/>
    <s v="Bank Transfer"/>
    <s v="Individual"/>
    <s v="London"/>
    <s v="Office"/>
    <x v="319"/>
    <n v="1"/>
    <s v="Ergonomic Keyboard"/>
    <n v="65.426500000000004"/>
    <n v="37.979999999999997"/>
    <n v="27.446500000000007"/>
    <n v="0.4195012724201968"/>
  </r>
  <r>
    <s v="BC-101575"/>
    <d v="2025-01-04T00:00:00"/>
    <s v="London"/>
    <s v="Individual"/>
    <s v="Furniture"/>
    <s v="Side Table"/>
    <n v="1"/>
    <n v="90.91"/>
    <n v="55.69"/>
    <n v="0"/>
    <n v="6"/>
    <n v="4"/>
    <s v="No"/>
    <s v="Phone"/>
    <s v="Card"/>
    <s v="Individual"/>
    <s v="London"/>
    <s v="Furniture"/>
    <x v="160"/>
    <n v="1"/>
    <s v="Side Table"/>
    <n v="90.91"/>
    <n v="55.69"/>
    <n v="35.22"/>
    <n v="0.38741612583874163"/>
  </r>
  <r>
    <s v="BC-100489"/>
    <d v="2025-07-13T00:00:00"/>
    <s v="South"/>
    <s v="Individual"/>
    <s v="Electronics"/>
    <s v="Wireless Headset"/>
    <n v="2"/>
    <n v="61.04"/>
    <n v="35.159999999999997"/>
    <n v="0.1"/>
    <n v="7"/>
    <n v="4"/>
    <s v="No"/>
    <s v="Online"/>
    <s v="Card"/>
    <s v="Individual"/>
    <s v="South"/>
    <s v="Electronics"/>
    <x v="244"/>
    <n v="1"/>
    <s v="Wireless Headset"/>
    <n v="109.872"/>
    <n v="70.319999999999993"/>
    <n v="39.552000000000007"/>
    <n v="0.35998252512013984"/>
  </r>
  <r>
    <s v="BC-101433"/>
    <d v="2025-04-08T00:00:00"/>
    <s v="London"/>
    <s v="Individual"/>
    <s v="Office"/>
    <s v="Wireless Mouse"/>
    <n v="2"/>
    <n v="35.68"/>
    <n v="16.62"/>
    <n v="0.05"/>
    <n v="3"/>
    <n v="5"/>
    <s v="No"/>
    <s v="Online"/>
    <s v="Card"/>
    <s v="Individual"/>
    <s v="London"/>
    <s v="Office"/>
    <x v="126"/>
    <n v="1"/>
    <s v="Wireless Mouse"/>
    <n v="67.792000000000002"/>
    <n v="33.24"/>
    <n v="34.552"/>
    <n v="0.50967665801274487"/>
  </r>
  <r>
    <s v="BC-101094"/>
    <d v="2025-03-19T00:00:00"/>
    <s v="London"/>
    <s v="Individual"/>
    <s v="Furniture"/>
    <s v="Office Chair"/>
    <n v="1"/>
    <n v="177.83"/>
    <n v="115.56"/>
    <n v="0"/>
    <n v="5"/>
    <n v="4"/>
    <s v="No"/>
    <s v="Online"/>
    <s v="Digital Wallet"/>
    <s v="Individual"/>
    <s v="London"/>
    <s v="Furniture"/>
    <x v="93"/>
    <n v="1"/>
    <s v="Office Chair"/>
    <n v="177.83"/>
    <n v="115.56"/>
    <n v="62.27000000000001"/>
    <n v="0.35016588877017379"/>
  </r>
  <r>
    <s v="BC-101734"/>
    <s v="26/05/2025"/>
    <s v="North"/>
    <s v="Small Business"/>
    <s v="Electronics"/>
    <s v="SmartHome Hub"/>
    <n v="3"/>
    <n v="129.4"/>
    <n v="81.94"/>
    <n v="0.1"/>
    <n v="2"/>
    <n v="4"/>
    <s v="No"/>
    <s v="Online"/>
    <s v="Card"/>
    <s v="Small Business"/>
    <s v="North"/>
    <s v="Electronics"/>
    <x v="279"/>
    <n v="1"/>
    <s v="SmartHome Hub"/>
    <n v="349.38000000000005"/>
    <n v="245.82"/>
    <n v="103.56000000000006"/>
    <n v="0.29641078481882205"/>
  </r>
  <r>
    <s v="BC-101985"/>
    <d v="2025-03-18T00:00:00"/>
    <s v="London"/>
    <s v="Individual"/>
    <s v="Office"/>
    <s v="Laptop Stand"/>
    <n v="1"/>
    <n v="45.45"/>
    <n v="20.86"/>
    <n v="0"/>
    <n v="0"/>
    <n v="4"/>
    <s v="No"/>
    <s v="Store"/>
    <s v="Digital Wallet"/>
    <s v="Individual"/>
    <s v="London"/>
    <s v="Office"/>
    <x v="348"/>
    <n v="1"/>
    <s v="Laptop Stand"/>
    <n v="45.45"/>
    <n v="20.86"/>
    <n v="24.590000000000003"/>
    <n v="0.54103410341034108"/>
  </r>
  <r>
    <s v="BC-100561"/>
    <d v="2025-11-12T00:00:00"/>
    <s v="London"/>
    <s v="Individual"/>
    <s v="Office"/>
    <s v="Laptop Stand"/>
    <n v="3"/>
    <n v="46.21"/>
    <n v="20.59"/>
    <n v="0.05"/>
    <n v="0"/>
    <n v="5"/>
    <s v="No"/>
    <s v="Store"/>
    <s v="Card"/>
    <s v="Individual"/>
    <s v="London"/>
    <s v="Office"/>
    <x v="61"/>
    <n v="1"/>
    <s v="Laptop Stand"/>
    <n v="131.6985"/>
    <n v="61.769999999999996"/>
    <n v="69.9285"/>
    <n v="0.53097415688105787"/>
  </r>
  <r>
    <s v="BC-100562"/>
    <d v="2025-09-16T00:00:00"/>
    <s v="London"/>
    <s v="Individual"/>
    <s v="Electronics"/>
    <s v="SmartHome Hub"/>
    <n v="4"/>
    <n v="133.85"/>
    <n v="85.2"/>
    <n v="0"/>
    <n v="2"/>
    <n v="4"/>
    <s v="No"/>
    <s v="Online"/>
    <s v="Card"/>
    <s v="Individual"/>
    <s v="London"/>
    <s v="Electronics"/>
    <x v="285"/>
    <n v="1"/>
    <s v="SmartHome Hub"/>
    <n v="535.4"/>
    <n v="340.8"/>
    <n v="194.59999999999997"/>
    <n v="0.36346656705267083"/>
  </r>
  <r>
    <s v="BC-101696"/>
    <d v="2025-10-13T00:00:00"/>
    <s v="Midlands"/>
    <s v="Individual"/>
    <s v="Electronics"/>
    <s v="Portable Speaker"/>
    <n v="1"/>
    <n v="73.69"/>
    <n v="42.96"/>
    <n v="0"/>
    <n v="6"/>
    <n v="3"/>
    <s v="Yes"/>
    <s v="Phone"/>
    <s v="Card"/>
    <s v="Individual"/>
    <s v="Midlands"/>
    <s v="Electronics"/>
    <x v="52"/>
    <n v="1"/>
    <s v="Portable Speaker"/>
    <n v="73.69"/>
    <n v="42.96"/>
    <n v="30.729999999999997"/>
    <n v="0.41701723436015736"/>
  </r>
  <r>
    <s v="BC-101269"/>
    <d v="2025-05-10T00:00:00"/>
    <s v="South"/>
    <s v="Corporate"/>
    <s v="Office"/>
    <s v="Ergonomic Keyboard"/>
    <n v="8"/>
    <n v="72.33"/>
    <n v="38.729999999999997"/>
    <n v="0.1"/>
    <n v="2"/>
    <n v="4"/>
    <s v="No"/>
    <s v="Store"/>
    <s v="Bank Transfer"/>
    <s v="Corporate"/>
    <s v="South"/>
    <s v="Office"/>
    <x v="191"/>
    <n v="1"/>
    <s v="Ergonomic Keyboard"/>
    <n v="520.77599999999995"/>
    <n v="309.83999999999997"/>
    <n v="210.93599999999998"/>
    <n v="0.40504170699110559"/>
  </r>
  <r>
    <s v="BC-100331"/>
    <d v="2025-06-29T00:00:00"/>
    <s v="South"/>
    <s v="Individual"/>
    <s v="Office"/>
    <s v="Wireless Mouse"/>
    <n v="1"/>
    <n v="34.29"/>
    <n v="16.96"/>
    <n v="0.05"/>
    <n v="3"/>
    <n v="4"/>
    <s v="No"/>
    <s v="Online"/>
    <s v="Card"/>
    <s v="Individual"/>
    <s v="South"/>
    <s v="Office"/>
    <x v="57"/>
    <n v="1"/>
    <s v="Wireless Mouse"/>
    <n v="32.575499999999998"/>
    <n v="16.96"/>
    <n v="15.615499999999997"/>
    <n v="0.47936332519838526"/>
  </r>
  <r>
    <s v="BC-101826"/>
    <d v="2025-05-27T00:00:00"/>
    <s v="Midlands"/>
    <s v="Individual"/>
    <s v="Home &amp; Kitchen"/>
    <s v="Coffee Maker"/>
    <n v="1"/>
    <n v="80.31"/>
    <n v="44.99"/>
    <n v="0"/>
    <n v="0"/>
    <n v="4"/>
    <s v="No"/>
    <s v="Store"/>
    <s v="Card"/>
    <s v="Individual"/>
    <s v="Midlands"/>
    <s v="Home &amp; Kitchen"/>
    <x v="224"/>
    <n v="1"/>
    <s v="Coffee Maker"/>
    <n v="80.31"/>
    <n v="44.99"/>
    <n v="35.32"/>
    <n v="0.43979579130867885"/>
  </r>
  <r>
    <s v="BC-101271"/>
    <s v="16/09/2025"/>
    <s v="North"/>
    <s v="Individual"/>
    <s v="Electronics"/>
    <s v="Portable Speaker"/>
    <n v="2"/>
    <n v="74.349999999999994"/>
    <n v="43.44"/>
    <n v="0.05"/>
    <n v="6"/>
    <n v="3"/>
    <s v="No"/>
    <s v="Online"/>
    <s v="Card"/>
    <s v="Individual"/>
    <s v="North"/>
    <s v="Electronics"/>
    <x v="285"/>
    <n v="1"/>
    <s v="Portable Speaker"/>
    <n v="141.26499999999999"/>
    <n v="86.88"/>
    <n v="54.384999999999991"/>
    <n v="0.38498566523908961"/>
  </r>
  <r>
    <s v="BC-100374"/>
    <d v="2025-03-15T00:00:00"/>
    <s v="Midlands"/>
    <s v="Small Business"/>
    <s v="Home &amp; Kitchen"/>
    <s v="Air Fryer"/>
    <n v="3"/>
    <n v="110.79"/>
    <n v="66.540000000000006"/>
    <n v="0"/>
    <n v="3"/>
    <n v="4"/>
    <s v="No"/>
    <s v="Online"/>
    <s v="Card"/>
    <s v="Small Business"/>
    <s v="Midlands"/>
    <s v="Home &amp; Kitchen"/>
    <x v="195"/>
    <n v="1"/>
    <s v="Air Fryer"/>
    <n v="332.37"/>
    <n v="199.62"/>
    <n v="132.75"/>
    <n v="0.39940427836447334"/>
  </r>
  <r>
    <s v="BC-101123"/>
    <d v="2025-06-02T00:00:00"/>
    <s v="North"/>
    <s v="Individual"/>
    <s v="Office"/>
    <s v="Ergonomic Keyboard"/>
    <n v="1"/>
    <n v="71.849999999999994"/>
    <n v="38.47"/>
    <n v="0"/>
    <n v="3"/>
    <n v="4"/>
    <s v="Yes"/>
    <s v="Online"/>
    <s v="Card"/>
    <s v="Individual"/>
    <s v="North"/>
    <s v="Office"/>
    <x v="64"/>
    <n v="1"/>
    <s v="Ergonomic Keyboard"/>
    <n v="71.849999999999994"/>
    <n v="38.47"/>
    <n v="33.379999999999995"/>
    <n v="0.46457898399443281"/>
  </r>
  <r>
    <s v="BC-100010"/>
    <d v="2025-02-06T00:00:00"/>
    <s v="London"/>
    <s v="Corporate"/>
    <s v="Home &amp; Kitchen"/>
    <s v="Blender"/>
    <n v="6"/>
    <n v="65.290000000000006"/>
    <n v="34.1"/>
    <n v="0.05"/>
    <n v="2"/>
    <n v="4"/>
    <s v="No"/>
    <s v="Store"/>
    <s v="Card"/>
    <s v="Corporate"/>
    <s v="London"/>
    <s v="Home &amp; Kitchen"/>
    <x v="121"/>
    <n v="1"/>
    <s v="Blender"/>
    <n v="372.15299999999996"/>
    <n v="204.60000000000002"/>
    <n v="167.55299999999994"/>
    <n v="0.45022611667781787"/>
  </r>
  <r>
    <s v="BC-101916"/>
    <d v="2025-04-27T00:00:00"/>
    <s v="London"/>
    <s v="Individual"/>
    <s v="Home &amp; Kitchen"/>
    <s v="Air Fryer"/>
    <n v="1"/>
    <n v="111.5"/>
    <n v="65.959999999999994"/>
    <n v="0.1"/>
    <n v="2"/>
    <n v="4"/>
    <s v="No"/>
    <s v="Online"/>
    <s v="Card"/>
    <s v="Individual"/>
    <s v="London"/>
    <s v="Home &amp; Kitchen"/>
    <x v="233"/>
    <n v="1"/>
    <s v="Air Fryer"/>
    <n v="100.35000000000001"/>
    <n v="65.959999999999994"/>
    <n v="34.390000000000015"/>
    <n v="0.34270054808171413"/>
  </r>
  <r>
    <s v="BC-100758"/>
    <d v="2025-10-23T00:00:00"/>
    <s v="London"/>
    <s v="Small Business"/>
    <s v="Electronics"/>
    <s v="Webcam"/>
    <n v="4"/>
    <n v="51.58"/>
    <n v="27.15"/>
    <n v="0.1"/>
    <n v="0"/>
    <n v="4"/>
    <s v="No"/>
    <s v="Store"/>
    <s v="Card"/>
    <s v="Small Business"/>
    <s v="London"/>
    <s v="Electronics"/>
    <x v="212"/>
    <n v="1"/>
    <s v="Webcam"/>
    <n v="185.68799999999999"/>
    <n v="108.6"/>
    <n v="77.087999999999994"/>
    <n v="0.41514799017707121"/>
  </r>
  <r>
    <s v="BC-101656"/>
    <d v="2025-04-03T00:00:00"/>
    <s v="London"/>
    <s v="Individual"/>
    <s v="Home &amp; Kitchen"/>
    <s v="Air Fryer"/>
    <n v="3"/>
    <n v="111.44"/>
    <n v="70.2"/>
    <n v="0.05"/>
    <n v="3"/>
    <n v="5"/>
    <s v="No"/>
    <s v="Online"/>
    <s v="Card"/>
    <s v="Individual"/>
    <s v="London"/>
    <s v="Home &amp; Kitchen"/>
    <x v="19"/>
    <n v="1"/>
    <s v="Air Fryer"/>
    <n v="317.60399999999998"/>
    <n v="210.60000000000002"/>
    <n v="107.00399999999996"/>
    <n v="0.33691011448218527"/>
  </r>
  <r>
    <s v="BC-100311"/>
    <d v="2025-08-31T00:00:00"/>
    <s v="North"/>
    <s v="Individual"/>
    <s v="Office"/>
    <s v="Wireless Mouse"/>
    <n v="1"/>
    <n v="34.67"/>
    <n v="17.309999999999999"/>
    <n v="0.05"/>
    <n v="2"/>
    <n v="5"/>
    <s v="No"/>
    <s v="Online"/>
    <s v="Bank Transfer"/>
    <s v="Individual"/>
    <s v="North"/>
    <s v="Office"/>
    <x v="308"/>
    <n v="1"/>
    <s v="Wireless Mouse"/>
    <n v="32.936500000000002"/>
    <n v="17.309999999999999"/>
    <n v="15.626500000000004"/>
    <n v="0.47444324685379452"/>
  </r>
  <r>
    <s v="BC-101325"/>
    <d v="2025-08-17T00:00:00"/>
    <s v="Midlands"/>
    <s v="Individual"/>
    <s v="Office"/>
    <s v="Laptop Stand"/>
    <n v="3"/>
    <n v="45.81"/>
    <n v="20.440000000000001"/>
    <n v="0.05"/>
    <n v="1"/>
    <n v="4"/>
    <s v="No"/>
    <s v="Phone"/>
    <s v="Card"/>
    <s v="Individual"/>
    <s v="Midlands"/>
    <s v="Office"/>
    <x v="12"/>
    <n v="1"/>
    <s v="Laptop Stand"/>
    <n v="130.55850000000001"/>
    <n v="61.320000000000007"/>
    <n v="69.238500000000002"/>
    <n v="0.53032548627626697"/>
  </r>
  <r>
    <s v="BC-101241"/>
    <d v="2025-05-19T00:00:00"/>
    <s v="South"/>
    <s v="Individual"/>
    <s v="Electronics"/>
    <s v="Webcam"/>
    <n v="1"/>
    <n v="51.31"/>
    <n v="26.25"/>
    <n v="0.1"/>
    <n v="5"/>
    <n v="5"/>
    <s v="No"/>
    <s v="Online"/>
    <s v="Digital Wallet"/>
    <s v="Individual"/>
    <s v="South"/>
    <s v="Electronics"/>
    <x v="257"/>
    <n v="1"/>
    <s v="Webcam"/>
    <n v="46.179000000000002"/>
    <n v="26.25"/>
    <n v="19.929000000000002"/>
    <n v="0.43155979990904958"/>
  </r>
  <r>
    <s v="BC-100068"/>
    <d v="2025-08-29T00:00:00"/>
    <s v="South"/>
    <s v="Small Business"/>
    <s v="Home &amp; Kitchen"/>
    <s v="Electric Kettle"/>
    <n v="2"/>
    <n v="40.06"/>
    <n v="20.34"/>
    <n v="0.1"/>
    <n v="0"/>
    <n v="5"/>
    <s v="No"/>
    <s v="Store"/>
    <s v="Card"/>
    <s v="Small Business"/>
    <s v="South"/>
    <s v="Home &amp; Kitchen"/>
    <x v="309"/>
    <n v="1"/>
    <s v="Electric Kettle"/>
    <n v="72.108000000000004"/>
    <n v="40.68"/>
    <n v="31.428000000000004"/>
    <n v="0.43584623065401901"/>
  </r>
  <r>
    <s v="BC-101795"/>
    <d v="2025-11-05T00:00:00"/>
    <s v="London"/>
    <s v="Individual"/>
    <s v="Electronics"/>
    <s v="Webcam"/>
    <n v="1"/>
    <n v="51.55"/>
    <n v="25.8"/>
    <n v="0.05"/>
    <n v="2"/>
    <n v="5"/>
    <s v="No"/>
    <s v="Phone"/>
    <s v="Card"/>
    <s v="Individual"/>
    <s v="London"/>
    <s v="Electronics"/>
    <x v="347"/>
    <n v="1"/>
    <s v="Webcam"/>
    <n v="48.972499999999997"/>
    <n v="25.8"/>
    <n v="23.172499999999996"/>
    <n v="0.47317371994486696"/>
  </r>
  <r>
    <s v="BC-100165"/>
    <d v="2025-11-07T00:00:00"/>
    <s v="Midlands"/>
    <s v="Small Business"/>
    <s v="Furniture"/>
    <s v="Storage Cabinet"/>
    <n v="1"/>
    <n v="157.16"/>
    <n v="103.29"/>
    <n v="0"/>
    <n v="5"/>
    <n v="4"/>
    <s v="No"/>
    <s v="Online"/>
    <s v="Card"/>
    <s v="Small Business"/>
    <s v="Midlands"/>
    <s v="Furniture"/>
    <x v="182"/>
    <n v="1"/>
    <s v="Storage Cabinet"/>
    <n v="157.16"/>
    <n v="103.29"/>
    <n v="53.86999999999999"/>
    <n v="0.34277169763298543"/>
  </r>
  <r>
    <s v="BC-100613"/>
    <d v="2025-03-16T00:00:00"/>
    <s v="London"/>
    <s v="Individual"/>
    <s v="Electronics"/>
    <s v="SmartHome Hub"/>
    <n v="1"/>
    <n v="134.62"/>
    <n v="83.59"/>
    <n v="0"/>
    <n v="3"/>
    <n v="3"/>
    <s v="Yes"/>
    <s v="Online"/>
    <s v="Card"/>
    <s v="Individual"/>
    <s v="London"/>
    <s v="Electronics"/>
    <x v="324"/>
    <n v="1"/>
    <s v="SmartHome Hub"/>
    <n v="134.62"/>
    <n v="83.59"/>
    <n v="51.03"/>
    <n v="0.37906700341702571"/>
  </r>
  <r>
    <s v="BC-100365"/>
    <d v="2025-01-28T00:00:00"/>
    <s v="London"/>
    <s v="Individual"/>
    <s v="Electronics"/>
    <s v="SmartHome Hub"/>
    <n v="1"/>
    <n v="129.44999999999999"/>
    <n v="87.43"/>
    <n v="0.1"/>
    <n v="3"/>
    <n v="4"/>
    <s v="No"/>
    <s v="Online"/>
    <s v="Card"/>
    <s v="Individual"/>
    <s v="London"/>
    <s v="Electronics"/>
    <x v="228"/>
    <n v="1"/>
    <s v="SmartHome Hub"/>
    <n v="116.505"/>
    <n v="87.43"/>
    <n v="29.074999999999989"/>
    <n v="0.2495601047165357"/>
  </r>
  <r>
    <s v="BC-101799"/>
    <d v="2025-12-26T00:00:00"/>
    <s v="North"/>
    <s v="Individual"/>
    <s v="Home &amp; Kitchen"/>
    <s v="Coffee Maker"/>
    <n v="1"/>
    <n v="80.27"/>
    <n v="45.49"/>
    <n v="0.1"/>
    <n v="4"/>
    <n v="3"/>
    <s v="Yes"/>
    <s v="Online"/>
    <s v="Card"/>
    <s v="Individual"/>
    <s v="North"/>
    <s v="Home &amp; Kitchen"/>
    <x v="215"/>
    <n v="1"/>
    <s v="Coffee Maker"/>
    <n v="72.242999999999995"/>
    <n v="45.49"/>
    <n v="26.752999999999993"/>
    <n v="0.37031961574131744"/>
  </r>
  <r>
    <s v="BC-101404"/>
    <d v="2025-10-12T00:00:00"/>
    <s v="London"/>
    <s v="Individual"/>
    <s v="Office"/>
    <s v="Laptop Stand"/>
    <n v="1"/>
    <n v="44.62"/>
    <n v="20.71"/>
    <n v="0.1"/>
    <n v="4"/>
    <n v="5"/>
    <s v="No"/>
    <s v="Online"/>
    <s v="Card"/>
    <s v="Individual"/>
    <s v="London"/>
    <s v="Office"/>
    <x v="266"/>
    <n v="1"/>
    <s v="Laptop Stand"/>
    <n v="40.158000000000001"/>
    <n v="20.71"/>
    <n v="19.448"/>
    <n v="0.48428706608894867"/>
  </r>
  <r>
    <s v="BC-101082"/>
    <d v="2025-06-27T00:00:00"/>
    <s v="London"/>
    <s v="Individual"/>
    <s v="Furniture"/>
    <s v="Side Table"/>
    <n v="1"/>
    <n v="87.8"/>
    <n v="55.17"/>
    <n v="0.05"/>
    <n v="5"/>
    <n v="4"/>
    <s v="No"/>
    <s v="Store"/>
    <s v="Bank Transfer"/>
    <s v="Individual"/>
    <s v="London"/>
    <s v="Furniture"/>
    <x v="56"/>
    <n v="1"/>
    <s v="Side Table"/>
    <n v="83.41"/>
    <n v="55.17"/>
    <n v="28.239999999999995"/>
    <n v="0.33856851696439272"/>
  </r>
  <r>
    <s v="BC-101530"/>
    <d v="2025-05-19T00:00:00"/>
    <s v="South"/>
    <s v="Individual"/>
    <s v="Office"/>
    <s v="Desk Lamp"/>
    <n v="1"/>
    <n v="38.99"/>
    <n v="19.78"/>
    <n v="0.15000000000000002"/>
    <n v="4"/>
    <n v="4"/>
    <s v="No"/>
    <s v="Online"/>
    <s v="Card"/>
    <s v="Individual"/>
    <s v="South"/>
    <s v="Office"/>
    <x v="257"/>
    <n v="1"/>
    <s v="Desk Lamp"/>
    <n v="33.141500000000001"/>
    <n v="19.78"/>
    <n v="13.361499999999999"/>
    <n v="0.40316521581702697"/>
  </r>
  <r>
    <s v="BC-100160"/>
    <d v="2025-12-14T00:00:00"/>
    <s v="South"/>
    <s v="Corporate"/>
    <s v="Office"/>
    <s v="Desk Lamp"/>
    <n v="4"/>
    <n v="40.770000000000003"/>
    <n v="18.97"/>
    <n v="0.2"/>
    <n v="4"/>
    <n v="4"/>
    <s v="No"/>
    <s v="Online"/>
    <s v="Card"/>
    <s v="Corporate"/>
    <s v="South"/>
    <s v="Office"/>
    <x v="166"/>
    <n v="1"/>
    <s v="Desk Lamp"/>
    <n v="130.46400000000003"/>
    <n v="75.88"/>
    <n v="54.584000000000032"/>
    <n v="0.41838361540348312"/>
  </r>
  <r>
    <s v="BC-101851"/>
    <d v="2025-07-23T00:00:00"/>
    <s v="Midlands"/>
    <s v="Small Business"/>
    <s v="Home &amp; Kitchen"/>
    <s v="Coffee Maker"/>
    <n v="3"/>
    <n v="81.180000000000007"/>
    <n v="44.91"/>
    <n v="0.05"/>
    <n v="0"/>
    <n v="5"/>
    <s v="No"/>
    <s v="Store"/>
    <s v="Card"/>
    <s v="Small Business"/>
    <s v="Midlands"/>
    <s v="Home &amp; Kitchen"/>
    <x v="209"/>
    <n v="1"/>
    <s v="Coffee Maker"/>
    <n v="231.363"/>
    <n v="134.72999999999999"/>
    <n v="96.63300000000001"/>
    <n v="0.4176683393628195"/>
  </r>
  <r>
    <s v="BC-100434"/>
    <d v="2025-12-02T00:00:00"/>
    <s v="London"/>
    <s v="Individual"/>
    <s v="Home &amp; Kitchen"/>
    <s v="Air Fryer"/>
    <n v="1"/>
    <n v="111.14"/>
    <n v="66.19"/>
    <n v="0.1"/>
    <n v="3"/>
    <n v="4"/>
    <s v="No"/>
    <s v="Online"/>
    <s v="Card"/>
    <s v="Individual"/>
    <s v="London"/>
    <s v="Home &amp; Kitchen"/>
    <x v="183"/>
    <n v="1"/>
    <s v="Air Fryer"/>
    <n v="100.026"/>
    <n v="66.19"/>
    <n v="33.835999999999999"/>
    <n v="0.33827204926719051"/>
  </r>
  <r>
    <s v="BC-101018"/>
    <d v="2025-05-05T00:00:00"/>
    <s v="South"/>
    <s v="Individual"/>
    <s v="Home &amp; Kitchen"/>
    <s v="Coffee Maker"/>
    <n v="3"/>
    <n v="81.11"/>
    <n v="44.5"/>
    <n v="0"/>
    <n v="8"/>
    <n v="3"/>
    <s v="No"/>
    <s v="Phone"/>
    <s v="Card"/>
    <s v="Individual"/>
    <s v="South"/>
    <s v="Home &amp; Kitchen"/>
    <x v="235"/>
    <n v="1"/>
    <s v="Coffee Maker"/>
    <n v="243.32999999999998"/>
    <n v="133.5"/>
    <n v="109.82999999999998"/>
    <n v="0.45136234742941683"/>
  </r>
  <r>
    <s v="BC-101293"/>
    <d v="2025-11-17T00:00:00"/>
    <s v="South"/>
    <s v="Small Business"/>
    <s v="Office"/>
    <s v="Ergonomic Keyboard"/>
    <n v="6"/>
    <n v="70.67"/>
    <n v="39.18"/>
    <n v="0.1"/>
    <n v="3"/>
    <n v="5"/>
    <s v="No"/>
    <s v="Phone"/>
    <s v="Card"/>
    <s v="Small Business"/>
    <s v="South"/>
    <s v="Office"/>
    <x v="223"/>
    <n v="1"/>
    <s v="Ergonomic Keyboard"/>
    <n v="381.61799999999999"/>
    <n v="235.07999999999998"/>
    <n v="146.53800000000001"/>
    <n v="0.38399132116409607"/>
  </r>
  <r>
    <s v="BC-100854"/>
    <d v="2025-11-20T00:00:00"/>
    <s v="South"/>
    <s v="Individual"/>
    <s v="Office"/>
    <s v="Laptop Stand"/>
    <n v="1"/>
    <n v="45.16"/>
    <n v="20.69"/>
    <n v="0.15000000000000002"/>
    <n v="3"/>
    <n v="5"/>
    <s v="No"/>
    <s v="Online"/>
    <s v="Digital Wallet"/>
    <s v="Individual"/>
    <s v="South"/>
    <s v="Office"/>
    <x v="33"/>
    <n v="1"/>
    <s v="Laptop Stand"/>
    <n v="38.385999999999996"/>
    <n v="20.69"/>
    <n v="17.695999999999994"/>
    <n v="0.4610014067628822"/>
  </r>
  <r>
    <s v="BC-100606"/>
    <d v="2025-01-24T00:00:00"/>
    <s v="North"/>
    <s v="Individual"/>
    <s v="Electronics"/>
    <s v="Webcam"/>
    <n v="3"/>
    <n v="50.32"/>
    <n v="26.16"/>
    <n v="0.1"/>
    <n v="2"/>
    <n v="4"/>
    <s v="Yes"/>
    <s v="Online"/>
    <s v="Card"/>
    <s v="Individual"/>
    <s v="North"/>
    <s v="Electronics"/>
    <x v="351"/>
    <n v="1"/>
    <s v="Webcam"/>
    <n v="135.864"/>
    <n v="78.48"/>
    <n v="57.384"/>
    <n v="0.42236354001059884"/>
  </r>
  <r>
    <s v="BC-100480"/>
    <d v="2025-09-08T00:00:00"/>
    <s v="South"/>
    <s v="Small Business"/>
    <s v="Home &amp; Kitchen"/>
    <s v="Blender"/>
    <n v="2"/>
    <n v="63.07"/>
    <n v="36.43"/>
    <n v="0.1"/>
    <n v="1"/>
    <n v="5"/>
    <s v="No"/>
    <s v="Store"/>
    <s v="Digital Wallet"/>
    <s v="Small Business"/>
    <s v="South"/>
    <s v="Home &amp; Kitchen"/>
    <x v="301"/>
    <n v="1"/>
    <s v="Blender"/>
    <n v="113.526"/>
    <n v="72.86"/>
    <n v="40.665999999999997"/>
    <n v="0.35820869228194419"/>
  </r>
  <r>
    <s v="BC-100522"/>
    <d v="2025-08-18T00:00:00"/>
    <s v="North"/>
    <s v="Individual"/>
    <s v="Home &amp; Kitchen"/>
    <s v="Coffee Maker"/>
    <n v="4"/>
    <n v="82.1"/>
    <n v="45.95"/>
    <n v="0"/>
    <n v="4"/>
    <n v="4"/>
    <s v="No"/>
    <s v="Phone"/>
    <s v="Card"/>
    <s v="Individual"/>
    <s v="North"/>
    <s v="Home &amp; Kitchen"/>
    <x v="157"/>
    <n v="1"/>
    <s v="Coffee Maker"/>
    <n v="328.4"/>
    <n v="183.8"/>
    <n v="144.59999999999997"/>
    <n v="0.44031668696711318"/>
  </r>
  <r>
    <s v="BC-100297"/>
    <d v="2025-02-24T00:00:00"/>
    <s v="Midlands"/>
    <s v="Individual"/>
    <s v="Office"/>
    <s v="Laptop Stand"/>
    <n v="1"/>
    <n v="44.13"/>
    <n v="21.25"/>
    <n v="0.05"/>
    <n v="0"/>
    <n v="4"/>
    <s v="No"/>
    <s v="Store"/>
    <s v="Digital Wallet"/>
    <s v="Individual"/>
    <s v="Midlands"/>
    <s v="Office"/>
    <x v="158"/>
    <n v="1"/>
    <s v="Laptop Stand"/>
    <n v="41.923499999999997"/>
    <n v="21.25"/>
    <n v="20.673499999999997"/>
    <n v="0.49312438131358305"/>
  </r>
  <r>
    <s v="BC-101842"/>
    <d v="2025-09-09T00:00:00"/>
    <s v="South"/>
    <s v="Individual"/>
    <s v="Electronics"/>
    <s v="Webcam"/>
    <n v="1"/>
    <n v="49.54"/>
    <n v="26.55"/>
    <n v="0.05"/>
    <n v="0"/>
    <n v="3"/>
    <s v="Yes"/>
    <s v="Store"/>
    <s v="Card"/>
    <s v="Individual"/>
    <s v="South"/>
    <s v="Electronics"/>
    <x v="102"/>
    <n v="1"/>
    <s v="Webcam"/>
    <n v="47.062999999999995"/>
    <n v="26.55"/>
    <n v="20.512999999999995"/>
    <n v="0.43586256719716115"/>
  </r>
  <r>
    <s v="BC-101276"/>
    <d v="2025-06-19T00:00:00"/>
    <s v="London"/>
    <s v="Individual"/>
    <s v="Home &amp; Kitchen"/>
    <s v="Blender"/>
    <n v="3"/>
    <n v="67.52"/>
    <n v="34.479999999999997"/>
    <n v="0"/>
    <n v="1"/>
    <n v="5"/>
    <s v="No"/>
    <s v="Phone"/>
    <s v="Card"/>
    <s v="Individual"/>
    <s v="London"/>
    <s v="Home &amp; Kitchen"/>
    <x v="339"/>
    <n v="1"/>
    <s v="Blender"/>
    <n v="202.56"/>
    <n v="103.44"/>
    <n v="99.12"/>
    <n v="0.48933649289099529"/>
  </r>
  <r>
    <s v="BC-100949"/>
    <d v="2025-06-18T00:00:00"/>
    <s v="Midlands"/>
    <s v="Individual"/>
    <s v="Home &amp; Kitchen"/>
    <s v="Blender"/>
    <n v="2"/>
    <n v="64.97"/>
    <n v="36.36"/>
    <n v="0"/>
    <n v="4"/>
    <n v="4"/>
    <s v="No"/>
    <s v="Store"/>
    <s v="Digital Wallet"/>
    <s v="Individual"/>
    <s v="Midlands"/>
    <s v="Home &amp; Kitchen"/>
    <x v="153"/>
    <n v="1"/>
    <s v="Blender"/>
    <n v="129.94"/>
    <n v="72.72"/>
    <n v="57.22"/>
    <n v="0.44035708788671696"/>
  </r>
  <r>
    <s v="BC-100702"/>
    <d v="2025-05-29T00:00:00"/>
    <s v="South"/>
    <s v="Individual"/>
    <s v="Home &amp; Kitchen"/>
    <s v="Electric Kettle"/>
    <n v="1"/>
    <n v="41.03"/>
    <n v="20.71"/>
    <n v="0.1"/>
    <n v="0"/>
    <n v="4"/>
    <s v="No"/>
    <s v="Store"/>
    <s v="Card"/>
    <s v="Individual"/>
    <s v="South"/>
    <s v="Home &amp; Kitchen"/>
    <x v="86"/>
    <n v="1"/>
    <s v="Electric Kettle"/>
    <n v="36.927"/>
    <n v="20.71"/>
    <n v="16.216999999999999"/>
    <n v="0.43916375551764286"/>
  </r>
  <r>
    <s v="BC-101648"/>
    <d v="2025-12-07T00:00:00"/>
    <s v="South"/>
    <s v="Small Business"/>
    <s v="Home &amp; Kitchen"/>
    <s v="Electric Kettle"/>
    <n v="2"/>
    <n v="38.94"/>
    <n v="19.47"/>
    <n v="0.15000000000000002"/>
    <n v="4"/>
    <n v="5"/>
    <s v="No"/>
    <s v="Online"/>
    <s v="Bank Transfer"/>
    <s v="Small Business"/>
    <s v="South"/>
    <s v="Home &amp; Kitchen"/>
    <x v="304"/>
    <n v="1"/>
    <s v="Electric Kettle"/>
    <n v="66.197999999999993"/>
    <n v="38.94"/>
    <n v="27.257999999999996"/>
    <n v="0.41176470588235292"/>
  </r>
  <r>
    <s v="BC-101732"/>
    <d v="2025-11-18T00:00:00"/>
    <s v="Midlands"/>
    <s v="Individual"/>
    <s v="Office"/>
    <s v="Wireless Mouse"/>
    <n v="1"/>
    <n v="36.03"/>
    <n v="16.59"/>
    <n v="0.1"/>
    <n v="2"/>
    <n v="4"/>
    <s v="No"/>
    <s v="Phone"/>
    <s v="Card"/>
    <s v="Individual"/>
    <s v="Midlands"/>
    <s v="Office"/>
    <x v="26"/>
    <n v="1"/>
    <s v="Wireless Mouse"/>
    <n v="32.427"/>
    <n v="16.59"/>
    <n v="15.837"/>
    <n v="0.48838930520862245"/>
  </r>
  <r>
    <s v="BC-101394"/>
    <d v="2025-05-18T00:00:00"/>
    <s v="South"/>
    <s v="Corporate"/>
    <s v="Home &amp; Kitchen"/>
    <s v="Electric Kettle"/>
    <n v="3"/>
    <n v="41.44"/>
    <n v="20.89"/>
    <n v="0.15000000000000002"/>
    <n v="4"/>
    <n v="4"/>
    <s v="No"/>
    <s v="Online"/>
    <s v="Card"/>
    <s v="Corporate"/>
    <s v="South"/>
    <s v="Home &amp; Kitchen"/>
    <x v="140"/>
    <n v="1"/>
    <s v="Electric Kettle"/>
    <n v="105.672"/>
    <n v="62.67"/>
    <n v="43.001999999999995"/>
    <n v="0.4069384510560981"/>
  </r>
  <r>
    <s v="BC-101182"/>
    <d v="2025-03-22T00:00:00"/>
    <s v="North"/>
    <s v="Individual"/>
    <s v="Furniture"/>
    <s v="Side Table"/>
    <n v="1"/>
    <n v="90.55"/>
    <n v="55.86"/>
    <n v="0.05"/>
    <n v="4"/>
    <n v="4"/>
    <s v="No"/>
    <s v="Online"/>
    <s v="Card"/>
    <s v="Individual"/>
    <s v="North"/>
    <s v="Furniture"/>
    <x v="295"/>
    <n v="1"/>
    <s v="Side Table"/>
    <n v="86.022499999999994"/>
    <n v="55.86"/>
    <n v="30.162499999999994"/>
    <n v="0.35063500828271671"/>
  </r>
  <r>
    <s v="BC-101330"/>
    <d v="2025-12-09T00:00:00"/>
    <s v="North"/>
    <s v="Individual"/>
    <s v="Electronics"/>
    <s v="Wireless Headset"/>
    <n v="3"/>
    <n v="61.5"/>
    <n v="35.06"/>
    <n v="0.1"/>
    <n v="3"/>
    <n v="5"/>
    <s v="No"/>
    <s v="Store"/>
    <s v="Digital Wallet"/>
    <s v="Individual"/>
    <s v="North"/>
    <s v="Electronics"/>
    <x v="112"/>
    <n v="1"/>
    <s v="Wireless Headset"/>
    <n v="166.05"/>
    <n v="105.18"/>
    <n v="60.870000000000005"/>
    <n v="0.36657633242999099"/>
  </r>
  <r>
    <s v="BC-101208"/>
    <d v="2025-04-28T00:00:00"/>
    <s v="London"/>
    <s v="Individual"/>
    <s v="Office"/>
    <s v="Wireless Mouse"/>
    <n v="1"/>
    <n v="34.99"/>
    <n v="16.5"/>
    <n v="0.05"/>
    <n v="4"/>
    <n v="4"/>
    <s v="No"/>
    <s v="Online"/>
    <s v="Bank Transfer"/>
    <s v="Individual"/>
    <s v="London"/>
    <s v="Office"/>
    <x v="174"/>
    <n v="1"/>
    <s v="Wireless Mouse"/>
    <n v="33.240499999999997"/>
    <n v="16.5"/>
    <n v="16.740499999999997"/>
    <n v="0.50361757494622517"/>
  </r>
  <r>
    <s v="BC-101521"/>
    <d v="2025-07-18T00:00:00"/>
    <s v="Midlands"/>
    <s v="Individual"/>
    <s v="Home &amp; Kitchen"/>
    <s v="Blender"/>
    <n v="1"/>
    <n v="66.2"/>
    <n v="34.409999999999997"/>
    <n v="0.05"/>
    <n v="3"/>
    <n v="4"/>
    <s v="No"/>
    <s v="Online"/>
    <s v="Card"/>
    <s v="Individual"/>
    <s v="Midlands"/>
    <s v="Home &amp; Kitchen"/>
    <x v="145"/>
    <n v="1"/>
    <s v="Blender"/>
    <n v="62.89"/>
    <n v="34.409999999999997"/>
    <n v="28.480000000000004"/>
    <n v="0.45285418985530296"/>
  </r>
  <r>
    <s v="BC-100119"/>
    <d v="2025-11-15T00:00:00"/>
    <s v="North"/>
    <s v="Corporate"/>
    <s v="Office"/>
    <s v="Laptop Stand"/>
    <n v="5"/>
    <n v="43.81"/>
    <n v="20.7"/>
    <n v="0.2"/>
    <n v="3"/>
    <n v="3"/>
    <s v="Yes"/>
    <s v="Online"/>
    <s v="Digital Wallet"/>
    <s v="Corporate"/>
    <s v="North"/>
    <s v="Office"/>
    <x v="172"/>
    <n v="1"/>
    <s v="Laptop Stand"/>
    <n v="175.24"/>
    <n v="103.5"/>
    <n v="71.740000000000009"/>
    <n v="0.40938141976717646"/>
  </r>
  <r>
    <s v="BC-100983"/>
    <d v="2025-12-04T00:00:00"/>
    <s v="North"/>
    <s v="Small Business"/>
    <s v="Furniture"/>
    <s v="Office Chair"/>
    <n v="2"/>
    <n v="187"/>
    <n v="113.45"/>
    <n v="0.05"/>
    <n v="4"/>
    <n v="5"/>
    <s v="No"/>
    <s v="Online"/>
    <s v="Card"/>
    <s v="Small Business"/>
    <s v="North"/>
    <s v="Furniture"/>
    <x v="75"/>
    <n v="1"/>
    <s v="Office Chair"/>
    <n v="355.3"/>
    <n v="226.9"/>
    <n v="128.4"/>
    <n v="0.3613847452856741"/>
  </r>
  <r>
    <s v="BC-100054"/>
    <d v="2025-09-19T00:00:00"/>
    <s v="London"/>
    <s v="Corporate"/>
    <s v="Electronics"/>
    <s v="Wireless Headset"/>
    <n v="3"/>
    <n v="58.49"/>
    <n v="34.74"/>
    <n v="0.05"/>
    <n v="2"/>
    <n v="5"/>
    <s v="No"/>
    <s v="Online"/>
    <s v="Card"/>
    <s v="Corporate"/>
    <s v="London"/>
    <s v="Electronics"/>
    <x v="68"/>
    <n v="1"/>
    <s v="Wireless Headset"/>
    <n v="166.69649999999999"/>
    <n v="104.22"/>
    <n v="62.476499999999987"/>
    <n v="0.37479191224770764"/>
  </r>
  <r>
    <s v="BC-100885"/>
    <d v="2025-12-13T00:00:00"/>
    <s v="London"/>
    <s v="Individual"/>
    <s v="Home &amp; Kitchen"/>
    <s v="Coffee Maker"/>
    <n v="1"/>
    <n v="81.150000000000006"/>
    <n v="45.75"/>
    <n v="0.05"/>
    <n v="4"/>
    <n v="5"/>
    <s v="No"/>
    <s v="Online"/>
    <s v="Bank Transfer"/>
    <s v="Individual"/>
    <s v="London"/>
    <s v="Home &amp; Kitchen"/>
    <x v="219"/>
    <n v="1"/>
    <s v="Coffee Maker"/>
    <n v="77.092500000000001"/>
    <n v="45.75"/>
    <n v="31.342500000000001"/>
    <n v="0.40655705807957976"/>
  </r>
  <r>
    <s v="BC-101027"/>
    <d v="2025-12-26T00:00:00"/>
    <s v="London"/>
    <s v="Individual"/>
    <s v="Home &amp; Kitchen"/>
    <s v="Blender"/>
    <n v="2"/>
    <n v="64.77"/>
    <n v="35.01"/>
    <n v="0.2"/>
    <n v="5"/>
    <n v="5"/>
    <s v="No"/>
    <s v="Online"/>
    <s v="Bank Transfer"/>
    <s v="Individual"/>
    <s v="London"/>
    <s v="Home &amp; Kitchen"/>
    <x v="215"/>
    <n v="1"/>
    <s v="Blender"/>
    <n v="103.63200000000001"/>
    <n v="70.02"/>
    <n v="33.612000000000009"/>
    <n v="0.32433997220935623"/>
  </r>
  <r>
    <s v="BC-100677"/>
    <d v="2025-05-13T00:00:00"/>
    <s v="North"/>
    <s v="Individual"/>
    <s v="Home &amp; Kitchen"/>
    <s v="Electric Kettle"/>
    <n v="1"/>
    <n v="39.81"/>
    <n v="20.7"/>
    <n v="0.05"/>
    <n v="5"/>
    <n v="5"/>
    <s v="No"/>
    <s v="Online"/>
    <s v="Card"/>
    <s v="Individual"/>
    <s v="North"/>
    <s v="Home &amp; Kitchen"/>
    <x v="150"/>
    <n v="1"/>
    <s v="Electric Kettle"/>
    <n v="37.819499999999998"/>
    <n v="20.7"/>
    <n v="17.119499999999999"/>
    <n v="0.45266330861063736"/>
  </r>
  <r>
    <s v="BC-100530"/>
    <d v="2025-02-06T00:00:00"/>
    <s v="London"/>
    <s v="Individual"/>
    <s v="Electronics"/>
    <s v="Portable Speaker"/>
    <n v="2"/>
    <n v="76.489999999999995"/>
    <n v="43.96"/>
    <n v="0"/>
    <n v="2"/>
    <n v="4"/>
    <s v="No"/>
    <s v="Online"/>
    <s v="Card"/>
    <s v="Individual"/>
    <s v="London"/>
    <s v="Electronics"/>
    <x v="121"/>
    <n v="1"/>
    <s v="Portable Speaker"/>
    <n v="152.97999999999999"/>
    <n v="87.92"/>
    <n v="65.059999999999988"/>
    <n v="0.42528435089554184"/>
  </r>
  <r>
    <s v="BC-101477"/>
    <d v="2025-12-18T00:00:00"/>
    <s v="London"/>
    <s v="Individual"/>
    <s v="Home &amp; Kitchen"/>
    <s v="Air Fryer"/>
    <n v="3"/>
    <n v="111.56"/>
    <n v="65.97"/>
    <n v="0.1"/>
    <n v="5"/>
    <n v="5"/>
    <s v="No"/>
    <s v="Online"/>
    <s v="Card"/>
    <s v="Individual"/>
    <s v="London"/>
    <s v="Home &amp; Kitchen"/>
    <x v="114"/>
    <n v="1"/>
    <s v="Air Fryer"/>
    <n v="301.21199999999999"/>
    <n v="197.91"/>
    <n v="103.30199999999999"/>
    <n v="0.34295446396557905"/>
  </r>
  <r>
    <s v="BC-100790"/>
    <d v="2025-01-21T00:00:00"/>
    <s v="London"/>
    <s v="Individual"/>
    <s v="Electronics"/>
    <s v="Portable Speaker"/>
    <n v="1"/>
    <n v="75.650000000000006"/>
    <n v="45"/>
    <n v="0.05"/>
    <n v="3"/>
    <n v="4"/>
    <s v="No"/>
    <s v="Online"/>
    <s v="Card"/>
    <s v="Individual"/>
    <s v="London"/>
    <s v="Electronics"/>
    <x v="218"/>
    <n v="1"/>
    <s v="Portable Speaker"/>
    <n v="71.867500000000007"/>
    <n v="45"/>
    <n v="26.867500000000007"/>
    <n v="0.37384770584756677"/>
  </r>
  <r>
    <s v="BC-100912"/>
    <d v="2025-12-21T00:00:00"/>
    <s v="London"/>
    <s v="Small Business"/>
    <s v="Home &amp; Kitchen"/>
    <s v="Blender"/>
    <n v="3"/>
    <n v="64.849999999999994"/>
    <n v="36.25"/>
    <n v="0.1"/>
    <n v="0"/>
    <n v="4"/>
    <s v="No"/>
    <s v="Store"/>
    <s v="Bank Transfer"/>
    <s v="Small Business"/>
    <s v="London"/>
    <s v="Home &amp; Kitchen"/>
    <x v="3"/>
    <n v="1"/>
    <s v="Blender"/>
    <n v="175.095"/>
    <n v="108.75"/>
    <n v="66.344999999999999"/>
    <n v="0.37890859247836889"/>
  </r>
  <r>
    <s v="BC-100308"/>
    <d v="2025-09-24T00:00:00"/>
    <s v="Midlands"/>
    <s v="Small Business"/>
    <s v="Electronics"/>
    <s v="Wireless Headset"/>
    <n v="3"/>
    <n v="60.17"/>
    <n v="34.340000000000003"/>
    <n v="0.1"/>
    <n v="2"/>
    <n v="4"/>
    <s v="No"/>
    <s v="Store"/>
    <s v="Card"/>
    <s v="Small Business"/>
    <s v="Midlands"/>
    <s v="Electronics"/>
    <x v="146"/>
    <n v="1"/>
    <s v="Wireless Headset"/>
    <n v="162.459"/>
    <n v="103.02000000000001"/>
    <n v="59.438999999999993"/>
    <n v="0.36587077354901848"/>
  </r>
  <r>
    <s v="BC-100895"/>
    <d v="2025-07-26T00:00:00"/>
    <s v="North"/>
    <s v="Individual"/>
    <s v="Electronics"/>
    <s v="Wireless Headset"/>
    <n v="1"/>
    <n v="59.85"/>
    <n v="33.880000000000003"/>
    <n v="0.05"/>
    <n v="2"/>
    <n v="5"/>
    <s v="No"/>
    <s v="Online"/>
    <s v="Card"/>
    <s v="Individual"/>
    <s v="North"/>
    <s v="Electronics"/>
    <x v="352"/>
    <n v="1"/>
    <s v="Wireless Headset"/>
    <n v="56.857500000000002"/>
    <n v="33.880000000000003"/>
    <n v="22.977499999999999"/>
    <n v="0.40412434595260077"/>
  </r>
  <r>
    <s v="BC-101174"/>
    <d v="2025-05-18T00:00:00"/>
    <s v="North"/>
    <s v="Individual"/>
    <s v="Electronics"/>
    <s v="Portable Speaker"/>
    <n v="1"/>
    <n v="72.94"/>
    <n v="43.26"/>
    <n v="0.05"/>
    <n v="5"/>
    <n v="4"/>
    <s v="No"/>
    <s v="Online"/>
    <s v="Bank Transfer"/>
    <s v="Individual"/>
    <s v="North"/>
    <s v="Electronics"/>
    <x v="140"/>
    <n v="1"/>
    <s v="Portable Speaker"/>
    <n v="69.292999999999992"/>
    <n v="43.26"/>
    <n v="26.032999999999994"/>
    <n v="0.37569451459743403"/>
  </r>
  <r>
    <s v="BC-101058"/>
    <d v="2025-03-24T00:00:00"/>
    <s v="North"/>
    <s v="Individual"/>
    <s v="Office"/>
    <s v="Wireless Mouse"/>
    <n v="2"/>
    <n v="35.6"/>
    <n v="17.670000000000002"/>
    <n v="0.1"/>
    <n v="3"/>
    <n v="4"/>
    <s v="No"/>
    <s v="Online"/>
    <s v="Digital Wallet"/>
    <s v="Individual"/>
    <s v="North"/>
    <s v="Office"/>
    <x v="144"/>
    <n v="1"/>
    <s v="Wireless Mouse"/>
    <n v="64.08"/>
    <n v="35.340000000000003"/>
    <n v="28.739999999999995"/>
    <n v="0.44850187265917596"/>
  </r>
  <r>
    <s v="BC-100874"/>
    <d v="2025-05-25T00:00:00"/>
    <s v="South"/>
    <s v="Individual"/>
    <s v="Furniture"/>
    <s v="Office Chair"/>
    <n v="2"/>
    <n v="181.44"/>
    <n v="114.4"/>
    <n v="0.1"/>
    <n v="3"/>
    <n v="4"/>
    <s v="No"/>
    <s v="Online"/>
    <s v="Digital Wallet"/>
    <s v="Individual"/>
    <s v="South"/>
    <s v="Furniture"/>
    <x v="234"/>
    <n v="1"/>
    <s v="Office Chair"/>
    <n v="326.59199999999998"/>
    <n v="228.8"/>
    <n v="97.791999999999973"/>
    <n v="0.29943170683911419"/>
  </r>
  <r>
    <s v="BC-101928"/>
    <d v="2025-04-07T00:00:00"/>
    <s v="North"/>
    <s v="Individual"/>
    <s v="Furniture"/>
    <s v="Office Chair"/>
    <n v="1"/>
    <n v="176.68"/>
    <n v="118.72"/>
    <n v="0.05"/>
    <n v="0"/>
    <n v="4"/>
    <s v="No"/>
    <s v="Store"/>
    <s v="Card"/>
    <s v="Individual"/>
    <s v="North"/>
    <s v="Furniture"/>
    <x v="2"/>
    <n v="1"/>
    <s v="Office Chair"/>
    <n v="167.846"/>
    <n v="118.72"/>
    <n v="49.126000000000005"/>
    <n v="0.29268496121444659"/>
  </r>
  <r>
    <s v="BC-101318"/>
    <d v="2025-04-13T00:00:00"/>
    <s v="South"/>
    <s v="Individual"/>
    <s v="Electronics"/>
    <s v="Portable Speaker"/>
    <n v="1"/>
    <n v="75.510000000000005"/>
    <n v="44.82"/>
    <n v="0.1"/>
    <n v="0"/>
    <n v="4"/>
    <s v="No"/>
    <s v="Store"/>
    <s v="Card"/>
    <s v="Individual"/>
    <s v="South"/>
    <s v="Electronics"/>
    <x v="188"/>
    <n v="1"/>
    <s v="Portable Speaker"/>
    <n v="67.959000000000003"/>
    <n v="44.82"/>
    <n v="23.139000000000003"/>
    <n v="0.34048470401271358"/>
  </r>
  <r>
    <s v="BC-100175"/>
    <d v="2025-12-09T00:00:00"/>
    <s v="London"/>
    <s v="Individual"/>
    <s v="Home &amp; Kitchen"/>
    <s v="Coffee Maker"/>
    <n v="1"/>
    <n v="79.41"/>
    <n v="46.99"/>
    <n v="0.15000000000000002"/>
    <n v="4"/>
    <n v="5"/>
    <s v="No"/>
    <s v="Online"/>
    <s v="Bank Transfer"/>
    <s v="Individual"/>
    <s v="London"/>
    <s v="Home &amp; Kitchen"/>
    <x v="112"/>
    <n v="1"/>
    <s v="Coffee Maker"/>
    <n v="67.498499999999993"/>
    <n v="46.99"/>
    <n v="20.508499999999991"/>
    <n v="0.30383638154921949"/>
  </r>
  <r>
    <s v="BC-100040"/>
    <d v="2025-09-01T00:00:00"/>
    <s v="London"/>
    <s v="Individual"/>
    <s v="Furniture"/>
    <s v="Side Table"/>
    <n v="1"/>
    <n v="89.26"/>
    <n v="55.87"/>
    <n v="0"/>
    <n v="5"/>
    <n v="5"/>
    <s v="No"/>
    <s v="Online"/>
    <s v="Card"/>
    <s v="Individual"/>
    <s v="London"/>
    <s v="Furniture"/>
    <x v="250"/>
    <n v="1"/>
    <s v="Side Table"/>
    <n v="89.26"/>
    <n v="55.87"/>
    <n v="33.390000000000008"/>
    <n v="0.37407573381133774"/>
  </r>
  <r>
    <s v="BC-101981"/>
    <d v="2025-10-13T00:00:00"/>
    <s v="London"/>
    <s v="Small Business"/>
    <s v="Furniture"/>
    <s v="Storage Cabinet"/>
    <n v="3"/>
    <n v="164.31"/>
    <n v="104.69"/>
    <n v="0"/>
    <n v="6"/>
    <n v="4"/>
    <s v="No"/>
    <s v="Online"/>
    <s v="Bank Transfer"/>
    <s v="Small Business"/>
    <s v="London"/>
    <s v="Furniture"/>
    <x v="52"/>
    <n v="1"/>
    <s v="Storage Cabinet"/>
    <n v="492.93"/>
    <n v="314.07"/>
    <n v="178.86"/>
    <n v="0.36285070902562233"/>
  </r>
  <r>
    <s v="BC-101581"/>
    <d v="2025-09-12T00:00:00"/>
    <s v="North"/>
    <s v="Individual"/>
    <s v="Electronics"/>
    <s v="Portable Speaker"/>
    <n v="2"/>
    <n v="72.91"/>
    <n v="42.95"/>
    <n v="0.05"/>
    <n v="2"/>
    <n v="4"/>
    <s v="No"/>
    <s v="Online"/>
    <s v="Digital Wallet"/>
    <s v="Individual"/>
    <s v="North"/>
    <s v="Electronics"/>
    <x v="50"/>
    <n v="1"/>
    <s v="Portable Speaker"/>
    <n v="138.529"/>
    <n v="85.9"/>
    <n v="52.628999999999991"/>
    <n v="0.37991323116459363"/>
  </r>
  <r>
    <s v="BC-101614"/>
    <d v="2025-03-24T00:00:00"/>
    <s v="North"/>
    <s v="Individual"/>
    <s v="Office"/>
    <s v="Ergonomic Keyboard"/>
    <n v="2"/>
    <n v="69.209999999999994"/>
    <n v="38.01"/>
    <n v="0.05"/>
    <n v="3"/>
    <n v="4"/>
    <s v="No"/>
    <s v="Online"/>
    <s v="Card"/>
    <s v="Individual"/>
    <s v="North"/>
    <s v="Office"/>
    <x v="144"/>
    <n v="1"/>
    <s v="Ergonomic Keyboard"/>
    <n v="131.499"/>
    <n v="76.02"/>
    <n v="55.478999999999999"/>
    <n v="0.42189674446193509"/>
  </r>
  <r>
    <s v="BC-100044"/>
    <d v="2025-12-24T00:00:00"/>
    <s v="London"/>
    <s v="Individual"/>
    <s v="Electronics"/>
    <s v="Webcam"/>
    <n v="1"/>
    <n v="48.9"/>
    <n v="26.27"/>
    <n v="0.05"/>
    <n v="6"/>
    <n v="3"/>
    <s v="No"/>
    <s v="Online"/>
    <s v="Card"/>
    <s v="Individual"/>
    <s v="London"/>
    <s v="Electronics"/>
    <x v="316"/>
    <n v="1"/>
    <s v="Webcam"/>
    <n v="46.454999999999998"/>
    <n v="26.27"/>
    <n v="20.184999999999999"/>
    <n v="0.43450651167796789"/>
  </r>
  <r>
    <s v="BC-100616"/>
    <d v="2025-12-30T00:00:00"/>
    <s v="North"/>
    <s v="Individual"/>
    <s v="Home &amp; Kitchen"/>
    <s v="Electric Kettle"/>
    <n v="1"/>
    <n v="40.36"/>
    <n v="20.09"/>
    <n v="0.15000000000000002"/>
    <n v="2"/>
    <n v="5"/>
    <s v="No"/>
    <s v="Store"/>
    <s v="Digital Wallet"/>
    <s v="Individual"/>
    <s v="North"/>
    <s v="Home &amp; Kitchen"/>
    <x v="0"/>
    <n v="1"/>
    <s v="Electric Kettle"/>
    <n v="34.305999999999997"/>
    <n v="20.09"/>
    <n v="14.215999999999998"/>
    <n v="0.41438815367574183"/>
  </r>
  <r>
    <s v="BC-101493"/>
    <d v="2025-09-16T00:00:00"/>
    <s v="London"/>
    <s v="Individual"/>
    <s v="Home &amp; Kitchen"/>
    <s v="Electric Kettle"/>
    <n v="1"/>
    <n v="39.35"/>
    <n v="19.489999999999998"/>
    <n v="0.1"/>
    <n v="1"/>
    <n v="4"/>
    <s v="No"/>
    <s v="Store"/>
    <s v="Card"/>
    <s v="Individual"/>
    <s v="London"/>
    <s v="Home &amp; Kitchen"/>
    <x v="285"/>
    <n v="1"/>
    <s v="Electric Kettle"/>
    <n v="35.414999999999999"/>
    <n v="19.489999999999998"/>
    <n v="15.925000000000001"/>
    <n v="0.44966821968092618"/>
  </r>
  <r>
    <s v="BC-101106"/>
    <d v="2025-01-09T00:00:00"/>
    <s v="North"/>
    <s v="Small Business"/>
    <s v="Office"/>
    <s v="Desk Lamp"/>
    <n v="4"/>
    <n v="40.39"/>
    <n v="19.309999999999999"/>
    <n v="0"/>
    <n v="5"/>
    <n v="5"/>
    <s v="No"/>
    <s v="Online"/>
    <s v="Bank Transfer"/>
    <s v="Small Business"/>
    <s v="North"/>
    <s v="Office"/>
    <x v="251"/>
    <n v="1"/>
    <s v="Desk Lamp"/>
    <n v="161.56"/>
    <n v="77.239999999999995"/>
    <n v="84.320000000000007"/>
    <n v="0.52191136419905926"/>
  </r>
  <r>
    <s v="BC-101905"/>
    <d v="2025-02-14T00:00:00"/>
    <s v="South"/>
    <s v="Small Business"/>
    <s v="Home &amp; Kitchen"/>
    <s v="Air Fryer"/>
    <n v="2"/>
    <n v="110.45"/>
    <n v="69.25"/>
    <n v="0"/>
    <n v="6"/>
    <n v="4"/>
    <s v="No"/>
    <s v="Phone"/>
    <s v="Card"/>
    <s v="Small Business"/>
    <s v="South"/>
    <s v="Home &amp; Kitchen"/>
    <x v="194"/>
    <n v="1"/>
    <s v="Air Fryer"/>
    <n v="220.9"/>
    <n v="138.5"/>
    <n v="82.4"/>
    <n v="0.37301946582163875"/>
  </r>
  <r>
    <s v="BC-101142"/>
    <d v="2025-07-26T00:00:00"/>
    <s v="London"/>
    <s v="Individual"/>
    <s v="Furniture"/>
    <s v="Bookshelf"/>
    <n v="1"/>
    <n v="124.01"/>
    <n v="70.760000000000005"/>
    <n v="0.1"/>
    <n v="6"/>
    <n v="4"/>
    <s v="No"/>
    <s v="Online"/>
    <s v="Card"/>
    <s v="Individual"/>
    <s v="London"/>
    <s v="Furniture"/>
    <x v="352"/>
    <n v="1"/>
    <s v="Bookshelf"/>
    <n v="111.60900000000001"/>
    <n v="70.760000000000005"/>
    <n v="40.849000000000004"/>
    <n v="0.36600094974419628"/>
  </r>
  <r>
    <s v="BC-101102"/>
    <d v="2025-08-01T00:00:00"/>
    <s v="North"/>
    <s v="Small Business"/>
    <s v="Office"/>
    <s v="Desk Lamp"/>
    <n v="3"/>
    <n v="39.85"/>
    <n v="19.25"/>
    <n v="0"/>
    <n v="2"/>
    <n v="4"/>
    <s v="No"/>
    <s v="Online"/>
    <s v="Card"/>
    <s v="Small Business"/>
    <s v="North"/>
    <s v="Office"/>
    <x v="202"/>
    <n v="1"/>
    <s v="Desk Lamp"/>
    <n v="119.55000000000001"/>
    <n v="57.75"/>
    <n v="61.800000000000011"/>
    <n v="0.51693851944792979"/>
  </r>
  <r>
    <s v="BC-101662"/>
    <d v="2025-09-20T00:00:00"/>
    <s v="North"/>
    <s v="Small Business"/>
    <s v="Electronics"/>
    <s v="Wireless Headset"/>
    <n v="5"/>
    <n v="59.26"/>
    <n v="34.799999999999997"/>
    <n v="0.1"/>
    <n v="0"/>
    <m/>
    <s v="No"/>
    <s v="Store"/>
    <s v="Card"/>
    <s v="Small Business"/>
    <s v="North"/>
    <s v="Electronics"/>
    <x v="76"/>
    <n v="1"/>
    <s v="Wireless Headset"/>
    <n v="266.67"/>
    <n v="174"/>
    <n v="92.670000000000016"/>
    <n v="0.3475081561480482"/>
  </r>
  <r>
    <s v="BC-100378"/>
    <d v="2025-01-08T00:00:00"/>
    <s v="Midlands"/>
    <s v="Individual"/>
    <s v="Home &amp; Kitchen"/>
    <s v="Electric Kettle"/>
    <n v="1"/>
    <n v="40.56"/>
    <n v="20.85"/>
    <n v="0.05"/>
    <n v="5"/>
    <n v="4"/>
    <s v="No"/>
    <s v="Phone"/>
    <s v="Card"/>
    <s v="Individual"/>
    <s v="Midlands"/>
    <s v="Home &amp; Kitchen"/>
    <x v="190"/>
    <n v="1"/>
    <s v="Electric Kettle"/>
    <n v="38.532000000000004"/>
    <n v="20.85"/>
    <n v="17.682000000000002"/>
    <n v="0.45889131111803177"/>
  </r>
  <r>
    <s v="BC-100875"/>
    <d v="2025-05-13T00:00:00"/>
    <s v="South"/>
    <s v="Small Business"/>
    <s v="Furniture"/>
    <s v="Office Chair"/>
    <n v="3"/>
    <n v="175.64"/>
    <n v="117.07"/>
    <n v="0.15000000000000002"/>
    <n v="6"/>
    <n v="4"/>
    <s v="No"/>
    <s v="Online"/>
    <s v="Digital Wallet"/>
    <s v="Small Business"/>
    <s v="South"/>
    <s v="Furniture"/>
    <x v="150"/>
    <n v="1"/>
    <s v="Office Chair"/>
    <n v="447.88199999999995"/>
    <n v="351.21"/>
    <n v="96.671999999999969"/>
    <n v="0.21584256567578064"/>
  </r>
  <r>
    <s v="BC-100298"/>
    <d v="2025-09-03T00:00:00"/>
    <s v="South"/>
    <s v="Small Business"/>
    <s v="Electronics"/>
    <s v="Webcam"/>
    <n v="1"/>
    <n v="51.33"/>
    <n v="26.54"/>
    <n v="0"/>
    <n v="5"/>
    <n v="5"/>
    <s v="No"/>
    <s v="Online"/>
    <s v="Bank Transfer"/>
    <s v="Small Business"/>
    <s v="South"/>
    <s v="Electronics"/>
    <x v="106"/>
    <n v="1"/>
    <s v="Webcam"/>
    <n v="51.33"/>
    <n v="26.54"/>
    <n v="24.79"/>
    <n v="0.4829534385349698"/>
  </r>
  <r>
    <s v="BC-100643"/>
    <d v="2025-12-27T00:00:00"/>
    <s v="London"/>
    <s v="Small Business"/>
    <s v="Office"/>
    <s v="Desk Lamp"/>
    <n v="3"/>
    <n v="40.92"/>
    <n v="19.829999999999998"/>
    <n v="0.1"/>
    <n v="2"/>
    <n v="4"/>
    <s v="No"/>
    <s v="Online"/>
    <s v="Card"/>
    <s v="Small Business"/>
    <s v="London"/>
    <s v="Office"/>
    <x v="125"/>
    <n v="1"/>
    <s v="Desk Lamp"/>
    <n v="110.48400000000001"/>
    <n v="59.489999999999995"/>
    <n v="50.994000000000014"/>
    <n v="0.4615509938090584"/>
  </r>
  <r>
    <s v="BC-101040"/>
    <d v="2025-04-07T00:00:00"/>
    <s v="North"/>
    <s v="Small Business"/>
    <s v="Home &amp; Kitchen"/>
    <s v="Electric Kettle"/>
    <n v="3"/>
    <n v="39.56"/>
    <n v="19.79"/>
    <n v="0.1"/>
    <n v="0"/>
    <n v="4"/>
    <s v="No"/>
    <s v="Store"/>
    <s v="Bank Transfer"/>
    <s v="Small Business"/>
    <s v="North"/>
    <s v="Home &amp; Kitchen"/>
    <x v="2"/>
    <n v="1"/>
    <s v="Electric Kettle"/>
    <n v="106.81200000000001"/>
    <n v="59.37"/>
    <n v="47.442000000000014"/>
    <n v="0.44416357712616567"/>
  </r>
  <r>
    <s v="BC-101892"/>
    <d v="2025-12-03T00:00:00"/>
    <s v="South"/>
    <s v="Small Business"/>
    <s v="Furniture"/>
    <s v="Storage Cabinet"/>
    <n v="1"/>
    <n v="157.9"/>
    <n v="104.11"/>
    <n v="0.1"/>
    <n v="7"/>
    <n v="3"/>
    <s v="No"/>
    <s v="Online"/>
    <s v="Card"/>
    <s v="Small Business"/>
    <s v="South"/>
    <s v="Furniture"/>
    <x v="108"/>
    <n v="1"/>
    <s v="Storage Cabinet"/>
    <n v="142.11000000000001"/>
    <n v="104.11"/>
    <n v="38.000000000000014"/>
    <n v="0.26739849412427003"/>
  </r>
  <r>
    <s v="BC-101120"/>
    <d v="2025-10-25T00:00:00"/>
    <s v="South"/>
    <s v="Corporate"/>
    <s v="Office"/>
    <s v="Wireless Mouse"/>
    <n v="5"/>
    <n v="34.6"/>
    <n v="17.739999999999998"/>
    <n v="0.15000000000000002"/>
    <n v="5"/>
    <n v="4"/>
    <s v="No"/>
    <s v="Phone"/>
    <s v="Bank Transfer"/>
    <s v="Corporate"/>
    <s v="South"/>
    <s v="Office"/>
    <x v="138"/>
    <n v="1"/>
    <s v="Wireless Mouse"/>
    <n v="147.04999999999998"/>
    <n v="88.699999999999989"/>
    <n v="58.349999999999994"/>
    <n v="0.3968038082284937"/>
  </r>
  <r>
    <s v="BC-101261"/>
    <d v="2025-12-18T00:00:00"/>
    <s v="South"/>
    <s v="Individual"/>
    <s v="Electronics"/>
    <s v="Webcam"/>
    <n v="1"/>
    <n v="51.11"/>
    <n v="25.45"/>
    <n v="0.25"/>
    <n v="1"/>
    <n v="4"/>
    <s v="No"/>
    <s v="Online"/>
    <s v="Bank Transfer"/>
    <s v="Individual"/>
    <s v="South"/>
    <s v="Electronics"/>
    <x v="114"/>
    <n v="1"/>
    <s v="Webcam"/>
    <n v="38.332499999999996"/>
    <n v="25.45"/>
    <n v="12.882499999999997"/>
    <n v="0.33607252331572418"/>
  </r>
  <r>
    <s v="BC-101009"/>
    <d v="2025-05-25T00:00:00"/>
    <s v="Midlands"/>
    <s v="Small Business"/>
    <s v="Electronics"/>
    <s v="Portable Speaker"/>
    <n v="2"/>
    <n v="77.150000000000006"/>
    <n v="42.02"/>
    <n v="0"/>
    <n v="7"/>
    <n v="3"/>
    <s v="Yes"/>
    <s v="Online"/>
    <s v="Card"/>
    <s v="Small Business"/>
    <s v="Midlands"/>
    <s v="Electronics"/>
    <x v="234"/>
    <n v="1"/>
    <s v="Portable Speaker"/>
    <n v="154.30000000000001"/>
    <n v="84.04"/>
    <n v="70.260000000000005"/>
    <n v="0.45534672715489305"/>
  </r>
  <r>
    <s v="BC-100364"/>
    <d v="2025-12-27T00:00:00"/>
    <s v="North"/>
    <s v="Individual"/>
    <s v="Home &amp; Kitchen"/>
    <s v="Coffee Maker"/>
    <n v="1"/>
    <n v="81.2"/>
    <n v="44.73"/>
    <n v="0.1"/>
    <n v="4"/>
    <n v="3"/>
    <s v="Yes"/>
    <s v="Online"/>
    <s v="Card"/>
    <s v="Individual"/>
    <s v="North"/>
    <s v="Home &amp; Kitchen"/>
    <x v="125"/>
    <n v="1"/>
    <s v="Coffee Maker"/>
    <n v="73.08"/>
    <n v="44.73"/>
    <n v="28.35"/>
    <n v="0.38793103448275867"/>
  </r>
  <r>
    <s v="BC-100538"/>
    <d v="2025-01-24T00:00:00"/>
    <s v="London"/>
    <s v="Individual"/>
    <s v="Furniture"/>
    <s v="Office Chair"/>
    <n v="2"/>
    <n v="180.14"/>
    <n v="118.4"/>
    <n v="0"/>
    <n v="6"/>
    <n v="3"/>
    <s v="No"/>
    <s v="Online"/>
    <s v="Bank Transfer"/>
    <s v="Individual"/>
    <s v="London"/>
    <s v="Furniture"/>
    <x v="351"/>
    <n v="1"/>
    <s v="Office Chair"/>
    <n v="360.28"/>
    <n v="236.8"/>
    <n v="123.47999999999996"/>
    <n v="0.34273342955479064"/>
  </r>
  <r>
    <s v="BC-101551"/>
    <d v="2025-03-14T00:00:00"/>
    <s v="London"/>
    <s v="Small Business"/>
    <s v="Home &amp; Kitchen"/>
    <s v="Air Fryer"/>
    <n v="3"/>
    <n v="112.96"/>
    <n v="67.23"/>
    <n v="0.05"/>
    <n v="4"/>
    <n v="5"/>
    <s v="No"/>
    <s v="Online"/>
    <s v="Digital Wallet"/>
    <s v="Small Business"/>
    <s v="London"/>
    <s v="Home &amp; Kitchen"/>
    <x v="329"/>
    <n v="1"/>
    <s v="Air Fryer"/>
    <n v="321.93599999999998"/>
    <n v="201.69"/>
    <n v="120.24599999999998"/>
    <n v="0.37350902042642015"/>
  </r>
  <r>
    <s v="BC-101513"/>
    <d v="2025-10-28T00:00:00"/>
    <s v="Midlands"/>
    <s v="Corporate"/>
    <s v="Electronics"/>
    <s v="Wireless Headset"/>
    <n v="2"/>
    <n v="58.88"/>
    <n v="34.409999999999997"/>
    <n v="0.1"/>
    <n v="4"/>
    <n v="5"/>
    <s v="No"/>
    <s v="Online"/>
    <s v="Card"/>
    <s v="Corporate"/>
    <s v="Midlands"/>
    <s v="Electronics"/>
    <x v="357"/>
    <n v="1"/>
    <s v="Wireless Headset"/>
    <n v="105.98400000000001"/>
    <n v="68.819999999999993"/>
    <n v="37.164000000000016"/>
    <n v="0.35065670289855083"/>
  </r>
  <r>
    <s v="BC-100656"/>
    <d v="2025-03-24T00:00:00"/>
    <s v="North"/>
    <s v="Individual"/>
    <s v="Electronics"/>
    <s v="Portable Speaker"/>
    <n v="3"/>
    <n v="73.010000000000005"/>
    <n v="42.06"/>
    <n v="0"/>
    <n v="3"/>
    <n v="4"/>
    <s v="No"/>
    <s v="Store"/>
    <s v="Card"/>
    <s v="Individual"/>
    <s v="North"/>
    <s v="Electronics"/>
    <x v="144"/>
    <n v="1"/>
    <s v="Portable Speaker"/>
    <n v="219.03000000000003"/>
    <n v="126.18"/>
    <n v="92.850000000000023"/>
    <n v="0.4239145322558554"/>
  </r>
  <r>
    <s v="BC-100939"/>
    <d v="2025-01-22T00:00:00"/>
    <s v="North"/>
    <s v="Individual"/>
    <s v="Office"/>
    <s v="Desk Lamp"/>
    <n v="3"/>
    <n v="40.72"/>
    <n v="18.63"/>
    <n v="0"/>
    <n v="4"/>
    <n v="3"/>
    <s v="Yes"/>
    <s v="Online"/>
    <s v="Card"/>
    <s v="Individual"/>
    <s v="North"/>
    <s v="Office"/>
    <x v="327"/>
    <n v="1"/>
    <s v="Desk Lamp"/>
    <n v="122.16"/>
    <n v="55.89"/>
    <n v="66.27"/>
    <n v="0.54248526522593321"/>
  </r>
  <r>
    <s v="BC-101125"/>
    <d v="2025-09-18T00:00:00"/>
    <s v="London"/>
    <s v="Individual"/>
    <s v="Furniture"/>
    <s v="Office Chair"/>
    <n v="4"/>
    <n v="181.64"/>
    <n v="113.29"/>
    <n v="0"/>
    <n v="6"/>
    <n v="4"/>
    <s v="No"/>
    <s v="Phone"/>
    <s v="Card"/>
    <s v="Individual"/>
    <s v="London"/>
    <s v="Furniture"/>
    <x v="198"/>
    <n v="1"/>
    <s v="Office Chair"/>
    <n v="726.56"/>
    <n v="453.16"/>
    <n v="273.39999999999992"/>
    <n v="0.3762937678925346"/>
  </r>
  <r>
    <s v="BC-100792"/>
    <d v="2025-11-07T00:00:00"/>
    <s v="London"/>
    <s v="Individual"/>
    <s v="Electronics"/>
    <s v="SmartHome Hub"/>
    <n v="1"/>
    <n v="129.66"/>
    <n v="87.53"/>
    <n v="0.1"/>
    <n v="6"/>
    <n v="2"/>
    <s v="Yes"/>
    <s v="Phone"/>
    <s v="Card"/>
    <s v="Individual"/>
    <s v="London"/>
    <s v="Electronics"/>
    <x v="182"/>
    <n v="1"/>
    <s v="SmartHome Hub"/>
    <n v="116.694"/>
    <n v="87.53"/>
    <n v="29.164000000000001"/>
    <n v="0.24991859050165391"/>
  </r>
  <r>
    <s v="BC-101459"/>
    <d v="2025-08-15T00:00:00"/>
    <s v="London"/>
    <s v="Individual"/>
    <s v="Office"/>
    <s v="Desk Lamp"/>
    <n v="2"/>
    <n v="38.99"/>
    <n v="18.579999999999998"/>
    <n v="0"/>
    <n v="4"/>
    <n v="5"/>
    <s v="No"/>
    <s v="Online"/>
    <s v="Card"/>
    <s v="Individual"/>
    <s v="London"/>
    <s v="Office"/>
    <x v="325"/>
    <n v="1"/>
    <s v="Desk Lamp"/>
    <n v="77.98"/>
    <n v="37.159999999999997"/>
    <n v="40.820000000000007"/>
    <n v="0.52346755578353432"/>
  </r>
  <r>
    <s v="BC-101207"/>
    <d v="2025-03-03T00:00:00"/>
    <s v="North"/>
    <s v="Individual"/>
    <s v="Electronics"/>
    <s v="Wireless Headset"/>
    <n v="1"/>
    <n v="60.81"/>
    <n v="35.08"/>
    <n v="0"/>
    <n v="0"/>
    <n v="4"/>
    <s v="No"/>
    <s v="Store"/>
    <s v="Card"/>
    <s v="Individual"/>
    <s v="North"/>
    <s v="Electronics"/>
    <x v="345"/>
    <n v="1"/>
    <s v="Wireless Headset"/>
    <n v="60.81"/>
    <n v="35.08"/>
    <n v="25.730000000000004"/>
    <n v="0.42312119717151792"/>
  </r>
  <r>
    <s v="BC-100848"/>
    <d v="2025-12-12T00:00:00"/>
    <s v="Midlands"/>
    <s v="Individual"/>
    <s v="Office"/>
    <s v="Laptop Stand"/>
    <n v="2"/>
    <n v="43.72"/>
    <n v="20.94"/>
    <n v="0.1"/>
    <n v="2"/>
    <n v="4"/>
    <s v="No"/>
    <s v="Phone"/>
    <s v="Card"/>
    <s v="Individual"/>
    <s v="Midlands"/>
    <s v="Office"/>
    <x v="247"/>
    <n v="1"/>
    <s v="Laptop Stand"/>
    <n v="78.695999999999998"/>
    <n v="41.88"/>
    <n v="36.815999999999995"/>
    <n v="0.4678255565721256"/>
  </r>
  <r>
    <s v="BC-101369"/>
    <d v="2025-01-21T00:00:00"/>
    <s v="London"/>
    <s v="Individual"/>
    <s v="Home &amp; Kitchen"/>
    <s v="Blender"/>
    <n v="2"/>
    <n v="66.45"/>
    <n v="35.020000000000003"/>
    <n v="0.1"/>
    <n v="4"/>
    <n v="5"/>
    <s v="No"/>
    <s v="Online"/>
    <s v="Card"/>
    <s v="Individual"/>
    <s v="London"/>
    <s v="Home &amp; Kitchen"/>
    <x v="218"/>
    <n v="1"/>
    <s v="Blender"/>
    <n v="119.61000000000001"/>
    <n v="70.040000000000006"/>
    <n v="49.570000000000007"/>
    <n v="0.4144302315859878"/>
  </r>
  <r>
    <s v="BC-101161"/>
    <d v="2025-09-22T00:00:00"/>
    <s v="London"/>
    <s v="Small Business"/>
    <s v="Furniture"/>
    <s v="Storage Cabinet"/>
    <n v="5"/>
    <n v="156.35"/>
    <n v="100.47"/>
    <n v="0.1"/>
    <n v="8"/>
    <n v="3"/>
    <s v="No"/>
    <s v="Online"/>
    <s v="Card"/>
    <s v="Small Business"/>
    <s v="London"/>
    <s v="Furniture"/>
    <x v="189"/>
    <n v="1"/>
    <s v="Storage Cabinet"/>
    <n v="703.57500000000005"/>
    <n v="502.35"/>
    <n v="201.22500000000002"/>
    <n v="0.28600362434708454"/>
  </r>
  <r>
    <s v="BC-101626"/>
    <d v="2025-12-16T00:00:00"/>
    <s v="Midlands"/>
    <s v="Individual"/>
    <s v="Office"/>
    <s v="Laptop Stand"/>
    <n v="1"/>
    <n v="46.78"/>
    <n v="21.53"/>
    <n v="0.1"/>
    <n v="3"/>
    <n v="4"/>
    <s v="No"/>
    <s v="Online"/>
    <s v="Card"/>
    <s v="Individual"/>
    <s v="Midlands"/>
    <s v="Office"/>
    <x v="69"/>
    <n v="1"/>
    <s v="Laptop Stand"/>
    <n v="42.102000000000004"/>
    <n v="21.53"/>
    <n v="20.572000000000003"/>
    <n v="0.48862286827229112"/>
  </r>
  <r>
    <s v="BC-100112"/>
    <d v="2025-02-12T00:00:00"/>
    <s v="North"/>
    <s v="Individual"/>
    <s v="Home &amp; Kitchen"/>
    <s v="Coffee Maker"/>
    <n v="3"/>
    <n v="82.93"/>
    <n v="46.09"/>
    <n v="0.05"/>
    <n v="0"/>
    <n v="4"/>
    <s v="No"/>
    <s v="Store"/>
    <s v="Card"/>
    <s v="Individual"/>
    <s v="North"/>
    <s v="Home &amp; Kitchen"/>
    <x v="313"/>
    <n v="1"/>
    <s v="Coffee Maker"/>
    <n v="236.35050000000001"/>
    <n v="138.27000000000001"/>
    <n v="98.080500000000001"/>
    <n v="0.41497902479580112"/>
  </r>
  <r>
    <s v="BC-100247"/>
    <d v="2025-08-05T00:00:00"/>
    <s v="South"/>
    <s v="Individual"/>
    <s v="Furniture"/>
    <s v="Side Table"/>
    <n v="2"/>
    <n v="90.13"/>
    <n v="53.57"/>
    <n v="0.15000000000000002"/>
    <n v="8"/>
    <n v="4"/>
    <s v="No"/>
    <s v="Online"/>
    <s v="Card"/>
    <s v="Individual"/>
    <s v="South"/>
    <s v="Furniture"/>
    <x v="256"/>
    <n v="1"/>
    <s v="Side Table"/>
    <n v="153.22099999999998"/>
    <n v="107.14"/>
    <n v="46.080999999999975"/>
    <n v="0.30074859190319853"/>
  </r>
  <r>
    <s v="BC-101357"/>
    <d v="2025-03-08T00:00:00"/>
    <s v="Midlands"/>
    <s v="Individual"/>
    <s v="Electronics"/>
    <s v="Portable Speaker"/>
    <n v="1"/>
    <n v="75.290000000000006"/>
    <n v="43.07"/>
    <n v="0"/>
    <n v="2"/>
    <n v="4"/>
    <s v="No"/>
    <s v="Phone"/>
    <s v="Digital Wallet"/>
    <s v="Individual"/>
    <s v="Midlands"/>
    <s v="Electronics"/>
    <x v="293"/>
    <n v="1"/>
    <s v="Portable Speaker"/>
    <n v="75.290000000000006"/>
    <n v="43.07"/>
    <n v="32.220000000000006"/>
    <n v="0.42794527825740475"/>
  </r>
  <r>
    <s v="BC-101771"/>
    <d v="2025-07-01T00:00:00"/>
    <s v="Midlands"/>
    <s v="Individual"/>
    <s v="Office"/>
    <s v="Wireless Mouse"/>
    <n v="1"/>
    <n v="34.119999999999997"/>
    <n v="16.98"/>
    <n v="0"/>
    <n v="1"/>
    <n v="4"/>
    <s v="No"/>
    <s v="Store"/>
    <s v="Card"/>
    <s v="Individual"/>
    <s v="Midlands"/>
    <s v="Office"/>
    <x v="123"/>
    <n v="1"/>
    <s v="Wireless Mouse"/>
    <n v="34.119999999999997"/>
    <n v="16.98"/>
    <n v="17.139999999999997"/>
    <n v="0.50234466588511129"/>
  </r>
  <r>
    <s v="BC-101316"/>
    <d v="2025-06-24T00:00:00"/>
    <s v="South"/>
    <s v="Individual"/>
    <s v="Home &amp; Kitchen"/>
    <s v="Coffee Maker"/>
    <n v="1"/>
    <n v="81.93"/>
    <n v="45.34"/>
    <n v="0.05"/>
    <n v="6"/>
    <n v="3"/>
    <s v="No"/>
    <s v="Online"/>
    <s v="Bank Transfer"/>
    <s v="Individual"/>
    <s v="South"/>
    <s v="Home &amp; Kitchen"/>
    <x v="243"/>
    <n v="1"/>
    <s v="Coffee Maker"/>
    <n v="77.833500000000001"/>
    <n v="45.34"/>
    <n v="32.493499999999997"/>
    <n v="0.41747448078269633"/>
  </r>
  <r>
    <s v="BC-101412"/>
    <d v="2025-01-23T00:00:00"/>
    <s v="North"/>
    <s v="Small Business"/>
    <s v="Home &amp; Kitchen"/>
    <s v="Air Fryer"/>
    <n v="1"/>
    <n v="113.03"/>
    <n v="68.38"/>
    <n v="0"/>
    <n v="0"/>
    <n v="4"/>
    <s v="No"/>
    <s v="Store"/>
    <s v="Bank Transfer"/>
    <s v="Small Business"/>
    <s v="North"/>
    <s v="Home &amp; Kitchen"/>
    <x v="331"/>
    <n v="1"/>
    <s v="Air Fryer"/>
    <n v="113.03"/>
    <n v="68.38"/>
    <n v="44.650000000000006"/>
    <n v="0.39502786870742285"/>
  </r>
  <r>
    <s v="BC-100056"/>
    <d v="2025-03-16T00:00:00"/>
    <s v="Midlands"/>
    <s v="Individual"/>
    <s v="Office"/>
    <s v="Laptop Stand"/>
    <n v="1"/>
    <n v="44.23"/>
    <n v="21.38"/>
    <n v="0"/>
    <n v="2"/>
    <n v="4"/>
    <s v="Yes"/>
    <s v="Online"/>
    <s v="Card"/>
    <s v="Individual"/>
    <s v="Midlands"/>
    <s v="Office"/>
    <x v="324"/>
    <n v="1"/>
    <s v="Laptop Stand"/>
    <n v="44.23"/>
    <n v="21.38"/>
    <n v="22.849999999999998"/>
    <n v="0.51661768030748356"/>
  </r>
  <r>
    <s v="BC-100259"/>
    <d v="2025-12-07T00:00:00"/>
    <s v="North"/>
    <s v="Small Business"/>
    <s v="Electronics"/>
    <s v="SmartHome Hub"/>
    <n v="3"/>
    <n v="129.05000000000001"/>
    <n v="88.19"/>
    <n v="0.05"/>
    <n v="3"/>
    <n v="4"/>
    <s v="No"/>
    <s v="Online"/>
    <s v="Bank Transfer"/>
    <s v="Small Business"/>
    <s v="North"/>
    <s v="Electronics"/>
    <x v="304"/>
    <n v="1"/>
    <s v="SmartHome Hub"/>
    <n v="367.79250000000002"/>
    <n v="264.57"/>
    <n v="103.22250000000003"/>
    <n v="0.28065417320907854"/>
  </r>
  <r>
    <s v="BC-101532"/>
    <d v="2025-11-28T00:00:00"/>
    <s v="South"/>
    <s v="Individual"/>
    <s v="Home &amp; Kitchen"/>
    <s v="Coffee Maker"/>
    <n v="1"/>
    <n v="80.62"/>
    <n v="43.85"/>
    <n v="0.2"/>
    <n v="4"/>
    <n v="4"/>
    <s v="No"/>
    <s v="Online"/>
    <s v="Bank Transfer"/>
    <s v="Individual"/>
    <s v="South"/>
    <s v="Home &amp; Kitchen"/>
    <x v="43"/>
    <n v="1"/>
    <s v="Coffee Maker"/>
    <n v="64.496000000000009"/>
    <n v="43.85"/>
    <n v="20.646000000000008"/>
    <n v="0.32011287521706783"/>
  </r>
  <r>
    <s v="BC-100932"/>
    <d v="2025-08-24T00:00:00"/>
    <s v="North"/>
    <s v="Corporate"/>
    <s v="Home &amp; Kitchen"/>
    <s v="Electric Kettle"/>
    <n v="8"/>
    <n v="40.53"/>
    <n v="20.72"/>
    <n v="0.05"/>
    <n v="2"/>
    <n v="4"/>
    <s v="No"/>
    <s v="Store"/>
    <s v="Card"/>
    <s v="Corporate"/>
    <s v="North"/>
    <s v="Home &amp; Kitchen"/>
    <x v="77"/>
    <n v="1"/>
    <s v="Electric Kettle"/>
    <n v="308.02800000000002"/>
    <n v="165.76"/>
    <n v="142.26800000000003"/>
    <n v="0.46186710299063727"/>
  </r>
  <r>
    <s v="BC-100699"/>
    <d v="2025-03-12T00:00:00"/>
    <s v="North"/>
    <s v="Individual"/>
    <s v="Office"/>
    <s v="Laptop Stand"/>
    <n v="2"/>
    <n v="46.38"/>
    <n v="21.25"/>
    <n v="0"/>
    <n v="3"/>
    <n v="4"/>
    <s v="No"/>
    <s v="Online"/>
    <s v="Card"/>
    <s v="Individual"/>
    <s v="North"/>
    <s v="Office"/>
    <x v="45"/>
    <n v="1"/>
    <s v="Laptop Stand"/>
    <n v="92.76"/>
    <n v="42.5"/>
    <n v="50.260000000000005"/>
    <n v="0.541828374299267"/>
  </r>
  <r>
    <s v="BC-100662"/>
    <d v="2025-03-17T00:00:00"/>
    <s v="Midlands"/>
    <s v="Individual"/>
    <s v="Office"/>
    <s v="Laptop Stand"/>
    <n v="2"/>
    <n v="46.09"/>
    <n v="20.53"/>
    <n v="0"/>
    <n v="2"/>
    <n v="4"/>
    <s v="No"/>
    <s v="Store"/>
    <s v="Digital Wallet"/>
    <s v="Individual"/>
    <s v="Midlands"/>
    <s v="Office"/>
    <x v="205"/>
    <n v="1"/>
    <s v="Laptop Stand"/>
    <n v="92.18"/>
    <n v="41.06"/>
    <n v="51.120000000000005"/>
    <n v="0.55456715122586242"/>
  </r>
  <r>
    <s v="BC-101456"/>
    <d v="2025-07-31T00:00:00"/>
    <s v="London"/>
    <s v="Individual"/>
    <s v="Home &amp; Kitchen"/>
    <s v="Coffee Maker"/>
    <n v="1"/>
    <n v="78.900000000000006"/>
    <n v="44.79"/>
    <n v="0"/>
    <n v="1"/>
    <n v="4"/>
    <s v="No"/>
    <s v="Online"/>
    <s v="Card"/>
    <s v="Individual"/>
    <s v="London"/>
    <s v="Home &amp; Kitchen"/>
    <x v="9"/>
    <n v="1"/>
    <s v="Coffee Maker"/>
    <n v="78.900000000000006"/>
    <n v="44.79"/>
    <n v="34.110000000000007"/>
    <n v="0.43231939163498107"/>
  </r>
  <r>
    <s v="BC-101314"/>
    <d v="2025-11-22T00:00:00"/>
    <s v="South"/>
    <s v="Individual"/>
    <s v="Electronics"/>
    <s v="SmartHome Hub"/>
    <n v="1"/>
    <n v="133.27000000000001"/>
    <n v="86.41"/>
    <n v="0.1"/>
    <n v="2"/>
    <n v="4"/>
    <s v="No"/>
    <s v="Online"/>
    <s v="Card"/>
    <s v="Individual"/>
    <s v="South"/>
    <s v="Electronics"/>
    <x v="82"/>
    <n v="1"/>
    <s v="SmartHome Hub"/>
    <n v="119.94300000000001"/>
    <n v="86.41"/>
    <n v="33.533000000000015"/>
    <n v="0.27957446453732199"/>
  </r>
  <r>
    <s v="BC-101395"/>
    <d v="2025-08-07T00:00:00"/>
    <s v="North"/>
    <s v="Individual"/>
    <s v="Furniture"/>
    <s v="Office Chair"/>
    <n v="2"/>
    <n v="183.58"/>
    <n v="115.11"/>
    <n v="0.05"/>
    <n v="2"/>
    <n v="4"/>
    <s v="No"/>
    <s v="Store"/>
    <s v="Card"/>
    <s v="Individual"/>
    <s v="North"/>
    <s v="Furniture"/>
    <x v="343"/>
    <n v="1"/>
    <s v="Office Chair"/>
    <n v="348.80200000000002"/>
    <n v="230.22"/>
    <n v="118.58200000000002"/>
    <n v="0.33996938090951317"/>
  </r>
  <r>
    <s v="BC-101910"/>
    <d v="2025-06-06T00:00:00"/>
    <s v="Midlands"/>
    <s v="Individual"/>
    <s v="Office"/>
    <s v="Laptop Stand"/>
    <n v="1"/>
    <n v="43.72"/>
    <n v="20.94"/>
    <n v="0"/>
    <n v="2"/>
    <n v="5"/>
    <s v="No"/>
    <s v="Online"/>
    <s v="Card"/>
    <s v="Individual"/>
    <s v="Midlands"/>
    <s v="Office"/>
    <x v="236"/>
    <n v="1"/>
    <s v="Laptop Stand"/>
    <n v="43.72"/>
    <n v="20.94"/>
    <n v="22.779999999999998"/>
    <n v="0.52104300091491307"/>
  </r>
  <r>
    <s v="BC-101372"/>
    <d v="2025-12-22T00:00:00"/>
    <s v="Midlands"/>
    <s v="Small Business"/>
    <s v="Furniture"/>
    <s v="Storage Cabinet"/>
    <n v="2"/>
    <n v="161.44999999999999"/>
    <n v="105.88"/>
    <n v="0.1"/>
    <n v="0"/>
    <n v="4"/>
    <s v="No"/>
    <s v="Store"/>
    <s v="Card"/>
    <s v="Small Business"/>
    <s v="Midlands"/>
    <s v="Furniture"/>
    <x v="36"/>
    <n v="1"/>
    <s v="Storage Cabinet"/>
    <n v="290.61"/>
    <n v="211.76"/>
    <n v="78.850000000000023"/>
    <n v="0.27132583187089232"/>
  </r>
  <r>
    <s v="BC-101348"/>
    <d v="2025-07-08T00:00:00"/>
    <s v="South"/>
    <s v="Individual"/>
    <s v="Furniture"/>
    <s v="Bookshelf"/>
    <n v="2"/>
    <n v="117.41"/>
    <n v="70.39"/>
    <n v="0.1"/>
    <n v="3"/>
    <n v="4"/>
    <s v="No"/>
    <s v="Online"/>
    <s v="Card"/>
    <s v="Individual"/>
    <s v="South"/>
    <s v="Furniture"/>
    <x v="216"/>
    <n v="1"/>
    <s v="Bookshelf"/>
    <n v="211.33799999999999"/>
    <n v="140.78"/>
    <n v="70.557999999999993"/>
    <n v="0.33386329008507698"/>
  </r>
  <r>
    <s v="BC-101754"/>
    <d v="2025-12-22T00:00:00"/>
    <s v="London"/>
    <s v="Small Business"/>
    <s v="Office"/>
    <s v="Desk Lamp"/>
    <n v="3"/>
    <n v="40.39"/>
    <n v="19.52"/>
    <n v="0.15000000000000002"/>
    <n v="5"/>
    <n v="5"/>
    <s v="No"/>
    <s v="Online"/>
    <s v="Digital Wallet"/>
    <s v="Small Business"/>
    <s v="London"/>
    <s v="Office"/>
    <x v="36"/>
    <n v="1"/>
    <s v="Desk Lamp"/>
    <n v="102.9945"/>
    <n v="58.56"/>
    <n v="44.4345"/>
    <n v="0.43142594992936517"/>
  </r>
  <r>
    <s v="BC-100817"/>
    <d v="2025-06-20T00:00:00"/>
    <s v="North"/>
    <s v="Small Business"/>
    <s v="Electronics"/>
    <s v="Portable Speaker"/>
    <n v="2"/>
    <n v="74.03"/>
    <n v="44.01"/>
    <n v="0"/>
    <n v="0"/>
    <n v="5"/>
    <s v="No"/>
    <s v="Store"/>
    <s v="Card"/>
    <s v="Small Business"/>
    <s v="North"/>
    <s v="Electronics"/>
    <x v="163"/>
    <n v="1"/>
    <s v="Portable Speaker"/>
    <n v="148.06"/>
    <n v="88.02"/>
    <n v="60.040000000000006"/>
    <n v="0.40551127921113067"/>
  </r>
  <r>
    <s v="BC-100549"/>
    <d v="2025-05-24T00:00:00"/>
    <s v="London"/>
    <s v="Small Business"/>
    <s v="Home &amp; Kitchen"/>
    <s v="Blender"/>
    <n v="3"/>
    <n v="65.5"/>
    <n v="35.28"/>
    <n v="0"/>
    <n v="7"/>
    <n v="4"/>
    <s v="No"/>
    <s v="Online"/>
    <s v="Bank Transfer"/>
    <s v="Small Business"/>
    <s v="London"/>
    <s v="Home &amp; Kitchen"/>
    <x v="265"/>
    <n v="1"/>
    <s v="Blender"/>
    <n v="196.5"/>
    <n v="105.84"/>
    <n v="90.66"/>
    <n v="0.46137404580152669"/>
  </r>
  <r>
    <s v="BC-101344"/>
    <d v="2025-08-27T00:00:00"/>
    <s v="South"/>
    <s v="Individual"/>
    <s v="Electronics"/>
    <s v="Portable Speaker"/>
    <n v="3"/>
    <n v="73.39"/>
    <n v="43.11"/>
    <n v="0.1"/>
    <n v="3"/>
    <n v="4"/>
    <s v="Yes"/>
    <s v="Online"/>
    <s v="Card"/>
    <s v="Individual"/>
    <s v="South"/>
    <s v="Electronics"/>
    <x v="167"/>
    <n v="1"/>
    <s v="Portable Speaker"/>
    <n v="198.15300000000002"/>
    <n v="129.32999999999998"/>
    <n v="68.823000000000036"/>
    <n v="0.34732252350456483"/>
  </r>
  <r>
    <s v="BC-101503"/>
    <d v="2025-06-02T00:00:00"/>
    <s v="South"/>
    <s v="Small Business"/>
    <s v="Electronics"/>
    <s v="Portable Speaker"/>
    <n v="5"/>
    <n v="77.84"/>
    <n v="44.1"/>
    <n v="0.15000000000000002"/>
    <n v="0"/>
    <n v="4"/>
    <s v="No"/>
    <s v="Store"/>
    <s v="Card"/>
    <s v="Small Business"/>
    <s v="South"/>
    <s v="Electronics"/>
    <x v="64"/>
    <n v="1"/>
    <s v="Portable Speaker"/>
    <n v="330.82000000000005"/>
    <n v="220.5"/>
    <n v="110.32000000000005"/>
    <n v="0.33347439695302594"/>
  </r>
  <r>
    <s v="BC-101859"/>
    <d v="2025-12-16T00:00:00"/>
    <s v="London"/>
    <s v="Individual"/>
    <s v="Home &amp; Kitchen"/>
    <s v="Air Fryer"/>
    <n v="1"/>
    <n v="109.81"/>
    <n v="67.13"/>
    <n v="0.05"/>
    <n v="2"/>
    <n v="5"/>
    <s v="No"/>
    <s v="Online"/>
    <s v="Card"/>
    <s v="Individual"/>
    <s v="London"/>
    <s v="Home &amp; Kitchen"/>
    <x v="69"/>
    <n v="1"/>
    <s v="Air Fryer"/>
    <n v="104.31949999999999"/>
    <n v="67.13"/>
    <n v="37.189499999999995"/>
    <n v="0.35649614885040665"/>
  </r>
  <r>
    <s v="BC-100765"/>
    <d v="2025-01-20T00:00:00"/>
    <s v="London"/>
    <s v="Individual"/>
    <s v="Electronics"/>
    <s v="Wireless Headset"/>
    <n v="3"/>
    <n v="59.94"/>
    <n v="33.74"/>
    <n v="0.1"/>
    <n v="5"/>
    <n v="4"/>
    <s v="No"/>
    <s v="Online"/>
    <s v="Card"/>
    <s v="Individual"/>
    <s v="London"/>
    <s v="Electronics"/>
    <x v="225"/>
    <n v="1"/>
    <s v="Wireless Headset"/>
    <n v="161.83799999999999"/>
    <n v="101.22"/>
    <n v="60.617999999999995"/>
    <n v="0.37455974493011529"/>
  </r>
  <r>
    <s v="BC-101966"/>
    <d v="2025-11-19T00:00:00"/>
    <s v="Midlands"/>
    <s v="Small Business"/>
    <s v="Home &amp; Kitchen"/>
    <s v="Electric Kettle"/>
    <n v="3"/>
    <n v="39.380000000000003"/>
    <n v="19.579999999999998"/>
    <n v="0.05"/>
    <n v="4"/>
    <n v="4"/>
    <s v="No"/>
    <s v="Online"/>
    <s v="Bank Transfer"/>
    <s v="Small Business"/>
    <s v="Midlands"/>
    <s v="Home &amp; Kitchen"/>
    <x v="264"/>
    <n v="1"/>
    <s v="Electric Kettle"/>
    <n v="112.233"/>
    <n v="58.739999999999995"/>
    <n v="53.493000000000009"/>
    <n v="0.4766245221993532"/>
  </r>
  <r>
    <s v="BC-101944"/>
    <d v="2025-09-02T00:00:00"/>
    <s v="South"/>
    <s v="Individual"/>
    <s v="Furniture"/>
    <s v="Bookshelf"/>
    <n v="2"/>
    <n v="121.59"/>
    <n v="70.45"/>
    <n v="0.1"/>
    <n v="5"/>
    <n v="4"/>
    <s v="No"/>
    <s v="Store"/>
    <s v="Digital Wallet"/>
    <s v="Individual"/>
    <s v="South"/>
    <s v="Furniture"/>
    <x v="142"/>
    <n v="1"/>
    <s v="Bookshelf"/>
    <n v="218.86200000000002"/>
    <n v="140.9"/>
    <n v="77.962000000000018"/>
    <n v="0.35621533203571204"/>
  </r>
  <r>
    <s v="BC-100860"/>
    <d v="2025-12-09T00:00:00"/>
    <s v="London"/>
    <s v="Individual"/>
    <s v="Furniture"/>
    <s v="Storage Cabinet"/>
    <n v="2"/>
    <n v="164.28"/>
    <n v="103.46"/>
    <n v="0.05"/>
    <n v="4"/>
    <n v="4"/>
    <s v="No"/>
    <s v="Online"/>
    <s v="Card"/>
    <s v="Individual"/>
    <s v="London"/>
    <s v="Furniture"/>
    <x v="112"/>
    <n v="1"/>
    <s v="Storage Cabinet"/>
    <n v="312.13200000000001"/>
    <n v="206.92"/>
    <n v="105.21200000000002"/>
    <n v="0.33707533992029021"/>
  </r>
  <r>
    <s v="BC-101282"/>
    <d v="2025-02-11T00:00:00"/>
    <s v="Midlands"/>
    <s v="Individual"/>
    <s v="Electronics"/>
    <s v="Portable Speaker"/>
    <n v="1"/>
    <n v="74.31"/>
    <n v="42.48"/>
    <n v="0.05"/>
    <n v="4"/>
    <n v="5"/>
    <s v="No"/>
    <s v="Online"/>
    <s v="Card"/>
    <s v="Individual"/>
    <s v="Midlands"/>
    <s v="Electronics"/>
    <x v="288"/>
    <n v="1"/>
    <s v="Portable Speaker"/>
    <n v="70.594499999999996"/>
    <n v="42.48"/>
    <n v="28.1145"/>
    <n v="0.39825340501030537"/>
  </r>
  <r>
    <s v="BC-100245"/>
    <d v="2025-06-24T00:00:00"/>
    <s v="North"/>
    <s v="Small Business"/>
    <s v="Furniture"/>
    <s v="Storage Cabinet"/>
    <n v="3"/>
    <n v="162.96"/>
    <n v="98.37"/>
    <n v="0.05"/>
    <n v="10"/>
    <n v="3"/>
    <s v="No"/>
    <s v="Online"/>
    <s v="Bank Transfer"/>
    <s v="Small Business"/>
    <s v="North"/>
    <s v="Furniture"/>
    <x v="243"/>
    <n v="1"/>
    <s v="Storage Cabinet"/>
    <n v="464.43599999999998"/>
    <n v="295.11"/>
    <n v="169.32599999999996"/>
    <n v="0.36458414076428181"/>
  </r>
  <r>
    <s v="BC-101323"/>
    <d v="2025-10-04T00:00:00"/>
    <s v="North"/>
    <s v="Individual"/>
    <s v="Electronics"/>
    <s v="Webcam"/>
    <n v="2"/>
    <n v="50.47"/>
    <n v="26.56"/>
    <n v="0.05"/>
    <n v="2"/>
    <n v="5"/>
    <s v="No"/>
    <s v="Online"/>
    <s v="Card"/>
    <s v="Individual"/>
    <s v="North"/>
    <s v="Electronics"/>
    <x v="269"/>
    <n v="1"/>
    <s v="Webcam"/>
    <n v="95.892999999999986"/>
    <n v="53.12"/>
    <n v="42.772999999999989"/>
    <n v="0.44604924238474125"/>
  </r>
  <r>
    <s v="BC-100258"/>
    <d v="2025-12-05T00:00:00"/>
    <s v="North"/>
    <s v="Small Business"/>
    <s v="Electronics"/>
    <s v="SmartHome Hub"/>
    <n v="2"/>
    <n v="131.82"/>
    <n v="85.13"/>
    <n v="0.05"/>
    <n v="3"/>
    <n v="4"/>
    <s v="No"/>
    <s v="Online"/>
    <s v="Card"/>
    <s v="Small Business"/>
    <s v="North"/>
    <s v="Electronics"/>
    <x v="21"/>
    <n v="1"/>
    <s v="SmartHome Hub"/>
    <n v="250.45799999999997"/>
    <n v="170.26"/>
    <n v="80.197999999999979"/>
    <n v="0.32020538373699381"/>
  </r>
  <r>
    <s v="BC-100591"/>
    <d v="2025-12-24T00:00:00"/>
    <s v="North"/>
    <s v="Individual"/>
    <s v="Home &amp; Kitchen"/>
    <s v="Coffee Maker"/>
    <n v="3"/>
    <n v="79.239999999999995"/>
    <n v="45.2"/>
    <n v="0.15000000000000002"/>
    <n v="4"/>
    <n v="5"/>
    <s v="No"/>
    <s v="Store"/>
    <s v="Bank Transfer"/>
    <s v="Individual"/>
    <s v="North"/>
    <s v="Home &amp; Kitchen"/>
    <x v="316"/>
    <n v="1"/>
    <s v="Coffee Maker"/>
    <n v="202.06199999999998"/>
    <n v="135.60000000000002"/>
    <n v="66.461999999999961"/>
    <n v="0.32891884669061955"/>
  </r>
  <r>
    <s v="BC-101017"/>
    <d v="2025-08-17T00:00:00"/>
    <s v="Midlands"/>
    <s v="Individual"/>
    <s v="Home &amp; Kitchen"/>
    <s v="Air Fryer"/>
    <n v="2"/>
    <n v="110.97"/>
    <n v="66.709999999999994"/>
    <n v="0.1"/>
    <n v="1"/>
    <n v="4"/>
    <s v="No"/>
    <s v="Store"/>
    <s v="Digital Wallet"/>
    <s v="Individual"/>
    <s v="Midlands"/>
    <s v="Home &amp; Kitchen"/>
    <x v="12"/>
    <n v="1"/>
    <s v="Air Fryer"/>
    <n v="199.74600000000001"/>
    <n v="133.41999999999999"/>
    <n v="66.326000000000022"/>
    <n v="0.33205170566619618"/>
  </r>
  <r>
    <s v="BC-101340"/>
    <d v="2025-03-04T00:00:00"/>
    <s v="Midlands"/>
    <s v="Individual"/>
    <s v="Furniture"/>
    <s v="Bookshelf"/>
    <n v="1"/>
    <n v="121.64"/>
    <n v="70.73"/>
    <n v="0.05"/>
    <n v="1"/>
    <n v="4"/>
    <s v="No"/>
    <s v="Store"/>
    <s v="Digital Wallet"/>
    <s v="Individual"/>
    <s v="Midlands"/>
    <s v="Furniture"/>
    <x v="229"/>
    <n v="1"/>
    <s v="Bookshelf"/>
    <n v="115.55799999999999"/>
    <n v="70.73"/>
    <n v="44.827999999999989"/>
    <n v="0.38792640924903504"/>
  </r>
  <r>
    <s v="BC-100387"/>
    <d v="2025-11-04T00:00:00"/>
    <s v="London"/>
    <s v="Small Business"/>
    <s v="Office"/>
    <s v="Ergonomic Keyboard"/>
    <n v="2"/>
    <n v="69.41"/>
    <n v="37.74"/>
    <n v="0"/>
    <n v="0"/>
    <n v="4"/>
    <s v="No"/>
    <s v="Store"/>
    <s v="Card"/>
    <s v="Small Business"/>
    <s v="London"/>
    <s v="Office"/>
    <x v="258"/>
    <n v="1"/>
    <s v="Ergonomic Keyboard"/>
    <n v="138.82"/>
    <n v="75.48"/>
    <n v="63.339999999999989"/>
    <n v="0.45627431205878111"/>
  </r>
  <r>
    <s v="BC-101628"/>
    <d v="2025-07-03T00:00:00"/>
    <s v="Midlands"/>
    <s v="Individual"/>
    <s v="Home &amp; Kitchen"/>
    <s v="Blender"/>
    <n v="1"/>
    <n v="63.81"/>
    <n v="35.39"/>
    <n v="0.05"/>
    <n v="3"/>
    <n v="4"/>
    <s v="No"/>
    <s v="Online"/>
    <s v="Card"/>
    <s v="Individual"/>
    <s v="Midlands"/>
    <s v="Home &amp; Kitchen"/>
    <x v="152"/>
    <n v="1"/>
    <s v="Blender"/>
    <n v="60.619500000000002"/>
    <n v="35.39"/>
    <n v="25.229500000000002"/>
    <n v="0.41619445887874362"/>
  </r>
  <r>
    <s v="BC-100301"/>
    <d v="2025-12-26T00:00:00"/>
    <s v="South"/>
    <s v="Individual"/>
    <s v="Furniture"/>
    <s v="Storage Cabinet"/>
    <n v="1"/>
    <n v="161.22999999999999"/>
    <n v="100.83"/>
    <n v="0.15000000000000002"/>
    <n v="4"/>
    <n v="4"/>
    <s v="No"/>
    <s v="Online"/>
    <s v="Digital Wallet"/>
    <s v="Individual"/>
    <s v="South"/>
    <s v="Furniture"/>
    <x v="215"/>
    <n v="1"/>
    <s v="Storage Cabinet"/>
    <n v="137.04549999999998"/>
    <n v="100.83"/>
    <n v="36.215499999999977"/>
    <n v="0.26425895049454368"/>
  </r>
  <r>
    <s v="BC-101219"/>
    <d v="2025-10-31T00:00:00"/>
    <s v="Midlands"/>
    <s v="Individual"/>
    <s v="Electronics"/>
    <s v="SmartHome Hub"/>
    <n v="1"/>
    <n v="131.28"/>
    <n v="84.31"/>
    <n v="0"/>
    <n v="2"/>
    <m/>
    <s v="Yes"/>
    <s v="Online"/>
    <s v="Digital Wallet"/>
    <s v="Individual"/>
    <s v="Midlands"/>
    <s v="Electronics"/>
    <x v="46"/>
    <n v="1"/>
    <s v="SmartHome Hub"/>
    <n v="131.28"/>
    <n v="84.31"/>
    <n v="46.97"/>
    <n v="0.35778488726386348"/>
  </r>
  <r>
    <s v="BC-100512"/>
    <d v="2025-04-19T00:00:00"/>
    <s v="South"/>
    <s v="Individual"/>
    <s v="Home &amp; Kitchen"/>
    <s v="Air Fryer"/>
    <n v="1"/>
    <n v="110.03"/>
    <n v="66.02"/>
    <n v="0.05"/>
    <n v="1"/>
    <n v="5"/>
    <s v="No"/>
    <s v="Store"/>
    <s v="Card"/>
    <s v="Individual"/>
    <s v="South"/>
    <s v="Home &amp; Kitchen"/>
    <x v="336"/>
    <n v="1"/>
    <s v="Air Fryer"/>
    <n v="104.52849999999999"/>
    <n v="66.02"/>
    <n v="38.508499999999998"/>
    <n v="0.36840191909383563"/>
  </r>
  <r>
    <s v="BC-101785"/>
    <d v="2025-11-28T00:00:00"/>
    <s v="London"/>
    <s v="Individual"/>
    <s v="Furniture"/>
    <s v="Side Table"/>
    <n v="2"/>
    <n v="88.07"/>
    <n v="54.96"/>
    <n v="0.05"/>
    <n v="8"/>
    <n v="4"/>
    <s v="No"/>
    <s v="Online"/>
    <s v="Card"/>
    <s v="Individual"/>
    <s v="London"/>
    <s v="Furniture"/>
    <x v="43"/>
    <n v="1"/>
    <s v="Side Table"/>
    <n v="167.33299999999997"/>
    <n v="109.92"/>
    <n v="57.412999999999968"/>
    <n v="0.34310626116785081"/>
  </r>
  <r>
    <s v="BC-100429"/>
    <d v="2025-07-20T00:00:00"/>
    <s v="South"/>
    <s v="Individual"/>
    <s v="Furniture"/>
    <s v="Side Table"/>
    <n v="2"/>
    <n v="87.76"/>
    <n v="56.16"/>
    <n v="0.05"/>
    <n v="4"/>
    <n v="4"/>
    <s v="No"/>
    <s v="Store"/>
    <s v="Card"/>
    <s v="Individual"/>
    <s v="South"/>
    <s v="Furniture"/>
    <x v="101"/>
    <n v="1"/>
    <s v="Side Table"/>
    <n v="166.744"/>
    <n v="112.32"/>
    <n v="54.424000000000007"/>
    <n v="0.32639255385501131"/>
  </r>
  <r>
    <s v="BC-101553"/>
    <d v="2025-02-16T00:00:00"/>
    <s v="Midlands"/>
    <s v="Individual"/>
    <s v="Furniture"/>
    <s v="Side Table"/>
    <n v="1"/>
    <n v="91.62"/>
    <n v="52.66"/>
    <n v="0.1"/>
    <n v="6"/>
    <n v="4"/>
    <s v="No"/>
    <s v="Online"/>
    <s v="Card"/>
    <s v="Individual"/>
    <s v="Midlands"/>
    <s v="Furniture"/>
    <x v="200"/>
    <n v="1"/>
    <s v="Side Table"/>
    <n v="82.458000000000013"/>
    <n v="52.66"/>
    <n v="29.798000000000016"/>
    <n v="0.3613718499114702"/>
  </r>
  <r>
    <s v="BC-100521"/>
    <d v="2025-07-04T00:00:00"/>
    <s v="South"/>
    <s v="Corporate"/>
    <s v="Home &amp; Kitchen"/>
    <s v="Air Fryer"/>
    <n v="4"/>
    <n v="107.96"/>
    <n v="68.209999999999994"/>
    <n v="0.05"/>
    <n v="9"/>
    <n v="3"/>
    <s v="No"/>
    <s v="Online"/>
    <s v="Card"/>
    <s v="Corporate"/>
    <s v="South"/>
    <s v="Home &amp; Kitchen"/>
    <x v="283"/>
    <n v="1"/>
    <s v="Air Fryer"/>
    <n v="410.24799999999993"/>
    <n v="272.83999999999997"/>
    <n v="137.40799999999996"/>
    <n v="0.334938866246758"/>
  </r>
  <r>
    <s v="BC-100638"/>
    <d v="2025-12-29T00:00:00"/>
    <s v="South"/>
    <s v="Individual"/>
    <s v="Electronics"/>
    <s v="SmartHome Hub"/>
    <n v="1"/>
    <n v="134.41999999999999"/>
    <n v="87.27"/>
    <n v="0.15000000000000002"/>
    <n v="3"/>
    <n v="4"/>
    <s v="No"/>
    <s v="Online"/>
    <s v="Digital Wallet"/>
    <s v="Individual"/>
    <s v="South"/>
    <s v="Electronics"/>
    <x v="116"/>
    <n v="1"/>
    <s v="SmartHome Hub"/>
    <n v="114.25699999999999"/>
    <n v="87.27"/>
    <n v="26.986999999999995"/>
    <n v="0.2361955941430284"/>
  </r>
  <r>
    <s v="BC-101893"/>
    <d v="2025-06-16T00:00:00"/>
    <s v="North"/>
    <s v="Individual"/>
    <s v="Office"/>
    <s v="Ergonomic Keyboard"/>
    <n v="4"/>
    <n v="68.36"/>
    <n v="38.340000000000003"/>
    <n v="0"/>
    <n v="2"/>
    <n v="4"/>
    <s v="No"/>
    <s v="Online"/>
    <s v="Digital Wallet"/>
    <s v="Individual"/>
    <s v="North"/>
    <s v="Office"/>
    <x v="270"/>
    <n v="1"/>
    <s v="Ergonomic Keyboard"/>
    <n v="273.44"/>
    <n v="153.36000000000001"/>
    <n v="120.07999999999998"/>
    <n v="0.43914569923932117"/>
  </r>
  <r>
    <s v="BC-100960"/>
    <s v="27/10/2025"/>
    <s v="North"/>
    <s v="Corporate"/>
    <s v="Furniture"/>
    <s v="Storage Cabinet"/>
    <n v="10"/>
    <n v="158.30000000000001"/>
    <n v="105.94"/>
    <n v="0.05"/>
    <n v="5"/>
    <n v="4"/>
    <s v="No"/>
    <s v="Online"/>
    <s v="Card"/>
    <s v="Corporate"/>
    <s v="North"/>
    <s v="Furniture"/>
    <x v="35"/>
    <n v="1"/>
    <s v="Storage Cabinet"/>
    <n v="1503.85"/>
    <n v="1059.4000000000001"/>
    <n v="444.44999999999982"/>
    <n v="0.29554144362802132"/>
  </r>
  <r>
    <s v="BC-101915"/>
    <d v="2025-12-22T00:00:00"/>
    <s v="South"/>
    <s v="Individual"/>
    <s v="Electronics"/>
    <s v="Wireless Headset"/>
    <n v="1"/>
    <n v="61.61"/>
    <n v="33.57"/>
    <n v="0.1"/>
    <n v="3"/>
    <n v="3"/>
    <s v="Yes"/>
    <s v="Store"/>
    <s v="Card"/>
    <s v="Individual"/>
    <s v="South"/>
    <s v="Electronics"/>
    <x v="36"/>
    <n v="1"/>
    <s v="Wireless Headset"/>
    <n v="55.448999999999998"/>
    <n v="33.57"/>
    <n v="21.878999999999998"/>
    <n v="0.39457880214250929"/>
  </r>
  <r>
    <s v="BC-101642"/>
    <d v="2025-05-05T00:00:00"/>
    <s v="Midlands"/>
    <s v="Individual"/>
    <s v="Home &amp; Kitchen"/>
    <s v="Electric Kettle"/>
    <n v="1"/>
    <n v="41.56"/>
    <n v="19.87"/>
    <n v="0"/>
    <n v="2"/>
    <n v="4"/>
    <s v="No"/>
    <s v="Online"/>
    <s v="Bank Transfer"/>
    <s v="Individual"/>
    <s v="Midlands"/>
    <s v="Home &amp; Kitchen"/>
    <x v="235"/>
    <n v="1"/>
    <s v="Electric Kettle"/>
    <n v="41.56"/>
    <n v="19.87"/>
    <n v="21.69"/>
    <n v="0.52189605389797877"/>
  </r>
  <r>
    <s v="BC-100281"/>
    <d v="2025-06-21T00:00:00"/>
    <s v="London"/>
    <s v="Individual"/>
    <s v="Home &amp; Kitchen"/>
    <s v="Coffee Maker"/>
    <n v="1"/>
    <n v="78.849999999999994"/>
    <n v="44.63"/>
    <n v="0"/>
    <n v="1"/>
    <n v="4"/>
    <s v="No"/>
    <s v="Store"/>
    <s v="Bank Transfer"/>
    <s v="Individual"/>
    <s v="London"/>
    <s v="Home &amp; Kitchen"/>
    <x v="240"/>
    <n v="1"/>
    <s v="Coffee Maker"/>
    <n v="78.849999999999994"/>
    <n v="44.63"/>
    <n v="34.219999999999992"/>
    <n v="0.43398858592263784"/>
  </r>
  <r>
    <s v="BC-100171"/>
    <d v="2025-12-19T00:00:00"/>
    <s v="Midlands"/>
    <s v="Individual"/>
    <s v="Electronics"/>
    <s v="Portable Speaker"/>
    <n v="3"/>
    <n v="77.39"/>
    <n v="44.36"/>
    <n v="0.15000000000000002"/>
    <n v="1"/>
    <n v="5"/>
    <s v="No"/>
    <s v="Store"/>
    <s v="Card"/>
    <s v="Individual"/>
    <s v="Midlands"/>
    <s v="Electronics"/>
    <x v="18"/>
    <n v="1"/>
    <s v="Portable Speaker"/>
    <n v="197.34450000000001"/>
    <n v="133.07999999999998"/>
    <n v="64.264500000000027"/>
    <n v="0.32564626832772142"/>
  </r>
  <r>
    <s v="BC-100031"/>
    <d v="2025-12-14T00:00:00"/>
    <s v="Midlands"/>
    <s v="Individual"/>
    <s v="Office"/>
    <s v="Desk Lamp"/>
    <n v="2"/>
    <n v="41.56"/>
    <n v="19.57"/>
    <n v="0.1"/>
    <n v="0"/>
    <n v="4"/>
    <s v="No"/>
    <s v="Store"/>
    <s v="Card"/>
    <s v="Individual"/>
    <s v="Midlands"/>
    <s v="Office"/>
    <x v="166"/>
    <n v="1"/>
    <s v="Desk Lamp"/>
    <n v="74.808000000000007"/>
    <n v="39.14"/>
    <n v="35.668000000000006"/>
    <n v="0.47679392578333873"/>
  </r>
  <r>
    <s v="BC-101597"/>
    <d v="2025-05-15T00:00:00"/>
    <s v="London"/>
    <s v="Individual"/>
    <s v="Furniture"/>
    <s v="Side Table"/>
    <n v="3"/>
    <n v="90.53"/>
    <n v="52.95"/>
    <n v="0.1"/>
    <n v="3"/>
    <n v="4"/>
    <s v="No"/>
    <s v="Online"/>
    <s v="Card"/>
    <s v="Individual"/>
    <s v="London"/>
    <s v="Furniture"/>
    <x v="47"/>
    <n v="1"/>
    <s v="Side Table"/>
    <n v="244.43100000000004"/>
    <n v="158.85000000000002"/>
    <n v="85.581000000000017"/>
    <n v="0.35012334769321407"/>
  </r>
  <r>
    <s v="BC-100180"/>
    <d v="2025-01-16T00:00:00"/>
    <s v="London"/>
    <s v="Individual"/>
    <s v="Furniture"/>
    <s v="Side Table"/>
    <n v="1"/>
    <n v="90.13"/>
    <n v="53"/>
    <n v="0.1"/>
    <n v="8"/>
    <m/>
    <s v="No"/>
    <s v="Online"/>
    <s v="Card"/>
    <s v="Individual"/>
    <s v="London"/>
    <s v="Furniture"/>
    <x v="79"/>
    <n v="1"/>
    <s v="Side Table"/>
    <n v="81.117000000000004"/>
    <n v="53"/>
    <n v="28.117000000000004"/>
    <n v="0.34662277944204056"/>
  </r>
  <r>
    <s v="BC-101243"/>
    <d v="2025-12-25T00:00:00"/>
    <s v="South"/>
    <s v="Individual"/>
    <s v="Office"/>
    <s v="Desk Lamp"/>
    <n v="1"/>
    <n v="38.880000000000003"/>
    <n v="18.79"/>
    <n v="0.2"/>
    <n v="0"/>
    <n v="5"/>
    <s v="No"/>
    <s v="Store"/>
    <s v="Card"/>
    <s v="Individual"/>
    <s v="South"/>
    <s v="Office"/>
    <x v="28"/>
    <n v="1"/>
    <s v="Desk Lamp"/>
    <n v="31.104000000000003"/>
    <n v="18.79"/>
    <n v="12.314000000000004"/>
    <n v="0.39589763374485604"/>
  </r>
  <r>
    <s v="BC-100525"/>
    <d v="2025-05-18T00:00:00"/>
    <s v="South"/>
    <s v="Individual"/>
    <s v="Home &amp; Kitchen"/>
    <s v="Coffee Maker"/>
    <n v="1"/>
    <n v="77.81"/>
    <n v="47.22"/>
    <n v="0"/>
    <n v="4"/>
    <n v="4"/>
    <s v="No"/>
    <s v="Store"/>
    <s v="Digital Wallet"/>
    <s v="Individual"/>
    <s v="South"/>
    <s v="Home &amp; Kitchen"/>
    <x v="140"/>
    <n v="1"/>
    <s v="Coffee Maker"/>
    <n v="77.81"/>
    <n v="47.22"/>
    <n v="30.590000000000003"/>
    <n v="0.39313712890373992"/>
  </r>
  <r>
    <s v="BC-100253"/>
    <d v="2025-07-29T00:00:00"/>
    <s v="London"/>
    <s v="Individual"/>
    <s v="Home &amp; Kitchen"/>
    <s v="Coffee Maker"/>
    <n v="1"/>
    <n v="78.56"/>
    <n v="45.71"/>
    <n v="0"/>
    <n v="4"/>
    <n v="4"/>
    <s v="No"/>
    <s v="Online"/>
    <s v="Card"/>
    <s v="Individual"/>
    <s v="London"/>
    <s v="Home &amp; Kitchen"/>
    <x v="273"/>
    <n v="1"/>
    <s v="Coffee Maker"/>
    <n v="78.56"/>
    <n v="45.71"/>
    <n v="32.85"/>
    <n v="0.41815173116089616"/>
  </r>
  <r>
    <s v="BC-100940"/>
    <d v="2025-11-28T00:00:00"/>
    <s v="South"/>
    <s v="Individual"/>
    <s v="Office"/>
    <s v="Desk Lamp"/>
    <n v="1"/>
    <n v="41.42"/>
    <n v="19.04"/>
    <n v="0.25"/>
    <n v="2"/>
    <n v="5"/>
    <s v="No"/>
    <s v="Online"/>
    <s v="Card"/>
    <s v="Individual"/>
    <s v="South"/>
    <s v="Office"/>
    <x v="43"/>
    <n v="1"/>
    <s v="Desk Lamp"/>
    <n v="31.065000000000001"/>
    <n v="19.04"/>
    <n v="12.025000000000002"/>
    <n v="0.38709158216642531"/>
  </r>
  <r>
    <s v="BC-101692"/>
    <d v="2025-06-26T00:00:00"/>
    <s v="South"/>
    <s v="Individual"/>
    <s v="Home &amp; Kitchen"/>
    <s v="Air Fryer"/>
    <n v="1"/>
    <n v="114.25"/>
    <n v="67.540000000000006"/>
    <n v="0.1"/>
    <n v="2"/>
    <n v="4"/>
    <s v="No"/>
    <s v="Online"/>
    <s v="Bank Transfer"/>
    <s v="Individual"/>
    <s v="South"/>
    <s v="Home &amp; Kitchen"/>
    <x v="221"/>
    <n v="1"/>
    <s v="Air Fryer"/>
    <n v="102.825"/>
    <n v="67.540000000000006"/>
    <n v="35.284999999999997"/>
    <n v="0.34315584731339649"/>
  </r>
  <r>
    <s v="BC-101053"/>
    <d v="2025-10-27T00:00:00"/>
    <s v="Midlands"/>
    <s v="Individual"/>
    <s v="Electronics"/>
    <s v="Portable Speaker"/>
    <n v="1"/>
    <n v="76.67"/>
    <n v="43.41"/>
    <n v="0"/>
    <n v="2"/>
    <n v="4"/>
    <s v="No"/>
    <s v="Online"/>
    <s v="Bank Transfer"/>
    <s v="Individual"/>
    <s v="Midlands"/>
    <s v="Electronics"/>
    <x v="35"/>
    <n v="1"/>
    <s v="Portable Speaker"/>
    <n v="76.67"/>
    <n v="43.41"/>
    <n v="33.260000000000005"/>
    <n v="0.43380722577279257"/>
  </r>
  <r>
    <s v="BC-101479"/>
    <d v="2025-04-24T00:00:00"/>
    <s v="London"/>
    <s v="Individual"/>
    <s v="Electronics"/>
    <s v="Portable Speaker"/>
    <n v="2"/>
    <n v="75.23"/>
    <n v="41.84"/>
    <n v="0"/>
    <n v="3"/>
    <n v="4"/>
    <s v="No"/>
    <s v="Phone"/>
    <s v="Bank Transfer"/>
    <s v="Individual"/>
    <s v="London"/>
    <s v="Electronics"/>
    <x v="278"/>
    <n v="1"/>
    <s v="Portable Speaker"/>
    <n v="150.46"/>
    <n v="83.68"/>
    <n v="66.78"/>
    <n v="0.44383889405822141"/>
  </r>
  <r>
    <s v="BC-100453"/>
    <d v="2025-12-25T00:00:00"/>
    <s v="London"/>
    <s v="Individual"/>
    <s v="Electronics"/>
    <s v="Wireless Headset"/>
    <n v="1"/>
    <n v="59.57"/>
    <n v="35.229999999999997"/>
    <n v="0.1"/>
    <n v="2"/>
    <n v="3"/>
    <s v="Yes"/>
    <s v="Phone"/>
    <s v="Card"/>
    <s v="Individual"/>
    <s v="London"/>
    <s v="Electronics"/>
    <x v="28"/>
    <n v="1"/>
    <s v="Wireless Headset"/>
    <n v="53.613"/>
    <n v="35.229999999999997"/>
    <n v="18.383000000000003"/>
    <n v="0.34288325592673424"/>
  </r>
  <r>
    <s v="BC-100951"/>
    <d v="2025-10-05T00:00:00"/>
    <s v="South"/>
    <s v="Individual"/>
    <s v="Furniture"/>
    <s v="Side Table"/>
    <n v="1"/>
    <n v="91.71"/>
    <n v="55.59"/>
    <n v="0.1"/>
    <n v="2"/>
    <n v="5"/>
    <s v="No"/>
    <s v="Store"/>
    <s v="Card"/>
    <s v="Individual"/>
    <s v="South"/>
    <s v="Furniture"/>
    <x v="118"/>
    <n v="1"/>
    <s v="Side Table"/>
    <n v="82.539000000000001"/>
    <n v="55.59"/>
    <n v="26.948999999999998"/>
    <n v="0.32650019990549917"/>
  </r>
  <r>
    <s v="BC-101776"/>
    <d v="2025-09-22T00:00:00"/>
    <s v="South"/>
    <s v="Individual"/>
    <s v="Home &amp; Kitchen"/>
    <s v="Electric Kettle"/>
    <n v="3"/>
    <n v="39.880000000000003"/>
    <n v="19.63"/>
    <n v="0.05"/>
    <n v="4"/>
    <n v="4"/>
    <s v="No"/>
    <s v="Store"/>
    <s v="Card"/>
    <s v="Individual"/>
    <s v="South"/>
    <s v="Home &amp; Kitchen"/>
    <x v="189"/>
    <n v="1"/>
    <s v="Electric Kettle"/>
    <n v="113.65800000000002"/>
    <n v="58.89"/>
    <n v="54.768000000000015"/>
    <n v="0.48186665258934708"/>
  </r>
  <r>
    <s v="BC-101358"/>
    <d v="2025-11-07T00:00:00"/>
    <s v="South"/>
    <s v="Individual"/>
    <s v="Home &amp; Kitchen"/>
    <s v="Coffee Maker"/>
    <n v="1"/>
    <n v="81.459999999999994"/>
    <n v="43.66"/>
    <n v="0.2"/>
    <n v="0"/>
    <n v="5"/>
    <s v="No"/>
    <s v="Store"/>
    <s v="Card"/>
    <s v="Individual"/>
    <s v="South"/>
    <s v="Home &amp; Kitchen"/>
    <x v="182"/>
    <n v="1"/>
    <s v="Coffee Maker"/>
    <n v="65.167999999999992"/>
    <n v="43.66"/>
    <n v="21.507999999999996"/>
    <n v="0.33003928308372205"/>
  </r>
  <r>
    <s v="BC-101155"/>
    <d v="2025-06-29T00:00:00"/>
    <s v="Midlands"/>
    <s v="Individual"/>
    <s v="Office"/>
    <s v="Desk Lamp"/>
    <n v="2"/>
    <n v="41.57"/>
    <n v="19.440000000000001"/>
    <n v="0"/>
    <n v="0"/>
    <n v="4"/>
    <s v="No"/>
    <s v="Store"/>
    <s v="Card"/>
    <s v="Individual"/>
    <s v="Midlands"/>
    <s v="Office"/>
    <x v="57"/>
    <n v="1"/>
    <s v="Desk Lamp"/>
    <n v="83.14"/>
    <n v="38.880000000000003"/>
    <n v="44.26"/>
    <n v="0.5323550637478951"/>
  </r>
  <r>
    <s v="BC-100250"/>
    <d v="2025-06-11T00:00:00"/>
    <s v="Midlands"/>
    <s v="Corporate"/>
    <s v="Furniture"/>
    <s v="Bookshelf"/>
    <n v="3"/>
    <n v="118.27"/>
    <n v="72.92"/>
    <n v="0.1"/>
    <n v="5"/>
    <n v="4"/>
    <s v="No"/>
    <s v="Online"/>
    <s v="Card"/>
    <s v="Corporate"/>
    <s v="Midlands"/>
    <s v="Furniture"/>
    <x v="346"/>
    <n v="1"/>
    <s v="Bookshelf"/>
    <n v="319.32900000000001"/>
    <n v="218.76"/>
    <n v="100.56900000000002"/>
    <n v="0.31493851169170356"/>
  </r>
  <r>
    <s v="BC-100440"/>
    <d v="2025-01-19T00:00:00"/>
    <s v="Midlands"/>
    <s v="Small Business"/>
    <s v="Electronics"/>
    <s v="Webcam"/>
    <n v="5"/>
    <n v="50.69"/>
    <n v="26.13"/>
    <n v="0.05"/>
    <n v="4"/>
    <n v="4"/>
    <s v="No"/>
    <s v="Online"/>
    <s v="Digital Wallet"/>
    <s v="Small Business"/>
    <s v="Midlands"/>
    <s v="Electronics"/>
    <x v="333"/>
    <n v="1"/>
    <s v="Webcam"/>
    <n v="240.77749999999997"/>
    <n v="130.65"/>
    <n v="110.12749999999997"/>
    <n v="0.45738285346429786"/>
  </r>
  <r>
    <s v="BC-101139"/>
    <d v="2025-01-26T00:00:00"/>
    <s v="North"/>
    <s v="Corporate"/>
    <s v="Electronics"/>
    <s v="Portable Speaker"/>
    <n v="4"/>
    <n v="74.819999999999993"/>
    <n v="42.39"/>
    <n v="0.05"/>
    <n v="5"/>
    <n v="4"/>
    <s v="No"/>
    <s v="Online"/>
    <s v="Card"/>
    <s v="Corporate"/>
    <s v="North"/>
    <s v="Electronics"/>
    <x v="237"/>
    <n v="1"/>
    <s v="Portable Speaker"/>
    <n v="284.31599999999997"/>
    <n v="169.56"/>
    <n v="114.75599999999997"/>
    <n v="0.40362132275355583"/>
  </r>
  <r>
    <s v="BC-100369"/>
    <d v="2025-03-30T00:00:00"/>
    <s v="North"/>
    <s v="Individual"/>
    <s v="Home &amp; Kitchen"/>
    <s v="Electric Kettle"/>
    <n v="3"/>
    <n v="39.65"/>
    <n v="19.98"/>
    <n v="0"/>
    <n v="2"/>
    <m/>
    <s v="No"/>
    <s v="Store"/>
    <s v="Card"/>
    <s v="Individual"/>
    <s v="North"/>
    <s v="Home &amp; Kitchen"/>
    <x v="196"/>
    <n v="1"/>
    <s v="Electric Kettle"/>
    <n v="118.94999999999999"/>
    <n v="59.94"/>
    <n v="59.009999999999991"/>
    <n v="0.49609079445145016"/>
  </r>
  <r>
    <s v="BC-100732"/>
    <d v="2025-11-23T00:00:00"/>
    <s v="North"/>
    <s v="Small Business"/>
    <s v="Home &amp; Kitchen"/>
    <s v="Air Fryer"/>
    <n v="3"/>
    <n v="107"/>
    <n v="68.819999999999993"/>
    <n v="0.15000000000000002"/>
    <n v="2"/>
    <n v="5"/>
    <s v="No"/>
    <s v="Online"/>
    <s v="Digital Wallet"/>
    <s v="Small Business"/>
    <s v="North"/>
    <s v="Home &amp; Kitchen"/>
    <x v="259"/>
    <n v="1"/>
    <s v="Air Fryer"/>
    <n v="272.84999999999997"/>
    <n v="206.45999999999998"/>
    <n v="66.389999999999986"/>
    <n v="0.24332050577240241"/>
  </r>
  <r>
    <s v="BC-100694"/>
    <d v="2025-09-05T00:00:00"/>
    <s v="Midlands"/>
    <s v="Individual"/>
    <s v="Home &amp; Kitchen"/>
    <s v="Air Fryer"/>
    <n v="2"/>
    <n v="113.61"/>
    <n v="69.44"/>
    <n v="0.1"/>
    <n v="3"/>
    <n v="4"/>
    <s v="No"/>
    <s v="Phone"/>
    <s v="Card"/>
    <s v="Individual"/>
    <s v="Midlands"/>
    <s v="Home &amp; Kitchen"/>
    <x v="134"/>
    <n v="1"/>
    <s v="Air Fryer"/>
    <n v="204.49799999999999"/>
    <n v="138.88"/>
    <n v="65.617999999999995"/>
    <n v="0.32087355377558702"/>
  </r>
  <r>
    <s v="BC-100142"/>
    <d v="2025-09-07T00:00:00"/>
    <s v="Midlands"/>
    <s v="Individual"/>
    <s v="Office"/>
    <s v="Ergonomic Keyboard"/>
    <n v="3"/>
    <n v="69.87"/>
    <n v="37.92"/>
    <n v="0.05"/>
    <n v="3"/>
    <n v="5"/>
    <s v="No"/>
    <s v="Online"/>
    <s v="Bank Transfer"/>
    <s v="Individual"/>
    <s v="Midlands"/>
    <s v="Office"/>
    <x v="83"/>
    <n v="1"/>
    <s v="Ergonomic Keyboard"/>
    <n v="199.12950000000001"/>
    <n v="113.76"/>
    <n v="85.369500000000002"/>
    <n v="0.42871347540168581"/>
  </r>
  <r>
    <s v="BC-101315"/>
    <d v="2025-09-26T00:00:00"/>
    <s v="London"/>
    <s v="Individual"/>
    <s v="Home &amp; Kitchen"/>
    <s v="Coffee Maker"/>
    <n v="1"/>
    <n v="81.33"/>
    <n v="43.75"/>
    <n v="0.1"/>
    <n v="0"/>
    <n v="5"/>
    <s v="No"/>
    <s v="Store"/>
    <s v="Card"/>
    <s v="Individual"/>
    <s v="London"/>
    <s v="Home &amp; Kitchen"/>
    <x v="342"/>
    <n v="1"/>
    <s v="Coffee Maker"/>
    <n v="73.197000000000003"/>
    <n v="43.75"/>
    <n v="29.447000000000003"/>
    <n v="0.40229790838422341"/>
  </r>
  <r>
    <s v="BC-100603"/>
    <d v="2025-02-14T00:00:00"/>
    <s v="London"/>
    <s v="Individual"/>
    <s v="Home &amp; Kitchen"/>
    <s v="Coffee Maker"/>
    <n v="1"/>
    <n v="81.05"/>
    <n v="44.72"/>
    <n v="0.1"/>
    <n v="1"/>
    <n v="4"/>
    <s v="No"/>
    <s v="Store"/>
    <s v="Card"/>
    <s v="Individual"/>
    <s v="London"/>
    <s v="Home &amp; Kitchen"/>
    <x v="194"/>
    <n v="1"/>
    <s v="Coffee Maker"/>
    <n v="72.944999999999993"/>
    <n v="44.72"/>
    <n v="28.224999999999994"/>
    <n v="0.38693536225923636"/>
  </r>
  <r>
    <s v="BC-101304"/>
    <d v="2025-11-24T00:00:00"/>
    <s v="Midlands"/>
    <s v="Small Business"/>
    <s v="Electronics"/>
    <s v="Webcam"/>
    <n v="5"/>
    <n v="51.19"/>
    <n v="27.2"/>
    <n v="0.1"/>
    <n v="0"/>
    <n v="4"/>
    <s v="No"/>
    <s v="Store"/>
    <s v="Card"/>
    <s v="Small Business"/>
    <s v="Midlands"/>
    <s v="Electronics"/>
    <x v="314"/>
    <n v="1"/>
    <s v="Webcam"/>
    <n v="230.35499999999999"/>
    <n v="136"/>
    <n v="94.35499999999999"/>
    <n v="0.40960691107204095"/>
  </r>
  <r>
    <s v="BC-101469"/>
    <d v="2025-05-24T00:00:00"/>
    <s v="London"/>
    <s v="Small Business"/>
    <s v="Electronics"/>
    <s v="Wireless Headset"/>
    <n v="2"/>
    <n v="59.49"/>
    <n v="34.159999999999997"/>
    <n v="0"/>
    <n v="7"/>
    <n v="4"/>
    <s v="No"/>
    <s v="Online"/>
    <s v="Card"/>
    <s v="Small Business"/>
    <s v="London"/>
    <s v="Electronics"/>
    <x v="265"/>
    <n v="1"/>
    <s v="Wireless Headset"/>
    <n v="118.98"/>
    <n v="68.319999999999993"/>
    <n v="50.660000000000011"/>
    <n v="0.42578584636073297"/>
  </r>
  <r>
    <s v="BC-101419"/>
    <d v="2025-06-16T00:00:00"/>
    <s v="London"/>
    <s v="Individual"/>
    <s v="Furniture"/>
    <s v="Storage Cabinet"/>
    <n v="2"/>
    <n v="164.94"/>
    <n v="105.81"/>
    <n v="0"/>
    <n v="6"/>
    <n v="4"/>
    <s v="No"/>
    <s v="Online"/>
    <s v="Card"/>
    <s v="Individual"/>
    <s v="London"/>
    <s v="Furniture"/>
    <x v="270"/>
    <n v="1"/>
    <s v="Storage Cabinet"/>
    <n v="329.88"/>
    <n v="211.62"/>
    <n v="118.25999999999999"/>
    <n v="0.35849399781738811"/>
  </r>
  <r>
    <s v="BC-100996"/>
    <d v="2025-11-28T00:00:00"/>
    <s v="Midlands"/>
    <s v="Individual"/>
    <s v="Furniture"/>
    <s v="Storage Cabinet"/>
    <n v="1"/>
    <n v="162.63"/>
    <n v="104.63"/>
    <n v="0.05"/>
    <n v="9"/>
    <n v="4"/>
    <s v="No"/>
    <s v="Online"/>
    <s v="Card"/>
    <s v="Individual"/>
    <s v="Midlands"/>
    <s v="Furniture"/>
    <x v="43"/>
    <n v="1"/>
    <s v="Storage Cabinet"/>
    <n v="154.49849999999998"/>
    <n v="104.63"/>
    <n v="49.868499999999983"/>
    <n v="0.3227765965365359"/>
  </r>
  <r>
    <s v="BC-100981"/>
    <d v="2025-06-14T00:00:00"/>
    <s v="Midlands"/>
    <s v="Individual"/>
    <s v="Electronics"/>
    <s v="Wireless Headset"/>
    <n v="3"/>
    <n v="58.8"/>
    <n v="34.229999999999997"/>
    <n v="0"/>
    <n v="2"/>
    <n v="4"/>
    <s v="No"/>
    <s v="Phone"/>
    <s v="Card"/>
    <s v="Individual"/>
    <s v="Midlands"/>
    <s v="Electronics"/>
    <x v="284"/>
    <n v="1"/>
    <s v="Wireless Headset"/>
    <n v="176.39999999999998"/>
    <n v="102.69"/>
    <n v="73.70999999999998"/>
    <n v="0.41785714285714282"/>
  </r>
  <r>
    <s v="BC-101284"/>
    <d v="2025-11-02T00:00:00"/>
    <s v="Midlands"/>
    <s v="Individual"/>
    <s v="Office"/>
    <s v="Ergonomic Keyboard"/>
    <n v="2"/>
    <n v="71.81"/>
    <n v="37.54"/>
    <n v="0.15000000000000002"/>
    <n v="1"/>
    <n v="4"/>
    <s v="No"/>
    <s v="Store"/>
    <s v="Bank Transfer"/>
    <s v="Individual"/>
    <s v="Midlands"/>
    <s v="Office"/>
    <x v="44"/>
    <n v="1"/>
    <s v="Ergonomic Keyboard"/>
    <n v="122.077"/>
    <n v="75.08"/>
    <n v="46.997"/>
    <n v="0.38497833334698595"/>
  </r>
  <r>
    <s v="BC-100166"/>
    <d v="2025-02-11T00:00:00"/>
    <s v="South"/>
    <s v="Individual"/>
    <s v="Office"/>
    <s v="Desk Lamp"/>
    <n v="2"/>
    <n v="39.01"/>
    <n v="19.2"/>
    <n v="0.1"/>
    <n v="4"/>
    <n v="5"/>
    <s v="No"/>
    <s v="Store"/>
    <s v="Digital Wallet"/>
    <s v="Individual"/>
    <s v="South"/>
    <s v="Office"/>
    <x v="288"/>
    <n v="1"/>
    <s v="Desk Lamp"/>
    <n v="70.218000000000004"/>
    <n v="38.4"/>
    <n v="31.818000000000005"/>
    <n v="0.45313167563872514"/>
  </r>
  <r>
    <s v="BC-100131"/>
    <d v="2025-10-10T00:00:00"/>
    <s v="South"/>
    <s v="Individual"/>
    <s v="Electronics"/>
    <s v="Portable Speaker"/>
    <n v="1"/>
    <n v="75.58"/>
    <n v="44.85"/>
    <n v="0.1"/>
    <n v="3"/>
    <n v="5"/>
    <s v="No"/>
    <s v="Store"/>
    <s v="Card"/>
    <s v="Individual"/>
    <s v="South"/>
    <s v="Electronics"/>
    <x v="203"/>
    <n v="1"/>
    <s v="Portable Speaker"/>
    <n v="68.022000000000006"/>
    <n v="44.85"/>
    <n v="23.172000000000004"/>
    <n v="0.3406544941342507"/>
  </r>
  <r>
    <s v="BC-100942"/>
    <d v="2025-01-08T00:00:00"/>
    <s v="Midlands"/>
    <s v="Individual"/>
    <s v="Furniture"/>
    <s v="Side Table"/>
    <n v="2"/>
    <n v="91.19"/>
    <n v="54.04"/>
    <n v="0.05"/>
    <n v="3"/>
    <n v="4"/>
    <s v="No"/>
    <s v="Store"/>
    <s v="Card"/>
    <s v="Individual"/>
    <s v="Midlands"/>
    <s v="Furniture"/>
    <x v="190"/>
    <n v="1"/>
    <s v="Side Table"/>
    <n v="173.261"/>
    <n v="108.08"/>
    <n v="65.180999999999997"/>
    <n v="0.37620122243320769"/>
  </r>
  <r>
    <s v="BC-101746"/>
    <d v="2025-01-15T00:00:00"/>
    <s v="Midlands"/>
    <s v="Individual"/>
    <s v="Office"/>
    <s v="Ergonomic Keyboard"/>
    <n v="1"/>
    <n v="69.05"/>
    <n v="37.46"/>
    <n v="0"/>
    <n v="0"/>
    <n v="5"/>
    <s v="No"/>
    <s v="Store"/>
    <s v="Card"/>
    <s v="Individual"/>
    <s v="Midlands"/>
    <s v="Office"/>
    <x v="344"/>
    <n v="1"/>
    <s v="Ergonomic Keyboard"/>
    <n v="69.05"/>
    <n v="37.46"/>
    <n v="31.589999999999996"/>
    <n v="0.4574945691527878"/>
  </r>
  <r>
    <s v="BC-101065"/>
    <d v="2025-01-30T00:00:00"/>
    <s v="London"/>
    <s v="Small Business"/>
    <s v="Office"/>
    <s v="Laptop Stand"/>
    <n v="1"/>
    <n v="44.33"/>
    <n v="20.56"/>
    <n v="0.1"/>
    <n v="0"/>
    <n v="3"/>
    <s v="Yes"/>
    <s v="Store"/>
    <s v="Digital Wallet"/>
    <s v="Small Business"/>
    <s v="London"/>
    <s v="Office"/>
    <x v="361"/>
    <n v="1"/>
    <s v="Laptop Stand"/>
    <n v="39.896999999999998"/>
    <n v="20.56"/>
    <n v="19.337"/>
    <n v="0.48467303306012982"/>
  </r>
  <r>
    <s v="BC-100487"/>
    <d v="2025-12-03T00:00:00"/>
    <s v="North"/>
    <s v="Small Business"/>
    <s v="Electronics"/>
    <s v="SmartHome Hub"/>
    <n v="3"/>
    <n v="133.09"/>
    <n v="84.01"/>
    <n v="0"/>
    <n v="1"/>
    <n v="4"/>
    <s v="No"/>
    <s v="Online"/>
    <s v="Card"/>
    <s v="Small Business"/>
    <s v="North"/>
    <s v="Electronics"/>
    <x v="108"/>
    <n v="1"/>
    <s v="SmartHome Hub"/>
    <n v="399.27"/>
    <n v="252.03000000000003"/>
    <n v="147.23999999999995"/>
    <n v="0.36877301074460883"/>
  </r>
  <r>
    <s v="BC-101856"/>
    <d v="2025-11-08T00:00:00"/>
    <s v="South"/>
    <s v="Corporate"/>
    <s v="Electronics"/>
    <s v="SmartHome Hub"/>
    <n v="10"/>
    <n v="132.94999999999999"/>
    <n v="87.27"/>
    <n v="0.2"/>
    <n v="0"/>
    <n v="2"/>
    <s v="Yes"/>
    <s v="Store"/>
    <s v="Digital Wallet"/>
    <s v="Corporate"/>
    <s v="South"/>
    <s v="Electronics"/>
    <x v="124"/>
    <n v="1"/>
    <s v="SmartHome Hub"/>
    <n v="1063.6000000000001"/>
    <n v="872.69999999999993"/>
    <n v="190.9000000000002"/>
    <n v="0.17948476871004154"/>
  </r>
  <r>
    <s v="BC-101731"/>
    <d v="2025-08-08T00:00:00"/>
    <s v="South"/>
    <s v="Individual"/>
    <s v="Office"/>
    <s v="Ergonomic Keyboard"/>
    <n v="1"/>
    <n v="69.64"/>
    <n v="39.04"/>
    <n v="0.15000000000000002"/>
    <n v="5"/>
    <n v="4"/>
    <s v="No"/>
    <s v="Online"/>
    <s v="Card"/>
    <s v="Individual"/>
    <s v="South"/>
    <s v="Office"/>
    <x v="74"/>
    <n v="1"/>
    <s v="Ergonomic Keyboard"/>
    <n v="59.193999999999996"/>
    <n v="39.04"/>
    <n v="20.153999999999996"/>
    <n v="0.34047369665844507"/>
  </r>
  <r>
    <s v="BC-100292"/>
    <d v="2025-01-13T00:00:00"/>
    <s v="Midlands"/>
    <s v="Small Business"/>
    <s v="Home &amp; Kitchen"/>
    <s v="Blender"/>
    <n v="1"/>
    <n v="64.31"/>
    <n v="35.049999999999997"/>
    <n v="0"/>
    <n v="0"/>
    <n v="5"/>
    <s v="No"/>
    <s v="Store"/>
    <s v="Card"/>
    <s v="Small Business"/>
    <s v="Midlands"/>
    <s v="Home &amp; Kitchen"/>
    <x v="186"/>
    <n v="1"/>
    <s v="Blender"/>
    <n v="64.31"/>
    <n v="35.049999999999997"/>
    <n v="29.260000000000005"/>
    <n v="0.45498367283470698"/>
  </r>
  <r>
    <s v="BC-101855"/>
    <d v="2025-02-24T00:00:00"/>
    <s v="South"/>
    <s v="Individual"/>
    <s v="Electronics"/>
    <s v="SmartHome Hub"/>
    <n v="1"/>
    <n v="127.32"/>
    <n v="87.83"/>
    <n v="0.1"/>
    <n v="3"/>
    <n v="4"/>
    <s v="No"/>
    <s v="Online"/>
    <s v="Bank Transfer"/>
    <s v="Individual"/>
    <s v="South"/>
    <s v="Electronics"/>
    <x v="158"/>
    <n v="1"/>
    <s v="SmartHome Hub"/>
    <n v="114.58799999999999"/>
    <n v="87.83"/>
    <n v="26.757999999999996"/>
    <n v="0.23351485321325091"/>
  </r>
  <r>
    <s v="BC-100506"/>
    <d v="2025-07-28T00:00:00"/>
    <s v="London"/>
    <s v="Individual"/>
    <s v="Furniture"/>
    <s v="Side Table"/>
    <n v="3"/>
    <n v="92.93"/>
    <n v="54.99"/>
    <n v="0"/>
    <n v="3"/>
    <n v="3"/>
    <s v="Yes"/>
    <s v="Online"/>
    <s v="Bank Transfer"/>
    <s v="Individual"/>
    <s v="London"/>
    <s v="Furniture"/>
    <x v="39"/>
    <n v="1"/>
    <s v="Side Table"/>
    <n v="278.79000000000002"/>
    <n v="164.97"/>
    <n v="113.82000000000002"/>
    <n v="0.40826428494565808"/>
  </r>
  <r>
    <s v="BC-101067"/>
    <d v="2025-06-10T00:00:00"/>
    <s v="London"/>
    <s v="Individual"/>
    <s v="Furniture"/>
    <s v="Storage Cabinet"/>
    <n v="1"/>
    <n v="160.41999999999999"/>
    <n v="104.94"/>
    <n v="0.05"/>
    <n v="4"/>
    <n v="4"/>
    <s v="No"/>
    <s v="Online"/>
    <s v="Card"/>
    <s v="Individual"/>
    <s v="London"/>
    <s v="Furniture"/>
    <x v="113"/>
    <n v="1"/>
    <s v="Storage Cabinet"/>
    <n v="152.39899999999997"/>
    <n v="104.94"/>
    <n v="47.458999999999975"/>
    <n v="0.31141280454596149"/>
  </r>
  <r>
    <s v="BC-100967"/>
    <d v="2025-09-22T00:00:00"/>
    <s v="Midlands"/>
    <s v="Small Business"/>
    <s v="Furniture"/>
    <s v="Storage Cabinet"/>
    <n v="5"/>
    <n v="166.33"/>
    <n v="101.01"/>
    <n v="0"/>
    <n v="2"/>
    <n v="4"/>
    <s v="No"/>
    <s v="Online"/>
    <s v="Card"/>
    <s v="Small Business"/>
    <s v="Midlands"/>
    <s v="Furniture"/>
    <x v="189"/>
    <n v="1"/>
    <s v="Storage Cabinet"/>
    <n v="831.65000000000009"/>
    <n v="505.05"/>
    <n v="326.60000000000008"/>
    <n v="0.39271328082727114"/>
  </r>
  <r>
    <s v="BC-101654"/>
    <d v="2025-12-14T00:00:00"/>
    <s v="North"/>
    <s v="Small Business"/>
    <s v="Office"/>
    <s v="Desk Lamp"/>
    <n v="4"/>
    <n v="40.31"/>
    <n v="19.28"/>
    <n v="0.05"/>
    <n v="2"/>
    <n v="5"/>
    <s v="No"/>
    <s v="Online"/>
    <s v="Bank Transfer"/>
    <s v="Small Business"/>
    <s v="North"/>
    <s v="Office"/>
    <x v="166"/>
    <n v="1"/>
    <s v="Desk Lamp"/>
    <n v="153.178"/>
    <n v="77.12"/>
    <n v="76.057999999999993"/>
    <n v="0.49653344475055161"/>
  </r>
  <r>
    <s v="BC-101767"/>
    <d v="2025-09-11T00:00:00"/>
    <s v="London"/>
    <s v="Small Business"/>
    <s v="Electronics"/>
    <s v="SmartHome Hub"/>
    <n v="2"/>
    <n v="128.91999999999999"/>
    <n v="86.97"/>
    <n v="0.1"/>
    <n v="0"/>
    <n v="4"/>
    <s v="No"/>
    <s v="Store"/>
    <s v="Card"/>
    <s v="Small Business"/>
    <s v="London"/>
    <s v="Electronics"/>
    <x v="187"/>
    <n v="1"/>
    <s v="SmartHome Hub"/>
    <n v="232.05599999999998"/>
    <n v="173.94"/>
    <n v="58.115999999999985"/>
    <n v="0.25043954907436133"/>
  </r>
  <r>
    <s v="BC-100375"/>
    <d v="2025-10-25T00:00:00"/>
    <s v="London"/>
    <s v="Individual"/>
    <s v="Office"/>
    <s v="Ergonomic Keyboard"/>
    <n v="1"/>
    <n v="71.5"/>
    <n v="38.24"/>
    <n v="0.1"/>
    <n v="2"/>
    <n v="4"/>
    <s v="No"/>
    <s v="Phone"/>
    <s v="Card"/>
    <s v="Individual"/>
    <s v="London"/>
    <s v="Office"/>
    <x v="138"/>
    <n v="1"/>
    <s v="Ergonomic Keyboard"/>
    <n v="64.350000000000009"/>
    <n v="38.24"/>
    <n v="26.110000000000007"/>
    <n v="0.40574980574980579"/>
  </r>
  <r>
    <s v="BC-100812"/>
    <d v="2025-05-23T00:00:00"/>
    <s v="London"/>
    <s v="Small Business"/>
    <s v="Electronics"/>
    <s v="SmartHome Hub"/>
    <n v="4"/>
    <n v="134.55000000000001"/>
    <n v="84.44"/>
    <n v="0.1"/>
    <n v="1"/>
    <n v="4"/>
    <s v="No"/>
    <s v="Online"/>
    <s v="Card"/>
    <s v="Small Business"/>
    <s v="London"/>
    <s v="Electronics"/>
    <x v="272"/>
    <n v="1"/>
    <s v="SmartHome Hub"/>
    <n v="484.38000000000005"/>
    <n v="337.76"/>
    <n v="146.62000000000006"/>
    <n v="0.30269623023246223"/>
  </r>
  <r>
    <s v="BC-100285"/>
    <d v="2025-02-15T00:00:00"/>
    <s v="South"/>
    <s v="Small Business"/>
    <s v="Office"/>
    <s v="Laptop Stand"/>
    <n v="2"/>
    <n v="44.39"/>
    <n v="20.78"/>
    <n v="0.05"/>
    <n v="4"/>
    <n v="4"/>
    <s v="No"/>
    <s v="Store"/>
    <s v="Digital Wallet"/>
    <s v="Small Business"/>
    <s v="South"/>
    <s v="Office"/>
    <x v="340"/>
    <n v="1"/>
    <s v="Laptop Stand"/>
    <n v="84.340999999999994"/>
    <n v="41.56"/>
    <n v="42.780999999999992"/>
    <n v="0.50723847239183784"/>
  </r>
  <r>
    <s v="BC-100835"/>
    <d v="2025-10-06T00:00:00"/>
    <s v="Midlands"/>
    <s v="Small Business"/>
    <s v="Electronics"/>
    <s v="Webcam"/>
    <n v="5"/>
    <n v="49.6"/>
    <n v="26.06"/>
    <n v="0"/>
    <n v="7"/>
    <n v="4"/>
    <s v="No"/>
    <s v="Online"/>
    <s v="Bank Transfer"/>
    <s v="Small Business"/>
    <s v="Midlands"/>
    <s v="Electronics"/>
    <x v="32"/>
    <n v="1"/>
    <s v="Webcam"/>
    <n v="248"/>
    <n v="130.29999999999998"/>
    <n v="117.70000000000002"/>
    <n v="0.47459677419354845"/>
  </r>
  <r>
    <s v="BC-101032"/>
    <d v="2025-10-22T00:00:00"/>
    <s v="Midlands"/>
    <s v="Small Business"/>
    <s v="Furniture"/>
    <s v="Bookshelf"/>
    <n v="4"/>
    <n v="123.5"/>
    <n v="70.59"/>
    <n v="0"/>
    <n v="4"/>
    <n v="5"/>
    <s v="No"/>
    <s v="Store"/>
    <s v="Bank Transfer"/>
    <s v="Small Business"/>
    <s v="Midlands"/>
    <s v="Furniture"/>
    <x v="147"/>
    <n v="1"/>
    <s v="Bookshelf"/>
    <n v="494"/>
    <n v="282.36"/>
    <n v="211.64"/>
    <n v="0.42842105263157892"/>
  </r>
  <r>
    <s v="BC-101518"/>
    <d v="2025-09-06T00:00:00"/>
    <s v="Midlands"/>
    <s v="Small Business"/>
    <s v="Electronics"/>
    <s v="SmartHome Hub"/>
    <n v="2"/>
    <n v="127.19"/>
    <n v="83.13"/>
    <n v="0.1"/>
    <n v="1"/>
    <n v="4"/>
    <s v="No"/>
    <s v="Phone"/>
    <s v="Bank Transfer"/>
    <s v="Small Business"/>
    <s v="Midlands"/>
    <s v="Electronics"/>
    <x v="171"/>
    <n v="1"/>
    <s v="SmartHome Hub"/>
    <n v="228.94200000000001"/>
    <n v="166.26"/>
    <n v="62.682000000000016"/>
    <n v="0.27378986817621936"/>
  </r>
  <r>
    <s v="BC-101440"/>
    <d v="2025-12-27T00:00:00"/>
    <s v="North"/>
    <s v="Individual"/>
    <s v="Home &amp; Kitchen"/>
    <s v="Air Fryer"/>
    <n v="2"/>
    <n v="108.98"/>
    <n v="69.459999999999994"/>
    <n v="0.05"/>
    <n v="2"/>
    <n v="5"/>
    <s v="No"/>
    <s v="Online"/>
    <s v="Card"/>
    <s v="Individual"/>
    <s v="North"/>
    <s v="Home &amp; Kitchen"/>
    <x v="125"/>
    <n v="1"/>
    <s v="Air Fryer"/>
    <n v="207.06200000000001"/>
    <n v="138.91999999999999"/>
    <n v="68.142000000000024"/>
    <n v="0.32908983782635165"/>
  </r>
  <r>
    <s v="BC-100528"/>
    <d v="2025-12-24T00:00:00"/>
    <s v="London"/>
    <s v="Individual"/>
    <s v="Furniture"/>
    <s v="Side Table"/>
    <n v="1"/>
    <n v="87.49"/>
    <n v="54.89"/>
    <n v="0.15000000000000002"/>
    <n v="7"/>
    <n v="3"/>
    <s v="No"/>
    <s v="Online"/>
    <s v="Card"/>
    <s v="Individual"/>
    <s v="London"/>
    <s v="Furniture"/>
    <x v="316"/>
    <n v="1"/>
    <s v="Side Table"/>
    <n v="74.366499999999988"/>
    <n v="54.89"/>
    <n v="19.476499999999987"/>
    <n v="0.26189883885889464"/>
  </r>
  <r>
    <s v="BC-101457"/>
    <d v="2025-08-16T00:00:00"/>
    <s v="London"/>
    <s v="Individual"/>
    <s v="Electronics"/>
    <s v="Wireless Headset"/>
    <n v="1"/>
    <n v="58.51"/>
    <n v="34.119999999999997"/>
    <n v="0"/>
    <n v="5"/>
    <n v="4"/>
    <s v="No"/>
    <s v="Online"/>
    <s v="Card"/>
    <s v="Individual"/>
    <s v="London"/>
    <s v="Electronics"/>
    <x v="5"/>
    <n v="1"/>
    <s v="Wireless Headset"/>
    <n v="58.51"/>
    <n v="34.119999999999997"/>
    <n v="24.39"/>
    <n v="0.41685182020167494"/>
  </r>
  <r>
    <s v="BC-100780"/>
    <d v="2025-08-11T00:00:00"/>
    <s v="London"/>
    <s v="Individual"/>
    <s v="Home &amp; Kitchen"/>
    <s v="Air Fryer"/>
    <n v="2"/>
    <n v="112.05"/>
    <n v="69.64"/>
    <n v="0.05"/>
    <n v="3"/>
    <n v="4"/>
    <s v="No"/>
    <s v="Online"/>
    <s v="Bank Transfer"/>
    <s v="Individual"/>
    <s v="London"/>
    <s v="Home &amp; Kitchen"/>
    <x v="148"/>
    <n v="1"/>
    <s v="Air Fryer"/>
    <n v="212.89499999999998"/>
    <n v="139.28"/>
    <n v="73.614999999999981"/>
    <n v="0.34578078395453149"/>
  </r>
  <r>
    <s v="BC-101640"/>
    <d v="2025-07-21T00:00:00"/>
    <s v="South"/>
    <s v="Individual"/>
    <s v="Home &amp; Kitchen"/>
    <s v="Blender"/>
    <n v="1"/>
    <n v="65.849999999999994"/>
    <n v="34.42"/>
    <n v="0.05"/>
    <n v="3"/>
    <n v="4"/>
    <s v="No"/>
    <s v="Online"/>
    <s v="Digital Wallet"/>
    <s v="Individual"/>
    <s v="South"/>
    <s v="Home &amp; Kitchen"/>
    <x v="277"/>
    <n v="1"/>
    <s v="Blender"/>
    <n v="62.55749999999999"/>
    <n v="34.42"/>
    <n v="28.137499999999989"/>
    <n v="0.4497861966990368"/>
  </r>
  <r>
    <s v="BC-101727"/>
    <d v="2025-02-22T00:00:00"/>
    <s v="South"/>
    <s v="Individual"/>
    <s v="Electronics"/>
    <s v="SmartHome Hub"/>
    <n v="1"/>
    <n v="130.18"/>
    <n v="86.03"/>
    <n v="0.1"/>
    <n v="3"/>
    <n v="4"/>
    <s v="No"/>
    <s v="Phone"/>
    <s v="Digital Wallet"/>
    <s v="Individual"/>
    <s v="South"/>
    <s v="Electronics"/>
    <x v="222"/>
    <n v="1"/>
    <s v="SmartHome Hub"/>
    <n v="117.16200000000001"/>
    <n v="86.03"/>
    <n v="31.132000000000005"/>
    <n v="0.2657175534729691"/>
  </r>
  <r>
    <s v="BC-100314"/>
    <d v="2025-11-22T00:00:00"/>
    <s v="North"/>
    <s v="Individual"/>
    <s v="Electronics"/>
    <s v="Wireless Headset"/>
    <n v="1"/>
    <n v="59.18"/>
    <n v="35.29"/>
    <n v="0.05"/>
    <n v="2"/>
    <n v="4"/>
    <s v="No"/>
    <s v="Online"/>
    <s v="Card"/>
    <s v="Individual"/>
    <s v="North"/>
    <s v="Electronics"/>
    <x v="82"/>
    <n v="1"/>
    <s v="Wireless Headset"/>
    <n v="56.220999999999997"/>
    <n v="35.29"/>
    <n v="20.930999999999997"/>
    <n v="0.37229860728197645"/>
  </r>
  <r>
    <s v="BC-100215"/>
    <d v="2025-05-27T00:00:00"/>
    <s v="South"/>
    <s v="Individual"/>
    <s v="Office"/>
    <s v="Wireless Mouse"/>
    <n v="2"/>
    <n v="35.590000000000003"/>
    <n v="16.850000000000001"/>
    <n v="0"/>
    <n v="4"/>
    <n v="4"/>
    <s v="No"/>
    <s v="Online"/>
    <s v="Bank Transfer"/>
    <s v="Individual"/>
    <s v="South"/>
    <s v="Office"/>
    <x v="224"/>
    <n v="1"/>
    <s v="Wireless Mouse"/>
    <n v="71.180000000000007"/>
    <n v="33.700000000000003"/>
    <n v="37.480000000000004"/>
    <n v="0.5265524023602135"/>
  </r>
  <r>
    <s v="BC-100978"/>
    <d v="2025-12-18T00:00:00"/>
    <s v="South"/>
    <s v="Individual"/>
    <s v="Electronics"/>
    <s v="Portable Speaker"/>
    <n v="2"/>
    <n v="75.010000000000005"/>
    <n v="41.83"/>
    <n v="0.2"/>
    <n v="3"/>
    <n v="4"/>
    <s v="No"/>
    <s v="Online"/>
    <s v="Card"/>
    <s v="Individual"/>
    <s v="South"/>
    <s v="Electronics"/>
    <x v="114"/>
    <n v="1"/>
    <s v="Portable Speaker"/>
    <n v="120.01600000000002"/>
    <n v="83.66"/>
    <n v="36.356000000000023"/>
    <n v="0.30292627649646731"/>
  </r>
  <r>
    <s v="BC-101016"/>
    <d v="2025-04-07T00:00:00"/>
    <s v="Midlands"/>
    <s v="Individual"/>
    <s v="Home &amp; Kitchen"/>
    <s v="Electric Kettle"/>
    <n v="1"/>
    <n v="39.03"/>
    <n v="19.920000000000002"/>
    <n v="0"/>
    <n v="3"/>
    <n v="4"/>
    <s v="No"/>
    <s v="Phone"/>
    <s v="Card"/>
    <s v="Individual"/>
    <s v="Midlands"/>
    <s v="Home &amp; Kitchen"/>
    <x v="2"/>
    <n v="1"/>
    <s v="Electric Kettle"/>
    <n v="39.03"/>
    <n v="19.920000000000002"/>
    <n v="19.11"/>
    <n v="0.48962336664104533"/>
  </r>
  <r>
    <s v="BC-100151"/>
    <d v="2025-07-18T00:00:00"/>
    <s v="Midlands"/>
    <s v="Corporate"/>
    <s v="Home &amp; Kitchen"/>
    <s v="Air Fryer"/>
    <n v="5"/>
    <n v="111.49"/>
    <n v="69.91"/>
    <n v="0.05"/>
    <n v="3"/>
    <n v="5"/>
    <s v="No"/>
    <s v="Phone"/>
    <s v="Digital Wallet"/>
    <s v="Corporate"/>
    <s v="Midlands"/>
    <s v="Home &amp; Kitchen"/>
    <x v="145"/>
    <n v="1"/>
    <s v="Air Fryer"/>
    <n v="529.57749999999987"/>
    <n v="349.54999999999995"/>
    <n v="180.02749999999992"/>
    <n v="0.33994552261000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679601-3580-BE4D-BFF5-91C5A633468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5">
    <pivotField dataField="1" showAll="0"/>
    <pivotField showAll="0"/>
    <pivotField showAll="0"/>
    <pivotField showAll="0"/>
    <pivotField showAll="0"/>
    <pivotField showAll="0"/>
    <pivotField numFmtId="1" showAll="0"/>
    <pivotField numFmtId="164" showAll="0"/>
    <pivotField numFmtId="164" showAll="0"/>
    <pivotField numFmtId="9"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0" showAll="0"/>
  </pivotFields>
  <rowItems count="1">
    <i/>
  </rowItems>
  <colFields count="1">
    <field x="-2"/>
  </colFields>
  <colItems count="3">
    <i>
      <x/>
    </i>
    <i i="1">
      <x v="1"/>
    </i>
    <i i="2">
      <x v="2"/>
    </i>
  </colItems>
  <dataFields count="3">
    <dataField name="Count of Order_ID" fld="0" subtotal="count" baseField="0" baseItem="0"/>
    <dataField name="Sum of Revenue" fld="21"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Table" displayName="RawSalesTable" ref="A1:O2001" totalsRowShown="0">
  <tableColumns count="15">
    <tableColumn id="1" xr3:uid="{00000000-0010-0000-0000-000001000000}" name="Order_ID"/>
    <tableColumn id="2" xr3:uid="{00000000-0010-0000-0000-000002000000}" name="Order_Date"/>
    <tableColumn id="3" xr3:uid="{00000000-0010-0000-0000-000003000000}" name="Region"/>
    <tableColumn id="4" xr3:uid="{00000000-0010-0000-0000-000004000000}" name="Customer_Type"/>
    <tableColumn id="5" xr3:uid="{00000000-0010-0000-0000-000005000000}" name="Product_Category"/>
    <tableColumn id="6" xr3:uid="{00000000-0010-0000-0000-000006000000}" name="Product"/>
    <tableColumn id="7" xr3:uid="{00000000-0010-0000-0000-000007000000}" name="Quantity"/>
    <tableColumn id="8" xr3:uid="{00000000-0010-0000-0000-000008000000}" name="Unit_Price_GBP"/>
    <tableColumn id="9" xr3:uid="{00000000-0010-0000-0000-000009000000}" name="Unit_Cost_GBP"/>
    <tableColumn id="10" xr3:uid="{00000000-0010-0000-0000-00000A000000}" name="Discount_Pct"/>
    <tableColumn id="11" xr3:uid="{00000000-0010-0000-0000-00000B000000}" name="Delivery_Days"/>
    <tableColumn id="12" xr3:uid="{00000000-0010-0000-0000-00000C000000}" name="Satisfaction_Score"/>
    <tableColumn id="13" xr3:uid="{00000000-0010-0000-0000-00000D000000}" name="Returned"/>
    <tableColumn id="14" xr3:uid="{00000000-0010-0000-0000-00000E000000}" name="Sales_Channel"/>
    <tableColumn id="15" xr3:uid="{00000000-0010-0000-0000-00000F000000}"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286D9B-2AD6-AA42-B9F5-04F942CBAC8A}" name="RawSalesTable3" displayName="RawSalesTable3" ref="A1:AC1986" totalsRowShown="0">
  <autoFilter ref="A1:AC1986" xr:uid="{1D286D9B-2AD6-AA42-B9F5-04F942CBAC8A}"/>
  <tableColumns count="29">
    <tableColumn id="1" xr3:uid="{B97FBC6E-E537-CA47-A39B-49299AA8D59E}" name="Order_ID"/>
    <tableColumn id="2" xr3:uid="{ABB90288-2E5A-064D-A43C-230B1391EC52}" name="Order_Date"/>
    <tableColumn id="3" xr3:uid="{22FFE907-83D7-C648-A028-AD3DD542E165}" name="Region"/>
    <tableColumn id="4" xr3:uid="{1D791090-BB7C-2549-94B6-BC29D12D3FA4}" name="Customer_Type"/>
    <tableColumn id="5" xr3:uid="{8E1B1E2D-D04D-D345-A805-D2D5F3F40D57}" name="Product_Category"/>
    <tableColumn id="6" xr3:uid="{B400D90D-DFF8-B847-87E8-83C5A81DB564}" name="Product"/>
    <tableColumn id="7" xr3:uid="{248D64E4-F9EE-F84A-AC00-888D0BCB2914}" name="Quantity"/>
    <tableColumn id="8" xr3:uid="{E9C4575E-A4C0-284C-8AB4-07950D835A43}" name="Unit_Price_GBP"/>
    <tableColumn id="9" xr3:uid="{7C479D01-A583-514E-A0F6-FFCB2294E061}" name="Unit_Cost_GBP"/>
    <tableColumn id="10" xr3:uid="{6E981CB1-152B-9040-A3AB-A656B36534FD}" name="Discount_Pct"/>
    <tableColumn id="11" xr3:uid="{0E63A4B0-14BD-554E-9EE3-8DC6CA047B1C}" name="Delivery_Days"/>
    <tableColumn id="12" xr3:uid="{650622A9-4F82-0A4A-9232-F0C5AF514C52}" name="Satisfaction_Score"/>
    <tableColumn id="13" xr3:uid="{5A31C665-7EB4-0741-B6F6-FE1209E8512C}" name="Returned"/>
    <tableColumn id="14" xr3:uid="{A6FFEF67-E082-9449-946A-EF378D722020}" name="Sales_Channel"/>
    <tableColumn id="15" xr3:uid="{A55AA161-A0E9-8044-A26C-108A0CAE6C7E}" name="Payment_Method"/>
    <tableColumn id="16" xr3:uid="{8220BDB5-ACF3-4245-BCC4-0AF7F99C575C}" name="Customer_Type clean" dataDxfId="13">
      <calculatedColumnFormula>IF(TRIM(D2)="","Unknow",PROPER(TRIM(D2)))</calculatedColumnFormula>
    </tableColumn>
    <tableColumn id="17" xr3:uid="{526B21D3-63F5-214E-B86E-D8E327B69E3A}" name="Region _ Clean" dataDxfId="0">
      <calculatedColumnFormula>IF(PROPER(TRIM(C2))="Mid Lands","Midlands",PROPER(TRIM(C2)))</calculatedColumnFormula>
    </tableColumn>
    <tableColumn id="18" xr3:uid="{20CF8A31-5B94-A34B-A3D8-1CD9D6F4D6BF}" name="Product_ Category" dataDxfId="12">
      <calculatedColumnFormula>PROPER(TRIM(E2))</calculatedColumnFormula>
    </tableColumn>
    <tableColumn id="19" xr3:uid="{293262C1-6CE1-6D46-AE32-AF43EA1281A5}" name="Order_Date_Clean" dataDxfId="11">
      <calculatedColumnFormula>IF(ISTEXT(B2),DATEVALUE(B2),B2)</calculatedColumnFormula>
    </tableColumn>
    <tableColumn id="20" xr3:uid="{64E2D897-DEAE-174C-9863-AED4565AACDA}" name="Duplicate_Check" dataDxfId="10">
      <calculatedColumnFormula>COUNTIF($A$2:$A$1986,A2)</calculatedColumnFormula>
    </tableColumn>
    <tableColumn id="21" xr3:uid="{62F6D17D-E165-E840-A3D8-BF7E3BB07602}" name="Product_Clean" dataDxfId="9">
      <calculatedColumnFormula>TRIM(F2)</calculatedColumnFormula>
    </tableColumn>
    <tableColumn id="22" xr3:uid="{AFE8F74E-62FF-9340-B6D7-2493D430BE21}" name="Revenue" dataDxfId="8">
      <calculatedColumnFormula>G2*H2*(1-J2)</calculatedColumnFormula>
    </tableColumn>
    <tableColumn id="23" xr3:uid="{DB4385F0-048E-C048-87F6-D56B2CC9DFDA}" name="Total_Cost" dataDxfId="7">
      <calculatedColumnFormula>G2*I2</calculatedColumnFormula>
    </tableColumn>
    <tableColumn id="24" xr3:uid="{43B5E528-E151-9A46-9115-2657FFB40587}" name="Profit" dataDxfId="6">
      <calculatedColumnFormula>RawSalesTable3[[#This Row],[Revenue]]-RawSalesTable3[[#This Row],[Total_Cost]]</calculatedColumnFormula>
    </tableColumn>
    <tableColumn id="25" xr3:uid="{3D849358-3F97-F045-8E76-9B3D759A19DA}" name="Profit_Margin" dataDxfId="5" dataCellStyle="Per cent">
      <calculatedColumnFormula>RawSalesTable3[[#This Row],[Profit]]/RawSalesTable3[[#This Row],[Revenue]]</calculatedColumnFormula>
    </tableColumn>
    <tableColumn id="26" xr3:uid="{D2CD76E9-A63B-2F4A-9890-29658FCDE41F}" name="Month" dataDxfId="4">
      <calculatedColumnFormula>TEXT(RawSalesTable3[[#This Row],[Order_Date_Clean]],"MMM YYYY")</calculatedColumnFormula>
    </tableColumn>
    <tableColumn id="27" xr3:uid="{4DEFEDE2-4C81-C74F-8769-EB7E83184F70}" name="Month Analysis" dataDxfId="3"/>
    <tableColumn id="28" xr3:uid="{0CEE6A74-F436-A846-B4D0-F2955106CB84}" name="Monthly Revenue" dataDxfId="2">
      <calculatedColumnFormula>SUMIF($Z:$Z,AA2,$V:$V)</calculatedColumnFormula>
    </tableColumn>
    <tableColumn id="29" xr3:uid="{145519F9-D23C-6F44-8945-9C863283C2A2}" name="Monthly Profit" dataDxfId="1">
      <calculatedColumnFormula>SUMIF($Z:$Z,AA2,$X:$X)</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workbookViewId="0">
      <selection sqref="A1:H2"/>
    </sheetView>
  </sheetViews>
  <sheetFormatPr baseColWidth="10" defaultColWidth="8.83203125" defaultRowHeight="14"/>
  <cols>
    <col min="1" max="1" width="22" customWidth="1"/>
    <col min="2" max="2" width="80" customWidth="1"/>
  </cols>
  <sheetData>
    <row r="1" spans="1:8">
      <c r="A1" s="24" t="s">
        <v>0</v>
      </c>
      <c r="B1" s="24"/>
      <c r="C1" s="24"/>
      <c r="D1" s="24"/>
      <c r="E1" s="24"/>
      <c r="F1" s="24"/>
      <c r="G1" s="24"/>
      <c r="H1" s="24"/>
    </row>
    <row r="2" spans="1:8">
      <c r="A2" s="24"/>
      <c r="B2" s="24"/>
      <c r="C2" s="24"/>
      <c r="D2" s="24"/>
      <c r="E2" s="24"/>
      <c r="F2" s="24"/>
      <c r="G2" s="24"/>
      <c r="H2" s="24"/>
    </row>
    <row r="4" spans="1:8" ht="17">
      <c r="A4" s="25" t="s">
        <v>1</v>
      </c>
      <c r="B4" s="25"/>
      <c r="C4" s="25"/>
      <c r="D4" s="25"/>
      <c r="E4" s="25"/>
      <c r="F4" s="25"/>
      <c r="G4" s="25"/>
      <c r="H4" s="25"/>
    </row>
    <row r="6" spans="1:8" ht="16">
      <c r="A6" s="7" t="s">
        <v>2</v>
      </c>
      <c r="B6" s="8"/>
    </row>
    <row r="7" spans="1:8" ht="61">
      <c r="A7" s="9" t="s">
        <v>3</v>
      </c>
      <c r="B7" s="10" t="s">
        <v>4</v>
      </c>
    </row>
    <row r="8" spans="1:8" ht="46">
      <c r="A8" s="9" t="s">
        <v>5</v>
      </c>
      <c r="B8" s="10" t="s">
        <v>6</v>
      </c>
    </row>
    <row r="9" spans="1:8" ht="31">
      <c r="A9" s="9" t="s">
        <v>7</v>
      </c>
      <c r="B9" s="10" t="s">
        <v>8</v>
      </c>
    </row>
    <row r="10" spans="1:8" ht="31">
      <c r="A10" s="9" t="s">
        <v>9</v>
      </c>
      <c r="B10" s="10" t="s">
        <v>10</v>
      </c>
    </row>
    <row r="11" spans="1:8" ht="15">
      <c r="A11" s="9"/>
      <c r="B11" s="10"/>
    </row>
    <row r="12" spans="1:8" ht="32">
      <c r="A12" s="11" t="s">
        <v>11</v>
      </c>
      <c r="B12" s="12"/>
    </row>
    <row r="13" spans="1:8" ht="16">
      <c r="A13" s="9" t="s">
        <v>12</v>
      </c>
      <c r="B13" s="10" t="s">
        <v>13</v>
      </c>
    </row>
    <row r="14" spans="1:8" ht="16">
      <c r="A14" s="9" t="s">
        <v>14</v>
      </c>
      <c r="B14" s="10" t="s">
        <v>15</v>
      </c>
    </row>
    <row r="15" spans="1:8" ht="16">
      <c r="A15" s="9" t="s">
        <v>16</v>
      </c>
      <c r="B15" s="10" t="s">
        <v>17</v>
      </c>
    </row>
    <row r="16" spans="1:8" ht="16">
      <c r="A16" s="9" t="s">
        <v>18</v>
      </c>
      <c r="B16" s="10" t="s">
        <v>19</v>
      </c>
    </row>
    <row r="17" spans="1:2" ht="16">
      <c r="A17" s="9" t="s">
        <v>20</v>
      </c>
      <c r="B17" s="10" t="s">
        <v>21</v>
      </c>
    </row>
    <row r="18" spans="1:2" ht="15">
      <c r="A18" s="9"/>
      <c r="B18" s="10"/>
    </row>
    <row r="19" spans="1:2" ht="16">
      <c r="A19" s="9" t="s">
        <v>22</v>
      </c>
      <c r="B19" s="10"/>
    </row>
    <row r="20" spans="1:2" ht="16">
      <c r="A20" s="11" t="s">
        <v>23</v>
      </c>
      <c r="B20" s="12" t="s">
        <v>24</v>
      </c>
    </row>
    <row r="21" spans="1:2" ht="16">
      <c r="A21" s="9" t="s">
        <v>25</v>
      </c>
      <c r="B21" s="10" t="s">
        <v>26</v>
      </c>
    </row>
    <row r="22" spans="1:2" ht="16">
      <c r="A22" s="9" t="s">
        <v>27</v>
      </c>
      <c r="B22" s="10" t="s">
        <v>28</v>
      </c>
    </row>
    <row r="23" spans="1:2" ht="16">
      <c r="A23" s="9" t="s">
        <v>29</v>
      </c>
      <c r="B23" s="10" t="s">
        <v>30</v>
      </c>
    </row>
    <row r="24" spans="1:2" ht="16">
      <c r="A24" s="9" t="s">
        <v>31</v>
      </c>
      <c r="B24" s="10" t="s">
        <v>32</v>
      </c>
    </row>
    <row r="25" spans="1:2" ht="16">
      <c r="A25" s="9" t="s">
        <v>33</v>
      </c>
      <c r="B25" s="10" t="s">
        <v>34</v>
      </c>
    </row>
    <row r="26" spans="1:2" ht="15">
      <c r="A26" s="9"/>
      <c r="B26" s="10"/>
    </row>
    <row r="27" spans="1:2" ht="16">
      <c r="A27" s="9" t="s">
        <v>35</v>
      </c>
      <c r="B27" s="10"/>
    </row>
    <row r="28" spans="1:2" ht="48">
      <c r="A28" s="11" t="s">
        <v>36</v>
      </c>
      <c r="B28" s="12" t="s">
        <v>37</v>
      </c>
    </row>
    <row r="29" spans="1:2" ht="15">
      <c r="A29" s="13"/>
      <c r="B29" s="14"/>
    </row>
  </sheetData>
  <mergeCells count="2">
    <mergeCell ref="A1:H2"/>
    <mergeCell ref="A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01"/>
  <sheetViews>
    <sheetView workbookViewId="0">
      <selection activeCell="E46" sqref="E46"/>
    </sheetView>
  </sheetViews>
  <sheetFormatPr baseColWidth="10" defaultColWidth="8.83203125" defaultRowHeight="14"/>
  <cols>
    <col min="1" max="1" width="14" customWidth="1"/>
    <col min="2" max="3" width="13" customWidth="1"/>
    <col min="4" max="4" width="16" customWidth="1"/>
    <col min="5" max="5" width="19" customWidth="1"/>
    <col min="6" max="6" width="22" customWidth="1"/>
    <col min="7" max="7" width="10" customWidth="1"/>
    <col min="8" max="8" width="15" customWidth="1"/>
    <col min="9" max="9" width="14" customWidth="1"/>
    <col min="10" max="11" width="13" customWidth="1"/>
    <col min="12" max="12" width="18" customWidth="1"/>
    <col min="13" max="13" width="11" customWidth="1"/>
    <col min="14" max="14" width="14" customWidth="1"/>
    <col min="15" max="15" width="17" customWidth="1"/>
  </cols>
  <sheetData>
    <row r="1" spans="1:15" ht="37.25" customHeight="1">
      <c r="A1" s="2" t="s">
        <v>38</v>
      </c>
      <c r="B1" s="2" t="s">
        <v>39</v>
      </c>
      <c r="C1" s="2" t="s">
        <v>40</v>
      </c>
      <c r="D1" s="2" t="s">
        <v>41</v>
      </c>
      <c r="E1" s="2" t="s">
        <v>42</v>
      </c>
      <c r="F1" s="2" t="s">
        <v>43</v>
      </c>
      <c r="G1" s="2" t="s">
        <v>44</v>
      </c>
      <c r="H1" s="2" t="s">
        <v>45</v>
      </c>
      <c r="I1" s="2" t="s">
        <v>46</v>
      </c>
      <c r="J1" s="2" t="s">
        <v>47</v>
      </c>
      <c r="K1" s="2" t="s">
        <v>48</v>
      </c>
      <c r="L1" s="2" t="s">
        <v>49</v>
      </c>
      <c r="M1" s="2" t="s">
        <v>50</v>
      </c>
      <c r="N1" s="2" t="s">
        <v>51</v>
      </c>
      <c r="O1" s="2" t="s">
        <v>52</v>
      </c>
    </row>
    <row r="2" spans="1:15">
      <c r="A2" t="s">
        <v>53</v>
      </c>
      <c r="B2" s="3">
        <v>46021</v>
      </c>
      <c r="C2" t="s">
        <v>54</v>
      </c>
      <c r="D2" t="s">
        <v>55</v>
      </c>
      <c r="E2" t="s">
        <v>56</v>
      </c>
      <c r="F2" t="s">
        <v>57</v>
      </c>
      <c r="G2" s="6">
        <v>1</v>
      </c>
      <c r="H2" s="4">
        <v>111.98</v>
      </c>
      <c r="I2" s="4">
        <v>66.45</v>
      </c>
      <c r="J2" s="5">
        <v>0.05</v>
      </c>
      <c r="K2" s="6">
        <v>4</v>
      </c>
      <c r="L2" s="6">
        <v>4</v>
      </c>
      <c r="M2" t="s">
        <v>58</v>
      </c>
      <c r="N2" t="s">
        <v>59</v>
      </c>
      <c r="O2" t="s">
        <v>60</v>
      </c>
    </row>
    <row r="3" spans="1:15">
      <c r="A3" t="s">
        <v>61</v>
      </c>
      <c r="B3" s="3">
        <v>45684</v>
      </c>
      <c r="C3" t="s">
        <v>54</v>
      </c>
      <c r="D3" t="s">
        <v>62</v>
      </c>
      <c r="E3" t="s">
        <v>56</v>
      </c>
      <c r="F3" t="s">
        <v>63</v>
      </c>
      <c r="G3" s="6">
        <v>4</v>
      </c>
      <c r="H3" s="4">
        <v>38.96</v>
      </c>
      <c r="I3" s="4">
        <v>20.03</v>
      </c>
      <c r="J3" s="5">
        <v>0</v>
      </c>
      <c r="K3" s="6">
        <v>2</v>
      </c>
      <c r="L3" s="6">
        <v>4</v>
      </c>
      <c r="M3" t="s">
        <v>58</v>
      </c>
      <c r="N3" t="s">
        <v>59</v>
      </c>
      <c r="O3" t="s">
        <v>64</v>
      </c>
    </row>
    <row r="4" spans="1:15">
      <c r="A4" t="s">
        <v>65</v>
      </c>
      <c r="B4" s="3">
        <v>45754</v>
      </c>
      <c r="C4" t="s">
        <v>66</v>
      </c>
      <c r="D4" t="s">
        <v>62</v>
      </c>
      <c r="E4" t="s">
        <v>67</v>
      </c>
      <c r="F4" t="s">
        <v>68</v>
      </c>
      <c r="G4" s="6">
        <v>1</v>
      </c>
      <c r="H4" s="4">
        <v>40.770000000000003</v>
      </c>
      <c r="I4" s="4">
        <v>18.87</v>
      </c>
      <c r="J4" s="5">
        <v>0.05</v>
      </c>
      <c r="K4" s="6">
        <v>3</v>
      </c>
      <c r="L4" s="6">
        <v>5</v>
      </c>
      <c r="M4" t="s">
        <v>58</v>
      </c>
      <c r="N4" t="s">
        <v>69</v>
      </c>
      <c r="O4" t="s">
        <v>64</v>
      </c>
    </row>
    <row r="5" spans="1:15">
      <c r="A5" t="s">
        <v>70</v>
      </c>
      <c r="B5" s="3">
        <v>46012</v>
      </c>
      <c r="C5" t="s">
        <v>54</v>
      </c>
      <c r="D5" t="s">
        <v>62</v>
      </c>
      <c r="E5" t="s">
        <v>67</v>
      </c>
      <c r="F5" t="s">
        <v>71</v>
      </c>
      <c r="G5" s="6">
        <v>1</v>
      </c>
      <c r="H5" s="4">
        <v>69.72</v>
      </c>
      <c r="I5" s="4">
        <v>37.11</v>
      </c>
      <c r="J5" s="5">
        <v>0.1</v>
      </c>
      <c r="K5" s="6">
        <v>2</v>
      </c>
      <c r="L5" s="6">
        <v>4</v>
      </c>
      <c r="M5" t="s">
        <v>58</v>
      </c>
      <c r="N5" t="s">
        <v>69</v>
      </c>
      <c r="O5" t="s">
        <v>64</v>
      </c>
    </row>
    <row r="6" spans="1:15">
      <c r="A6" t="s">
        <v>72</v>
      </c>
      <c r="B6" s="3">
        <v>45799</v>
      </c>
      <c r="C6" t="s">
        <v>66</v>
      </c>
      <c r="D6" t="s">
        <v>62</v>
      </c>
      <c r="E6" t="s">
        <v>67</v>
      </c>
      <c r="F6" t="s">
        <v>71</v>
      </c>
      <c r="G6" s="6">
        <v>2</v>
      </c>
      <c r="H6" s="4">
        <v>69.760000000000005</v>
      </c>
      <c r="I6" s="4">
        <v>39.1</v>
      </c>
      <c r="J6" s="5">
        <v>0.05</v>
      </c>
      <c r="K6" s="6">
        <v>2</v>
      </c>
      <c r="L6" s="6">
        <v>4</v>
      </c>
      <c r="M6" t="s">
        <v>58</v>
      </c>
      <c r="N6" t="s">
        <v>59</v>
      </c>
      <c r="O6" t="s">
        <v>73</v>
      </c>
    </row>
    <row r="7" spans="1:15">
      <c r="A7" t="s">
        <v>74</v>
      </c>
      <c r="B7" s="3">
        <v>45885</v>
      </c>
      <c r="C7" t="s">
        <v>66</v>
      </c>
      <c r="D7" t="s">
        <v>62</v>
      </c>
      <c r="E7" t="s">
        <v>75</v>
      </c>
      <c r="F7" t="s">
        <v>76</v>
      </c>
      <c r="G7" s="6">
        <v>2</v>
      </c>
      <c r="H7" s="4">
        <v>123.95</v>
      </c>
      <c r="I7" s="4">
        <v>74.430000000000007</v>
      </c>
      <c r="J7" s="5">
        <v>0.05</v>
      </c>
      <c r="K7" s="6">
        <v>6</v>
      </c>
      <c r="L7" s="6">
        <v>4</v>
      </c>
      <c r="M7" t="s">
        <v>58</v>
      </c>
      <c r="N7" t="s">
        <v>69</v>
      </c>
      <c r="O7" t="s">
        <v>64</v>
      </c>
    </row>
    <row r="8" spans="1:15">
      <c r="A8" t="s">
        <v>77</v>
      </c>
      <c r="B8" s="3">
        <v>46019</v>
      </c>
      <c r="C8" t="s">
        <v>78</v>
      </c>
      <c r="D8" t="s">
        <v>62</v>
      </c>
      <c r="E8" t="s">
        <v>79</v>
      </c>
      <c r="F8" t="s">
        <v>80</v>
      </c>
      <c r="G8" s="6">
        <v>1</v>
      </c>
      <c r="H8" s="4">
        <v>75.23</v>
      </c>
      <c r="I8" s="4">
        <v>43.32</v>
      </c>
      <c r="J8" s="5">
        <v>0.15000000000000002</v>
      </c>
      <c r="K8" s="6">
        <v>3</v>
      </c>
      <c r="L8" s="6">
        <v>5</v>
      </c>
      <c r="M8" t="s">
        <v>58</v>
      </c>
      <c r="N8" t="s">
        <v>59</v>
      </c>
      <c r="O8" t="s">
        <v>64</v>
      </c>
    </row>
    <row r="9" spans="1:15">
      <c r="A9" t="s">
        <v>81</v>
      </c>
      <c r="B9" s="3">
        <v>46001</v>
      </c>
      <c r="C9" t="s">
        <v>82</v>
      </c>
      <c r="D9" t="s">
        <v>55</v>
      </c>
      <c r="E9" t="s">
        <v>56</v>
      </c>
      <c r="F9" t="s">
        <v>83</v>
      </c>
      <c r="G9" s="6">
        <v>2</v>
      </c>
      <c r="H9" s="4">
        <v>64.47</v>
      </c>
      <c r="I9" s="4">
        <v>35.700000000000003</v>
      </c>
      <c r="J9" s="5">
        <v>0.05</v>
      </c>
      <c r="K9" s="6">
        <v>0</v>
      </c>
      <c r="L9" s="6">
        <v>5</v>
      </c>
      <c r="M9" t="s">
        <v>58</v>
      </c>
      <c r="N9" t="s">
        <v>69</v>
      </c>
      <c r="O9" t="s">
        <v>64</v>
      </c>
    </row>
    <row r="10" spans="1:15">
      <c r="A10" t="s">
        <v>84</v>
      </c>
      <c r="B10" s="3">
        <v>45990</v>
      </c>
      <c r="C10" t="s">
        <v>78</v>
      </c>
      <c r="D10" t="s">
        <v>62</v>
      </c>
      <c r="E10" t="s">
        <v>79</v>
      </c>
      <c r="F10" t="s">
        <v>85</v>
      </c>
      <c r="G10" s="6">
        <v>1</v>
      </c>
      <c r="H10" s="4">
        <v>128.37</v>
      </c>
      <c r="I10" s="4">
        <v>86.52</v>
      </c>
      <c r="J10" s="5">
        <v>0.15000000000000002</v>
      </c>
      <c r="K10" s="6">
        <v>3</v>
      </c>
      <c r="L10" s="6">
        <v>4</v>
      </c>
      <c r="M10" t="s">
        <v>58</v>
      </c>
      <c r="N10" t="s">
        <v>59</v>
      </c>
      <c r="O10" t="s">
        <v>64</v>
      </c>
    </row>
    <row r="11" spans="1:15">
      <c r="A11" t="s">
        <v>86</v>
      </c>
      <c r="B11" s="3">
        <v>45869</v>
      </c>
      <c r="C11" t="s">
        <v>54</v>
      </c>
      <c r="D11" t="s">
        <v>62</v>
      </c>
      <c r="E11" t="s">
        <v>67</v>
      </c>
      <c r="F11" t="s">
        <v>68</v>
      </c>
      <c r="G11" s="6">
        <v>1</v>
      </c>
      <c r="H11" s="4">
        <v>39.700000000000003</v>
      </c>
      <c r="I11" s="4">
        <v>19.93</v>
      </c>
      <c r="J11" s="5">
        <v>0.05</v>
      </c>
      <c r="K11" s="6">
        <v>5</v>
      </c>
      <c r="L11" s="6">
        <v>4</v>
      </c>
      <c r="M11" t="s">
        <v>58</v>
      </c>
      <c r="N11" t="s">
        <v>87</v>
      </c>
      <c r="O11" t="s">
        <v>60</v>
      </c>
    </row>
    <row r="12" spans="1:15">
      <c r="A12" t="s">
        <v>88</v>
      </c>
      <c r="B12" s="3">
        <v>45986</v>
      </c>
      <c r="C12" t="s">
        <v>66</v>
      </c>
      <c r="D12" t="s">
        <v>62</v>
      </c>
      <c r="E12" t="s">
        <v>56</v>
      </c>
      <c r="F12" t="s">
        <v>89</v>
      </c>
      <c r="G12" s="6">
        <v>1</v>
      </c>
      <c r="H12" s="4">
        <v>78.239999999999995</v>
      </c>
      <c r="I12" s="4">
        <v>46.98</v>
      </c>
      <c r="J12" s="5">
        <v>0.1</v>
      </c>
      <c r="K12" s="6">
        <v>4</v>
      </c>
      <c r="L12" s="6">
        <v>4</v>
      </c>
      <c r="M12" t="s">
        <v>58</v>
      </c>
      <c r="N12" t="s">
        <v>59</v>
      </c>
      <c r="O12" t="s">
        <v>60</v>
      </c>
    </row>
    <row r="13" spans="1:15">
      <c r="A13" t="s">
        <v>90</v>
      </c>
      <c r="B13" s="3">
        <v>45992</v>
      </c>
      <c r="C13" t="s">
        <v>78</v>
      </c>
      <c r="D13" t="s">
        <v>62</v>
      </c>
      <c r="E13" t="s">
        <v>79</v>
      </c>
      <c r="F13" t="s">
        <v>85</v>
      </c>
      <c r="G13" s="6">
        <v>4</v>
      </c>
      <c r="H13" s="4">
        <v>134.97</v>
      </c>
      <c r="I13" s="4">
        <v>82.26</v>
      </c>
      <c r="J13" s="5">
        <v>0.15000000000000002</v>
      </c>
      <c r="K13" s="6">
        <v>0</v>
      </c>
      <c r="L13" s="6">
        <v>4</v>
      </c>
      <c r="M13" t="s">
        <v>58</v>
      </c>
      <c r="N13" t="s">
        <v>69</v>
      </c>
      <c r="O13" t="s">
        <v>64</v>
      </c>
    </row>
    <row r="14" spans="1:15">
      <c r="A14" t="s">
        <v>91</v>
      </c>
      <c r="B14" s="3">
        <v>45886</v>
      </c>
      <c r="C14" t="s">
        <v>78</v>
      </c>
      <c r="D14" t="s">
        <v>62</v>
      </c>
      <c r="E14" t="s">
        <v>79</v>
      </c>
      <c r="F14" t="s">
        <v>92</v>
      </c>
      <c r="G14" s="6">
        <v>1</v>
      </c>
      <c r="H14" s="4">
        <v>51.98</v>
      </c>
      <c r="I14" s="4">
        <v>25.56</v>
      </c>
      <c r="J14" s="5">
        <v>0</v>
      </c>
      <c r="K14" s="6">
        <v>2</v>
      </c>
      <c r="L14" s="6">
        <v>4</v>
      </c>
      <c r="M14" t="s">
        <v>58</v>
      </c>
      <c r="N14" t="s">
        <v>59</v>
      </c>
      <c r="O14" t="s">
        <v>64</v>
      </c>
    </row>
    <row r="15" spans="1:15">
      <c r="A15" t="s">
        <v>93</v>
      </c>
      <c r="B15" s="3">
        <v>45808</v>
      </c>
      <c r="C15" t="s">
        <v>66</v>
      </c>
      <c r="D15" t="s">
        <v>62</v>
      </c>
      <c r="E15" t="s">
        <v>67</v>
      </c>
      <c r="F15" t="s">
        <v>94</v>
      </c>
      <c r="G15" s="6">
        <v>2</v>
      </c>
      <c r="H15" s="4">
        <v>35.96</v>
      </c>
      <c r="I15" s="4">
        <v>17</v>
      </c>
      <c r="J15" s="5">
        <v>0</v>
      </c>
      <c r="K15" s="6">
        <v>2</v>
      </c>
      <c r="L15" s="6">
        <v>4</v>
      </c>
      <c r="M15" t="s">
        <v>58</v>
      </c>
      <c r="N15" t="s">
        <v>59</v>
      </c>
      <c r="O15" t="s">
        <v>64</v>
      </c>
    </row>
    <row r="16" spans="1:15">
      <c r="A16" t="s">
        <v>95</v>
      </c>
      <c r="B16" s="3">
        <v>45682</v>
      </c>
      <c r="C16" t="s">
        <v>78</v>
      </c>
      <c r="D16" t="s">
        <v>62</v>
      </c>
      <c r="E16" t="s">
        <v>79</v>
      </c>
      <c r="F16" t="s">
        <v>92</v>
      </c>
      <c r="G16" s="6">
        <v>2</v>
      </c>
      <c r="H16" s="4">
        <v>49.3</v>
      </c>
      <c r="I16" s="4">
        <v>25.35</v>
      </c>
      <c r="J16" s="5">
        <v>0</v>
      </c>
      <c r="K16" s="6">
        <v>3</v>
      </c>
      <c r="L16" s="6">
        <v>4</v>
      </c>
      <c r="M16" t="s">
        <v>58</v>
      </c>
      <c r="N16" t="s">
        <v>59</v>
      </c>
      <c r="O16" t="s">
        <v>60</v>
      </c>
    </row>
    <row r="17" spans="1:15">
      <c r="A17" t="s">
        <v>96</v>
      </c>
      <c r="B17" s="3">
        <v>45664</v>
      </c>
      <c r="C17" t="s">
        <v>66</v>
      </c>
      <c r="D17" t="s">
        <v>62</v>
      </c>
      <c r="E17" t="s">
        <v>75</v>
      </c>
      <c r="F17" t="s">
        <v>97</v>
      </c>
      <c r="G17" s="6">
        <v>2</v>
      </c>
      <c r="H17" s="4">
        <v>91.21</v>
      </c>
      <c r="I17" s="4">
        <v>55.49</v>
      </c>
      <c r="J17" s="5">
        <v>0.05</v>
      </c>
      <c r="K17" s="6">
        <v>6</v>
      </c>
      <c r="L17" s="6">
        <v>3</v>
      </c>
      <c r="M17" t="s">
        <v>58</v>
      </c>
      <c r="N17" t="s">
        <v>59</v>
      </c>
      <c r="O17" t="s">
        <v>64</v>
      </c>
    </row>
    <row r="18" spans="1:15">
      <c r="A18" t="s">
        <v>98</v>
      </c>
      <c r="B18" s="3">
        <v>45886</v>
      </c>
      <c r="C18" t="s">
        <v>54</v>
      </c>
      <c r="D18" t="s">
        <v>62</v>
      </c>
      <c r="E18" t="s">
        <v>99</v>
      </c>
      <c r="F18" t="s">
        <v>63</v>
      </c>
      <c r="G18" s="6">
        <v>1</v>
      </c>
      <c r="H18" s="4">
        <v>41.58</v>
      </c>
      <c r="I18" s="4">
        <v>19.77</v>
      </c>
      <c r="J18" s="5">
        <v>0.05</v>
      </c>
      <c r="K18" s="6">
        <v>1</v>
      </c>
      <c r="L18" s="6">
        <v>5</v>
      </c>
      <c r="M18" t="s">
        <v>58</v>
      </c>
      <c r="N18" t="s">
        <v>59</v>
      </c>
      <c r="O18" t="s">
        <v>60</v>
      </c>
    </row>
    <row r="19" spans="1:15">
      <c r="A19" t="s">
        <v>100</v>
      </c>
      <c r="B19" s="3" t="s">
        <v>101</v>
      </c>
      <c r="C19" t="s">
        <v>82</v>
      </c>
      <c r="D19" t="s">
        <v>62</v>
      </c>
      <c r="E19" t="s">
        <v>79</v>
      </c>
      <c r="F19" t="s">
        <v>92</v>
      </c>
      <c r="G19" s="6">
        <v>1</v>
      </c>
      <c r="H19" s="4">
        <v>49.41</v>
      </c>
      <c r="I19" s="4">
        <v>25.25</v>
      </c>
      <c r="J19" s="5">
        <v>0</v>
      </c>
      <c r="K19" s="6">
        <v>3</v>
      </c>
      <c r="L19" s="6">
        <v>5</v>
      </c>
      <c r="M19" t="s">
        <v>58</v>
      </c>
      <c r="N19" t="s">
        <v>59</v>
      </c>
      <c r="O19" t="s">
        <v>64</v>
      </c>
    </row>
    <row r="20" spans="1:15">
      <c r="A20" t="s">
        <v>102</v>
      </c>
      <c r="B20" s="3">
        <v>45929</v>
      </c>
      <c r="C20" t="s">
        <v>66</v>
      </c>
      <c r="D20" t="s">
        <v>62</v>
      </c>
      <c r="E20" t="s">
        <v>67</v>
      </c>
      <c r="F20" t="s">
        <v>71</v>
      </c>
      <c r="G20" s="6">
        <v>1</v>
      </c>
      <c r="H20" s="4">
        <v>69.239999999999995</v>
      </c>
      <c r="I20" s="4">
        <v>39.299999999999997</v>
      </c>
      <c r="J20" s="5">
        <v>0.15000000000000002</v>
      </c>
      <c r="K20" s="6">
        <v>2</v>
      </c>
      <c r="L20" s="6">
        <v>5</v>
      </c>
      <c r="M20" t="s">
        <v>58</v>
      </c>
      <c r="N20" t="s">
        <v>59</v>
      </c>
      <c r="O20" t="s">
        <v>64</v>
      </c>
    </row>
    <row r="21" spans="1:15">
      <c r="A21" t="s">
        <v>103</v>
      </c>
      <c r="B21" s="3">
        <v>46010</v>
      </c>
      <c r="C21" t="s">
        <v>54</v>
      </c>
      <c r="D21" t="s">
        <v>55</v>
      </c>
      <c r="E21" t="s">
        <v>79</v>
      </c>
      <c r="F21" t="s">
        <v>80</v>
      </c>
      <c r="G21" s="6">
        <v>3</v>
      </c>
      <c r="H21" s="4">
        <v>76.92</v>
      </c>
      <c r="I21" s="4">
        <v>44.77</v>
      </c>
      <c r="J21" s="5">
        <v>0</v>
      </c>
      <c r="K21" s="6">
        <v>0</v>
      </c>
      <c r="L21" s="6">
        <v>4</v>
      </c>
      <c r="M21" t="s">
        <v>58</v>
      </c>
      <c r="N21" t="s">
        <v>69</v>
      </c>
      <c r="O21" t="s">
        <v>64</v>
      </c>
    </row>
    <row r="22" spans="1:15">
      <c r="A22" t="s">
        <v>104</v>
      </c>
      <c r="B22" s="3">
        <v>45750</v>
      </c>
      <c r="C22" t="s">
        <v>82</v>
      </c>
      <c r="D22" t="s">
        <v>62</v>
      </c>
      <c r="E22" t="s">
        <v>67</v>
      </c>
      <c r="F22" t="s">
        <v>94</v>
      </c>
      <c r="G22" s="6">
        <v>1</v>
      </c>
      <c r="H22" s="4">
        <v>35.35</v>
      </c>
      <c r="I22" s="4">
        <v>17.7</v>
      </c>
      <c r="J22" s="5">
        <v>0.1</v>
      </c>
      <c r="K22" s="6">
        <v>2</v>
      </c>
      <c r="L22" s="6">
        <v>4</v>
      </c>
      <c r="M22" t="s">
        <v>58</v>
      </c>
      <c r="N22" t="s">
        <v>69</v>
      </c>
      <c r="O22" t="s">
        <v>64</v>
      </c>
    </row>
    <row r="23" spans="1:15">
      <c r="A23" t="s">
        <v>105</v>
      </c>
      <c r="B23" s="3">
        <v>45833</v>
      </c>
      <c r="C23" t="s">
        <v>66</v>
      </c>
      <c r="D23" t="s">
        <v>62</v>
      </c>
      <c r="E23" t="s">
        <v>79</v>
      </c>
      <c r="F23" t="s">
        <v>92</v>
      </c>
      <c r="G23" s="6">
        <v>3</v>
      </c>
      <c r="H23" s="4">
        <v>49.58</v>
      </c>
      <c r="I23" s="4">
        <v>27.27</v>
      </c>
      <c r="J23" s="5">
        <v>0.15000000000000002</v>
      </c>
      <c r="K23" s="6">
        <v>0</v>
      </c>
      <c r="L23" s="6">
        <v>4</v>
      </c>
      <c r="M23" t="s">
        <v>58</v>
      </c>
      <c r="N23" t="s">
        <v>69</v>
      </c>
      <c r="O23" t="s">
        <v>64</v>
      </c>
    </row>
    <row r="24" spans="1:15">
      <c r="A24" t="s">
        <v>106</v>
      </c>
      <c r="B24" s="3">
        <v>45996</v>
      </c>
      <c r="C24" t="s">
        <v>66</v>
      </c>
      <c r="D24" t="s">
        <v>62</v>
      </c>
      <c r="E24" t="s">
        <v>67</v>
      </c>
      <c r="F24" t="s">
        <v>107</v>
      </c>
      <c r="G24" s="6">
        <v>1</v>
      </c>
      <c r="H24" s="4">
        <v>44.04</v>
      </c>
      <c r="I24" s="4">
        <v>21.51</v>
      </c>
      <c r="J24" s="5">
        <v>0.2</v>
      </c>
      <c r="K24" s="6">
        <v>1</v>
      </c>
      <c r="L24" s="6">
        <v>5</v>
      </c>
      <c r="M24" t="s">
        <v>58</v>
      </c>
      <c r="N24" t="s">
        <v>59</v>
      </c>
      <c r="O24" t="s">
        <v>60</v>
      </c>
    </row>
    <row r="25" spans="1:15">
      <c r="A25" t="s">
        <v>108</v>
      </c>
      <c r="B25" s="3">
        <v>45974</v>
      </c>
      <c r="C25" t="s">
        <v>54</v>
      </c>
      <c r="D25" t="s">
        <v>55</v>
      </c>
      <c r="E25" t="s">
        <v>79</v>
      </c>
      <c r="F25" t="s">
        <v>80</v>
      </c>
      <c r="G25" s="6">
        <v>4</v>
      </c>
      <c r="H25" s="4">
        <v>74.489999999999995</v>
      </c>
      <c r="I25" s="4">
        <v>42.11</v>
      </c>
      <c r="J25" s="5">
        <v>0.05</v>
      </c>
      <c r="K25" s="6">
        <v>2</v>
      </c>
      <c r="L25" s="6">
        <v>4</v>
      </c>
      <c r="M25" t="s">
        <v>58</v>
      </c>
      <c r="N25" t="s">
        <v>59</v>
      </c>
      <c r="O25" t="s">
        <v>60</v>
      </c>
    </row>
    <row r="26" spans="1:15">
      <c r="A26" t="s">
        <v>109</v>
      </c>
      <c r="B26" s="3">
        <v>45937</v>
      </c>
      <c r="C26" t="s">
        <v>66</v>
      </c>
      <c r="D26" t="s">
        <v>62</v>
      </c>
      <c r="E26" t="s">
        <v>75</v>
      </c>
      <c r="F26" t="s">
        <v>110</v>
      </c>
      <c r="G26" s="6">
        <v>1</v>
      </c>
      <c r="H26" s="4">
        <v>165.17</v>
      </c>
      <c r="I26" s="4">
        <v>102.2</v>
      </c>
      <c r="J26" s="5">
        <v>0.15000000000000002</v>
      </c>
      <c r="K26" s="6">
        <v>8</v>
      </c>
      <c r="L26" s="6">
        <v>3</v>
      </c>
      <c r="M26" t="s">
        <v>58</v>
      </c>
      <c r="N26" t="s">
        <v>59</v>
      </c>
      <c r="O26" t="s">
        <v>64</v>
      </c>
    </row>
    <row r="27" spans="1:15">
      <c r="A27" t="s">
        <v>111</v>
      </c>
      <c r="B27" s="3">
        <v>45713</v>
      </c>
      <c r="C27" t="s">
        <v>82</v>
      </c>
      <c r="D27" t="s">
        <v>62</v>
      </c>
      <c r="E27" t="s">
        <v>67</v>
      </c>
      <c r="F27" t="s">
        <v>94</v>
      </c>
      <c r="G27" s="6">
        <v>1</v>
      </c>
      <c r="H27" s="4">
        <v>34.74</v>
      </c>
      <c r="I27" s="4">
        <v>17.45</v>
      </c>
      <c r="J27" s="5">
        <v>0.05</v>
      </c>
      <c r="K27" s="6">
        <v>7</v>
      </c>
      <c r="L27" s="6">
        <v>4</v>
      </c>
      <c r="M27" t="s">
        <v>58</v>
      </c>
      <c r="N27" t="s">
        <v>59</v>
      </c>
      <c r="O27" t="s">
        <v>64</v>
      </c>
    </row>
    <row r="28" spans="1:15">
      <c r="A28" t="s">
        <v>112</v>
      </c>
      <c r="B28" s="3">
        <v>45820</v>
      </c>
      <c r="C28" t="s">
        <v>78</v>
      </c>
      <c r="D28" t="s">
        <v>62</v>
      </c>
      <c r="E28" t="s">
        <v>75</v>
      </c>
      <c r="F28" t="s">
        <v>76</v>
      </c>
      <c r="G28" s="6">
        <v>3</v>
      </c>
      <c r="H28" s="4">
        <v>117.31</v>
      </c>
      <c r="I28" s="4">
        <v>74.650000000000006</v>
      </c>
      <c r="J28" s="5">
        <v>0.05</v>
      </c>
      <c r="K28" s="6">
        <v>3</v>
      </c>
      <c r="L28" s="6">
        <v>4</v>
      </c>
      <c r="M28" t="s">
        <v>58</v>
      </c>
      <c r="N28" t="s">
        <v>69</v>
      </c>
      <c r="O28" t="s">
        <v>64</v>
      </c>
    </row>
    <row r="29" spans="1:15">
      <c r="A29" t="s">
        <v>113</v>
      </c>
      <c r="B29" s="3">
        <v>45979</v>
      </c>
      <c r="C29" t="s">
        <v>66</v>
      </c>
      <c r="D29" t="s">
        <v>55</v>
      </c>
      <c r="E29" t="s">
        <v>79</v>
      </c>
      <c r="F29" t="s">
        <v>80</v>
      </c>
      <c r="G29" s="6">
        <v>5</v>
      </c>
      <c r="H29" s="4">
        <v>74.180000000000007</v>
      </c>
      <c r="I29" s="4">
        <v>43.05</v>
      </c>
      <c r="J29" s="5">
        <v>0.05</v>
      </c>
      <c r="K29" s="6">
        <v>3</v>
      </c>
      <c r="L29" s="6">
        <v>4</v>
      </c>
      <c r="M29" t="s">
        <v>58</v>
      </c>
      <c r="N29" t="s">
        <v>69</v>
      </c>
      <c r="O29" t="s">
        <v>64</v>
      </c>
    </row>
    <row r="30" spans="1:15">
      <c r="A30" t="s">
        <v>114</v>
      </c>
      <c r="B30" s="3">
        <v>45938</v>
      </c>
      <c r="C30" t="s">
        <v>82</v>
      </c>
      <c r="D30" t="s">
        <v>62</v>
      </c>
      <c r="E30" t="s">
        <v>79</v>
      </c>
      <c r="F30" t="s">
        <v>115</v>
      </c>
      <c r="G30" s="6">
        <v>2</v>
      </c>
      <c r="H30" s="4">
        <v>62.36</v>
      </c>
      <c r="I30" s="4">
        <v>33.659999999999997</v>
      </c>
      <c r="J30" s="5">
        <v>0.1</v>
      </c>
      <c r="K30" s="6">
        <v>0</v>
      </c>
      <c r="L30" s="6">
        <v>4</v>
      </c>
      <c r="M30" t="s">
        <v>58</v>
      </c>
      <c r="N30" t="s">
        <v>69</v>
      </c>
      <c r="O30" t="s">
        <v>73</v>
      </c>
    </row>
    <row r="31" spans="1:15">
      <c r="A31" t="s">
        <v>116</v>
      </c>
      <c r="B31" s="3">
        <v>46016</v>
      </c>
      <c r="C31" t="s">
        <v>66</v>
      </c>
      <c r="D31" t="s">
        <v>62</v>
      </c>
      <c r="E31" t="s">
        <v>79</v>
      </c>
      <c r="F31" t="s">
        <v>85</v>
      </c>
      <c r="G31" s="6">
        <v>2</v>
      </c>
      <c r="H31" s="4">
        <v>134.44999999999999</v>
      </c>
      <c r="I31" s="4">
        <v>83.37</v>
      </c>
      <c r="J31" s="5">
        <v>0.2</v>
      </c>
      <c r="K31" s="6">
        <v>4</v>
      </c>
      <c r="L31" s="6"/>
      <c r="M31" t="s">
        <v>58</v>
      </c>
      <c r="N31" t="s">
        <v>59</v>
      </c>
      <c r="O31" t="s">
        <v>64</v>
      </c>
    </row>
    <row r="32" spans="1:15">
      <c r="A32" t="s">
        <v>117</v>
      </c>
      <c r="B32" s="3">
        <v>45768</v>
      </c>
      <c r="C32" t="s">
        <v>82</v>
      </c>
      <c r="D32" t="s">
        <v>62</v>
      </c>
      <c r="E32" t="s">
        <v>79</v>
      </c>
      <c r="F32" t="s">
        <v>80</v>
      </c>
      <c r="G32" s="6">
        <v>1</v>
      </c>
      <c r="H32" s="4">
        <v>73.400000000000006</v>
      </c>
      <c r="I32" s="4">
        <v>45.03</v>
      </c>
      <c r="J32" s="5">
        <v>0.05</v>
      </c>
      <c r="K32" s="6">
        <v>2</v>
      </c>
      <c r="L32" s="6">
        <v>5</v>
      </c>
      <c r="M32" t="s">
        <v>58</v>
      </c>
      <c r="N32" t="s">
        <v>87</v>
      </c>
      <c r="O32" t="s">
        <v>64</v>
      </c>
    </row>
    <row r="33" spans="1:15">
      <c r="A33" t="s">
        <v>118</v>
      </c>
      <c r="B33" s="3">
        <v>45930</v>
      </c>
      <c r="C33" t="s">
        <v>78</v>
      </c>
      <c r="D33" t="s">
        <v>62</v>
      </c>
      <c r="E33" t="s">
        <v>79</v>
      </c>
      <c r="F33" t="s">
        <v>115</v>
      </c>
      <c r="G33" s="6">
        <v>2</v>
      </c>
      <c r="H33" s="4">
        <v>60.14</v>
      </c>
      <c r="I33" s="4">
        <v>35.68</v>
      </c>
      <c r="J33" s="5">
        <v>0.1</v>
      </c>
      <c r="K33" s="6">
        <v>1</v>
      </c>
      <c r="L33" s="6">
        <v>4</v>
      </c>
      <c r="M33" t="s">
        <v>58</v>
      </c>
      <c r="N33" t="s">
        <v>59</v>
      </c>
      <c r="O33" t="s">
        <v>64</v>
      </c>
    </row>
    <row r="34" spans="1:15">
      <c r="A34" t="s">
        <v>119</v>
      </c>
      <c r="B34" s="3">
        <v>45917</v>
      </c>
      <c r="C34" t="s">
        <v>66</v>
      </c>
      <c r="D34" t="s">
        <v>62</v>
      </c>
      <c r="E34" t="s">
        <v>79</v>
      </c>
      <c r="F34" t="s">
        <v>92</v>
      </c>
      <c r="G34" s="6">
        <v>4</v>
      </c>
      <c r="H34" s="4">
        <v>51.24</v>
      </c>
      <c r="I34" s="4">
        <v>26.9</v>
      </c>
      <c r="J34" s="5">
        <v>0.05</v>
      </c>
      <c r="K34" s="6">
        <v>2</v>
      </c>
      <c r="L34" s="6">
        <v>4</v>
      </c>
      <c r="M34" t="s">
        <v>58</v>
      </c>
      <c r="N34" t="s">
        <v>69</v>
      </c>
      <c r="O34" t="s">
        <v>60</v>
      </c>
    </row>
    <row r="35" spans="1:15">
      <c r="A35" t="s">
        <v>120</v>
      </c>
      <c r="B35" s="3">
        <v>45936</v>
      </c>
      <c r="C35" t="s">
        <v>54</v>
      </c>
      <c r="D35" t="s">
        <v>62</v>
      </c>
      <c r="E35" t="s">
        <v>56</v>
      </c>
      <c r="F35" t="s">
        <v>89</v>
      </c>
      <c r="G35" s="6">
        <v>2</v>
      </c>
      <c r="H35" s="4">
        <v>79.209999999999994</v>
      </c>
      <c r="I35" s="4">
        <v>45.35</v>
      </c>
      <c r="J35" s="5">
        <v>0</v>
      </c>
      <c r="K35" s="6">
        <v>0</v>
      </c>
      <c r="L35" s="6">
        <v>5</v>
      </c>
      <c r="M35" t="s">
        <v>58</v>
      </c>
      <c r="N35" t="s">
        <v>69</v>
      </c>
      <c r="O35" t="s">
        <v>60</v>
      </c>
    </row>
    <row r="36" spans="1:15">
      <c r="A36" t="s">
        <v>121</v>
      </c>
      <c r="B36" s="3">
        <v>45981</v>
      </c>
      <c r="C36" t="s">
        <v>82</v>
      </c>
      <c r="D36" t="s">
        <v>55</v>
      </c>
      <c r="E36" t="s">
        <v>79</v>
      </c>
      <c r="F36" t="s">
        <v>92</v>
      </c>
      <c r="G36" s="6">
        <v>3</v>
      </c>
      <c r="H36" s="4">
        <v>50.12</v>
      </c>
      <c r="I36" s="4">
        <v>26.06</v>
      </c>
      <c r="J36" s="5">
        <v>0.2</v>
      </c>
      <c r="K36" s="6">
        <v>1</v>
      </c>
      <c r="L36" s="6">
        <v>4</v>
      </c>
      <c r="M36" t="s">
        <v>58</v>
      </c>
      <c r="N36" t="s">
        <v>87</v>
      </c>
      <c r="O36" t="s">
        <v>60</v>
      </c>
    </row>
    <row r="37" spans="1:15">
      <c r="A37" t="s">
        <v>122</v>
      </c>
      <c r="B37" s="3">
        <v>45658</v>
      </c>
      <c r="C37" t="s">
        <v>66</v>
      </c>
      <c r="D37" t="s">
        <v>55</v>
      </c>
      <c r="E37" t="s">
        <v>79</v>
      </c>
      <c r="F37" t="s">
        <v>85</v>
      </c>
      <c r="G37" s="6">
        <v>4</v>
      </c>
      <c r="H37" s="4">
        <v>131.87</v>
      </c>
      <c r="I37" s="4">
        <v>83.71</v>
      </c>
      <c r="J37" s="5">
        <v>0.1</v>
      </c>
      <c r="K37" s="6">
        <v>4</v>
      </c>
      <c r="L37" s="6">
        <v>4</v>
      </c>
      <c r="M37" t="s">
        <v>58</v>
      </c>
      <c r="N37" t="s">
        <v>59</v>
      </c>
      <c r="O37" t="s">
        <v>60</v>
      </c>
    </row>
    <row r="38" spans="1:15">
      <c r="A38" t="s">
        <v>123</v>
      </c>
      <c r="B38" s="3">
        <v>45957</v>
      </c>
      <c r="C38" t="s">
        <v>78</v>
      </c>
      <c r="D38" t="s">
        <v>62</v>
      </c>
      <c r="E38" t="s">
        <v>67</v>
      </c>
      <c r="F38" t="s">
        <v>68</v>
      </c>
      <c r="G38" s="6">
        <v>1</v>
      </c>
      <c r="H38" s="4">
        <v>40.340000000000003</v>
      </c>
      <c r="I38" s="4">
        <v>19.21</v>
      </c>
      <c r="J38" s="5">
        <v>0</v>
      </c>
      <c r="K38" s="6">
        <v>3</v>
      </c>
      <c r="L38" s="6">
        <v>4</v>
      </c>
      <c r="M38" t="s">
        <v>58</v>
      </c>
      <c r="N38" t="s">
        <v>59</v>
      </c>
      <c r="O38" t="s">
        <v>64</v>
      </c>
    </row>
    <row r="39" spans="1:15">
      <c r="A39" t="s">
        <v>124</v>
      </c>
      <c r="B39" s="3">
        <v>46013</v>
      </c>
      <c r="C39" t="s">
        <v>66</v>
      </c>
      <c r="D39" t="s">
        <v>55</v>
      </c>
      <c r="E39" t="s">
        <v>79</v>
      </c>
      <c r="F39" t="s">
        <v>80</v>
      </c>
      <c r="G39" s="6">
        <v>2</v>
      </c>
      <c r="H39" s="4">
        <v>77.260000000000005</v>
      </c>
      <c r="I39" s="4">
        <v>42.8</v>
      </c>
      <c r="J39" s="5">
        <v>0.1</v>
      </c>
      <c r="K39" s="6">
        <v>4</v>
      </c>
      <c r="L39" s="6">
        <v>4</v>
      </c>
      <c r="M39" t="s">
        <v>58</v>
      </c>
      <c r="N39" t="s">
        <v>69</v>
      </c>
      <c r="O39" t="s">
        <v>64</v>
      </c>
    </row>
    <row r="40" spans="1:15">
      <c r="A40" t="s">
        <v>125</v>
      </c>
      <c r="B40" s="3">
        <v>45938</v>
      </c>
      <c r="C40" t="s">
        <v>78</v>
      </c>
      <c r="D40" t="s">
        <v>55</v>
      </c>
      <c r="E40" t="s">
        <v>75</v>
      </c>
      <c r="F40" t="s">
        <v>97</v>
      </c>
      <c r="G40" s="6">
        <v>2</v>
      </c>
      <c r="H40" s="4">
        <v>93.04</v>
      </c>
      <c r="I40" s="4">
        <v>53.32</v>
      </c>
      <c r="J40" s="5">
        <v>0</v>
      </c>
      <c r="K40" s="6">
        <v>7</v>
      </c>
      <c r="L40" s="6">
        <v>2</v>
      </c>
      <c r="M40" t="s">
        <v>126</v>
      </c>
      <c r="N40" t="s">
        <v>59</v>
      </c>
      <c r="O40" t="s">
        <v>60</v>
      </c>
    </row>
    <row r="41" spans="1:15">
      <c r="A41" t="s">
        <v>127</v>
      </c>
      <c r="B41" s="3">
        <v>45779</v>
      </c>
      <c r="C41" t="s">
        <v>66</v>
      </c>
      <c r="D41" t="s">
        <v>62</v>
      </c>
      <c r="E41" t="s">
        <v>75</v>
      </c>
      <c r="F41" t="s">
        <v>110</v>
      </c>
      <c r="G41" s="6">
        <v>1</v>
      </c>
      <c r="H41" s="4">
        <v>156.21</v>
      </c>
      <c r="I41" s="4">
        <v>99.74</v>
      </c>
      <c r="J41" s="5">
        <v>0.1</v>
      </c>
      <c r="K41" s="6">
        <v>2</v>
      </c>
      <c r="L41" s="6">
        <v>4</v>
      </c>
      <c r="M41" t="s">
        <v>126</v>
      </c>
      <c r="N41" t="s">
        <v>69</v>
      </c>
      <c r="O41" t="s">
        <v>64</v>
      </c>
    </row>
    <row r="42" spans="1:15">
      <c r="A42" t="s">
        <v>128</v>
      </c>
      <c r="B42" s="3">
        <v>45761</v>
      </c>
      <c r="C42" t="s">
        <v>66</v>
      </c>
      <c r="D42" t="s">
        <v>129</v>
      </c>
      <c r="E42" t="s">
        <v>67</v>
      </c>
      <c r="F42" t="s">
        <v>107</v>
      </c>
      <c r="G42" s="6">
        <v>4</v>
      </c>
      <c r="H42" s="4">
        <v>46.31</v>
      </c>
      <c r="I42" s="4">
        <v>21.97</v>
      </c>
      <c r="J42" s="5">
        <v>0.15000000000000002</v>
      </c>
      <c r="K42" s="6">
        <v>5</v>
      </c>
      <c r="L42" s="6">
        <v>5</v>
      </c>
      <c r="M42" t="s">
        <v>58</v>
      </c>
      <c r="N42" t="s">
        <v>59</v>
      </c>
      <c r="O42" t="s">
        <v>60</v>
      </c>
    </row>
    <row r="43" spans="1:15">
      <c r="A43" t="s">
        <v>130</v>
      </c>
      <c r="B43" s="3">
        <v>45886</v>
      </c>
      <c r="C43" t="s">
        <v>82</v>
      </c>
      <c r="D43" t="s">
        <v>129</v>
      </c>
      <c r="E43" t="s">
        <v>67</v>
      </c>
      <c r="F43" t="s">
        <v>71</v>
      </c>
      <c r="G43" s="6">
        <v>4</v>
      </c>
      <c r="H43" s="4">
        <v>69.56</v>
      </c>
      <c r="I43" s="4">
        <v>38.47</v>
      </c>
      <c r="J43" s="5">
        <v>0.05</v>
      </c>
      <c r="K43" s="6">
        <v>2</v>
      </c>
      <c r="L43" s="6">
        <v>5</v>
      </c>
      <c r="M43" t="s">
        <v>58</v>
      </c>
      <c r="N43" t="s">
        <v>69</v>
      </c>
      <c r="O43" t="s">
        <v>73</v>
      </c>
    </row>
    <row r="44" spans="1:15">
      <c r="A44" t="s">
        <v>131</v>
      </c>
      <c r="B44" s="3">
        <v>45866</v>
      </c>
      <c r="C44" t="s">
        <v>78</v>
      </c>
      <c r="D44" t="s">
        <v>62</v>
      </c>
      <c r="E44" t="s">
        <v>79</v>
      </c>
      <c r="F44" t="s">
        <v>85</v>
      </c>
      <c r="G44" s="6">
        <v>1</v>
      </c>
      <c r="H44" s="4">
        <v>126.3</v>
      </c>
      <c r="I44" s="4">
        <v>83.66</v>
      </c>
      <c r="J44" s="5">
        <v>0.1</v>
      </c>
      <c r="K44" s="6">
        <v>2</v>
      </c>
      <c r="L44" s="6">
        <v>4</v>
      </c>
      <c r="M44" t="s">
        <v>58</v>
      </c>
      <c r="N44" t="s">
        <v>59</v>
      </c>
      <c r="O44" t="s">
        <v>64</v>
      </c>
    </row>
    <row r="45" spans="1:15">
      <c r="A45" t="s">
        <v>132</v>
      </c>
      <c r="B45" s="3">
        <v>46012</v>
      </c>
      <c r="C45" t="s">
        <v>66</v>
      </c>
      <c r="D45" t="s">
        <v>55</v>
      </c>
      <c r="E45" t="s">
        <v>67</v>
      </c>
      <c r="F45" t="s">
        <v>71</v>
      </c>
      <c r="G45" s="6">
        <v>5</v>
      </c>
      <c r="H45" s="4">
        <v>68.22</v>
      </c>
      <c r="I45" s="4">
        <v>39.619999999999997</v>
      </c>
      <c r="J45" s="5">
        <v>0.15000000000000002</v>
      </c>
      <c r="K45" s="6">
        <v>4</v>
      </c>
      <c r="L45" s="6">
        <v>4</v>
      </c>
      <c r="M45" t="s">
        <v>58</v>
      </c>
      <c r="N45" t="s">
        <v>69</v>
      </c>
      <c r="O45" t="s">
        <v>73</v>
      </c>
    </row>
    <row r="46" spans="1:15">
      <c r="A46" t="s">
        <v>133</v>
      </c>
      <c r="B46" s="3">
        <v>45816</v>
      </c>
      <c r="C46" t="s">
        <v>54</v>
      </c>
      <c r="D46" t="s">
        <v>62</v>
      </c>
      <c r="E46" t="s">
        <v>67</v>
      </c>
      <c r="F46" t="s">
        <v>68</v>
      </c>
      <c r="G46" s="6">
        <v>2</v>
      </c>
      <c r="H46" s="4">
        <v>40.74</v>
      </c>
      <c r="I46" s="4">
        <v>18.95</v>
      </c>
      <c r="J46" s="5">
        <v>0.1</v>
      </c>
      <c r="K46" s="6">
        <v>2</v>
      </c>
      <c r="L46" s="6">
        <v>5</v>
      </c>
      <c r="M46" t="s">
        <v>58</v>
      </c>
      <c r="N46" t="s">
        <v>69</v>
      </c>
      <c r="O46" t="s">
        <v>60</v>
      </c>
    </row>
    <row r="47" spans="1:15">
      <c r="A47" t="s">
        <v>134</v>
      </c>
      <c r="B47" s="3">
        <v>45831</v>
      </c>
      <c r="C47" t="s">
        <v>78</v>
      </c>
      <c r="D47" t="s">
        <v>55</v>
      </c>
      <c r="E47" t="s">
        <v>79</v>
      </c>
      <c r="F47" t="s">
        <v>92</v>
      </c>
      <c r="G47" s="6">
        <v>3</v>
      </c>
      <c r="H47" s="4">
        <v>51.29</v>
      </c>
      <c r="I47" s="4">
        <v>25.64</v>
      </c>
      <c r="J47" s="5">
        <v>0.05</v>
      </c>
      <c r="K47" s="6">
        <v>0</v>
      </c>
      <c r="L47" s="6">
        <v>4</v>
      </c>
      <c r="M47" t="s">
        <v>58</v>
      </c>
      <c r="N47" t="s">
        <v>69</v>
      </c>
      <c r="O47" t="s">
        <v>64</v>
      </c>
    </row>
    <row r="48" spans="1:15">
      <c r="A48" t="s">
        <v>135</v>
      </c>
      <c r="B48" s="3">
        <v>45662</v>
      </c>
      <c r="C48" t="s">
        <v>82</v>
      </c>
      <c r="D48" t="s">
        <v>62</v>
      </c>
      <c r="E48" t="s">
        <v>79</v>
      </c>
      <c r="F48" t="s">
        <v>80</v>
      </c>
      <c r="G48" s="6">
        <v>2</v>
      </c>
      <c r="H48" s="4">
        <v>74.06</v>
      </c>
      <c r="I48" s="4">
        <v>45.08</v>
      </c>
      <c r="J48" s="5">
        <v>0.1</v>
      </c>
      <c r="K48" s="6">
        <v>3</v>
      </c>
      <c r="L48" s="6">
        <v>5</v>
      </c>
      <c r="M48" t="s">
        <v>58</v>
      </c>
      <c r="N48" t="s">
        <v>87</v>
      </c>
      <c r="O48" t="s">
        <v>64</v>
      </c>
    </row>
    <row r="49" spans="1:15">
      <c r="A49" t="s">
        <v>136</v>
      </c>
      <c r="B49" s="3">
        <v>45989</v>
      </c>
      <c r="C49" t="s">
        <v>78</v>
      </c>
      <c r="D49" t="s">
        <v>62</v>
      </c>
      <c r="E49" t="s">
        <v>79</v>
      </c>
      <c r="F49" t="s">
        <v>115</v>
      </c>
      <c r="G49" s="6">
        <v>1</v>
      </c>
      <c r="H49" s="4">
        <v>61.42</v>
      </c>
      <c r="I49" s="4">
        <v>35.07</v>
      </c>
      <c r="J49" s="5">
        <v>0</v>
      </c>
      <c r="K49" s="6">
        <v>3</v>
      </c>
      <c r="L49" s="6"/>
      <c r="M49" t="s">
        <v>58</v>
      </c>
      <c r="N49" t="s">
        <v>69</v>
      </c>
      <c r="O49" t="s">
        <v>64</v>
      </c>
    </row>
    <row r="50" spans="1:15">
      <c r="A50" t="s">
        <v>137</v>
      </c>
      <c r="B50" s="3">
        <v>45963</v>
      </c>
      <c r="C50" t="s">
        <v>54</v>
      </c>
      <c r="D50" t="s">
        <v>129</v>
      </c>
      <c r="E50" t="s">
        <v>79</v>
      </c>
      <c r="F50" t="s">
        <v>85</v>
      </c>
      <c r="G50" s="6">
        <v>10</v>
      </c>
      <c r="H50" s="4">
        <v>128.72</v>
      </c>
      <c r="I50" s="4">
        <v>84.25</v>
      </c>
      <c r="J50" s="5">
        <v>0.25</v>
      </c>
      <c r="K50" s="6">
        <v>4</v>
      </c>
      <c r="L50" s="6">
        <v>4</v>
      </c>
      <c r="M50" t="s">
        <v>58</v>
      </c>
      <c r="N50" t="s">
        <v>59</v>
      </c>
      <c r="O50" t="s">
        <v>64</v>
      </c>
    </row>
    <row r="51" spans="1:15">
      <c r="A51" t="s">
        <v>138</v>
      </c>
      <c r="B51" s="3">
        <v>45930</v>
      </c>
      <c r="C51" t="s">
        <v>66</v>
      </c>
      <c r="D51" t="s">
        <v>62</v>
      </c>
      <c r="E51" t="s">
        <v>79</v>
      </c>
      <c r="F51" t="s">
        <v>115</v>
      </c>
      <c r="G51" s="6">
        <v>2</v>
      </c>
      <c r="H51" s="4">
        <v>58.49</v>
      </c>
      <c r="I51" s="4">
        <v>33.69</v>
      </c>
      <c r="J51" s="5">
        <v>0</v>
      </c>
      <c r="K51" s="6">
        <v>6</v>
      </c>
      <c r="L51" s="6">
        <v>4</v>
      </c>
      <c r="M51" t="s">
        <v>58</v>
      </c>
      <c r="N51" t="s">
        <v>59</v>
      </c>
      <c r="O51" t="s">
        <v>64</v>
      </c>
    </row>
    <row r="52" spans="1:15">
      <c r="A52" t="s">
        <v>139</v>
      </c>
      <c r="B52" s="3">
        <v>45728</v>
      </c>
      <c r="C52" t="s">
        <v>54</v>
      </c>
      <c r="D52" t="s">
        <v>62</v>
      </c>
      <c r="E52" t="s">
        <v>75</v>
      </c>
      <c r="F52" t="s">
        <v>76</v>
      </c>
      <c r="G52" s="6">
        <v>1</v>
      </c>
      <c r="H52" s="4">
        <v>117.82</v>
      </c>
      <c r="I52" s="4">
        <v>73</v>
      </c>
      <c r="J52" s="5">
        <v>0.1</v>
      </c>
      <c r="K52" s="6">
        <v>8</v>
      </c>
      <c r="L52" s="6">
        <v>3</v>
      </c>
      <c r="M52" t="s">
        <v>58</v>
      </c>
      <c r="N52" t="s">
        <v>59</v>
      </c>
      <c r="O52" t="s">
        <v>60</v>
      </c>
    </row>
    <row r="53" spans="1:15">
      <c r="A53" t="s">
        <v>140</v>
      </c>
      <c r="B53" s="3">
        <v>46013</v>
      </c>
      <c r="C53" t="s">
        <v>82</v>
      </c>
      <c r="D53" t="s">
        <v>62</v>
      </c>
      <c r="E53" t="s">
        <v>79</v>
      </c>
      <c r="F53" t="s">
        <v>115</v>
      </c>
      <c r="G53" s="6">
        <v>1</v>
      </c>
      <c r="H53" s="4">
        <v>60.29</v>
      </c>
      <c r="I53" s="4">
        <v>35.54</v>
      </c>
      <c r="J53" s="5">
        <v>0.05</v>
      </c>
      <c r="K53" s="6">
        <v>4</v>
      </c>
      <c r="L53" s="6">
        <v>4</v>
      </c>
      <c r="M53" t="s">
        <v>58</v>
      </c>
      <c r="N53" t="s">
        <v>59</v>
      </c>
      <c r="O53" t="s">
        <v>64</v>
      </c>
    </row>
    <row r="54" spans="1:15">
      <c r="A54" t="s">
        <v>141</v>
      </c>
      <c r="B54" s="3">
        <v>45961</v>
      </c>
      <c r="C54" t="s">
        <v>78</v>
      </c>
      <c r="D54" t="s">
        <v>62</v>
      </c>
      <c r="E54" t="s">
        <v>56</v>
      </c>
      <c r="F54" t="s">
        <v>63</v>
      </c>
      <c r="G54" s="6">
        <v>4</v>
      </c>
      <c r="H54" s="4">
        <v>39.32</v>
      </c>
      <c r="I54" s="4">
        <v>20.04</v>
      </c>
      <c r="J54" s="5">
        <v>0</v>
      </c>
      <c r="K54" s="6">
        <v>3</v>
      </c>
      <c r="L54" s="6"/>
      <c r="M54" t="s">
        <v>58</v>
      </c>
      <c r="N54" t="s">
        <v>59</v>
      </c>
      <c r="O54" t="s">
        <v>73</v>
      </c>
    </row>
    <row r="55" spans="1:15">
      <c r="A55" t="s">
        <v>142</v>
      </c>
      <c r="B55" s="3">
        <v>45792</v>
      </c>
      <c r="C55" t="s">
        <v>78</v>
      </c>
      <c r="D55" t="s">
        <v>55</v>
      </c>
      <c r="E55" t="s">
        <v>67</v>
      </c>
      <c r="F55" t="s">
        <v>107</v>
      </c>
      <c r="G55" s="6">
        <v>1</v>
      </c>
      <c r="H55" s="4">
        <v>45.96</v>
      </c>
      <c r="I55" s="4">
        <v>20.85</v>
      </c>
      <c r="J55" s="5">
        <v>0</v>
      </c>
      <c r="K55" s="6">
        <v>0</v>
      </c>
      <c r="L55" s="6">
        <v>4</v>
      </c>
      <c r="M55" t="s">
        <v>58</v>
      </c>
      <c r="N55" t="s">
        <v>69</v>
      </c>
      <c r="O55" t="s">
        <v>60</v>
      </c>
    </row>
    <row r="56" spans="1:15">
      <c r="A56" t="s">
        <v>143</v>
      </c>
      <c r="B56" s="3">
        <v>45960</v>
      </c>
      <c r="C56" t="s">
        <v>66</v>
      </c>
      <c r="D56" t="s">
        <v>55</v>
      </c>
      <c r="E56" t="s">
        <v>56</v>
      </c>
      <c r="F56" t="s">
        <v>83</v>
      </c>
      <c r="G56" s="6">
        <v>2</v>
      </c>
      <c r="H56" s="4">
        <v>65.459999999999994</v>
      </c>
      <c r="I56" s="4">
        <v>34.200000000000003</v>
      </c>
      <c r="J56" s="5">
        <v>0.2</v>
      </c>
      <c r="K56" s="6">
        <v>2</v>
      </c>
      <c r="L56" s="6">
        <v>4</v>
      </c>
      <c r="M56" t="s">
        <v>58</v>
      </c>
      <c r="N56" t="s">
        <v>69</v>
      </c>
      <c r="O56" t="s">
        <v>64</v>
      </c>
    </row>
    <row r="57" spans="1:15">
      <c r="A57" t="s">
        <v>144</v>
      </c>
      <c r="B57" s="3">
        <v>45849</v>
      </c>
      <c r="C57" t="s">
        <v>66</v>
      </c>
      <c r="D57" t="s">
        <v>62</v>
      </c>
      <c r="E57" t="s">
        <v>67</v>
      </c>
      <c r="F57" t="s">
        <v>94</v>
      </c>
      <c r="G57" s="6">
        <v>2</v>
      </c>
      <c r="H57" s="4">
        <v>36.14</v>
      </c>
      <c r="I57" s="4">
        <v>17.37</v>
      </c>
      <c r="J57" s="5">
        <v>0.05</v>
      </c>
      <c r="K57" s="6">
        <v>0</v>
      </c>
      <c r="L57" s="6">
        <v>4</v>
      </c>
      <c r="M57" t="s">
        <v>58</v>
      </c>
      <c r="N57" t="s">
        <v>69</v>
      </c>
      <c r="O57" t="s">
        <v>64</v>
      </c>
    </row>
    <row r="58" spans="1:15">
      <c r="A58" t="s">
        <v>145</v>
      </c>
      <c r="B58" s="3">
        <v>45912</v>
      </c>
      <c r="C58" t="s">
        <v>54</v>
      </c>
      <c r="D58" t="s">
        <v>55</v>
      </c>
      <c r="E58" t="s">
        <v>75</v>
      </c>
      <c r="F58" t="s">
        <v>146</v>
      </c>
      <c r="G58" s="6">
        <v>4</v>
      </c>
      <c r="H58" s="4">
        <v>181.46</v>
      </c>
      <c r="I58" s="4">
        <v>120.07</v>
      </c>
      <c r="J58" s="5">
        <v>0</v>
      </c>
      <c r="K58" s="6">
        <v>7</v>
      </c>
      <c r="L58" s="6">
        <v>4</v>
      </c>
      <c r="M58" t="s">
        <v>58</v>
      </c>
      <c r="N58" t="s">
        <v>59</v>
      </c>
      <c r="O58" t="s">
        <v>73</v>
      </c>
    </row>
    <row r="59" spans="1:15">
      <c r="A59" t="s">
        <v>147</v>
      </c>
      <c r="B59" s="3">
        <v>45781</v>
      </c>
      <c r="C59" t="s">
        <v>148</v>
      </c>
      <c r="D59" t="s">
        <v>62</v>
      </c>
      <c r="E59" t="s">
        <v>56</v>
      </c>
      <c r="F59" t="s">
        <v>57</v>
      </c>
      <c r="G59" s="6">
        <v>2</v>
      </c>
      <c r="H59" s="4">
        <v>109.61</v>
      </c>
      <c r="I59" s="4">
        <v>69.03</v>
      </c>
      <c r="J59" s="5">
        <v>0.1</v>
      </c>
      <c r="K59" s="6">
        <v>1</v>
      </c>
      <c r="L59" s="6">
        <v>5</v>
      </c>
      <c r="M59" t="s">
        <v>58</v>
      </c>
      <c r="N59" t="s">
        <v>59</v>
      </c>
      <c r="O59" t="s">
        <v>64</v>
      </c>
    </row>
    <row r="60" spans="1:15">
      <c r="A60" t="s">
        <v>149</v>
      </c>
      <c r="B60" s="3">
        <v>45943</v>
      </c>
      <c r="C60" t="s">
        <v>78</v>
      </c>
      <c r="D60" t="s">
        <v>129</v>
      </c>
      <c r="E60" t="s">
        <v>56</v>
      </c>
      <c r="F60" t="s">
        <v>83</v>
      </c>
      <c r="G60" s="6">
        <v>8</v>
      </c>
      <c r="H60" s="4">
        <v>65.290000000000006</v>
      </c>
      <c r="I60" s="4">
        <v>34.380000000000003</v>
      </c>
      <c r="J60" s="5">
        <v>0.1</v>
      </c>
      <c r="K60" s="6">
        <v>3</v>
      </c>
      <c r="L60" s="6">
        <v>5</v>
      </c>
      <c r="M60" t="s">
        <v>58</v>
      </c>
      <c r="N60" t="s">
        <v>87</v>
      </c>
      <c r="O60" t="s">
        <v>73</v>
      </c>
    </row>
    <row r="61" spans="1:15">
      <c r="A61" t="s">
        <v>150</v>
      </c>
      <c r="B61" s="3">
        <v>45886</v>
      </c>
      <c r="C61" t="s">
        <v>66</v>
      </c>
      <c r="D61" t="s">
        <v>55</v>
      </c>
      <c r="E61" t="s">
        <v>79</v>
      </c>
      <c r="F61" t="s">
        <v>80</v>
      </c>
      <c r="G61" s="6">
        <v>1</v>
      </c>
      <c r="H61" s="4">
        <v>76.239999999999995</v>
      </c>
      <c r="I61" s="4">
        <v>43.18</v>
      </c>
      <c r="J61" s="5">
        <v>0.1</v>
      </c>
      <c r="K61" s="6">
        <v>5</v>
      </c>
      <c r="L61" s="6">
        <v>5</v>
      </c>
      <c r="M61" t="s">
        <v>58</v>
      </c>
      <c r="N61" t="s">
        <v>59</v>
      </c>
      <c r="O61" t="s">
        <v>64</v>
      </c>
    </row>
    <row r="62" spans="1:15">
      <c r="A62" t="s">
        <v>151</v>
      </c>
      <c r="B62" s="3">
        <v>45793</v>
      </c>
      <c r="C62" t="s">
        <v>54</v>
      </c>
      <c r="D62" t="s">
        <v>55</v>
      </c>
      <c r="E62" t="s">
        <v>56</v>
      </c>
      <c r="F62" t="s">
        <v>89</v>
      </c>
      <c r="G62" s="6">
        <v>3</v>
      </c>
      <c r="H62" s="4">
        <v>80.52</v>
      </c>
      <c r="I62" s="4">
        <v>45.6</v>
      </c>
      <c r="J62" s="5">
        <v>0</v>
      </c>
      <c r="K62" s="6">
        <v>3</v>
      </c>
      <c r="L62" s="6">
        <v>5</v>
      </c>
      <c r="M62" t="s">
        <v>58</v>
      </c>
      <c r="N62" t="s">
        <v>59</v>
      </c>
      <c r="O62" t="s">
        <v>73</v>
      </c>
    </row>
    <row r="63" spans="1:15">
      <c r="A63" t="s">
        <v>152</v>
      </c>
      <c r="B63" s="3">
        <v>45671</v>
      </c>
      <c r="C63" t="s">
        <v>78</v>
      </c>
      <c r="D63" t="s">
        <v>62</v>
      </c>
      <c r="E63" t="s">
        <v>67</v>
      </c>
      <c r="F63" t="s">
        <v>94</v>
      </c>
      <c r="G63" s="6">
        <v>1</v>
      </c>
      <c r="H63" s="4">
        <v>35.4</v>
      </c>
      <c r="I63" s="4">
        <v>16.809999999999999</v>
      </c>
      <c r="J63" s="5">
        <v>0.05</v>
      </c>
      <c r="K63" s="6">
        <v>5</v>
      </c>
      <c r="L63" s="6">
        <v>4</v>
      </c>
      <c r="M63" t="s">
        <v>58</v>
      </c>
      <c r="N63" t="s">
        <v>59</v>
      </c>
      <c r="O63" t="s">
        <v>64</v>
      </c>
    </row>
    <row r="64" spans="1:15">
      <c r="A64" t="s">
        <v>153</v>
      </c>
      <c r="B64" s="3">
        <v>45776</v>
      </c>
      <c r="C64" t="s">
        <v>78</v>
      </c>
      <c r="D64" t="s">
        <v>62</v>
      </c>
      <c r="E64" t="s">
        <v>56</v>
      </c>
      <c r="F64" t="s">
        <v>63</v>
      </c>
      <c r="G64" s="6">
        <v>1</v>
      </c>
      <c r="H64" s="4">
        <v>40.840000000000003</v>
      </c>
      <c r="I64" s="4">
        <v>20.350000000000001</v>
      </c>
      <c r="J64" s="5">
        <v>0</v>
      </c>
      <c r="K64" s="6">
        <v>2</v>
      </c>
      <c r="L64" s="6">
        <v>4</v>
      </c>
      <c r="M64" t="s">
        <v>58</v>
      </c>
      <c r="N64" t="s">
        <v>59</v>
      </c>
      <c r="O64" t="s">
        <v>64</v>
      </c>
    </row>
    <row r="65" spans="1:15">
      <c r="A65" t="s">
        <v>154</v>
      </c>
      <c r="B65" s="3">
        <v>45835</v>
      </c>
      <c r="C65" t="s">
        <v>78</v>
      </c>
      <c r="D65" t="s">
        <v>55</v>
      </c>
      <c r="E65" t="s">
        <v>67</v>
      </c>
      <c r="F65" t="s">
        <v>71</v>
      </c>
      <c r="G65" s="6">
        <v>3</v>
      </c>
      <c r="H65" s="4">
        <v>71.89</v>
      </c>
      <c r="I65" s="4">
        <v>37.880000000000003</v>
      </c>
      <c r="J65" s="5">
        <v>0</v>
      </c>
      <c r="K65" s="6">
        <v>0</v>
      </c>
      <c r="L65" s="6">
        <v>4</v>
      </c>
      <c r="M65" t="s">
        <v>58</v>
      </c>
      <c r="N65" t="s">
        <v>69</v>
      </c>
      <c r="O65" t="s">
        <v>64</v>
      </c>
    </row>
    <row r="66" spans="1:15">
      <c r="A66" t="s">
        <v>155</v>
      </c>
      <c r="B66" s="3">
        <v>45961</v>
      </c>
      <c r="C66" t="s">
        <v>78</v>
      </c>
      <c r="D66" t="s">
        <v>55</v>
      </c>
      <c r="E66" t="s">
        <v>67</v>
      </c>
      <c r="F66" t="s">
        <v>107</v>
      </c>
      <c r="G66" s="6">
        <v>3</v>
      </c>
      <c r="H66" s="4">
        <v>44.3</v>
      </c>
      <c r="I66" s="4">
        <v>21.71</v>
      </c>
      <c r="J66" s="5">
        <v>0.1</v>
      </c>
      <c r="K66" s="6">
        <v>3</v>
      </c>
      <c r="L66" s="6">
        <v>4</v>
      </c>
      <c r="M66" t="s">
        <v>58</v>
      </c>
      <c r="N66" t="s">
        <v>69</v>
      </c>
      <c r="O66" t="s">
        <v>73</v>
      </c>
    </row>
    <row r="67" spans="1:15">
      <c r="A67" t="s">
        <v>156</v>
      </c>
      <c r="B67" s="3">
        <v>45837</v>
      </c>
      <c r="C67" t="s">
        <v>66</v>
      </c>
      <c r="D67" t="s">
        <v>62</v>
      </c>
      <c r="E67" t="s">
        <v>67</v>
      </c>
      <c r="F67" t="s">
        <v>107</v>
      </c>
      <c r="G67" s="6">
        <v>3</v>
      </c>
      <c r="H67" s="4">
        <v>44.4</v>
      </c>
      <c r="I67" s="4">
        <v>21.76</v>
      </c>
      <c r="J67" s="5">
        <v>0.05</v>
      </c>
      <c r="K67" s="6">
        <v>5</v>
      </c>
      <c r="L67" s="6">
        <v>3</v>
      </c>
      <c r="M67" t="s">
        <v>126</v>
      </c>
      <c r="N67" t="s">
        <v>59</v>
      </c>
      <c r="O67" t="s">
        <v>64</v>
      </c>
    </row>
    <row r="68" spans="1:15">
      <c r="A68" t="s">
        <v>157</v>
      </c>
      <c r="B68" s="3">
        <v>45996</v>
      </c>
      <c r="C68" t="s">
        <v>78</v>
      </c>
      <c r="D68" t="s">
        <v>62</v>
      </c>
      <c r="E68" t="s">
        <v>56</v>
      </c>
      <c r="F68" t="s">
        <v>89</v>
      </c>
      <c r="G68" s="6">
        <v>2</v>
      </c>
      <c r="H68" s="4">
        <v>79.64</v>
      </c>
      <c r="I68" s="4">
        <v>43.91</v>
      </c>
      <c r="J68" s="5">
        <v>0.15000000000000002</v>
      </c>
      <c r="K68" s="6">
        <v>0</v>
      </c>
      <c r="L68" s="6">
        <v>4</v>
      </c>
      <c r="M68" t="s">
        <v>58</v>
      </c>
      <c r="N68" t="s">
        <v>69</v>
      </c>
      <c r="O68" t="s">
        <v>60</v>
      </c>
    </row>
    <row r="69" spans="1:15">
      <c r="A69" t="s">
        <v>158</v>
      </c>
      <c r="B69" s="3">
        <v>45949</v>
      </c>
      <c r="C69" t="s">
        <v>54</v>
      </c>
      <c r="D69" t="s">
        <v>62</v>
      </c>
      <c r="E69" t="s">
        <v>56</v>
      </c>
      <c r="F69" t="s">
        <v>89</v>
      </c>
      <c r="G69" s="6">
        <v>1</v>
      </c>
      <c r="H69" s="4">
        <v>82.22</v>
      </c>
      <c r="I69" s="4">
        <v>47.06</v>
      </c>
      <c r="J69" s="5">
        <v>0</v>
      </c>
      <c r="K69" s="6">
        <v>2</v>
      </c>
      <c r="L69" s="6">
        <v>5</v>
      </c>
      <c r="M69" t="s">
        <v>58</v>
      </c>
      <c r="N69" t="s">
        <v>59</v>
      </c>
      <c r="O69" t="s">
        <v>64</v>
      </c>
    </row>
    <row r="70" spans="1:15">
      <c r="A70" t="s">
        <v>159</v>
      </c>
      <c r="B70" s="3">
        <v>45748</v>
      </c>
      <c r="C70" t="s">
        <v>82</v>
      </c>
      <c r="D70" t="s">
        <v>129</v>
      </c>
      <c r="E70" t="s">
        <v>56</v>
      </c>
      <c r="F70" t="s">
        <v>57</v>
      </c>
      <c r="G70" s="6">
        <v>5</v>
      </c>
      <c r="H70" s="4">
        <v>107.66</v>
      </c>
      <c r="I70" s="4">
        <v>66.3</v>
      </c>
      <c r="J70" s="5">
        <v>0.15000000000000002</v>
      </c>
      <c r="K70" s="6">
        <v>2</v>
      </c>
      <c r="L70" s="6">
        <v>4</v>
      </c>
      <c r="M70" t="s">
        <v>58</v>
      </c>
      <c r="N70" t="s">
        <v>59</v>
      </c>
      <c r="O70" t="s">
        <v>64</v>
      </c>
    </row>
    <row r="71" spans="1:15">
      <c r="A71" t="s">
        <v>160</v>
      </c>
      <c r="B71" s="3">
        <v>45917</v>
      </c>
      <c r="C71" t="s">
        <v>82</v>
      </c>
      <c r="D71" t="s">
        <v>62</v>
      </c>
      <c r="E71" t="s">
        <v>79</v>
      </c>
      <c r="F71" t="s">
        <v>80</v>
      </c>
      <c r="G71" s="6">
        <v>1</v>
      </c>
      <c r="H71" s="4">
        <v>77.66</v>
      </c>
      <c r="I71" s="4">
        <v>42.12</v>
      </c>
      <c r="J71" s="5">
        <v>0</v>
      </c>
      <c r="K71" s="6">
        <v>2</v>
      </c>
      <c r="L71" s="6">
        <v>4</v>
      </c>
      <c r="M71" t="s">
        <v>58</v>
      </c>
      <c r="N71" t="s">
        <v>59</v>
      </c>
      <c r="O71" t="s">
        <v>60</v>
      </c>
    </row>
    <row r="72" spans="1:15">
      <c r="A72" t="s">
        <v>161</v>
      </c>
      <c r="B72" s="3">
        <v>45961</v>
      </c>
      <c r="C72" t="s">
        <v>54</v>
      </c>
      <c r="E72" t="s">
        <v>79</v>
      </c>
      <c r="F72" t="s">
        <v>80</v>
      </c>
      <c r="G72" s="6">
        <v>2</v>
      </c>
      <c r="H72" s="4">
        <v>74.400000000000006</v>
      </c>
      <c r="I72" s="4">
        <v>43.06</v>
      </c>
      <c r="J72" s="5">
        <v>0</v>
      </c>
      <c r="K72" s="6">
        <v>6</v>
      </c>
      <c r="L72" s="6">
        <v>3</v>
      </c>
      <c r="M72" t="s">
        <v>126</v>
      </c>
      <c r="N72" t="s">
        <v>59</v>
      </c>
      <c r="O72" t="s">
        <v>64</v>
      </c>
    </row>
    <row r="73" spans="1:15">
      <c r="A73" t="s">
        <v>162</v>
      </c>
      <c r="B73" s="3">
        <v>45742</v>
      </c>
      <c r="C73" t="s">
        <v>78</v>
      </c>
      <c r="D73" t="s">
        <v>62</v>
      </c>
      <c r="E73" t="s">
        <v>67</v>
      </c>
      <c r="F73" t="s">
        <v>94</v>
      </c>
      <c r="G73" s="6">
        <v>2</v>
      </c>
      <c r="H73" s="4">
        <v>36.130000000000003</v>
      </c>
      <c r="I73" s="4">
        <v>17.670000000000002</v>
      </c>
      <c r="J73" s="5">
        <v>0.05</v>
      </c>
      <c r="K73" s="6">
        <v>1</v>
      </c>
      <c r="L73" s="6">
        <v>4</v>
      </c>
      <c r="M73" t="s">
        <v>58</v>
      </c>
      <c r="N73" t="s">
        <v>87</v>
      </c>
      <c r="O73" t="s">
        <v>64</v>
      </c>
    </row>
    <row r="74" spans="1:15">
      <c r="A74" t="s">
        <v>163</v>
      </c>
      <c r="B74" s="3">
        <v>45973</v>
      </c>
      <c r="C74" t="s">
        <v>66</v>
      </c>
      <c r="D74" t="s">
        <v>62</v>
      </c>
      <c r="E74" t="s">
        <v>79</v>
      </c>
      <c r="F74" t="s">
        <v>85</v>
      </c>
      <c r="G74" s="6">
        <v>1</v>
      </c>
      <c r="H74" s="4">
        <v>129.38</v>
      </c>
      <c r="I74" s="4">
        <v>84.88</v>
      </c>
      <c r="J74" s="5">
        <v>0.15000000000000002</v>
      </c>
      <c r="K74" s="6">
        <v>3</v>
      </c>
      <c r="L74" s="6">
        <v>4</v>
      </c>
      <c r="M74" t="s">
        <v>58</v>
      </c>
      <c r="N74" t="s">
        <v>59</v>
      </c>
      <c r="O74" t="s">
        <v>73</v>
      </c>
    </row>
    <row r="75" spans="1:15">
      <c r="A75" t="s">
        <v>164</v>
      </c>
      <c r="B75" s="3">
        <v>45990</v>
      </c>
      <c r="C75" t="s">
        <v>66</v>
      </c>
      <c r="D75" t="s">
        <v>62</v>
      </c>
      <c r="E75" t="s">
        <v>67</v>
      </c>
      <c r="F75" t="s">
        <v>107</v>
      </c>
      <c r="G75" s="6">
        <v>2</v>
      </c>
      <c r="H75" s="4">
        <v>45.92</v>
      </c>
      <c r="I75" s="4">
        <v>20.85</v>
      </c>
      <c r="J75" s="5">
        <v>0.05</v>
      </c>
      <c r="K75" s="6">
        <v>2</v>
      </c>
      <c r="L75" s="6">
        <v>4</v>
      </c>
      <c r="M75" t="s">
        <v>58</v>
      </c>
      <c r="N75" t="s">
        <v>59</v>
      </c>
      <c r="O75" t="s">
        <v>64</v>
      </c>
    </row>
    <row r="76" spans="1:15">
      <c r="A76" t="s">
        <v>165</v>
      </c>
      <c r="B76" s="3">
        <v>45927</v>
      </c>
      <c r="C76" t="s">
        <v>66</v>
      </c>
      <c r="D76" t="s">
        <v>62</v>
      </c>
      <c r="E76" t="s">
        <v>56</v>
      </c>
      <c r="F76" t="s">
        <v>89</v>
      </c>
      <c r="G76" s="6">
        <v>3</v>
      </c>
      <c r="H76" s="4">
        <v>81.03</v>
      </c>
      <c r="I76" s="4">
        <v>46.11</v>
      </c>
      <c r="J76" s="5">
        <v>0.15000000000000002</v>
      </c>
      <c r="K76" s="6">
        <v>1</v>
      </c>
      <c r="L76" s="6">
        <v>4</v>
      </c>
      <c r="M76" t="s">
        <v>58</v>
      </c>
      <c r="N76" t="s">
        <v>59</v>
      </c>
      <c r="O76" t="s">
        <v>64</v>
      </c>
    </row>
    <row r="77" spans="1:15">
      <c r="A77" t="s">
        <v>166</v>
      </c>
      <c r="B77" s="3">
        <v>45845</v>
      </c>
      <c r="C77" t="s">
        <v>78</v>
      </c>
      <c r="D77" t="s">
        <v>62</v>
      </c>
      <c r="E77" t="s">
        <v>79</v>
      </c>
      <c r="F77" t="s">
        <v>80</v>
      </c>
      <c r="G77" s="6">
        <v>1</v>
      </c>
      <c r="H77" s="4">
        <v>74.97</v>
      </c>
      <c r="I77" s="4">
        <v>41.79</v>
      </c>
      <c r="J77" s="5">
        <v>0</v>
      </c>
      <c r="K77" s="6">
        <v>2</v>
      </c>
      <c r="L77" s="6">
        <v>4</v>
      </c>
      <c r="M77" t="s">
        <v>58</v>
      </c>
      <c r="N77" t="s">
        <v>69</v>
      </c>
      <c r="O77" t="s">
        <v>64</v>
      </c>
    </row>
    <row r="78" spans="1:15">
      <c r="A78" t="s">
        <v>167</v>
      </c>
      <c r="B78" s="3">
        <v>45891</v>
      </c>
      <c r="C78" t="s">
        <v>78</v>
      </c>
      <c r="D78" t="s">
        <v>62</v>
      </c>
      <c r="E78" t="s">
        <v>79</v>
      </c>
      <c r="F78" t="s">
        <v>85</v>
      </c>
      <c r="G78" s="6">
        <v>1</v>
      </c>
      <c r="H78" s="4">
        <v>127.56</v>
      </c>
      <c r="I78" s="4">
        <v>81.59</v>
      </c>
      <c r="J78" s="5">
        <v>0</v>
      </c>
      <c r="K78" s="6">
        <v>2</v>
      </c>
      <c r="L78" s="6">
        <v>4</v>
      </c>
      <c r="M78" t="s">
        <v>58</v>
      </c>
      <c r="N78" t="s">
        <v>69</v>
      </c>
      <c r="O78" t="s">
        <v>64</v>
      </c>
    </row>
    <row r="79" spans="1:15">
      <c r="A79" t="s">
        <v>168</v>
      </c>
      <c r="B79" s="3">
        <v>45810</v>
      </c>
      <c r="C79" t="s">
        <v>66</v>
      </c>
      <c r="D79" t="s">
        <v>62</v>
      </c>
      <c r="E79" t="s">
        <v>79</v>
      </c>
      <c r="F79" t="s">
        <v>92</v>
      </c>
      <c r="G79" s="6">
        <v>1</v>
      </c>
      <c r="H79" s="4">
        <v>49.86</v>
      </c>
      <c r="I79" s="4">
        <v>25.99</v>
      </c>
      <c r="J79" s="5">
        <v>0</v>
      </c>
      <c r="K79" s="6">
        <v>0</v>
      </c>
      <c r="L79" s="6">
        <v>4</v>
      </c>
      <c r="M79" t="s">
        <v>58</v>
      </c>
      <c r="N79" t="s">
        <v>69</v>
      </c>
      <c r="O79" t="s">
        <v>64</v>
      </c>
    </row>
    <row r="80" spans="1:15">
      <c r="A80" t="s">
        <v>169</v>
      </c>
      <c r="B80" s="3">
        <v>45962</v>
      </c>
      <c r="C80" t="s">
        <v>82</v>
      </c>
      <c r="D80" t="s">
        <v>62</v>
      </c>
      <c r="E80" t="s">
        <v>67</v>
      </c>
      <c r="F80" t="s">
        <v>68</v>
      </c>
      <c r="G80" s="6">
        <v>1</v>
      </c>
      <c r="H80" s="4">
        <v>39.78</v>
      </c>
      <c r="I80" s="4">
        <v>19.239999999999998</v>
      </c>
      <c r="J80" s="5">
        <v>0.1</v>
      </c>
      <c r="K80" s="6">
        <v>3</v>
      </c>
      <c r="L80" s="6">
        <v>4</v>
      </c>
      <c r="M80" t="s">
        <v>58</v>
      </c>
      <c r="N80" t="s">
        <v>59</v>
      </c>
      <c r="O80" t="s">
        <v>73</v>
      </c>
    </row>
    <row r="81" spans="1:15">
      <c r="A81" t="s">
        <v>170</v>
      </c>
      <c r="B81" s="3">
        <v>45688</v>
      </c>
      <c r="C81" t="s">
        <v>66</v>
      </c>
      <c r="D81" t="s">
        <v>62</v>
      </c>
      <c r="E81" t="s">
        <v>56</v>
      </c>
      <c r="F81" t="s">
        <v>63</v>
      </c>
      <c r="G81" s="6">
        <v>1</v>
      </c>
      <c r="H81" s="4">
        <v>40.65</v>
      </c>
      <c r="I81" s="4">
        <v>20.059999999999999</v>
      </c>
      <c r="J81" s="5">
        <v>0.05</v>
      </c>
      <c r="K81" s="6">
        <v>0</v>
      </c>
      <c r="L81" s="6">
        <v>4</v>
      </c>
      <c r="M81" t="s">
        <v>58</v>
      </c>
      <c r="N81" t="s">
        <v>69</v>
      </c>
      <c r="O81" t="s">
        <v>64</v>
      </c>
    </row>
    <row r="82" spans="1:15">
      <c r="A82" t="s">
        <v>171</v>
      </c>
      <c r="B82" s="3">
        <v>45970</v>
      </c>
      <c r="C82" t="s">
        <v>54</v>
      </c>
      <c r="D82" t="s">
        <v>62</v>
      </c>
      <c r="E82" t="s">
        <v>75</v>
      </c>
      <c r="F82" t="s">
        <v>146</v>
      </c>
      <c r="G82" s="6">
        <v>2</v>
      </c>
      <c r="H82" s="4">
        <v>184.5</v>
      </c>
      <c r="I82" s="4">
        <v>115.04</v>
      </c>
      <c r="J82" s="5">
        <v>0.1</v>
      </c>
      <c r="K82" s="6">
        <v>0</v>
      </c>
      <c r="L82" s="6">
        <v>5</v>
      </c>
      <c r="M82" t="s">
        <v>58</v>
      </c>
      <c r="N82" t="s">
        <v>69</v>
      </c>
      <c r="O82" t="s">
        <v>64</v>
      </c>
    </row>
    <row r="83" spans="1:15">
      <c r="A83" t="s">
        <v>172</v>
      </c>
      <c r="B83" s="3">
        <v>46019</v>
      </c>
      <c r="C83" t="s">
        <v>82</v>
      </c>
      <c r="D83" t="s">
        <v>55</v>
      </c>
      <c r="E83" t="s">
        <v>56</v>
      </c>
      <c r="F83" t="s">
        <v>83</v>
      </c>
      <c r="G83" s="6">
        <v>1</v>
      </c>
      <c r="H83" s="4">
        <v>67.16</v>
      </c>
      <c r="I83" s="4">
        <v>34.18</v>
      </c>
      <c r="J83" s="5">
        <v>0.1</v>
      </c>
      <c r="K83" s="6">
        <v>5</v>
      </c>
      <c r="L83" s="6">
        <v>5</v>
      </c>
      <c r="M83" t="s">
        <v>58</v>
      </c>
      <c r="N83" t="s">
        <v>59</v>
      </c>
      <c r="O83" t="s">
        <v>64</v>
      </c>
    </row>
    <row r="84" spans="1:15">
      <c r="A84" t="s">
        <v>173</v>
      </c>
      <c r="B84" s="3">
        <v>45919</v>
      </c>
      <c r="C84" t="s">
        <v>78</v>
      </c>
      <c r="D84" t="s">
        <v>62</v>
      </c>
      <c r="E84" t="s">
        <v>56</v>
      </c>
      <c r="F84" t="s">
        <v>57</v>
      </c>
      <c r="G84" s="6">
        <v>3</v>
      </c>
      <c r="H84" s="4">
        <v>108.54</v>
      </c>
      <c r="I84" s="4">
        <v>66.150000000000006</v>
      </c>
      <c r="J84" s="5">
        <v>0.05</v>
      </c>
      <c r="K84" s="6">
        <v>1</v>
      </c>
      <c r="L84" s="6">
        <v>5</v>
      </c>
      <c r="M84" t="s">
        <v>58</v>
      </c>
      <c r="N84" t="s">
        <v>69</v>
      </c>
      <c r="O84" t="s">
        <v>60</v>
      </c>
    </row>
    <row r="85" spans="1:15">
      <c r="A85" t="s">
        <v>174</v>
      </c>
      <c r="B85" s="3">
        <v>45989</v>
      </c>
      <c r="C85" t="s">
        <v>54</v>
      </c>
      <c r="D85" t="s">
        <v>62</v>
      </c>
      <c r="E85" t="s">
        <v>79</v>
      </c>
      <c r="F85" t="s">
        <v>92</v>
      </c>
      <c r="G85" s="6">
        <v>1</v>
      </c>
      <c r="H85" s="4">
        <v>50.71</v>
      </c>
      <c r="I85" s="4">
        <v>26.03</v>
      </c>
      <c r="J85" s="5">
        <v>0.15000000000000002</v>
      </c>
      <c r="K85" s="6">
        <v>6</v>
      </c>
      <c r="L85" s="6">
        <v>4</v>
      </c>
      <c r="M85" t="s">
        <v>58</v>
      </c>
      <c r="N85" t="s">
        <v>59</v>
      </c>
      <c r="O85" t="s">
        <v>60</v>
      </c>
    </row>
    <row r="86" spans="1:15">
      <c r="A86" t="s">
        <v>175</v>
      </c>
      <c r="B86" s="3">
        <v>46007</v>
      </c>
      <c r="C86" t="s">
        <v>82</v>
      </c>
      <c r="D86" t="s">
        <v>55</v>
      </c>
      <c r="E86" t="s">
        <v>75</v>
      </c>
      <c r="F86" t="s">
        <v>97</v>
      </c>
      <c r="G86" s="6">
        <v>3</v>
      </c>
      <c r="H86" s="4">
        <v>88.84</v>
      </c>
      <c r="I86" s="4">
        <v>54.61</v>
      </c>
      <c r="J86" s="5">
        <v>0.15000000000000002</v>
      </c>
      <c r="K86" s="6">
        <v>4</v>
      </c>
      <c r="L86" s="6">
        <v>4</v>
      </c>
      <c r="M86" t="s">
        <v>58</v>
      </c>
      <c r="N86" t="s">
        <v>59</v>
      </c>
      <c r="O86" t="s">
        <v>64</v>
      </c>
    </row>
    <row r="87" spans="1:15">
      <c r="A87" t="s">
        <v>176</v>
      </c>
      <c r="B87" s="3">
        <v>45821</v>
      </c>
      <c r="C87" t="s">
        <v>54</v>
      </c>
      <c r="D87" t="s">
        <v>62</v>
      </c>
      <c r="E87" t="s">
        <v>75</v>
      </c>
      <c r="F87" t="s">
        <v>76</v>
      </c>
      <c r="G87" s="6">
        <v>1</v>
      </c>
      <c r="H87" s="4">
        <v>119.15</v>
      </c>
      <c r="I87" s="4">
        <v>73.19</v>
      </c>
      <c r="J87" s="5">
        <v>0.05</v>
      </c>
      <c r="K87" s="6">
        <v>5</v>
      </c>
      <c r="L87" s="6">
        <v>5</v>
      </c>
      <c r="M87" t="s">
        <v>58</v>
      </c>
      <c r="N87" t="s">
        <v>59</v>
      </c>
      <c r="O87" t="s">
        <v>64</v>
      </c>
    </row>
    <row r="88" spans="1:15">
      <c r="A88" t="s">
        <v>177</v>
      </c>
      <c r="B88" s="3">
        <v>45742</v>
      </c>
      <c r="C88" t="s">
        <v>54</v>
      </c>
      <c r="D88" t="s">
        <v>62</v>
      </c>
      <c r="E88" t="s">
        <v>79</v>
      </c>
      <c r="F88" t="s">
        <v>92</v>
      </c>
      <c r="G88" s="6">
        <v>2</v>
      </c>
      <c r="H88" s="4">
        <v>51.19</v>
      </c>
      <c r="I88" s="4">
        <v>26.99</v>
      </c>
      <c r="J88" s="5">
        <v>0.05</v>
      </c>
      <c r="K88" s="6">
        <v>0</v>
      </c>
      <c r="L88" s="6">
        <v>5</v>
      </c>
      <c r="M88" t="s">
        <v>58</v>
      </c>
      <c r="N88" t="s">
        <v>69</v>
      </c>
      <c r="O88" t="s">
        <v>64</v>
      </c>
    </row>
    <row r="89" spans="1:15">
      <c r="A89" t="s">
        <v>178</v>
      </c>
      <c r="B89" s="3">
        <v>45910</v>
      </c>
      <c r="C89" t="s">
        <v>66</v>
      </c>
      <c r="D89" t="s">
        <v>62</v>
      </c>
      <c r="E89" t="s">
        <v>79</v>
      </c>
      <c r="F89" t="s">
        <v>80</v>
      </c>
      <c r="G89" s="6">
        <v>1</v>
      </c>
      <c r="H89" s="4">
        <v>75.25</v>
      </c>
      <c r="I89" s="4">
        <v>43.81</v>
      </c>
      <c r="J89" s="5">
        <v>0.05</v>
      </c>
      <c r="K89" s="6">
        <v>4</v>
      </c>
      <c r="L89" s="6">
        <v>4</v>
      </c>
      <c r="M89" t="s">
        <v>58</v>
      </c>
      <c r="N89" t="s">
        <v>59</v>
      </c>
      <c r="O89" t="s">
        <v>64</v>
      </c>
    </row>
    <row r="90" spans="1:15">
      <c r="A90" t="s">
        <v>179</v>
      </c>
      <c r="B90" s="3">
        <v>45765</v>
      </c>
      <c r="C90" t="s">
        <v>54</v>
      </c>
      <c r="D90" t="s">
        <v>62</v>
      </c>
      <c r="E90" t="s">
        <v>75</v>
      </c>
      <c r="F90" t="s">
        <v>146</v>
      </c>
      <c r="G90" s="6">
        <v>2</v>
      </c>
      <c r="H90" s="4">
        <v>186.06</v>
      </c>
      <c r="I90" s="4">
        <v>116.74</v>
      </c>
      <c r="J90" s="5">
        <v>0</v>
      </c>
      <c r="K90" s="6">
        <v>6</v>
      </c>
      <c r="L90" s="6">
        <v>4</v>
      </c>
      <c r="M90" t="s">
        <v>58</v>
      </c>
      <c r="N90" t="s">
        <v>59</v>
      </c>
      <c r="O90" t="s">
        <v>60</v>
      </c>
    </row>
    <row r="91" spans="1:15">
      <c r="A91" t="s">
        <v>180</v>
      </c>
      <c r="B91" s="3">
        <v>45991</v>
      </c>
      <c r="C91" t="s">
        <v>82</v>
      </c>
      <c r="D91" t="s">
        <v>62</v>
      </c>
      <c r="E91" t="s">
        <v>75</v>
      </c>
      <c r="F91" t="s">
        <v>146</v>
      </c>
      <c r="G91" s="6">
        <v>1</v>
      </c>
      <c r="H91" s="4">
        <v>186</v>
      </c>
      <c r="I91" s="4">
        <v>113.47</v>
      </c>
      <c r="J91" s="5">
        <v>0.05</v>
      </c>
      <c r="K91" s="6">
        <v>2</v>
      </c>
      <c r="L91" s="6">
        <v>4</v>
      </c>
      <c r="M91" t="s">
        <v>58</v>
      </c>
      <c r="N91" t="s">
        <v>69</v>
      </c>
      <c r="O91" t="s">
        <v>64</v>
      </c>
    </row>
    <row r="92" spans="1:15">
      <c r="A92" t="s">
        <v>181</v>
      </c>
      <c r="B92" s="3">
        <v>45877</v>
      </c>
      <c r="C92" t="s">
        <v>54</v>
      </c>
      <c r="D92" t="s">
        <v>55</v>
      </c>
      <c r="E92" t="s">
        <v>79</v>
      </c>
      <c r="F92" t="s">
        <v>115</v>
      </c>
      <c r="G92" s="6">
        <v>4</v>
      </c>
      <c r="H92" s="4">
        <v>62.28</v>
      </c>
      <c r="I92" s="4">
        <v>35.44</v>
      </c>
      <c r="J92" s="5">
        <v>0</v>
      </c>
      <c r="K92" s="6">
        <v>2</v>
      </c>
      <c r="L92" s="6">
        <v>4</v>
      </c>
      <c r="M92" t="s">
        <v>58</v>
      </c>
      <c r="N92" t="s">
        <v>59</v>
      </c>
      <c r="O92" t="s">
        <v>73</v>
      </c>
    </row>
    <row r="93" spans="1:15">
      <c r="A93" t="s">
        <v>182</v>
      </c>
      <c r="B93" s="3">
        <v>45995</v>
      </c>
      <c r="C93" t="s">
        <v>78</v>
      </c>
      <c r="D93" t="s">
        <v>62</v>
      </c>
      <c r="E93" t="s">
        <v>67</v>
      </c>
      <c r="F93" t="s">
        <v>68</v>
      </c>
      <c r="G93" s="6">
        <v>2</v>
      </c>
      <c r="H93" s="4">
        <v>40</v>
      </c>
      <c r="I93" s="4">
        <v>19.670000000000002</v>
      </c>
      <c r="J93" s="5">
        <v>0</v>
      </c>
      <c r="K93" s="6">
        <v>2</v>
      </c>
      <c r="L93" s="6">
        <v>4</v>
      </c>
      <c r="M93" t="s">
        <v>58</v>
      </c>
      <c r="N93" t="s">
        <v>59</v>
      </c>
      <c r="O93" t="s">
        <v>64</v>
      </c>
    </row>
    <row r="94" spans="1:15">
      <c r="A94" t="s">
        <v>183</v>
      </c>
      <c r="B94" s="3">
        <v>45920</v>
      </c>
      <c r="C94" t="s">
        <v>82</v>
      </c>
      <c r="D94" t="s">
        <v>129</v>
      </c>
      <c r="E94" t="s">
        <v>56</v>
      </c>
      <c r="F94" t="s">
        <v>57</v>
      </c>
      <c r="G94" s="6">
        <v>8</v>
      </c>
      <c r="H94" s="4">
        <v>109.3</v>
      </c>
      <c r="I94" s="4">
        <v>66.63</v>
      </c>
      <c r="J94" s="5">
        <v>0.05</v>
      </c>
      <c r="K94" s="6">
        <v>0</v>
      </c>
      <c r="L94" s="6">
        <v>5</v>
      </c>
      <c r="M94" t="s">
        <v>58</v>
      </c>
      <c r="N94" t="s">
        <v>69</v>
      </c>
      <c r="O94" t="s">
        <v>64</v>
      </c>
    </row>
    <row r="95" spans="1:15">
      <c r="A95" t="s">
        <v>184</v>
      </c>
      <c r="B95" s="3">
        <v>45893</v>
      </c>
      <c r="C95" t="s">
        <v>78</v>
      </c>
      <c r="D95" t="s">
        <v>62</v>
      </c>
      <c r="E95" t="s">
        <v>56</v>
      </c>
      <c r="F95" t="s">
        <v>83</v>
      </c>
      <c r="G95" s="6">
        <v>1</v>
      </c>
      <c r="H95" s="4">
        <v>66.48</v>
      </c>
      <c r="I95" s="4">
        <v>35.520000000000003</v>
      </c>
      <c r="J95" s="5">
        <v>0.05</v>
      </c>
      <c r="K95" s="6">
        <v>4</v>
      </c>
      <c r="L95" s="6">
        <v>5</v>
      </c>
      <c r="M95" t="s">
        <v>58</v>
      </c>
      <c r="N95" t="s">
        <v>59</v>
      </c>
      <c r="O95" t="s">
        <v>60</v>
      </c>
    </row>
    <row r="96" spans="1:15">
      <c r="A96" t="s">
        <v>185</v>
      </c>
      <c r="B96" s="3">
        <v>45871</v>
      </c>
      <c r="C96" t="s">
        <v>78</v>
      </c>
      <c r="D96" t="s">
        <v>62</v>
      </c>
      <c r="E96" t="s">
        <v>67</v>
      </c>
      <c r="F96" t="s">
        <v>71</v>
      </c>
      <c r="G96" s="6">
        <v>1</v>
      </c>
      <c r="H96" s="4">
        <v>70.790000000000006</v>
      </c>
      <c r="I96" s="4">
        <v>38.96</v>
      </c>
      <c r="J96" s="5">
        <v>0.05</v>
      </c>
      <c r="K96" s="6">
        <v>2</v>
      </c>
      <c r="L96" s="6">
        <v>5</v>
      </c>
      <c r="M96" t="s">
        <v>58</v>
      </c>
      <c r="N96" t="s">
        <v>59</v>
      </c>
      <c r="O96" t="s">
        <v>64</v>
      </c>
    </row>
    <row r="97" spans="1:15">
      <c r="A97" t="s">
        <v>186</v>
      </c>
      <c r="B97" s="3">
        <v>45673</v>
      </c>
      <c r="C97" t="s">
        <v>78</v>
      </c>
      <c r="D97" t="s">
        <v>62</v>
      </c>
      <c r="E97" t="s">
        <v>75</v>
      </c>
      <c r="F97" t="s">
        <v>146</v>
      </c>
      <c r="G97" s="6">
        <v>1</v>
      </c>
      <c r="H97" s="4">
        <v>176.16</v>
      </c>
      <c r="I97" s="4">
        <v>114.52</v>
      </c>
      <c r="J97" s="5">
        <v>0.05</v>
      </c>
      <c r="K97" s="6">
        <v>0</v>
      </c>
      <c r="L97" s="6">
        <v>4</v>
      </c>
      <c r="M97" t="s">
        <v>58</v>
      </c>
      <c r="N97" t="s">
        <v>69</v>
      </c>
      <c r="O97" t="s">
        <v>64</v>
      </c>
    </row>
    <row r="98" spans="1:15">
      <c r="A98" t="s">
        <v>187</v>
      </c>
      <c r="B98" s="3">
        <v>45975</v>
      </c>
      <c r="C98" t="s">
        <v>82</v>
      </c>
      <c r="D98" t="s">
        <v>62</v>
      </c>
      <c r="E98" t="s">
        <v>75</v>
      </c>
      <c r="F98" t="s">
        <v>76</v>
      </c>
      <c r="G98" s="6">
        <v>2</v>
      </c>
      <c r="H98" s="4">
        <v>122.29</v>
      </c>
      <c r="I98" s="4">
        <v>74.14</v>
      </c>
      <c r="J98" s="5">
        <v>0.1</v>
      </c>
      <c r="K98" s="6">
        <v>2</v>
      </c>
      <c r="L98" s="6">
        <v>4</v>
      </c>
      <c r="M98" t="s">
        <v>58</v>
      </c>
      <c r="N98" t="s">
        <v>59</v>
      </c>
      <c r="O98" t="s">
        <v>64</v>
      </c>
    </row>
    <row r="99" spans="1:15">
      <c r="A99" t="s">
        <v>188</v>
      </c>
      <c r="B99" s="3">
        <v>46022</v>
      </c>
      <c r="C99" t="s">
        <v>66</v>
      </c>
      <c r="D99" t="s">
        <v>62</v>
      </c>
      <c r="E99" t="s">
        <v>56</v>
      </c>
      <c r="F99" t="s">
        <v>63</v>
      </c>
      <c r="G99" s="6">
        <v>1</v>
      </c>
      <c r="H99" s="4">
        <v>40.71</v>
      </c>
      <c r="I99" s="4">
        <v>19.670000000000002</v>
      </c>
      <c r="J99" s="5">
        <v>0.2</v>
      </c>
      <c r="K99" s="6">
        <v>5</v>
      </c>
      <c r="L99" s="6">
        <v>4</v>
      </c>
      <c r="M99" t="s">
        <v>58</v>
      </c>
      <c r="N99" t="s">
        <v>59</v>
      </c>
      <c r="O99" t="s">
        <v>73</v>
      </c>
    </row>
    <row r="100" spans="1:15">
      <c r="A100" t="s">
        <v>189</v>
      </c>
      <c r="B100" s="3">
        <v>45937</v>
      </c>
      <c r="C100" t="s">
        <v>78</v>
      </c>
      <c r="D100" t="s">
        <v>55</v>
      </c>
      <c r="E100" t="s">
        <v>56</v>
      </c>
      <c r="F100" t="s">
        <v>57</v>
      </c>
      <c r="G100" s="6">
        <v>4</v>
      </c>
      <c r="H100" s="4">
        <v>111.9</v>
      </c>
      <c r="I100" s="4">
        <v>67.16</v>
      </c>
      <c r="J100" s="5">
        <v>0.05</v>
      </c>
      <c r="K100" s="6">
        <v>3</v>
      </c>
      <c r="L100" s="6">
        <v>4</v>
      </c>
      <c r="M100" t="s">
        <v>58</v>
      </c>
      <c r="N100" t="s">
        <v>59</v>
      </c>
      <c r="O100" t="s">
        <v>60</v>
      </c>
    </row>
    <row r="101" spans="1:15">
      <c r="A101" t="s">
        <v>190</v>
      </c>
      <c r="B101" s="3">
        <v>45962</v>
      </c>
      <c r="C101" t="s">
        <v>82</v>
      </c>
      <c r="D101" t="s">
        <v>62</v>
      </c>
      <c r="E101" t="s">
        <v>56</v>
      </c>
      <c r="F101" t="s">
        <v>57</v>
      </c>
      <c r="G101" s="6">
        <v>2</v>
      </c>
      <c r="H101" s="4">
        <v>109.86</v>
      </c>
      <c r="I101" s="4">
        <v>65.959999999999994</v>
      </c>
      <c r="J101" s="5">
        <v>0.05</v>
      </c>
      <c r="K101" s="6">
        <v>2</v>
      </c>
      <c r="L101" s="6">
        <v>4</v>
      </c>
      <c r="M101" t="s">
        <v>58</v>
      </c>
      <c r="N101" t="s">
        <v>69</v>
      </c>
      <c r="O101" t="s">
        <v>64</v>
      </c>
    </row>
    <row r="102" spans="1:15">
      <c r="A102" t="s">
        <v>191</v>
      </c>
      <c r="B102" s="3">
        <v>45893</v>
      </c>
      <c r="C102" t="s">
        <v>78</v>
      </c>
      <c r="D102" t="s">
        <v>55</v>
      </c>
      <c r="E102" t="s">
        <v>75</v>
      </c>
      <c r="F102" t="s">
        <v>146</v>
      </c>
      <c r="G102" s="6">
        <v>1</v>
      </c>
      <c r="H102" s="4">
        <v>181.26</v>
      </c>
      <c r="I102" s="4">
        <v>113.39</v>
      </c>
      <c r="J102" s="5">
        <v>0.05</v>
      </c>
      <c r="K102" s="6">
        <v>2</v>
      </c>
      <c r="L102" s="6">
        <v>4</v>
      </c>
      <c r="M102" t="s">
        <v>58</v>
      </c>
      <c r="N102" t="s">
        <v>69</v>
      </c>
      <c r="O102" t="s">
        <v>73</v>
      </c>
    </row>
    <row r="103" spans="1:15">
      <c r="A103" t="s">
        <v>192</v>
      </c>
      <c r="B103" s="3">
        <v>45983</v>
      </c>
      <c r="C103" t="s">
        <v>82</v>
      </c>
      <c r="D103" t="s">
        <v>62</v>
      </c>
      <c r="E103" t="s">
        <v>75</v>
      </c>
      <c r="F103" t="s">
        <v>110</v>
      </c>
      <c r="G103" s="6">
        <v>2</v>
      </c>
      <c r="H103" s="4">
        <v>159.29</v>
      </c>
      <c r="I103" s="4">
        <v>105.67</v>
      </c>
      <c r="J103" s="5">
        <v>0</v>
      </c>
      <c r="K103" s="6">
        <v>3</v>
      </c>
      <c r="L103" s="6">
        <v>5</v>
      </c>
      <c r="M103" t="s">
        <v>58</v>
      </c>
      <c r="N103" t="s">
        <v>59</v>
      </c>
      <c r="O103" t="s">
        <v>73</v>
      </c>
    </row>
    <row r="104" spans="1:15">
      <c r="A104" t="s">
        <v>193</v>
      </c>
      <c r="B104" s="3">
        <v>45907</v>
      </c>
      <c r="C104" t="s">
        <v>78</v>
      </c>
      <c r="D104" t="s">
        <v>55</v>
      </c>
      <c r="E104" t="s">
        <v>79</v>
      </c>
      <c r="F104" t="s">
        <v>85</v>
      </c>
      <c r="G104" s="6">
        <v>1</v>
      </c>
      <c r="H104" s="4">
        <v>134.57</v>
      </c>
      <c r="I104" s="4">
        <v>83.51</v>
      </c>
      <c r="J104" s="5">
        <v>0</v>
      </c>
      <c r="K104" s="6">
        <v>4</v>
      </c>
      <c r="L104" s="6">
        <v>4</v>
      </c>
      <c r="M104" t="s">
        <v>58</v>
      </c>
      <c r="N104" t="s">
        <v>69</v>
      </c>
      <c r="O104" t="s">
        <v>64</v>
      </c>
    </row>
    <row r="105" spans="1:15">
      <c r="A105" t="s">
        <v>194</v>
      </c>
      <c r="B105" s="3">
        <v>45770</v>
      </c>
      <c r="C105" t="s">
        <v>78</v>
      </c>
      <c r="D105" t="s">
        <v>55</v>
      </c>
      <c r="E105" t="s">
        <v>79</v>
      </c>
      <c r="F105" t="s">
        <v>92</v>
      </c>
      <c r="G105" s="6">
        <v>1</v>
      </c>
      <c r="H105" s="4">
        <v>51.27</v>
      </c>
      <c r="I105" s="4">
        <v>26.5</v>
      </c>
      <c r="J105" s="5">
        <v>0.05</v>
      </c>
      <c r="K105" s="6">
        <v>1</v>
      </c>
      <c r="L105" s="6">
        <v>4</v>
      </c>
      <c r="M105" t="s">
        <v>126</v>
      </c>
      <c r="N105" t="s">
        <v>59</v>
      </c>
      <c r="O105" t="s">
        <v>60</v>
      </c>
    </row>
    <row r="106" spans="1:15">
      <c r="A106" t="s">
        <v>195</v>
      </c>
      <c r="B106" s="3">
        <v>45878</v>
      </c>
      <c r="C106" t="s">
        <v>82</v>
      </c>
      <c r="D106" t="s">
        <v>62</v>
      </c>
      <c r="E106" t="s">
        <v>67</v>
      </c>
      <c r="F106" t="s">
        <v>107</v>
      </c>
      <c r="G106" s="6">
        <v>3</v>
      </c>
      <c r="H106" s="4">
        <v>45.46</v>
      </c>
      <c r="I106" s="4">
        <v>20.51</v>
      </c>
      <c r="J106" s="5">
        <v>0.1</v>
      </c>
      <c r="K106" s="6">
        <v>6</v>
      </c>
      <c r="L106" s="6">
        <v>4</v>
      </c>
      <c r="M106" t="s">
        <v>58</v>
      </c>
      <c r="N106" t="s">
        <v>59</v>
      </c>
      <c r="O106" t="s">
        <v>64</v>
      </c>
    </row>
    <row r="107" spans="1:15">
      <c r="A107" t="s">
        <v>196</v>
      </c>
      <c r="B107" s="3">
        <v>45768</v>
      </c>
      <c r="C107" t="s">
        <v>82</v>
      </c>
      <c r="D107" t="s">
        <v>62</v>
      </c>
      <c r="E107" t="s">
        <v>67</v>
      </c>
      <c r="F107" t="s">
        <v>107</v>
      </c>
      <c r="G107" s="6">
        <v>1</v>
      </c>
      <c r="H107" s="4">
        <v>44.43</v>
      </c>
      <c r="I107" s="4">
        <v>20.87</v>
      </c>
      <c r="J107" s="5">
        <v>0</v>
      </c>
      <c r="K107" s="6">
        <v>2</v>
      </c>
      <c r="L107" s="6">
        <v>4</v>
      </c>
      <c r="M107" t="s">
        <v>58</v>
      </c>
      <c r="N107" t="s">
        <v>59</v>
      </c>
      <c r="O107" t="s">
        <v>64</v>
      </c>
    </row>
    <row r="108" spans="1:15">
      <c r="A108" t="s">
        <v>197</v>
      </c>
      <c r="B108" s="3">
        <v>45806</v>
      </c>
      <c r="C108" t="s">
        <v>82</v>
      </c>
      <c r="D108" t="s">
        <v>62</v>
      </c>
      <c r="E108" t="s">
        <v>75</v>
      </c>
      <c r="F108" t="s">
        <v>110</v>
      </c>
      <c r="G108" s="6">
        <v>2</v>
      </c>
      <c r="H108" s="4">
        <v>158.58000000000001</v>
      </c>
      <c r="I108" s="4">
        <v>100.93</v>
      </c>
      <c r="J108" s="5">
        <v>0.05</v>
      </c>
      <c r="K108" s="6">
        <v>5</v>
      </c>
      <c r="L108" s="6">
        <v>5</v>
      </c>
      <c r="M108" t="s">
        <v>58</v>
      </c>
      <c r="N108" t="s">
        <v>59</v>
      </c>
      <c r="O108" t="s">
        <v>64</v>
      </c>
    </row>
    <row r="109" spans="1:15">
      <c r="A109" t="s">
        <v>198</v>
      </c>
      <c r="B109" s="3">
        <v>45752</v>
      </c>
      <c r="C109" t="s">
        <v>54</v>
      </c>
      <c r="D109" t="s">
        <v>62</v>
      </c>
      <c r="E109" t="s">
        <v>56</v>
      </c>
      <c r="F109" t="s">
        <v>57</v>
      </c>
      <c r="G109" s="6">
        <v>1</v>
      </c>
      <c r="H109" s="4">
        <v>111.34</v>
      </c>
      <c r="I109" s="4">
        <v>65.14</v>
      </c>
      <c r="J109" s="5">
        <v>0.1</v>
      </c>
      <c r="K109" s="6">
        <v>0</v>
      </c>
      <c r="L109" s="6">
        <v>4</v>
      </c>
      <c r="M109" t="s">
        <v>58</v>
      </c>
      <c r="N109" t="s">
        <v>69</v>
      </c>
      <c r="O109" t="s">
        <v>64</v>
      </c>
    </row>
    <row r="110" spans="1:15">
      <c r="A110" t="s">
        <v>199</v>
      </c>
      <c r="B110" s="3">
        <v>45709</v>
      </c>
      <c r="C110" t="s">
        <v>78</v>
      </c>
      <c r="D110" t="s">
        <v>62</v>
      </c>
      <c r="E110" t="s">
        <v>79</v>
      </c>
      <c r="F110" t="s">
        <v>115</v>
      </c>
      <c r="G110" s="6">
        <v>2</v>
      </c>
      <c r="H110" s="4">
        <v>58.95</v>
      </c>
      <c r="I110" s="4">
        <v>33.090000000000003</v>
      </c>
      <c r="J110" s="5">
        <v>0.05</v>
      </c>
      <c r="K110" s="6">
        <v>3</v>
      </c>
      <c r="L110" s="6">
        <v>4</v>
      </c>
      <c r="M110" t="s">
        <v>58</v>
      </c>
      <c r="N110" t="s">
        <v>87</v>
      </c>
      <c r="O110" t="s">
        <v>64</v>
      </c>
    </row>
    <row r="111" spans="1:15">
      <c r="A111" t="s">
        <v>200</v>
      </c>
      <c r="B111" s="3">
        <v>45778</v>
      </c>
      <c r="C111" t="s">
        <v>78</v>
      </c>
      <c r="D111" t="s">
        <v>62</v>
      </c>
      <c r="E111" t="s">
        <v>79</v>
      </c>
      <c r="F111" t="s">
        <v>115</v>
      </c>
      <c r="G111" s="6">
        <v>2</v>
      </c>
      <c r="H111" s="4">
        <v>58.7</v>
      </c>
      <c r="I111" s="4">
        <v>33.57</v>
      </c>
      <c r="J111" s="5">
        <v>0</v>
      </c>
      <c r="K111" s="6">
        <v>3</v>
      </c>
      <c r="L111" s="6">
        <v>4</v>
      </c>
      <c r="M111" t="s">
        <v>58</v>
      </c>
      <c r="N111" t="s">
        <v>59</v>
      </c>
      <c r="O111" t="s">
        <v>64</v>
      </c>
    </row>
    <row r="112" spans="1:15">
      <c r="A112" t="s">
        <v>201</v>
      </c>
      <c r="B112" s="3">
        <v>45695</v>
      </c>
      <c r="C112" t="s">
        <v>82</v>
      </c>
      <c r="D112" t="s">
        <v>62</v>
      </c>
      <c r="E112" t="s">
        <v>79</v>
      </c>
      <c r="F112" t="s">
        <v>92</v>
      </c>
      <c r="G112" s="6">
        <v>1</v>
      </c>
      <c r="H112" s="4">
        <v>48.98</v>
      </c>
      <c r="I112" s="4">
        <v>25.93</v>
      </c>
      <c r="J112" s="5">
        <v>0</v>
      </c>
      <c r="K112" s="6">
        <v>2</v>
      </c>
      <c r="L112" s="6">
        <v>4</v>
      </c>
      <c r="M112" t="s">
        <v>58</v>
      </c>
      <c r="N112" t="s">
        <v>59</v>
      </c>
      <c r="O112" t="s">
        <v>64</v>
      </c>
    </row>
    <row r="113" spans="1:15">
      <c r="A113" t="s">
        <v>202</v>
      </c>
      <c r="B113" s="3">
        <v>45927</v>
      </c>
      <c r="C113" t="s">
        <v>54</v>
      </c>
      <c r="D113" t="s">
        <v>129</v>
      </c>
      <c r="E113" t="s">
        <v>56</v>
      </c>
      <c r="F113" t="s">
        <v>57</v>
      </c>
      <c r="G113" s="6">
        <v>4</v>
      </c>
      <c r="H113" s="4">
        <v>110.13</v>
      </c>
      <c r="I113" s="4">
        <v>69.27</v>
      </c>
      <c r="J113" s="5">
        <v>0.05</v>
      </c>
      <c r="K113" s="6">
        <v>1</v>
      </c>
      <c r="L113" s="6">
        <v>4</v>
      </c>
      <c r="M113" t="s">
        <v>58</v>
      </c>
      <c r="N113" t="s">
        <v>87</v>
      </c>
      <c r="O113" t="s">
        <v>64</v>
      </c>
    </row>
    <row r="114" spans="1:15">
      <c r="A114" t="s">
        <v>203</v>
      </c>
      <c r="B114" s="3">
        <v>45860</v>
      </c>
      <c r="C114" t="s">
        <v>66</v>
      </c>
      <c r="D114" t="s">
        <v>62</v>
      </c>
      <c r="E114" t="s">
        <v>56</v>
      </c>
      <c r="F114" t="s">
        <v>57</v>
      </c>
      <c r="G114" s="6">
        <v>1</v>
      </c>
      <c r="H114" s="4">
        <v>107.04</v>
      </c>
      <c r="I114" s="4">
        <v>67.48</v>
      </c>
      <c r="J114" s="5">
        <v>0.15000000000000002</v>
      </c>
      <c r="K114" s="6">
        <v>3</v>
      </c>
      <c r="L114" s="6">
        <v>4</v>
      </c>
      <c r="M114" t="s">
        <v>58</v>
      </c>
      <c r="N114" t="s">
        <v>59</v>
      </c>
      <c r="O114" t="s">
        <v>60</v>
      </c>
    </row>
    <row r="115" spans="1:15">
      <c r="A115" t="s">
        <v>204</v>
      </c>
      <c r="B115" s="3">
        <v>45991</v>
      </c>
      <c r="C115" t="s">
        <v>66</v>
      </c>
      <c r="D115" t="s">
        <v>62</v>
      </c>
      <c r="E115" t="s">
        <v>56</v>
      </c>
      <c r="F115" t="s">
        <v>57</v>
      </c>
      <c r="G115" s="6">
        <v>2</v>
      </c>
      <c r="H115" s="4">
        <v>109.53</v>
      </c>
      <c r="I115" s="4">
        <v>65.489999999999995</v>
      </c>
      <c r="J115" s="5">
        <v>0.1</v>
      </c>
      <c r="K115" s="6">
        <v>0</v>
      </c>
      <c r="L115" s="6">
        <v>5</v>
      </c>
      <c r="M115" t="s">
        <v>58</v>
      </c>
      <c r="N115" t="s">
        <v>69</v>
      </c>
      <c r="O115" t="s">
        <v>73</v>
      </c>
    </row>
    <row r="116" spans="1:15">
      <c r="A116" t="s">
        <v>205</v>
      </c>
      <c r="B116" s="3" t="s">
        <v>206</v>
      </c>
      <c r="C116" t="s">
        <v>66</v>
      </c>
      <c r="D116" t="s">
        <v>62</v>
      </c>
      <c r="E116" t="s">
        <v>79</v>
      </c>
      <c r="F116" t="s">
        <v>115</v>
      </c>
      <c r="G116" s="6">
        <v>3</v>
      </c>
      <c r="H116" s="4">
        <v>61.15</v>
      </c>
      <c r="I116" s="4">
        <v>35.17</v>
      </c>
      <c r="J116" s="5">
        <v>0.05</v>
      </c>
      <c r="K116" s="6">
        <v>3</v>
      </c>
      <c r="L116" s="6">
        <v>4</v>
      </c>
      <c r="M116" t="s">
        <v>58</v>
      </c>
      <c r="N116" t="s">
        <v>69</v>
      </c>
      <c r="O116" t="s">
        <v>64</v>
      </c>
    </row>
    <row r="117" spans="1:15">
      <c r="A117" t="s">
        <v>207</v>
      </c>
      <c r="B117" s="3">
        <v>45735</v>
      </c>
      <c r="C117" t="s">
        <v>66</v>
      </c>
      <c r="D117" t="s">
        <v>62</v>
      </c>
      <c r="E117" t="s">
        <v>56</v>
      </c>
      <c r="F117" t="s">
        <v>89</v>
      </c>
      <c r="G117" s="6">
        <v>1</v>
      </c>
      <c r="H117" s="4">
        <v>78.28</v>
      </c>
      <c r="I117" s="4">
        <v>45.67</v>
      </c>
      <c r="J117" s="5">
        <v>0.05</v>
      </c>
      <c r="K117" s="6">
        <v>5</v>
      </c>
      <c r="L117" s="6">
        <v>4</v>
      </c>
      <c r="M117" t="s">
        <v>58</v>
      </c>
      <c r="N117" t="s">
        <v>59</v>
      </c>
      <c r="O117" t="s">
        <v>64</v>
      </c>
    </row>
    <row r="118" spans="1:15">
      <c r="A118" t="s">
        <v>208</v>
      </c>
      <c r="B118" s="3">
        <v>45708</v>
      </c>
      <c r="C118" t="s">
        <v>209</v>
      </c>
      <c r="D118" t="s">
        <v>62</v>
      </c>
      <c r="E118" t="s">
        <v>79</v>
      </c>
      <c r="F118" t="s">
        <v>92</v>
      </c>
      <c r="G118" s="6">
        <v>1</v>
      </c>
      <c r="H118" s="4">
        <v>49.7</v>
      </c>
      <c r="I118" s="4">
        <v>26.46</v>
      </c>
      <c r="J118" s="5">
        <v>0.05</v>
      </c>
      <c r="K118" s="6">
        <v>1</v>
      </c>
      <c r="L118" s="6">
        <v>5</v>
      </c>
      <c r="M118" t="s">
        <v>58</v>
      </c>
      <c r="N118" t="s">
        <v>69</v>
      </c>
      <c r="O118" t="s">
        <v>64</v>
      </c>
    </row>
    <row r="119" spans="1:15">
      <c r="A119" t="s">
        <v>210</v>
      </c>
      <c r="B119" s="3">
        <v>46008</v>
      </c>
      <c r="C119" t="s">
        <v>78</v>
      </c>
      <c r="D119" t="s">
        <v>62</v>
      </c>
      <c r="E119" t="s">
        <v>79</v>
      </c>
      <c r="F119" t="s">
        <v>92</v>
      </c>
      <c r="G119" s="6">
        <v>1</v>
      </c>
      <c r="H119" s="4">
        <v>51.04</v>
      </c>
      <c r="I119" s="4">
        <v>25.89</v>
      </c>
      <c r="J119" s="5">
        <v>0.15000000000000002</v>
      </c>
      <c r="K119" s="6">
        <v>6</v>
      </c>
      <c r="L119" s="6">
        <v>4</v>
      </c>
      <c r="M119" t="s">
        <v>58</v>
      </c>
      <c r="N119" t="s">
        <v>59</v>
      </c>
      <c r="O119" t="s">
        <v>64</v>
      </c>
    </row>
    <row r="120" spans="1:15">
      <c r="A120" t="s">
        <v>211</v>
      </c>
      <c r="B120" s="3">
        <v>45949</v>
      </c>
      <c r="C120" t="s">
        <v>78</v>
      </c>
      <c r="D120" t="s">
        <v>62</v>
      </c>
      <c r="E120" t="s">
        <v>79</v>
      </c>
      <c r="F120" t="s">
        <v>92</v>
      </c>
      <c r="G120" s="6">
        <v>3</v>
      </c>
      <c r="H120" s="4">
        <v>48.96</v>
      </c>
      <c r="I120" s="4">
        <v>25.72</v>
      </c>
      <c r="J120" s="5">
        <v>0.05</v>
      </c>
      <c r="K120" s="6">
        <v>7</v>
      </c>
      <c r="L120" s="6">
        <v>4</v>
      </c>
      <c r="M120" t="s">
        <v>58</v>
      </c>
      <c r="N120" t="s">
        <v>59</v>
      </c>
      <c r="O120" t="s">
        <v>64</v>
      </c>
    </row>
    <row r="121" spans="1:15">
      <c r="A121" t="s">
        <v>212</v>
      </c>
      <c r="B121" s="3">
        <v>45726</v>
      </c>
      <c r="C121" t="s">
        <v>66</v>
      </c>
      <c r="D121" t="s">
        <v>55</v>
      </c>
      <c r="E121" t="s">
        <v>56</v>
      </c>
      <c r="F121" t="s">
        <v>57</v>
      </c>
      <c r="G121" s="6">
        <v>4</v>
      </c>
      <c r="H121" s="4">
        <v>114.14</v>
      </c>
      <c r="I121" s="4">
        <v>68.510000000000005</v>
      </c>
      <c r="J121" s="5">
        <v>0.05</v>
      </c>
      <c r="K121" s="6">
        <v>6</v>
      </c>
      <c r="L121" s="6">
        <v>3</v>
      </c>
      <c r="M121" t="s">
        <v>58</v>
      </c>
      <c r="N121" t="s">
        <v>59</v>
      </c>
      <c r="O121" t="s">
        <v>64</v>
      </c>
    </row>
    <row r="122" spans="1:15">
      <c r="A122" t="s">
        <v>213</v>
      </c>
      <c r="B122" s="3">
        <v>45662</v>
      </c>
      <c r="C122" t="s">
        <v>54</v>
      </c>
      <c r="D122" t="s">
        <v>62</v>
      </c>
      <c r="E122" t="s">
        <v>79</v>
      </c>
      <c r="F122" t="s">
        <v>92</v>
      </c>
      <c r="G122" s="6">
        <v>1</v>
      </c>
      <c r="H122" s="4">
        <v>50.19</v>
      </c>
      <c r="I122" s="4">
        <v>26.82</v>
      </c>
      <c r="J122" s="5">
        <v>0.05</v>
      </c>
      <c r="K122" s="6">
        <v>3</v>
      </c>
      <c r="L122" s="6">
        <v>4</v>
      </c>
      <c r="M122" t="s">
        <v>58</v>
      </c>
      <c r="N122" t="s">
        <v>59</v>
      </c>
      <c r="O122" t="s">
        <v>64</v>
      </c>
    </row>
    <row r="123" spans="1:15">
      <c r="A123" t="s">
        <v>214</v>
      </c>
      <c r="B123" s="3">
        <v>45959</v>
      </c>
      <c r="C123" t="s">
        <v>82</v>
      </c>
      <c r="D123" t="s">
        <v>129</v>
      </c>
      <c r="E123" t="s">
        <v>56</v>
      </c>
      <c r="F123" t="s">
        <v>63</v>
      </c>
      <c r="G123" s="6">
        <v>6</v>
      </c>
      <c r="H123" s="4">
        <v>39.32</v>
      </c>
      <c r="I123" s="4">
        <v>19.579999999999998</v>
      </c>
      <c r="J123" s="5">
        <v>0.05</v>
      </c>
      <c r="K123" s="6">
        <v>4</v>
      </c>
      <c r="L123" s="6">
        <v>4</v>
      </c>
      <c r="M123" t="s">
        <v>58</v>
      </c>
      <c r="N123" t="s">
        <v>59</v>
      </c>
      <c r="O123" t="s">
        <v>64</v>
      </c>
    </row>
    <row r="124" spans="1:15">
      <c r="A124" t="s">
        <v>215</v>
      </c>
      <c r="B124" s="3">
        <v>45815</v>
      </c>
      <c r="C124" t="s">
        <v>82</v>
      </c>
      <c r="D124" t="s">
        <v>62</v>
      </c>
      <c r="E124" t="s">
        <v>79</v>
      </c>
      <c r="F124" t="s">
        <v>85</v>
      </c>
      <c r="G124" s="6">
        <v>2</v>
      </c>
      <c r="H124" s="4">
        <v>133.01</v>
      </c>
      <c r="I124" s="4">
        <v>88.17</v>
      </c>
      <c r="J124" s="5">
        <v>0.1</v>
      </c>
      <c r="K124" s="6">
        <v>0</v>
      </c>
      <c r="L124" s="6">
        <v>4</v>
      </c>
      <c r="M124" t="s">
        <v>58</v>
      </c>
      <c r="N124" t="s">
        <v>69</v>
      </c>
      <c r="O124" t="s">
        <v>64</v>
      </c>
    </row>
    <row r="125" spans="1:15">
      <c r="A125" t="s">
        <v>216</v>
      </c>
      <c r="B125" s="3">
        <v>46010</v>
      </c>
      <c r="C125" t="s">
        <v>54</v>
      </c>
      <c r="D125" t="s">
        <v>62</v>
      </c>
      <c r="E125" t="s">
        <v>79</v>
      </c>
      <c r="F125" t="s">
        <v>115</v>
      </c>
      <c r="G125" s="6">
        <v>1</v>
      </c>
      <c r="H125" s="4">
        <v>58.81</v>
      </c>
      <c r="I125" s="4">
        <v>35.39</v>
      </c>
      <c r="J125" s="5">
        <v>0</v>
      </c>
      <c r="K125" s="6">
        <v>4</v>
      </c>
      <c r="L125" s="6">
        <v>4</v>
      </c>
      <c r="M125" t="s">
        <v>58</v>
      </c>
      <c r="N125" t="s">
        <v>87</v>
      </c>
      <c r="O125" t="s">
        <v>64</v>
      </c>
    </row>
    <row r="126" spans="1:15">
      <c r="A126" t="s">
        <v>217</v>
      </c>
      <c r="B126" s="3">
        <v>45889</v>
      </c>
      <c r="C126" t="s">
        <v>78</v>
      </c>
      <c r="D126" t="s">
        <v>129</v>
      </c>
      <c r="E126" t="s">
        <v>79</v>
      </c>
      <c r="F126" t="s">
        <v>92</v>
      </c>
      <c r="G126" s="6">
        <v>3</v>
      </c>
      <c r="H126" s="4">
        <v>49.6</v>
      </c>
      <c r="I126" s="4">
        <v>26.52</v>
      </c>
      <c r="J126" s="5">
        <v>0.1</v>
      </c>
      <c r="K126" s="6">
        <v>3</v>
      </c>
      <c r="L126" s="6">
        <v>4</v>
      </c>
      <c r="M126" t="s">
        <v>58</v>
      </c>
      <c r="N126" t="s">
        <v>59</v>
      </c>
      <c r="O126" t="s">
        <v>64</v>
      </c>
    </row>
    <row r="127" spans="1:15">
      <c r="A127" t="s">
        <v>218</v>
      </c>
      <c r="B127" s="3">
        <v>45915</v>
      </c>
      <c r="C127" t="s">
        <v>54</v>
      </c>
      <c r="D127" t="s">
        <v>62</v>
      </c>
      <c r="E127" t="s">
        <v>67</v>
      </c>
      <c r="F127" t="s">
        <v>107</v>
      </c>
      <c r="G127" s="6">
        <v>2</v>
      </c>
      <c r="H127" s="4">
        <v>43.65</v>
      </c>
      <c r="I127" s="4">
        <v>21.71</v>
      </c>
      <c r="J127" s="5">
        <v>0.1</v>
      </c>
      <c r="K127" s="6">
        <v>2</v>
      </c>
      <c r="L127" s="6">
        <v>4</v>
      </c>
      <c r="M127" t="s">
        <v>58</v>
      </c>
      <c r="N127" t="s">
        <v>87</v>
      </c>
      <c r="O127" t="s">
        <v>64</v>
      </c>
    </row>
    <row r="128" spans="1:15">
      <c r="A128" t="s">
        <v>219</v>
      </c>
      <c r="B128" s="3">
        <v>45919</v>
      </c>
      <c r="C128" t="s">
        <v>78</v>
      </c>
      <c r="D128" t="s">
        <v>62</v>
      </c>
      <c r="E128" t="s">
        <v>79</v>
      </c>
      <c r="F128" t="s">
        <v>80</v>
      </c>
      <c r="G128" s="6">
        <v>1</v>
      </c>
      <c r="H128" s="4">
        <v>74.47</v>
      </c>
      <c r="I128" s="4">
        <v>42.89</v>
      </c>
      <c r="J128" s="5">
        <v>0</v>
      </c>
      <c r="K128" s="6">
        <v>4</v>
      </c>
      <c r="L128" s="6">
        <v>5</v>
      </c>
      <c r="M128" t="s">
        <v>58</v>
      </c>
      <c r="N128" t="s">
        <v>59</v>
      </c>
      <c r="O128" t="s">
        <v>73</v>
      </c>
    </row>
    <row r="129" spans="1:15">
      <c r="A129" t="s">
        <v>220</v>
      </c>
      <c r="B129" s="3" t="s">
        <v>221</v>
      </c>
      <c r="C129" t="s">
        <v>78</v>
      </c>
      <c r="D129" t="s">
        <v>62</v>
      </c>
      <c r="E129" t="s">
        <v>75</v>
      </c>
      <c r="F129" t="s">
        <v>76</v>
      </c>
      <c r="G129" s="6">
        <v>1</v>
      </c>
      <c r="H129" s="4">
        <v>117.77</v>
      </c>
      <c r="I129" s="4">
        <v>71.680000000000007</v>
      </c>
      <c r="J129" s="5">
        <v>0</v>
      </c>
      <c r="K129" s="6">
        <v>4</v>
      </c>
      <c r="L129" s="6">
        <v>4</v>
      </c>
      <c r="M129" t="s">
        <v>58</v>
      </c>
      <c r="N129" t="s">
        <v>59</v>
      </c>
      <c r="O129" t="s">
        <v>64</v>
      </c>
    </row>
    <row r="130" spans="1:15">
      <c r="A130" t="s">
        <v>222</v>
      </c>
      <c r="B130" s="3">
        <v>45833</v>
      </c>
      <c r="C130" t="s">
        <v>82</v>
      </c>
      <c r="D130" t="s">
        <v>62</v>
      </c>
      <c r="E130" t="s">
        <v>67</v>
      </c>
      <c r="F130" t="s">
        <v>94</v>
      </c>
      <c r="G130" s="6">
        <v>4</v>
      </c>
      <c r="H130" s="4">
        <v>34.18</v>
      </c>
      <c r="I130" s="4">
        <v>16.72</v>
      </c>
      <c r="J130" s="5">
        <v>0.1</v>
      </c>
      <c r="K130" s="6">
        <v>4</v>
      </c>
      <c r="L130" s="6"/>
      <c r="M130" t="s">
        <v>58</v>
      </c>
      <c r="N130" t="s">
        <v>59</v>
      </c>
      <c r="O130" t="s">
        <v>64</v>
      </c>
    </row>
    <row r="131" spans="1:15">
      <c r="A131" t="s">
        <v>223</v>
      </c>
      <c r="B131" s="3">
        <v>45858</v>
      </c>
      <c r="C131" t="s">
        <v>78</v>
      </c>
      <c r="D131" t="s">
        <v>62</v>
      </c>
      <c r="E131" t="s">
        <v>75</v>
      </c>
      <c r="F131" t="s">
        <v>146</v>
      </c>
      <c r="G131" s="6">
        <v>1</v>
      </c>
      <c r="H131" s="4">
        <v>176.68</v>
      </c>
      <c r="I131" s="4">
        <v>117.03</v>
      </c>
      <c r="J131" s="5">
        <v>0</v>
      </c>
      <c r="K131" s="6">
        <v>6</v>
      </c>
      <c r="L131" s="6"/>
      <c r="M131" t="s">
        <v>58</v>
      </c>
      <c r="N131" t="s">
        <v>59</v>
      </c>
      <c r="O131" t="s">
        <v>64</v>
      </c>
    </row>
    <row r="132" spans="1:15">
      <c r="A132" t="s">
        <v>224</v>
      </c>
      <c r="B132" s="3">
        <v>45866</v>
      </c>
      <c r="C132" t="s">
        <v>78</v>
      </c>
      <c r="D132" t="s">
        <v>55</v>
      </c>
      <c r="E132" t="s">
        <v>67</v>
      </c>
      <c r="F132" t="s">
        <v>107</v>
      </c>
      <c r="G132" s="6">
        <v>3</v>
      </c>
      <c r="H132" s="4">
        <v>45.34</v>
      </c>
      <c r="I132" s="4">
        <v>21.46</v>
      </c>
      <c r="J132" s="5">
        <v>0</v>
      </c>
      <c r="K132" s="6">
        <v>3</v>
      </c>
      <c r="L132" s="6">
        <v>5</v>
      </c>
      <c r="M132" t="s">
        <v>58</v>
      </c>
      <c r="N132" t="s">
        <v>59</v>
      </c>
      <c r="O132" t="s">
        <v>64</v>
      </c>
    </row>
    <row r="133" spans="1:15">
      <c r="A133" t="s">
        <v>225</v>
      </c>
      <c r="B133" s="3">
        <v>45909</v>
      </c>
      <c r="C133" t="s">
        <v>54</v>
      </c>
      <c r="D133" t="s">
        <v>62</v>
      </c>
      <c r="E133" t="s">
        <v>75</v>
      </c>
      <c r="F133" t="s">
        <v>97</v>
      </c>
      <c r="G133" s="6">
        <v>1</v>
      </c>
      <c r="H133" s="4">
        <v>93.15</v>
      </c>
      <c r="I133" s="4">
        <v>56.62</v>
      </c>
      <c r="J133" s="5">
        <v>0</v>
      </c>
      <c r="K133" s="6">
        <v>4</v>
      </c>
      <c r="L133" s="6">
        <v>4</v>
      </c>
      <c r="M133" t="s">
        <v>58</v>
      </c>
      <c r="N133" t="s">
        <v>69</v>
      </c>
      <c r="O133" t="s">
        <v>64</v>
      </c>
    </row>
    <row r="134" spans="1:15">
      <c r="A134" t="s">
        <v>226</v>
      </c>
      <c r="B134" s="3">
        <v>45808</v>
      </c>
      <c r="C134" t="s">
        <v>82</v>
      </c>
      <c r="D134" t="s">
        <v>62</v>
      </c>
      <c r="E134" t="s">
        <v>227</v>
      </c>
      <c r="F134" t="s">
        <v>92</v>
      </c>
      <c r="G134" s="6">
        <v>2</v>
      </c>
      <c r="H134" s="4">
        <v>48.66</v>
      </c>
      <c r="I134" s="4">
        <v>26.65</v>
      </c>
      <c r="J134" s="5">
        <v>0</v>
      </c>
      <c r="K134" s="6">
        <v>6</v>
      </c>
      <c r="L134" s="6">
        <v>4</v>
      </c>
      <c r="M134" t="s">
        <v>58</v>
      </c>
      <c r="N134" t="s">
        <v>59</v>
      </c>
      <c r="O134" t="s">
        <v>73</v>
      </c>
    </row>
    <row r="135" spans="1:15">
      <c r="A135" t="s">
        <v>228</v>
      </c>
      <c r="B135" s="3">
        <v>45729</v>
      </c>
      <c r="C135" t="s">
        <v>82</v>
      </c>
      <c r="D135" t="s">
        <v>62</v>
      </c>
      <c r="E135" t="s">
        <v>75</v>
      </c>
      <c r="F135" t="s">
        <v>97</v>
      </c>
      <c r="G135" s="6">
        <v>2</v>
      </c>
      <c r="H135" s="4">
        <v>90.91</v>
      </c>
      <c r="I135" s="4">
        <v>53.15</v>
      </c>
      <c r="J135" s="5">
        <v>0.05</v>
      </c>
      <c r="K135" s="6">
        <v>6</v>
      </c>
      <c r="L135" s="6">
        <v>3</v>
      </c>
      <c r="M135" t="s">
        <v>58</v>
      </c>
      <c r="N135" t="s">
        <v>69</v>
      </c>
      <c r="O135" t="s">
        <v>64</v>
      </c>
    </row>
    <row r="136" spans="1:15">
      <c r="A136" t="s">
        <v>229</v>
      </c>
      <c r="B136" s="3">
        <v>45711</v>
      </c>
      <c r="C136" t="s">
        <v>78</v>
      </c>
      <c r="D136" t="s">
        <v>62</v>
      </c>
      <c r="E136" t="s">
        <v>79</v>
      </c>
      <c r="F136" t="s">
        <v>92</v>
      </c>
      <c r="G136" s="6">
        <v>2</v>
      </c>
      <c r="H136" s="4">
        <v>49.96</v>
      </c>
      <c r="I136" s="4">
        <v>25.6</v>
      </c>
      <c r="J136" s="5">
        <v>0</v>
      </c>
      <c r="K136" s="6">
        <v>2</v>
      </c>
      <c r="L136" s="6">
        <v>5</v>
      </c>
      <c r="M136" t="s">
        <v>58</v>
      </c>
      <c r="N136" t="s">
        <v>69</v>
      </c>
      <c r="O136" t="s">
        <v>64</v>
      </c>
    </row>
    <row r="137" spans="1:15">
      <c r="A137" t="s">
        <v>230</v>
      </c>
      <c r="B137" s="3">
        <v>45848</v>
      </c>
      <c r="C137" t="s">
        <v>66</v>
      </c>
      <c r="D137" t="s">
        <v>62</v>
      </c>
      <c r="E137" t="s">
        <v>75</v>
      </c>
      <c r="F137" t="s">
        <v>110</v>
      </c>
      <c r="G137" s="6">
        <v>2</v>
      </c>
      <c r="H137" s="4">
        <v>162.83000000000001</v>
      </c>
      <c r="I137" s="4">
        <v>104.04</v>
      </c>
      <c r="J137" s="5">
        <v>0.1</v>
      </c>
      <c r="K137" s="6">
        <v>6</v>
      </c>
      <c r="L137" s="6">
        <v>4</v>
      </c>
      <c r="M137" t="s">
        <v>58</v>
      </c>
      <c r="N137" t="s">
        <v>59</v>
      </c>
      <c r="O137" t="s">
        <v>64</v>
      </c>
    </row>
    <row r="138" spans="1:15">
      <c r="A138" t="s">
        <v>231</v>
      </c>
      <c r="B138" s="3">
        <v>45903</v>
      </c>
      <c r="C138" t="s">
        <v>66</v>
      </c>
      <c r="D138" t="s">
        <v>55</v>
      </c>
      <c r="E138" t="s">
        <v>79</v>
      </c>
      <c r="F138" t="s">
        <v>92</v>
      </c>
      <c r="G138" s="6">
        <v>4</v>
      </c>
      <c r="H138" s="4">
        <v>49.28</v>
      </c>
      <c r="I138" s="4">
        <v>25.73</v>
      </c>
      <c r="J138" s="5">
        <v>0.1</v>
      </c>
      <c r="K138" s="6">
        <v>1</v>
      </c>
      <c r="L138" s="6">
        <v>4</v>
      </c>
      <c r="M138" t="s">
        <v>58</v>
      </c>
      <c r="N138" t="s">
        <v>59</v>
      </c>
      <c r="O138" t="s">
        <v>64</v>
      </c>
    </row>
    <row r="139" spans="1:15">
      <c r="A139" t="s">
        <v>232</v>
      </c>
      <c r="B139" s="3">
        <v>45753</v>
      </c>
      <c r="C139" t="s">
        <v>82</v>
      </c>
      <c r="D139" t="s">
        <v>62</v>
      </c>
      <c r="E139" t="s">
        <v>56</v>
      </c>
      <c r="F139" t="s">
        <v>63</v>
      </c>
      <c r="G139" s="6">
        <v>1</v>
      </c>
      <c r="H139" s="4">
        <v>40.11</v>
      </c>
      <c r="I139" s="4">
        <v>19.52</v>
      </c>
      <c r="J139" s="5">
        <v>0.05</v>
      </c>
      <c r="K139" s="6">
        <v>2</v>
      </c>
      <c r="L139" s="6">
        <v>5</v>
      </c>
      <c r="M139" t="s">
        <v>58</v>
      </c>
      <c r="N139" t="s">
        <v>59</v>
      </c>
      <c r="O139" t="s">
        <v>60</v>
      </c>
    </row>
    <row r="140" spans="1:15">
      <c r="A140" t="s">
        <v>233</v>
      </c>
      <c r="B140" s="3">
        <v>45837</v>
      </c>
      <c r="C140" t="s">
        <v>78</v>
      </c>
      <c r="D140" t="s">
        <v>62</v>
      </c>
      <c r="E140" t="s">
        <v>56</v>
      </c>
      <c r="F140" t="s">
        <v>89</v>
      </c>
      <c r="G140" s="6">
        <v>2</v>
      </c>
      <c r="H140" s="4">
        <v>81.98</v>
      </c>
      <c r="I140" s="4">
        <v>45.53</v>
      </c>
      <c r="J140" s="5">
        <v>0.1</v>
      </c>
      <c r="K140" s="6">
        <v>2</v>
      </c>
      <c r="L140" s="6">
        <v>5</v>
      </c>
      <c r="M140" t="s">
        <v>58</v>
      </c>
      <c r="N140" t="s">
        <v>59</v>
      </c>
      <c r="O140" t="s">
        <v>73</v>
      </c>
    </row>
    <row r="141" spans="1:15">
      <c r="A141" t="s">
        <v>234</v>
      </c>
      <c r="B141" s="3">
        <v>45810</v>
      </c>
      <c r="C141" t="s">
        <v>82</v>
      </c>
      <c r="D141" t="s">
        <v>62</v>
      </c>
      <c r="E141" t="s">
        <v>79</v>
      </c>
      <c r="F141" t="s">
        <v>92</v>
      </c>
      <c r="G141" s="6">
        <v>1</v>
      </c>
      <c r="H141" s="4">
        <v>50.08</v>
      </c>
      <c r="I141" s="4">
        <v>26.89</v>
      </c>
      <c r="J141" s="5">
        <v>0.05</v>
      </c>
      <c r="K141" s="6">
        <v>1</v>
      </c>
      <c r="L141" s="6">
        <v>4</v>
      </c>
      <c r="M141" t="s">
        <v>58</v>
      </c>
      <c r="N141" t="s">
        <v>87</v>
      </c>
      <c r="O141" t="s">
        <v>73</v>
      </c>
    </row>
    <row r="142" spans="1:15">
      <c r="A142" t="s">
        <v>235</v>
      </c>
      <c r="B142" s="3">
        <v>45994</v>
      </c>
      <c r="C142" t="s">
        <v>66</v>
      </c>
      <c r="D142" t="s">
        <v>55</v>
      </c>
      <c r="E142" t="s">
        <v>79</v>
      </c>
      <c r="F142" t="s">
        <v>85</v>
      </c>
      <c r="G142" s="6">
        <v>6</v>
      </c>
      <c r="H142" s="4">
        <v>126.2</v>
      </c>
      <c r="I142" s="4">
        <v>84.77</v>
      </c>
      <c r="J142" s="5">
        <v>0.1</v>
      </c>
      <c r="K142" s="6">
        <v>2</v>
      </c>
      <c r="L142" s="6">
        <v>4</v>
      </c>
      <c r="M142" t="s">
        <v>58</v>
      </c>
      <c r="N142" t="s">
        <v>69</v>
      </c>
      <c r="O142" t="s">
        <v>64</v>
      </c>
    </row>
    <row r="143" spans="1:15">
      <c r="A143" t="s">
        <v>236</v>
      </c>
      <c r="B143" s="3">
        <v>45784</v>
      </c>
      <c r="C143" t="s">
        <v>78</v>
      </c>
      <c r="D143" t="s">
        <v>62</v>
      </c>
      <c r="E143" t="s">
        <v>56</v>
      </c>
      <c r="F143" t="s">
        <v>89</v>
      </c>
      <c r="G143" s="6">
        <v>1</v>
      </c>
      <c r="H143" s="4">
        <v>77.94</v>
      </c>
      <c r="I143" s="4">
        <v>45.7</v>
      </c>
      <c r="J143" s="5">
        <v>0</v>
      </c>
      <c r="K143" s="6">
        <v>3</v>
      </c>
      <c r="L143" s="6">
        <v>5</v>
      </c>
      <c r="M143" t="s">
        <v>58</v>
      </c>
      <c r="N143" t="s">
        <v>59</v>
      </c>
      <c r="O143" t="s">
        <v>73</v>
      </c>
    </row>
    <row r="144" spans="1:15">
      <c r="A144" t="s">
        <v>237</v>
      </c>
      <c r="B144" s="3">
        <v>45914</v>
      </c>
      <c r="C144" t="s">
        <v>82</v>
      </c>
      <c r="D144" t="s">
        <v>62</v>
      </c>
      <c r="E144" t="s">
        <v>67</v>
      </c>
      <c r="F144" t="s">
        <v>68</v>
      </c>
      <c r="G144" s="6">
        <v>2</v>
      </c>
      <c r="H144" s="4">
        <v>40.07</v>
      </c>
      <c r="I144" s="4">
        <v>18.7</v>
      </c>
      <c r="J144" s="5">
        <v>0</v>
      </c>
      <c r="K144" s="6">
        <v>4</v>
      </c>
      <c r="L144" s="6">
        <v>4</v>
      </c>
      <c r="M144" t="s">
        <v>58</v>
      </c>
      <c r="N144" t="s">
        <v>59</v>
      </c>
      <c r="O144" t="s">
        <v>64</v>
      </c>
    </row>
    <row r="145" spans="1:15">
      <c r="A145" t="s">
        <v>238</v>
      </c>
      <c r="B145" s="3">
        <v>45970</v>
      </c>
      <c r="C145" t="s">
        <v>54</v>
      </c>
      <c r="D145" t="s">
        <v>62</v>
      </c>
      <c r="E145" t="s">
        <v>79</v>
      </c>
      <c r="F145" t="s">
        <v>92</v>
      </c>
      <c r="G145" s="6">
        <v>2</v>
      </c>
      <c r="H145" s="4">
        <v>50.51</v>
      </c>
      <c r="I145" s="4">
        <v>26.89</v>
      </c>
      <c r="J145" s="5">
        <v>0.15000000000000002</v>
      </c>
      <c r="K145" s="6">
        <v>7</v>
      </c>
      <c r="L145" s="6">
        <v>3</v>
      </c>
      <c r="M145" t="s">
        <v>126</v>
      </c>
      <c r="N145" t="s">
        <v>87</v>
      </c>
      <c r="O145" t="s">
        <v>73</v>
      </c>
    </row>
    <row r="146" spans="1:15">
      <c r="A146" t="s">
        <v>239</v>
      </c>
      <c r="B146" s="3">
        <v>45913</v>
      </c>
      <c r="C146" t="s">
        <v>78</v>
      </c>
      <c r="D146" t="s">
        <v>62</v>
      </c>
      <c r="E146" t="s">
        <v>67</v>
      </c>
      <c r="F146" t="s">
        <v>107</v>
      </c>
      <c r="G146" s="6">
        <v>2</v>
      </c>
      <c r="H146" s="4">
        <v>46.66</v>
      </c>
      <c r="I146" s="4">
        <v>20.75</v>
      </c>
      <c r="J146" s="5">
        <v>0</v>
      </c>
      <c r="K146" s="6">
        <v>0</v>
      </c>
      <c r="L146" s="6">
        <v>4</v>
      </c>
      <c r="M146" t="s">
        <v>58</v>
      </c>
      <c r="N146" t="s">
        <v>69</v>
      </c>
      <c r="O146" t="s">
        <v>64</v>
      </c>
    </row>
    <row r="147" spans="1:15">
      <c r="A147" t="s">
        <v>240</v>
      </c>
      <c r="B147" s="3">
        <v>45725</v>
      </c>
      <c r="C147" t="s">
        <v>66</v>
      </c>
      <c r="D147" t="s">
        <v>62</v>
      </c>
      <c r="E147" t="s">
        <v>75</v>
      </c>
      <c r="F147" t="s">
        <v>110</v>
      </c>
      <c r="G147" s="6">
        <v>2</v>
      </c>
      <c r="H147" s="4">
        <v>160.22</v>
      </c>
      <c r="I147" s="4">
        <v>105.76</v>
      </c>
      <c r="J147" s="5">
        <v>0.15000000000000002</v>
      </c>
      <c r="K147" s="6">
        <v>1</v>
      </c>
      <c r="L147" s="6">
        <v>5</v>
      </c>
      <c r="M147" t="s">
        <v>58</v>
      </c>
      <c r="N147" t="s">
        <v>69</v>
      </c>
      <c r="O147" t="s">
        <v>64</v>
      </c>
    </row>
    <row r="148" spans="1:15">
      <c r="A148" t="s">
        <v>241</v>
      </c>
      <c r="B148" s="3">
        <v>46000</v>
      </c>
      <c r="C148" t="s">
        <v>66</v>
      </c>
      <c r="D148" t="s">
        <v>129</v>
      </c>
      <c r="E148" t="s">
        <v>79</v>
      </c>
      <c r="F148" t="s">
        <v>92</v>
      </c>
      <c r="G148" s="6">
        <v>6</v>
      </c>
      <c r="H148" s="4">
        <v>51.83</v>
      </c>
      <c r="I148" s="4">
        <v>26.22</v>
      </c>
      <c r="J148" s="5">
        <v>0.05</v>
      </c>
      <c r="K148" s="6">
        <v>1</v>
      </c>
      <c r="L148" s="6">
        <v>5</v>
      </c>
      <c r="M148" t="s">
        <v>58</v>
      </c>
      <c r="N148" t="s">
        <v>59</v>
      </c>
      <c r="O148" t="s">
        <v>64</v>
      </c>
    </row>
    <row r="149" spans="1:15">
      <c r="A149" t="s">
        <v>242</v>
      </c>
      <c r="B149" s="3">
        <v>45818</v>
      </c>
      <c r="C149" t="s">
        <v>78</v>
      </c>
      <c r="D149" t="s">
        <v>62</v>
      </c>
      <c r="E149" t="s">
        <v>56</v>
      </c>
      <c r="F149" t="s">
        <v>89</v>
      </c>
      <c r="G149" s="6">
        <v>2</v>
      </c>
      <c r="H149" s="4">
        <v>82.3</v>
      </c>
      <c r="I149" s="4">
        <v>43.78</v>
      </c>
      <c r="J149" s="5">
        <v>0</v>
      </c>
      <c r="K149" s="6">
        <v>0</v>
      </c>
      <c r="L149" s="6">
        <v>5</v>
      </c>
      <c r="M149" t="s">
        <v>58</v>
      </c>
      <c r="N149" t="s">
        <v>69</v>
      </c>
      <c r="O149" t="s">
        <v>64</v>
      </c>
    </row>
    <row r="150" spans="1:15">
      <c r="A150" t="s">
        <v>243</v>
      </c>
      <c r="B150" s="3">
        <v>46009</v>
      </c>
      <c r="C150" t="s">
        <v>82</v>
      </c>
      <c r="D150" t="s">
        <v>55</v>
      </c>
      <c r="E150" t="s">
        <v>56</v>
      </c>
      <c r="F150" t="s">
        <v>83</v>
      </c>
      <c r="G150" s="6">
        <v>5</v>
      </c>
      <c r="H150" s="4">
        <v>64.989999999999995</v>
      </c>
      <c r="I150" s="4">
        <v>34.43</v>
      </c>
      <c r="J150" s="5">
        <v>0.15000000000000002</v>
      </c>
      <c r="K150" s="6">
        <v>0</v>
      </c>
      <c r="L150" s="6">
        <v>4</v>
      </c>
      <c r="M150" t="s">
        <v>58</v>
      </c>
      <c r="N150" t="s">
        <v>69</v>
      </c>
      <c r="O150" t="s">
        <v>60</v>
      </c>
    </row>
    <row r="151" spans="1:15">
      <c r="A151" t="s">
        <v>244</v>
      </c>
      <c r="B151" s="3">
        <v>45920</v>
      </c>
      <c r="C151" t="s">
        <v>66</v>
      </c>
      <c r="D151" t="s">
        <v>129</v>
      </c>
      <c r="E151" t="s">
        <v>67</v>
      </c>
      <c r="F151" t="s">
        <v>107</v>
      </c>
      <c r="G151" s="6">
        <v>8</v>
      </c>
      <c r="H151" s="4">
        <v>46.03</v>
      </c>
      <c r="I151" s="4">
        <v>21.12</v>
      </c>
      <c r="J151" s="5">
        <v>0.1</v>
      </c>
      <c r="K151" s="6">
        <v>5</v>
      </c>
      <c r="L151" s="6">
        <v>4</v>
      </c>
      <c r="M151" t="s">
        <v>58</v>
      </c>
      <c r="N151" t="s">
        <v>59</v>
      </c>
      <c r="O151" t="s">
        <v>64</v>
      </c>
    </row>
    <row r="152" spans="1:15">
      <c r="A152" t="s">
        <v>245</v>
      </c>
      <c r="B152" s="3">
        <v>45907</v>
      </c>
      <c r="C152" t="s">
        <v>66</v>
      </c>
      <c r="D152" t="s">
        <v>62</v>
      </c>
      <c r="E152" t="s">
        <v>56</v>
      </c>
      <c r="F152" t="s">
        <v>63</v>
      </c>
      <c r="G152" s="6">
        <v>2</v>
      </c>
      <c r="H152" s="4">
        <v>40.64</v>
      </c>
      <c r="I152" s="4">
        <v>20.32</v>
      </c>
      <c r="J152" s="5">
        <v>0.05</v>
      </c>
      <c r="K152" s="6">
        <v>4</v>
      </c>
      <c r="L152" s="6">
        <v>5</v>
      </c>
      <c r="M152" t="s">
        <v>58</v>
      </c>
      <c r="N152" t="s">
        <v>59</v>
      </c>
      <c r="O152" t="s">
        <v>60</v>
      </c>
    </row>
    <row r="153" spans="1:15">
      <c r="A153" t="s">
        <v>246</v>
      </c>
      <c r="B153" s="3">
        <v>45747</v>
      </c>
      <c r="C153" t="s">
        <v>66</v>
      </c>
      <c r="D153" t="s">
        <v>62</v>
      </c>
      <c r="E153" t="s">
        <v>56</v>
      </c>
      <c r="F153" t="s">
        <v>89</v>
      </c>
      <c r="G153" s="6">
        <v>1</v>
      </c>
      <c r="H153" s="4">
        <v>81.180000000000007</v>
      </c>
      <c r="I153" s="4">
        <v>45.35</v>
      </c>
      <c r="J153" s="5">
        <v>0.15000000000000002</v>
      </c>
      <c r="K153" s="6">
        <v>2</v>
      </c>
      <c r="L153" s="6">
        <v>4</v>
      </c>
      <c r="M153" t="s">
        <v>58</v>
      </c>
      <c r="N153" t="s">
        <v>69</v>
      </c>
      <c r="O153" t="s">
        <v>64</v>
      </c>
    </row>
    <row r="154" spans="1:15">
      <c r="A154" t="s">
        <v>247</v>
      </c>
      <c r="B154" s="3">
        <v>46020</v>
      </c>
      <c r="C154" t="s">
        <v>54</v>
      </c>
      <c r="D154" t="s">
        <v>62</v>
      </c>
      <c r="E154" t="s">
        <v>67</v>
      </c>
      <c r="F154" t="s">
        <v>107</v>
      </c>
      <c r="G154" s="6">
        <v>1</v>
      </c>
      <c r="H154" s="4">
        <v>44.67</v>
      </c>
      <c r="I154" s="4">
        <v>21.8</v>
      </c>
      <c r="J154" s="5">
        <v>0.05</v>
      </c>
      <c r="K154" s="6">
        <v>3</v>
      </c>
      <c r="L154" s="6">
        <v>4</v>
      </c>
      <c r="M154" t="s">
        <v>58</v>
      </c>
      <c r="N154" t="s">
        <v>87</v>
      </c>
      <c r="O154" t="s">
        <v>60</v>
      </c>
    </row>
    <row r="155" spans="1:15">
      <c r="A155" t="s">
        <v>248</v>
      </c>
      <c r="B155" s="3">
        <v>45741</v>
      </c>
      <c r="C155" t="s">
        <v>82</v>
      </c>
      <c r="D155" t="s">
        <v>55</v>
      </c>
      <c r="E155" t="s">
        <v>79</v>
      </c>
      <c r="F155" t="s">
        <v>80</v>
      </c>
      <c r="G155" s="6">
        <v>1</v>
      </c>
      <c r="H155" s="4">
        <v>73.45</v>
      </c>
      <c r="I155" s="4">
        <v>42.67</v>
      </c>
      <c r="J155" s="5">
        <v>0</v>
      </c>
      <c r="K155" s="6">
        <v>3</v>
      </c>
      <c r="L155" s="6">
        <v>5</v>
      </c>
      <c r="M155" t="s">
        <v>58</v>
      </c>
      <c r="N155" t="s">
        <v>87</v>
      </c>
      <c r="O155" t="s">
        <v>60</v>
      </c>
    </row>
    <row r="156" spans="1:15">
      <c r="A156" t="s">
        <v>249</v>
      </c>
      <c r="B156" s="3">
        <v>45935</v>
      </c>
      <c r="C156" t="s">
        <v>82</v>
      </c>
      <c r="D156" t="s">
        <v>62</v>
      </c>
      <c r="E156" t="s">
        <v>67</v>
      </c>
      <c r="F156" t="s">
        <v>71</v>
      </c>
      <c r="G156" s="6">
        <v>1</v>
      </c>
      <c r="H156" s="4">
        <v>69.3</v>
      </c>
      <c r="I156" s="4">
        <v>36.99</v>
      </c>
      <c r="J156" s="5">
        <v>0</v>
      </c>
      <c r="K156" s="6">
        <v>6</v>
      </c>
      <c r="L156" s="6">
        <v>4</v>
      </c>
      <c r="M156" t="s">
        <v>58</v>
      </c>
      <c r="N156" t="s">
        <v>59</v>
      </c>
      <c r="O156" t="s">
        <v>64</v>
      </c>
    </row>
    <row r="157" spans="1:15">
      <c r="A157" t="s">
        <v>250</v>
      </c>
      <c r="B157" s="3">
        <v>45823</v>
      </c>
      <c r="C157" t="s">
        <v>78</v>
      </c>
      <c r="D157" t="s">
        <v>62</v>
      </c>
      <c r="E157" t="s">
        <v>56</v>
      </c>
      <c r="F157" t="s">
        <v>83</v>
      </c>
      <c r="G157" s="6">
        <v>1</v>
      </c>
      <c r="H157" s="4">
        <v>66.900000000000006</v>
      </c>
      <c r="I157" s="4">
        <v>34.85</v>
      </c>
      <c r="J157" s="5">
        <v>0.05</v>
      </c>
      <c r="K157" s="6">
        <v>0</v>
      </c>
      <c r="L157" s="6">
        <v>3</v>
      </c>
      <c r="M157" t="s">
        <v>126</v>
      </c>
      <c r="N157" t="s">
        <v>69</v>
      </c>
      <c r="O157" t="s">
        <v>64</v>
      </c>
    </row>
    <row r="158" spans="1:15">
      <c r="A158" t="s">
        <v>251</v>
      </c>
      <c r="B158" s="3">
        <v>45820</v>
      </c>
      <c r="C158" t="s">
        <v>78</v>
      </c>
      <c r="D158" t="s">
        <v>62</v>
      </c>
      <c r="E158" t="s">
        <v>56</v>
      </c>
      <c r="F158" t="s">
        <v>83</v>
      </c>
      <c r="G158" s="6">
        <v>1</v>
      </c>
      <c r="H158" s="4">
        <v>66.34</v>
      </c>
      <c r="I158" s="4">
        <v>35.69</v>
      </c>
      <c r="J158" s="5">
        <v>0</v>
      </c>
      <c r="K158" s="6">
        <v>4</v>
      </c>
      <c r="L158" s="6">
        <v>4</v>
      </c>
      <c r="M158" t="s">
        <v>58</v>
      </c>
      <c r="N158" t="s">
        <v>59</v>
      </c>
      <c r="O158" t="s">
        <v>64</v>
      </c>
    </row>
    <row r="159" spans="1:15">
      <c r="A159" t="s">
        <v>252</v>
      </c>
      <c r="B159" s="3">
        <v>45892</v>
      </c>
      <c r="C159" t="s">
        <v>66</v>
      </c>
      <c r="D159" t="s">
        <v>55</v>
      </c>
      <c r="E159" t="s">
        <v>56</v>
      </c>
      <c r="F159" t="s">
        <v>89</v>
      </c>
      <c r="G159" s="6">
        <v>1</v>
      </c>
      <c r="H159" s="4">
        <v>80.819999999999993</v>
      </c>
      <c r="I159" s="4">
        <v>46.42</v>
      </c>
      <c r="J159" s="5">
        <v>0.1</v>
      </c>
      <c r="K159" s="6">
        <v>3</v>
      </c>
      <c r="L159" s="6">
        <v>4</v>
      </c>
      <c r="M159" t="s">
        <v>58</v>
      </c>
      <c r="N159" t="s">
        <v>69</v>
      </c>
      <c r="O159" t="s">
        <v>73</v>
      </c>
    </row>
    <row r="160" spans="1:15">
      <c r="A160" t="s">
        <v>253</v>
      </c>
      <c r="B160" s="3">
        <v>45694</v>
      </c>
      <c r="C160" t="s">
        <v>78</v>
      </c>
      <c r="D160" t="s">
        <v>62</v>
      </c>
      <c r="E160" t="s">
        <v>67</v>
      </c>
      <c r="F160" t="s">
        <v>107</v>
      </c>
      <c r="G160" s="6">
        <v>1</v>
      </c>
      <c r="H160" s="4">
        <v>46.43</v>
      </c>
      <c r="I160" s="4">
        <v>21.33</v>
      </c>
      <c r="J160" s="5">
        <v>0.05</v>
      </c>
      <c r="K160" s="6">
        <v>5</v>
      </c>
      <c r="L160" s="6">
        <v>3</v>
      </c>
      <c r="M160" t="s">
        <v>126</v>
      </c>
      <c r="N160" t="s">
        <v>59</v>
      </c>
      <c r="O160" t="s">
        <v>64</v>
      </c>
    </row>
    <row r="161" spans="1:15">
      <c r="A161" t="s">
        <v>254</v>
      </c>
      <c r="B161" s="3">
        <v>45888</v>
      </c>
      <c r="C161" t="s">
        <v>82</v>
      </c>
      <c r="D161" t="s">
        <v>62</v>
      </c>
      <c r="E161" t="s">
        <v>75</v>
      </c>
      <c r="F161" t="s">
        <v>110</v>
      </c>
      <c r="G161" s="6">
        <v>1</v>
      </c>
      <c r="H161" s="4">
        <v>158.04</v>
      </c>
      <c r="I161" s="4">
        <v>105.39</v>
      </c>
      <c r="J161" s="5">
        <v>0.1</v>
      </c>
      <c r="K161" s="6">
        <v>3</v>
      </c>
      <c r="L161" s="6">
        <v>5</v>
      </c>
      <c r="M161" t="s">
        <v>58</v>
      </c>
      <c r="N161" t="s">
        <v>59</v>
      </c>
      <c r="O161" t="s">
        <v>64</v>
      </c>
    </row>
    <row r="162" spans="1:15">
      <c r="A162" t="s">
        <v>255</v>
      </c>
      <c r="B162" s="3">
        <v>45839</v>
      </c>
      <c r="C162" t="s">
        <v>82</v>
      </c>
      <c r="D162" t="s">
        <v>62</v>
      </c>
      <c r="E162" t="s">
        <v>56</v>
      </c>
      <c r="F162" t="s">
        <v>57</v>
      </c>
      <c r="G162" s="6">
        <v>2</v>
      </c>
      <c r="H162" s="4">
        <v>112.74</v>
      </c>
      <c r="I162" s="4">
        <v>65.27</v>
      </c>
      <c r="J162" s="5">
        <v>0.1</v>
      </c>
      <c r="K162" s="6">
        <v>0</v>
      </c>
      <c r="L162" s="6">
        <v>4</v>
      </c>
      <c r="M162" t="s">
        <v>58</v>
      </c>
      <c r="N162" t="s">
        <v>69</v>
      </c>
      <c r="O162" t="s">
        <v>64</v>
      </c>
    </row>
    <row r="163" spans="1:15">
      <c r="A163" t="s">
        <v>256</v>
      </c>
      <c r="B163" s="3">
        <v>45831</v>
      </c>
      <c r="C163" t="s">
        <v>54</v>
      </c>
      <c r="D163" t="s">
        <v>62</v>
      </c>
      <c r="E163" t="s">
        <v>79</v>
      </c>
      <c r="F163" t="s">
        <v>80</v>
      </c>
      <c r="G163" s="6">
        <v>1</v>
      </c>
      <c r="H163" s="4">
        <v>74.09</v>
      </c>
      <c r="I163" s="4">
        <v>43.95</v>
      </c>
      <c r="J163" s="5">
        <v>0</v>
      </c>
      <c r="K163" s="6">
        <v>0</v>
      </c>
      <c r="L163" s="6">
        <v>4</v>
      </c>
      <c r="M163" t="s">
        <v>58</v>
      </c>
      <c r="N163" t="s">
        <v>69</v>
      </c>
      <c r="O163" t="s">
        <v>64</v>
      </c>
    </row>
    <row r="164" spans="1:15">
      <c r="A164" t="s">
        <v>257</v>
      </c>
      <c r="B164" s="3">
        <v>45969</v>
      </c>
      <c r="C164" t="s">
        <v>82</v>
      </c>
      <c r="D164" t="s">
        <v>62</v>
      </c>
      <c r="E164" t="s">
        <v>79</v>
      </c>
      <c r="F164" t="s">
        <v>115</v>
      </c>
      <c r="G164" s="6">
        <v>4</v>
      </c>
      <c r="H164" s="4">
        <v>60.51</v>
      </c>
      <c r="I164" s="4">
        <v>33.06</v>
      </c>
      <c r="J164" s="5">
        <v>0</v>
      </c>
      <c r="K164" s="6">
        <v>0</v>
      </c>
      <c r="L164" s="6">
        <v>4</v>
      </c>
      <c r="M164" t="s">
        <v>58</v>
      </c>
      <c r="N164" t="s">
        <v>69</v>
      </c>
      <c r="O164" t="s">
        <v>60</v>
      </c>
    </row>
    <row r="165" spans="1:15">
      <c r="A165" t="s">
        <v>258</v>
      </c>
      <c r="B165" s="3">
        <v>46018</v>
      </c>
      <c r="C165" t="s">
        <v>82</v>
      </c>
      <c r="D165" t="s">
        <v>62</v>
      </c>
      <c r="E165" t="s">
        <v>56</v>
      </c>
      <c r="F165" t="s">
        <v>63</v>
      </c>
      <c r="G165" s="6">
        <v>2</v>
      </c>
      <c r="H165" s="4">
        <v>40.98</v>
      </c>
      <c r="I165" s="4">
        <v>19.73</v>
      </c>
      <c r="J165" s="5">
        <v>0.1</v>
      </c>
      <c r="K165" s="6">
        <v>3</v>
      </c>
      <c r="L165" s="6">
        <v>4</v>
      </c>
      <c r="M165" t="s">
        <v>58</v>
      </c>
      <c r="N165" t="s">
        <v>59</v>
      </c>
      <c r="O165" t="s">
        <v>60</v>
      </c>
    </row>
    <row r="166" spans="1:15">
      <c r="A166" t="s">
        <v>259</v>
      </c>
      <c r="B166" s="3">
        <v>45755</v>
      </c>
      <c r="C166" t="s">
        <v>66</v>
      </c>
      <c r="D166" t="s">
        <v>62</v>
      </c>
      <c r="E166" t="s">
        <v>67</v>
      </c>
      <c r="F166" t="s">
        <v>71</v>
      </c>
      <c r="G166" s="6">
        <v>1</v>
      </c>
      <c r="H166" s="4">
        <v>70.569999999999993</v>
      </c>
      <c r="I166" s="4">
        <v>38.770000000000003</v>
      </c>
      <c r="J166" s="5">
        <v>0.15000000000000002</v>
      </c>
      <c r="K166" s="6">
        <v>3</v>
      </c>
      <c r="L166" s="6">
        <v>4</v>
      </c>
      <c r="M166" t="s">
        <v>58</v>
      </c>
      <c r="N166" t="s">
        <v>69</v>
      </c>
      <c r="O166" t="s">
        <v>73</v>
      </c>
    </row>
    <row r="167" spans="1:15">
      <c r="A167" t="s">
        <v>260</v>
      </c>
      <c r="B167" s="3">
        <v>46013</v>
      </c>
      <c r="C167" t="s">
        <v>82</v>
      </c>
      <c r="D167" t="s">
        <v>62</v>
      </c>
      <c r="E167" t="s">
        <v>79</v>
      </c>
      <c r="F167" t="s">
        <v>92</v>
      </c>
      <c r="G167" s="6">
        <v>2</v>
      </c>
      <c r="H167" s="4">
        <v>51.19</v>
      </c>
      <c r="I167" s="4">
        <v>26.22</v>
      </c>
      <c r="J167" s="5">
        <v>0.1</v>
      </c>
      <c r="K167" s="6">
        <v>7</v>
      </c>
      <c r="L167" s="6">
        <v>4</v>
      </c>
      <c r="M167" t="s">
        <v>58</v>
      </c>
      <c r="N167" t="s">
        <v>59</v>
      </c>
      <c r="O167" t="s">
        <v>60</v>
      </c>
    </row>
    <row r="168" spans="1:15">
      <c r="A168" t="s">
        <v>261</v>
      </c>
      <c r="B168" s="3">
        <v>45935</v>
      </c>
      <c r="C168" t="s">
        <v>66</v>
      </c>
      <c r="D168" t="s">
        <v>62</v>
      </c>
      <c r="E168" t="s">
        <v>79</v>
      </c>
      <c r="F168" t="s">
        <v>85</v>
      </c>
      <c r="G168" s="6">
        <v>2</v>
      </c>
      <c r="H168" s="4">
        <v>127.39</v>
      </c>
      <c r="I168" s="4">
        <v>82.79</v>
      </c>
      <c r="J168" s="5">
        <v>0.15000000000000002</v>
      </c>
      <c r="K168" s="6">
        <v>0</v>
      </c>
      <c r="L168" s="6">
        <v>4</v>
      </c>
      <c r="M168" t="s">
        <v>58</v>
      </c>
      <c r="N168" t="s">
        <v>69</v>
      </c>
      <c r="O168" t="s">
        <v>64</v>
      </c>
    </row>
    <row r="169" spans="1:15">
      <c r="A169" t="s">
        <v>262</v>
      </c>
      <c r="B169" s="3">
        <v>45797</v>
      </c>
      <c r="C169" t="s">
        <v>66</v>
      </c>
      <c r="D169" t="s">
        <v>55</v>
      </c>
      <c r="E169" t="s">
        <v>79</v>
      </c>
      <c r="F169" t="s">
        <v>80</v>
      </c>
      <c r="G169" s="6">
        <v>2</v>
      </c>
      <c r="H169" s="4">
        <v>75.239999999999995</v>
      </c>
      <c r="I169" s="4">
        <v>42.06</v>
      </c>
      <c r="J169" s="5">
        <v>0.1</v>
      </c>
      <c r="K169" s="6">
        <v>4</v>
      </c>
      <c r="L169" s="6">
        <v>4</v>
      </c>
      <c r="M169" t="s">
        <v>58</v>
      </c>
      <c r="N169" t="s">
        <v>59</v>
      </c>
      <c r="O169" t="s">
        <v>60</v>
      </c>
    </row>
    <row r="170" spans="1:15">
      <c r="A170" t="s">
        <v>263</v>
      </c>
      <c r="B170" s="3">
        <v>45937</v>
      </c>
      <c r="C170" t="s">
        <v>78</v>
      </c>
      <c r="D170" t="s">
        <v>62</v>
      </c>
      <c r="E170" t="s">
        <v>75</v>
      </c>
      <c r="F170" t="s">
        <v>146</v>
      </c>
      <c r="G170" s="6">
        <v>2</v>
      </c>
      <c r="H170" s="4">
        <v>185.72</v>
      </c>
      <c r="I170" s="4">
        <v>114.68</v>
      </c>
      <c r="J170" s="5">
        <v>0</v>
      </c>
      <c r="K170" s="6">
        <v>6</v>
      </c>
      <c r="L170" s="6">
        <v>3</v>
      </c>
      <c r="M170" t="s">
        <v>58</v>
      </c>
      <c r="N170" t="s">
        <v>59</v>
      </c>
      <c r="O170" t="s">
        <v>64</v>
      </c>
    </row>
    <row r="171" spans="1:15">
      <c r="A171" t="s">
        <v>264</v>
      </c>
      <c r="B171" s="3">
        <v>45931</v>
      </c>
      <c r="C171" t="s">
        <v>82</v>
      </c>
      <c r="D171" t="s">
        <v>62</v>
      </c>
      <c r="E171" t="s">
        <v>75</v>
      </c>
      <c r="F171" t="s">
        <v>97</v>
      </c>
      <c r="G171" s="6">
        <v>4</v>
      </c>
      <c r="H171" s="4">
        <v>93.13</v>
      </c>
      <c r="I171" s="4">
        <v>54.85</v>
      </c>
      <c r="J171" s="5">
        <v>0</v>
      </c>
      <c r="K171" s="6">
        <v>5</v>
      </c>
      <c r="L171" s="6">
        <v>4</v>
      </c>
      <c r="M171" t="s">
        <v>58</v>
      </c>
      <c r="N171" t="s">
        <v>59</v>
      </c>
      <c r="O171" t="s">
        <v>60</v>
      </c>
    </row>
    <row r="172" spans="1:15">
      <c r="A172" t="s">
        <v>265</v>
      </c>
      <c r="B172" s="3">
        <v>45805</v>
      </c>
      <c r="C172" t="s">
        <v>82</v>
      </c>
      <c r="D172" t="s">
        <v>62</v>
      </c>
      <c r="E172" t="s">
        <v>56</v>
      </c>
      <c r="F172" t="s">
        <v>57</v>
      </c>
      <c r="G172" s="6">
        <v>1</v>
      </c>
      <c r="H172" s="4">
        <v>108.76</v>
      </c>
      <c r="I172" s="4">
        <v>65.8</v>
      </c>
      <c r="J172" s="5">
        <v>0.05</v>
      </c>
      <c r="K172" s="6">
        <v>0</v>
      </c>
      <c r="L172" s="6">
        <v>5</v>
      </c>
      <c r="M172" t="s">
        <v>58</v>
      </c>
      <c r="N172" t="s">
        <v>69</v>
      </c>
      <c r="O172" t="s">
        <v>73</v>
      </c>
    </row>
    <row r="173" spans="1:15">
      <c r="A173" t="s">
        <v>266</v>
      </c>
      <c r="B173" s="3">
        <v>45986</v>
      </c>
      <c r="C173" t="s">
        <v>66</v>
      </c>
      <c r="D173" t="s">
        <v>62</v>
      </c>
      <c r="E173" t="s">
        <v>75</v>
      </c>
      <c r="F173" t="s">
        <v>110</v>
      </c>
      <c r="G173" s="6">
        <v>1</v>
      </c>
      <c r="H173" s="4">
        <v>165.36</v>
      </c>
      <c r="I173" s="4">
        <v>105.01</v>
      </c>
      <c r="J173" s="5">
        <v>0.15000000000000002</v>
      </c>
      <c r="K173" s="6">
        <v>2</v>
      </c>
      <c r="L173" s="6">
        <v>5</v>
      </c>
      <c r="M173" t="s">
        <v>58</v>
      </c>
      <c r="N173" t="s">
        <v>69</v>
      </c>
      <c r="O173" t="s">
        <v>64</v>
      </c>
    </row>
    <row r="174" spans="1:15">
      <c r="A174" t="s">
        <v>267</v>
      </c>
      <c r="B174" s="3">
        <v>45852</v>
      </c>
      <c r="C174" t="s">
        <v>78</v>
      </c>
      <c r="D174" t="s">
        <v>62</v>
      </c>
      <c r="E174" t="s">
        <v>75</v>
      </c>
      <c r="F174" t="s">
        <v>76</v>
      </c>
      <c r="G174" s="6">
        <v>1</v>
      </c>
      <c r="H174" s="4">
        <v>120</v>
      </c>
      <c r="I174" s="4">
        <v>74.989999999999995</v>
      </c>
      <c r="J174" s="5">
        <v>0.05</v>
      </c>
      <c r="K174" s="6">
        <v>7</v>
      </c>
      <c r="L174" s="6">
        <v>4</v>
      </c>
      <c r="M174" t="s">
        <v>58</v>
      </c>
      <c r="N174" t="s">
        <v>59</v>
      </c>
      <c r="O174" t="s">
        <v>64</v>
      </c>
    </row>
    <row r="175" spans="1:15">
      <c r="A175" t="s">
        <v>268</v>
      </c>
      <c r="B175" s="3">
        <v>45997</v>
      </c>
      <c r="C175" t="s">
        <v>78</v>
      </c>
      <c r="D175" t="s">
        <v>129</v>
      </c>
      <c r="E175" t="s">
        <v>79</v>
      </c>
      <c r="F175" t="s">
        <v>92</v>
      </c>
      <c r="G175" s="6">
        <v>5</v>
      </c>
      <c r="H175" s="4">
        <v>50</v>
      </c>
      <c r="I175" s="4">
        <v>25.24</v>
      </c>
      <c r="J175" s="5">
        <v>0.25</v>
      </c>
      <c r="K175" s="6">
        <v>3</v>
      </c>
      <c r="L175" s="6">
        <v>4</v>
      </c>
      <c r="M175" t="s">
        <v>126</v>
      </c>
      <c r="N175" t="s">
        <v>59</v>
      </c>
      <c r="O175" t="s">
        <v>60</v>
      </c>
    </row>
    <row r="176" spans="1:15">
      <c r="A176" t="s">
        <v>269</v>
      </c>
      <c r="B176" s="3">
        <v>45663</v>
      </c>
      <c r="C176" t="s">
        <v>82</v>
      </c>
      <c r="D176" t="s">
        <v>55</v>
      </c>
      <c r="E176" t="s">
        <v>67</v>
      </c>
      <c r="F176" t="s">
        <v>71</v>
      </c>
      <c r="G176" s="6">
        <v>3</v>
      </c>
      <c r="H176" s="4">
        <v>69.64</v>
      </c>
      <c r="I176" s="4">
        <v>39.590000000000003</v>
      </c>
      <c r="J176" s="5">
        <v>0</v>
      </c>
      <c r="K176" s="6">
        <v>1</v>
      </c>
      <c r="L176" s="6">
        <v>5</v>
      </c>
      <c r="M176" t="s">
        <v>58</v>
      </c>
      <c r="N176" t="s">
        <v>69</v>
      </c>
      <c r="O176" t="s">
        <v>64</v>
      </c>
    </row>
    <row r="177" spans="1:15">
      <c r="A177" t="s">
        <v>270</v>
      </c>
      <c r="B177" s="3">
        <v>45945</v>
      </c>
      <c r="C177" t="s">
        <v>78</v>
      </c>
      <c r="D177" t="s">
        <v>62</v>
      </c>
      <c r="E177" t="s">
        <v>67</v>
      </c>
      <c r="F177" t="s">
        <v>71</v>
      </c>
      <c r="G177" s="6">
        <v>1</v>
      </c>
      <c r="H177" s="4">
        <v>68.84</v>
      </c>
      <c r="I177" s="4">
        <v>39.75</v>
      </c>
      <c r="J177" s="5">
        <v>0.05</v>
      </c>
      <c r="K177" s="6">
        <v>3</v>
      </c>
      <c r="L177" s="6">
        <v>4</v>
      </c>
      <c r="M177" t="s">
        <v>58</v>
      </c>
      <c r="N177" t="s">
        <v>59</v>
      </c>
      <c r="O177" t="s">
        <v>60</v>
      </c>
    </row>
    <row r="178" spans="1:15">
      <c r="A178" t="s">
        <v>271</v>
      </c>
      <c r="B178" s="3">
        <v>45905</v>
      </c>
      <c r="C178" t="s">
        <v>78</v>
      </c>
      <c r="D178" t="s">
        <v>62</v>
      </c>
      <c r="E178" t="s">
        <v>67</v>
      </c>
      <c r="F178" t="s">
        <v>71</v>
      </c>
      <c r="G178" s="6">
        <v>1</v>
      </c>
      <c r="H178" s="4">
        <v>69.14</v>
      </c>
      <c r="I178" s="4">
        <v>37.43</v>
      </c>
      <c r="J178" s="5">
        <v>0.1</v>
      </c>
      <c r="K178" s="6">
        <v>3</v>
      </c>
      <c r="L178" s="6">
        <v>3</v>
      </c>
      <c r="M178" t="s">
        <v>126</v>
      </c>
      <c r="N178" t="s">
        <v>59</v>
      </c>
      <c r="O178" t="s">
        <v>60</v>
      </c>
    </row>
    <row r="179" spans="1:15">
      <c r="A179" t="s">
        <v>272</v>
      </c>
      <c r="B179" s="3">
        <v>45788</v>
      </c>
      <c r="C179" t="s">
        <v>66</v>
      </c>
      <c r="D179" t="s">
        <v>62</v>
      </c>
      <c r="E179" t="s">
        <v>67</v>
      </c>
      <c r="F179" t="s">
        <v>107</v>
      </c>
      <c r="G179" s="6">
        <v>1</v>
      </c>
      <c r="H179" s="4">
        <v>44.67</v>
      </c>
      <c r="I179" s="4">
        <v>21.98</v>
      </c>
      <c r="J179" s="5">
        <v>0.1</v>
      </c>
      <c r="K179" s="6">
        <v>6</v>
      </c>
      <c r="L179" s="6">
        <v>4</v>
      </c>
      <c r="M179" t="s">
        <v>58</v>
      </c>
      <c r="N179" t="s">
        <v>59</v>
      </c>
      <c r="O179" t="s">
        <v>64</v>
      </c>
    </row>
    <row r="180" spans="1:15">
      <c r="A180" t="s">
        <v>273</v>
      </c>
      <c r="B180" s="3">
        <v>45923</v>
      </c>
      <c r="C180" t="s">
        <v>78</v>
      </c>
      <c r="D180" t="s">
        <v>62</v>
      </c>
      <c r="E180" t="s">
        <v>67</v>
      </c>
      <c r="F180" t="s">
        <v>94</v>
      </c>
      <c r="G180" s="6">
        <v>2</v>
      </c>
      <c r="H180" s="4">
        <v>34.409999999999997</v>
      </c>
      <c r="I180" s="4">
        <v>16.8</v>
      </c>
      <c r="J180" s="5">
        <v>0.05</v>
      </c>
      <c r="K180" s="6">
        <v>0</v>
      </c>
      <c r="L180" s="6">
        <v>4</v>
      </c>
      <c r="M180" t="s">
        <v>58</v>
      </c>
      <c r="N180" t="s">
        <v>69</v>
      </c>
      <c r="O180" t="s">
        <v>64</v>
      </c>
    </row>
    <row r="181" spans="1:15">
      <c r="A181" t="s">
        <v>274</v>
      </c>
      <c r="B181" s="3">
        <v>45899</v>
      </c>
      <c r="C181" t="s">
        <v>78</v>
      </c>
      <c r="D181" t="s">
        <v>62</v>
      </c>
      <c r="E181" t="s">
        <v>67</v>
      </c>
      <c r="F181" t="s">
        <v>71</v>
      </c>
      <c r="G181" s="6">
        <v>4</v>
      </c>
      <c r="H181" s="4">
        <v>68.25</v>
      </c>
      <c r="I181" s="4">
        <v>38.159999999999997</v>
      </c>
      <c r="J181" s="5">
        <v>0</v>
      </c>
      <c r="K181" s="6">
        <v>3</v>
      </c>
      <c r="L181" s="6">
        <v>5</v>
      </c>
      <c r="M181" t="s">
        <v>58</v>
      </c>
      <c r="N181" t="s">
        <v>69</v>
      </c>
      <c r="O181" t="s">
        <v>64</v>
      </c>
    </row>
    <row r="182" spans="1:15">
      <c r="A182" t="s">
        <v>275</v>
      </c>
      <c r="B182" s="3">
        <v>45955</v>
      </c>
      <c r="C182" t="s">
        <v>78</v>
      </c>
      <c r="D182" t="s">
        <v>62</v>
      </c>
      <c r="E182" t="s">
        <v>67</v>
      </c>
      <c r="F182" t="s">
        <v>107</v>
      </c>
      <c r="G182" s="6">
        <v>2</v>
      </c>
      <c r="H182" s="4">
        <v>44.81</v>
      </c>
      <c r="I182" s="4">
        <v>20.94</v>
      </c>
      <c r="J182" s="5">
        <v>0</v>
      </c>
      <c r="K182" s="6">
        <v>0</v>
      </c>
      <c r="L182" s="6">
        <v>4</v>
      </c>
      <c r="M182" t="s">
        <v>58</v>
      </c>
      <c r="N182" t="s">
        <v>69</v>
      </c>
      <c r="O182" t="s">
        <v>64</v>
      </c>
    </row>
    <row r="183" spans="1:15">
      <c r="A183" t="s">
        <v>276</v>
      </c>
      <c r="B183" s="3">
        <v>45875</v>
      </c>
      <c r="C183" t="s">
        <v>82</v>
      </c>
      <c r="D183" t="s">
        <v>62</v>
      </c>
      <c r="E183" t="s">
        <v>79</v>
      </c>
      <c r="F183" t="s">
        <v>85</v>
      </c>
      <c r="G183" s="6">
        <v>1</v>
      </c>
      <c r="H183" s="4">
        <v>126.26</v>
      </c>
      <c r="I183" s="4">
        <v>84.55</v>
      </c>
      <c r="J183" s="5">
        <v>0</v>
      </c>
      <c r="K183" s="6">
        <v>2</v>
      </c>
      <c r="L183" s="6">
        <v>4</v>
      </c>
      <c r="M183" t="s">
        <v>58</v>
      </c>
      <c r="N183" t="s">
        <v>69</v>
      </c>
      <c r="O183" t="s">
        <v>64</v>
      </c>
    </row>
    <row r="184" spans="1:15">
      <c r="A184" t="s">
        <v>277</v>
      </c>
      <c r="B184" s="3">
        <v>45818</v>
      </c>
      <c r="C184" t="s">
        <v>78</v>
      </c>
      <c r="D184" t="s">
        <v>62</v>
      </c>
      <c r="E184" t="s">
        <v>67</v>
      </c>
      <c r="F184" t="s">
        <v>68</v>
      </c>
      <c r="G184" s="6">
        <v>2</v>
      </c>
      <c r="H184" s="4">
        <v>40.18</v>
      </c>
      <c r="I184" s="4">
        <v>18.579999999999998</v>
      </c>
      <c r="J184" s="5">
        <v>0</v>
      </c>
      <c r="K184" s="6">
        <v>2</v>
      </c>
      <c r="L184" s="6">
        <v>5</v>
      </c>
      <c r="M184" t="s">
        <v>58</v>
      </c>
      <c r="N184" t="s">
        <v>59</v>
      </c>
      <c r="O184" t="s">
        <v>64</v>
      </c>
    </row>
    <row r="185" spans="1:15">
      <c r="A185" t="s">
        <v>278</v>
      </c>
      <c r="B185" s="3" t="s">
        <v>279</v>
      </c>
      <c r="C185" t="s">
        <v>54</v>
      </c>
      <c r="D185" t="s">
        <v>62</v>
      </c>
      <c r="E185" t="s">
        <v>56</v>
      </c>
      <c r="F185" t="s">
        <v>63</v>
      </c>
      <c r="G185" s="6">
        <v>1</v>
      </c>
      <c r="H185" s="4">
        <v>40.270000000000003</v>
      </c>
      <c r="I185" s="4">
        <v>20.45</v>
      </c>
      <c r="J185" s="5">
        <v>0.05</v>
      </c>
      <c r="K185" s="6">
        <v>0</v>
      </c>
      <c r="L185" s="6">
        <v>4</v>
      </c>
      <c r="M185" t="s">
        <v>58</v>
      </c>
      <c r="N185" t="s">
        <v>69</v>
      </c>
      <c r="O185" t="s">
        <v>73</v>
      </c>
    </row>
    <row r="186" spans="1:15">
      <c r="A186" t="s">
        <v>280</v>
      </c>
      <c r="B186" s="3">
        <v>45755</v>
      </c>
      <c r="C186" t="s">
        <v>66</v>
      </c>
      <c r="D186" t="s">
        <v>62</v>
      </c>
      <c r="E186" t="s">
        <v>79</v>
      </c>
      <c r="F186" t="s">
        <v>115</v>
      </c>
      <c r="G186" s="6">
        <v>2</v>
      </c>
      <c r="H186" s="4">
        <v>61.35</v>
      </c>
      <c r="I186" s="4">
        <v>34.19</v>
      </c>
      <c r="J186" s="5">
        <v>0.05</v>
      </c>
      <c r="K186" s="6">
        <v>0</v>
      </c>
      <c r="L186" s="6">
        <v>4</v>
      </c>
      <c r="M186" t="s">
        <v>58</v>
      </c>
      <c r="N186" t="s">
        <v>69</v>
      </c>
      <c r="O186" t="s">
        <v>64</v>
      </c>
    </row>
    <row r="187" spans="1:15">
      <c r="A187" t="s">
        <v>281</v>
      </c>
      <c r="B187" s="3">
        <v>45795</v>
      </c>
      <c r="C187" t="s">
        <v>78</v>
      </c>
      <c r="D187" t="s">
        <v>62</v>
      </c>
      <c r="E187" t="s">
        <v>67</v>
      </c>
      <c r="F187" t="s">
        <v>68</v>
      </c>
      <c r="G187" s="6">
        <v>1</v>
      </c>
      <c r="H187" s="4">
        <v>40.74</v>
      </c>
      <c r="I187" s="4">
        <v>19.12</v>
      </c>
      <c r="J187" s="5">
        <v>0</v>
      </c>
      <c r="K187" s="6">
        <v>0</v>
      </c>
      <c r="L187" s="6">
        <v>5</v>
      </c>
      <c r="M187" t="s">
        <v>58</v>
      </c>
      <c r="N187" t="s">
        <v>69</v>
      </c>
      <c r="O187" t="s">
        <v>73</v>
      </c>
    </row>
    <row r="188" spans="1:15">
      <c r="A188" t="s">
        <v>282</v>
      </c>
      <c r="B188" s="3">
        <v>45669</v>
      </c>
      <c r="C188" t="s">
        <v>66</v>
      </c>
      <c r="D188" t="s">
        <v>62</v>
      </c>
      <c r="E188" t="s">
        <v>56</v>
      </c>
      <c r="F188" t="s">
        <v>63</v>
      </c>
      <c r="G188" s="6">
        <v>1</v>
      </c>
      <c r="H188" s="4">
        <v>39.72</v>
      </c>
      <c r="I188" s="4">
        <v>20.53</v>
      </c>
      <c r="J188" s="5">
        <v>0.05</v>
      </c>
      <c r="K188" s="6">
        <v>3</v>
      </c>
      <c r="L188" s="6">
        <v>5</v>
      </c>
      <c r="M188" t="s">
        <v>58</v>
      </c>
      <c r="N188" t="s">
        <v>59</v>
      </c>
      <c r="O188" t="s">
        <v>64</v>
      </c>
    </row>
    <row r="189" spans="1:15">
      <c r="A189" t="s">
        <v>283</v>
      </c>
      <c r="B189" s="3">
        <v>45902</v>
      </c>
      <c r="C189" t="s">
        <v>66</v>
      </c>
      <c r="D189" t="s">
        <v>62</v>
      </c>
      <c r="E189" t="s">
        <v>56</v>
      </c>
      <c r="F189" t="s">
        <v>83</v>
      </c>
      <c r="G189" s="6">
        <v>1</v>
      </c>
      <c r="H189" s="4">
        <v>66.63</v>
      </c>
      <c r="I189" s="4">
        <v>35.81</v>
      </c>
      <c r="J189" s="5">
        <v>0.1</v>
      </c>
      <c r="K189" s="6">
        <v>4</v>
      </c>
      <c r="L189" s="6">
        <v>4</v>
      </c>
      <c r="M189" t="s">
        <v>58</v>
      </c>
      <c r="N189" t="s">
        <v>59</v>
      </c>
      <c r="O189" t="s">
        <v>60</v>
      </c>
    </row>
    <row r="190" spans="1:15">
      <c r="A190" t="s">
        <v>284</v>
      </c>
      <c r="B190" s="3">
        <v>45863</v>
      </c>
      <c r="C190" t="s">
        <v>78</v>
      </c>
      <c r="D190" t="s">
        <v>55</v>
      </c>
      <c r="E190" t="s">
        <v>79</v>
      </c>
      <c r="F190" t="s">
        <v>80</v>
      </c>
      <c r="G190" s="6">
        <v>3</v>
      </c>
      <c r="H190" s="4">
        <v>75.64</v>
      </c>
      <c r="I190" s="4">
        <v>44.58</v>
      </c>
      <c r="J190" s="5">
        <v>0</v>
      </c>
      <c r="K190" s="6">
        <v>1</v>
      </c>
      <c r="L190" s="6">
        <v>3</v>
      </c>
      <c r="M190" t="s">
        <v>126</v>
      </c>
      <c r="N190" t="s">
        <v>59</v>
      </c>
      <c r="O190" t="s">
        <v>64</v>
      </c>
    </row>
    <row r="191" spans="1:15">
      <c r="A191" t="s">
        <v>285</v>
      </c>
      <c r="B191" s="3">
        <v>45991</v>
      </c>
      <c r="C191" t="s">
        <v>66</v>
      </c>
      <c r="D191" t="s">
        <v>62</v>
      </c>
      <c r="E191" t="s">
        <v>67</v>
      </c>
      <c r="F191" t="s">
        <v>68</v>
      </c>
      <c r="G191" s="6">
        <v>2</v>
      </c>
      <c r="H191" s="4">
        <v>39.58</v>
      </c>
      <c r="I191" s="4">
        <v>18.7</v>
      </c>
      <c r="J191" s="5">
        <v>0.05</v>
      </c>
      <c r="K191" s="6">
        <v>2</v>
      </c>
      <c r="L191" s="6">
        <v>5</v>
      </c>
      <c r="M191" t="s">
        <v>58</v>
      </c>
      <c r="N191" t="s">
        <v>59</v>
      </c>
      <c r="O191" t="s">
        <v>73</v>
      </c>
    </row>
    <row r="192" spans="1:15">
      <c r="A192" t="s">
        <v>286</v>
      </c>
      <c r="B192" s="3">
        <v>45931</v>
      </c>
      <c r="C192" t="s">
        <v>66</v>
      </c>
      <c r="D192" t="s">
        <v>62</v>
      </c>
      <c r="E192" t="s">
        <v>75</v>
      </c>
      <c r="F192" t="s">
        <v>146</v>
      </c>
      <c r="G192" s="6">
        <v>1</v>
      </c>
      <c r="H192" s="4">
        <v>183.88</v>
      </c>
      <c r="I192" s="4">
        <v>116.98</v>
      </c>
      <c r="J192" s="5">
        <v>0.1</v>
      </c>
      <c r="K192" s="6">
        <v>11</v>
      </c>
      <c r="L192" s="6">
        <v>3</v>
      </c>
      <c r="M192" t="s">
        <v>58</v>
      </c>
      <c r="N192" t="s">
        <v>59</v>
      </c>
      <c r="O192" t="s">
        <v>64</v>
      </c>
    </row>
    <row r="193" spans="1:15">
      <c r="A193" t="s">
        <v>287</v>
      </c>
      <c r="B193" s="3">
        <v>45740</v>
      </c>
      <c r="C193" t="s">
        <v>82</v>
      </c>
      <c r="D193" t="s">
        <v>62</v>
      </c>
      <c r="E193" t="s">
        <v>79</v>
      </c>
      <c r="F193" t="s">
        <v>92</v>
      </c>
      <c r="G193" s="6">
        <v>2</v>
      </c>
      <c r="H193" s="4">
        <v>50.34</v>
      </c>
      <c r="I193" s="4">
        <v>26.42</v>
      </c>
      <c r="J193" s="5">
        <v>0.1</v>
      </c>
      <c r="K193" s="6">
        <v>3</v>
      </c>
      <c r="L193" s="6">
        <v>4</v>
      </c>
      <c r="M193" t="s">
        <v>58</v>
      </c>
      <c r="N193" t="s">
        <v>59</v>
      </c>
      <c r="O193" t="s">
        <v>60</v>
      </c>
    </row>
    <row r="194" spans="1:15">
      <c r="A194" t="s">
        <v>288</v>
      </c>
      <c r="B194" s="3">
        <v>45856</v>
      </c>
      <c r="C194" t="s">
        <v>78</v>
      </c>
      <c r="D194" t="s">
        <v>62</v>
      </c>
      <c r="E194" t="s">
        <v>67</v>
      </c>
      <c r="F194" t="s">
        <v>107</v>
      </c>
      <c r="G194" s="6">
        <v>1</v>
      </c>
      <c r="H194" s="4">
        <v>43.99</v>
      </c>
      <c r="I194" s="4">
        <v>20.86</v>
      </c>
      <c r="J194" s="5">
        <v>0.05</v>
      </c>
      <c r="K194" s="6">
        <v>0</v>
      </c>
      <c r="L194" s="6">
        <v>4</v>
      </c>
      <c r="M194" t="s">
        <v>58</v>
      </c>
      <c r="N194" t="s">
        <v>69</v>
      </c>
      <c r="O194" t="s">
        <v>64</v>
      </c>
    </row>
    <row r="195" spans="1:15">
      <c r="A195" t="s">
        <v>289</v>
      </c>
      <c r="B195" s="3">
        <v>45924</v>
      </c>
      <c r="C195" t="s">
        <v>54</v>
      </c>
      <c r="D195" t="s">
        <v>55</v>
      </c>
      <c r="E195" t="s">
        <v>67</v>
      </c>
      <c r="F195" t="s">
        <v>68</v>
      </c>
      <c r="G195" s="6">
        <v>4</v>
      </c>
      <c r="H195" s="4">
        <v>41.26</v>
      </c>
      <c r="I195" s="4">
        <v>19.38</v>
      </c>
      <c r="J195" s="5">
        <v>0</v>
      </c>
      <c r="K195" s="6">
        <v>2</v>
      </c>
      <c r="L195" s="6"/>
      <c r="M195" t="s">
        <v>58</v>
      </c>
      <c r="N195" t="s">
        <v>59</v>
      </c>
      <c r="O195" t="s">
        <v>60</v>
      </c>
    </row>
    <row r="196" spans="1:15">
      <c r="A196" t="s">
        <v>290</v>
      </c>
      <c r="B196" s="3">
        <v>45952</v>
      </c>
      <c r="C196" t="s">
        <v>82</v>
      </c>
      <c r="D196" t="s">
        <v>129</v>
      </c>
      <c r="E196" t="s">
        <v>56</v>
      </c>
      <c r="F196" t="s">
        <v>57</v>
      </c>
      <c r="G196" s="6">
        <v>5</v>
      </c>
      <c r="H196" s="4">
        <v>111.04</v>
      </c>
      <c r="I196" s="4">
        <v>70.28</v>
      </c>
      <c r="J196" s="5">
        <v>0.05</v>
      </c>
      <c r="K196" s="6">
        <v>6</v>
      </c>
      <c r="L196" s="6">
        <v>4</v>
      </c>
      <c r="M196" t="s">
        <v>58</v>
      </c>
      <c r="N196" t="s">
        <v>59</v>
      </c>
      <c r="O196" t="s">
        <v>64</v>
      </c>
    </row>
    <row r="197" spans="1:15">
      <c r="A197" t="s">
        <v>291</v>
      </c>
      <c r="B197" s="3">
        <v>45880</v>
      </c>
      <c r="C197" t="s">
        <v>78</v>
      </c>
      <c r="D197" t="s">
        <v>62</v>
      </c>
      <c r="E197" t="s">
        <v>67</v>
      </c>
      <c r="F197" t="s">
        <v>68</v>
      </c>
      <c r="G197" s="6">
        <v>1</v>
      </c>
      <c r="H197" s="4">
        <v>39.78</v>
      </c>
      <c r="I197" s="4">
        <v>19.850000000000001</v>
      </c>
      <c r="J197" s="5">
        <v>0.1</v>
      </c>
      <c r="K197" s="6">
        <v>2</v>
      </c>
      <c r="L197" s="6">
        <v>4</v>
      </c>
      <c r="M197" t="s">
        <v>58</v>
      </c>
      <c r="N197" t="s">
        <v>59</v>
      </c>
      <c r="O197" t="s">
        <v>64</v>
      </c>
    </row>
    <row r="198" spans="1:15">
      <c r="A198" t="s">
        <v>292</v>
      </c>
      <c r="B198" s="3">
        <v>45769</v>
      </c>
      <c r="C198" t="s">
        <v>78</v>
      </c>
      <c r="D198" t="s">
        <v>62</v>
      </c>
      <c r="E198" t="s">
        <v>79</v>
      </c>
      <c r="F198" t="s">
        <v>92</v>
      </c>
      <c r="G198" s="6">
        <v>1</v>
      </c>
      <c r="H198" s="4">
        <v>49.15</v>
      </c>
      <c r="I198" s="4">
        <v>25.63</v>
      </c>
      <c r="J198" s="5">
        <v>0</v>
      </c>
      <c r="K198" s="6">
        <v>4</v>
      </c>
      <c r="L198" s="6">
        <v>4</v>
      </c>
      <c r="M198" t="s">
        <v>58</v>
      </c>
      <c r="N198" t="s">
        <v>59</v>
      </c>
      <c r="O198" t="s">
        <v>64</v>
      </c>
    </row>
    <row r="199" spans="1:15">
      <c r="A199" t="s">
        <v>293</v>
      </c>
      <c r="B199" s="3">
        <v>45790</v>
      </c>
      <c r="C199" t="s">
        <v>78</v>
      </c>
      <c r="D199" t="s">
        <v>129</v>
      </c>
      <c r="E199" t="s">
        <v>79</v>
      </c>
      <c r="F199" t="s">
        <v>80</v>
      </c>
      <c r="G199" s="6">
        <v>6</v>
      </c>
      <c r="H199" s="4">
        <v>73.2</v>
      </c>
      <c r="I199" s="4">
        <v>43.63</v>
      </c>
      <c r="J199" s="5">
        <v>0.1</v>
      </c>
      <c r="K199" s="6">
        <v>3</v>
      </c>
      <c r="L199" s="6">
        <v>4</v>
      </c>
      <c r="M199" t="s">
        <v>58</v>
      </c>
      <c r="N199" t="s">
        <v>59</v>
      </c>
      <c r="O199" t="s">
        <v>64</v>
      </c>
    </row>
    <row r="200" spans="1:15">
      <c r="A200" t="s">
        <v>294</v>
      </c>
      <c r="B200" s="3">
        <v>45767</v>
      </c>
      <c r="C200" t="s">
        <v>82</v>
      </c>
      <c r="D200" t="s">
        <v>62</v>
      </c>
      <c r="E200" t="s">
        <v>67</v>
      </c>
      <c r="F200" t="s">
        <v>68</v>
      </c>
      <c r="G200" s="6">
        <v>2</v>
      </c>
      <c r="H200" s="4">
        <v>40.61</v>
      </c>
      <c r="I200" s="4">
        <v>18.82</v>
      </c>
      <c r="J200" s="5">
        <v>0.1</v>
      </c>
      <c r="K200" s="6">
        <v>4</v>
      </c>
      <c r="L200" s="6">
        <v>4</v>
      </c>
      <c r="M200" t="s">
        <v>58</v>
      </c>
      <c r="N200" t="s">
        <v>59</v>
      </c>
      <c r="O200" t="s">
        <v>64</v>
      </c>
    </row>
    <row r="201" spans="1:15">
      <c r="A201" t="s">
        <v>295</v>
      </c>
      <c r="B201" s="3">
        <v>45841</v>
      </c>
      <c r="C201" t="s">
        <v>82</v>
      </c>
      <c r="D201" t="s">
        <v>62</v>
      </c>
      <c r="E201" t="s">
        <v>67</v>
      </c>
      <c r="F201" t="s">
        <v>94</v>
      </c>
      <c r="G201" s="6">
        <v>1</v>
      </c>
      <c r="H201" s="4">
        <v>35.81</v>
      </c>
      <c r="I201" s="4">
        <v>16.88</v>
      </c>
      <c r="J201" s="5">
        <v>0.1</v>
      </c>
      <c r="K201" s="6">
        <v>7</v>
      </c>
      <c r="L201" s="6">
        <v>4</v>
      </c>
      <c r="M201" t="s">
        <v>58</v>
      </c>
      <c r="N201" t="s">
        <v>59</v>
      </c>
      <c r="O201" t="s">
        <v>64</v>
      </c>
    </row>
    <row r="202" spans="1:15">
      <c r="A202" t="s">
        <v>296</v>
      </c>
      <c r="B202" s="3" t="s">
        <v>297</v>
      </c>
      <c r="C202" t="s">
        <v>78</v>
      </c>
      <c r="D202" t="s">
        <v>62</v>
      </c>
      <c r="E202" t="s">
        <v>75</v>
      </c>
      <c r="F202" t="s">
        <v>97</v>
      </c>
      <c r="G202" s="6">
        <v>1</v>
      </c>
      <c r="H202" s="4">
        <v>92.44</v>
      </c>
      <c r="I202" s="4">
        <v>52.58</v>
      </c>
      <c r="J202" s="5">
        <v>0.15000000000000002</v>
      </c>
      <c r="K202" s="6">
        <v>8</v>
      </c>
      <c r="L202" s="6">
        <v>3</v>
      </c>
      <c r="M202" t="s">
        <v>58</v>
      </c>
      <c r="N202" t="s">
        <v>59</v>
      </c>
      <c r="O202" t="s">
        <v>64</v>
      </c>
    </row>
    <row r="203" spans="1:15">
      <c r="A203" t="s">
        <v>298</v>
      </c>
      <c r="B203" s="3">
        <v>45826</v>
      </c>
      <c r="C203" t="s">
        <v>54</v>
      </c>
      <c r="D203" t="s">
        <v>55</v>
      </c>
      <c r="E203" t="s">
        <v>79</v>
      </c>
      <c r="F203" t="s">
        <v>85</v>
      </c>
      <c r="G203" s="6">
        <v>5</v>
      </c>
      <c r="H203" s="4">
        <v>134.88</v>
      </c>
      <c r="I203" s="4">
        <v>84.9</v>
      </c>
      <c r="J203" s="5">
        <v>0.05</v>
      </c>
      <c r="K203" s="6">
        <v>5</v>
      </c>
      <c r="L203" s="6">
        <v>4</v>
      </c>
      <c r="M203" t="s">
        <v>58</v>
      </c>
      <c r="N203" t="s">
        <v>59</v>
      </c>
      <c r="O203" t="s">
        <v>60</v>
      </c>
    </row>
    <row r="204" spans="1:15">
      <c r="A204" t="s">
        <v>299</v>
      </c>
      <c r="B204" s="3">
        <v>45830</v>
      </c>
      <c r="C204" t="s">
        <v>78</v>
      </c>
      <c r="D204" t="s">
        <v>62</v>
      </c>
      <c r="E204" t="s">
        <v>56</v>
      </c>
      <c r="F204" t="s">
        <v>63</v>
      </c>
      <c r="G204" s="6">
        <v>1</v>
      </c>
      <c r="H204" s="4">
        <v>40.4</v>
      </c>
      <c r="I204" s="4">
        <v>19.86</v>
      </c>
      <c r="J204" s="5">
        <v>0</v>
      </c>
      <c r="K204" s="6">
        <v>1</v>
      </c>
      <c r="L204" s="6">
        <v>4</v>
      </c>
      <c r="M204" t="s">
        <v>58</v>
      </c>
      <c r="N204" t="s">
        <v>87</v>
      </c>
      <c r="O204" t="s">
        <v>64</v>
      </c>
    </row>
    <row r="205" spans="1:15">
      <c r="A205" t="s">
        <v>300</v>
      </c>
      <c r="B205" s="3">
        <v>45895</v>
      </c>
      <c r="C205" t="s">
        <v>54</v>
      </c>
      <c r="D205" t="s">
        <v>62</v>
      </c>
      <c r="E205" t="s">
        <v>79</v>
      </c>
      <c r="F205" t="s">
        <v>115</v>
      </c>
      <c r="G205" s="6">
        <v>2</v>
      </c>
      <c r="H205" s="4">
        <v>59.13</v>
      </c>
      <c r="I205" s="4">
        <v>34.19</v>
      </c>
      <c r="J205" s="5">
        <v>0</v>
      </c>
      <c r="K205" s="6">
        <v>4</v>
      </c>
      <c r="L205" s="6">
        <v>3</v>
      </c>
      <c r="M205" t="s">
        <v>126</v>
      </c>
      <c r="N205" t="s">
        <v>59</v>
      </c>
      <c r="O205" t="s">
        <v>64</v>
      </c>
    </row>
    <row r="206" spans="1:15">
      <c r="A206" t="s">
        <v>301</v>
      </c>
      <c r="B206" s="3">
        <v>45690</v>
      </c>
      <c r="C206" t="s">
        <v>82</v>
      </c>
      <c r="D206" t="s">
        <v>62</v>
      </c>
      <c r="E206" t="s">
        <v>56</v>
      </c>
      <c r="F206" t="s">
        <v>89</v>
      </c>
      <c r="G206" s="6">
        <v>1</v>
      </c>
      <c r="H206" s="4">
        <v>77.97</v>
      </c>
      <c r="I206" s="4">
        <v>44.78</v>
      </c>
      <c r="J206" s="5">
        <v>0</v>
      </c>
      <c r="K206" s="6">
        <v>3</v>
      </c>
      <c r="L206" s="6">
        <v>4</v>
      </c>
      <c r="M206" t="s">
        <v>58</v>
      </c>
      <c r="N206" t="s">
        <v>59</v>
      </c>
      <c r="O206" t="s">
        <v>64</v>
      </c>
    </row>
    <row r="207" spans="1:15">
      <c r="A207" t="s">
        <v>302</v>
      </c>
      <c r="B207" s="3">
        <v>45887</v>
      </c>
      <c r="C207" t="s">
        <v>78</v>
      </c>
      <c r="D207" t="s">
        <v>62</v>
      </c>
      <c r="E207" t="s">
        <v>75</v>
      </c>
      <c r="F207" t="s">
        <v>97</v>
      </c>
      <c r="G207" s="6">
        <v>1</v>
      </c>
      <c r="H207" s="4">
        <v>87.68</v>
      </c>
      <c r="I207" s="4">
        <v>52.4</v>
      </c>
      <c r="J207" s="5">
        <v>0.1</v>
      </c>
      <c r="K207" s="6">
        <v>3</v>
      </c>
      <c r="L207" s="6">
        <v>4</v>
      </c>
      <c r="M207" t="s">
        <v>58</v>
      </c>
      <c r="N207" t="s">
        <v>59</v>
      </c>
      <c r="O207" t="s">
        <v>64</v>
      </c>
    </row>
    <row r="208" spans="1:15">
      <c r="A208" t="s">
        <v>303</v>
      </c>
      <c r="B208" s="3">
        <v>45712</v>
      </c>
      <c r="C208" t="s">
        <v>66</v>
      </c>
      <c r="D208" t="s">
        <v>62</v>
      </c>
      <c r="E208" t="s">
        <v>56</v>
      </c>
      <c r="F208" t="s">
        <v>83</v>
      </c>
      <c r="G208" s="6">
        <v>1</v>
      </c>
      <c r="H208" s="4">
        <v>65.98</v>
      </c>
      <c r="I208" s="4">
        <v>35.46</v>
      </c>
      <c r="J208" s="5">
        <v>0.1</v>
      </c>
      <c r="K208" s="6">
        <v>5</v>
      </c>
      <c r="L208" s="6">
        <v>3</v>
      </c>
      <c r="M208" t="s">
        <v>126</v>
      </c>
      <c r="N208" t="s">
        <v>59</v>
      </c>
      <c r="O208" t="s">
        <v>64</v>
      </c>
    </row>
    <row r="209" spans="1:15">
      <c r="A209" t="s">
        <v>304</v>
      </c>
      <c r="B209" s="3">
        <v>45791</v>
      </c>
      <c r="C209" t="s">
        <v>305</v>
      </c>
      <c r="D209" t="s">
        <v>62</v>
      </c>
      <c r="E209" t="s">
        <v>75</v>
      </c>
      <c r="F209" t="s">
        <v>76</v>
      </c>
      <c r="G209" s="6">
        <v>2</v>
      </c>
      <c r="H209" s="4">
        <v>119.19</v>
      </c>
      <c r="I209" s="4">
        <v>73.849999999999994</v>
      </c>
      <c r="J209" s="5">
        <v>0</v>
      </c>
      <c r="K209" s="6">
        <v>6</v>
      </c>
      <c r="L209" s="6">
        <v>4</v>
      </c>
      <c r="M209" t="s">
        <v>58</v>
      </c>
      <c r="N209" t="s">
        <v>59</v>
      </c>
      <c r="O209" t="s">
        <v>64</v>
      </c>
    </row>
    <row r="210" spans="1:15">
      <c r="A210" t="s">
        <v>306</v>
      </c>
      <c r="B210" s="3">
        <v>45661</v>
      </c>
      <c r="C210" t="s">
        <v>82</v>
      </c>
      <c r="D210" t="s">
        <v>62</v>
      </c>
      <c r="E210" t="s">
        <v>56</v>
      </c>
      <c r="F210" t="s">
        <v>63</v>
      </c>
      <c r="G210" s="6">
        <v>1</v>
      </c>
      <c r="H210" s="4">
        <v>38.909999999999997</v>
      </c>
      <c r="I210" s="4">
        <v>19.7</v>
      </c>
      <c r="J210" s="5">
        <v>0</v>
      </c>
      <c r="K210" s="6">
        <v>3</v>
      </c>
      <c r="L210" s="6">
        <v>4</v>
      </c>
      <c r="M210" t="s">
        <v>58</v>
      </c>
      <c r="N210" t="s">
        <v>59</v>
      </c>
      <c r="O210" t="s">
        <v>64</v>
      </c>
    </row>
    <row r="211" spans="1:15">
      <c r="A211" t="s">
        <v>307</v>
      </c>
      <c r="B211" s="3">
        <v>45739</v>
      </c>
      <c r="C211" t="s">
        <v>66</v>
      </c>
      <c r="D211" t="s">
        <v>55</v>
      </c>
      <c r="E211" t="s">
        <v>56</v>
      </c>
      <c r="F211" t="s">
        <v>57</v>
      </c>
      <c r="G211" s="6">
        <v>3</v>
      </c>
      <c r="H211" s="4">
        <v>112.68</v>
      </c>
      <c r="I211" s="4">
        <v>69.05</v>
      </c>
      <c r="J211" s="5">
        <v>0.1</v>
      </c>
      <c r="K211" s="6">
        <v>6</v>
      </c>
      <c r="L211" s="6">
        <v>3</v>
      </c>
      <c r="M211" t="s">
        <v>126</v>
      </c>
      <c r="N211" t="s">
        <v>59</v>
      </c>
      <c r="O211" t="s">
        <v>60</v>
      </c>
    </row>
    <row r="212" spans="1:15">
      <c r="A212" t="s">
        <v>308</v>
      </c>
      <c r="B212" s="3">
        <v>45961</v>
      </c>
      <c r="C212" t="s">
        <v>78</v>
      </c>
      <c r="D212" t="s">
        <v>62</v>
      </c>
      <c r="E212" t="s">
        <v>79</v>
      </c>
      <c r="F212" t="s">
        <v>85</v>
      </c>
      <c r="G212" s="6">
        <v>1</v>
      </c>
      <c r="H212" s="4">
        <v>127.77</v>
      </c>
      <c r="I212" s="4">
        <v>87.91</v>
      </c>
      <c r="J212" s="5">
        <v>0.05</v>
      </c>
      <c r="K212" s="6">
        <v>0</v>
      </c>
      <c r="L212" s="6">
        <v>3</v>
      </c>
      <c r="M212" t="s">
        <v>126</v>
      </c>
      <c r="N212" t="s">
        <v>69</v>
      </c>
      <c r="O212" t="s">
        <v>60</v>
      </c>
    </row>
    <row r="213" spans="1:15">
      <c r="A213" t="s">
        <v>309</v>
      </c>
      <c r="B213" s="3">
        <v>45757</v>
      </c>
      <c r="C213" t="s">
        <v>78</v>
      </c>
      <c r="D213" t="s">
        <v>62</v>
      </c>
      <c r="E213" t="s">
        <v>67</v>
      </c>
      <c r="F213" t="s">
        <v>71</v>
      </c>
      <c r="G213" s="6">
        <v>1</v>
      </c>
      <c r="H213" s="4">
        <v>70.88</v>
      </c>
      <c r="I213" s="4">
        <v>38.75</v>
      </c>
      <c r="J213" s="5">
        <v>0.1</v>
      </c>
      <c r="K213" s="6">
        <v>3</v>
      </c>
      <c r="L213" s="6">
        <v>4</v>
      </c>
      <c r="M213" t="s">
        <v>58</v>
      </c>
      <c r="N213" t="s">
        <v>59</v>
      </c>
      <c r="O213" t="s">
        <v>64</v>
      </c>
    </row>
    <row r="214" spans="1:15">
      <c r="A214" t="s">
        <v>310</v>
      </c>
      <c r="B214" s="3">
        <v>46009</v>
      </c>
      <c r="C214" t="s">
        <v>54</v>
      </c>
      <c r="D214" t="s">
        <v>62</v>
      </c>
      <c r="E214" t="s">
        <v>56</v>
      </c>
      <c r="F214" t="s">
        <v>83</v>
      </c>
      <c r="G214" s="6">
        <v>3</v>
      </c>
      <c r="H214" s="4">
        <v>66.28</v>
      </c>
      <c r="I214" s="4">
        <v>34.97</v>
      </c>
      <c r="J214" s="5">
        <v>0</v>
      </c>
      <c r="K214" s="6">
        <v>4</v>
      </c>
      <c r="L214" s="6">
        <v>4</v>
      </c>
      <c r="M214" t="s">
        <v>58</v>
      </c>
      <c r="N214" t="s">
        <v>59</v>
      </c>
      <c r="O214" t="s">
        <v>64</v>
      </c>
    </row>
    <row r="215" spans="1:15">
      <c r="A215" t="s">
        <v>311</v>
      </c>
      <c r="B215" s="3">
        <v>46013</v>
      </c>
      <c r="C215" t="s">
        <v>78</v>
      </c>
      <c r="D215" t="s">
        <v>62</v>
      </c>
      <c r="E215" t="s">
        <v>67</v>
      </c>
      <c r="F215" t="s">
        <v>107</v>
      </c>
      <c r="G215" s="6">
        <v>2</v>
      </c>
      <c r="H215" s="4">
        <v>45.01</v>
      </c>
      <c r="I215" s="4">
        <v>21.52</v>
      </c>
      <c r="J215" s="5">
        <v>0.1</v>
      </c>
      <c r="K215" s="6">
        <v>2</v>
      </c>
      <c r="L215" s="6">
        <v>4</v>
      </c>
      <c r="M215" t="s">
        <v>58</v>
      </c>
      <c r="N215" t="s">
        <v>59</v>
      </c>
      <c r="O215" t="s">
        <v>60</v>
      </c>
    </row>
    <row r="216" spans="1:15">
      <c r="A216" t="s">
        <v>312</v>
      </c>
      <c r="B216" s="3">
        <v>45828</v>
      </c>
      <c r="C216" t="s">
        <v>66</v>
      </c>
      <c r="D216" t="s">
        <v>129</v>
      </c>
      <c r="E216" t="s">
        <v>56</v>
      </c>
      <c r="F216" t="s">
        <v>63</v>
      </c>
      <c r="G216" s="6">
        <v>5</v>
      </c>
      <c r="H216" s="4">
        <v>40.67</v>
      </c>
      <c r="I216" s="4">
        <v>19.579999999999998</v>
      </c>
      <c r="J216" s="5">
        <v>0.15000000000000002</v>
      </c>
      <c r="K216" s="6">
        <v>2</v>
      </c>
      <c r="L216" s="6">
        <v>3</v>
      </c>
      <c r="M216" t="s">
        <v>126</v>
      </c>
      <c r="N216" t="s">
        <v>69</v>
      </c>
      <c r="O216" t="s">
        <v>64</v>
      </c>
    </row>
    <row r="217" spans="1:15">
      <c r="A217" t="s">
        <v>313</v>
      </c>
      <c r="B217" s="3">
        <v>45794</v>
      </c>
      <c r="C217" t="s">
        <v>82</v>
      </c>
      <c r="D217" t="s">
        <v>129</v>
      </c>
      <c r="E217" t="s">
        <v>67</v>
      </c>
      <c r="F217" t="s">
        <v>107</v>
      </c>
      <c r="G217" s="6">
        <v>4</v>
      </c>
      <c r="H217" s="4">
        <v>45.82</v>
      </c>
      <c r="I217" s="4">
        <v>21.91</v>
      </c>
      <c r="J217" s="5">
        <v>0.1</v>
      </c>
      <c r="K217" s="6">
        <v>3</v>
      </c>
      <c r="L217" s="6">
        <v>5</v>
      </c>
      <c r="M217" t="s">
        <v>58</v>
      </c>
      <c r="N217" t="s">
        <v>59</v>
      </c>
      <c r="O217" t="s">
        <v>64</v>
      </c>
    </row>
    <row r="218" spans="1:15">
      <c r="A218" t="s">
        <v>314</v>
      </c>
      <c r="B218" s="3">
        <v>45728</v>
      </c>
      <c r="C218" t="s">
        <v>66</v>
      </c>
      <c r="D218" t="s">
        <v>62</v>
      </c>
      <c r="E218" t="s">
        <v>56</v>
      </c>
      <c r="F218" t="s">
        <v>89</v>
      </c>
      <c r="G218" s="6">
        <v>1</v>
      </c>
      <c r="H218" s="4">
        <v>80.66</v>
      </c>
      <c r="I218" s="4">
        <v>46.03</v>
      </c>
      <c r="J218" s="5">
        <v>0.05</v>
      </c>
      <c r="K218" s="6">
        <v>4</v>
      </c>
      <c r="L218" s="6">
        <v>5</v>
      </c>
      <c r="M218" t="s">
        <v>58</v>
      </c>
      <c r="N218" t="s">
        <v>69</v>
      </c>
      <c r="O218" t="s">
        <v>73</v>
      </c>
    </row>
    <row r="219" spans="1:15">
      <c r="A219" t="s">
        <v>315</v>
      </c>
      <c r="B219" s="3">
        <v>45979</v>
      </c>
      <c r="C219" t="s">
        <v>78</v>
      </c>
      <c r="D219" t="s">
        <v>62</v>
      </c>
      <c r="E219" t="s">
        <v>79</v>
      </c>
      <c r="F219" t="s">
        <v>85</v>
      </c>
      <c r="G219" s="6">
        <v>1</v>
      </c>
      <c r="H219" s="4">
        <v>127.09</v>
      </c>
      <c r="I219" s="4">
        <v>87.07</v>
      </c>
      <c r="J219" s="5">
        <v>0.1</v>
      </c>
      <c r="K219" s="6">
        <v>5</v>
      </c>
      <c r="L219" s="6">
        <v>4</v>
      </c>
      <c r="M219" t="s">
        <v>58</v>
      </c>
      <c r="N219" t="s">
        <v>69</v>
      </c>
      <c r="O219" t="s">
        <v>60</v>
      </c>
    </row>
    <row r="220" spans="1:15">
      <c r="A220" t="s">
        <v>316</v>
      </c>
      <c r="B220" s="3">
        <v>45883</v>
      </c>
      <c r="C220" t="s">
        <v>54</v>
      </c>
      <c r="D220" t="s">
        <v>62</v>
      </c>
      <c r="E220" t="s">
        <v>75</v>
      </c>
      <c r="F220" t="s">
        <v>110</v>
      </c>
      <c r="G220" s="6">
        <v>1</v>
      </c>
      <c r="H220" s="4">
        <v>162.12</v>
      </c>
      <c r="I220" s="4">
        <v>103.03</v>
      </c>
      <c r="J220" s="5">
        <v>0.05</v>
      </c>
      <c r="K220" s="6">
        <v>9</v>
      </c>
      <c r="L220" s="6">
        <v>3</v>
      </c>
      <c r="M220" t="s">
        <v>58</v>
      </c>
      <c r="N220" t="s">
        <v>59</v>
      </c>
      <c r="O220" t="s">
        <v>64</v>
      </c>
    </row>
    <row r="221" spans="1:15">
      <c r="A221" t="s">
        <v>317</v>
      </c>
      <c r="B221" s="3">
        <v>46005</v>
      </c>
      <c r="C221" t="s">
        <v>78</v>
      </c>
      <c r="D221" t="s">
        <v>62</v>
      </c>
      <c r="E221" t="s">
        <v>79</v>
      </c>
      <c r="F221" t="s">
        <v>85</v>
      </c>
      <c r="G221" s="6">
        <v>2</v>
      </c>
      <c r="H221" s="4">
        <v>127.18</v>
      </c>
      <c r="I221" s="4">
        <v>81.78</v>
      </c>
      <c r="J221" s="5">
        <v>0.05</v>
      </c>
      <c r="K221" s="6">
        <v>2</v>
      </c>
      <c r="L221" s="6">
        <v>4</v>
      </c>
      <c r="M221" t="s">
        <v>58</v>
      </c>
      <c r="N221" t="s">
        <v>69</v>
      </c>
      <c r="O221" t="s">
        <v>64</v>
      </c>
    </row>
    <row r="222" spans="1:15">
      <c r="A222" t="s">
        <v>318</v>
      </c>
      <c r="B222" s="3">
        <v>45957</v>
      </c>
      <c r="C222" t="s">
        <v>78</v>
      </c>
      <c r="D222" t="s">
        <v>62</v>
      </c>
      <c r="E222" t="s">
        <v>79</v>
      </c>
      <c r="F222" t="s">
        <v>92</v>
      </c>
      <c r="G222" s="6">
        <v>2</v>
      </c>
      <c r="H222" s="4">
        <v>48.97</v>
      </c>
      <c r="I222" s="4">
        <v>26.76</v>
      </c>
      <c r="J222" s="5">
        <v>0.1</v>
      </c>
      <c r="K222" s="6">
        <v>0</v>
      </c>
      <c r="L222" s="6">
        <v>4</v>
      </c>
      <c r="M222" t="s">
        <v>58</v>
      </c>
      <c r="N222" t="s">
        <v>69</v>
      </c>
      <c r="O222" t="s">
        <v>64</v>
      </c>
    </row>
    <row r="223" spans="1:15">
      <c r="A223" t="s">
        <v>319</v>
      </c>
      <c r="B223" s="3">
        <v>45792</v>
      </c>
      <c r="C223" t="s">
        <v>66</v>
      </c>
      <c r="D223" t="s">
        <v>129</v>
      </c>
      <c r="E223" t="s">
        <v>56</v>
      </c>
      <c r="F223" t="s">
        <v>63</v>
      </c>
      <c r="G223" s="6">
        <v>5</v>
      </c>
      <c r="H223" s="4">
        <v>41.34</v>
      </c>
      <c r="I223" s="4">
        <v>19.46</v>
      </c>
      <c r="J223" s="5">
        <v>0.15000000000000002</v>
      </c>
      <c r="K223" s="6">
        <v>5</v>
      </c>
      <c r="L223" s="6">
        <v>4</v>
      </c>
      <c r="M223" t="s">
        <v>58</v>
      </c>
      <c r="N223" t="s">
        <v>69</v>
      </c>
      <c r="O223" t="s">
        <v>60</v>
      </c>
    </row>
    <row r="224" spans="1:15">
      <c r="A224" t="s">
        <v>320</v>
      </c>
      <c r="B224" s="3">
        <v>45896</v>
      </c>
      <c r="C224" t="s">
        <v>66</v>
      </c>
      <c r="D224" t="s">
        <v>62</v>
      </c>
      <c r="E224" t="s">
        <v>67</v>
      </c>
      <c r="F224" t="s">
        <v>94</v>
      </c>
      <c r="G224" s="6">
        <v>1</v>
      </c>
      <c r="H224" s="4">
        <v>35.770000000000003</v>
      </c>
      <c r="I224" s="4">
        <v>17.850000000000001</v>
      </c>
      <c r="J224" s="5">
        <v>0.1</v>
      </c>
      <c r="K224" s="6">
        <v>3</v>
      </c>
      <c r="L224" s="6">
        <v>3</v>
      </c>
      <c r="M224" t="s">
        <v>126</v>
      </c>
      <c r="N224" t="s">
        <v>69</v>
      </c>
      <c r="O224" t="s">
        <v>73</v>
      </c>
    </row>
    <row r="225" spans="1:15">
      <c r="A225" t="s">
        <v>321</v>
      </c>
      <c r="B225" s="3">
        <v>45845</v>
      </c>
      <c r="C225" t="s">
        <v>78</v>
      </c>
      <c r="D225" t="s">
        <v>55</v>
      </c>
      <c r="E225" t="s">
        <v>67</v>
      </c>
      <c r="F225" t="s">
        <v>94</v>
      </c>
      <c r="G225" s="6">
        <v>2</v>
      </c>
      <c r="H225" s="4">
        <v>35.06</v>
      </c>
      <c r="I225" s="4">
        <v>17.59</v>
      </c>
      <c r="J225" s="5">
        <v>0</v>
      </c>
      <c r="K225" s="6">
        <v>0</v>
      </c>
      <c r="L225" s="6">
        <v>5</v>
      </c>
      <c r="M225" t="s">
        <v>58</v>
      </c>
      <c r="N225" t="s">
        <v>69</v>
      </c>
      <c r="O225" t="s">
        <v>64</v>
      </c>
    </row>
    <row r="226" spans="1:15">
      <c r="A226" t="s">
        <v>322</v>
      </c>
      <c r="B226" s="3">
        <v>45783</v>
      </c>
      <c r="C226" t="s">
        <v>54</v>
      </c>
      <c r="D226" t="s">
        <v>62</v>
      </c>
      <c r="E226" t="s">
        <v>67</v>
      </c>
      <c r="F226" t="s">
        <v>107</v>
      </c>
      <c r="G226" s="6">
        <v>4</v>
      </c>
      <c r="H226" s="4">
        <v>45.22</v>
      </c>
      <c r="I226" s="4">
        <v>21.23</v>
      </c>
      <c r="J226" s="5">
        <v>0.05</v>
      </c>
      <c r="K226" s="6">
        <v>3</v>
      </c>
      <c r="L226" s="6">
        <v>5</v>
      </c>
      <c r="M226" t="s">
        <v>58</v>
      </c>
      <c r="N226" t="s">
        <v>59</v>
      </c>
      <c r="O226" t="s">
        <v>64</v>
      </c>
    </row>
    <row r="227" spans="1:15">
      <c r="A227" t="s">
        <v>323</v>
      </c>
      <c r="B227" s="3">
        <v>45928</v>
      </c>
      <c r="C227" t="s">
        <v>54</v>
      </c>
      <c r="D227" t="s">
        <v>62</v>
      </c>
      <c r="E227" t="s">
        <v>75</v>
      </c>
      <c r="F227" t="s">
        <v>146</v>
      </c>
      <c r="G227" s="6">
        <v>2</v>
      </c>
      <c r="H227" s="4">
        <v>186.58</v>
      </c>
      <c r="I227" s="4">
        <v>117.75</v>
      </c>
      <c r="J227" s="5">
        <v>0</v>
      </c>
      <c r="K227" s="6">
        <v>5</v>
      </c>
      <c r="L227" s="6">
        <v>3</v>
      </c>
      <c r="M227" t="s">
        <v>126</v>
      </c>
      <c r="N227" t="s">
        <v>59</v>
      </c>
      <c r="O227" t="s">
        <v>73</v>
      </c>
    </row>
    <row r="228" spans="1:15">
      <c r="A228" t="s">
        <v>324</v>
      </c>
      <c r="B228" s="3">
        <v>45754</v>
      </c>
      <c r="C228" t="s">
        <v>66</v>
      </c>
      <c r="D228" t="s">
        <v>62</v>
      </c>
      <c r="E228" t="s">
        <v>79</v>
      </c>
      <c r="F228" t="s">
        <v>115</v>
      </c>
      <c r="G228" s="6">
        <v>3</v>
      </c>
      <c r="H228" s="4">
        <v>58.93</v>
      </c>
      <c r="I228" s="4">
        <v>34.950000000000003</v>
      </c>
      <c r="J228" s="5">
        <v>0.15000000000000002</v>
      </c>
      <c r="K228" s="6">
        <v>4</v>
      </c>
      <c r="L228" s="6">
        <v>5</v>
      </c>
      <c r="M228" t="s">
        <v>58</v>
      </c>
      <c r="N228" t="s">
        <v>59</v>
      </c>
      <c r="O228" t="s">
        <v>64</v>
      </c>
    </row>
    <row r="229" spans="1:15">
      <c r="A229" t="s">
        <v>325</v>
      </c>
      <c r="B229" s="3">
        <v>46021</v>
      </c>
      <c r="C229" t="s">
        <v>66</v>
      </c>
      <c r="D229" t="s">
        <v>62</v>
      </c>
      <c r="E229" t="s">
        <v>56</v>
      </c>
      <c r="F229" t="s">
        <v>63</v>
      </c>
      <c r="G229" s="6">
        <v>1</v>
      </c>
      <c r="H229" s="4">
        <v>39.74</v>
      </c>
      <c r="I229" s="4">
        <v>20.61</v>
      </c>
      <c r="J229" s="5">
        <v>0.2</v>
      </c>
      <c r="K229" s="6">
        <v>0</v>
      </c>
      <c r="L229" s="6">
        <v>4</v>
      </c>
      <c r="M229" t="s">
        <v>58</v>
      </c>
      <c r="N229" t="s">
        <v>69</v>
      </c>
      <c r="O229" t="s">
        <v>64</v>
      </c>
    </row>
    <row r="230" spans="1:15">
      <c r="A230" t="s">
        <v>326</v>
      </c>
      <c r="B230" s="3">
        <v>45749</v>
      </c>
      <c r="C230" t="s">
        <v>82</v>
      </c>
      <c r="D230" t="s">
        <v>62</v>
      </c>
      <c r="E230" t="s">
        <v>75</v>
      </c>
      <c r="F230" t="s">
        <v>76</v>
      </c>
      <c r="G230" s="6">
        <v>3</v>
      </c>
      <c r="H230" s="4">
        <v>120.19</v>
      </c>
      <c r="I230" s="4">
        <v>72.77</v>
      </c>
      <c r="J230" s="5">
        <v>0.05</v>
      </c>
      <c r="K230" s="6">
        <v>5</v>
      </c>
      <c r="L230" s="6">
        <v>5</v>
      </c>
      <c r="M230" t="s">
        <v>58</v>
      </c>
      <c r="N230" t="s">
        <v>59</v>
      </c>
      <c r="O230" t="s">
        <v>64</v>
      </c>
    </row>
    <row r="231" spans="1:15">
      <c r="A231" t="s">
        <v>327</v>
      </c>
      <c r="B231" s="3">
        <v>45906</v>
      </c>
      <c r="C231" t="s">
        <v>54</v>
      </c>
      <c r="D231" t="s">
        <v>62</v>
      </c>
      <c r="E231" t="s">
        <v>75</v>
      </c>
      <c r="F231" t="s">
        <v>110</v>
      </c>
      <c r="G231" s="6">
        <v>3</v>
      </c>
      <c r="H231" s="4">
        <v>160.26</v>
      </c>
      <c r="I231" s="4">
        <v>105.69</v>
      </c>
      <c r="J231" s="5">
        <v>0.05</v>
      </c>
      <c r="K231" s="6">
        <v>0</v>
      </c>
      <c r="L231" s="6">
        <v>4</v>
      </c>
      <c r="M231" t="s">
        <v>58</v>
      </c>
      <c r="N231" t="s">
        <v>69</v>
      </c>
      <c r="O231" t="s">
        <v>64</v>
      </c>
    </row>
    <row r="232" spans="1:15">
      <c r="A232" t="s">
        <v>328</v>
      </c>
      <c r="B232" s="3">
        <v>45976</v>
      </c>
      <c r="C232" t="s">
        <v>54</v>
      </c>
      <c r="D232" t="s">
        <v>62</v>
      </c>
      <c r="E232" t="s">
        <v>79</v>
      </c>
      <c r="F232" t="s">
        <v>92</v>
      </c>
      <c r="G232" s="6">
        <v>1</v>
      </c>
      <c r="H232" s="4">
        <v>50.68</v>
      </c>
      <c r="I232" s="4">
        <v>26.89</v>
      </c>
      <c r="J232" s="5">
        <v>0.15000000000000002</v>
      </c>
      <c r="K232" s="6">
        <v>3</v>
      </c>
      <c r="L232" s="6">
        <v>4</v>
      </c>
      <c r="M232" t="s">
        <v>58</v>
      </c>
      <c r="N232" t="s">
        <v>59</v>
      </c>
      <c r="O232" t="s">
        <v>64</v>
      </c>
    </row>
    <row r="233" spans="1:15">
      <c r="A233" t="s">
        <v>329</v>
      </c>
      <c r="B233" s="3">
        <v>45693</v>
      </c>
      <c r="C233" t="s">
        <v>54</v>
      </c>
      <c r="D233" t="s">
        <v>62</v>
      </c>
      <c r="E233" t="s">
        <v>79</v>
      </c>
      <c r="F233" t="s">
        <v>80</v>
      </c>
      <c r="G233" s="6">
        <v>2</v>
      </c>
      <c r="H233" s="4">
        <v>76.84</v>
      </c>
      <c r="I233" s="4">
        <v>44.28</v>
      </c>
      <c r="J233" s="5">
        <v>0.05</v>
      </c>
      <c r="K233" s="6">
        <v>4</v>
      </c>
      <c r="L233" s="6">
        <v>5</v>
      </c>
      <c r="M233" t="s">
        <v>58</v>
      </c>
      <c r="N233" t="s">
        <v>59</v>
      </c>
      <c r="O233" t="s">
        <v>64</v>
      </c>
    </row>
    <row r="234" spans="1:15">
      <c r="A234" t="s">
        <v>330</v>
      </c>
      <c r="B234" s="3">
        <v>45775</v>
      </c>
      <c r="C234" t="s">
        <v>66</v>
      </c>
      <c r="D234" t="s">
        <v>55</v>
      </c>
      <c r="E234" t="s">
        <v>79</v>
      </c>
      <c r="F234" t="s">
        <v>92</v>
      </c>
      <c r="G234" s="6">
        <v>5</v>
      </c>
      <c r="H234" s="4">
        <v>50.65</v>
      </c>
      <c r="I234" s="4">
        <v>25.57</v>
      </c>
      <c r="J234" s="5">
        <v>0.15000000000000002</v>
      </c>
      <c r="K234" s="6">
        <v>7</v>
      </c>
      <c r="L234" s="6">
        <v>4</v>
      </c>
      <c r="M234" t="s">
        <v>58</v>
      </c>
      <c r="N234" t="s">
        <v>87</v>
      </c>
      <c r="O234" t="s">
        <v>64</v>
      </c>
    </row>
    <row r="235" spans="1:15">
      <c r="A235" t="s">
        <v>331</v>
      </c>
      <c r="B235" s="3">
        <v>45812</v>
      </c>
      <c r="C235" t="s">
        <v>78</v>
      </c>
      <c r="D235" t="s">
        <v>129</v>
      </c>
      <c r="E235" t="s">
        <v>67</v>
      </c>
      <c r="F235" t="s">
        <v>68</v>
      </c>
      <c r="G235" s="6">
        <v>6</v>
      </c>
      <c r="H235" s="4">
        <v>39.380000000000003</v>
      </c>
      <c r="I235" s="4">
        <v>19.940000000000001</v>
      </c>
      <c r="J235" s="5">
        <v>0.1</v>
      </c>
      <c r="K235" s="6">
        <v>0</v>
      </c>
      <c r="L235" s="6">
        <v>5</v>
      </c>
      <c r="M235" t="s">
        <v>58</v>
      </c>
      <c r="N235" t="s">
        <v>69</v>
      </c>
      <c r="O235" t="s">
        <v>73</v>
      </c>
    </row>
    <row r="236" spans="1:15">
      <c r="A236" t="s">
        <v>332</v>
      </c>
      <c r="B236" s="3">
        <v>45833</v>
      </c>
      <c r="C236" t="s">
        <v>82</v>
      </c>
      <c r="D236" t="s">
        <v>55</v>
      </c>
      <c r="E236" t="s">
        <v>56</v>
      </c>
      <c r="F236" t="s">
        <v>63</v>
      </c>
      <c r="G236" s="6">
        <v>3</v>
      </c>
      <c r="H236" s="4">
        <v>40.39</v>
      </c>
      <c r="I236" s="4">
        <v>20.309999999999999</v>
      </c>
      <c r="J236" s="5">
        <v>0</v>
      </c>
      <c r="K236" s="6">
        <v>7</v>
      </c>
      <c r="L236" s="6">
        <v>3</v>
      </c>
      <c r="M236" t="s">
        <v>58</v>
      </c>
      <c r="N236" t="s">
        <v>59</v>
      </c>
      <c r="O236" t="s">
        <v>64</v>
      </c>
    </row>
    <row r="237" spans="1:15">
      <c r="A237" t="s">
        <v>333</v>
      </c>
      <c r="B237" s="3">
        <v>45981</v>
      </c>
      <c r="C237" t="s">
        <v>54</v>
      </c>
      <c r="D237" t="s">
        <v>62</v>
      </c>
      <c r="E237" t="s">
        <v>79</v>
      </c>
      <c r="F237" t="s">
        <v>115</v>
      </c>
      <c r="G237" s="6">
        <v>2</v>
      </c>
      <c r="H237" s="4">
        <v>58.83</v>
      </c>
      <c r="I237" s="4">
        <v>34.090000000000003</v>
      </c>
      <c r="J237" s="5">
        <v>0.05</v>
      </c>
      <c r="K237" s="6">
        <v>5</v>
      </c>
      <c r="L237" s="6">
        <v>4</v>
      </c>
      <c r="M237" t="s">
        <v>58</v>
      </c>
      <c r="N237" t="s">
        <v>59</v>
      </c>
      <c r="O237" t="s">
        <v>73</v>
      </c>
    </row>
    <row r="238" spans="1:15">
      <c r="A238" t="s">
        <v>334</v>
      </c>
      <c r="B238" s="3">
        <v>45792</v>
      </c>
      <c r="C238" t="s">
        <v>66</v>
      </c>
      <c r="D238" t="s">
        <v>55</v>
      </c>
      <c r="E238" t="s">
        <v>75</v>
      </c>
      <c r="F238" t="s">
        <v>146</v>
      </c>
      <c r="G238" s="6">
        <v>4</v>
      </c>
      <c r="H238" s="4">
        <v>178.6</v>
      </c>
      <c r="I238" s="4">
        <v>114.65</v>
      </c>
      <c r="J238" s="5">
        <v>0</v>
      </c>
      <c r="K238" s="6">
        <v>6</v>
      </c>
      <c r="L238" s="6">
        <v>3</v>
      </c>
      <c r="M238" t="s">
        <v>126</v>
      </c>
      <c r="N238" t="s">
        <v>69</v>
      </c>
      <c r="O238" t="s">
        <v>64</v>
      </c>
    </row>
    <row r="239" spans="1:15">
      <c r="A239" t="s">
        <v>335</v>
      </c>
      <c r="B239" s="3">
        <v>45967</v>
      </c>
      <c r="C239" t="s">
        <v>82</v>
      </c>
      <c r="D239" t="s">
        <v>62</v>
      </c>
      <c r="E239" t="s">
        <v>75</v>
      </c>
      <c r="F239" t="s">
        <v>76</v>
      </c>
      <c r="G239" s="6">
        <v>3</v>
      </c>
      <c r="H239" s="4">
        <v>121.61</v>
      </c>
      <c r="I239" s="4">
        <v>70.290000000000006</v>
      </c>
      <c r="J239" s="5">
        <v>0.05</v>
      </c>
      <c r="K239" s="6">
        <v>5</v>
      </c>
      <c r="L239" s="6">
        <v>4</v>
      </c>
      <c r="M239" t="s">
        <v>58</v>
      </c>
      <c r="N239" t="s">
        <v>59</v>
      </c>
      <c r="O239" t="s">
        <v>64</v>
      </c>
    </row>
    <row r="240" spans="1:15">
      <c r="A240" t="s">
        <v>336</v>
      </c>
      <c r="B240" s="3">
        <v>45843</v>
      </c>
      <c r="C240" t="s">
        <v>66</v>
      </c>
      <c r="D240" t="s">
        <v>62</v>
      </c>
      <c r="E240" t="s">
        <v>67</v>
      </c>
      <c r="F240" t="s">
        <v>94</v>
      </c>
      <c r="G240" s="6">
        <v>3</v>
      </c>
      <c r="H240" s="4">
        <v>34.64</v>
      </c>
      <c r="I240" s="4">
        <v>17.64</v>
      </c>
      <c r="J240" s="5">
        <v>0.1</v>
      </c>
      <c r="K240" s="6">
        <v>0</v>
      </c>
      <c r="L240" s="6">
        <v>5</v>
      </c>
      <c r="M240" t="s">
        <v>58</v>
      </c>
      <c r="N240" t="s">
        <v>69</v>
      </c>
      <c r="O240" t="s">
        <v>64</v>
      </c>
    </row>
    <row r="241" spans="1:15">
      <c r="A241" t="s">
        <v>337</v>
      </c>
      <c r="B241" s="3">
        <v>45794</v>
      </c>
      <c r="C241" t="s">
        <v>66</v>
      </c>
      <c r="D241" t="s">
        <v>62</v>
      </c>
      <c r="E241" t="s">
        <v>79</v>
      </c>
      <c r="F241" t="s">
        <v>85</v>
      </c>
      <c r="G241" s="6">
        <v>1</v>
      </c>
      <c r="H241" s="4">
        <v>130.34</v>
      </c>
      <c r="I241" s="4">
        <v>81.489999999999995</v>
      </c>
      <c r="J241" s="5">
        <v>0.05</v>
      </c>
      <c r="K241" s="6">
        <v>3</v>
      </c>
      <c r="L241" s="6">
        <v>4</v>
      </c>
      <c r="M241" t="s">
        <v>58</v>
      </c>
      <c r="N241" t="s">
        <v>59</v>
      </c>
      <c r="O241" t="s">
        <v>60</v>
      </c>
    </row>
    <row r="242" spans="1:15">
      <c r="A242" t="s">
        <v>338</v>
      </c>
      <c r="B242" s="3">
        <v>45977</v>
      </c>
      <c r="C242" t="s">
        <v>66</v>
      </c>
      <c r="D242" t="s">
        <v>62</v>
      </c>
      <c r="E242" t="s">
        <v>75</v>
      </c>
      <c r="F242" t="s">
        <v>146</v>
      </c>
      <c r="G242" s="6">
        <v>4</v>
      </c>
      <c r="H242" s="4">
        <v>179.68</v>
      </c>
      <c r="I242" s="4">
        <v>114.14</v>
      </c>
      <c r="J242" s="5">
        <v>0.25</v>
      </c>
      <c r="K242" s="6">
        <v>3</v>
      </c>
      <c r="L242" s="6">
        <v>5</v>
      </c>
      <c r="M242" t="s">
        <v>58</v>
      </c>
      <c r="N242" t="s">
        <v>59</v>
      </c>
      <c r="O242" t="s">
        <v>60</v>
      </c>
    </row>
    <row r="243" spans="1:15">
      <c r="A243" t="s">
        <v>339</v>
      </c>
      <c r="B243" s="3">
        <v>45943</v>
      </c>
      <c r="C243" t="s">
        <v>82</v>
      </c>
      <c r="D243" t="s">
        <v>55</v>
      </c>
      <c r="E243" t="s">
        <v>56</v>
      </c>
      <c r="F243" t="s">
        <v>63</v>
      </c>
      <c r="G243" s="6">
        <v>4</v>
      </c>
      <c r="H243" s="4">
        <v>40.229999999999997</v>
      </c>
      <c r="I243" s="4">
        <v>19.63</v>
      </c>
      <c r="J243" s="5">
        <v>0</v>
      </c>
      <c r="K243" s="6">
        <v>4</v>
      </c>
      <c r="L243" s="6">
        <v>5</v>
      </c>
      <c r="M243" t="s">
        <v>58</v>
      </c>
      <c r="N243" t="s">
        <v>69</v>
      </c>
      <c r="O243" t="s">
        <v>64</v>
      </c>
    </row>
    <row r="244" spans="1:15">
      <c r="A244" t="s">
        <v>340</v>
      </c>
      <c r="B244" s="3">
        <v>45888</v>
      </c>
      <c r="C244" t="s">
        <v>54</v>
      </c>
      <c r="D244" t="s">
        <v>62</v>
      </c>
      <c r="E244" t="s">
        <v>79</v>
      </c>
      <c r="F244" t="s">
        <v>115</v>
      </c>
      <c r="G244" s="6">
        <v>3</v>
      </c>
      <c r="H244" s="4">
        <v>60.58</v>
      </c>
      <c r="I244" s="4">
        <v>33.89</v>
      </c>
      <c r="J244" s="5">
        <v>0</v>
      </c>
      <c r="K244" s="6">
        <v>2</v>
      </c>
      <c r="L244" s="6">
        <v>4</v>
      </c>
      <c r="M244" t="s">
        <v>126</v>
      </c>
      <c r="N244" t="s">
        <v>59</v>
      </c>
      <c r="O244" t="s">
        <v>64</v>
      </c>
    </row>
    <row r="245" spans="1:15">
      <c r="A245" t="s">
        <v>341</v>
      </c>
      <c r="B245" s="3">
        <v>45844</v>
      </c>
      <c r="C245" t="s">
        <v>54</v>
      </c>
      <c r="D245" t="s">
        <v>62</v>
      </c>
      <c r="E245" t="s">
        <v>75</v>
      </c>
      <c r="F245" t="s">
        <v>76</v>
      </c>
      <c r="G245" s="6">
        <v>1</v>
      </c>
      <c r="H245" s="4">
        <v>117.6</v>
      </c>
      <c r="I245" s="4">
        <v>72.069999999999993</v>
      </c>
      <c r="J245" s="5">
        <v>0</v>
      </c>
      <c r="K245" s="6">
        <v>5</v>
      </c>
      <c r="L245" s="6">
        <v>5</v>
      </c>
      <c r="M245" t="s">
        <v>58</v>
      </c>
      <c r="N245" t="s">
        <v>69</v>
      </c>
      <c r="O245" t="s">
        <v>64</v>
      </c>
    </row>
    <row r="246" spans="1:15">
      <c r="A246" t="s">
        <v>342</v>
      </c>
      <c r="B246" s="3">
        <v>45964</v>
      </c>
      <c r="C246" t="s">
        <v>78</v>
      </c>
      <c r="D246" t="s">
        <v>129</v>
      </c>
      <c r="E246" t="s">
        <v>79</v>
      </c>
      <c r="F246" t="s">
        <v>85</v>
      </c>
      <c r="G246" s="6">
        <v>5</v>
      </c>
      <c r="H246" s="4">
        <v>134.41</v>
      </c>
      <c r="I246" s="4">
        <v>83.01</v>
      </c>
      <c r="J246" s="5">
        <v>0.1</v>
      </c>
      <c r="K246" s="6">
        <v>3</v>
      </c>
      <c r="L246" s="6">
        <v>3</v>
      </c>
      <c r="M246" t="s">
        <v>126</v>
      </c>
      <c r="N246" t="s">
        <v>59</v>
      </c>
      <c r="O246" t="s">
        <v>64</v>
      </c>
    </row>
    <row r="247" spans="1:15">
      <c r="A247" t="s">
        <v>343</v>
      </c>
      <c r="B247" s="3">
        <v>45667</v>
      </c>
      <c r="C247" t="s">
        <v>78</v>
      </c>
      <c r="D247" t="s">
        <v>62</v>
      </c>
      <c r="E247" t="s">
        <v>67</v>
      </c>
      <c r="F247" t="s">
        <v>94</v>
      </c>
      <c r="G247" s="6">
        <v>2</v>
      </c>
      <c r="H247" s="4">
        <v>35.25</v>
      </c>
      <c r="I247" s="4">
        <v>16.559999999999999</v>
      </c>
      <c r="J247" s="5">
        <v>0.05</v>
      </c>
      <c r="K247" s="6">
        <v>0</v>
      </c>
      <c r="L247" s="6">
        <v>4</v>
      </c>
      <c r="M247" t="s">
        <v>58</v>
      </c>
      <c r="N247" t="s">
        <v>69</v>
      </c>
      <c r="O247" t="s">
        <v>60</v>
      </c>
    </row>
    <row r="248" spans="1:15">
      <c r="A248" t="s">
        <v>344</v>
      </c>
      <c r="B248" s="3">
        <v>45968</v>
      </c>
      <c r="C248" t="s">
        <v>54</v>
      </c>
      <c r="D248" t="s">
        <v>62</v>
      </c>
      <c r="E248" t="s">
        <v>75</v>
      </c>
      <c r="F248" t="s">
        <v>76</v>
      </c>
      <c r="G248" s="6">
        <v>2</v>
      </c>
      <c r="H248" s="4">
        <v>120.86</v>
      </c>
      <c r="I248" s="4">
        <v>74.87</v>
      </c>
      <c r="J248" s="5">
        <v>0.05</v>
      </c>
      <c r="K248" s="6">
        <v>4</v>
      </c>
      <c r="L248" s="6">
        <v>5</v>
      </c>
      <c r="M248" t="s">
        <v>58</v>
      </c>
      <c r="N248" t="s">
        <v>59</v>
      </c>
      <c r="O248" t="s">
        <v>64</v>
      </c>
    </row>
    <row r="249" spans="1:15">
      <c r="A249" t="s">
        <v>345</v>
      </c>
      <c r="B249" s="3">
        <v>45924</v>
      </c>
      <c r="C249" t="s">
        <v>54</v>
      </c>
      <c r="D249" t="s">
        <v>62</v>
      </c>
      <c r="E249" t="s">
        <v>56</v>
      </c>
      <c r="F249" t="s">
        <v>83</v>
      </c>
      <c r="G249" s="6">
        <v>2</v>
      </c>
      <c r="H249" s="4">
        <v>65.540000000000006</v>
      </c>
      <c r="I249" s="4">
        <v>34.049999999999997</v>
      </c>
      <c r="J249" s="5">
        <v>0.05</v>
      </c>
      <c r="K249" s="6">
        <v>0</v>
      </c>
      <c r="L249" s="6">
        <v>5</v>
      </c>
      <c r="M249" t="s">
        <v>58</v>
      </c>
      <c r="N249" t="s">
        <v>69</v>
      </c>
      <c r="O249" t="s">
        <v>60</v>
      </c>
    </row>
    <row r="250" spans="1:15">
      <c r="A250" t="s">
        <v>346</v>
      </c>
      <c r="B250" s="3">
        <v>46012</v>
      </c>
      <c r="C250" t="s">
        <v>82</v>
      </c>
      <c r="D250" t="s">
        <v>62</v>
      </c>
      <c r="E250" t="s">
        <v>79</v>
      </c>
      <c r="F250" t="s">
        <v>115</v>
      </c>
      <c r="G250" s="6">
        <v>2</v>
      </c>
      <c r="H250" s="4">
        <v>59.43</v>
      </c>
      <c r="I250" s="4">
        <v>33.28</v>
      </c>
      <c r="J250" s="5">
        <v>0.05</v>
      </c>
      <c r="K250" s="6">
        <v>0</v>
      </c>
      <c r="L250" s="6">
        <v>5</v>
      </c>
      <c r="M250" t="s">
        <v>58</v>
      </c>
      <c r="N250" t="s">
        <v>69</v>
      </c>
      <c r="O250" t="s">
        <v>64</v>
      </c>
    </row>
    <row r="251" spans="1:15">
      <c r="A251" t="s">
        <v>347</v>
      </c>
      <c r="B251" s="3">
        <v>45993</v>
      </c>
      <c r="C251" t="s">
        <v>78</v>
      </c>
      <c r="D251" t="s">
        <v>55</v>
      </c>
      <c r="E251" t="s">
        <v>75</v>
      </c>
      <c r="F251" t="s">
        <v>110</v>
      </c>
      <c r="G251" s="6">
        <v>3</v>
      </c>
      <c r="H251" s="4">
        <v>156.74</v>
      </c>
      <c r="I251" s="4">
        <v>105.74</v>
      </c>
      <c r="J251" s="5">
        <v>0.15000000000000002</v>
      </c>
      <c r="K251" s="6">
        <v>1</v>
      </c>
      <c r="L251" s="6">
        <v>4</v>
      </c>
      <c r="M251" t="s">
        <v>58</v>
      </c>
      <c r="N251" t="s">
        <v>69</v>
      </c>
      <c r="O251" t="s">
        <v>73</v>
      </c>
    </row>
    <row r="252" spans="1:15">
      <c r="A252" t="s">
        <v>348</v>
      </c>
      <c r="B252" s="3">
        <v>45951</v>
      </c>
      <c r="C252" t="s">
        <v>78</v>
      </c>
      <c r="D252" t="s">
        <v>62</v>
      </c>
      <c r="E252" t="s">
        <v>56</v>
      </c>
      <c r="F252" t="s">
        <v>89</v>
      </c>
      <c r="G252" s="6">
        <v>1</v>
      </c>
      <c r="H252" s="4">
        <v>78.77</v>
      </c>
      <c r="I252" s="4">
        <v>46.66</v>
      </c>
      <c r="J252" s="5">
        <v>0.05</v>
      </c>
      <c r="K252" s="6">
        <v>0</v>
      </c>
      <c r="L252" s="6">
        <v>4</v>
      </c>
      <c r="M252" t="s">
        <v>58</v>
      </c>
      <c r="N252" t="s">
        <v>69</v>
      </c>
      <c r="O252" t="s">
        <v>60</v>
      </c>
    </row>
    <row r="253" spans="1:15">
      <c r="A253" t="s">
        <v>349</v>
      </c>
      <c r="B253" s="3">
        <v>45854</v>
      </c>
      <c r="C253" t="s">
        <v>66</v>
      </c>
      <c r="D253" t="s">
        <v>55</v>
      </c>
      <c r="E253" t="s">
        <v>75</v>
      </c>
      <c r="F253" t="s">
        <v>146</v>
      </c>
      <c r="G253" s="6">
        <v>2</v>
      </c>
      <c r="H253" s="4">
        <v>177.82</v>
      </c>
      <c r="I253" s="4">
        <v>113.81</v>
      </c>
      <c r="J253" s="5">
        <v>0.05</v>
      </c>
      <c r="K253" s="6">
        <v>8</v>
      </c>
      <c r="L253" s="6">
        <v>3</v>
      </c>
      <c r="M253" t="s">
        <v>58</v>
      </c>
      <c r="N253" t="s">
        <v>59</v>
      </c>
      <c r="O253" t="s">
        <v>73</v>
      </c>
    </row>
    <row r="254" spans="1:15">
      <c r="A254" t="s">
        <v>350</v>
      </c>
      <c r="B254" s="3">
        <v>45670</v>
      </c>
      <c r="C254" t="s">
        <v>82</v>
      </c>
      <c r="D254" t="s">
        <v>62</v>
      </c>
      <c r="E254" t="s">
        <v>75</v>
      </c>
      <c r="F254" t="s">
        <v>110</v>
      </c>
      <c r="G254" s="6">
        <v>1</v>
      </c>
      <c r="H254" s="4">
        <v>165.54</v>
      </c>
      <c r="I254" s="4">
        <v>103.98</v>
      </c>
      <c r="J254" s="5">
        <v>0</v>
      </c>
      <c r="K254" s="6">
        <v>6</v>
      </c>
      <c r="L254" s="6">
        <v>4</v>
      </c>
      <c r="M254" t="s">
        <v>58</v>
      </c>
      <c r="N254" t="s">
        <v>87</v>
      </c>
      <c r="O254" t="s">
        <v>73</v>
      </c>
    </row>
    <row r="255" spans="1:15">
      <c r="A255" t="s">
        <v>351</v>
      </c>
      <c r="B255" s="3">
        <v>45835</v>
      </c>
      <c r="C255" t="s">
        <v>82</v>
      </c>
      <c r="D255" t="s">
        <v>129</v>
      </c>
      <c r="E255" t="s">
        <v>67</v>
      </c>
      <c r="F255" t="s">
        <v>94</v>
      </c>
      <c r="G255" s="6">
        <v>8</v>
      </c>
      <c r="H255" s="4">
        <v>36.31</v>
      </c>
      <c r="I255" s="4">
        <v>17.68</v>
      </c>
      <c r="J255" s="5">
        <v>0.05</v>
      </c>
      <c r="K255" s="6">
        <v>4</v>
      </c>
      <c r="L255" s="6">
        <v>4</v>
      </c>
      <c r="M255" t="s">
        <v>58</v>
      </c>
      <c r="N255" t="s">
        <v>59</v>
      </c>
      <c r="O255" t="s">
        <v>60</v>
      </c>
    </row>
    <row r="256" spans="1:15">
      <c r="A256" t="s">
        <v>352</v>
      </c>
      <c r="B256" s="3">
        <v>45779</v>
      </c>
      <c r="C256" t="s">
        <v>54</v>
      </c>
      <c r="D256" t="s">
        <v>62</v>
      </c>
      <c r="E256" t="s">
        <v>79</v>
      </c>
      <c r="F256" t="s">
        <v>92</v>
      </c>
      <c r="G256" s="6">
        <v>1</v>
      </c>
      <c r="H256" s="4">
        <v>48.64</v>
      </c>
      <c r="I256" s="4">
        <v>26.42</v>
      </c>
      <c r="J256" s="5">
        <v>0.05</v>
      </c>
      <c r="K256" s="6">
        <v>4</v>
      </c>
      <c r="L256" s="6">
        <v>5</v>
      </c>
      <c r="M256" t="s">
        <v>58</v>
      </c>
      <c r="N256" t="s">
        <v>59</v>
      </c>
      <c r="O256" t="s">
        <v>64</v>
      </c>
    </row>
    <row r="257" spans="1:15">
      <c r="A257" t="s">
        <v>353</v>
      </c>
      <c r="B257" s="3">
        <v>45911</v>
      </c>
      <c r="C257" t="s">
        <v>66</v>
      </c>
      <c r="D257" t="s">
        <v>62</v>
      </c>
      <c r="E257" t="s">
        <v>67</v>
      </c>
      <c r="F257" t="s">
        <v>68</v>
      </c>
      <c r="G257" s="6">
        <v>2</v>
      </c>
      <c r="H257" s="4">
        <v>39.200000000000003</v>
      </c>
      <c r="I257" s="4">
        <v>18.87</v>
      </c>
      <c r="J257" s="5">
        <v>0.05</v>
      </c>
      <c r="K257" s="6">
        <v>4</v>
      </c>
      <c r="L257" s="6">
        <v>5</v>
      </c>
      <c r="M257" t="s">
        <v>58</v>
      </c>
      <c r="N257" t="s">
        <v>69</v>
      </c>
      <c r="O257" t="s">
        <v>64</v>
      </c>
    </row>
    <row r="258" spans="1:15">
      <c r="A258" t="s">
        <v>354</v>
      </c>
      <c r="B258" s="3">
        <v>45760</v>
      </c>
      <c r="C258" t="s">
        <v>54</v>
      </c>
      <c r="D258" t="s">
        <v>62</v>
      </c>
      <c r="E258" t="s">
        <v>75</v>
      </c>
      <c r="F258" t="s">
        <v>110</v>
      </c>
      <c r="G258" s="6">
        <v>1</v>
      </c>
      <c r="H258" s="4">
        <v>160.69999999999999</v>
      </c>
      <c r="I258" s="4">
        <v>98.6</v>
      </c>
      <c r="J258" s="5">
        <v>0.1</v>
      </c>
      <c r="K258" s="6">
        <v>3</v>
      </c>
      <c r="L258" s="6">
        <v>4</v>
      </c>
      <c r="M258" t="s">
        <v>58</v>
      </c>
      <c r="N258" t="s">
        <v>69</v>
      </c>
      <c r="O258" t="s">
        <v>64</v>
      </c>
    </row>
    <row r="259" spans="1:15">
      <c r="A259" t="s">
        <v>355</v>
      </c>
      <c r="B259" s="3">
        <v>45922</v>
      </c>
      <c r="C259" t="s">
        <v>78</v>
      </c>
      <c r="D259" t="s">
        <v>62</v>
      </c>
      <c r="E259" t="s">
        <v>67</v>
      </c>
      <c r="F259" t="s">
        <v>68</v>
      </c>
      <c r="G259" s="6">
        <v>2</v>
      </c>
      <c r="H259" s="4">
        <v>40.130000000000003</v>
      </c>
      <c r="I259" s="4">
        <v>19</v>
      </c>
      <c r="J259" s="5">
        <v>0.1</v>
      </c>
      <c r="K259" s="6">
        <v>7</v>
      </c>
      <c r="L259" s="6">
        <v>4</v>
      </c>
      <c r="M259" t="s">
        <v>58</v>
      </c>
      <c r="N259" t="s">
        <v>59</v>
      </c>
      <c r="O259" t="s">
        <v>60</v>
      </c>
    </row>
    <row r="260" spans="1:15">
      <c r="A260" t="s">
        <v>356</v>
      </c>
      <c r="B260" s="3">
        <v>45830</v>
      </c>
      <c r="C260" t="s">
        <v>66</v>
      </c>
      <c r="D260" t="s">
        <v>62</v>
      </c>
      <c r="E260" t="s">
        <v>56</v>
      </c>
      <c r="F260" t="s">
        <v>89</v>
      </c>
      <c r="G260" s="6">
        <v>2</v>
      </c>
      <c r="H260" s="4">
        <v>77.94</v>
      </c>
      <c r="I260" s="4">
        <v>45.36</v>
      </c>
      <c r="J260" s="5">
        <v>0.05</v>
      </c>
      <c r="K260" s="6">
        <v>2</v>
      </c>
      <c r="L260" s="6">
        <v>4</v>
      </c>
      <c r="M260" t="s">
        <v>58</v>
      </c>
      <c r="N260" t="s">
        <v>59</v>
      </c>
      <c r="O260" t="s">
        <v>64</v>
      </c>
    </row>
    <row r="261" spans="1:15">
      <c r="A261" t="s">
        <v>357</v>
      </c>
      <c r="B261" s="3">
        <v>45903</v>
      </c>
      <c r="C261" t="s">
        <v>54</v>
      </c>
      <c r="D261" t="s">
        <v>55</v>
      </c>
      <c r="E261" t="s">
        <v>79</v>
      </c>
      <c r="F261" t="s">
        <v>92</v>
      </c>
      <c r="G261" s="6">
        <v>4</v>
      </c>
      <c r="H261" s="4">
        <v>48.67</v>
      </c>
      <c r="I261" s="4">
        <v>26.86</v>
      </c>
      <c r="J261" s="5">
        <v>0</v>
      </c>
      <c r="K261" s="6">
        <v>2</v>
      </c>
      <c r="L261" s="6">
        <v>5</v>
      </c>
      <c r="M261" t="s">
        <v>58</v>
      </c>
      <c r="N261" t="s">
        <v>59</v>
      </c>
      <c r="O261" t="s">
        <v>73</v>
      </c>
    </row>
    <row r="262" spans="1:15">
      <c r="A262" t="s">
        <v>358</v>
      </c>
      <c r="B262" s="3">
        <v>45665</v>
      </c>
      <c r="C262" t="s">
        <v>78</v>
      </c>
      <c r="D262" t="s">
        <v>62</v>
      </c>
      <c r="E262" t="s">
        <v>75</v>
      </c>
      <c r="F262" t="s">
        <v>146</v>
      </c>
      <c r="G262" s="6">
        <v>2</v>
      </c>
      <c r="H262" s="4">
        <v>185.61</v>
      </c>
      <c r="I262" s="4">
        <v>119.53</v>
      </c>
      <c r="J262" s="5">
        <v>0</v>
      </c>
      <c r="K262" s="6">
        <v>0</v>
      </c>
      <c r="L262" s="6">
        <v>4</v>
      </c>
      <c r="M262" t="s">
        <v>58</v>
      </c>
      <c r="N262" t="s">
        <v>69</v>
      </c>
      <c r="O262" t="s">
        <v>64</v>
      </c>
    </row>
    <row r="263" spans="1:15">
      <c r="A263" t="s">
        <v>359</v>
      </c>
      <c r="B263" s="3">
        <v>45856</v>
      </c>
      <c r="C263" t="s">
        <v>82</v>
      </c>
      <c r="D263" t="s">
        <v>55</v>
      </c>
      <c r="E263" t="s">
        <v>56</v>
      </c>
      <c r="F263" t="s">
        <v>83</v>
      </c>
      <c r="G263" s="6">
        <v>6</v>
      </c>
      <c r="H263" s="4">
        <v>64.3</v>
      </c>
      <c r="I263" s="4">
        <v>34.92</v>
      </c>
      <c r="J263" s="5">
        <v>0.05</v>
      </c>
      <c r="K263" s="6">
        <v>2</v>
      </c>
      <c r="L263" s="6">
        <v>4</v>
      </c>
      <c r="M263" t="s">
        <v>58</v>
      </c>
      <c r="N263" t="s">
        <v>59</v>
      </c>
      <c r="O263" t="s">
        <v>64</v>
      </c>
    </row>
    <row r="264" spans="1:15">
      <c r="A264" t="s">
        <v>360</v>
      </c>
      <c r="B264" s="3">
        <v>45787</v>
      </c>
      <c r="C264" t="s">
        <v>66</v>
      </c>
      <c r="D264" t="s">
        <v>62</v>
      </c>
      <c r="E264" t="s">
        <v>67</v>
      </c>
      <c r="F264" t="s">
        <v>107</v>
      </c>
      <c r="G264" s="6">
        <v>2</v>
      </c>
      <c r="H264" s="4">
        <v>44.68</v>
      </c>
      <c r="I264" s="4">
        <v>21.92</v>
      </c>
      <c r="J264" s="5">
        <v>0.1</v>
      </c>
      <c r="K264" s="6">
        <v>6</v>
      </c>
      <c r="L264" s="6">
        <v>4</v>
      </c>
      <c r="M264" t="s">
        <v>58</v>
      </c>
      <c r="N264" t="s">
        <v>59</v>
      </c>
      <c r="O264" t="s">
        <v>64</v>
      </c>
    </row>
    <row r="265" spans="1:15">
      <c r="A265" t="s">
        <v>361</v>
      </c>
      <c r="B265" s="3">
        <v>45778</v>
      </c>
      <c r="C265" t="s">
        <v>82</v>
      </c>
      <c r="D265" t="s">
        <v>62</v>
      </c>
      <c r="E265" t="s">
        <v>67</v>
      </c>
      <c r="F265" t="s">
        <v>71</v>
      </c>
      <c r="G265" s="6">
        <v>1</v>
      </c>
      <c r="H265" s="4">
        <v>67.92</v>
      </c>
      <c r="I265" s="4">
        <v>39.299999999999997</v>
      </c>
      <c r="J265" s="5">
        <v>0.05</v>
      </c>
      <c r="K265" s="6">
        <v>2</v>
      </c>
      <c r="L265" s="6">
        <v>5</v>
      </c>
      <c r="M265" t="s">
        <v>58</v>
      </c>
      <c r="N265" t="s">
        <v>59</v>
      </c>
      <c r="O265" t="s">
        <v>64</v>
      </c>
    </row>
    <row r="266" spans="1:15">
      <c r="A266" t="s">
        <v>362</v>
      </c>
      <c r="B266" s="3">
        <v>45979</v>
      </c>
      <c r="C266" t="s">
        <v>82</v>
      </c>
      <c r="D266" t="s">
        <v>62</v>
      </c>
      <c r="E266" t="s">
        <v>79</v>
      </c>
      <c r="F266" t="s">
        <v>115</v>
      </c>
      <c r="G266" s="6">
        <v>3</v>
      </c>
      <c r="H266" s="4">
        <v>62.2</v>
      </c>
      <c r="I266" s="4">
        <v>33.43</v>
      </c>
      <c r="J266" s="5">
        <v>0.05</v>
      </c>
      <c r="K266" s="6">
        <v>0</v>
      </c>
      <c r="L266" s="6">
        <v>5</v>
      </c>
      <c r="M266" t="s">
        <v>58</v>
      </c>
      <c r="N266" t="s">
        <v>69</v>
      </c>
      <c r="O266" t="s">
        <v>73</v>
      </c>
    </row>
    <row r="267" spans="1:15">
      <c r="A267" t="s">
        <v>363</v>
      </c>
      <c r="B267" s="3">
        <v>45879</v>
      </c>
      <c r="C267" t="s">
        <v>82</v>
      </c>
      <c r="D267" t="s">
        <v>62</v>
      </c>
      <c r="E267" t="s">
        <v>56</v>
      </c>
      <c r="F267" t="s">
        <v>57</v>
      </c>
      <c r="G267" s="6">
        <v>1</v>
      </c>
      <c r="H267" s="4">
        <v>106.77</v>
      </c>
      <c r="I267" s="4">
        <v>67.959999999999994</v>
      </c>
      <c r="J267" s="5">
        <v>0</v>
      </c>
      <c r="K267" s="6">
        <v>3</v>
      </c>
      <c r="L267" s="6">
        <v>4</v>
      </c>
      <c r="M267" t="s">
        <v>58</v>
      </c>
      <c r="N267" t="s">
        <v>59</v>
      </c>
      <c r="O267" t="s">
        <v>64</v>
      </c>
    </row>
    <row r="268" spans="1:15">
      <c r="A268" t="s">
        <v>364</v>
      </c>
      <c r="B268" s="3">
        <v>45868</v>
      </c>
      <c r="C268" t="s">
        <v>78</v>
      </c>
      <c r="D268" t="s">
        <v>62</v>
      </c>
      <c r="E268" t="s">
        <v>79</v>
      </c>
      <c r="F268" t="s">
        <v>80</v>
      </c>
      <c r="G268" s="6">
        <v>1</v>
      </c>
      <c r="H268" s="4">
        <v>73.02</v>
      </c>
      <c r="I268" s="4">
        <v>45.02</v>
      </c>
      <c r="J268" s="5">
        <v>0.05</v>
      </c>
      <c r="K268" s="6">
        <v>6</v>
      </c>
      <c r="L268" s="6">
        <v>3</v>
      </c>
      <c r="M268" t="s">
        <v>126</v>
      </c>
      <c r="N268" t="s">
        <v>59</v>
      </c>
      <c r="O268" t="s">
        <v>64</v>
      </c>
    </row>
    <row r="269" spans="1:15">
      <c r="A269" t="s">
        <v>365</v>
      </c>
      <c r="B269" s="3">
        <v>45702</v>
      </c>
      <c r="C269" t="s">
        <v>78</v>
      </c>
      <c r="D269" t="s">
        <v>62</v>
      </c>
      <c r="E269" t="s">
        <v>56</v>
      </c>
      <c r="F269" t="s">
        <v>89</v>
      </c>
      <c r="G269" s="6">
        <v>4</v>
      </c>
      <c r="H269" s="4">
        <v>83.11</v>
      </c>
      <c r="I269" s="4">
        <v>47</v>
      </c>
      <c r="J269" s="5">
        <v>0.05</v>
      </c>
      <c r="K269" s="6">
        <v>2</v>
      </c>
      <c r="L269" s="6">
        <v>4</v>
      </c>
      <c r="M269" t="s">
        <v>58</v>
      </c>
      <c r="N269" t="s">
        <v>69</v>
      </c>
      <c r="O269" t="s">
        <v>60</v>
      </c>
    </row>
    <row r="270" spans="1:15">
      <c r="A270" t="s">
        <v>366</v>
      </c>
      <c r="B270" s="3">
        <v>45927</v>
      </c>
      <c r="C270" t="s">
        <v>66</v>
      </c>
      <c r="D270" t="s">
        <v>129</v>
      </c>
      <c r="E270" t="s">
        <v>79</v>
      </c>
      <c r="F270" t="s">
        <v>115</v>
      </c>
      <c r="G270" s="6">
        <v>4</v>
      </c>
      <c r="H270" s="4">
        <v>59.62</v>
      </c>
      <c r="I270" s="4">
        <v>34.450000000000003</v>
      </c>
      <c r="J270" s="5">
        <v>0.1</v>
      </c>
      <c r="K270" s="6">
        <v>4</v>
      </c>
      <c r="L270" s="6">
        <v>5</v>
      </c>
      <c r="M270" t="s">
        <v>58</v>
      </c>
      <c r="N270" t="s">
        <v>59</v>
      </c>
      <c r="O270" t="s">
        <v>60</v>
      </c>
    </row>
    <row r="271" spans="1:15">
      <c r="A271" t="s">
        <v>367</v>
      </c>
      <c r="B271" s="3">
        <v>45731</v>
      </c>
      <c r="C271" t="s">
        <v>82</v>
      </c>
      <c r="D271" t="s">
        <v>62</v>
      </c>
      <c r="E271" t="s">
        <v>75</v>
      </c>
      <c r="F271" t="s">
        <v>110</v>
      </c>
      <c r="G271" s="6">
        <v>2</v>
      </c>
      <c r="H271" s="4">
        <v>157.06</v>
      </c>
      <c r="I271" s="4">
        <v>99.99</v>
      </c>
      <c r="J271" s="5">
        <v>0</v>
      </c>
      <c r="K271" s="6">
        <v>5</v>
      </c>
      <c r="L271" s="6">
        <v>5</v>
      </c>
      <c r="M271" t="s">
        <v>58</v>
      </c>
      <c r="N271" t="s">
        <v>59</v>
      </c>
      <c r="O271" t="s">
        <v>60</v>
      </c>
    </row>
    <row r="272" spans="1:15">
      <c r="A272" t="s">
        <v>368</v>
      </c>
      <c r="B272" s="3">
        <v>45969</v>
      </c>
      <c r="C272" t="s">
        <v>54</v>
      </c>
      <c r="D272" t="s">
        <v>62</v>
      </c>
      <c r="E272" t="s">
        <v>56</v>
      </c>
      <c r="F272" t="s">
        <v>57</v>
      </c>
      <c r="G272" s="6">
        <v>3</v>
      </c>
      <c r="H272" s="4">
        <v>109.3</v>
      </c>
      <c r="I272" s="4">
        <v>66.75</v>
      </c>
      <c r="J272" s="5">
        <v>0.1</v>
      </c>
      <c r="K272" s="6">
        <v>5</v>
      </c>
      <c r="L272" s="6">
        <v>4</v>
      </c>
      <c r="M272" t="s">
        <v>58</v>
      </c>
      <c r="N272" t="s">
        <v>59</v>
      </c>
      <c r="O272" t="s">
        <v>60</v>
      </c>
    </row>
    <row r="273" spans="1:15">
      <c r="A273" t="s">
        <v>369</v>
      </c>
      <c r="B273" s="3">
        <v>45746</v>
      </c>
      <c r="C273" t="s">
        <v>78</v>
      </c>
      <c r="D273" t="s">
        <v>55</v>
      </c>
      <c r="E273" t="s">
        <v>67</v>
      </c>
      <c r="F273" t="s">
        <v>107</v>
      </c>
      <c r="G273" s="6">
        <v>1</v>
      </c>
      <c r="H273" s="4">
        <v>43.98</v>
      </c>
      <c r="I273" s="4">
        <v>21.76</v>
      </c>
      <c r="J273" s="5">
        <v>0.05</v>
      </c>
      <c r="K273" s="6">
        <v>3</v>
      </c>
      <c r="L273" s="6">
        <v>4</v>
      </c>
      <c r="M273" t="s">
        <v>58</v>
      </c>
      <c r="N273" t="s">
        <v>59</v>
      </c>
      <c r="O273" t="s">
        <v>64</v>
      </c>
    </row>
    <row r="274" spans="1:15">
      <c r="A274" t="s">
        <v>370</v>
      </c>
      <c r="B274" s="3">
        <v>45813</v>
      </c>
      <c r="C274" t="s">
        <v>54</v>
      </c>
      <c r="D274" t="s">
        <v>62</v>
      </c>
      <c r="E274" t="s">
        <v>75</v>
      </c>
      <c r="F274" t="s">
        <v>97</v>
      </c>
      <c r="G274" s="6">
        <v>2</v>
      </c>
      <c r="H274" s="4">
        <v>87.65</v>
      </c>
      <c r="I274" s="4">
        <v>52.44</v>
      </c>
      <c r="J274" s="5">
        <v>0.05</v>
      </c>
      <c r="K274" s="6">
        <v>5</v>
      </c>
      <c r="L274" s="6">
        <v>4</v>
      </c>
      <c r="M274" t="s">
        <v>58</v>
      </c>
      <c r="N274" t="s">
        <v>59</v>
      </c>
      <c r="O274" t="s">
        <v>73</v>
      </c>
    </row>
    <row r="275" spans="1:15">
      <c r="A275" t="s">
        <v>371</v>
      </c>
      <c r="B275" s="3">
        <v>45930</v>
      </c>
      <c r="C275" t="s">
        <v>54</v>
      </c>
      <c r="D275" t="s">
        <v>62</v>
      </c>
      <c r="E275" t="s">
        <v>67</v>
      </c>
      <c r="F275" t="s">
        <v>71</v>
      </c>
      <c r="G275" s="6">
        <v>1</v>
      </c>
      <c r="H275" s="4">
        <v>72.010000000000005</v>
      </c>
      <c r="I275" s="4">
        <v>36.950000000000003</v>
      </c>
      <c r="J275" s="5">
        <v>0</v>
      </c>
      <c r="K275" s="6">
        <v>3</v>
      </c>
      <c r="L275" s="6">
        <v>5</v>
      </c>
      <c r="M275" t="s">
        <v>58</v>
      </c>
      <c r="N275" t="s">
        <v>69</v>
      </c>
      <c r="O275" t="s">
        <v>64</v>
      </c>
    </row>
    <row r="276" spans="1:15">
      <c r="A276" t="s">
        <v>372</v>
      </c>
      <c r="B276" s="3">
        <v>45794</v>
      </c>
      <c r="C276" t="s">
        <v>82</v>
      </c>
      <c r="D276" t="s">
        <v>62</v>
      </c>
      <c r="E276" t="s">
        <v>56</v>
      </c>
      <c r="F276" t="s">
        <v>63</v>
      </c>
      <c r="G276" s="6">
        <v>1</v>
      </c>
      <c r="H276" s="4">
        <v>40.29</v>
      </c>
      <c r="I276" s="4">
        <v>20.59</v>
      </c>
      <c r="J276" s="5">
        <v>0.1</v>
      </c>
      <c r="K276" s="6">
        <v>6</v>
      </c>
      <c r="L276" s="6">
        <v>3</v>
      </c>
      <c r="M276" t="s">
        <v>58</v>
      </c>
      <c r="N276" t="s">
        <v>59</v>
      </c>
      <c r="O276" t="s">
        <v>60</v>
      </c>
    </row>
    <row r="277" spans="1:15">
      <c r="A277" t="s">
        <v>373</v>
      </c>
      <c r="B277" s="3">
        <v>45995</v>
      </c>
      <c r="C277" t="s">
        <v>66</v>
      </c>
      <c r="D277" t="s">
        <v>62</v>
      </c>
      <c r="E277" t="s">
        <v>75</v>
      </c>
      <c r="F277" t="s">
        <v>110</v>
      </c>
      <c r="G277" s="6">
        <v>2</v>
      </c>
      <c r="H277" s="4">
        <v>161.71</v>
      </c>
      <c r="I277" s="4">
        <v>103.72</v>
      </c>
      <c r="J277" s="5">
        <v>0.2</v>
      </c>
      <c r="K277" s="6">
        <v>4</v>
      </c>
      <c r="L277" s="6">
        <v>4</v>
      </c>
      <c r="M277" t="s">
        <v>58</v>
      </c>
      <c r="N277" t="s">
        <v>69</v>
      </c>
      <c r="O277" t="s">
        <v>64</v>
      </c>
    </row>
    <row r="278" spans="1:15">
      <c r="A278" t="s">
        <v>374</v>
      </c>
      <c r="B278" s="3">
        <v>45962</v>
      </c>
      <c r="C278" t="s">
        <v>66</v>
      </c>
      <c r="D278" t="s">
        <v>55</v>
      </c>
      <c r="E278" t="s">
        <v>79</v>
      </c>
      <c r="F278" t="s">
        <v>85</v>
      </c>
      <c r="G278" s="6">
        <v>3</v>
      </c>
      <c r="H278" s="4">
        <v>126.3</v>
      </c>
      <c r="I278" s="4">
        <v>85.92</v>
      </c>
      <c r="J278" s="5">
        <v>0.2</v>
      </c>
      <c r="K278" s="6">
        <v>4</v>
      </c>
      <c r="L278" s="6">
        <v>3</v>
      </c>
      <c r="M278" t="s">
        <v>126</v>
      </c>
      <c r="N278" t="s">
        <v>87</v>
      </c>
      <c r="O278" t="s">
        <v>60</v>
      </c>
    </row>
    <row r="279" spans="1:15">
      <c r="A279" t="s">
        <v>375</v>
      </c>
      <c r="B279" s="3">
        <v>45964</v>
      </c>
      <c r="C279" t="s">
        <v>82</v>
      </c>
      <c r="D279" t="s">
        <v>55</v>
      </c>
      <c r="E279" t="s">
        <v>67</v>
      </c>
      <c r="F279" t="s">
        <v>107</v>
      </c>
      <c r="G279" s="6">
        <v>1</v>
      </c>
      <c r="H279" s="4">
        <v>46.13</v>
      </c>
      <c r="I279" s="4">
        <v>21.55</v>
      </c>
      <c r="J279" s="5">
        <v>0.05</v>
      </c>
      <c r="K279" s="6">
        <v>4</v>
      </c>
      <c r="L279" s="6">
        <v>4</v>
      </c>
      <c r="M279" t="s">
        <v>58</v>
      </c>
      <c r="N279" t="s">
        <v>87</v>
      </c>
      <c r="O279" t="s">
        <v>64</v>
      </c>
    </row>
    <row r="280" spans="1:15">
      <c r="A280" t="s">
        <v>376</v>
      </c>
      <c r="B280" s="3">
        <v>45918</v>
      </c>
      <c r="C280" t="s">
        <v>66</v>
      </c>
      <c r="D280" t="s">
        <v>129</v>
      </c>
      <c r="E280" t="s">
        <v>79</v>
      </c>
      <c r="F280" t="s">
        <v>85</v>
      </c>
      <c r="G280" s="6">
        <v>10</v>
      </c>
      <c r="H280" s="4">
        <v>127.96</v>
      </c>
      <c r="I280" s="4">
        <v>84.86</v>
      </c>
      <c r="J280" s="5">
        <v>0.1</v>
      </c>
      <c r="K280" s="6">
        <v>4</v>
      </c>
      <c r="L280" s="6">
        <v>4</v>
      </c>
      <c r="M280" t="s">
        <v>58</v>
      </c>
      <c r="N280" t="s">
        <v>59</v>
      </c>
      <c r="O280" t="s">
        <v>64</v>
      </c>
    </row>
    <row r="281" spans="1:15">
      <c r="A281" t="s">
        <v>377</v>
      </c>
      <c r="B281" s="3">
        <v>45860</v>
      </c>
      <c r="C281" t="s">
        <v>54</v>
      </c>
      <c r="D281" t="s">
        <v>129</v>
      </c>
      <c r="E281" t="s">
        <v>56</v>
      </c>
      <c r="F281" t="s">
        <v>83</v>
      </c>
      <c r="G281" s="6">
        <v>6</v>
      </c>
      <c r="H281" s="4">
        <v>65.290000000000006</v>
      </c>
      <c r="I281" s="4">
        <v>34.19</v>
      </c>
      <c r="J281" s="5">
        <v>0.1</v>
      </c>
      <c r="K281" s="6">
        <v>3</v>
      </c>
      <c r="L281" s="6">
        <v>5</v>
      </c>
      <c r="M281" t="s">
        <v>58</v>
      </c>
      <c r="N281" t="s">
        <v>59</v>
      </c>
      <c r="O281" t="s">
        <v>64</v>
      </c>
    </row>
    <row r="282" spans="1:15">
      <c r="A282" t="s">
        <v>378</v>
      </c>
      <c r="B282" s="3">
        <v>45850</v>
      </c>
      <c r="C282" t="s">
        <v>66</v>
      </c>
      <c r="D282" t="s">
        <v>62</v>
      </c>
      <c r="E282" t="s">
        <v>67</v>
      </c>
      <c r="F282" t="s">
        <v>107</v>
      </c>
      <c r="G282" s="6">
        <v>1</v>
      </c>
      <c r="H282" s="4">
        <v>43.79</v>
      </c>
      <c r="I282" s="4">
        <v>21.34</v>
      </c>
      <c r="J282" s="5">
        <v>0.1</v>
      </c>
      <c r="K282" s="6">
        <v>4</v>
      </c>
      <c r="L282" s="6">
        <v>4</v>
      </c>
      <c r="M282" t="s">
        <v>126</v>
      </c>
      <c r="N282" t="s">
        <v>59</v>
      </c>
      <c r="O282" t="s">
        <v>64</v>
      </c>
    </row>
    <row r="283" spans="1:15">
      <c r="A283" t="s">
        <v>379</v>
      </c>
      <c r="B283" s="3">
        <v>45704</v>
      </c>
      <c r="C283" t="s">
        <v>66</v>
      </c>
      <c r="D283" t="s">
        <v>62</v>
      </c>
      <c r="E283" t="s">
        <v>56</v>
      </c>
      <c r="F283" t="s">
        <v>83</v>
      </c>
      <c r="G283" s="6">
        <v>1</v>
      </c>
      <c r="H283" s="4">
        <v>64.44</v>
      </c>
      <c r="I283" s="4">
        <v>33.97</v>
      </c>
      <c r="J283" s="5">
        <v>0</v>
      </c>
      <c r="K283" s="6">
        <v>0</v>
      </c>
      <c r="L283" s="6">
        <v>5</v>
      </c>
      <c r="M283" t="s">
        <v>58</v>
      </c>
      <c r="N283" t="s">
        <v>69</v>
      </c>
      <c r="O283" t="s">
        <v>64</v>
      </c>
    </row>
    <row r="284" spans="1:15">
      <c r="A284" t="s">
        <v>380</v>
      </c>
      <c r="B284" s="3">
        <v>45721</v>
      </c>
      <c r="C284" t="s">
        <v>66</v>
      </c>
      <c r="D284" t="s">
        <v>62</v>
      </c>
      <c r="E284" t="s">
        <v>79</v>
      </c>
      <c r="F284" t="s">
        <v>115</v>
      </c>
      <c r="G284" s="6">
        <v>4</v>
      </c>
      <c r="H284" s="4">
        <v>61.68</v>
      </c>
      <c r="I284" s="4">
        <v>35.090000000000003</v>
      </c>
      <c r="J284" s="5">
        <v>0.1</v>
      </c>
      <c r="K284" s="6">
        <v>0</v>
      </c>
      <c r="L284" s="6">
        <v>3</v>
      </c>
      <c r="M284" t="s">
        <v>126</v>
      </c>
      <c r="N284" t="s">
        <v>69</v>
      </c>
      <c r="O284" t="s">
        <v>64</v>
      </c>
    </row>
    <row r="285" spans="1:15">
      <c r="A285" t="s">
        <v>381</v>
      </c>
      <c r="B285" s="3">
        <v>45906</v>
      </c>
      <c r="C285" t="s">
        <v>82</v>
      </c>
      <c r="D285" t="s">
        <v>62</v>
      </c>
      <c r="E285" t="s">
        <v>79</v>
      </c>
      <c r="F285" t="s">
        <v>115</v>
      </c>
      <c r="G285" s="6">
        <v>1</v>
      </c>
      <c r="H285" s="4">
        <v>61.17</v>
      </c>
      <c r="I285" s="4">
        <v>33.21</v>
      </c>
      <c r="J285" s="5">
        <v>0.1</v>
      </c>
      <c r="K285" s="6">
        <v>0</v>
      </c>
      <c r="L285" s="6">
        <v>4</v>
      </c>
      <c r="M285" t="s">
        <v>58</v>
      </c>
      <c r="N285" t="s">
        <v>69</v>
      </c>
      <c r="O285" t="s">
        <v>60</v>
      </c>
    </row>
    <row r="286" spans="1:15">
      <c r="A286" t="s">
        <v>382</v>
      </c>
      <c r="B286" s="3">
        <v>45663</v>
      </c>
      <c r="C286" t="s">
        <v>78</v>
      </c>
      <c r="D286" t="s">
        <v>62</v>
      </c>
      <c r="E286" t="s">
        <v>67</v>
      </c>
      <c r="F286" t="s">
        <v>94</v>
      </c>
      <c r="G286" s="6">
        <v>1</v>
      </c>
      <c r="H286" s="4">
        <v>34.64</v>
      </c>
      <c r="I286" s="4">
        <v>17.18</v>
      </c>
      <c r="J286" s="5">
        <v>0.05</v>
      </c>
      <c r="K286" s="6">
        <v>0</v>
      </c>
      <c r="L286" s="6"/>
      <c r="M286" t="s">
        <v>58</v>
      </c>
      <c r="N286" t="s">
        <v>69</v>
      </c>
      <c r="O286" t="s">
        <v>64</v>
      </c>
    </row>
    <row r="287" spans="1:15">
      <c r="A287" t="s">
        <v>383</v>
      </c>
      <c r="B287" s="3">
        <v>45870</v>
      </c>
      <c r="C287" t="s">
        <v>82</v>
      </c>
      <c r="D287" t="s">
        <v>62</v>
      </c>
      <c r="E287" t="s">
        <v>67</v>
      </c>
      <c r="F287" t="s">
        <v>71</v>
      </c>
      <c r="G287" s="6">
        <v>2</v>
      </c>
      <c r="H287" s="4">
        <v>68.14</v>
      </c>
      <c r="I287" s="4">
        <v>38.43</v>
      </c>
      <c r="J287" s="5">
        <v>0</v>
      </c>
      <c r="K287" s="6">
        <v>1</v>
      </c>
      <c r="L287" s="6">
        <v>5</v>
      </c>
      <c r="M287" t="s">
        <v>58</v>
      </c>
      <c r="N287" t="s">
        <v>59</v>
      </c>
      <c r="O287" t="s">
        <v>60</v>
      </c>
    </row>
    <row r="288" spans="1:15">
      <c r="A288" t="s">
        <v>384</v>
      </c>
      <c r="B288" s="3">
        <v>45940</v>
      </c>
      <c r="C288" t="s">
        <v>78</v>
      </c>
      <c r="D288" t="s">
        <v>62</v>
      </c>
      <c r="E288" t="s">
        <v>67</v>
      </c>
      <c r="F288" t="s">
        <v>68</v>
      </c>
      <c r="G288" s="6">
        <v>1</v>
      </c>
      <c r="H288" s="4">
        <v>41.34</v>
      </c>
      <c r="I288" s="4">
        <v>19.149999999999999</v>
      </c>
      <c r="J288" s="5">
        <v>0.05</v>
      </c>
      <c r="K288" s="6">
        <v>5</v>
      </c>
      <c r="L288" s="6">
        <v>5</v>
      </c>
      <c r="M288" t="s">
        <v>58</v>
      </c>
      <c r="N288" t="s">
        <v>59</v>
      </c>
      <c r="O288" t="s">
        <v>64</v>
      </c>
    </row>
    <row r="289" spans="1:15">
      <c r="A289" t="s">
        <v>385</v>
      </c>
      <c r="B289" s="3">
        <v>45838</v>
      </c>
      <c r="C289" t="s">
        <v>66</v>
      </c>
      <c r="D289" t="s">
        <v>62</v>
      </c>
      <c r="E289" t="s">
        <v>67</v>
      </c>
      <c r="F289" t="s">
        <v>107</v>
      </c>
      <c r="G289" s="6">
        <v>3</v>
      </c>
      <c r="H289" s="4">
        <v>44.62</v>
      </c>
      <c r="I289" s="4">
        <v>20.86</v>
      </c>
      <c r="J289" s="5">
        <v>0.05</v>
      </c>
      <c r="K289" s="6">
        <v>1</v>
      </c>
      <c r="L289" s="6">
        <v>4</v>
      </c>
      <c r="M289" t="s">
        <v>58</v>
      </c>
      <c r="N289" t="s">
        <v>69</v>
      </c>
      <c r="O289" t="s">
        <v>64</v>
      </c>
    </row>
    <row r="290" spans="1:15">
      <c r="A290" t="s">
        <v>386</v>
      </c>
      <c r="B290" s="3">
        <v>46018</v>
      </c>
      <c r="C290" t="s">
        <v>66</v>
      </c>
      <c r="D290" t="s">
        <v>62</v>
      </c>
      <c r="E290" t="s">
        <v>75</v>
      </c>
      <c r="F290" t="s">
        <v>110</v>
      </c>
      <c r="G290" s="6">
        <v>3</v>
      </c>
      <c r="H290" s="4">
        <v>162.84</v>
      </c>
      <c r="I290" s="4">
        <v>100.9</v>
      </c>
      <c r="J290" s="5">
        <v>0.1</v>
      </c>
      <c r="K290" s="6">
        <v>1</v>
      </c>
      <c r="L290" s="6">
        <v>4</v>
      </c>
      <c r="M290" t="s">
        <v>58</v>
      </c>
      <c r="N290" t="s">
        <v>69</v>
      </c>
      <c r="O290" t="s">
        <v>64</v>
      </c>
    </row>
    <row r="291" spans="1:15">
      <c r="A291" t="s">
        <v>387</v>
      </c>
      <c r="B291" s="3">
        <v>45753</v>
      </c>
      <c r="C291" t="s">
        <v>66</v>
      </c>
      <c r="D291" t="s">
        <v>62</v>
      </c>
      <c r="E291" t="s">
        <v>75</v>
      </c>
      <c r="F291" t="s">
        <v>97</v>
      </c>
      <c r="G291" s="6">
        <v>2</v>
      </c>
      <c r="H291" s="4">
        <v>92.11</v>
      </c>
      <c r="I291" s="4">
        <v>55.13</v>
      </c>
      <c r="J291" s="5">
        <v>0.05</v>
      </c>
      <c r="K291" s="6">
        <v>6</v>
      </c>
      <c r="L291" s="6">
        <v>4</v>
      </c>
      <c r="M291" t="s">
        <v>58</v>
      </c>
      <c r="N291" t="s">
        <v>69</v>
      </c>
      <c r="O291" t="s">
        <v>64</v>
      </c>
    </row>
    <row r="292" spans="1:15">
      <c r="A292" t="s">
        <v>388</v>
      </c>
      <c r="B292" s="3">
        <v>45924</v>
      </c>
      <c r="C292" t="s">
        <v>78</v>
      </c>
      <c r="D292" t="s">
        <v>129</v>
      </c>
      <c r="E292" t="s">
        <v>56</v>
      </c>
      <c r="F292" t="s">
        <v>83</v>
      </c>
      <c r="G292" s="6">
        <v>3</v>
      </c>
      <c r="H292" s="4">
        <v>64.61</v>
      </c>
      <c r="I292" s="4">
        <v>34.94</v>
      </c>
      <c r="J292" s="5">
        <v>0.05</v>
      </c>
      <c r="K292" s="6">
        <v>5</v>
      </c>
      <c r="L292" s="6">
        <v>4</v>
      </c>
      <c r="M292" t="s">
        <v>58</v>
      </c>
      <c r="N292" t="s">
        <v>87</v>
      </c>
      <c r="O292" t="s">
        <v>64</v>
      </c>
    </row>
    <row r="293" spans="1:15">
      <c r="A293" t="s">
        <v>389</v>
      </c>
      <c r="B293" s="3">
        <v>45733</v>
      </c>
      <c r="C293" t="s">
        <v>78</v>
      </c>
      <c r="D293" t="s">
        <v>62</v>
      </c>
      <c r="E293" t="s">
        <v>67</v>
      </c>
      <c r="F293" t="s">
        <v>68</v>
      </c>
      <c r="G293" s="6">
        <v>3</v>
      </c>
      <c r="H293" s="4">
        <v>40.659999999999997</v>
      </c>
      <c r="I293" s="4">
        <v>18.489999999999998</v>
      </c>
      <c r="J293" s="5">
        <v>0.1</v>
      </c>
      <c r="K293" s="6">
        <v>2</v>
      </c>
      <c r="L293" s="6">
        <v>5</v>
      </c>
      <c r="M293" t="s">
        <v>58</v>
      </c>
      <c r="N293" t="s">
        <v>59</v>
      </c>
      <c r="O293" t="s">
        <v>64</v>
      </c>
    </row>
    <row r="294" spans="1:15">
      <c r="A294" t="s">
        <v>390</v>
      </c>
      <c r="B294" s="3">
        <v>45963</v>
      </c>
      <c r="C294" t="s">
        <v>54</v>
      </c>
      <c r="D294" t="s">
        <v>62</v>
      </c>
      <c r="E294" t="s">
        <v>75</v>
      </c>
      <c r="F294" t="s">
        <v>146</v>
      </c>
      <c r="G294" s="6">
        <v>2</v>
      </c>
      <c r="H294" s="4">
        <v>179.03</v>
      </c>
      <c r="I294" s="4">
        <v>119.63</v>
      </c>
      <c r="J294" s="5">
        <v>0.05</v>
      </c>
      <c r="K294" s="6">
        <v>8</v>
      </c>
      <c r="L294" s="6">
        <v>4</v>
      </c>
      <c r="M294" t="s">
        <v>58</v>
      </c>
      <c r="N294" t="s">
        <v>59</v>
      </c>
      <c r="O294" t="s">
        <v>64</v>
      </c>
    </row>
    <row r="295" spans="1:15">
      <c r="A295" t="s">
        <v>391</v>
      </c>
      <c r="B295" s="3">
        <v>45772</v>
      </c>
      <c r="C295" t="s">
        <v>66</v>
      </c>
      <c r="D295" t="s">
        <v>62</v>
      </c>
      <c r="E295" t="s">
        <v>99</v>
      </c>
      <c r="F295" t="s">
        <v>63</v>
      </c>
      <c r="G295" s="6">
        <v>3</v>
      </c>
      <c r="H295" s="4">
        <v>41.41</v>
      </c>
      <c r="I295" s="4">
        <v>20.78</v>
      </c>
      <c r="J295" s="5">
        <v>0.1</v>
      </c>
      <c r="K295" s="6">
        <v>3</v>
      </c>
      <c r="L295" s="6">
        <v>5</v>
      </c>
      <c r="M295" t="s">
        <v>58</v>
      </c>
      <c r="N295" t="s">
        <v>59</v>
      </c>
      <c r="O295" t="s">
        <v>64</v>
      </c>
    </row>
    <row r="296" spans="1:15">
      <c r="A296" t="s">
        <v>392</v>
      </c>
      <c r="B296" s="3">
        <v>45717</v>
      </c>
      <c r="C296" t="s">
        <v>54</v>
      </c>
      <c r="D296" t="s">
        <v>62</v>
      </c>
      <c r="E296" t="s">
        <v>67</v>
      </c>
      <c r="F296" t="s">
        <v>71</v>
      </c>
      <c r="G296" s="6">
        <v>1</v>
      </c>
      <c r="H296" s="4">
        <v>70.05</v>
      </c>
      <c r="I296" s="4">
        <v>37.409999999999997</v>
      </c>
      <c r="J296" s="5">
        <v>0</v>
      </c>
      <c r="K296" s="6">
        <v>2</v>
      </c>
      <c r="L296" s="6">
        <v>5</v>
      </c>
      <c r="M296" t="s">
        <v>58</v>
      </c>
      <c r="N296" t="s">
        <v>59</v>
      </c>
      <c r="O296" t="s">
        <v>64</v>
      </c>
    </row>
    <row r="297" spans="1:15">
      <c r="A297" t="s">
        <v>393</v>
      </c>
      <c r="B297" s="3">
        <v>45836</v>
      </c>
      <c r="C297" t="s">
        <v>54</v>
      </c>
      <c r="D297" t="s">
        <v>62</v>
      </c>
      <c r="E297" t="s">
        <v>67</v>
      </c>
      <c r="F297" t="s">
        <v>107</v>
      </c>
      <c r="G297" s="6">
        <v>1</v>
      </c>
      <c r="H297" s="4">
        <v>45.02</v>
      </c>
      <c r="I297" s="4">
        <v>21.17</v>
      </c>
      <c r="J297" s="5">
        <v>0.1</v>
      </c>
      <c r="K297" s="6">
        <v>5</v>
      </c>
      <c r="L297" s="6">
        <v>5</v>
      </c>
      <c r="M297" t="s">
        <v>58</v>
      </c>
      <c r="N297" t="s">
        <v>87</v>
      </c>
      <c r="O297" t="s">
        <v>64</v>
      </c>
    </row>
    <row r="298" spans="1:15">
      <c r="A298" t="s">
        <v>394</v>
      </c>
      <c r="B298" s="3">
        <v>45861</v>
      </c>
      <c r="C298" t="s">
        <v>66</v>
      </c>
      <c r="D298" t="s">
        <v>62</v>
      </c>
      <c r="E298" t="s">
        <v>79</v>
      </c>
      <c r="F298" t="s">
        <v>115</v>
      </c>
      <c r="G298" s="6">
        <v>1</v>
      </c>
      <c r="H298" s="4">
        <v>61.79</v>
      </c>
      <c r="I298" s="4">
        <v>33.19</v>
      </c>
      <c r="J298" s="5">
        <v>0.1</v>
      </c>
      <c r="K298" s="6">
        <v>2</v>
      </c>
      <c r="L298" s="6">
        <v>4</v>
      </c>
      <c r="M298" t="s">
        <v>58</v>
      </c>
      <c r="N298" t="s">
        <v>59</v>
      </c>
      <c r="O298" t="s">
        <v>64</v>
      </c>
    </row>
    <row r="299" spans="1:15">
      <c r="A299" t="s">
        <v>395</v>
      </c>
      <c r="B299" s="3">
        <v>45889</v>
      </c>
      <c r="C299" t="s">
        <v>78</v>
      </c>
      <c r="D299" t="s">
        <v>62</v>
      </c>
      <c r="E299" t="s">
        <v>67</v>
      </c>
      <c r="F299" t="s">
        <v>68</v>
      </c>
      <c r="G299" s="6">
        <v>2</v>
      </c>
      <c r="H299" s="4">
        <v>40.26</v>
      </c>
      <c r="I299" s="4">
        <v>18.82</v>
      </c>
      <c r="J299" s="5">
        <v>0.05</v>
      </c>
      <c r="K299" s="6">
        <v>4</v>
      </c>
      <c r="L299" s="6">
        <v>4</v>
      </c>
      <c r="M299" t="s">
        <v>126</v>
      </c>
      <c r="N299" t="s">
        <v>87</v>
      </c>
      <c r="O299" t="s">
        <v>64</v>
      </c>
    </row>
    <row r="300" spans="1:15">
      <c r="A300" t="s">
        <v>396</v>
      </c>
      <c r="B300" s="3">
        <v>45993</v>
      </c>
      <c r="C300" t="s">
        <v>82</v>
      </c>
      <c r="D300" t="s">
        <v>55</v>
      </c>
      <c r="E300" t="s">
        <v>79</v>
      </c>
      <c r="F300" t="s">
        <v>85</v>
      </c>
      <c r="G300" s="6">
        <v>4</v>
      </c>
      <c r="H300" s="4">
        <v>130.33000000000001</v>
      </c>
      <c r="I300" s="4">
        <v>87.7</v>
      </c>
      <c r="J300" s="5">
        <v>0</v>
      </c>
      <c r="K300" s="6">
        <v>5</v>
      </c>
      <c r="L300" s="6">
        <v>4</v>
      </c>
      <c r="M300" t="s">
        <v>58</v>
      </c>
      <c r="N300" t="s">
        <v>59</v>
      </c>
      <c r="O300" t="s">
        <v>64</v>
      </c>
    </row>
    <row r="301" spans="1:15">
      <c r="A301" t="s">
        <v>397</v>
      </c>
      <c r="B301" s="3">
        <v>45721</v>
      </c>
      <c r="C301" t="s">
        <v>66</v>
      </c>
      <c r="D301" t="s">
        <v>62</v>
      </c>
      <c r="E301" t="s">
        <v>75</v>
      </c>
      <c r="F301" t="s">
        <v>146</v>
      </c>
      <c r="G301" s="6">
        <v>1</v>
      </c>
      <c r="H301" s="4">
        <v>181.14</v>
      </c>
      <c r="I301" s="4">
        <v>118.65</v>
      </c>
      <c r="J301" s="5">
        <v>0.05</v>
      </c>
      <c r="K301" s="6">
        <v>6</v>
      </c>
      <c r="L301" s="6">
        <v>4</v>
      </c>
      <c r="M301" t="s">
        <v>58</v>
      </c>
      <c r="N301" t="s">
        <v>69</v>
      </c>
      <c r="O301" t="s">
        <v>64</v>
      </c>
    </row>
    <row r="302" spans="1:15">
      <c r="A302" t="s">
        <v>398</v>
      </c>
      <c r="B302" s="3">
        <v>45951</v>
      </c>
      <c r="C302" t="s">
        <v>78</v>
      </c>
      <c r="D302" t="s">
        <v>62</v>
      </c>
      <c r="E302" t="s">
        <v>79</v>
      </c>
      <c r="F302" t="s">
        <v>85</v>
      </c>
      <c r="G302" s="6">
        <v>2</v>
      </c>
      <c r="H302" s="4">
        <v>133.18</v>
      </c>
      <c r="I302" s="4">
        <v>84.16</v>
      </c>
      <c r="J302" s="5">
        <v>0</v>
      </c>
      <c r="K302" s="6">
        <v>5</v>
      </c>
      <c r="L302" s="6">
        <v>4</v>
      </c>
      <c r="M302" t="s">
        <v>58</v>
      </c>
      <c r="N302" t="s">
        <v>59</v>
      </c>
      <c r="O302" t="s">
        <v>64</v>
      </c>
    </row>
    <row r="303" spans="1:15">
      <c r="A303" t="s">
        <v>399</v>
      </c>
      <c r="B303" s="3">
        <v>45973</v>
      </c>
      <c r="C303" t="s">
        <v>66</v>
      </c>
      <c r="D303" t="s">
        <v>62</v>
      </c>
      <c r="E303" t="s">
        <v>79</v>
      </c>
      <c r="F303" t="s">
        <v>92</v>
      </c>
      <c r="G303" s="6">
        <v>1</v>
      </c>
      <c r="H303" s="4">
        <v>48.77</v>
      </c>
      <c r="I303" s="4">
        <v>25.63</v>
      </c>
      <c r="J303" s="5">
        <v>0.2</v>
      </c>
      <c r="K303" s="6">
        <v>7</v>
      </c>
      <c r="L303" s="6">
        <v>4</v>
      </c>
      <c r="M303" t="s">
        <v>58</v>
      </c>
      <c r="N303" t="s">
        <v>59</v>
      </c>
      <c r="O303" t="s">
        <v>60</v>
      </c>
    </row>
    <row r="304" spans="1:15">
      <c r="A304" t="s">
        <v>400</v>
      </c>
      <c r="B304" s="3">
        <v>45987</v>
      </c>
      <c r="C304" t="s">
        <v>78</v>
      </c>
      <c r="D304" t="s">
        <v>62</v>
      </c>
      <c r="E304" t="s">
        <v>79</v>
      </c>
      <c r="F304" t="s">
        <v>115</v>
      </c>
      <c r="G304" s="6">
        <v>1</v>
      </c>
      <c r="H304" s="4">
        <v>60.43</v>
      </c>
      <c r="I304" s="4">
        <v>35.06</v>
      </c>
      <c r="J304" s="5">
        <v>0.15000000000000002</v>
      </c>
      <c r="K304" s="6">
        <v>3</v>
      </c>
      <c r="L304" s="6">
        <v>5</v>
      </c>
      <c r="M304" t="s">
        <v>58</v>
      </c>
      <c r="N304" t="s">
        <v>59</v>
      </c>
      <c r="O304" t="s">
        <v>64</v>
      </c>
    </row>
    <row r="305" spans="1:15">
      <c r="A305" t="s">
        <v>401</v>
      </c>
      <c r="B305" s="3">
        <v>45854</v>
      </c>
      <c r="C305" t="s">
        <v>78</v>
      </c>
      <c r="D305" t="s">
        <v>62</v>
      </c>
      <c r="E305" t="s">
        <v>402</v>
      </c>
      <c r="F305" t="s">
        <v>107</v>
      </c>
      <c r="G305" s="6">
        <v>1</v>
      </c>
      <c r="H305" s="4">
        <v>44.03</v>
      </c>
      <c r="I305" s="4">
        <v>20.64</v>
      </c>
      <c r="J305" s="5">
        <v>0.05</v>
      </c>
      <c r="K305" s="6">
        <v>0</v>
      </c>
      <c r="L305" s="6">
        <v>5</v>
      </c>
      <c r="M305" t="s">
        <v>58</v>
      </c>
      <c r="N305" t="s">
        <v>69</v>
      </c>
      <c r="O305" t="s">
        <v>64</v>
      </c>
    </row>
    <row r="306" spans="1:15">
      <c r="A306" t="s">
        <v>403</v>
      </c>
      <c r="B306" s="3">
        <v>45718</v>
      </c>
      <c r="C306" t="s">
        <v>78</v>
      </c>
      <c r="D306" t="s">
        <v>55</v>
      </c>
      <c r="E306" t="s">
        <v>75</v>
      </c>
      <c r="F306" t="s">
        <v>110</v>
      </c>
      <c r="G306" s="6">
        <v>2</v>
      </c>
      <c r="H306" s="4">
        <v>158.97999999999999</v>
      </c>
      <c r="I306" s="4">
        <v>105.73</v>
      </c>
      <c r="J306" s="5">
        <v>0</v>
      </c>
      <c r="K306" s="6">
        <v>4</v>
      </c>
      <c r="L306" s="6">
        <v>4</v>
      </c>
      <c r="M306" t="s">
        <v>58</v>
      </c>
      <c r="N306" t="s">
        <v>59</v>
      </c>
      <c r="O306" t="s">
        <v>64</v>
      </c>
    </row>
    <row r="307" spans="1:15">
      <c r="A307" t="s">
        <v>404</v>
      </c>
      <c r="B307" s="3">
        <v>45805</v>
      </c>
      <c r="C307" t="s">
        <v>66</v>
      </c>
      <c r="D307" t="s">
        <v>62</v>
      </c>
      <c r="E307" t="s">
        <v>75</v>
      </c>
      <c r="F307" t="s">
        <v>110</v>
      </c>
      <c r="G307" s="6">
        <v>2</v>
      </c>
      <c r="H307" s="4">
        <v>155.88999999999999</v>
      </c>
      <c r="I307" s="4">
        <v>101.4</v>
      </c>
      <c r="J307" s="5">
        <v>0.05</v>
      </c>
      <c r="K307" s="6">
        <v>1</v>
      </c>
      <c r="L307" s="6">
        <v>4</v>
      </c>
      <c r="M307" t="s">
        <v>58</v>
      </c>
      <c r="N307" t="s">
        <v>69</v>
      </c>
      <c r="O307" t="s">
        <v>64</v>
      </c>
    </row>
    <row r="308" spans="1:15">
      <c r="A308" t="s">
        <v>405</v>
      </c>
      <c r="B308" s="3">
        <v>45953</v>
      </c>
      <c r="C308" t="s">
        <v>66</v>
      </c>
      <c r="D308" t="s">
        <v>62</v>
      </c>
      <c r="E308" t="s">
        <v>79</v>
      </c>
      <c r="F308" t="s">
        <v>92</v>
      </c>
      <c r="G308" s="6">
        <v>2</v>
      </c>
      <c r="H308" s="4">
        <v>51.82</v>
      </c>
      <c r="I308" s="4">
        <v>27.11</v>
      </c>
      <c r="J308" s="5">
        <v>0</v>
      </c>
      <c r="K308" s="6">
        <v>5</v>
      </c>
      <c r="L308" s="6">
        <v>3</v>
      </c>
      <c r="M308" t="s">
        <v>126</v>
      </c>
      <c r="N308" t="s">
        <v>59</v>
      </c>
      <c r="O308" t="s">
        <v>64</v>
      </c>
    </row>
    <row r="309" spans="1:15">
      <c r="A309" t="s">
        <v>406</v>
      </c>
      <c r="B309" s="3">
        <v>45989</v>
      </c>
      <c r="C309" t="s">
        <v>82</v>
      </c>
      <c r="D309" t="s">
        <v>62</v>
      </c>
      <c r="E309" t="s">
        <v>75</v>
      </c>
      <c r="F309" t="s">
        <v>146</v>
      </c>
      <c r="G309" s="6">
        <v>1</v>
      </c>
      <c r="H309" s="4">
        <v>183.78</v>
      </c>
      <c r="I309" s="4">
        <v>113.94</v>
      </c>
      <c r="J309" s="5">
        <v>0.1</v>
      </c>
      <c r="K309" s="6">
        <v>6</v>
      </c>
      <c r="L309" s="6">
        <v>3</v>
      </c>
      <c r="M309" t="s">
        <v>58</v>
      </c>
      <c r="N309" t="s">
        <v>59</v>
      </c>
      <c r="O309" t="s">
        <v>64</v>
      </c>
    </row>
    <row r="310" spans="1:15">
      <c r="A310" t="s">
        <v>407</v>
      </c>
      <c r="B310" s="3">
        <v>45709</v>
      </c>
      <c r="C310" t="s">
        <v>78</v>
      </c>
      <c r="D310" t="s">
        <v>62</v>
      </c>
      <c r="E310" t="s">
        <v>67</v>
      </c>
      <c r="F310" t="s">
        <v>107</v>
      </c>
      <c r="G310" s="6">
        <v>2</v>
      </c>
      <c r="H310" s="4">
        <v>44.35</v>
      </c>
      <c r="I310" s="4">
        <v>21.11</v>
      </c>
      <c r="J310" s="5">
        <v>0.1</v>
      </c>
      <c r="K310" s="6">
        <v>1</v>
      </c>
      <c r="L310" s="6">
        <v>5</v>
      </c>
      <c r="M310" t="s">
        <v>58</v>
      </c>
      <c r="N310" t="s">
        <v>69</v>
      </c>
      <c r="O310" t="s">
        <v>64</v>
      </c>
    </row>
    <row r="311" spans="1:15">
      <c r="A311" t="s">
        <v>408</v>
      </c>
      <c r="B311" s="3">
        <v>45838</v>
      </c>
      <c r="C311" t="s">
        <v>66</v>
      </c>
      <c r="D311" t="s">
        <v>55</v>
      </c>
      <c r="E311" t="s">
        <v>75</v>
      </c>
      <c r="F311" t="s">
        <v>110</v>
      </c>
      <c r="G311" s="6">
        <v>2</v>
      </c>
      <c r="H311" s="4">
        <v>159.1</v>
      </c>
      <c r="I311" s="4">
        <v>98.33</v>
      </c>
      <c r="J311" s="5">
        <v>0.1</v>
      </c>
      <c r="K311" s="6">
        <v>4</v>
      </c>
      <c r="L311" s="6">
        <v>4</v>
      </c>
      <c r="M311" t="s">
        <v>58</v>
      </c>
      <c r="N311" t="s">
        <v>69</v>
      </c>
      <c r="O311" t="s">
        <v>73</v>
      </c>
    </row>
    <row r="312" spans="1:15">
      <c r="A312" t="s">
        <v>409</v>
      </c>
      <c r="B312" s="3">
        <v>45731</v>
      </c>
      <c r="C312" t="s">
        <v>78</v>
      </c>
      <c r="D312" t="s">
        <v>62</v>
      </c>
      <c r="E312" t="s">
        <v>75</v>
      </c>
      <c r="F312" t="s">
        <v>146</v>
      </c>
      <c r="G312" s="6">
        <v>1</v>
      </c>
      <c r="H312" s="4">
        <v>174.6</v>
      </c>
      <c r="I312" s="4">
        <v>115.74</v>
      </c>
      <c r="J312" s="5">
        <v>0.05</v>
      </c>
      <c r="K312" s="6">
        <v>5</v>
      </c>
      <c r="L312" s="6">
        <v>5</v>
      </c>
      <c r="M312" t="s">
        <v>58</v>
      </c>
      <c r="N312" t="s">
        <v>59</v>
      </c>
      <c r="O312" t="s">
        <v>64</v>
      </c>
    </row>
    <row r="313" spans="1:15">
      <c r="A313" t="s">
        <v>410</v>
      </c>
      <c r="B313" s="3">
        <v>46012</v>
      </c>
      <c r="C313" t="s">
        <v>78</v>
      </c>
      <c r="D313" t="s">
        <v>62</v>
      </c>
      <c r="E313" t="s">
        <v>79</v>
      </c>
      <c r="F313" t="s">
        <v>80</v>
      </c>
      <c r="G313" s="6">
        <v>1</v>
      </c>
      <c r="H313" s="4">
        <v>73.349999999999994</v>
      </c>
      <c r="I313" s="4">
        <v>44.73</v>
      </c>
      <c r="J313" s="5">
        <v>0.05</v>
      </c>
      <c r="K313" s="6">
        <v>1</v>
      </c>
      <c r="L313" s="6">
        <v>5</v>
      </c>
      <c r="M313" t="s">
        <v>58</v>
      </c>
      <c r="N313" t="s">
        <v>69</v>
      </c>
      <c r="O313" t="s">
        <v>64</v>
      </c>
    </row>
    <row r="314" spans="1:15">
      <c r="A314" t="s">
        <v>411</v>
      </c>
      <c r="B314" s="3">
        <v>45925</v>
      </c>
      <c r="C314" t="s">
        <v>78</v>
      </c>
      <c r="D314" t="s">
        <v>62</v>
      </c>
      <c r="E314" t="s">
        <v>67</v>
      </c>
      <c r="F314" t="s">
        <v>107</v>
      </c>
      <c r="G314" s="6">
        <v>2</v>
      </c>
      <c r="H314" s="4">
        <v>45.16</v>
      </c>
      <c r="I314" s="4">
        <v>21.18</v>
      </c>
      <c r="J314" s="5">
        <v>0</v>
      </c>
      <c r="K314" s="6">
        <v>4</v>
      </c>
      <c r="L314" s="6">
        <v>4</v>
      </c>
      <c r="M314" t="s">
        <v>58</v>
      </c>
      <c r="N314" t="s">
        <v>59</v>
      </c>
      <c r="O314" t="s">
        <v>60</v>
      </c>
    </row>
    <row r="315" spans="1:15">
      <c r="A315" t="s">
        <v>412</v>
      </c>
      <c r="B315" s="3">
        <v>45721</v>
      </c>
      <c r="C315" t="s">
        <v>82</v>
      </c>
      <c r="D315" t="s">
        <v>55</v>
      </c>
      <c r="E315" t="s">
        <v>75</v>
      </c>
      <c r="F315" t="s">
        <v>97</v>
      </c>
      <c r="G315" s="6">
        <v>3</v>
      </c>
      <c r="H315" s="4">
        <v>89.4</v>
      </c>
      <c r="I315" s="4">
        <v>56.38</v>
      </c>
      <c r="J315" s="5">
        <v>0</v>
      </c>
      <c r="K315" s="6">
        <v>2</v>
      </c>
      <c r="L315" s="6">
        <v>4</v>
      </c>
      <c r="M315" t="s">
        <v>58</v>
      </c>
      <c r="N315" t="s">
        <v>69</v>
      </c>
      <c r="O315" t="s">
        <v>64</v>
      </c>
    </row>
    <row r="316" spans="1:15">
      <c r="A316" t="s">
        <v>413</v>
      </c>
      <c r="B316" s="3">
        <v>45837</v>
      </c>
      <c r="C316" t="s">
        <v>82</v>
      </c>
      <c r="D316" t="s">
        <v>62</v>
      </c>
      <c r="E316" t="s">
        <v>75</v>
      </c>
      <c r="F316" t="s">
        <v>146</v>
      </c>
      <c r="G316" s="6">
        <v>1</v>
      </c>
      <c r="H316" s="4">
        <v>187.08</v>
      </c>
      <c r="I316" s="4">
        <v>113.36</v>
      </c>
      <c r="J316" s="5">
        <v>0</v>
      </c>
      <c r="K316" s="6">
        <v>7</v>
      </c>
      <c r="L316" s="6">
        <v>4</v>
      </c>
      <c r="M316" t="s">
        <v>58</v>
      </c>
      <c r="N316" t="s">
        <v>59</v>
      </c>
      <c r="O316" t="s">
        <v>64</v>
      </c>
    </row>
    <row r="317" spans="1:15">
      <c r="A317" t="s">
        <v>414</v>
      </c>
      <c r="B317" s="3">
        <v>45695</v>
      </c>
      <c r="C317" t="s">
        <v>66</v>
      </c>
      <c r="D317" t="s">
        <v>62</v>
      </c>
      <c r="E317" t="s">
        <v>79</v>
      </c>
      <c r="F317" t="s">
        <v>80</v>
      </c>
      <c r="G317" s="6">
        <v>1</v>
      </c>
      <c r="H317" s="4">
        <v>74.010000000000005</v>
      </c>
      <c r="I317" s="4">
        <v>44.44</v>
      </c>
      <c r="J317" s="5">
        <v>0.1</v>
      </c>
      <c r="K317" s="6">
        <v>3</v>
      </c>
      <c r="L317" s="6">
        <v>4</v>
      </c>
      <c r="M317" t="s">
        <v>58</v>
      </c>
      <c r="N317" t="s">
        <v>59</v>
      </c>
      <c r="O317" t="s">
        <v>73</v>
      </c>
    </row>
    <row r="318" spans="1:15">
      <c r="A318" t="s">
        <v>415</v>
      </c>
      <c r="B318" s="3">
        <v>45895</v>
      </c>
      <c r="C318" t="s">
        <v>54</v>
      </c>
      <c r="D318" t="s">
        <v>62</v>
      </c>
      <c r="E318" t="s">
        <v>75</v>
      </c>
      <c r="F318" t="s">
        <v>76</v>
      </c>
      <c r="G318" s="6">
        <v>1</v>
      </c>
      <c r="H318" s="4">
        <v>122.8</v>
      </c>
      <c r="I318" s="4">
        <v>72.150000000000006</v>
      </c>
      <c r="J318" s="5">
        <v>0</v>
      </c>
      <c r="K318" s="6">
        <v>7</v>
      </c>
      <c r="L318" s="6">
        <v>4</v>
      </c>
      <c r="M318" t="s">
        <v>58</v>
      </c>
      <c r="N318" t="s">
        <v>87</v>
      </c>
      <c r="O318" t="s">
        <v>60</v>
      </c>
    </row>
    <row r="319" spans="1:15">
      <c r="A319" t="s">
        <v>416</v>
      </c>
      <c r="B319" s="3">
        <v>45975</v>
      </c>
      <c r="C319" t="s">
        <v>66</v>
      </c>
      <c r="D319" t="s">
        <v>55</v>
      </c>
      <c r="E319" t="s">
        <v>79</v>
      </c>
      <c r="F319" t="s">
        <v>115</v>
      </c>
      <c r="G319" s="6">
        <v>3</v>
      </c>
      <c r="H319" s="4">
        <v>62.18</v>
      </c>
      <c r="I319" s="4">
        <v>35.159999999999997</v>
      </c>
      <c r="J319" s="5">
        <v>0.15000000000000002</v>
      </c>
      <c r="K319" s="6">
        <v>4</v>
      </c>
      <c r="L319" s="6">
        <v>3</v>
      </c>
      <c r="M319" t="s">
        <v>126</v>
      </c>
      <c r="N319" t="s">
        <v>59</v>
      </c>
      <c r="O319" t="s">
        <v>64</v>
      </c>
    </row>
    <row r="320" spans="1:15">
      <c r="A320" t="s">
        <v>417</v>
      </c>
      <c r="B320" s="3">
        <v>45996</v>
      </c>
      <c r="C320" t="s">
        <v>78</v>
      </c>
      <c r="D320" t="s">
        <v>129</v>
      </c>
      <c r="E320" t="s">
        <v>79</v>
      </c>
      <c r="F320" t="s">
        <v>80</v>
      </c>
      <c r="G320" s="6">
        <v>6</v>
      </c>
      <c r="H320" s="4">
        <v>76.12</v>
      </c>
      <c r="I320" s="4">
        <v>41.86</v>
      </c>
      <c r="J320" s="5">
        <v>0.2</v>
      </c>
      <c r="K320" s="6">
        <v>2</v>
      </c>
      <c r="L320" s="6">
        <v>4</v>
      </c>
      <c r="M320" t="s">
        <v>58</v>
      </c>
      <c r="N320" t="s">
        <v>69</v>
      </c>
      <c r="O320" t="s">
        <v>64</v>
      </c>
    </row>
    <row r="321" spans="1:15">
      <c r="A321" t="s">
        <v>418</v>
      </c>
      <c r="B321" s="3">
        <v>45970</v>
      </c>
      <c r="C321" t="s">
        <v>66</v>
      </c>
      <c r="D321" t="s">
        <v>55</v>
      </c>
      <c r="E321" t="s">
        <v>56</v>
      </c>
      <c r="F321" t="s">
        <v>63</v>
      </c>
      <c r="G321" s="6">
        <v>3</v>
      </c>
      <c r="H321" s="4">
        <v>40.18</v>
      </c>
      <c r="I321" s="4">
        <v>20.96</v>
      </c>
      <c r="J321" s="5">
        <v>0.15000000000000002</v>
      </c>
      <c r="K321" s="6">
        <v>3</v>
      </c>
      <c r="L321" s="6">
        <v>4</v>
      </c>
      <c r="M321" t="s">
        <v>58</v>
      </c>
      <c r="N321" t="s">
        <v>59</v>
      </c>
      <c r="O321" t="s">
        <v>64</v>
      </c>
    </row>
    <row r="322" spans="1:15">
      <c r="A322" t="s">
        <v>419</v>
      </c>
      <c r="B322" s="3">
        <v>45852</v>
      </c>
      <c r="C322" t="s">
        <v>78</v>
      </c>
      <c r="D322" t="s">
        <v>62</v>
      </c>
      <c r="E322" t="s">
        <v>79</v>
      </c>
      <c r="F322" t="s">
        <v>92</v>
      </c>
      <c r="G322" s="6">
        <v>2</v>
      </c>
      <c r="H322" s="4">
        <v>51.33</v>
      </c>
      <c r="I322" s="4">
        <v>26.36</v>
      </c>
      <c r="J322" s="5">
        <v>0.1</v>
      </c>
      <c r="K322" s="6">
        <v>3</v>
      </c>
      <c r="L322" s="6">
        <v>4</v>
      </c>
      <c r="M322" t="s">
        <v>58</v>
      </c>
      <c r="N322" t="s">
        <v>69</v>
      </c>
      <c r="O322" t="s">
        <v>64</v>
      </c>
    </row>
    <row r="323" spans="1:15">
      <c r="A323" t="s">
        <v>420</v>
      </c>
      <c r="B323" s="3">
        <v>46014</v>
      </c>
      <c r="C323" t="s">
        <v>66</v>
      </c>
      <c r="D323" t="s">
        <v>55</v>
      </c>
      <c r="E323" t="s">
        <v>67</v>
      </c>
      <c r="F323" t="s">
        <v>107</v>
      </c>
      <c r="G323" s="6">
        <v>6</v>
      </c>
      <c r="H323" s="4">
        <v>46.72</v>
      </c>
      <c r="I323" s="4">
        <v>21.3</v>
      </c>
      <c r="J323" s="5">
        <v>0.05</v>
      </c>
      <c r="K323" s="6">
        <v>3</v>
      </c>
      <c r="L323" s="6">
        <v>5</v>
      </c>
      <c r="M323" t="s">
        <v>58</v>
      </c>
      <c r="N323" t="s">
        <v>69</v>
      </c>
      <c r="O323" t="s">
        <v>73</v>
      </c>
    </row>
    <row r="324" spans="1:15">
      <c r="A324" t="s">
        <v>421</v>
      </c>
      <c r="B324" s="3">
        <v>45996</v>
      </c>
      <c r="C324" t="s">
        <v>54</v>
      </c>
      <c r="D324" t="s">
        <v>55</v>
      </c>
      <c r="E324" t="s">
        <v>75</v>
      </c>
      <c r="F324" t="s">
        <v>97</v>
      </c>
      <c r="G324" s="6">
        <v>2</v>
      </c>
      <c r="H324" s="4">
        <v>90.74</v>
      </c>
      <c r="I324" s="4">
        <v>56.19</v>
      </c>
      <c r="J324" s="5">
        <v>0.1</v>
      </c>
      <c r="K324" s="6">
        <v>7</v>
      </c>
      <c r="L324" s="6">
        <v>4</v>
      </c>
      <c r="M324" t="s">
        <v>58</v>
      </c>
      <c r="N324" t="s">
        <v>59</v>
      </c>
      <c r="O324" t="s">
        <v>64</v>
      </c>
    </row>
    <row r="325" spans="1:15">
      <c r="A325" t="s">
        <v>422</v>
      </c>
      <c r="B325" s="3">
        <v>46017</v>
      </c>
      <c r="C325" t="s">
        <v>82</v>
      </c>
      <c r="D325" t="s">
        <v>62</v>
      </c>
      <c r="E325" t="s">
        <v>79</v>
      </c>
      <c r="F325" t="s">
        <v>115</v>
      </c>
      <c r="G325" s="6">
        <v>2</v>
      </c>
      <c r="H325" s="4">
        <v>58.79</v>
      </c>
      <c r="I325" s="4">
        <v>35.22</v>
      </c>
      <c r="J325" s="5">
        <v>0.05</v>
      </c>
      <c r="K325" s="6">
        <v>2</v>
      </c>
      <c r="L325" s="6"/>
      <c r="M325" t="s">
        <v>58</v>
      </c>
      <c r="N325" t="s">
        <v>59</v>
      </c>
      <c r="O325" t="s">
        <v>64</v>
      </c>
    </row>
    <row r="326" spans="1:15">
      <c r="A326" t="s">
        <v>423</v>
      </c>
      <c r="B326" s="3">
        <v>45846</v>
      </c>
      <c r="C326" t="s">
        <v>78</v>
      </c>
      <c r="D326" t="s">
        <v>62</v>
      </c>
      <c r="E326" t="s">
        <v>56</v>
      </c>
      <c r="F326" t="s">
        <v>57</v>
      </c>
      <c r="G326" s="6">
        <v>1</v>
      </c>
      <c r="H326" s="4">
        <v>108.32</v>
      </c>
      <c r="I326" s="4">
        <v>69.989999999999995</v>
      </c>
      <c r="J326" s="5">
        <v>0</v>
      </c>
      <c r="K326" s="6">
        <v>1</v>
      </c>
      <c r="L326" s="6">
        <v>4</v>
      </c>
      <c r="M326" t="s">
        <v>58</v>
      </c>
      <c r="N326" t="s">
        <v>59</v>
      </c>
      <c r="O326" t="s">
        <v>60</v>
      </c>
    </row>
    <row r="327" spans="1:15">
      <c r="A327" t="s">
        <v>424</v>
      </c>
      <c r="B327" s="3">
        <v>45775</v>
      </c>
      <c r="C327" t="s">
        <v>82</v>
      </c>
      <c r="D327" t="s">
        <v>55</v>
      </c>
      <c r="E327" t="s">
        <v>56</v>
      </c>
      <c r="F327" t="s">
        <v>63</v>
      </c>
      <c r="G327" s="6">
        <v>5</v>
      </c>
      <c r="H327" s="4">
        <v>39.479999999999997</v>
      </c>
      <c r="I327" s="4">
        <v>20.67</v>
      </c>
      <c r="J327" s="5">
        <v>0.05</v>
      </c>
      <c r="K327" s="6">
        <v>7</v>
      </c>
      <c r="L327" s="6">
        <v>3</v>
      </c>
      <c r="M327" t="s">
        <v>126</v>
      </c>
      <c r="N327" t="s">
        <v>59</v>
      </c>
      <c r="O327" t="s">
        <v>64</v>
      </c>
    </row>
    <row r="328" spans="1:15">
      <c r="A328" t="s">
        <v>425</v>
      </c>
      <c r="B328" s="3">
        <v>45855</v>
      </c>
      <c r="C328" t="s">
        <v>82</v>
      </c>
      <c r="D328" t="s">
        <v>62</v>
      </c>
      <c r="E328" t="s">
        <v>56</v>
      </c>
      <c r="F328" t="s">
        <v>57</v>
      </c>
      <c r="G328" s="6">
        <v>1</v>
      </c>
      <c r="H328" s="4">
        <v>113.68</v>
      </c>
      <c r="I328" s="4">
        <v>69.87</v>
      </c>
      <c r="J328" s="5">
        <v>0.1</v>
      </c>
      <c r="K328" s="6">
        <v>2</v>
      </c>
      <c r="L328" s="6">
        <v>4</v>
      </c>
      <c r="M328" t="s">
        <v>58</v>
      </c>
      <c r="N328" t="s">
        <v>59</v>
      </c>
      <c r="O328" t="s">
        <v>73</v>
      </c>
    </row>
    <row r="329" spans="1:15">
      <c r="A329" t="s">
        <v>426</v>
      </c>
      <c r="B329" s="3">
        <v>45678</v>
      </c>
      <c r="C329" t="s">
        <v>66</v>
      </c>
      <c r="D329" t="s">
        <v>62</v>
      </c>
      <c r="E329" t="s">
        <v>75</v>
      </c>
      <c r="F329" t="s">
        <v>97</v>
      </c>
      <c r="G329" s="6">
        <v>2</v>
      </c>
      <c r="H329" s="4">
        <v>88.83</v>
      </c>
      <c r="I329" s="4">
        <v>54.45</v>
      </c>
      <c r="J329" s="5">
        <v>0.05</v>
      </c>
      <c r="K329" s="6">
        <v>4</v>
      </c>
      <c r="L329" s="6">
        <v>5</v>
      </c>
      <c r="M329" t="s">
        <v>58</v>
      </c>
      <c r="N329" t="s">
        <v>59</v>
      </c>
      <c r="O329" t="s">
        <v>60</v>
      </c>
    </row>
    <row r="330" spans="1:15">
      <c r="A330" t="s">
        <v>427</v>
      </c>
      <c r="B330" s="3">
        <v>45914</v>
      </c>
      <c r="C330" t="s">
        <v>78</v>
      </c>
      <c r="D330" t="s">
        <v>129</v>
      </c>
      <c r="E330" t="s">
        <v>56</v>
      </c>
      <c r="F330" t="s">
        <v>83</v>
      </c>
      <c r="G330" s="6">
        <v>5</v>
      </c>
      <c r="H330" s="4">
        <v>64.540000000000006</v>
      </c>
      <c r="I330" s="4">
        <v>35.01</v>
      </c>
      <c r="J330" s="5">
        <v>0.05</v>
      </c>
      <c r="K330" s="6">
        <v>1</v>
      </c>
      <c r="L330" s="6">
        <v>5</v>
      </c>
      <c r="M330" t="s">
        <v>58</v>
      </c>
      <c r="N330" t="s">
        <v>69</v>
      </c>
      <c r="O330" t="s">
        <v>64</v>
      </c>
    </row>
    <row r="331" spans="1:15">
      <c r="A331" t="s">
        <v>428</v>
      </c>
      <c r="B331" s="3">
        <v>46004</v>
      </c>
      <c r="C331" t="s">
        <v>78</v>
      </c>
      <c r="D331" t="s">
        <v>129</v>
      </c>
      <c r="E331" t="s">
        <v>67</v>
      </c>
      <c r="F331" t="s">
        <v>71</v>
      </c>
      <c r="G331" s="6">
        <v>4</v>
      </c>
      <c r="H331" s="4">
        <v>70.11</v>
      </c>
      <c r="I331" s="4">
        <v>37.29</v>
      </c>
      <c r="J331" s="5">
        <v>0.2</v>
      </c>
      <c r="K331" s="6">
        <v>1</v>
      </c>
      <c r="L331" s="6">
        <v>5</v>
      </c>
      <c r="M331" t="s">
        <v>58</v>
      </c>
      <c r="N331" t="s">
        <v>69</v>
      </c>
      <c r="O331" t="s">
        <v>64</v>
      </c>
    </row>
    <row r="332" spans="1:15">
      <c r="A332" t="s">
        <v>429</v>
      </c>
      <c r="B332" s="3">
        <v>45849</v>
      </c>
      <c r="C332" t="s">
        <v>66</v>
      </c>
      <c r="D332" t="s">
        <v>55</v>
      </c>
      <c r="E332" t="s">
        <v>75</v>
      </c>
      <c r="F332" t="s">
        <v>97</v>
      </c>
      <c r="G332" s="6">
        <v>2</v>
      </c>
      <c r="H332" s="4">
        <v>89.78</v>
      </c>
      <c r="I332" s="4">
        <v>54.21</v>
      </c>
      <c r="J332" s="5">
        <v>0.1</v>
      </c>
      <c r="K332" s="6">
        <v>3</v>
      </c>
      <c r="L332" s="6">
        <v>3</v>
      </c>
      <c r="M332" t="s">
        <v>126</v>
      </c>
      <c r="N332" t="s">
        <v>69</v>
      </c>
      <c r="O332" t="s">
        <v>64</v>
      </c>
    </row>
    <row r="333" spans="1:15">
      <c r="A333" t="s">
        <v>430</v>
      </c>
      <c r="B333" s="3">
        <v>46019</v>
      </c>
      <c r="C333" t="s">
        <v>66</v>
      </c>
      <c r="D333" t="s">
        <v>129</v>
      </c>
      <c r="E333" t="s">
        <v>56</v>
      </c>
      <c r="F333" t="s">
        <v>89</v>
      </c>
      <c r="G333" s="6">
        <v>2</v>
      </c>
      <c r="H333" s="4">
        <v>80.03</v>
      </c>
      <c r="I333" s="4">
        <v>44.09</v>
      </c>
      <c r="J333" s="5">
        <v>0.1</v>
      </c>
      <c r="K333" s="6">
        <v>3</v>
      </c>
      <c r="L333" s="6">
        <v>4</v>
      </c>
      <c r="M333" t="s">
        <v>58</v>
      </c>
      <c r="N333" t="s">
        <v>59</v>
      </c>
      <c r="O333" t="s">
        <v>60</v>
      </c>
    </row>
    <row r="334" spans="1:15">
      <c r="A334" t="s">
        <v>431</v>
      </c>
      <c r="B334" s="3">
        <v>45667</v>
      </c>
      <c r="C334" t="s">
        <v>82</v>
      </c>
      <c r="D334" t="s">
        <v>62</v>
      </c>
      <c r="E334" t="s">
        <v>79</v>
      </c>
      <c r="F334" t="s">
        <v>92</v>
      </c>
      <c r="G334" s="6">
        <v>2</v>
      </c>
      <c r="H334" s="4">
        <v>51.34</v>
      </c>
      <c r="I334" s="4">
        <v>27.24</v>
      </c>
      <c r="J334" s="5">
        <v>0</v>
      </c>
      <c r="K334" s="6">
        <v>1</v>
      </c>
      <c r="L334" s="6">
        <v>5</v>
      </c>
      <c r="M334" t="s">
        <v>58</v>
      </c>
      <c r="N334" t="s">
        <v>69</v>
      </c>
      <c r="O334" t="s">
        <v>64</v>
      </c>
    </row>
    <row r="335" spans="1:15">
      <c r="A335" t="s">
        <v>432</v>
      </c>
      <c r="B335" s="3">
        <v>45816</v>
      </c>
      <c r="C335" t="s">
        <v>66</v>
      </c>
      <c r="D335" t="s">
        <v>62</v>
      </c>
      <c r="E335" t="s">
        <v>56</v>
      </c>
      <c r="F335" t="s">
        <v>89</v>
      </c>
      <c r="G335" s="6">
        <v>1</v>
      </c>
      <c r="H335" s="4">
        <v>81.2</v>
      </c>
      <c r="I335" s="4">
        <v>44.38</v>
      </c>
      <c r="J335" s="5">
        <v>0</v>
      </c>
      <c r="K335" s="6">
        <v>1</v>
      </c>
      <c r="L335" s="6">
        <v>3</v>
      </c>
      <c r="M335" t="s">
        <v>126</v>
      </c>
      <c r="N335" t="s">
        <v>59</v>
      </c>
      <c r="O335" t="s">
        <v>64</v>
      </c>
    </row>
    <row r="336" spans="1:15">
      <c r="A336" t="s">
        <v>433</v>
      </c>
      <c r="B336" s="3">
        <v>45721</v>
      </c>
      <c r="C336" t="s">
        <v>78</v>
      </c>
      <c r="D336" t="s">
        <v>62</v>
      </c>
      <c r="E336" t="s">
        <v>227</v>
      </c>
      <c r="F336" t="s">
        <v>85</v>
      </c>
      <c r="G336" s="6">
        <v>3</v>
      </c>
      <c r="H336" s="4">
        <v>131.51</v>
      </c>
      <c r="I336" s="4">
        <v>82.5</v>
      </c>
      <c r="J336" s="5">
        <v>0.1</v>
      </c>
      <c r="K336" s="6">
        <v>1</v>
      </c>
      <c r="L336" s="6">
        <v>4</v>
      </c>
      <c r="M336" t="s">
        <v>58</v>
      </c>
      <c r="N336" t="s">
        <v>69</v>
      </c>
      <c r="O336" t="s">
        <v>64</v>
      </c>
    </row>
    <row r="337" spans="1:15">
      <c r="A337" t="s">
        <v>434</v>
      </c>
      <c r="B337" s="3">
        <v>46011</v>
      </c>
      <c r="C337" t="s">
        <v>78</v>
      </c>
      <c r="D337" t="s">
        <v>129</v>
      </c>
      <c r="E337" t="s">
        <v>75</v>
      </c>
      <c r="F337" t="s">
        <v>76</v>
      </c>
      <c r="G337" s="6">
        <v>4</v>
      </c>
      <c r="H337" s="4">
        <v>118.38</v>
      </c>
      <c r="I337" s="4">
        <v>71.77</v>
      </c>
      <c r="J337" s="5">
        <v>0.25</v>
      </c>
      <c r="K337" s="6">
        <v>6</v>
      </c>
      <c r="L337" s="6">
        <v>4</v>
      </c>
      <c r="M337" t="s">
        <v>58</v>
      </c>
      <c r="N337" t="s">
        <v>59</v>
      </c>
      <c r="O337" t="s">
        <v>73</v>
      </c>
    </row>
    <row r="338" spans="1:15">
      <c r="A338" t="s">
        <v>435</v>
      </c>
      <c r="B338" s="3">
        <v>45902</v>
      </c>
      <c r="C338" t="s">
        <v>66</v>
      </c>
      <c r="D338" t="s">
        <v>62</v>
      </c>
      <c r="E338" t="s">
        <v>79</v>
      </c>
      <c r="F338" t="s">
        <v>80</v>
      </c>
      <c r="G338" s="6">
        <v>2</v>
      </c>
      <c r="H338" s="4">
        <v>76.08</v>
      </c>
      <c r="I338" s="4">
        <v>41.72</v>
      </c>
      <c r="J338" s="5">
        <v>0.1</v>
      </c>
      <c r="K338" s="6">
        <v>0</v>
      </c>
      <c r="L338" s="6">
        <v>4</v>
      </c>
      <c r="M338" t="s">
        <v>58</v>
      </c>
      <c r="N338" t="s">
        <v>69</v>
      </c>
      <c r="O338" t="s">
        <v>64</v>
      </c>
    </row>
    <row r="339" spans="1:15">
      <c r="A339" t="s">
        <v>436</v>
      </c>
      <c r="B339" s="3">
        <v>45834</v>
      </c>
      <c r="C339" t="s">
        <v>66</v>
      </c>
      <c r="D339" t="s">
        <v>62</v>
      </c>
      <c r="E339" t="s">
        <v>56</v>
      </c>
      <c r="F339" t="s">
        <v>83</v>
      </c>
      <c r="G339" s="6">
        <v>1</v>
      </c>
      <c r="H339" s="4">
        <v>63.09</v>
      </c>
      <c r="I339" s="4">
        <v>35.840000000000003</v>
      </c>
      <c r="J339" s="5">
        <v>0.05</v>
      </c>
      <c r="K339" s="6">
        <v>4</v>
      </c>
      <c r="L339" s="6">
        <v>5</v>
      </c>
      <c r="M339" t="s">
        <v>58</v>
      </c>
      <c r="N339" t="s">
        <v>69</v>
      </c>
      <c r="O339" t="s">
        <v>64</v>
      </c>
    </row>
    <row r="340" spans="1:15">
      <c r="A340" t="s">
        <v>437</v>
      </c>
      <c r="B340" s="3">
        <v>45899</v>
      </c>
      <c r="C340" t="s">
        <v>82</v>
      </c>
      <c r="D340" t="s">
        <v>62</v>
      </c>
      <c r="E340" t="s">
        <v>79</v>
      </c>
      <c r="F340" t="s">
        <v>80</v>
      </c>
      <c r="G340" s="6">
        <v>1</v>
      </c>
      <c r="H340" s="4">
        <v>76.17</v>
      </c>
      <c r="I340" s="4">
        <v>42.7</v>
      </c>
      <c r="J340" s="5">
        <v>0</v>
      </c>
      <c r="K340" s="6">
        <v>3</v>
      </c>
      <c r="L340" s="6">
        <v>5</v>
      </c>
      <c r="M340" t="s">
        <v>58</v>
      </c>
      <c r="N340" t="s">
        <v>59</v>
      </c>
      <c r="O340" t="s">
        <v>64</v>
      </c>
    </row>
    <row r="341" spans="1:15">
      <c r="A341" t="s">
        <v>438</v>
      </c>
      <c r="B341" s="3">
        <v>45662</v>
      </c>
      <c r="C341" t="s">
        <v>78</v>
      </c>
      <c r="D341" t="s">
        <v>62</v>
      </c>
      <c r="E341" t="s">
        <v>79</v>
      </c>
      <c r="F341" t="s">
        <v>80</v>
      </c>
      <c r="G341" s="6">
        <v>4</v>
      </c>
      <c r="H341" s="4">
        <v>76.37</v>
      </c>
      <c r="I341" s="4">
        <v>44.87</v>
      </c>
      <c r="J341" s="5">
        <v>0.05</v>
      </c>
      <c r="K341" s="6">
        <v>4</v>
      </c>
      <c r="L341" s="6">
        <v>4</v>
      </c>
      <c r="M341" t="s">
        <v>58</v>
      </c>
      <c r="N341" t="s">
        <v>59</v>
      </c>
      <c r="O341" t="s">
        <v>64</v>
      </c>
    </row>
    <row r="342" spans="1:15">
      <c r="A342" t="s">
        <v>439</v>
      </c>
      <c r="B342" s="3">
        <v>45878</v>
      </c>
      <c r="C342" t="s">
        <v>78</v>
      </c>
      <c r="D342" t="s">
        <v>55</v>
      </c>
      <c r="E342" t="s">
        <v>67</v>
      </c>
      <c r="F342" t="s">
        <v>71</v>
      </c>
      <c r="G342" s="6">
        <v>1</v>
      </c>
      <c r="H342" s="4">
        <v>72.09</v>
      </c>
      <c r="I342" s="4">
        <v>37.869999999999997</v>
      </c>
      <c r="J342" s="5">
        <v>0.1</v>
      </c>
      <c r="K342" s="6">
        <v>5</v>
      </c>
      <c r="L342" s="6">
        <v>4</v>
      </c>
      <c r="M342" t="s">
        <v>58</v>
      </c>
      <c r="N342" t="s">
        <v>87</v>
      </c>
      <c r="O342" t="s">
        <v>64</v>
      </c>
    </row>
    <row r="343" spans="1:15">
      <c r="A343" t="s">
        <v>440</v>
      </c>
      <c r="B343" s="3">
        <v>45969</v>
      </c>
      <c r="C343" t="s">
        <v>66</v>
      </c>
      <c r="D343" t="s">
        <v>55</v>
      </c>
      <c r="E343" t="s">
        <v>75</v>
      </c>
      <c r="F343" t="s">
        <v>97</v>
      </c>
      <c r="G343" s="6">
        <v>2</v>
      </c>
      <c r="H343" s="4">
        <v>93.57</v>
      </c>
      <c r="I343" s="4">
        <v>53.82</v>
      </c>
      <c r="J343" s="5">
        <v>0.1</v>
      </c>
      <c r="K343" s="6">
        <v>3</v>
      </c>
      <c r="L343" s="6"/>
      <c r="M343" t="s">
        <v>58</v>
      </c>
      <c r="N343" t="s">
        <v>59</v>
      </c>
      <c r="O343" t="s">
        <v>64</v>
      </c>
    </row>
    <row r="344" spans="1:15">
      <c r="A344" t="s">
        <v>441</v>
      </c>
      <c r="B344" s="3">
        <v>45761</v>
      </c>
      <c r="C344" t="s">
        <v>66</v>
      </c>
      <c r="D344" t="s">
        <v>62</v>
      </c>
      <c r="E344" t="s">
        <v>75</v>
      </c>
      <c r="F344" t="s">
        <v>76</v>
      </c>
      <c r="G344" s="6">
        <v>2</v>
      </c>
      <c r="H344" s="4">
        <v>123.88</v>
      </c>
      <c r="I344" s="4">
        <v>71.44</v>
      </c>
      <c r="J344" s="5">
        <v>0.15000000000000002</v>
      </c>
      <c r="K344" s="6">
        <v>4</v>
      </c>
      <c r="L344" s="6">
        <v>5</v>
      </c>
      <c r="M344" t="s">
        <v>58</v>
      </c>
      <c r="N344" t="s">
        <v>69</v>
      </c>
      <c r="O344" t="s">
        <v>60</v>
      </c>
    </row>
    <row r="345" spans="1:15">
      <c r="A345" t="s">
        <v>442</v>
      </c>
      <c r="B345" s="3">
        <v>45710</v>
      </c>
      <c r="C345" t="s">
        <v>78</v>
      </c>
      <c r="D345" t="s">
        <v>62</v>
      </c>
      <c r="E345" t="s">
        <v>79</v>
      </c>
      <c r="F345" t="s">
        <v>80</v>
      </c>
      <c r="G345" s="6">
        <v>1</v>
      </c>
      <c r="H345" s="4">
        <v>73.930000000000007</v>
      </c>
      <c r="I345" s="4">
        <v>43.15</v>
      </c>
      <c r="J345" s="5">
        <v>0.1</v>
      </c>
      <c r="K345" s="6">
        <v>3</v>
      </c>
      <c r="L345" s="6">
        <v>5</v>
      </c>
      <c r="M345" t="s">
        <v>58</v>
      </c>
      <c r="N345" t="s">
        <v>59</v>
      </c>
      <c r="O345" t="s">
        <v>64</v>
      </c>
    </row>
    <row r="346" spans="1:15">
      <c r="A346" t="s">
        <v>443</v>
      </c>
      <c r="B346" s="3">
        <v>45892</v>
      </c>
      <c r="C346" t="s">
        <v>78</v>
      </c>
      <c r="D346" t="s">
        <v>62</v>
      </c>
      <c r="E346" t="s">
        <v>79</v>
      </c>
      <c r="F346" t="s">
        <v>115</v>
      </c>
      <c r="G346" s="6">
        <v>3</v>
      </c>
      <c r="H346" s="4">
        <v>61.92</v>
      </c>
      <c r="I346" s="4">
        <v>33.19</v>
      </c>
      <c r="J346" s="5">
        <v>0.05</v>
      </c>
      <c r="K346" s="6">
        <v>1</v>
      </c>
      <c r="L346" s="6">
        <v>3</v>
      </c>
      <c r="M346" t="s">
        <v>126</v>
      </c>
      <c r="N346" t="s">
        <v>59</v>
      </c>
      <c r="O346" t="s">
        <v>64</v>
      </c>
    </row>
    <row r="347" spans="1:15">
      <c r="A347" t="s">
        <v>444</v>
      </c>
      <c r="B347" s="3">
        <v>45968</v>
      </c>
      <c r="C347" t="s">
        <v>78</v>
      </c>
      <c r="D347" t="s">
        <v>62</v>
      </c>
      <c r="E347" t="s">
        <v>79</v>
      </c>
      <c r="F347" t="s">
        <v>115</v>
      </c>
      <c r="G347" s="6">
        <v>2</v>
      </c>
      <c r="H347" s="4">
        <v>58.27</v>
      </c>
      <c r="I347" s="4">
        <v>33.9</v>
      </c>
      <c r="J347" s="5">
        <v>0.05</v>
      </c>
      <c r="K347" s="6">
        <v>1</v>
      </c>
      <c r="L347" s="6">
        <v>4</v>
      </c>
      <c r="M347" t="s">
        <v>58</v>
      </c>
      <c r="N347" t="s">
        <v>87</v>
      </c>
      <c r="O347" t="s">
        <v>64</v>
      </c>
    </row>
    <row r="348" spans="1:15">
      <c r="A348" t="s">
        <v>445</v>
      </c>
      <c r="B348" s="3">
        <v>45721</v>
      </c>
      <c r="C348" t="s">
        <v>66</v>
      </c>
      <c r="D348" t="s">
        <v>62</v>
      </c>
      <c r="E348" t="s">
        <v>75</v>
      </c>
      <c r="F348" t="s">
        <v>146</v>
      </c>
      <c r="G348" s="6">
        <v>1</v>
      </c>
      <c r="H348" s="4">
        <v>185.6</v>
      </c>
      <c r="I348" s="4">
        <v>119.45</v>
      </c>
      <c r="J348" s="5">
        <v>0.15000000000000002</v>
      </c>
      <c r="K348" s="6">
        <v>6</v>
      </c>
      <c r="L348" s="6">
        <v>3</v>
      </c>
      <c r="M348" t="s">
        <v>58</v>
      </c>
      <c r="N348" t="s">
        <v>59</v>
      </c>
      <c r="O348" t="s">
        <v>64</v>
      </c>
    </row>
    <row r="349" spans="1:15">
      <c r="A349" t="s">
        <v>446</v>
      </c>
      <c r="B349" s="3">
        <v>45978</v>
      </c>
      <c r="C349" t="s">
        <v>54</v>
      </c>
      <c r="D349" t="s">
        <v>55</v>
      </c>
      <c r="E349" t="s">
        <v>67</v>
      </c>
      <c r="F349" t="s">
        <v>107</v>
      </c>
      <c r="G349" s="6">
        <v>1</v>
      </c>
      <c r="H349" s="4">
        <v>44.43</v>
      </c>
      <c r="I349" s="4">
        <v>20.68</v>
      </c>
      <c r="J349" s="5">
        <v>0.05</v>
      </c>
      <c r="K349" s="6">
        <v>4</v>
      </c>
      <c r="L349" s="6">
        <v>5</v>
      </c>
      <c r="M349" t="s">
        <v>58</v>
      </c>
      <c r="N349" t="s">
        <v>59</v>
      </c>
      <c r="O349" t="s">
        <v>64</v>
      </c>
    </row>
    <row r="350" spans="1:15">
      <c r="A350" t="s">
        <v>447</v>
      </c>
      <c r="B350" s="3">
        <v>45770</v>
      </c>
      <c r="C350" t="s">
        <v>78</v>
      </c>
      <c r="D350" t="s">
        <v>62</v>
      </c>
      <c r="E350" t="s">
        <v>75</v>
      </c>
      <c r="F350" t="s">
        <v>110</v>
      </c>
      <c r="G350" s="6">
        <v>3</v>
      </c>
      <c r="H350" s="4">
        <v>155.69999999999999</v>
      </c>
      <c r="I350" s="4">
        <v>103.32</v>
      </c>
      <c r="J350" s="5">
        <v>0.1</v>
      </c>
      <c r="K350" s="6">
        <v>2</v>
      </c>
      <c r="L350" s="6">
        <v>4</v>
      </c>
      <c r="M350" t="s">
        <v>58</v>
      </c>
      <c r="N350" t="s">
        <v>69</v>
      </c>
      <c r="O350" t="s">
        <v>73</v>
      </c>
    </row>
    <row r="351" spans="1:15">
      <c r="A351" t="s">
        <v>448</v>
      </c>
      <c r="B351" s="3">
        <v>45975</v>
      </c>
      <c r="C351" t="s">
        <v>82</v>
      </c>
      <c r="D351" t="s">
        <v>62</v>
      </c>
      <c r="E351" t="s">
        <v>79</v>
      </c>
      <c r="F351" t="s">
        <v>92</v>
      </c>
      <c r="G351" s="6">
        <v>1</v>
      </c>
      <c r="H351" s="4">
        <v>51.92</v>
      </c>
      <c r="I351" s="4">
        <v>26.33</v>
      </c>
      <c r="J351" s="5">
        <v>0</v>
      </c>
      <c r="K351" s="6">
        <v>1</v>
      </c>
      <c r="L351" s="6">
        <v>5</v>
      </c>
      <c r="M351" t="s">
        <v>58</v>
      </c>
      <c r="N351" t="s">
        <v>59</v>
      </c>
      <c r="O351" t="s">
        <v>64</v>
      </c>
    </row>
    <row r="352" spans="1:15">
      <c r="A352" t="s">
        <v>449</v>
      </c>
      <c r="B352" s="3">
        <v>45804</v>
      </c>
      <c r="C352" t="s">
        <v>78</v>
      </c>
      <c r="D352" t="s">
        <v>62</v>
      </c>
      <c r="E352" t="s">
        <v>79</v>
      </c>
      <c r="F352" t="s">
        <v>85</v>
      </c>
      <c r="G352" s="6">
        <v>1</v>
      </c>
      <c r="H352" s="4">
        <v>132.72</v>
      </c>
      <c r="I352" s="4">
        <v>83.94</v>
      </c>
      <c r="J352" s="5">
        <v>0.1</v>
      </c>
      <c r="K352" s="6">
        <v>0</v>
      </c>
      <c r="L352" s="6">
        <v>4</v>
      </c>
      <c r="M352" t="s">
        <v>58</v>
      </c>
      <c r="N352" t="s">
        <v>69</v>
      </c>
      <c r="O352" t="s">
        <v>64</v>
      </c>
    </row>
    <row r="353" spans="1:15">
      <c r="A353" t="s">
        <v>450</v>
      </c>
      <c r="B353" s="3">
        <v>45927</v>
      </c>
      <c r="C353" t="s">
        <v>66</v>
      </c>
      <c r="D353" t="s">
        <v>62</v>
      </c>
      <c r="E353" t="s">
        <v>56</v>
      </c>
      <c r="F353" t="s">
        <v>89</v>
      </c>
      <c r="G353" s="6">
        <v>1</v>
      </c>
      <c r="H353" s="4">
        <v>80.52</v>
      </c>
      <c r="I353" s="4">
        <v>46.98</v>
      </c>
      <c r="J353" s="5">
        <v>0.1</v>
      </c>
      <c r="K353" s="6">
        <v>3</v>
      </c>
      <c r="L353" s="6">
        <v>4</v>
      </c>
      <c r="M353" t="s">
        <v>58</v>
      </c>
      <c r="N353" t="s">
        <v>59</v>
      </c>
      <c r="O353" t="s">
        <v>73</v>
      </c>
    </row>
    <row r="354" spans="1:15">
      <c r="A354" t="s">
        <v>451</v>
      </c>
      <c r="B354" s="3">
        <v>45677</v>
      </c>
      <c r="C354" t="s">
        <v>66</v>
      </c>
      <c r="D354" t="s">
        <v>129</v>
      </c>
      <c r="E354" t="s">
        <v>75</v>
      </c>
      <c r="F354" t="s">
        <v>146</v>
      </c>
      <c r="G354" s="6">
        <v>6</v>
      </c>
      <c r="H354" s="4">
        <v>185.89</v>
      </c>
      <c r="I354" s="4">
        <v>119.12</v>
      </c>
      <c r="J354" s="5">
        <v>0.15000000000000002</v>
      </c>
      <c r="K354" s="6">
        <v>0</v>
      </c>
      <c r="L354" s="6">
        <v>4</v>
      </c>
      <c r="M354" t="s">
        <v>58</v>
      </c>
      <c r="N354" t="s">
        <v>69</v>
      </c>
      <c r="O354" t="s">
        <v>60</v>
      </c>
    </row>
    <row r="355" spans="1:15">
      <c r="A355" t="s">
        <v>452</v>
      </c>
      <c r="B355" s="3">
        <v>45784</v>
      </c>
      <c r="C355" t="s">
        <v>54</v>
      </c>
      <c r="D355" t="s">
        <v>55</v>
      </c>
      <c r="E355" t="s">
        <v>79</v>
      </c>
      <c r="F355" t="s">
        <v>92</v>
      </c>
      <c r="G355" s="6">
        <v>2</v>
      </c>
      <c r="H355" s="4">
        <v>50.65</v>
      </c>
      <c r="I355" s="4">
        <v>26.75</v>
      </c>
      <c r="J355" s="5">
        <v>0.05</v>
      </c>
      <c r="K355" s="6">
        <v>1</v>
      </c>
      <c r="L355" s="6">
        <v>4</v>
      </c>
      <c r="M355" t="s">
        <v>58</v>
      </c>
      <c r="N355" t="s">
        <v>59</v>
      </c>
      <c r="O355" t="s">
        <v>64</v>
      </c>
    </row>
    <row r="356" spans="1:15">
      <c r="A356" t="s">
        <v>453</v>
      </c>
      <c r="B356" s="3">
        <v>45905</v>
      </c>
      <c r="C356" t="s">
        <v>82</v>
      </c>
      <c r="D356" t="s">
        <v>55</v>
      </c>
      <c r="E356" t="s">
        <v>79</v>
      </c>
      <c r="F356" t="s">
        <v>92</v>
      </c>
      <c r="G356" s="6">
        <v>2</v>
      </c>
      <c r="H356" s="4">
        <v>48.84</v>
      </c>
      <c r="I356" s="4">
        <v>26.95</v>
      </c>
      <c r="J356" s="5">
        <v>0</v>
      </c>
      <c r="K356" s="6">
        <v>1</v>
      </c>
      <c r="L356" s="6">
        <v>5</v>
      </c>
      <c r="M356" t="s">
        <v>58</v>
      </c>
      <c r="N356" t="s">
        <v>59</v>
      </c>
      <c r="O356" t="s">
        <v>64</v>
      </c>
    </row>
    <row r="357" spans="1:15">
      <c r="A357" t="s">
        <v>454</v>
      </c>
      <c r="B357" s="3">
        <v>45741</v>
      </c>
      <c r="C357" t="s">
        <v>82</v>
      </c>
      <c r="D357" t="s">
        <v>129</v>
      </c>
      <c r="E357" t="s">
        <v>56</v>
      </c>
      <c r="F357" t="s">
        <v>89</v>
      </c>
      <c r="G357" s="6">
        <v>4</v>
      </c>
      <c r="H357" s="4">
        <v>82.58</v>
      </c>
      <c r="I357" s="4">
        <v>47.05</v>
      </c>
      <c r="J357" s="5">
        <v>0.1</v>
      </c>
      <c r="K357" s="6">
        <v>3</v>
      </c>
      <c r="L357" s="6">
        <v>5</v>
      </c>
      <c r="M357" t="s">
        <v>58</v>
      </c>
      <c r="N357" t="s">
        <v>59</v>
      </c>
      <c r="O357" t="s">
        <v>64</v>
      </c>
    </row>
    <row r="358" spans="1:15">
      <c r="A358" t="s">
        <v>455</v>
      </c>
      <c r="B358" s="3">
        <v>45895</v>
      </c>
      <c r="C358" t="s">
        <v>66</v>
      </c>
      <c r="D358" t="s">
        <v>62</v>
      </c>
      <c r="E358" t="s">
        <v>75</v>
      </c>
      <c r="F358" t="s">
        <v>146</v>
      </c>
      <c r="G358" s="6">
        <v>1</v>
      </c>
      <c r="H358" s="4">
        <v>185.23</v>
      </c>
      <c r="I358" s="4">
        <v>112.38</v>
      </c>
      <c r="J358" s="5">
        <v>0.05</v>
      </c>
      <c r="K358" s="6">
        <v>3</v>
      </c>
      <c r="L358" s="6">
        <v>5</v>
      </c>
      <c r="M358" t="s">
        <v>58</v>
      </c>
      <c r="N358" t="s">
        <v>87</v>
      </c>
      <c r="O358" t="s">
        <v>64</v>
      </c>
    </row>
    <row r="359" spans="1:15">
      <c r="A359" t="s">
        <v>456</v>
      </c>
      <c r="B359" s="3">
        <v>45798</v>
      </c>
      <c r="C359" t="s">
        <v>82</v>
      </c>
      <c r="D359" t="s">
        <v>62</v>
      </c>
      <c r="E359" t="s">
        <v>67</v>
      </c>
      <c r="F359" t="s">
        <v>71</v>
      </c>
      <c r="G359" s="6">
        <v>1</v>
      </c>
      <c r="H359" s="4">
        <v>70.900000000000006</v>
      </c>
      <c r="I359" s="4">
        <v>39.090000000000003</v>
      </c>
      <c r="J359" s="5">
        <v>0.05</v>
      </c>
      <c r="K359" s="6">
        <v>2</v>
      </c>
      <c r="L359" s="6">
        <v>3</v>
      </c>
      <c r="M359" t="s">
        <v>126</v>
      </c>
      <c r="N359" t="s">
        <v>69</v>
      </c>
      <c r="O359" t="s">
        <v>60</v>
      </c>
    </row>
    <row r="360" spans="1:15">
      <c r="A360" t="s">
        <v>457</v>
      </c>
      <c r="B360" s="3">
        <v>45831</v>
      </c>
      <c r="C360" t="s">
        <v>78</v>
      </c>
      <c r="D360" t="s">
        <v>62</v>
      </c>
      <c r="E360" t="s">
        <v>56</v>
      </c>
      <c r="F360" t="s">
        <v>83</v>
      </c>
      <c r="G360" s="6">
        <v>4</v>
      </c>
      <c r="H360" s="4">
        <v>67.34</v>
      </c>
      <c r="I360" s="4">
        <v>35.18</v>
      </c>
      <c r="J360" s="5">
        <v>0</v>
      </c>
      <c r="K360" s="6">
        <v>7</v>
      </c>
      <c r="L360" s="6">
        <v>3</v>
      </c>
      <c r="M360" t="s">
        <v>126</v>
      </c>
      <c r="N360" t="s">
        <v>59</v>
      </c>
      <c r="O360" t="s">
        <v>60</v>
      </c>
    </row>
    <row r="361" spans="1:15">
      <c r="A361" t="s">
        <v>458</v>
      </c>
      <c r="B361" s="3">
        <v>45745</v>
      </c>
      <c r="C361" t="s">
        <v>66</v>
      </c>
      <c r="D361" t="s">
        <v>62</v>
      </c>
      <c r="E361" t="s">
        <v>67</v>
      </c>
      <c r="F361" t="s">
        <v>94</v>
      </c>
      <c r="G361" s="6">
        <v>1</v>
      </c>
      <c r="H361" s="4">
        <v>35.18</v>
      </c>
      <c r="I361" s="4">
        <v>17.09</v>
      </c>
      <c r="J361" s="5">
        <v>0.05</v>
      </c>
      <c r="K361" s="6">
        <v>6</v>
      </c>
      <c r="L361" s="6">
        <v>3</v>
      </c>
      <c r="M361" t="s">
        <v>58</v>
      </c>
      <c r="N361" t="s">
        <v>69</v>
      </c>
      <c r="O361" t="s">
        <v>64</v>
      </c>
    </row>
    <row r="362" spans="1:15">
      <c r="A362" t="s">
        <v>459</v>
      </c>
      <c r="B362" s="3">
        <v>45919</v>
      </c>
      <c r="C362" t="s">
        <v>66</v>
      </c>
      <c r="D362" t="s">
        <v>55</v>
      </c>
      <c r="E362" t="s">
        <v>56</v>
      </c>
      <c r="F362" t="s">
        <v>63</v>
      </c>
      <c r="G362" s="6">
        <v>6</v>
      </c>
      <c r="H362" s="4">
        <v>40.65</v>
      </c>
      <c r="I362" s="4">
        <v>20.16</v>
      </c>
      <c r="J362" s="5">
        <v>0.05</v>
      </c>
      <c r="K362" s="6">
        <v>6</v>
      </c>
      <c r="L362" s="6">
        <v>4</v>
      </c>
      <c r="M362" t="s">
        <v>58</v>
      </c>
      <c r="N362" t="s">
        <v>59</v>
      </c>
      <c r="O362" t="s">
        <v>64</v>
      </c>
    </row>
    <row r="363" spans="1:15">
      <c r="A363" t="s">
        <v>460</v>
      </c>
      <c r="B363" s="3">
        <v>45997</v>
      </c>
      <c r="C363" t="s">
        <v>54</v>
      </c>
      <c r="D363" t="s">
        <v>62</v>
      </c>
      <c r="E363" t="s">
        <v>79</v>
      </c>
      <c r="F363" t="s">
        <v>92</v>
      </c>
      <c r="G363" s="6">
        <v>1</v>
      </c>
      <c r="H363" s="4">
        <v>49.86</v>
      </c>
      <c r="I363" s="4">
        <v>26.09</v>
      </c>
      <c r="J363" s="5">
        <v>0</v>
      </c>
      <c r="K363" s="6">
        <v>0</v>
      </c>
      <c r="L363" s="6">
        <v>4</v>
      </c>
      <c r="M363" t="s">
        <v>58</v>
      </c>
      <c r="N363" t="s">
        <v>69</v>
      </c>
      <c r="O363" t="s">
        <v>64</v>
      </c>
    </row>
    <row r="364" spans="1:15">
      <c r="A364" t="s">
        <v>461</v>
      </c>
      <c r="B364" s="3">
        <v>45775</v>
      </c>
      <c r="C364" t="s">
        <v>82</v>
      </c>
      <c r="D364" t="s">
        <v>62</v>
      </c>
      <c r="E364" t="s">
        <v>75</v>
      </c>
      <c r="F364" t="s">
        <v>76</v>
      </c>
      <c r="G364" s="6">
        <v>1</v>
      </c>
      <c r="H364" s="4">
        <v>120.35</v>
      </c>
      <c r="I364" s="4">
        <v>75.27</v>
      </c>
      <c r="J364" s="5">
        <v>0.05</v>
      </c>
      <c r="K364" s="6">
        <v>4</v>
      </c>
      <c r="L364" s="6">
        <v>4</v>
      </c>
      <c r="M364" t="s">
        <v>58</v>
      </c>
      <c r="N364" t="s">
        <v>59</v>
      </c>
      <c r="O364" t="s">
        <v>64</v>
      </c>
    </row>
    <row r="365" spans="1:15">
      <c r="A365" t="s">
        <v>462</v>
      </c>
      <c r="B365" s="3">
        <v>45685</v>
      </c>
      <c r="C365" t="s">
        <v>66</v>
      </c>
      <c r="D365" t="s">
        <v>62</v>
      </c>
      <c r="E365" t="s">
        <v>67</v>
      </c>
      <c r="F365" t="s">
        <v>71</v>
      </c>
      <c r="G365" s="6">
        <v>1</v>
      </c>
      <c r="H365" s="4">
        <v>70.849999999999994</v>
      </c>
      <c r="I365" s="4">
        <v>38.35</v>
      </c>
      <c r="J365" s="5">
        <v>0.05</v>
      </c>
      <c r="K365" s="6">
        <v>2</v>
      </c>
      <c r="L365" s="6">
        <v>4</v>
      </c>
      <c r="M365" t="s">
        <v>58</v>
      </c>
      <c r="N365" t="s">
        <v>87</v>
      </c>
      <c r="O365" t="s">
        <v>64</v>
      </c>
    </row>
    <row r="366" spans="1:15">
      <c r="A366" t="s">
        <v>463</v>
      </c>
      <c r="B366" s="3">
        <v>45826</v>
      </c>
      <c r="C366" t="s">
        <v>54</v>
      </c>
      <c r="D366" t="s">
        <v>62</v>
      </c>
      <c r="E366" t="s">
        <v>79</v>
      </c>
      <c r="F366" t="s">
        <v>115</v>
      </c>
      <c r="G366" s="6">
        <v>1</v>
      </c>
      <c r="H366" s="4">
        <v>58.67</v>
      </c>
      <c r="I366" s="4">
        <v>34.97</v>
      </c>
      <c r="J366" s="5">
        <v>0</v>
      </c>
      <c r="K366" s="6">
        <v>3</v>
      </c>
      <c r="L366" s="6">
        <v>5</v>
      </c>
      <c r="M366" t="s">
        <v>58</v>
      </c>
      <c r="N366" t="s">
        <v>59</v>
      </c>
      <c r="O366" t="s">
        <v>64</v>
      </c>
    </row>
    <row r="367" spans="1:15">
      <c r="A367" t="s">
        <v>464</v>
      </c>
      <c r="B367" s="3">
        <v>45747</v>
      </c>
      <c r="C367" t="s">
        <v>66</v>
      </c>
      <c r="D367" t="s">
        <v>62</v>
      </c>
      <c r="E367" t="s">
        <v>75</v>
      </c>
      <c r="F367" t="s">
        <v>146</v>
      </c>
      <c r="G367" s="6">
        <v>1</v>
      </c>
      <c r="H367" s="4">
        <v>183.13</v>
      </c>
      <c r="I367" s="4">
        <v>120.43</v>
      </c>
      <c r="J367" s="5">
        <v>0.05</v>
      </c>
      <c r="K367" s="6">
        <v>5</v>
      </c>
      <c r="L367" s="6">
        <v>4</v>
      </c>
      <c r="M367" t="s">
        <v>58</v>
      </c>
      <c r="N367" t="s">
        <v>59</v>
      </c>
      <c r="O367" t="s">
        <v>64</v>
      </c>
    </row>
    <row r="368" spans="1:15">
      <c r="A368" t="s">
        <v>465</v>
      </c>
      <c r="B368" s="3">
        <v>45930</v>
      </c>
      <c r="C368" t="s">
        <v>54</v>
      </c>
      <c r="D368" t="s">
        <v>62</v>
      </c>
      <c r="E368" t="s">
        <v>79</v>
      </c>
      <c r="F368" t="s">
        <v>85</v>
      </c>
      <c r="G368" s="6">
        <v>1</v>
      </c>
      <c r="H368" s="4">
        <v>133.74</v>
      </c>
      <c r="I368" s="4">
        <v>83</v>
      </c>
      <c r="J368" s="5">
        <v>0.1</v>
      </c>
      <c r="K368" s="6">
        <v>1</v>
      </c>
      <c r="L368" s="6">
        <v>4</v>
      </c>
      <c r="M368" t="s">
        <v>58</v>
      </c>
      <c r="N368" t="s">
        <v>87</v>
      </c>
      <c r="O368" t="s">
        <v>64</v>
      </c>
    </row>
    <row r="369" spans="1:15">
      <c r="A369" t="s">
        <v>466</v>
      </c>
      <c r="B369" s="3">
        <v>45952</v>
      </c>
      <c r="C369" t="s">
        <v>78</v>
      </c>
      <c r="D369" t="s">
        <v>55</v>
      </c>
      <c r="E369" t="s">
        <v>75</v>
      </c>
      <c r="F369" t="s">
        <v>76</v>
      </c>
      <c r="G369" s="6">
        <v>4</v>
      </c>
      <c r="H369" s="4">
        <v>122.61</v>
      </c>
      <c r="I369" s="4">
        <v>73.44</v>
      </c>
      <c r="J369" s="5">
        <v>0</v>
      </c>
      <c r="K369" s="6">
        <v>2</v>
      </c>
      <c r="L369" s="6">
        <v>4</v>
      </c>
      <c r="M369" t="s">
        <v>58</v>
      </c>
      <c r="N369" t="s">
        <v>59</v>
      </c>
      <c r="O369" t="s">
        <v>64</v>
      </c>
    </row>
    <row r="370" spans="1:15">
      <c r="A370" t="s">
        <v>467</v>
      </c>
      <c r="B370" s="3">
        <v>45721</v>
      </c>
      <c r="C370" t="s">
        <v>66</v>
      </c>
      <c r="D370" t="s">
        <v>62</v>
      </c>
      <c r="E370" t="s">
        <v>56</v>
      </c>
      <c r="F370" t="s">
        <v>57</v>
      </c>
      <c r="G370" s="6">
        <v>1</v>
      </c>
      <c r="H370" s="4">
        <v>113.27</v>
      </c>
      <c r="I370" s="4">
        <v>65.27</v>
      </c>
      <c r="J370" s="5">
        <v>0</v>
      </c>
      <c r="K370" s="6">
        <v>6</v>
      </c>
      <c r="L370" s="6">
        <v>2</v>
      </c>
      <c r="M370" t="s">
        <v>126</v>
      </c>
      <c r="N370" t="s">
        <v>59</v>
      </c>
      <c r="O370" t="s">
        <v>64</v>
      </c>
    </row>
    <row r="371" spans="1:15">
      <c r="A371" t="s">
        <v>468</v>
      </c>
      <c r="B371" s="3">
        <v>46007</v>
      </c>
      <c r="C371" t="s">
        <v>82</v>
      </c>
      <c r="D371" t="s">
        <v>62</v>
      </c>
      <c r="E371" t="s">
        <v>67</v>
      </c>
      <c r="F371" t="s">
        <v>71</v>
      </c>
      <c r="G371" s="6">
        <v>1</v>
      </c>
      <c r="H371" s="4">
        <v>72.319999999999993</v>
      </c>
      <c r="I371" s="4">
        <v>39.869999999999997</v>
      </c>
      <c r="J371" s="5">
        <v>0.05</v>
      </c>
      <c r="K371" s="6">
        <v>4</v>
      </c>
      <c r="L371" s="6">
        <v>4</v>
      </c>
      <c r="M371" t="s">
        <v>58</v>
      </c>
      <c r="N371" t="s">
        <v>59</v>
      </c>
      <c r="O371" t="s">
        <v>60</v>
      </c>
    </row>
    <row r="372" spans="1:15">
      <c r="A372" t="s">
        <v>469</v>
      </c>
      <c r="B372" s="3">
        <v>45720</v>
      </c>
      <c r="C372" t="s">
        <v>78</v>
      </c>
      <c r="D372" t="s">
        <v>62</v>
      </c>
      <c r="E372" t="s">
        <v>79</v>
      </c>
      <c r="F372" t="s">
        <v>115</v>
      </c>
      <c r="G372" s="6">
        <v>1</v>
      </c>
      <c r="H372" s="4">
        <v>59.41</v>
      </c>
      <c r="I372" s="4">
        <v>34.880000000000003</v>
      </c>
      <c r="J372" s="5">
        <v>0.05</v>
      </c>
      <c r="K372" s="6">
        <v>2</v>
      </c>
      <c r="L372" s="6">
        <v>4</v>
      </c>
      <c r="M372" t="s">
        <v>58</v>
      </c>
      <c r="N372" t="s">
        <v>59</v>
      </c>
      <c r="O372" t="s">
        <v>60</v>
      </c>
    </row>
    <row r="373" spans="1:15">
      <c r="A373" t="s">
        <v>470</v>
      </c>
      <c r="B373" s="3">
        <v>45986</v>
      </c>
      <c r="C373" t="s">
        <v>78</v>
      </c>
      <c r="D373" t="s">
        <v>62</v>
      </c>
      <c r="E373" t="s">
        <v>79</v>
      </c>
      <c r="F373" t="s">
        <v>115</v>
      </c>
      <c r="G373" s="6">
        <v>2</v>
      </c>
      <c r="H373" s="4">
        <v>59.24</v>
      </c>
      <c r="I373" s="4">
        <v>33.03</v>
      </c>
      <c r="J373" s="5">
        <v>0.05</v>
      </c>
      <c r="K373" s="6">
        <v>2</v>
      </c>
      <c r="L373" s="6">
        <v>5</v>
      </c>
      <c r="M373" t="s">
        <v>58</v>
      </c>
      <c r="N373" t="s">
        <v>69</v>
      </c>
      <c r="O373" t="s">
        <v>64</v>
      </c>
    </row>
    <row r="374" spans="1:15">
      <c r="A374" t="s">
        <v>471</v>
      </c>
      <c r="B374" s="3">
        <v>46013</v>
      </c>
      <c r="C374" t="s">
        <v>54</v>
      </c>
      <c r="D374" t="s">
        <v>62</v>
      </c>
      <c r="E374" t="s">
        <v>79</v>
      </c>
      <c r="F374" t="s">
        <v>92</v>
      </c>
      <c r="G374" s="6">
        <v>1</v>
      </c>
      <c r="H374" s="4">
        <v>48.8</v>
      </c>
      <c r="I374" s="4">
        <v>26.08</v>
      </c>
      <c r="J374" s="5">
        <v>0.05</v>
      </c>
      <c r="K374" s="6">
        <v>1</v>
      </c>
      <c r="L374" s="6">
        <v>4</v>
      </c>
      <c r="M374" t="s">
        <v>58</v>
      </c>
      <c r="N374" t="s">
        <v>69</v>
      </c>
      <c r="O374" t="s">
        <v>60</v>
      </c>
    </row>
    <row r="375" spans="1:15">
      <c r="A375" t="s">
        <v>472</v>
      </c>
      <c r="B375" s="3">
        <v>45685</v>
      </c>
      <c r="C375" t="s">
        <v>66</v>
      </c>
      <c r="D375" t="s">
        <v>55</v>
      </c>
      <c r="E375" t="s">
        <v>75</v>
      </c>
      <c r="F375" t="s">
        <v>97</v>
      </c>
      <c r="G375" s="6">
        <v>1</v>
      </c>
      <c r="H375" s="4">
        <v>88.17</v>
      </c>
      <c r="I375" s="4">
        <v>53.4</v>
      </c>
      <c r="J375" s="5">
        <v>0</v>
      </c>
      <c r="K375" s="6">
        <v>2</v>
      </c>
      <c r="L375" s="6">
        <v>4</v>
      </c>
      <c r="M375" t="s">
        <v>58</v>
      </c>
      <c r="N375" t="s">
        <v>69</v>
      </c>
      <c r="O375" t="s">
        <v>73</v>
      </c>
    </row>
    <row r="376" spans="1:15">
      <c r="A376" t="s">
        <v>473</v>
      </c>
      <c r="B376" s="3">
        <v>45825</v>
      </c>
      <c r="C376" t="s">
        <v>78</v>
      </c>
      <c r="D376" t="s">
        <v>55</v>
      </c>
      <c r="E376" t="s">
        <v>56</v>
      </c>
      <c r="F376" t="s">
        <v>89</v>
      </c>
      <c r="G376" s="6">
        <v>4</v>
      </c>
      <c r="H376" s="4">
        <v>79.599999999999994</v>
      </c>
      <c r="I376" s="4">
        <v>45.53</v>
      </c>
      <c r="J376" s="5">
        <v>0</v>
      </c>
      <c r="K376" s="6">
        <v>3</v>
      </c>
      <c r="L376" s="6">
        <v>5</v>
      </c>
      <c r="M376" t="s">
        <v>58</v>
      </c>
      <c r="N376" t="s">
        <v>59</v>
      </c>
      <c r="O376" t="s">
        <v>64</v>
      </c>
    </row>
    <row r="377" spans="1:15">
      <c r="A377" t="s">
        <v>474</v>
      </c>
      <c r="B377" s="3">
        <v>45777</v>
      </c>
      <c r="C377" t="s">
        <v>78</v>
      </c>
      <c r="D377" t="s">
        <v>62</v>
      </c>
      <c r="E377" t="s">
        <v>75</v>
      </c>
      <c r="F377" t="s">
        <v>110</v>
      </c>
      <c r="G377" s="6">
        <v>1</v>
      </c>
      <c r="H377" s="4">
        <v>157.41</v>
      </c>
      <c r="I377" s="4">
        <v>99.69</v>
      </c>
      <c r="J377" s="5">
        <v>0.05</v>
      </c>
      <c r="K377" s="6">
        <v>5</v>
      </c>
      <c r="L377" s="6">
        <v>4</v>
      </c>
      <c r="M377" t="s">
        <v>58</v>
      </c>
      <c r="N377" t="s">
        <v>59</v>
      </c>
      <c r="O377" t="s">
        <v>60</v>
      </c>
    </row>
    <row r="378" spans="1:15">
      <c r="A378" t="s">
        <v>475</v>
      </c>
      <c r="B378" s="3">
        <v>45742</v>
      </c>
      <c r="C378" t="s">
        <v>66</v>
      </c>
      <c r="D378" t="s">
        <v>55</v>
      </c>
      <c r="E378" t="s">
        <v>67</v>
      </c>
      <c r="F378" t="s">
        <v>71</v>
      </c>
      <c r="G378" s="6">
        <v>3</v>
      </c>
      <c r="H378" s="4">
        <v>72.77</v>
      </c>
      <c r="I378" s="4">
        <v>37.79</v>
      </c>
      <c r="J378" s="5">
        <v>0.1</v>
      </c>
      <c r="K378" s="6">
        <v>2</v>
      </c>
      <c r="L378" s="6">
        <v>3</v>
      </c>
      <c r="M378" t="s">
        <v>126</v>
      </c>
      <c r="N378" t="s">
        <v>59</v>
      </c>
      <c r="O378" t="s">
        <v>73</v>
      </c>
    </row>
    <row r="379" spans="1:15">
      <c r="A379" t="s">
        <v>476</v>
      </c>
      <c r="B379" s="3">
        <v>45751</v>
      </c>
      <c r="C379" t="s">
        <v>54</v>
      </c>
      <c r="D379" t="s">
        <v>55</v>
      </c>
      <c r="E379" t="s">
        <v>67</v>
      </c>
      <c r="F379" t="s">
        <v>107</v>
      </c>
      <c r="G379" s="6">
        <v>4</v>
      </c>
      <c r="H379" s="4">
        <v>43.91</v>
      </c>
      <c r="I379" s="4">
        <v>20.46</v>
      </c>
      <c r="J379" s="5">
        <v>0</v>
      </c>
      <c r="K379" s="6">
        <v>3</v>
      </c>
      <c r="L379" s="6">
        <v>5</v>
      </c>
      <c r="M379" t="s">
        <v>58</v>
      </c>
      <c r="N379" t="s">
        <v>59</v>
      </c>
      <c r="O379" t="s">
        <v>73</v>
      </c>
    </row>
    <row r="380" spans="1:15">
      <c r="A380" t="s">
        <v>477</v>
      </c>
      <c r="B380" s="3">
        <v>45774</v>
      </c>
      <c r="C380" t="s">
        <v>78</v>
      </c>
      <c r="D380" t="s">
        <v>62</v>
      </c>
      <c r="E380" t="s">
        <v>56</v>
      </c>
      <c r="F380" t="s">
        <v>57</v>
      </c>
      <c r="G380" s="6">
        <v>3</v>
      </c>
      <c r="H380" s="4">
        <v>111.22</v>
      </c>
      <c r="I380" s="4">
        <v>68.3</v>
      </c>
      <c r="J380" s="5">
        <v>0.05</v>
      </c>
      <c r="K380" s="6">
        <v>2</v>
      </c>
      <c r="L380" s="6">
        <v>4</v>
      </c>
      <c r="M380" t="s">
        <v>58</v>
      </c>
      <c r="N380" t="s">
        <v>87</v>
      </c>
      <c r="O380" t="s">
        <v>64</v>
      </c>
    </row>
    <row r="381" spans="1:15">
      <c r="A381" t="s">
        <v>478</v>
      </c>
      <c r="B381" s="3">
        <v>45802</v>
      </c>
      <c r="C381" t="s">
        <v>78</v>
      </c>
      <c r="D381" t="s">
        <v>62</v>
      </c>
      <c r="E381" t="s">
        <v>79</v>
      </c>
      <c r="F381" t="s">
        <v>92</v>
      </c>
      <c r="G381" s="6">
        <v>2</v>
      </c>
      <c r="H381" s="4">
        <v>48.97</v>
      </c>
      <c r="I381" s="4">
        <v>25.86</v>
      </c>
      <c r="J381" s="5">
        <v>0.1</v>
      </c>
      <c r="K381" s="6">
        <v>3</v>
      </c>
      <c r="L381" s="6">
        <v>4</v>
      </c>
      <c r="M381" t="s">
        <v>58</v>
      </c>
      <c r="N381" t="s">
        <v>59</v>
      </c>
      <c r="O381" t="s">
        <v>64</v>
      </c>
    </row>
    <row r="382" spans="1:15">
      <c r="A382" t="s">
        <v>479</v>
      </c>
      <c r="B382" s="3">
        <v>45905</v>
      </c>
      <c r="C382" t="s">
        <v>78</v>
      </c>
      <c r="D382" t="s">
        <v>62</v>
      </c>
      <c r="E382" t="s">
        <v>56</v>
      </c>
      <c r="F382" t="s">
        <v>83</v>
      </c>
      <c r="G382" s="6">
        <v>2</v>
      </c>
      <c r="H382" s="4">
        <v>65.16</v>
      </c>
      <c r="I382" s="4">
        <v>36.72</v>
      </c>
      <c r="J382" s="5">
        <v>0</v>
      </c>
      <c r="K382" s="6">
        <v>3</v>
      </c>
      <c r="L382" s="6">
        <v>4</v>
      </c>
      <c r="M382" t="s">
        <v>58</v>
      </c>
      <c r="N382" t="s">
        <v>59</v>
      </c>
      <c r="O382" t="s">
        <v>64</v>
      </c>
    </row>
    <row r="383" spans="1:15">
      <c r="A383" t="s">
        <v>480</v>
      </c>
      <c r="B383" s="3">
        <v>45866</v>
      </c>
      <c r="C383" t="s">
        <v>54</v>
      </c>
      <c r="D383" t="s">
        <v>62</v>
      </c>
      <c r="E383" t="s">
        <v>56</v>
      </c>
      <c r="F383" t="s">
        <v>89</v>
      </c>
      <c r="G383" s="6">
        <v>1</v>
      </c>
      <c r="H383" s="4">
        <v>79.260000000000005</v>
      </c>
      <c r="I383" s="4">
        <v>45.3</v>
      </c>
      <c r="J383" s="5">
        <v>0.05</v>
      </c>
      <c r="K383" s="6">
        <v>4</v>
      </c>
      <c r="L383" s="6">
        <v>4</v>
      </c>
      <c r="M383" t="s">
        <v>58</v>
      </c>
      <c r="N383" t="s">
        <v>59</v>
      </c>
      <c r="O383" t="s">
        <v>73</v>
      </c>
    </row>
    <row r="384" spans="1:15">
      <c r="A384" t="s">
        <v>481</v>
      </c>
      <c r="B384" s="3">
        <v>45782</v>
      </c>
      <c r="C384" t="s">
        <v>78</v>
      </c>
      <c r="D384" t="s">
        <v>55</v>
      </c>
      <c r="E384" t="s">
        <v>56</v>
      </c>
      <c r="F384" t="s">
        <v>63</v>
      </c>
      <c r="G384" s="6">
        <v>2</v>
      </c>
      <c r="H384" s="4">
        <v>38.99</v>
      </c>
      <c r="I384" s="4">
        <v>20.350000000000001</v>
      </c>
      <c r="J384" s="5">
        <v>0.05</v>
      </c>
      <c r="K384" s="6">
        <v>7</v>
      </c>
      <c r="L384" s="6">
        <v>4</v>
      </c>
      <c r="M384" t="s">
        <v>58</v>
      </c>
      <c r="N384" t="s">
        <v>59</v>
      </c>
      <c r="O384" t="s">
        <v>64</v>
      </c>
    </row>
    <row r="385" spans="1:15">
      <c r="A385" t="s">
        <v>482</v>
      </c>
      <c r="B385" s="3">
        <v>45814</v>
      </c>
      <c r="C385" t="s">
        <v>78</v>
      </c>
      <c r="D385" t="s">
        <v>62</v>
      </c>
      <c r="E385" t="s">
        <v>75</v>
      </c>
      <c r="F385" t="s">
        <v>110</v>
      </c>
      <c r="G385" s="6">
        <v>1</v>
      </c>
      <c r="H385" s="4">
        <v>163.75</v>
      </c>
      <c r="I385" s="4">
        <v>102.5</v>
      </c>
      <c r="J385" s="5">
        <v>0.05</v>
      </c>
      <c r="K385" s="6">
        <v>5</v>
      </c>
      <c r="L385" s="6">
        <v>4</v>
      </c>
      <c r="M385" t="s">
        <v>58</v>
      </c>
      <c r="N385" t="s">
        <v>59</v>
      </c>
      <c r="O385" t="s">
        <v>60</v>
      </c>
    </row>
    <row r="386" spans="1:15">
      <c r="A386" t="s">
        <v>483</v>
      </c>
      <c r="B386" s="3">
        <v>45683</v>
      </c>
      <c r="C386" t="s">
        <v>54</v>
      </c>
      <c r="D386" t="s">
        <v>62</v>
      </c>
      <c r="E386" t="s">
        <v>56</v>
      </c>
      <c r="F386" t="s">
        <v>63</v>
      </c>
      <c r="G386" s="6">
        <v>2</v>
      </c>
      <c r="H386" s="4">
        <v>41.26</v>
      </c>
      <c r="I386" s="4">
        <v>20.99</v>
      </c>
      <c r="J386" s="5">
        <v>0</v>
      </c>
      <c r="K386" s="6">
        <v>4</v>
      </c>
      <c r="L386" s="6">
        <v>4</v>
      </c>
      <c r="M386" t="s">
        <v>58</v>
      </c>
      <c r="N386" t="s">
        <v>59</v>
      </c>
      <c r="O386" t="s">
        <v>64</v>
      </c>
    </row>
    <row r="387" spans="1:15">
      <c r="A387" t="s">
        <v>484</v>
      </c>
      <c r="B387" s="3">
        <v>45834</v>
      </c>
      <c r="C387" t="s">
        <v>78</v>
      </c>
      <c r="D387" t="s">
        <v>55</v>
      </c>
      <c r="E387" t="s">
        <v>56</v>
      </c>
      <c r="F387" t="s">
        <v>83</v>
      </c>
      <c r="G387" s="6">
        <v>5</v>
      </c>
      <c r="H387" s="4">
        <v>66.430000000000007</v>
      </c>
      <c r="I387" s="4">
        <v>35.82</v>
      </c>
      <c r="J387" s="5">
        <v>0.05</v>
      </c>
      <c r="K387" s="6">
        <v>1</v>
      </c>
      <c r="L387" s="6">
        <v>4</v>
      </c>
      <c r="M387" t="s">
        <v>58</v>
      </c>
      <c r="N387" t="s">
        <v>69</v>
      </c>
      <c r="O387" t="s">
        <v>60</v>
      </c>
    </row>
    <row r="388" spans="1:15">
      <c r="A388" t="s">
        <v>485</v>
      </c>
      <c r="B388" s="3">
        <v>45839</v>
      </c>
      <c r="C388" t="s">
        <v>82</v>
      </c>
      <c r="D388" t="s">
        <v>55</v>
      </c>
      <c r="E388" t="s">
        <v>56</v>
      </c>
      <c r="F388" t="s">
        <v>57</v>
      </c>
      <c r="G388" s="6">
        <v>2</v>
      </c>
      <c r="H388" s="4">
        <v>111.52</v>
      </c>
      <c r="I388" s="4">
        <v>69.31</v>
      </c>
      <c r="J388" s="5">
        <v>0</v>
      </c>
      <c r="K388" s="6">
        <v>6</v>
      </c>
      <c r="L388" s="6">
        <v>4</v>
      </c>
      <c r="M388" t="s">
        <v>58</v>
      </c>
      <c r="N388" t="s">
        <v>59</v>
      </c>
      <c r="O388" t="s">
        <v>64</v>
      </c>
    </row>
    <row r="389" spans="1:15">
      <c r="A389" t="s">
        <v>486</v>
      </c>
      <c r="B389" s="3">
        <v>45697</v>
      </c>
      <c r="C389" t="s">
        <v>66</v>
      </c>
      <c r="D389" t="s">
        <v>62</v>
      </c>
      <c r="E389" t="s">
        <v>79</v>
      </c>
      <c r="F389" t="s">
        <v>115</v>
      </c>
      <c r="G389" s="6">
        <v>2</v>
      </c>
      <c r="H389" s="4">
        <v>61.69</v>
      </c>
      <c r="I389" s="4">
        <v>34.200000000000003</v>
      </c>
      <c r="J389" s="5">
        <v>0.15000000000000002</v>
      </c>
      <c r="K389" s="6">
        <v>7</v>
      </c>
      <c r="L389" s="6">
        <v>3</v>
      </c>
      <c r="M389" t="s">
        <v>126</v>
      </c>
      <c r="N389" t="s">
        <v>59</v>
      </c>
      <c r="O389" t="s">
        <v>73</v>
      </c>
    </row>
    <row r="390" spans="1:15">
      <c r="A390" t="s">
        <v>487</v>
      </c>
      <c r="B390" s="3">
        <v>45853</v>
      </c>
      <c r="C390" t="s">
        <v>148</v>
      </c>
      <c r="D390" t="s">
        <v>55</v>
      </c>
      <c r="E390" t="s">
        <v>79</v>
      </c>
      <c r="F390" t="s">
        <v>85</v>
      </c>
      <c r="G390" s="6">
        <v>3</v>
      </c>
      <c r="H390" s="4">
        <v>130.22999999999999</v>
      </c>
      <c r="I390" s="4">
        <v>85.78</v>
      </c>
      <c r="J390" s="5">
        <v>0.05</v>
      </c>
      <c r="K390" s="6">
        <v>0</v>
      </c>
      <c r="L390" s="6">
        <v>4</v>
      </c>
      <c r="M390" t="s">
        <v>58</v>
      </c>
      <c r="N390" t="s">
        <v>69</v>
      </c>
      <c r="O390" t="s">
        <v>73</v>
      </c>
    </row>
    <row r="391" spans="1:15">
      <c r="A391" t="s">
        <v>488</v>
      </c>
      <c r="B391" s="3">
        <v>45829</v>
      </c>
      <c r="C391" t="s">
        <v>54</v>
      </c>
      <c r="D391" t="s">
        <v>62</v>
      </c>
      <c r="E391" t="s">
        <v>67</v>
      </c>
      <c r="F391" t="s">
        <v>107</v>
      </c>
      <c r="G391" s="6">
        <v>2</v>
      </c>
      <c r="H391" s="4">
        <v>46.35</v>
      </c>
      <c r="I391" s="4">
        <v>21.58</v>
      </c>
      <c r="J391" s="5">
        <v>0.05</v>
      </c>
      <c r="K391" s="6">
        <v>3</v>
      </c>
      <c r="L391" s="6">
        <v>5</v>
      </c>
      <c r="M391" t="s">
        <v>58</v>
      </c>
      <c r="N391" t="s">
        <v>59</v>
      </c>
      <c r="O391" t="s">
        <v>64</v>
      </c>
    </row>
    <row r="392" spans="1:15">
      <c r="A392" t="s">
        <v>489</v>
      </c>
      <c r="B392" s="3">
        <v>45755</v>
      </c>
      <c r="C392" t="s">
        <v>66</v>
      </c>
      <c r="D392" t="s">
        <v>62</v>
      </c>
      <c r="E392" t="s">
        <v>79</v>
      </c>
      <c r="F392" t="s">
        <v>85</v>
      </c>
      <c r="G392" s="6">
        <v>1</v>
      </c>
      <c r="H392" s="4">
        <v>127.26</v>
      </c>
      <c r="I392" s="4">
        <v>87.28</v>
      </c>
      <c r="J392" s="5">
        <v>0</v>
      </c>
      <c r="K392" s="6">
        <v>0</v>
      </c>
      <c r="L392" s="6">
        <v>4</v>
      </c>
      <c r="M392" t="s">
        <v>58</v>
      </c>
      <c r="N392" t="s">
        <v>69</v>
      </c>
      <c r="O392" t="s">
        <v>64</v>
      </c>
    </row>
    <row r="393" spans="1:15">
      <c r="A393" t="s">
        <v>490</v>
      </c>
      <c r="B393" s="3">
        <v>45878</v>
      </c>
      <c r="C393" t="s">
        <v>82</v>
      </c>
      <c r="D393" t="s">
        <v>62</v>
      </c>
      <c r="E393" t="s">
        <v>67</v>
      </c>
      <c r="F393" t="s">
        <v>94</v>
      </c>
      <c r="G393" s="6">
        <v>1</v>
      </c>
      <c r="H393" s="4">
        <v>35.83</v>
      </c>
      <c r="I393" s="4">
        <v>16.64</v>
      </c>
      <c r="J393" s="5">
        <v>0.05</v>
      </c>
      <c r="K393" s="6">
        <v>4</v>
      </c>
      <c r="L393" s="6">
        <v>4</v>
      </c>
      <c r="M393" t="s">
        <v>58</v>
      </c>
      <c r="N393" t="s">
        <v>59</v>
      </c>
      <c r="O393" t="s">
        <v>64</v>
      </c>
    </row>
    <row r="394" spans="1:15">
      <c r="A394" t="s">
        <v>491</v>
      </c>
      <c r="B394" s="3">
        <v>45920</v>
      </c>
      <c r="C394" t="s">
        <v>78</v>
      </c>
      <c r="D394" t="s">
        <v>62</v>
      </c>
      <c r="E394" t="s">
        <v>79</v>
      </c>
      <c r="F394" t="s">
        <v>92</v>
      </c>
      <c r="G394" s="6">
        <v>2</v>
      </c>
      <c r="H394" s="4">
        <v>50.06</v>
      </c>
      <c r="I394" s="4">
        <v>27.17</v>
      </c>
      <c r="J394" s="5">
        <v>0</v>
      </c>
      <c r="K394" s="6">
        <v>0</v>
      </c>
      <c r="L394" s="6">
        <v>5</v>
      </c>
      <c r="M394" t="s">
        <v>58</v>
      </c>
      <c r="N394" t="s">
        <v>69</v>
      </c>
      <c r="O394" t="s">
        <v>64</v>
      </c>
    </row>
    <row r="395" spans="1:15">
      <c r="A395" t="s">
        <v>492</v>
      </c>
      <c r="B395" s="3">
        <v>45863</v>
      </c>
      <c r="C395" t="s">
        <v>66</v>
      </c>
      <c r="D395" t="s">
        <v>55</v>
      </c>
      <c r="E395" t="s">
        <v>67</v>
      </c>
      <c r="F395" t="s">
        <v>71</v>
      </c>
      <c r="G395" s="6">
        <v>6</v>
      </c>
      <c r="H395" s="4">
        <v>72.37</v>
      </c>
      <c r="I395" s="4">
        <v>39.81</v>
      </c>
      <c r="J395" s="5">
        <v>0.1</v>
      </c>
      <c r="K395" s="6">
        <v>3</v>
      </c>
      <c r="L395" s="6">
        <v>4</v>
      </c>
      <c r="M395" t="s">
        <v>58</v>
      </c>
      <c r="N395" t="s">
        <v>59</v>
      </c>
      <c r="O395" t="s">
        <v>64</v>
      </c>
    </row>
    <row r="396" spans="1:15">
      <c r="A396" t="s">
        <v>493</v>
      </c>
      <c r="B396" s="3">
        <v>46000</v>
      </c>
      <c r="C396" t="s">
        <v>78</v>
      </c>
      <c r="D396" t="s">
        <v>55</v>
      </c>
      <c r="E396" t="s">
        <v>67</v>
      </c>
      <c r="F396" t="s">
        <v>107</v>
      </c>
      <c r="G396" s="6">
        <v>2</v>
      </c>
      <c r="H396" s="4">
        <v>46.33</v>
      </c>
      <c r="I396" s="4">
        <v>21.01</v>
      </c>
      <c r="J396" s="5">
        <v>0.05</v>
      </c>
      <c r="K396" s="6">
        <v>0</v>
      </c>
      <c r="L396" s="6">
        <v>4</v>
      </c>
      <c r="M396" t="s">
        <v>58</v>
      </c>
      <c r="N396" t="s">
        <v>69</v>
      </c>
      <c r="O396" t="s">
        <v>64</v>
      </c>
    </row>
    <row r="397" spans="1:15">
      <c r="A397" t="s">
        <v>494</v>
      </c>
      <c r="B397" s="3">
        <v>45739</v>
      </c>
      <c r="C397" t="s">
        <v>78</v>
      </c>
      <c r="D397" t="s">
        <v>62</v>
      </c>
      <c r="E397" t="s">
        <v>67</v>
      </c>
      <c r="F397" t="s">
        <v>107</v>
      </c>
      <c r="G397" s="6">
        <v>1</v>
      </c>
      <c r="H397" s="4">
        <v>46.04</v>
      </c>
      <c r="I397" s="4">
        <v>21.79</v>
      </c>
      <c r="J397" s="5">
        <v>0</v>
      </c>
      <c r="K397" s="6">
        <v>3</v>
      </c>
      <c r="L397" s="6">
        <v>4</v>
      </c>
      <c r="M397" t="s">
        <v>58</v>
      </c>
      <c r="N397" t="s">
        <v>59</v>
      </c>
      <c r="O397" t="s">
        <v>60</v>
      </c>
    </row>
    <row r="398" spans="1:15">
      <c r="A398" t="s">
        <v>495</v>
      </c>
      <c r="B398" s="3">
        <v>45981</v>
      </c>
      <c r="C398" t="s">
        <v>66</v>
      </c>
      <c r="D398" t="s">
        <v>62</v>
      </c>
      <c r="E398" t="s">
        <v>79</v>
      </c>
      <c r="F398" t="s">
        <v>92</v>
      </c>
      <c r="G398" s="6">
        <v>2</v>
      </c>
      <c r="H398" s="4">
        <v>51.56</v>
      </c>
      <c r="I398" s="4">
        <v>25.63</v>
      </c>
      <c r="J398" s="5">
        <v>0.15000000000000002</v>
      </c>
      <c r="K398" s="6">
        <v>5</v>
      </c>
      <c r="L398" s="6">
        <v>4</v>
      </c>
      <c r="M398" t="s">
        <v>58</v>
      </c>
      <c r="N398" t="s">
        <v>87</v>
      </c>
      <c r="O398" t="s">
        <v>64</v>
      </c>
    </row>
    <row r="399" spans="1:15">
      <c r="A399" t="s">
        <v>496</v>
      </c>
      <c r="B399" s="3">
        <v>45903</v>
      </c>
      <c r="C399" t="s">
        <v>82</v>
      </c>
      <c r="D399" t="s">
        <v>129</v>
      </c>
      <c r="E399" t="s">
        <v>67</v>
      </c>
      <c r="F399" t="s">
        <v>68</v>
      </c>
      <c r="G399" s="6">
        <v>10</v>
      </c>
      <c r="H399" s="4">
        <v>41.51</v>
      </c>
      <c r="I399" s="4">
        <v>19.59</v>
      </c>
      <c r="J399" s="5">
        <v>0.05</v>
      </c>
      <c r="K399" s="6">
        <v>3</v>
      </c>
      <c r="L399" s="6">
        <v>3</v>
      </c>
      <c r="M399" t="s">
        <v>126</v>
      </c>
      <c r="N399" t="s">
        <v>59</v>
      </c>
      <c r="O399" t="s">
        <v>64</v>
      </c>
    </row>
    <row r="400" spans="1:15">
      <c r="A400" t="s">
        <v>497</v>
      </c>
      <c r="B400" s="3">
        <v>46017</v>
      </c>
      <c r="C400" t="s">
        <v>78</v>
      </c>
      <c r="D400" t="s">
        <v>55</v>
      </c>
      <c r="E400" t="s">
        <v>79</v>
      </c>
      <c r="F400" t="s">
        <v>85</v>
      </c>
      <c r="G400" s="6">
        <v>2</v>
      </c>
      <c r="H400" s="4">
        <v>129.84</v>
      </c>
      <c r="I400" s="4">
        <v>86.14</v>
      </c>
      <c r="J400" s="5">
        <v>0.15000000000000002</v>
      </c>
      <c r="K400" s="6">
        <v>0</v>
      </c>
      <c r="L400" s="6">
        <v>4</v>
      </c>
      <c r="M400" t="s">
        <v>58</v>
      </c>
      <c r="N400" t="s">
        <v>69</v>
      </c>
      <c r="O400" t="s">
        <v>64</v>
      </c>
    </row>
    <row r="401" spans="1:15">
      <c r="A401" t="s">
        <v>498</v>
      </c>
      <c r="B401" s="3">
        <v>45799</v>
      </c>
      <c r="C401" t="s">
        <v>82</v>
      </c>
      <c r="D401" t="s">
        <v>62</v>
      </c>
      <c r="E401" t="s">
        <v>79</v>
      </c>
      <c r="F401" t="s">
        <v>80</v>
      </c>
      <c r="G401" s="6">
        <v>1</v>
      </c>
      <c r="H401" s="4">
        <v>74.180000000000007</v>
      </c>
      <c r="I401" s="4">
        <v>43.81</v>
      </c>
      <c r="J401" s="5">
        <v>0.05</v>
      </c>
      <c r="K401" s="6">
        <v>0</v>
      </c>
      <c r="L401" s="6">
        <v>4</v>
      </c>
      <c r="M401" t="s">
        <v>58</v>
      </c>
      <c r="N401" t="s">
        <v>69</v>
      </c>
      <c r="O401" t="s">
        <v>64</v>
      </c>
    </row>
    <row r="402" spans="1:15">
      <c r="A402" t="s">
        <v>499</v>
      </c>
      <c r="B402" s="3">
        <v>45816</v>
      </c>
      <c r="C402" t="s">
        <v>82</v>
      </c>
      <c r="D402" t="s">
        <v>62</v>
      </c>
      <c r="E402" t="s">
        <v>75</v>
      </c>
      <c r="F402" t="s">
        <v>110</v>
      </c>
      <c r="G402" s="6">
        <v>2</v>
      </c>
      <c r="H402" s="4">
        <v>166.07</v>
      </c>
      <c r="I402" s="4">
        <v>98.65</v>
      </c>
      <c r="J402" s="5">
        <v>0</v>
      </c>
      <c r="K402" s="6">
        <v>5</v>
      </c>
      <c r="L402" s="6">
        <v>4</v>
      </c>
      <c r="M402" t="s">
        <v>58</v>
      </c>
      <c r="N402" t="s">
        <v>59</v>
      </c>
      <c r="O402" t="s">
        <v>64</v>
      </c>
    </row>
    <row r="403" spans="1:15">
      <c r="A403" t="s">
        <v>500</v>
      </c>
      <c r="B403" s="3">
        <v>45673</v>
      </c>
      <c r="C403" t="s">
        <v>78</v>
      </c>
      <c r="D403" t="s">
        <v>62</v>
      </c>
      <c r="E403" t="s">
        <v>56</v>
      </c>
      <c r="F403" t="s">
        <v>83</v>
      </c>
      <c r="G403" s="6">
        <v>1</v>
      </c>
      <c r="H403" s="4">
        <v>65.11</v>
      </c>
      <c r="I403" s="4">
        <v>36.68</v>
      </c>
      <c r="J403" s="5">
        <v>0.05</v>
      </c>
      <c r="K403" s="6">
        <v>4</v>
      </c>
      <c r="L403" s="6">
        <v>4</v>
      </c>
      <c r="M403" t="s">
        <v>58</v>
      </c>
      <c r="N403" t="s">
        <v>59</v>
      </c>
      <c r="O403" t="s">
        <v>64</v>
      </c>
    </row>
    <row r="404" spans="1:15">
      <c r="A404" t="s">
        <v>501</v>
      </c>
      <c r="B404" s="3">
        <v>45774</v>
      </c>
      <c r="C404" t="s">
        <v>66</v>
      </c>
      <c r="D404" t="s">
        <v>55</v>
      </c>
      <c r="E404" t="s">
        <v>75</v>
      </c>
      <c r="F404" t="s">
        <v>146</v>
      </c>
      <c r="G404" s="6">
        <v>5</v>
      </c>
      <c r="H404" s="4">
        <v>184.79</v>
      </c>
      <c r="I404" s="4">
        <v>112.51</v>
      </c>
      <c r="J404" s="5">
        <v>0</v>
      </c>
      <c r="K404" s="6">
        <v>4</v>
      </c>
      <c r="L404" s="6">
        <v>5</v>
      </c>
      <c r="M404" t="s">
        <v>58</v>
      </c>
      <c r="N404" t="s">
        <v>59</v>
      </c>
      <c r="O404" t="s">
        <v>64</v>
      </c>
    </row>
    <row r="405" spans="1:15">
      <c r="A405" t="s">
        <v>502</v>
      </c>
      <c r="B405" s="3">
        <v>45737</v>
      </c>
      <c r="C405" t="s">
        <v>78</v>
      </c>
      <c r="D405" t="s">
        <v>62</v>
      </c>
      <c r="E405" t="s">
        <v>56</v>
      </c>
      <c r="F405" t="s">
        <v>57</v>
      </c>
      <c r="G405" s="6">
        <v>2</v>
      </c>
      <c r="H405" s="4">
        <v>109.09</v>
      </c>
      <c r="I405" s="4">
        <v>66.430000000000007</v>
      </c>
      <c r="J405" s="5">
        <v>0</v>
      </c>
      <c r="K405" s="6">
        <v>0</v>
      </c>
      <c r="L405" s="6">
        <v>5</v>
      </c>
      <c r="M405" t="s">
        <v>58</v>
      </c>
      <c r="N405" t="s">
        <v>69</v>
      </c>
      <c r="O405" t="s">
        <v>64</v>
      </c>
    </row>
    <row r="406" spans="1:15">
      <c r="A406" t="s">
        <v>503</v>
      </c>
      <c r="B406" s="3">
        <v>45981</v>
      </c>
      <c r="C406" t="s">
        <v>66</v>
      </c>
      <c r="D406" t="s">
        <v>55</v>
      </c>
      <c r="E406" t="s">
        <v>75</v>
      </c>
      <c r="F406" t="s">
        <v>97</v>
      </c>
      <c r="G406" s="6">
        <v>3</v>
      </c>
      <c r="H406" s="4">
        <v>92.18</v>
      </c>
      <c r="I406" s="4">
        <v>54.11</v>
      </c>
      <c r="J406" s="5">
        <v>0</v>
      </c>
      <c r="K406" s="6">
        <v>3</v>
      </c>
      <c r="L406" s="6">
        <v>4</v>
      </c>
      <c r="M406" t="s">
        <v>58</v>
      </c>
      <c r="N406" t="s">
        <v>69</v>
      </c>
      <c r="O406" t="s">
        <v>64</v>
      </c>
    </row>
    <row r="407" spans="1:15">
      <c r="A407" t="s">
        <v>504</v>
      </c>
      <c r="B407" s="3">
        <v>45863</v>
      </c>
      <c r="C407" t="s">
        <v>78</v>
      </c>
      <c r="D407" t="s">
        <v>62</v>
      </c>
      <c r="E407" t="s">
        <v>75</v>
      </c>
      <c r="F407" t="s">
        <v>146</v>
      </c>
      <c r="G407" s="6">
        <v>1</v>
      </c>
      <c r="H407" s="4">
        <v>180.85</v>
      </c>
      <c r="I407" s="4">
        <v>118.29</v>
      </c>
      <c r="J407" s="5">
        <v>0.05</v>
      </c>
      <c r="K407" s="6">
        <v>4</v>
      </c>
      <c r="L407" s="6">
        <v>4</v>
      </c>
      <c r="M407" t="s">
        <v>58</v>
      </c>
      <c r="N407" t="s">
        <v>69</v>
      </c>
      <c r="O407" t="s">
        <v>60</v>
      </c>
    </row>
    <row r="408" spans="1:15">
      <c r="A408" t="s">
        <v>505</v>
      </c>
      <c r="B408" s="3">
        <v>45806</v>
      </c>
      <c r="C408" t="s">
        <v>78</v>
      </c>
      <c r="D408" t="s">
        <v>55</v>
      </c>
      <c r="E408" t="s">
        <v>79</v>
      </c>
      <c r="F408" t="s">
        <v>92</v>
      </c>
      <c r="G408" s="6">
        <v>5</v>
      </c>
      <c r="H408" s="4">
        <v>49.43</v>
      </c>
      <c r="I408" s="4">
        <v>26.46</v>
      </c>
      <c r="J408" s="5">
        <v>0.1</v>
      </c>
      <c r="K408" s="6">
        <v>0</v>
      </c>
      <c r="L408" s="6">
        <v>4</v>
      </c>
      <c r="M408" t="s">
        <v>58</v>
      </c>
      <c r="N408" t="s">
        <v>69</v>
      </c>
      <c r="O408" t="s">
        <v>64</v>
      </c>
    </row>
    <row r="409" spans="1:15">
      <c r="A409" t="s">
        <v>506</v>
      </c>
      <c r="B409" s="3">
        <v>45999</v>
      </c>
      <c r="C409" t="s">
        <v>82</v>
      </c>
      <c r="D409" t="s">
        <v>55</v>
      </c>
      <c r="E409" t="s">
        <v>56</v>
      </c>
      <c r="F409" t="s">
        <v>63</v>
      </c>
      <c r="G409" s="6">
        <v>6</v>
      </c>
      <c r="H409" s="4">
        <v>39.96</v>
      </c>
      <c r="I409" s="4">
        <v>19.63</v>
      </c>
      <c r="J409" s="5">
        <v>0.05</v>
      </c>
      <c r="K409" s="6">
        <v>3</v>
      </c>
      <c r="L409" s="6">
        <v>4</v>
      </c>
      <c r="M409" t="s">
        <v>58</v>
      </c>
      <c r="N409" t="s">
        <v>87</v>
      </c>
      <c r="O409" t="s">
        <v>64</v>
      </c>
    </row>
    <row r="410" spans="1:15">
      <c r="A410" t="s">
        <v>507</v>
      </c>
      <c r="B410" s="3">
        <v>45776</v>
      </c>
      <c r="C410" t="s">
        <v>54</v>
      </c>
      <c r="D410" t="s">
        <v>55</v>
      </c>
      <c r="E410" t="s">
        <v>79</v>
      </c>
      <c r="F410" t="s">
        <v>85</v>
      </c>
      <c r="G410" s="6">
        <v>4</v>
      </c>
      <c r="H410" s="4">
        <v>129.69</v>
      </c>
      <c r="I410" s="4">
        <v>82.63</v>
      </c>
      <c r="J410" s="5">
        <v>0</v>
      </c>
      <c r="K410" s="6">
        <v>0</v>
      </c>
      <c r="L410" s="6">
        <v>4</v>
      </c>
      <c r="M410" t="s">
        <v>58</v>
      </c>
      <c r="N410" t="s">
        <v>69</v>
      </c>
      <c r="O410" t="s">
        <v>64</v>
      </c>
    </row>
    <row r="411" spans="1:15">
      <c r="A411" t="s">
        <v>508</v>
      </c>
      <c r="B411" s="3">
        <v>45832</v>
      </c>
      <c r="C411" t="s">
        <v>54</v>
      </c>
      <c r="D411" t="s">
        <v>62</v>
      </c>
      <c r="E411" t="s">
        <v>56</v>
      </c>
      <c r="F411" t="s">
        <v>83</v>
      </c>
      <c r="G411" s="6">
        <v>3</v>
      </c>
      <c r="H411" s="4">
        <v>64.010000000000005</v>
      </c>
      <c r="I411" s="4">
        <v>34.979999999999997</v>
      </c>
      <c r="J411" s="5">
        <v>0</v>
      </c>
      <c r="K411" s="6">
        <v>3</v>
      </c>
      <c r="L411" s="6">
        <v>4</v>
      </c>
      <c r="M411" t="s">
        <v>58</v>
      </c>
      <c r="N411" t="s">
        <v>87</v>
      </c>
      <c r="O411" t="s">
        <v>64</v>
      </c>
    </row>
    <row r="412" spans="1:15">
      <c r="A412" t="s">
        <v>509</v>
      </c>
      <c r="B412" s="3">
        <v>45792</v>
      </c>
      <c r="C412" t="s">
        <v>66</v>
      </c>
      <c r="D412" t="s">
        <v>62</v>
      </c>
      <c r="E412" t="s">
        <v>67</v>
      </c>
      <c r="F412" t="s">
        <v>71</v>
      </c>
      <c r="G412" s="6">
        <v>1</v>
      </c>
      <c r="H412" s="4">
        <v>72.25</v>
      </c>
      <c r="I412" s="4">
        <v>38.04</v>
      </c>
      <c r="J412" s="5">
        <v>0.15000000000000002</v>
      </c>
      <c r="K412" s="6">
        <v>3</v>
      </c>
      <c r="L412" s="6">
        <v>5</v>
      </c>
      <c r="M412" t="s">
        <v>58</v>
      </c>
      <c r="N412" t="s">
        <v>59</v>
      </c>
      <c r="O412" t="s">
        <v>64</v>
      </c>
    </row>
    <row r="413" spans="1:15">
      <c r="A413" t="s">
        <v>510</v>
      </c>
      <c r="B413" s="3">
        <v>45895</v>
      </c>
      <c r="C413" t="s">
        <v>66</v>
      </c>
      <c r="D413" t="s">
        <v>62</v>
      </c>
      <c r="E413" t="s">
        <v>56</v>
      </c>
      <c r="F413" t="s">
        <v>89</v>
      </c>
      <c r="G413" s="6">
        <v>2</v>
      </c>
      <c r="H413" s="4">
        <v>81.05</v>
      </c>
      <c r="I413" s="4">
        <v>46.18</v>
      </c>
      <c r="J413" s="5">
        <v>0</v>
      </c>
      <c r="K413" s="6">
        <v>5</v>
      </c>
      <c r="L413" s="6">
        <v>3</v>
      </c>
      <c r="M413" t="s">
        <v>126</v>
      </c>
      <c r="N413" t="s">
        <v>59</v>
      </c>
      <c r="O413" t="s">
        <v>64</v>
      </c>
    </row>
    <row r="414" spans="1:15">
      <c r="A414" t="s">
        <v>511</v>
      </c>
      <c r="B414" s="3">
        <v>45851</v>
      </c>
      <c r="C414" t="s">
        <v>66</v>
      </c>
      <c r="D414" t="s">
        <v>129</v>
      </c>
      <c r="E414" t="s">
        <v>56</v>
      </c>
      <c r="F414" t="s">
        <v>83</v>
      </c>
      <c r="G414" s="6">
        <v>4</v>
      </c>
      <c r="H414" s="4">
        <v>63.66</v>
      </c>
      <c r="I414" s="4">
        <v>36.74</v>
      </c>
      <c r="J414" s="5">
        <v>0.05</v>
      </c>
      <c r="K414" s="6">
        <v>3</v>
      </c>
      <c r="L414" s="6">
        <v>4</v>
      </c>
      <c r="M414" t="s">
        <v>58</v>
      </c>
      <c r="N414" t="s">
        <v>59</v>
      </c>
      <c r="O414" t="s">
        <v>64</v>
      </c>
    </row>
    <row r="415" spans="1:15">
      <c r="A415" t="s">
        <v>512</v>
      </c>
      <c r="B415" s="3">
        <v>45871</v>
      </c>
      <c r="C415" t="s">
        <v>66</v>
      </c>
      <c r="D415" t="s">
        <v>62</v>
      </c>
      <c r="E415" t="s">
        <v>67</v>
      </c>
      <c r="F415" t="s">
        <v>68</v>
      </c>
      <c r="G415" s="6">
        <v>1</v>
      </c>
      <c r="H415" s="4">
        <v>41.47</v>
      </c>
      <c r="I415" s="4">
        <v>19.53</v>
      </c>
      <c r="J415" s="5">
        <v>0.05</v>
      </c>
      <c r="K415" s="6">
        <v>5</v>
      </c>
      <c r="L415" s="6">
        <v>4</v>
      </c>
      <c r="M415" t="s">
        <v>58</v>
      </c>
      <c r="N415" t="s">
        <v>59</v>
      </c>
      <c r="O415" t="s">
        <v>64</v>
      </c>
    </row>
    <row r="416" spans="1:15">
      <c r="A416" t="s">
        <v>513</v>
      </c>
      <c r="B416" s="3">
        <v>45992</v>
      </c>
      <c r="C416" t="s">
        <v>82</v>
      </c>
      <c r="D416" t="s">
        <v>62</v>
      </c>
      <c r="E416" t="s">
        <v>67</v>
      </c>
      <c r="F416" t="s">
        <v>94</v>
      </c>
      <c r="G416" s="6">
        <v>1</v>
      </c>
      <c r="H416" s="4">
        <v>35.47</v>
      </c>
      <c r="I416" s="4">
        <v>17.59</v>
      </c>
      <c r="J416" s="5">
        <v>0.05</v>
      </c>
      <c r="K416" s="6">
        <v>5</v>
      </c>
      <c r="L416" s="6">
        <v>4</v>
      </c>
      <c r="M416" t="s">
        <v>58</v>
      </c>
      <c r="N416" t="s">
        <v>59</v>
      </c>
      <c r="O416" t="s">
        <v>73</v>
      </c>
    </row>
    <row r="417" spans="1:15">
      <c r="A417" t="s">
        <v>514</v>
      </c>
      <c r="B417" s="3">
        <v>45974</v>
      </c>
      <c r="C417" t="s">
        <v>66</v>
      </c>
      <c r="D417" t="s">
        <v>55</v>
      </c>
      <c r="E417" t="s">
        <v>79</v>
      </c>
      <c r="F417" t="s">
        <v>80</v>
      </c>
      <c r="G417" s="6">
        <v>3</v>
      </c>
      <c r="H417" s="4">
        <v>73.75</v>
      </c>
      <c r="I417" s="4">
        <v>43.66</v>
      </c>
      <c r="J417" s="5">
        <v>0.25</v>
      </c>
      <c r="K417" s="6">
        <v>0</v>
      </c>
      <c r="L417" s="6">
        <v>4</v>
      </c>
      <c r="M417" t="s">
        <v>58</v>
      </c>
      <c r="N417" t="s">
        <v>69</v>
      </c>
      <c r="O417" t="s">
        <v>64</v>
      </c>
    </row>
    <row r="418" spans="1:15">
      <c r="A418" t="s">
        <v>515</v>
      </c>
      <c r="B418" s="3">
        <v>45847</v>
      </c>
      <c r="C418" t="s">
        <v>66</v>
      </c>
      <c r="D418" t="s">
        <v>62</v>
      </c>
      <c r="E418" t="s">
        <v>79</v>
      </c>
      <c r="F418" t="s">
        <v>80</v>
      </c>
      <c r="G418" s="6">
        <v>2</v>
      </c>
      <c r="H418" s="4">
        <v>72.97</v>
      </c>
      <c r="I418" s="4">
        <v>43.85</v>
      </c>
      <c r="J418" s="5">
        <v>0.05</v>
      </c>
      <c r="K418" s="6">
        <v>9</v>
      </c>
      <c r="L418" s="6">
        <v>3</v>
      </c>
      <c r="M418" t="s">
        <v>58</v>
      </c>
      <c r="N418" t="s">
        <v>59</v>
      </c>
      <c r="O418" t="s">
        <v>64</v>
      </c>
    </row>
    <row r="419" spans="1:15">
      <c r="A419" t="s">
        <v>516</v>
      </c>
      <c r="B419" s="3">
        <v>45981</v>
      </c>
      <c r="C419" t="s">
        <v>66</v>
      </c>
      <c r="D419" t="s">
        <v>55</v>
      </c>
      <c r="E419" t="s">
        <v>75</v>
      </c>
      <c r="F419" t="s">
        <v>97</v>
      </c>
      <c r="G419" s="6">
        <v>5</v>
      </c>
      <c r="H419" s="4">
        <v>92.09</v>
      </c>
      <c r="I419" s="4">
        <v>56.34</v>
      </c>
      <c r="J419" s="5">
        <v>0.1</v>
      </c>
      <c r="K419" s="6">
        <v>4</v>
      </c>
      <c r="L419" s="6">
        <v>5</v>
      </c>
      <c r="M419" t="s">
        <v>58</v>
      </c>
      <c r="N419" t="s">
        <v>87</v>
      </c>
      <c r="O419" t="s">
        <v>64</v>
      </c>
    </row>
    <row r="420" spans="1:15">
      <c r="A420" t="s">
        <v>517</v>
      </c>
      <c r="B420" s="3">
        <v>45728</v>
      </c>
      <c r="C420" t="s">
        <v>78</v>
      </c>
      <c r="D420" t="s">
        <v>62</v>
      </c>
      <c r="E420" t="s">
        <v>75</v>
      </c>
      <c r="F420" t="s">
        <v>97</v>
      </c>
      <c r="G420" s="6">
        <v>1</v>
      </c>
      <c r="H420" s="4">
        <v>87.52</v>
      </c>
      <c r="I420" s="4">
        <v>52.93</v>
      </c>
      <c r="J420" s="5">
        <v>0.05</v>
      </c>
      <c r="K420" s="6">
        <v>8</v>
      </c>
      <c r="L420" s="6">
        <v>3</v>
      </c>
      <c r="M420" t="s">
        <v>58</v>
      </c>
      <c r="N420" t="s">
        <v>59</v>
      </c>
      <c r="O420" t="s">
        <v>64</v>
      </c>
    </row>
    <row r="421" spans="1:15">
      <c r="A421" t="s">
        <v>518</v>
      </c>
      <c r="B421" s="3">
        <v>45797</v>
      </c>
      <c r="C421" t="s">
        <v>66</v>
      </c>
      <c r="D421" t="s">
        <v>55</v>
      </c>
      <c r="E421" t="s">
        <v>56</v>
      </c>
      <c r="F421" t="s">
        <v>63</v>
      </c>
      <c r="G421" s="6">
        <v>6</v>
      </c>
      <c r="H421" s="4">
        <v>41.07</v>
      </c>
      <c r="I421" s="4">
        <v>20.49</v>
      </c>
      <c r="J421" s="5">
        <v>0.05</v>
      </c>
      <c r="K421" s="6">
        <v>5</v>
      </c>
      <c r="L421" s="6">
        <v>4</v>
      </c>
      <c r="M421" t="s">
        <v>58</v>
      </c>
      <c r="N421" t="s">
        <v>59</v>
      </c>
      <c r="O421" t="s">
        <v>64</v>
      </c>
    </row>
    <row r="422" spans="1:15">
      <c r="A422" t="s">
        <v>519</v>
      </c>
      <c r="B422" s="3">
        <v>46012</v>
      </c>
      <c r="C422" t="s">
        <v>66</v>
      </c>
      <c r="D422" t="s">
        <v>62</v>
      </c>
      <c r="E422" t="s">
        <v>67</v>
      </c>
      <c r="F422" t="s">
        <v>68</v>
      </c>
      <c r="G422" s="6">
        <v>1</v>
      </c>
      <c r="H422" s="4">
        <v>41.51</v>
      </c>
      <c r="I422" s="4">
        <v>19.920000000000002</v>
      </c>
      <c r="J422" s="5">
        <v>0.2</v>
      </c>
      <c r="K422" s="6">
        <v>5</v>
      </c>
      <c r="L422" s="6">
        <v>3</v>
      </c>
      <c r="M422" t="s">
        <v>126</v>
      </c>
      <c r="N422" t="s">
        <v>59</v>
      </c>
      <c r="O422" t="s">
        <v>73</v>
      </c>
    </row>
    <row r="423" spans="1:15">
      <c r="A423" t="s">
        <v>520</v>
      </c>
      <c r="B423" s="3">
        <v>45743</v>
      </c>
      <c r="C423" t="s">
        <v>78</v>
      </c>
      <c r="D423" t="s">
        <v>62</v>
      </c>
      <c r="E423" t="s">
        <v>75</v>
      </c>
      <c r="F423" t="s">
        <v>97</v>
      </c>
      <c r="G423" s="6">
        <v>2</v>
      </c>
      <c r="H423" s="4">
        <v>89.16</v>
      </c>
      <c r="I423" s="4">
        <v>52.69</v>
      </c>
      <c r="J423" s="5">
        <v>0</v>
      </c>
      <c r="K423" s="6">
        <v>5</v>
      </c>
      <c r="L423" s="6">
        <v>5</v>
      </c>
      <c r="M423" t="s">
        <v>58</v>
      </c>
      <c r="N423" t="s">
        <v>59</v>
      </c>
      <c r="O423" t="s">
        <v>73</v>
      </c>
    </row>
    <row r="424" spans="1:15">
      <c r="A424" t="s">
        <v>521</v>
      </c>
      <c r="B424" s="3">
        <v>45861</v>
      </c>
      <c r="C424" t="s">
        <v>78</v>
      </c>
      <c r="D424" t="s">
        <v>62</v>
      </c>
      <c r="E424" t="s">
        <v>67</v>
      </c>
      <c r="F424" t="s">
        <v>94</v>
      </c>
      <c r="G424" s="6">
        <v>2</v>
      </c>
      <c r="H424" s="4">
        <v>35.29</v>
      </c>
      <c r="I424" s="4">
        <v>16.73</v>
      </c>
      <c r="J424" s="5">
        <v>0</v>
      </c>
      <c r="K424" s="6">
        <v>4</v>
      </c>
      <c r="L424" s="6">
        <v>4</v>
      </c>
      <c r="M424" t="s">
        <v>58</v>
      </c>
      <c r="N424" t="s">
        <v>59</v>
      </c>
      <c r="O424" t="s">
        <v>64</v>
      </c>
    </row>
    <row r="425" spans="1:15">
      <c r="A425" t="s">
        <v>522</v>
      </c>
      <c r="B425" s="3">
        <v>46019</v>
      </c>
      <c r="C425" t="s">
        <v>54</v>
      </c>
      <c r="D425" t="s">
        <v>55</v>
      </c>
      <c r="E425" t="s">
        <v>75</v>
      </c>
      <c r="F425" t="s">
        <v>97</v>
      </c>
      <c r="G425" s="6">
        <v>1</v>
      </c>
      <c r="H425" s="4">
        <v>89.78</v>
      </c>
      <c r="I425" s="4">
        <v>55.27</v>
      </c>
      <c r="J425" s="5">
        <v>0.05</v>
      </c>
      <c r="K425" s="6">
        <v>7</v>
      </c>
      <c r="L425" s="6">
        <v>3</v>
      </c>
      <c r="M425" t="s">
        <v>126</v>
      </c>
      <c r="N425" t="s">
        <v>59</v>
      </c>
      <c r="O425" t="s">
        <v>64</v>
      </c>
    </row>
    <row r="426" spans="1:15">
      <c r="A426" t="s">
        <v>523</v>
      </c>
      <c r="B426" s="3">
        <v>46018</v>
      </c>
      <c r="C426" t="s">
        <v>66</v>
      </c>
      <c r="D426" t="s">
        <v>62</v>
      </c>
      <c r="E426" t="s">
        <v>56</v>
      </c>
      <c r="F426" t="s">
        <v>89</v>
      </c>
      <c r="G426" s="6">
        <v>1</v>
      </c>
      <c r="H426" s="4">
        <v>79.84</v>
      </c>
      <c r="I426" s="4">
        <v>46.84</v>
      </c>
      <c r="J426" s="5">
        <v>0.15000000000000002</v>
      </c>
      <c r="K426" s="6">
        <v>4</v>
      </c>
      <c r="L426" s="6">
        <v>4</v>
      </c>
      <c r="M426" t="s">
        <v>58</v>
      </c>
      <c r="N426" t="s">
        <v>69</v>
      </c>
      <c r="O426" t="s">
        <v>64</v>
      </c>
    </row>
    <row r="427" spans="1:15">
      <c r="A427" t="s">
        <v>524</v>
      </c>
      <c r="B427" s="3">
        <v>46012</v>
      </c>
      <c r="C427" t="s">
        <v>78</v>
      </c>
      <c r="D427" t="s">
        <v>62</v>
      </c>
      <c r="E427" t="s">
        <v>56</v>
      </c>
      <c r="F427" t="s">
        <v>83</v>
      </c>
      <c r="G427" s="6">
        <v>1</v>
      </c>
      <c r="H427" s="4">
        <v>66.63</v>
      </c>
      <c r="I427" s="4">
        <v>34.08</v>
      </c>
      <c r="J427" s="5">
        <v>0.05</v>
      </c>
      <c r="K427" s="6">
        <v>1</v>
      </c>
      <c r="L427" s="6">
        <v>4</v>
      </c>
      <c r="M427" t="s">
        <v>58</v>
      </c>
      <c r="N427" t="s">
        <v>59</v>
      </c>
      <c r="O427" t="s">
        <v>64</v>
      </c>
    </row>
    <row r="428" spans="1:15">
      <c r="A428" t="s">
        <v>525</v>
      </c>
      <c r="B428" s="3">
        <v>45973</v>
      </c>
      <c r="C428" t="s">
        <v>54</v>
      </c>
      <c r="D428" t="s">
        <v>62</v>
      </c>
      <c r="E428" t="s">
        <v>79</v>
      </c>
      <c r="F428" t="s">
        <v>80</v>
      </c>
      <c r="G428" s="6">
        <v>1</v>
      </c>
      <c r="H428" s="4">
        <v>76.34</v>
      </c>
      <c r="I428" s="4">
        <v>43.88</v>
      </c>
      <c r="J428" s="5">
        <v>0.1</v>
      </c>
      <c r="K428" s="6">
        <v>1</v>
      </c>
      <c r="L428" s="6">
        <v>5</v>
      </c>
      <c r="M428" t="s">
        <v>58</v>
      </c>
      <c r="N428" t="s">
        <v>69</v>
      </c>
      <c r="O428" t="s">
        <v>64</v>
      </c>
    </row>
    <row r="429" spans="1:15">
      <c r="A429" t="s">
        <v>526</v>
      </c>
      <c r="B429" s="3">
        <v>45917</v>
      </c>
      <c r="C429" t="s">
        <v>54</v>
      </c>
      <c r="D429" t="s">
        <v>62</v>
      </c>
      <c r="E429" t="s">
        <v>56</v>
      </c>
      <c r="F429" t="s">
        <v>89</v>
      </c>
      <c r="G429" s="6">
        <v>2</v>
      </c>
      <c r="H429" s="4">
        <v>78.150000000000006</v>
      </c>
      <c r="I429" s="4">
        <v>45.01</v>
      </c>
      <c r="J429" s="5">
        <v>0.05</v>
      </c>
      <c r="K429" s="6">
        <v>1</v>
      </c>
      <c r="L429" s="6">
        <v>4</v>
      </c>
      <c r="M429" t="s">
        <v>58</v>
      </c>
      <c r="N429" t="s">
        <v>59</v>
      </c>
      <c r="O429" t="s">
        <v>60</v>
      </c>
    </row>
    <row r="430" spans="1:15">
      <c r="A430" t="s">
        <v>527</v>
      </c>
      <c r="B430" s="3">
        <v>45792</v>
      </c>
      <c r="C430" t="s">
        <v>78</v>
      </c>
      <c r="D430" t="s">
        <v>62</v>
      </c>
      <c r="E430" t="s">
        <v>79</v>
      </c>
      <c r="F430" t="s">
        <v>115</v>
      </c>
      <c r="G430" s="6">
        <v>1</v>
      </c>
      <c r="H430" s="4">
        <v>62.14</v>
      </c>
      <c r="I430" s="4">
        <v>33.75</v>
      </c>
      <c r="J430" s="5">
        <v>0</v>
      </c>
      <c r="K430" s="6">
        <v>3</v>
      </c>
      <c r="L430" s="6">
        <v>5</v>
      </c>
      <c r="M430" t="s">
        <v>58</v>
      </c>
      <c r="N430" t="s">
        <v>59</v>
      </c>
      <c r="O430" t="s">
        <v>64</v>
      </c>
    </row>
    <row r="431" spans="1:15">
      <c r="A431" t="s">
        <v>528</v>
      </c>
      <c r="B431" s="3">
        <v>45795</v>
      </c>
      <c r="C431" t="s">
        <v>66</v>
      </c>
      <c r="D431" t="s">
        <v>55</v>
      </c>
      <c r="E431" t="s">
        <v>56</v>
      </c>
      <c r="F431" t="s">
        <v>63</v>
      </c>
      <c r="G431" s="6">
        <v>3</v>
      </c>
      <c r="H431" s="4">
        <v>40.880000000000003</v>
      </c>
      <c r="I431" s="4">
        <v>20.73</v>
      </c>
      <c r="J431" s="5">
        <v>0.05</v>
      </c>
      <c r="K431" s="6">
        <v>7</v>
      </c>
      <c r="L431" s="6">
        <v>4</v>
      </c>
      <c r="M431" t="s">
        <v>58</v>
      </c>
      <c r="N431" t="s">
        <v>87</v>
      </c>
      <c r="O431" t="s">
        <v>64</v>
      </c>
    </row>
    <row r="432" spans="1:15">
      <c r="A432" t="s">
        <v>529</v>
      </c>
      <c r="B432" s="3">
        <v>46003</v>
      </c>
      <c r="C432" t="s">
        <v>82</v>
      </c>
      <c r="D432" t="s">
        <v>62</v>
      </c>
      <c r="E432" t="s">
        <v>79</v>
      </c>
      <c r="F432" t="s">
        <v>92</v>
      </c>
      <c r="G432" s="6">
        <v>1</v>
      </c>
      <c r="H432" s="4">
        <v>49.59</v>
      </c>
      <c r="I432" s="4">
        <v>26.21</v>
      </c>
      <c r="J432" s="5">
        <v>0.1</v>
      </c>
      <c r="K432" s="6">
        <v>3</v>
      </c>
      <c r="L432" s="6">
        <v>3</v>
      </c>
      <c r="M432" t="s">
        <v>126</v>
      </c>
      <c r="N432" t="s">
        <v>59</v>
      </c>
      <c r="O432" t="s">
        <v>64</v>
      </c>
    </row>
    <row r="433" spans="1:15">
      <c r="A433" t="s">
        <v>530</v>
      </c>
      <c r="B433" s="3">
        <v>46014</v>
      </c>
      <c r="C433" t="s">
        <v>54</v>
      </c>
      <c r="D433" t="s">
        <v>55</v>
      </c>
      <c r="E433" t="s">
        <v>79</v>
      </c>
      <c r="F433" t="s">
        <v>85</v>
      </c>
      <c r="G433" s="6">
        <v>3</v>
      </c>
      <c r="H433" s="4">
        <v>131.66999999999999</v>
      </c>
      <c r="I433" s="4">
        <v>82.57</v>
      </c>
      <c r="J433" s="5">
        <v>0.15000000000000002</v>
      </c>
      <c r="K433" s="6">
        <v>4</v>
      </c>
      <c r="L433" s="6">
        <v>4</v>
      </c>
      <c r="M433" t="s">
        <v>58</v>
      </c>
      <c r="N433" t="s">
        <v>87</v>
      </c>
      <c r="O433" t="s">
        <v>60</v>
      </c>
    </row>
    <row r="434" spans="1:15">
      <c r="A434" t="s">
        <v>531</v>
      </c>
      <c r="B434" s="3">
        <v>45816</v>
      </c>
      <c r="C434" t="s">
        <v>78</v>
      </c>
      <c r="D434" t="s">
        <v>62</v>
      </c>
      <c r="E434" t="s">
        <v>79</v>
      </c>
      <c r="F434" t="s">
        <v>85</v>
      </c>
      <c r="G434" s="6">
        <v>1</v>
      </c>
      <c r="H434" s="4">
        <v>127.41</v>
      </c>
      <c r="I434" s="4">
        <v>86.89</v>
      </c>
      <c r="J434" s="5">
        <v>0.05</v>
      </c>
      <c r="K434" s="6">
        <v>1</v>
      </c>
      <c r="L434" s="6">
        <v>3</v>
      </c>
      <c r="M434" t="s">
        <v>126</v>
      </c>
      <c r="N434" t="s">
        <v>69</v>
      </c>
      <c r="O434" t="s">
        <v>64</v>
      </c>
    </row>
    <row r="435" spans="1:15">
      <c r="A435" t="s">
        <v>532</v>
      </c>
      <c r="B435" s="3">
        <v>45978</v>
      </c>
      <c r="C435" t="s">
        <v>78</v>
      </c>
      <c r="D435" t="s">
        <v>62</v>
      </c>
      <c r="E435" t="s">
        <v>56</v>
      </c>
      <c r="F435" t="s">
        <v>63</v>
      </c>
      <c r="G435" s="6">
        <v>1</v>
      </c>
      <c r="H435" s="4">
        <v>41.57</v>
      </c>
      <c r="I435" s="4">
        <v>20.12</v>
      </c>
      <c r="J435" s="5">
        <v>0.1</v>
      </c>
      <c r="K435" s="6">
        <v>3</v>
      </c>
      <c r="L435" s="6">
        <v>5</v>
      </c>
      <c r="M435" t="s">
        <v>58</v>
      </c>
      <c r="N435" t="s">
        <v>59</v>
      </c>
      <c r="O435" t="s">
        <v>60</v>
      </c>
    </row>
    <row r="436" spans="1:15">
      <c r="A436" t="s">
        <v>533</v>
      </c>
      <c r="B436" s="3">
        <v>45770</v>
      </c>
      <c r="C436" t="s">
        <v>82</v>
      </c>
      <c r="D436" t="s">
        <v>129</v>
      </c>
      <c r="E436" t="s">
        <v>56</v>
      </c>
      <c r="F436" t="s">
        <v>89</v>
      </c>
      <c r="G436" s="6">
        <v>3</v>
      </c>
      <c r="H436" s="4">
        <v>77.81</v>
      </c>
      <c r="I436" s="4">
        <v>45.44</v>
      </c>
      <c r="J436" s="5">
        <v>0.1</v>
      </c>
      <c r="K436" s="6">
        <v>4</v>
      </c>
      <c r="L436" s="6">
        <v>4</v>
      </c>
      <c r="M436" t="s">
        <v>126</v>
      </c>
      <c r="N436" t="s">
        <v>59</v>
      </c>
      <c r="O436" t="s">
        <v>64</v>
      </c>
    </row>
    <row r="437" spans="1:15">
      <c r="A437" t="s">
        <v>534</v>
      </c>
      <c r="B437" s="3">
        <v>45702</v>
      </c>
      <c r="C437" t="s">
        <v>54</v>
      </c>
      <c r="D437" t="s">
        <v>129</v>
      </c>
      <c r="E437" t="s">
        <v>79</v>
      </c>
      <c r="F437" t="s">
        <v>92</v>
      </c>
      <c r="G437" s="6">
        <v>6</v>
      </c>
      <c r="H437" s="4">
        <v>51.45</v>
      </c>
      <c r="I437" s="4">
        <v>26.72</v>
      </c>
      <c r="J437" s="5">
        <v>0.1</v>
      </c>
      <c r="K437" s="6">
        <v>7</v>
      </c>
      <c r="L437" s="6">
        <v>4</v>
      </c>
      <c r="M437" t="s">
        <v>58</v>
      </c>
      <c r="N437" t="s">
        <v>59</v>
      </c>
      <c r="O437" t="s">
        <v>64</v>
      </c>
    </row>
    <row r="438" spans="1:15">
      <c r="A438" t="s">
        <v>535</v>
      </c>
      <c r="B438" s="3">
        <v>45954</v>
      </c>
      <c r="C438" t="s">
        <v>78</v>
      </c>
      <c r="D438" t="s">
        <v>62</v>
      </c>
      <c r="E438" t="s">
        <v>79</v>
      </c>
      <c r="F438" t="s">
        <v>80</v>
      </c>
      <c r="G438" s="6">
        <v>1</v>
      </c>
      <c r="H438" s="4">
        <v>73.77</v>
      </c>
      <c r="I438" s="4">
        <v>44.24</v>
      </c>
      <c r="J438" s="5">
        <v>0</v>
      </c>
      <c r="K438" s="6">
        <v>3</v>
      </c>
      <c r="L438" s="6">
        <v>4</v>
      </c>
      <c r="M438" t="s">
        <v>58</v>
      </c>
      <c r="N438" t="s">
        <v>59</v>
      </c>
      <c r="O438" t="s">
        <v>60</v>
      </c>
    </row>
    <row r="439" spans="1:15">
      <c r="A439" t="s">
        <v>536</v>
      </c>
      <c r="B439" s="3">
        <v>45773</v>
      </c>
      <c r="C439" t="s">
        <v>66</v>
      </c>
      <c r="D439" t="s">
        <v>62</v>
      </c>
      <c r="E439" t="s">
        <v>75</v>
      </c>
      <c r="F439" t="s">
        <v>76</v>
      </c>
      <c r="G439" s="6">
        <v>1</v>
      </c>
      <c r="H439" s="4">
        <v>116.49</v>
      </c>
      <c r="I439" s="4">
        <v>71.11</v>
      </c>
      <c r="J439" s="5">
        <v>0</v>
      </c>
      <c r="K439" s="6">
        <v>6</v>
      </c>
      <c r="L439" s="6">
        <v>4</v>
      </c>
      <c r="M439" t="s">
        <v>58</v>
      </c>
      <c r="N439" t="s">
        <v>59</v>
      </c>
      <c r="O439" t="s">
        <v>64</v>
      </c>
    </row>
    <row r="440" spans="1:15">
      <c r="A440" t="s">
        <v>537</v>
      </c>
      <c r="B440" s="3">
        <v>45901</v>
      </c>
      <c r="C440" t="s">
        <v>82</v>
      </c>
      <c r="D440" t="s">
        <v>62</v>
      </c>
      <c r="E440" t="s">
        <v>56</v>
      </c>
      <c r="F440" t="s">
        <v>89</v>
      </c>
      <c r="G440" s="6">
        <v>1</v>
      </c>
      <c r="H440" s="4">
        <v>82.78</v>
      </c>
      <c r="I440" s="4">
        <v>44.32</v>
      </c>
      <c r="J440" s="5">
        <v>0.05</v>
      </c>
      <c r="K440" s="6">
        <v>0</v>
      </c>
      <c r="L440" s="6">
        <v>5</v>
      </c>
      <c r="M440" t="s">
        <v>58</v>
      </c>
      <c r="N440" t="s">
        <v>69</v>
      </c>
      <c r="O440" t="s">
        <v>64</v>
      </c>
    </row>
    <row r="441" spans="1:15">
      <c r="A441" t="s">
        <v>538</v>
      </c>
      <c r="B441" s="3">
        <v>45666</v>
      </c>
      <c r="C441" t="s">
        <v>78</v>
      </c>
      <c r="D441" t="s">
        <v>62</v>
      </c>
      <c r="E441" t="s">
        <v>79</v>
      </c>
      <c r="F441" t="s">
        <v>92</v>
      </c>
      <c r="G441" s="6">
        <v>1</v>
      </c>
      <c r="H441" s="4">
        <v>48.58</v>
      </c>
      <c r="I441" s="4">
        <v>25.39</v>
      </c>
      <c r="J441" s="5">
        <v>0</v>
      </c>
      <c r="K441" s="6">
        <v>3</v>
      </c>
      <c r="L441" s="6">
        <v>5</v>
      </c>
      <c r="M441" t="s">
        <v>58</v>
      </c>
      <c r="N441" t="s">
        <v>59</v>
      </c>
      <c r="O441" t="s">
        <v>64</v>
      </c>
    </row>
    <row r="442" spans="1:15">
      <c r="A442" t="s">
        <v>539</v>
      </c>
      <c r="B442" s="3">
        <v>45782</v>
      </c>
      <c r="C442" t="s">
        <v>54</v>
      </c>
      <c r="D442" t="s">
        <v>129</v>
      </c>
      <c r="E442" t="s">
        <v>75</v>
      </c>
      <c r="F442" t="s">
        <v>110</v>
      </c>
      <c r="G442" s="6">
        <v>5</v>
      </c>
      <c r="H442" s="4">
        <v>157.55000000000001</v>
      </c>
      <c r="I442" s="4">
        <v>100.55</v>
      </c>
      <c r="J442" s="5">
        <v>0.1</v>
      </c>
      <c r="K442" s="6">
        <v>4</v>
      </c>
      <c r="L442" s="6">
        <v>4</v>
      </c>
      <c r="M442" t="s">
        <v>58</v>
      </c>
      <c r="N442" t="s">
        <v>69</v>
      </c>
      <c r="O442" t="s">
        <v>60</v>
      </c>
    </row>
    <row r="443" spans="1:15">
      <c r="A443" t="s">
        <v>540</v>
      </c>
      <c r="B443" s="3">
        <v>45944</v>
      </c>
      <c r="C443" t="s">
        <v>54</v>
      </c>
      <c r="D443" t="s">
        <v>62</v>
      </c>
      <c r="E443" t="s">
        <v>79</v>
      </c>
      <c r="F443" t="s">
        <v>80</v>
      </c>
      <c r="G443" s="6">
        <v>1</v>
      </c>
      <c r="H443" s="4">
        <v>76.930000000000007</v>
      </c>
      <c r="I443" s="4">
        <v>43.56</v>
      </c>
      <c r="J443" s="5">
        <v>0</v>
      </c>
      <c r="K443" s="6">
        <v>6</v>
      </c>
      <c r="L443" s="6">
        <v>4</v>
      </c>
      <c r="M443" t="s">
        <v>58</v>
      </c>
      <c r="N443" t="s">
        <v>59</v>
      </c>
      <c r="O443" t="s">
        <v>64</v>
      </c>
    </row>
    <row r="444" spans="1:15">
      <c r="A444" t="s">
        <v>541</v>
      </c>
      <c r="B444" s="3">
        <v>45857</v>
      </c>
      <c r="C444" t="s">
        <v>78</v>
      </c>
      <c r="D444" t="s">
        <v>62</v>
      </c>
      <c r="E444" t="s">
        <v>79</v>
      </c>
      <c r="F444" t="s">
        <v>80</v>
      </c>
      <c r="G444" s="6">
        <v>1</v>
      </c>
      <c r="H444" s="4">
        <v>74.73</v>
      </c>
      <c r="I444" s="4">
        <v>42.87</v>
      </c>
      <c r="J444" s="5">
        <v>0</v>
      </c>
      <c r="K444" s="6">
        <v>0</v>
      </c>
      <c r="L444" s="6">
        <v>4</v>
      </c>
      <c r="M444" t="s">
        <v>58</v>
      </c>
      <c r="N444" t="s">
        <v>69</v>
      </c>
      <c r="O444" t="s">
        <v>64</v>
      </c>
    </row>
    <row r="445" spans="1:15">
      <c r="A445" t="s">
        <v>542</v>
      </c>
      <c r="B445" s="3">
        <v>45802</v>
      </c>
      <c r="C445" t="s">
        <v>54</v>
      </c>
      <c r="D445" t="s">
        <v>62</v>
      </c>
      <c r="E445" t="s">
        <v>79</v>
      </c>
      <c r="F445" t="s">
        <v>115</v>
      </c>
      <c r="G445" s="6">
        <v>2</v>
      </c>
      <c r="H445" s="4">
        <v>59.27</v>
      </c>
      <c r="I445" s="4">
        <v>34.450000000000003</v>
      </c>
      <c r="J445" s="5">
        <v>0.05</v>
      </c>
      <c r="K445" s="6">
        <v>2</v>
      </c>
      <c r="L445" s="6">
        <v>5</v>
      </c>
      <c r="M445" t="s">
        <v>58</v>
      </c>
      <c r="N445" t="s">
        <v>59</v>
      </c>
      <c r="O445" t="s">
        <v>73</v>
      </c>
    </row>
    <row r="446" spans="1:15">
      <c r="A446" t="s">
        <v>543</v>
      </c>
      <c r="B446" s="3">
        <v>45714</v>
      </c>
      <c r="C446" t="s">
        <v>82</v>
      </c>
      <c r="D446" t="s">
        <v>62</v>
      </c>
      <c r="E446" t="s">
        <v>79</v>
      </c>
      <c r="F446" t="s">
        <v>92</v>
      </c>
      <c r="G446" s="6">
        <v>2</v>
      </c>
      <c r="H446" s="4">
        <v>51.96</v>
      </c>
      <c r="I446" s="4">
        <v>26.14</v>
      </c>
      <c r="J446" s="5">
        <v>0.05</v>
      </c>
      <c r="K446" s="6">
        <v>1</v>
      </c>
      <c r="L446" s="6">
        <v>4</v>
      </c>
      <c r="M446" t="s">
        <v>58</v>
      </c>
      <c r="N446" t="s">
        <v>59</v>
      </c>
      <c r="O446" t="s">
        <v>64</v>
      </c>
    </row>
    <row r="447" spans="1:15">
      <c r="A447" t="s">
        <v>544</v>
      </c>
      <c r="B447" s="3">
        <v>45731</v>
      </c>
      <c r="C447" t="s">
        <v>78</v>
      </c>
      <c r="D447" t="s">
        <v>55</v>
      </c>
      <c r="E447" t="s">
        <v>67</v>
      </c>
      <c r="F447" t="s">
        <v>71</v>
      </c>
      <c r="G447" s="6">
        <v>1</v>
      </c>
      <c r="H447" s="4">
        <v>70.12</v>
      </c>
      <c r="I447" s="4">
        <v>36.93</v>
      </c>
      <c r="J447" s="5">
        <v>0.05</v>
      </c>
      <c r="K447" s="6">
        <v>3</v>
      </c>
      <c r="L447" s="6">
        <v>4</v>
      </c>
      <c r="M447" t="s">
        <v>58</v>
      </c>
      <c r="N447" t="s">
        <v>59</v>
      </c>
      <c r="O447" t="s">
        <v>64</v>
      </c>
    </row>
    <row r="448" spans="1:15">
      <c r="A448" t="s">
        <v>545</v>
      </c>
      <c r="B448" s="3">
        <v>45939</v>
      </c>
      <c r="C448" t="s">
        <v>66</v>
      </c>
      <c r="D448" t="s">
        <v>62</v>
      </c>
      <c r="E448" t="s">
        <v>79</v>
      </c>
      <c r="F448" t="s">
        <v>115</v>
      </c>
      <c r="G448" s="6">
        <v>4</v>
      </c>
      <c r="H448" s="4">
        <v>59.25</v>
      </c>
      <c r="I448" s="4">
        <v>35.479999999999997</v>
      </c>
      <c r="J448" s="5">
        <v>0.05</v>
      </c>
      <c r="K448" s="6">
        <v>5</v>
      </c>
      <c r="L448" s="6">
        <v>5</v>
      </c>
      <c r="M448" t="s">
        <v>58</v>
      </c>
      <c r="N448" t="s">
        <v>59</v>
      </c>
      <c r="O448" t="s">
        <v>73</v>
      </c>
    </row>
    <row r="449" spans="1:15">
      <c r="A449" t="s">
        <v>546</v>
      </c>
      <c r="B449" s="3">
        <v>45874</v>
      </c>
      <c r="C449" t="s">
        <v>82</v>
      </c>
      <c r="D449" t="s">
        <v>62</v>
      </c>
      <c r="E449" t="s">
        <v>75</v>
      </c>
      <c r="F449" t="s">
        <v>97</v>
      </c>
      <c r="G449" s="6">
        <v>1</v>
      </c>
      <c r="H449" s="4">
        <v>91.01</v>
      </c>
      <c r="I449" s="4">
        <v>52.93</v>
      </c>
      <c r="J449" s="5">
        <v>0</v>
      </c>
      <c r="K449" s="6">
        <v>6</v>
      </c>
      <c r="L449" s="6">
        <v>4</v>
      </c>
      <c r="M449" t="s">
        <v>58</v>
      </c>
      <c r="N449" t="s">
        <v>59</v>
      </c>
      <c r="O449" t="s">
        <v>60</v>
      </c>
    </row>
    <row r="450" spans="1:15">
      <c r="A450" t="s">
        <v>547</v>
      </c>
      <c r="B450" s="3">
        <v>46016</v>
      </c>
      <c r="C450" t="s">
        <v>66</v>
      </c>
      <c r="D450" t="s">
        <v>129</v>
      </c>
      <c r="E450" t="s">
        <v>79</v>
      </c>
      <c r="F450" t="s">
        <v>92</v>
      </c>
      <c r="G450" s="6">
        <v>5</v>
      </c>
      <c r="H450" s="4">
        <v>50.11</v>
      </c>
      <c r="I450" s="4">
        <v>27.21</v>
      </c>
      <c r="J450" s="5">
        <v>0.1</v>
      </c>
      <c r="K450" s="6">
        <v>2</v>
      </c>
      <c r="L450" s="6">
        <v>5</v>
      </c>
      <c r="M450" t="s">
        <v>58</v>
      </c>
      <c r="N450" t="s">
        <v>69</v>
      </c>
      <c r="O450" t="s">
        <v>64</v>
      </c>
    </row>
    <row r="451" spans="1:15">
      <c r="A451" t="s">
        <v>548</v>
      </c>
      <c r="B451" s="3">
        <v>45769</v>
      </c>
      <c r="C451" t="s">
        <v>66</v>
      </c>
      <c r="D451" t="s">
        <v>62</v>
      </c>
      <c r="E451" t="s">
        <v>79</v>
      </c>
      <c r="F451" t="s">
        <v>115</v>
      </c>
      <c r="G451" s="6">
        <v>1</v>
      </c>
      <c r="H451" s="4">
        <v>58.54</v>
      </c>
      <c r="I451" s="4">
        <v>33.22</v>
      </c>
      <c r="J451" s="5">
        <v>0.1</v>
      </c>
      <c r="K451" s="6">
        <v>0</v>
      </c>
      <c r="L451" s="6">
        <v>4</v>
      </c>
      <c r="M451" t="s">
        <v>58</v>
      </c>
      <c r="N451" t="s">
        <v>69</v>
      </c>
      <c r="O451" t="s">
        <v>60</v>
      </c>
    </row>
    <row r="452" spans="1:15">
      <c r="A452" t="s">
        <v>549</v>
      </c>
      <c r="B452" s="3">
        <v>45743</v>
      </c>
      <c r="C452" t="s">
        <v>66</v>
      </c>
      <c r="D452" t="s">
        <v>62</v>
      </c>
      <c r="E452" t="s">
        <v>79</v>
      </c>
      <c r="F452" t="s">
        <v>80</v>
      </c>
      <c r="G452" s="6">
        <v>1</v>
      </c>
      <c r="H452" s="4">
        <v>76.290000000000006</v>
      </c>
      <c r="I452" s="4">
        <v>44.29</v>
      </c>
      <c r="J452" s="5">
        <v>0.1</v>
      </c>
      <c r="K452" s="6">
        <v>7</v>
      </c>
      <c r="L452" s="6">
        <v>3</v>
      </c>
      <c r="M452" t="s">
        <v>58</v>
      </c>
      <c r="N452" t="s">
        <v>59</v>
      </c>
      <c r="O452" t="s">
        <v>64</v>
      </c>
    </row>
    <row r="453" spans="1:15">
      <c r="A453" t="s">
        <v>550</v>
      </c>
      <c r="B453" s="3">
        <v>45796</v>
      </c>
      <c r="C453" t="s">
        <v>54</v>
      </c>
      <c r="D453" t="s">
        <v>62</v>
      </c>
      <c r="E453" t="s">
        <v>79</v>
      </c>
      <c r="F453" t="s">
        <v>92</v>
      </c>
      <c r="G453" s="6">
        <v>3</v>
      </c>
      <c r="H453" s="4">
        <v>48.7</v>
      </c>
      <c r="I453" s="4">
        <v>25.52</v>
      </c>
      <c r="J453" s="5">
        <v>0</v>
      </c>
      <c r="K453" s="6">
        <v>0</v>
      </c>
      <c r="L453" s="6">
        <v>3</v>
      </c>
      <c r="M453" t="s">
        <v>126</v>
      </c>
      <c r="N453" t="s">
        <v>69</v>
      </c>
      <c r="O453" t="s">
        <v>64</v>
      </c>
    </row>
    <row r="454" spans="1:15">
      <c r="A454" t="s">
        <v>551</v>
      </c>
      <c r="B454" s="3">
        <v>46018</v>
      </c>
      <c r="C454" t="s">
        <v>66</v>
      </c>
      <c r="D454" t="s">
        <v>62</v>
      </c>
      <c r="E454" t="s">
        <v>75</v>
      </c>
      <c r="F454" t="s">
        <v>146</v>
      </c>
      <c r="G454" s="6">
        <v>2</v>
      </c>
      <c r="H454" s="4">
        <v>177.74</v>
      </c>
      <c r="I454" s="4">
        <v>117.17</v>
      </c>
      <c r="J454" s="5">
        <v>0.1</v>
      </c>
      <c r="K454" s="6">
        <v>3</v>
      </c>
      <c r="L454" s="6">
        <v>3</v>
      </c>
      <c r="M454" t="s">
        <v>126</v>
      </c>
      <c r="N454" t="s">
        <v>69</v>
      </c>
      <c r="O454" t="s">
        <v>64</v>
      </c>
    </row>
    <row r="455" spans="1:15">
      <c r="A455" t="s">
        <v>552</v>
      </c>
      <c r="B455" s="3">
        <v>45750</v>
      </c>
      <c r="C455" t="s">
        <v>78</v>
      </c>
      <c r="D455" t="s">
        <v>62</v>
      </c>
      <c r="E455" t="s">
        <v>56</v>
      </c>
      <c r="F455" t="s">
        <v>89</v>
      </c>
      <c r="G455" s="6">
        <v>1</v>
      </c>
      <c r="H455" s="4">
        <v>78.510000000000005</v>
      </c>
      <c r="I455" s="4">
        <v>45.06</v>
      </c>
      <c r="J455" s="5">
        <v>0.1</v>
      </c>
      <c r="K455" s="6">
        <v>3</v>
      </c>
      <c r="L455" s="6">
        <v>4</v>
      </c>
      <c r="M455" t="s">
        <v>58</v>
      </c>
      <c r="N455" t="s">
        <v>59</v>
      </c>
      <c r="O455" t="s">
        <v>73</v>
      </c>
    </row>
    <row r="456" spans="1:15">
      <c r="A456" t="s">
        <v>553</v>
      </c>
      <c r="B456" s="3">
        <v>45965</v>
      </c>
      <c r="C456" t="s">
        <v>78</v>
      </c>
      <c r="D456" t="s">
        <v>62</v>
      </c>
      <c r="E456" t="s">
        <v>67</v>
      </c>
      <c r="F456" t="s">
        <v>71</v>
      </c>
      <c r="G456" s="6">
        <v>1</v>
      </c>
      <c r="H456" s="4">
        <v>68.819999999999993</v>
      </c>
      <c r="I456" s="4">
        <v>37.61</v>
      </c>
      <c r="J456" s="5">
        <v>0</v>
      </c>
      <c r="K456" s="6">
        <v>4</v>
      </c>
      <c r="L456" s="6">
        <v>4</v>
      </c>
      <c r="M456" t="s">
        <v>58</v>
      </c>
      <c r="N456" t="s">
        <v>59</v>
      </c>
      <c r="O456" t="s">
        <v>60</v>
      </c>
    </row>
    <row r="457" spans="1:15">
      <c r="A457" t="s">
        <v>554</v>
      </c>
      <c r="B457" s="3">
        <v>45718</v>
      </c>
      <c r="C457" t="s">
        <v>78</v>
      </c>
      <c r="D457" t="s">
        <v>62</v>
      </c>
      <c r="E457" t="s">
        <v>56</v>
      </c>
      <c r="F457" t="s">
        <v>63</v>
      </c>
      <c r="G457" s="6">
        <v>1</v>
      </c>
      <c r="H457" s="4">
        <v>41.55</v>
      </c>
      <c r="I457" s="4">
        <v>20.82</v>
      </c>
      <c r="J457" s="5">
        <v>0</v>
      </c>
      <c r="K457" s="6">
        <v>6</v>
      </c>
      <c r="L457" s="6">
        <v>3</v>
      </c>
      <c r="M457" t="s">
        <v>58</v>
      </c>
      <c r="N457" t="s">
        <v>59</v>
      </c>
      <c r="O457" t="s">
        <v>60</v>
      </c>
    </row>
    <row r="458" spans="1:15">
      <c r="A458" t="s">
        <v>555</v>
      </c>
      <c r="B458" s="3">
        <v>45918</v>
      </c>
      <c r="C458" t="s">
        <v>66</v>
      </c>
      <c r="D458" t="s">
        <v>62</v>
      </c>
      <c r="E458" t="s">
        <v>79</v>
      </c>
      <c r="F458" t="s">
        <v>92</v>
      </c>
      <c r="G458" s="6">
        <v>1</v>
      </c>
      <c r="H458" s="4">
        <v>49.82</v>
      </c>
      <c r="I458" s="4">
        <v>27.28</v>
      </c>
      <c r="J458" s="5">
        <v>0.1</v>
      </c>
      <c r="K458" s="6">
        <v>2</v>
      </c>
      <c r="L458" s="6">
        <v>5</v>
      </c>
      <c r="M458" t="s">
        <v>58</v>
      </c>
      <c r="N458" t="s">
        <v>59</v>
      </c>
      <c r="O458" t="s">
        <v>64</v>
      </c>
    </row>
    <row r="459" spans="1:15">
      <c r="A459" t="s">
        <v>556</v>
      </c>
      <c r="B459" s="3">
        <v>45968</v>
      </c>
      <c r="C459" t="s">
        <v>78</v>
      </c>
      <c r="D459" t="s">
        <v>62</v>
      </c>
      <c r="E459" t="s">
        <v>75</v>
      </c>
      <c r="F459" t="s">
        <v>76</v>
      </c>
      <c r="G459" s="6">
        <v>1</v>
      </c>
      <c r="H459" s="4">
        <v>120.78</v>
      </c>
      <c r="I459" s="4">
        <v>69.91</v>
      </c>
      <c r="J459" s="5">
        <v>0.1</v>
      </c>
      <c r="K459" s="6">
        <v>4</v>
      </c>
      <c r="L459" s="6">
        <v>4</v>
      </c>
      <c r="M459" t="s">
        <v>58</v>
      </c>
      <c r="N459" t="s">
        <v>59</v>
      </c>
      <c r="O459" t="s">
        <v>64</v>
      </c>
    </row>
    <row r="460" spans="1:15">
      <c r="A460" t="s">
        <v>557</v>
      </c>
      <c r="B460" s="3">
        <v>45984</v>
      </c>
      <c r="C460" t="s">
        <v>66</v>
      </c>
      <c r="D460" t="s">
        <v>62</v>
      </c>
      <c r="E460" t="s">
        <v>56</v>
      </c>
      <c r="F460" t="s">
        <v>63</v>
      </c>
      <c r="G460" s="6">
        <v>1</v>
      </c>
      <c r="H460" s="4">
        <v>39.35</v>
      </c>
      <c r="I460" s="4">
        <v>19.649999999999999</v>
      </c>
      <c r="J460" s="5">
        <v>0.1</v>
      </c>
      <c r="K460" s="6">
        <v>8</v>
      </c>
      <c r="L460" s="6">
        <v>3</v>
      </c>
      <c r="M460" t="s">
        <v>58</v>
      </c>
      <c r="N460" t="s">
        <v>59</v>
      </c>
      <c r="O460" t="s">
        <v>64</v>
      </c>
    </row>
    <row r="461" spans="1:15">
      <c r="A461" t="s">
        <v>558</v>
      </c>
      <c r="B461" s="3">
        <v>45727</v>
      </c>
      <c r="C461" t="s">
        <v>78</v>
      </c>
      <c r="D461" t="s">
        <v>62</v>
      </c>
      <c r="E461" t="s">
        <v>56</v>
      </c>
      <c r="F461" t="s">
        <v>89</v>
      </c>
      <c r="G461" s="6">
        <v>1</v>
      </c>
      <c r="H461" s="4">
        <v>78.2</v>
      </c>
      <c r="I461" s="4">
        <v>45.09</v>
      </c>
      <c r="J461" s="5">
        <v>0.1</v>
      </c>
      <c r="K461" s="6">
        <v>5</v>
      </c>
      <c r="L461" s="6">
        <v>4</v>
      </c>
      <c r="M461" t="s">
        <v>58</v>
      </c>
      <c r="N461" t="s">
        <v>59</v>
      </c>
      <c r="O461" t="s">
        <v>73</v>
      </c>
    </row>
    <row r="462" spans="1:15">
      <c r="A462" t="s">
        <v>559</v>
      </c>
      <c r="B462" s="3">
        <v>45731</v>
      </c>
      <c r="C462" t="s">
        <v>78</v>
      </c>
      <c r="D462" t="s">
        <v>62</v>
      </c>
      <c r="E462" t="s">
        <v>56</v>
      </c>
      <c r="F462" t="s">
        <v>57</v>
      </c>
      <c r="G462" s="6">
        <v>1</v>
      </c>
      <c r="H462" s="4">
        <v>107.23</v>
      </c>
      <c r="I462" s="4">
        <v>66.39</v>
      </c>
      <c r="J462" s="5">
        <v>0.1</v>
      </c>
      <c r="K462" s="6">
        <v>7</v>
      </c>
      <c r="L462" s="6">
        <v>4</v>
      </c>
      <c r="M462" t="s">
        <v>58</v>
      </c>
      <c r="N462" t="s">
        <v>59</v>
      </c>
      <c r="O462" t="s">
        <v>73</v>
      </c>
    </row>
    <row r="463" spans="1:15">
      <c r="A463" t="s">
        <v>560</v>
      </c>
      <c r="B463" s="3">
        <v>45882</v>
      </c>
      <c r="C463" t="s">
        <v>78</v>
      </c>
      <c r="D463" t="s">
        <v>62</v>
      </c>
      <c r="E463" t="s">
        <v>67</v>
      </c>
      <c r="F463" t="s">
        <v>107</v>
      </c>
      <c r="G463" s="6">
        <v>1</v>
      </c>
      <c r="H463" s="4">
        <v>44.2</v>
      </c>
      <c r="I463" s="4">
        <v>21.63</v>
      </c>
      <c r="J463" s="5">
        <v>0.05</v>
      </c>
      <c r="K463" s="6">
        <v>1</v>
      </c>
      <c r="L463" s="6">
        <v>5</v>
      </c>
      <c r="M463" t="s">
        <v>58</v>
      </c>
      <c r="N463" t="s">
        <v>69</v>
      </c>
      <c r="O463" t="s">
        <v>64</v>
      </c>
    </row>
    <row r="464" spans="1:15">
      <c r="A464" t="s">
        <v>561</v>
      </c>
      <c r="B464" s="3">
        <v>45763</v>
      </c>
      <c r="C464" t="s">
        <v>54</v>
      </c>
      <c r="D464" t="s">
        <v>55</v>
      </c>
      <c r="E464" t="s">
        <v>56</v>
      </c>
      <c r="F464" t="s">
        <v>89</v>
      </c>
      <c r="G464" s="6">
        <v>2</v>
      </c>
      <c r="H464" s="4">
        <v>79.67</v>
      </c>
      <c r="I464" s="4">
        <v>45.86</v>
      </c>
      <c r="J464" s="5">
        <v>0</v>
      </c>
      <c r="K464" s="6">
        <v>4</v>
      </c>
      <c r="L464" s="6">
        <v>3</v>
      </c>
      <c r="M464" t="s">
        <v>126</v>
      </c>
      <c r="N464" t="s">
        <v>59</v>
      </c>
      <c r="O464" t="s">
        <v>64</v>
      </c>
    </row>
    <row r="465" spans="1:15">
      <c r="A465" t="s">
        <v>562</v>
      </c>
      <c r="B465" s="3">
        <v>45996</v>
      </c>
      <c r="C465" t="s">
        <v>82</v>
      </c>
      <c r="D465" t="s">
        <v>62</v>
      </c>
      <c r="E465" t="s">
        <v>56</v>
      </c>
      <c r="F465" t="s">
        <v>89</v>
      </c>
      <c r="G465" s="6">
        <v>1</v>
      </c>
      <c r="H465" s="4">
        <v>78.77</v>
      </c>
      <c r="I465" s="4">
        <v>44.05</v>
      </c>
      <c r="J465" s="5">
        <v>0.05</v>
      </c>
      <c r="K465" s="6">
        <v>3</v>
      </c>
      <c r="L465" s="6">
        <v>5</v>
      </c>
      <c r="M465" t="s">
        <v>58</v>
      </c>
      <c r="N465" t="s">
        <v>59</v>
      </c>
      <c r="O465" t="s">
        <v>64</v>
      </c>
    </row>
    <row r="466" spans="1:15">
      <c r="A466" t="s">
        <v>563</v>
      </c>
      <c r="B466" s="3">
        <v>45932</v>
      </c>
      <c r="C466" t="s">
        <v>78</v>
      </c>
      <c r="D466" t="s">
        <v>55</v>
      </c>
      <c r="E466" t="s">
        <v>79</v>
      </c>
      <c r="F466" t="s">
        <v>115</v>
      </c>
      <c r="G466" s="6">
        <v>3</v>
      </c>
      <c r="H466" s="4">
        <v>60.48</v>
      </c>
      <c r="I466" s="4">
        <v>34.799999999999997</v>
      </c>
      <c r="J466" s="5">
        <v>0.05</v>
      </c>
      <c r="K466" s="6">
        <v>4</v>
      </c>
      <c r="L466" s="6">
        <v>4</v>
      </c>
      <c r="M466" t="s">
        <v>58</v>
      </c>
      <c r="N466" t="s">
        <v>59</v>
      </c>
      <c r="O466" t="s">
        <v>60</v>
      </c>
    </row>
    <row r="467" spans="1:15">
      <c r="A467" t="s">
        <v>564</v>
      </c>
      <c r="B467" s="3">
        <v>45855</v>
      </c>
      <c r="C467" t="s">
        <v>66</v>
      </c>
      <c r="D467" t="s">
        <v>55</v>
      </c>
      <c r="E467" t="s">
        <v>75</v>
      </c>
      <c r="F467" t="s">
        <v>146</v>
      </c>
      <c r="G467" s="6">
        <v>1</v>
      </c>
      <c r="H467" s="4">
        <v>181.22</v>
      </c>
      <c r="I467" s="4">
        <v>115.2</v>
      </c>
      <c r="J467" s="5">
        <v>0.05</v>
      </c>
      <c r="K467" s="6">
        <v>3</v>
      </c>
      <c r="L467" s="6">
        <v>3</v>
      </c>
      <c r="M467" t="s">
        <v>126</v>
      </c>
      <c r="N467" t="s">
        <v>69</v>
      </c>
      <c r="O467" t="s">
        <v>64</v>
      </c>
    </row>
    <row r="468" spans="1:15">
      <c r="A468" t="s">
        <v>565</v>
      </c>
      <c r="B468" s="3">
        <v>45746</v>
      </c>
      <c r="C468" t="s">
        <v>82</v>
      </c>
      <c r="D468" t="s">
        <v>62</v>
      </c>
      <c r="E468" t="s">
        <v>79</v>
      </c>
      <c r="F468" t="s">
        <v>115</v>
      </c>
      <c r="G468" s="6">
        <v>1</v>
      </c>
      <c r="H468" s="4">
        <v>59.26</v>
      </c>
      <c r="I468" s="4">
        <v>34</v>
      </c>
      <c r="J468" s="5">
        <v>0.05</v>
      </c>
      <c r="K468" s="6">
        <v>4</v>
      </c>
      <c r="L468" s="6">
        <v>4</v>
      </c>
      <c r="M468" t="s">
        <v>58</v>
      </c>
      <c r="N468" t="s">
        <v>59</v>
      </c>
      <c r="O468" t="s">
        <v>64</v>
      </c>
    </row>
    <row r="469" spans="1:15">
      <c r="A469" t="s">
        <v>566</v>
      </c>
      <c r="B469" s="3">
        <v>46020</v>
      </c>
      <c r="C469" t="s">
        <v>78</v>
      </c>
      <c r="D469" t="s">
        <v>62</v>
      </c>
      <c r="E469" t="s">
        <v>67</v>
      </c>
      <c r="F469" t="s">
        <v>94</v>
      </c>
      <c r="G469" s="6">
        <v>2</v>
      </c>
      <c r="H469" s="4">
        <v>34.96</v>
      </c>
      <c r="I469" s="4">
        <v>17.760000000000002</v>
      </c>
      <c r="J469" s="5">
        <v>0.05</v>
      </c>
      <c r="K469" s="6">
        <v>0</v>
      </c>
      <c r="L469" s="6">
        <v>5</v>
      </c>
      <c r="M469" t="s">
        <v>58</v>
      </c>
      <c r="N469" t="s">
        <v>69</v>
      </c>
      <c r="O469" t="s">
        <v>73</v>
      </c>
    </row>
    <row r="470" spans="1:15">
      <c r="A470" t="s">
        <v>567</v>
      </c>
      <c r="B470" s="3">
        <v>45856</v>
      </c>
      <c r="C470" t="s">
        <v>66</v>
      </c>
      <c r="D470" t="s">
        <v>62</v>
      </c>
      <c r="E470" t="s">
        <v>67</v>
      </c>
      <c r="F470" t="s">
        <v>68</v>
      </c>
      <c r="G470" s="6">
        <v>1</v>
      </c>
      <c r="H470" s="4">
        <v>40.39</v>
      </c>
      <c r="I470" s="4">
        <v>18.489999999999998</v>
      </c>
      <c r="J470" s="5">
        <v>0.15000000000000002</v>
      </c>
      <c r="K470" s="6">
        <v>0</v>
      </c>
      <c r="L470" s="6">
        <v>4</v>
      </c>
      <c r="M470" t="s">
        <v>58</v>
      </c>
      <c r="N470" t="s">
        <v>69</v>
      </c>
      <c r="O470" t="s">
        <v>64</v>
      </c>
    </row>
    <row r="471" spans="1:15">
      <c r="A471" t="s">
        <v>568</v>
      </c>
      <c r="B471" s="3">
        <v>45980</v>
      </c>
      <c r="C471" t="s">
        <v>66</v>
      </c>
      <c r="D471" t="s">
        <v>55</v>
      </c>
      <c r="E471" t="s">
        <v>56</v>
      </c>
      <c r="F471" t="s">
        <v>89</v>
      </c>
      <c r="G471" s="6">
        <v>3</v>
      </c>
      <c r="H471" s="4">
        <v>82.14</v>
      </c>
      <c r="I471" s="4">
        <v>45.37</v>
      </c>
      <c r="J471" s="5">
        <v>0.1</v>
      </c>
      <c r="K471" s="6">
        <v>4</v>
      </c>
      <c r="L471" s="6">
        <v>4</v>
      </c>
      <c r="M471" t="s">
        <v>58</v>
      </c>
      <c r="N471" t="s">
        <v>59</v>
      </c>
      <c r="O471" t="s">
        <v>64</v>
      </c>
    </row>
    <row r="472" spans="1:15">
      <c r="A472" t="s">
        <v>569</v>
      </c>
      <c r="B472" s="3">
        <v>45801</v>
      </c>
      <c r="C472" t="s">
        <v>66</v>
      </c>
      <c r="D472" t="s">
        <v>55</v>
      </c>
      <c r="E472" t="s">
        <v>75</v>
      </c>
      <c r="F472" t="s">
        <v>146</v>
      </c>
      <c r="G472" s="6">
        <v>3</v>
      </c>
      <c r="H472" s="4">
        <v>180.67</v>
      </c>
      <c r="I472" s="4">
        <v>115.08</v>
      </c>
      <c r="J472" s="5">
        <v>0</v>
      </c>
      <c r="K472" s="6">
        <v>4</v>
      </c>
      <c r="L472" s="6">
        <v>5</v>
      </c>
      <c r="M472" t="s">
        <v>58</v>
      </c>
      <c r="N472" t="s">
        <v>59</v>
      </c>
      <c r="O472" t="s">
        <v>73</v>
      </c>
    </row>
    <row r="473" spans="1:15">
      <c r="A473" t="s">
        <v>570</v>
      </c>
      <c r="B473" s="3">
        <v>45942</v>
      </c>
      <c r="C473" t="s">
        <v>78</v>
      </c>
      <c r="D473" t="s">
        <v>55</v>
      </c>
      <c r="E473" t="s">
        <v>79</v>
      </c>
      <c r="F473" t="s">
        <v>115</v>
      </c>
      <c r="G473" s="6">
        <v>6</v>
      </c>
      <c r="H473" s="4">
        <v>60.82</v>
      </c>
      <c r="I473" s="4">
        <v>35.51</v>
      </c>
      <c r="J473" s="5">
        <v>0</v>
      </c>
      <c r="K473" s="6">
        <v>0</v>
      </c>
      <c r="L473" s="6">
        <v>4</v>
      </c>
      <c r="M473" t="s">
        <v>58</v>
      </c>
      <c r="N473" t="s">
        <v>69</v>
      </c>
      <c r="O473" t="s">
        <v>64</v>
      </c>
    </row>
    <row r="474" spans="1:15">
      <c r="A474" t="s">
        <v>571</v>
      </c>
      <c r="B474" s="3">
        <v>45904</v>
      </c>
      <c r="C474" t="s">
        <v>66</v>
      </c>
      <c r="D474" t="s">
        <v>55</v>
      </c>
      <c r="E474" t="s">
        <v>56</v>
      </c>
      <c r="F474" t="s">
        <v>57</v>
      </c>
      <c r="G474" s="6">
        <v>4</v>
      </c>
      <c r="H474" s="4">
        <v>111.05</v>
      </c>
      <c r="I474" s="4">
        <v>67.39</v>
      </c>
      <c r="J474" s="5">
        <v>0.1</v>
      </c>
      <c r="K474" s="6">
        <v>4</v>
      </c>
      <c r="L474" s="6">
        <v>5</v>
      </c>
      <c r="M474" t="s">
        <v>58</v>
      </c>
      <c r="N474" t="s">
        <v>59</v>
      </c>
      <c r="O474" t="s">
        <v>64</v>
      </c>
    </row>
    <row r="475" spans="1:15">
      <c r="A475" t="s">
        <v>572</v>
      </c>
      <c r="B475" s="3">
        <v>45881</v>
      </c>
      <c r="C475" t="s">
        <v>78</v>
      </c>
      <c r="D475" t="s">
        <v>62</v>
      </c>
      <c r="E475" t="s">
        <v>56</v>
      </c>
      <c r="F475" t="s">
        <v>63</v>
      </c>
      <c r="G475" s="6">
        <v>2</v>
      </c>
      <c r="H475" s="4">
        <v>39.46</v>
      </c>
      <c r="I475" s="4">
        <v>20.62</v>
      </c>
      <c r="J475" s="5">
        <v>0.05</v>
      </c>
      <c r="K475" s="6">
        <v>2</v>
      </c>
      <c r="L475" s="6">
        <v>4</v>
      </c>
      <c r="M475" t="s">
        <v>58</v>
      </c>
      <c r="N475" t="s">
        <v>59</v>
      </c>
      <c r="O475" t="s">
        <v>64</v>
      </c>
    </row>
    <row r="476" spans="1:15">
      <c r="A476" t="s">
        <v>573</v>
      </c>
      <c r="B476" s="3">
        <v>45934</v>
      </c>
      <c r="C476" t="s">
        <v>78</v>
      </c>
      <c r="D476" t="s">
        <v>62</v>
      </c>
      <c r="E476" t="s">
        <v>56</v>
      </c>
      <c r="F476" t="s">
        <v>63</v>
      </c>
      <c r="G476" s="6">
        <v>1</v>
      </c>
      <c r="H476" s="4">
        <v>39.49</v>
      </c>
      <c r="I476" s="4">
        <v>20.86</v>
      </c>
      <c r="J476" s="5">
        <v>0.05</v>
      </c>
      <c r="K476" s="6">
        <v>6</v>
      </c>
      <c r="L476" s="6">
        <v>4</v>
      </c>
      <c r="M476" t="s">
        <v>58</v>
      </c>
      <c r="N476" t="s">
        <v>59</v>
      </c>
      <c r="O476" t="s">
        <v>64</v>
      </c>
    </row>
    <row r="477" spans="1:15">
      <c r="A477" t="s">
        <v>574</v>
      </c>
      <c r="B477" s="3">
        <v>46021</v>
      </c>
      <c r="C477" t="s">
        <v>82</v>
      </c>
      <c r="D477" t="s">
        <v>62</v>
      </c>
      <c r="E477" t="s">
        <v>75</v>
      </c>
      <c r="F477" t="s">
        <v>97</v>
      </c>
      <c r="G477" s="6">
        <v>1</v>
      </c>
      <c r="H477" s="4">
        <v>87.55</v>
      </c>
      <c r="I477" s="4">
        <v>52.67</v>
      </c>
      <c r="J477" s="5">
        <v>0</v>
      </c>
      <c r="K477" s="6">
        <v>7</v>
      </c>
      <c r="L477" s="6">
        <v>3</v>
      </c>
      <c r="M477" t="s">
        <v>58</v>
      </c>
      <c r="N477" t="s">
        <v>69</v>
      </c>
      <c r="O477" t="s">
        <v>64</v>
      </c>
    </row>
    <row r="478" spans="1:15">
      <c r="A478" t="s">
        <v>575</v>
      </c>
      <c r="B478" s="3">
        <v>45836</v>
      </c>
      <c r="C478" t="s">
        <v>54</v>
      </c>
      <c r="D478" t="s">
        <v>129</v>
      </c>
      <c r="E478" t="s">
        <v>79</v>
      </c>
      <c r="F478" t="s">
        <v>85</v>
      </c>
      <c r="G478" s="6">
        <v>4</v>
      </c>
      <c r="H478" s="4">
        <v>132.12</v>
      </c>
      <c r="I478" s="4">
        <v>84.32</v>
      </c>
      <c r="J478" s="5">
        <v>0.05</v>
      </c>
      <c r="K478" s="6">
        <v>4</v>
      </c>
      <c r="L478" s="6">
        <v>4</v>
      </c>
      <c r="M478" t="s">
        <v>58</v>
      </c>
      <c r="N478" t="s">
        <v>59</v>
      </c>
      <c r="O478" t="s">
        <v>64</v>
      </c>
    </row>
    <row r="479" spans="1:15">
      <c r="A479" t="s">
        <v>576</v>
      </c>
      <c r="B479" s="3">
        <v>46007</v>
      </c>
      <c r="C479" t="s">
        <v>82</v>
      </c>
      <c r="D479" t="s">
        <v>62</v>
      </c>
      <c r="E479" t="s">
        <v>56</v>
      </c>
      <c r="F479" t="s">
        <v>57</v>
      </c>
      <c r="G479" s="6">
        <v>2</v>
      </c>
      <c r="H479" s="4">
        <v>109.14</v>
      </c>
      <c r="I479" s="4">
        <v>68.48</v>
      </c>
      <c r="J479" s="5">
        <v>0.05</v>
      </c>
      <c r="K479" s="6">
        <v>2</v>
      </c>
      <c r="L479" s="6">
        <v>4</v>
      </c>
      <c r="M479" t="s">
        <v>58</v>
      </c>
      <c r="N479" t="s">
        <v>59</v>
      </c>
      <c r="O479" t="s">
        <v>64</v>
      </c>
    </row>
    <row r="480" spans="1:15">
      <c r="A480" t="s">
        <v>577</v>
      </c>
      <c r="B480" s="3">
        <v>45661</v>
      </c>
      <c r="C480" t="s">
        <v>66</v>
      </c>
      <c r="D480" t="s">
        <v>55</v>
      </c>
      <c r="E480" t="s">
        <v>56</v>
      </c>
      <c r="F480" t="s">
        <v>89</v>
      </c>
      <c r="G480" s="6">
        <v>4</v>
      </c>
      <c r="H480" s="4">
        <v>81.44</v>
      </c>
      <c r="I480" s="4">
        <v>43.82</v>
      </c>
      <c r="J480" s="5">
        <v>0.1</v>
      </c>
      <c r="K480" s="6">
        <v>0</v>
      </c>
      <c r="L480" s="6">
        <v>5</v>
      </c>
      <c r="M480" t="s">
        <v>58</v>
      </c>
      <c r="N480" t="s">
        <v>69</v>
      </c>
      <c r="O480" t="s">
        <v>64</v>
      </c>
    </row>
    <row r="481" spans="1:15">
      <c r="A481" t="s">
        <v>578</v>
      </c>
      <c r="B481" s="3">
        <v>45671</v>
      </c>
      <c r="C481" t="s">
        <v>54</v>
      </c>
      <c r="D481" t="s">
        <v>129</v>
      </c>
      <c r="E481" t="s">
        <v>56</v>
      </c>
      <c r="F481" t="s">
        <v>83</v>
      </c>
      <c r="G481" s="6">
        <v>5</v>
      </c>
      <c r="H481" s="4">
        <v>66.25</v>
      </c>
      <c r="I481" s="4">
        <v>34.29</v>
      </c>
      <c r="J481" s="5">
        <v>0.1</v>
      </c>
      <c r="K481" s="6">
        <v>5</v>
      </c>
      <c r="L481" s="6">
        <v>4</v>
      </c>
      <c r="M481" t="s">
        <v>58</v>
      </c>
      <c r="N481" t="s">
        <v>59</v>
      </c>
      <c r="O481" t="s">
        <v>64</v>
      </c>
    </row>
    <row r="482" spans="1:15">
      <c r="A482" t="s">
        <v>579</v>
      </c>
      <c r="B482" s="3">
        <v>45824</v>
      </c>
      <c r="C482" t="s">
        <v>78</v>
      </c>
      <c r="D482" t="s">
        <v>62</v>
      </c>
      <c r="E482" t="s">
        <v>56</v>
      </c>
      <c r="F482" t="s">
        <v>63</v>
      </c>
      <c r="G482" s="6">
        <v>1</v>
      </c>
      <c r="H482" s="4">
        <v>39.35</v>
      </c>
      <c r="I482" s="4">
        <v>19.87</v>
      </c>
      <c r="J482" s="5">
        <v>0</v>
      </c>
      <c r="K482" s="6">
        <v>3</v>
      </c>
      <c r="L482" s="6">
        <v>5</v>
      </c>
      <c r="M482" t="s">
        <v>58</v>
      </c>
      <c r="N482" t="s">
        <v>59</v>
      </c>
      <c r="O482" t="s">
        <v>64</v>
      </c>
    </row>
    <row r="483" spans="1:15">
      <c r="A483" t="s">
        <v>580</v>
      </c>
      <c r="B483" s="3">
        <v>45860</v>
      </c>
      <c r="C483" t="s">
        <v>54</v>
      </c>
      <c r="D483" t="s">
        <v>62</v>
      </c>
      <c r="E483" t="s">
        <v>75</v>
      </c>
      <c r="F483" t="s">
        <v>97</v>
      </c>
      <c r="G483" s="6">
        <v>1</v>
      </c>
      <c r="H483" s="4">
        <v>91.24</v>
      </c>
      <c r="I483" s="4">
        <v>53.82</v>
      </c>
      <c r="J483" s="5">
        <v>0</v>
      </c>
      <c r="K483" s="6">
        <v>6</v>
      </c>
      <c r="L483" s="6">
        <v>4</v>
      </c>
      <c r="M483" t="s">
        <v>58</v>
      </c>
      <c r="N483" t="s">
        <v>59</v>
      </c>
      <c r="O483" t="s">
        <v>64</v>
      </c>
    </row>
    <row r="484" spans="1:15">
      <c r="A484" t="s">
        <v>581</v>
      </c>
      <c r="B484" s="3">
        <v>45805</v>
      </c>
      <c r="C484" t="s">
        <v>78</v>
      </c>
      <c r="D484" t="s">
        <v>62</v>
      </c>
      <c r="E484" t="s">
        <v>67</v>
      </c>
      <c r="F484" t="s">
        <v>94</v>
      </c>
      <c r="G484" s="6">
        <v>1</v>
      </c>
      <c r="H484" s="4">
        <v>34.53</v>
      </c>
      <c r="I484" s="4">
        <v>16.53</v>
      </c>
      <c r="J484" s="5">
        <v>0</v>
      </c>
      <c r="K484" s="6">
        <v>4</v>
      </c>
      <c r="L484" s="6">
        <v>4</v>
      </c>
      <c r="M484" t="s">
        <v>58</v>
      </c>
      <c r="N484" t="s">
        <v>59</v>
      </c>
      <c r="O484" t="s">
        <v>64</v>
      </c>
    </row>
    <row r="485" spans="1:15">
      <c r="A485" t="s">
        <v>582</v>
      </c>
      <c r="B485" s="3">
        <v>45740</v>
      </c>
      <c r="C485" t="s">
        <v>78</v>
      </c>
      <c r="D485" t="s">
        <v>62</v>
      </c>
      <c r="E485" t="s">
        <v>79</v>
      </c>
      <c r="F485" t="s">
        <v>80</v>
      </c>
      <c r="G485" s="6">
        <v>4</v>
      </c>
      <c r="H485" s="4">
        <v>73.77</v>
      </c>
      <c r="I485" s="4">
        <v>43.66</v>
      </c>
      <c r="J485" s="5">
        <v>0.05</v>
      </c>
      <c r="K485" s="6">
        <v>0</v>
      </c>
      <c r="L485" s="6">
        <v>4</v>
      </c>
      <c r="M485" t="s">
        <v>58</v>
      </c>
      <c r="N485" t="s">
        <v>69</v>
      </c>
      <c r="O485" t="s">
        <v>73</v>
      </c>
    </row>
    <row r="486" spans="1:15">
      <c r="A486" t="s">
        <v>583</v>
      </c>
      <c r="B486" s="3">
        <v>45964</v>
      </c>
      <c r="C486" t="s">
        <v>82</v>
      </c>
      <c r="D486" t="s">
        <v>55</v>
      </c>
      <c r="E486" t="s">
        <v>75</v>
      </c>
      <c r="F486" t="s">
        <v>76</v>
      </c>
      <c r="G486" s="6">
        <v>2</v>
      </c>
      <c r="H486" s="4">
        <v>124.39</v>
      </c>
      <c r="I486" s="4">
        <v>74.56</v>
      </c>
      <c r="J486" s="5">
        <v>0.15000000000000002</v>
      </c>
      <c r="K486" s="6">
        <v>5</v>
      </c>
      <c r="L486" s="6">
        <v>5</v>
      </c>
      <c r="M486" t="s">
        <v>58</v>
      </c>
      <c r="N486" t="s">
        <v>59</v>
      </c>
      <c r="O486" t="s">
        <v>64</v>
      </c>
    </row>
    <row r="487" spans="1:15">
      <c r="A487" t="s">
        <v>584</v>
      </c>
      <c r="B487" s="3">
        <v>45901</v>
      </c>
      <c r="C487" t="s">
        <v>82</v>
      </c>
      <c r="D487" t="s">
        <v>62</v>
      </c>
      <c r="E487" t="s">
        <v>56</v>
      </c>
      <c r="F487" t="s">
        <v>63</v>
      </c>
      <c r="G487" s="6">
        <v>1</v>
      </c>
      <c r="H487" s="4">
        <v>40.99</v>
      </c>
      <c r="I487" s="4">
        <v>20.68</v>
      </c>
      <c r="J487" s="5">
        <v>0.05</v>
      </c>
      <c r="K487" s="6">
        <v>0</v>
      </c>
      <c r="L487" s="6">
        <v>5</v>
      </c>
      <c r="M487" t="s">
        <v>58</v>
      </c>
      <c r="N487" t="s">
        <v>69</v>
      </c>
      <c r="O487" t="s">
        <v>64</v>
      </c>
    </row>
    <row r="488" spans="1:15">
      <c r="A488" t="s">
        <v>585</v>
      </c>
      <c r="B488" s="3">
        <v>46004</v>
      </c>
      <c r="C488" t="s">
        <v>148</v>
      </c>
      <c r="D488" t="s">
        <v>55</v>
      </c>
      <c r="E488" t="s">
        <v>67</v>
      </c>
      <c r="F488" t="s">
        <v>71</v>
      </c>
      <c r="G488" s="6">
        <v>2</v>
      </c>
      <c r="H488" s="4">
        <v>68.12</v>
      </c>
      <c r="I488" s="4">
        <v>39.479999999999997</v>
      </c>
      <c r="J488" s="5">
        <v>0.1</v>
      </c>
      <c r="K488" s="6">
        <v>3</v>
      </c>
      <c r="L488" s="6">
        <v>4</v>
      </c>
      <c r="M488" t="s">
        <v>58</v>
      </c>
      <c r="N488" t="s">
        <v>59</v>
      </c>
      <c r="O488" t="s">
        <v>64</v>
      </c>
    </row>
    <row r="489" spans="1:15">
      <c r="A489" t="s">
        <v>586</v>
      </c>
      <c r="B489" s="3">
        <v>45753</v>
      </c>
      <c r="C489" t="s">
        <v>66</v>
      </c>
      <c r="D489" t="s">
        <v>62</v>
      </c>
      <c r="E489" t="s">
        <v>56</v>
      </c>
      <c r="F489" t="s">
        <v>57</v>
      </c>
      <c r="G489" s="6">
        <v>1</v>
      </c>
      <c r="H489" s="4">
        <v>110.9</v>
      </c>
      <c r="I489" s="4">
        <v>66.319999999999993</v>
      </c>
      <c r="J489" s="5">
        <v>0</v>
      </c>
      <c r="K489" s="6">
        <v>7</v>
      </c>
      <c r="L489" s="6">
        <v>3</v>
      </c>
      <c r="M489" t="s">
        <v>58</v>
      </c>
      <c r="N489" t="s">
        <v>59</v>
      </c>
      <c r="O489" t="s">
        <v>73</v>
      </c>
    </row>
    <row r="490" spans="1:15">
      <c r="A490" t="s">
        <v>587</v>
      </c>
      <c r="B490" s="3">
        <v>45727</v>
      </c>
      <c r="C490" t="s">
        <v>66</v>
      </c>
      <c r="D490" t="s">
        <v>62</v>
      </c>
      <c r="E490" t="s">
        <v>56</v>
      </c>
      <c r="F490" t="s">
        <v>83</v>
      </c>
      <c r="G490" s="6">
        <v>1</v>
      </c>
      <c r="H490" s="4">
        <v>64.400000000000006</v>
      </c>
      <c r="I490" s="4">
        <v>36.01</v>
      </c>
      <c r="J490" s="5">
        <v>0.05</v>
      </c>
      <c r="K490" s="6">
        <v>5</v>
      </c>
      <c r="L490" s="6">
        <v>4</v>
      </c>
      <c r="M490" t="s">
        <v>58</v>
      </c>
      <c r="N490" t="s">
        <v>59</v>
      </c>
      <c r="O490" t="s">
        <v>64</v>
      </c>
    </row>
    <row r="491" spans="1:15">
      <c r="A491" t="s">
        <v>588</v>
      </c>
      <c r="B491" s="3">
        <v>45963</v>
      </c>
      <c r="C491" t="s">
        <v>78</v>
      </c>
      <c r="D491" t="s">
        <v>62</v>
      </c>
      <c r="E491" t="s">
        <v>67</v>
      </c>
      <c r="F491" t="s">
        <v>71</v>
      </c>
      <c r="G491" s="6">
        <v>2</v>
      </c>
      <c r="H491" s="4">
        <v>69.86</v>
      </c>
      <c r="I491" s="4">
        <v>36.950000000000003</v>
      </c>
      <c r="J491" s="5">
        <v>0.1</v>
      </c>
      <c r="K491" s="6">
        <v>3</v>
      </c>
      <c r="L491" s="6">
        <v>4</v>
      </c>
      <c r="M491" t="s">
        <v>58</v>
      </c>
      <c r="N491" t="s">
        <v>59</v>
      </c>
      <c r="O491" t="s">
        <v>64</v>
      </c>
    </row>
    <row r="492" spans="1:15">
      <c r="A492" t="s">
        <v>589</v>
      </c>
      <c r="B492" s="3">
        <v>45901</v>
      </c>
      <c r="C492" t="s">
        <v>66</v>
      </c>
      <c r="D492" t="s">
        <v>62</v>
      </c>
      <c r="E492" t="s">
        <v>67</v>
      </c>
      <c r="F492" t="s">
        <v>107</v>
      </c>
      <c r="G492" s="6">
        <v>2</v>
      </c>
      <c r="H492" s="4">
        <v>45.83</v>
      </c>
      <c r="I492" s="4">
        <v>21.07</v>
      </c>
      <c r="J492" s="5">
        <v>0.05</v>
      </c>
      <c r="K492" s="6">
        <v>3</v>
      </c>
      <c r="L492" s="6">
        <v>5</v>
      </c>
      <c r="M492" t="s">
        <v>58</v>
      </c>
      <c r="N492" t="s">
        <v>69</v>
      </c>
      <c r="O492" t="s">
        <v>64</v>
      </c>
    </row>
    <row r="493" spans="1:15">
      <c r="A493" t="s">
        <v>590</v>
      </c>
      <c r="B493" s="3">
        <v>45804</v>
      </c>
      <c r="C493" t="s">
        <v>54</v>
      </c>
      <c r="D493" t="s">
        <v>62</v>
      </c>
      <c r="E493" t="s">
        <v>67</v>
      </c>
      <c r="F493" t="s">
        <v>68</v>
      </c>
      <c r="G493" s="6">
        <v>2</v>
      </c>
      <c r="H493" s="4">
        <v>41.06</v>
      </c>
      <c r="I493" s="4">
        <v>19.059999999999999</v>
      </c>
      <c r="J493" s="5">
        <v>0.1</v>
      </c>
      <c r="K493" s="6">
        <v>1</v>
      </c>
      <c r="L493" s="6">
        <v>4</v>
      </c>
      <c r="M493" t="s">
        <v>58</v>
      </c>
      <c r="N493" t="s">
        <v>59</v>
      </c>
      <c r="O493" t="s">
        <v>64</v>
      </c>
    </row>
    <row r="494" spans="1:15">
      <c r="A494" t="s">
        <v>591</v>
      </c>
      <c r="B494" s="3">
        <v>45717</v>
      </c>
      <c r="C494" t="s">
        <v>82</v>
      </c>
      <c r="D494" t="s">
        <v>55</v>
      </c>
      <c r="E494" t="s">
        <v>75</v>
      </c>
      <c r="F494" t="s">
        <v>76</v>
      </c>
      <c r="G494" s="6">
        <v>1</v>
      </c>
      <c r="H494" s="4">
        <v>121.71</v>
      </c>
      <c r="I494" s="4">
        <v>70.98</v>
      </c>
      <c r="J494" s="5">
        <v>0</v>
      </c>
      <c r="K494" s="6">
        <v>1</v>
      </c>
      <c r="L494" s="6">
        <v>4</v>
      </c>
      <c r="M494" t="s">
        <v>58</v>
      </c>
      <c r="N494" t="s">
        <v>69</v>
      </c>
      <c r="O494" t="s">
        <v>64</v>
      </c>
    </row>
    <row r="495" spans="1:15">
      <c r="A495" t="s">
        <v>592</v>
      </c>
      <c r="B495" s="3">
        <v>45758</v>
      </c>
      <c r="C495" t="s">
        <v>54</v>
      </c>
      <c r="D495" t="s">
        <v>55</v>
      </c>
      <c r="E495" t="s">
        <v>79</v>
      </c>
      <c r="F495" t="s">
        <v>80</v>
      </c>
      <c r="G495" s="6">
        <v>1</v>
      </c>
      <c r="H495" s="4">
        <v>77.349999999999994</v>
      </c>
      <c r="I495" s="4">
        <v>43.1</v>
      </c>
      <c r="J495" s="5">
        <v>0</v>
      </c>
      <c r="K495" s="6">
        <v>1</v>
      </c>
      <c r="L495" s="6">
        <v>4</v>
      </c>
      <c r="M495" t="s">
        <v>58</v>
      </c>
      <c r="N495" t="s">
        <v>59</v>
      </c>
      <c r="O495" t="s">
        <v>64</v>
      </c>
    </row>
    <row r="496" spans="1:15">
      <c r="A496" t="s">
        <v>593</v>
      </c>
      <c r="B496" s="3">
        <v>45746</v>
      </c>
      <c r="C496" t="s">
        <v>78</v>
      </c>
      <c r="D496" t="s">
        <v>129</v>
      </c>
      <c r="E496" t="s">
        <v>56</v>
      </c>
      <c r="F496" t="s">
        <v>63</v>
      </c>
      <c r="G496" s="6">
        <v>6</v>
      </c>
      <c r="H496" s="4">
        <v>39.15</v>
      </c>
      <c r="I496" s="4">
        <v>20.81</v>
      </c>
      <c r="J496" s="5">
        <v>0.15000000000000002</v>
      </c>
      <c r="K496" s="6">
        <v>5</v>
      </c>
      <c r="L496" s="6">
        <v>4</v>
      </c>
      <c r="M496" t="s">
        <v>58</v>
      </c>
      <c r="N496" t="s">
        <v>59</v>
      </c>
      <c r="O496" t="s">
        <v>64</v>
      </c>
    </row>
    <row r="497" spans="1:15">
      <c r="A497" t="s">
        <v>594</v>
      </c>
      <c r="B497" s="3">
        <v>45821</v>
      </c>
      <c r="C497" t="s">
        <v>78</v>
      </c>
      <c r="D497" t="s">
        <v>62</v>
      </c>
      <c r="E497" t="s">
        <v>56</v>
      </c>
      <c r="F497" t="s">
        <v>63</v>
      </c>
      <c r="G497" s="6">
        <v>1</v>
      </c>
      <c r="H497" s="4">
        <v>39.44</v>
      </c>
      <c r="I497" s="4">
        <v>20.73</v>
      </c>
      <c r="J497" s="5">
        <v>0</v>
      </c>
      <c r="K497" s="6">
        <v>3</v>
      </c>
      <c r="L497" s="6">
        <v>5</v>
      </c>
      <c r="M497" t="s">
        <v>58</v>
      </c>
      <c r="N497" t="s">
        <v>87</v>
      </c>
      <c r="O497" t="s">
        <v>64</v>
      </c>
    </row>
    <row r="498" spans="1:15">
      <c r="A498" t="s">
        <v>595</v>
      </c>
      <c r="B498" s="3">
        <v>45711</v>
      </c>
      <c r="C498" t="s">
        <v>66</v>
      </c>
      <c r="D498" t="s">
        <v>129</v>
      </c>
      <c r="E498" t="s">
        <v>56</v>
      </c>
      <c r="F498" t="s">
        <v>83</v>
      </c>
      <c r="G498" s="6">
        <v>5</v>
      </c>
      <c r="H498" s="4">
        <v>63.35</v>
      </c>
      <c r="I498" s="4">
        <v>36.68</v>
      </c>
      <c r="J498" s="5">
        <v>0.25</v>
      </c>
      <c r="K498" s="6">
        <v>3</v>
      </c>
      <c r="L498" s="6">
        <v>5</v>
      </c>
      <c r="M498" t="s">
        <v>58</v>
      </c>
      <c r="N498" t="s">
        <v>87</v>
      </c>
      <c r="O498" t="s">
        <v>73</v>
      </c>
    </row>
    <row r="499" spans="1:15">
      <c r="A499" t="s">
        <v>596</v>
      </c>
      <c r="B499" s="3">
        <v>45800</v>
      </c>
      <c r="C499" t="s">
        <v>66</v>
      </c>
      <c r="D499" t="s">
        <v>55</v>
      </c>
      <c r="E499" t="s">
        <v>56</v>
      </c>
      <c r="F499" t="s">
        <v>83</v>
      </c>
      <c r="G499" s="6">
        <v>6</v>
      </c>
      <c r="H499" s="4">
        <v>66.069999999999993</v>
      </c>
      <c r="I499" s="4">
        <v>35.06</v>
      </c>
      <c r="J499" s="5">
        <v>0.1</v>
      </c>
      <c r="K499" s="6">
        <v>3</v>
      </c>
      <c r="L499" s="6">
        <v>3</v>
      </c>
      <c r="M499" t="s">
        <v>126</v>
      </c>
      <c r="N499" t="s">
        <v>59</v>
      </c>
      <c r="O499" t="s">
        <v>64</v>
      </c>
    </row>
    <row r="500" spans="1:15">
      <c r="A500" t="s">
        <v>597</v>
      </c>
      <c r="B500" s="3">
        <v>45814</v>
      </c>
      <c r="C500" t="s">
        <v>82</v>
      </c>
      <c r="D500" t="s">
        <v>129</v>
      </c>
      <c r="E500" t="s">
        <v>79</v>
      </c>
      <c r="F500" t="s">
        <v>115</v>
      </c>
      <c r="G500" s="6">
        <v>5</v>
      </c>
      <c r="H500" s="4">
        <v>59</v>
      </c>
      <c r="I500" s="4">
        <v>33.03</v>
      </c>
      <c r="J500" s="5">
        <v>0.05</v>
      </c>
      <c r="K500" s="6">
        <v>3</v>
      </c>
      <c r="L500" s="6">
        <v>3</v>
      </c>
      <c r="M500" t="s">
        <v>126</v>
      </c>
      <c r="N500" t="s">
        <v>59</v>
      </c>
      <c r="O500" t="s">
        <v>60</v>
      </c>
    </row>
    <row r="501" spans="1:15">
      <c r="A501" t="s">
        <v>598</v>
      </c>
      <c r="B501" s="3">
        <v>45849</v>
      </c>
      <c r="C501" t="s">
        <v>54</v>
      </c>
      <c r="D501" t="s">
        <v>62</v>
      </c>
      <c r="E501" t="s">
        <v>56</v>
      </c>
      <c r="F501" t="s">
        <v>89</v>
      </c>
      <c r="G501" s="6">
        <v>3</v>
      </c>
      <c r="H501" s="4">
        <v>80.3</v>
      </c>
      <c r="I501" s="4">
        <v>44.27</v>
      </c>
      <c r="J501" s="5">
        <v>0</v>
      </c>
      <c r="K501" s="6">
        <v>5</v>
      </c>
      <c r="L501" s="6">
        <v>4</v>
      </c>
      <c r="M501" t="s">
        <v>58</v>
      </c>
      <c r="N501" t="s">
        <v>59</v>
      </c>
      <c r="O501" t="s">
        <v>64</v>
      </c>
    </row>
    <row r="502" spans="1:15">
      <c r="A502" t="s">
        <v>599</v>
      </c>
      <c r="B502" s="3">
        <v>45987</v>
      </c>
      <c r="C502" t="s">
        <v>54</v>
      </c>
      <c r="D502" t="s">
        <v>62</v>
      </c>
      <c r="E502" t="s">
        <v>56</v>
      </c>
      <c r="F502" t="s">
        <v>89</v>
      </c>
      <c r="G502" s="6">
        <v>1</v>
      </c>
      <c r="H502" s="4">
        <v>81</v>
      </c>
      <c r="I502" s="4">
        <v>44.86</v>
      </c>
      <c r="J502" s="5">
        <v>0.1</v>
      </c>
      <c r="K502" s="6">
        <v>1</v>
      </c>
      <c r="L502" s="6">
        <v>5</v>
      </c>
      <c r="M502" t="s">
        <v>58</v>
      </c>
      <c r="N502" t="s">
        <v>69</v>
      </c>
      <c r="O502" t="s">
        <v>73</v>
      </c>
    </row>
    <row r="503" spans="1:15">
      <c r="A503" t="s">
        <v>600</v>
      </c>
      <c r="B503" s="3">
        <v>46019</v>
      </c>
      <c r="C503" t="s">
        <v>54</v>
      </c>
      <c r="D503" t="s">
        <v>55</v>
      </c>
      <c r="E503" t="s">
        <v>67</v>
      </c>
      <c r="F503" t="s">
        <v>68</v>
      </c>
      <c r="G503" s="6">
        <v>2</v>
      </c>
      <c r="H503" s="4">
        <v>39.97</v>
      </c>
      <c r="I503" s="4">
        <v>19.87</v>
      </c>
      <c r="J503" s="5">
        <v>0.1</v>
      </c>
      <c r="K503" s="6">
        <v>3</v>
      </c>
      <c r="L503" s="6">
        <v>5</v>
      </c>
      <c r="M503" t="s">
        <v>58</v>
      </c>
      <c r="N503" t="s">
        <v>87</v>
      </c>
      <c r="O503" t="s">
        <v>60</v>
      </c>
    </row>
    <row r="504" spans="1:15">
      <c r="A504" t="s">
        <v>601</v>
      </c>
      <c r="B504" s="3">
        <v>45975</v>
      </c>
      <c r="C504" t="s">
        <v>66</v>
      </c>
      <c r="D504" t="s">
        <v>62</v>
      </c>
      <c r="E504" t="s">
        <v>67</v>
      </c>
      <c r="F504" t="s">
        <v>68</v>
      </c>
      <c r="G504" s="6">
        <v>2</v>
      </c>
      <c r="H504" s="4">
        <v>39.58</v>
      </c>
      <c r="I504" s="4">
        <v>19.72</v>
      </c>
      <c r="J504" s="5">
        <v>0.1</v>
      </c>
      <c r="K504" s="6">
        <v>4</v>
      </c>
      <c r="L504" s="6">
        <v>4</v>
      </c>
      <c r="M504" t="s">
        <v>58</v>
      </c>
      <c r="N504" t="s">
        <v>59</v>
      </c>
      <c r="O504" t="s">
        <v>73</v>
      </c>
    </row>
    <row r="505" spans="1:15">
      <c r="A505" t="s">
        <v>602</v>
      </c>
      <c r="B505" s="3">
        <v>46016</v>
      </c>
      <c r="C505" t="s">
        <v>82</v>
      </c>
      <c r="D505" t="s">
        <v>62</v>
      </c>
      <c r="E505" t="s">
        <v>79</v>
      </c>
      <c r="F505" t="s">
        <v>85</v>
      </c>
      <c r="G505" s="6">
        <v>1</v>
      </c>
      <c r="H505" s="4">
        <v>130.38</v>
      </c>
      <c r="I505" s="4">
        <v>83.78</v>
      </c>
      <c r="J505" s="5">
        <v>0.15000000000000002</v>
      </c>
      <c r="K505" s="6">
        <v>3</v>
      </c>
      <c r="L505" s="6">
        <v>4</v>
      </c>
      <c r="M505" t="s">
        <v>58</v>
      </c>
      <c r="N505" t="s">
        <v>87</v>
      </c>
      <c r="O505" t="s">
        <v>73</v>
      </c>
    </row>
    <row r="506" spans="1:15">
      <c r="A506" t="s">
        <v>603</v>
      </c>
      <c r="B506" s="3">
        <v>46017</v>
      </c>
      <c r="C506" t="s">
        <v>82</v>
      </c>
      <c r="D506" t="s">
        <v>55</v>
      </c>
      <c r="E506" t="s">
        <v>56</v>
      </c>
      <c r="F506" t="s">
        <v>89</v>
      </c>
      <c r="G506" s="6">
        <v>3</v>
      </c>
      <c r="H506" s="4">
        <v>80.09</v>
      </c>
      <c r="I506" s="4">
        <v>47</v>
      </c>
      <c r="J506" s="5">
        <v>0.05</v>
      </c>
      <c r="K506" s="6">
        <v>0</v>
      </c>
      <c r="L506" s="6">
        <v>4</v>
      </c>
      <c r="M506" t="s">
        <v>58</v>
      </c>
      <c r="N506" t="s">
        <v>69</v>
      </c>
      <c r="O506" t="s">
        <v>64</v>
      </c>
    </row>
    <row r="507" spans="1:15">
      <c r="A507" t="s">
        <v>604</v>
      </c>
      <c r="B507" s="3">
        <v>45704</v>
      </c>
      <c r="C507" t="s">
        <v>54</v>
      </c>
      <c r="D507" t="s">
        <v>62</v>
      </c>
      <c r="E507" t="s">
        <v>75</v>
      </c>
      <c r="F507" t="s">
        <v>97</v>
      </c>
      <c r="G507" s="6">
        <v>1</v>
      </c>
      <c r="H507" s="4">
        <v>92.4</v>
      </c>
      <c r="I507" s="4">
        <v>53.89</v>
      </c>
      <c r="J507" s="5">
        <v>0</v>
      </c>
      <c r="K507" s="6">
        <v>4</v>
      </c>
      <c r="L507" s="6">
        <v>4</v>
      </c>
      <c r="M507" t="s">
        <v>58</v>
      </c>
      <c r="N507" t="s">
        <v>59</v>
      </c>
      <c r="O507" t="s">
        <v>73</v>
      </c>
    </row>
    <row r="508" spans="1:15">
      <c r="A508" t="s">
        <v>605</v>
      </c>
      <c r="B508" s="3">
        <v>45677</v>
      </c>
      <c r="C508" t="s">
        <v>66</v>
      </c>
      <c r="D508" t="s">
        <v>62</v>
      </c>
      <c r="E508" t="s">
        <v>67</v>
      </c>
      <c r="F508" t="s">
        <v>107</v>
      </c>
      <c r="G508" s="6">
        <v>1</v>
      </c>
      <c r="H508" s="4">
        <v>46.42</v>
      </c>
      <c r="I508" s="4">
        <v>21.82</v>
      </c>
      <c r="J508" s="5">
        <v>0.15000000000000002</v>
      </c>
      <c r="K508" s="6">
        <v>1</v>
      </c>
      <c r="L508" s="6">
        <v>4</v>
      </c>
      <c r="M508" t="s">
        <v>58</v>
      </c>
      <c r="N508" t="s">
        <v>69</v>
      </c>
      <c r="O508" t="s">
        <v>73</v>
      </c>
    </row>
    <row r="509" spans="1:15">
      <c r="A509" t="s">
        <v>606</v>
      </c>
      <c r="B509" s="3">
        <v>45867</v>
      </c>
      <c r="C509" t="s">
        <v>78</v>
      </c>
      <c r="D509" t="s">
        <v>62</v>
      </c>
      <c r="E509" t="s">
        <v>56</v>
      </c>
      <c r="F509" t="s">
        <v>89</v>
      </c>
      <c r="G509" s="6">
        <v>1</v>
      </c>
      <c r="H509" s="4">
        <v>82.48</v>
      </c>
      <c r="I509" s="4">
        <v>43.94</v>
      </c>
      <c r="J509" s="5">
        <v>0</v>
      </c>
      <c r="K509" s="6">
        <v>4</v>
      </c>
      <c r="L509" s="6">
        <v>4</v>
      </c>
      <c r="M509" t="s">
        <v>58</v>
      </c>
      <c r="N509" t="s">
        <v>59</v>
      </c>
      <c r="O509" t="s">
        <v>60</v>
      </c>
    </row>
    <row r="510" spans="1:15">
      <c r="A510" t="s">
        <v>607</v>
      </c>
      <c r="B510" s="3" t="s">
        <v>608</v>
      </c>
      <c r="C510" t="s">
        <v>82</v>
      </c>
      <c r="D510" t="s">
        <v>62</v>
      </c>
      <c r="E510" t="s">
        <v>56</v>
      </c>
      <c r="F510" t="s">
        <v>89</v>
      </c>
      <c r="G510" s="6">
        <v>1</v>
      </c>
      <c r="H510" s="4">
        <v>77.69</v>
      </c>
      <c r="I510" s="4">
        <v>45.44</v>
      </c>
      <c r="J510" s="5">
        <v>0.05</v>
      </c>
      <c r="K510" s="6">
        <v>4</v>
      </c>
      <c r="L510" s="6">
        <v>4</v>
      </c>
      <c r="M510" t="s">
        <v>58</v>
      </c>
      <c r="N510" t="s">
        <v>59</v>
      </c>
      <c r="O510" t="s">
        <v>64</v>
      </c>
    </row>
    <row r="511" spans="1:15">
      <c r="A511" t="s">
        <v>609</v>
      </c>
      <c r="B511" s="3">
        <v>45919</v>
      </c>
      <c r="C511" t="s">
        <v>78</v>
      </c>
      <c r="D511" t="s">
        <v>62</v>
      </c>
      <c r="E511" t="s">
        <v>67</v>
      </c>
      <c r="F511" t="s">
        <v>71</v>
      </c>
      <c r="G511" s="6">
        <v>1</v>
      </c>
      <c r="H511" s="4">
        <v>72.44</v>
      </c>
      <c r="I511" s="4">
        <v>37.44</v>
      </c>
      <c r="J511" s="5">
        <v>0.1</v>
      </c>
      <c r="K511" s="6">
        <v>2</v>
      </c>
      <c r="L511" s="6">
        <v>5</v>
      </c>
      <c r="M511" t="s">
        <v>58</v>
      </c>
      <c r="N511" t="s">
        <v>59</v>
      </c>
      <c r="O511" t="s">
        <v>64</v>
      </c>
    </row>
    <row r="512" spans="1:15">
      <c r="A512" t="s">
        <v>610</v>
      </c>
      <c r="B512" s="3">
        <v>45986</v>
      </c>
      <c r="C512" t="s">
        <v>66</v>
      </c>
      <c r="D512" t="s">
        <v>62</v>
      </c>
      <c r="E512" t="s">
        <v>79</v>
      </c>
      <c r="F512" t="s">
        <v>85</v>
      </c>
      <c r="G512" s="6">
        <v>2</v>
      </c>
      <c r="H512" s="4">
        <v>133.65</v>
      </c>
      <c r="I512" s="4">
        <v>84.01</v>
      </c>
      <c r="J512" s="5">
        <v>0.1</v>
      </c>
      <c r="K512" s="6">
        <v>3</v>
      </c>
      <c r="L512" s="6">
        <v>3</v>
      </c>
      <c r="M512" t="s">
        <v>126</v>
      </c>
      <c r="N512" t="s">
        <v>59</v>
      </c>
      <c r="O512" t="s">
        <v>64</v>
      </c>
    </row>
    <row r="513" spans="1:15">
      <c r="A513" t="s">
        <v>611</v>
      </c>
      <c r="B513" s="3">
        <v>45758</v>
      </c>
      <c r="C513" t="s">
        <v>82</v>
      </c>
      <c r="D513" t="s">
        <v>129</v>
      </c>
      <c r="E513" t="s">
        <v>67</v>
      </c>
      <c r="F513" t="s">
        <v>68</v>
      </c>
      <c r="G513" s="6">
        <v>3</v>
      </c>
      <c r="H513" s="4">
        <v>39.840000000000003</v>
      </c>
      <c r="I513" s="4">
        <v>19.010000000000002</v>
      </c>
      <c r="J513" s="5">
        <v>0.1</v>
      </c>
      <c r="K513" s="6">
        <v>3</v>
      </c>
      <c r="L513" s="6">
        <v>5</v>
      </c>
      <c r="M513" t="s">
        <v>58</v>
      </c>
      <c r="N513" t="s">
        <v>87</v>
      </c>
      <c r="O513" t="s">
        <v>64</v>
      </c>
    </row>
    <row r="514" spans="1:15">
      <c r="A514" t="s">
        <v>612</v>
      </c>
      <c r="B514" s="3">
        <v>45836</v>
      </c>
      <c r="C514" t="s">
        <v>82</v>
      </c>
      <c r="D514" t="s">
        <v>129</v>
      </c>
      <c r="E514" t="s">
        <v>56</v>
      </c>
      <c r="F514" t="s">
        <v>63</v>
      </c>
      <c r="G514" s="6">
        <v>6</v>
      </c>
      <c r="H514" s="4">
        <v>38.85</v>
      </c>
      <c r="I514" s="4">
        <v>19.73</v>
      </c>
      <c r="J514" s="5">
        <v>0.05</v>
      </c>
      <c r="K514" s="6">
        <v>2</v>
      </c>
      <c r="L514" s="6">
        <v>4</v>
      </c>
      <c r="M514" t="s">
        <v>58</v>
      </c>
      <c r="N514" t="s">
        <v>69</v>
      </c>
      <c r="O514" t="s">
        <v>64</v>
      </c>
    </row>
    <row r="515" spans="1:15">
      <c r="A515" t="s">
        <v>613</v>
      </c>
      <c r="B515" s="3">
        <v>45972</v>
      </c>
      <c r="C515" t="s">
        <v>78</v>
      </c>
      <c r="D515" t="s">
        <v>55</v>
      </c>
      <c r="E515" t="s">
        <v>67</v>
      </c>
      <c r="F515" t="s">
        <v>94</v>
      </c>
      <c r="G515" s="6">
        <v>5</v>
      </c>
      <c r="H515" s="4">
        <v>35.04</v>
      </c>
      <c r="I515" s="4">
        <v>16.829999999999998</v>
      </c>
      <c r="J515" s="5">
        <v>0.1</v>
      </c>
      <c r="K515" s="6">
        <v>5</v>
      </c>
      <c r="L515" s="6">
        <v>4</v>
      </c>
      <c r="M515" t="s">
        <v>58</v>
      </c>
      <c r="N515" t="s">
        <v>59</v>
      </c>
      <c r="O515" t="s">
        <v>64</v>
      </c>
    </row>
    <row r="516" spans="1:15">
      <c r="A516" t="s">
        <v>614</v>
      </c>
      <c r="B516" s="3">
        <v>45891</v>
      </c>
      <c r="C516" t="s">
        <v>66</v>
      </c>
      <c r="D516" t="s">
        <v>55</v>
      </c>
      <c r="E516" t="s">
        <v>75</v>
      </c>
      <c r="F516" t="s">
        <v>110</v>
      </c>
      <c r="G516" s="6">
        <v>2</v>
      </c>
      <c r="H516" s="4">
        <v>166.11</v>
      </c>
      <c r="I516" s="4">
        <v>100.83</v>
      </c>
      <c r="J516" s="5">
        <v>0</v>
      </c>
      <c r="K516" s="6">
        <v>2</v>
      </c>
      <c r="L516" s="6">
        <v>4</v>
      </c>
      <c r="M516" t="s">
        <v>58</v>
      </c>
      <c r="N516" t="s">
        <v>69</v>
      </c>
      <c r="O516" t="s">
        <v>73</v>
      </c>
    </row>
    <row r="517" spans="1:15">
      <c r="A517" t="s">
        <v>615</v>
      </c>
      <c r="B517" s="3">
        <v>45722</v>
      </c>
      <c r="C517" t="s">
        <v>66</v>
      </c>
      <c r="D517" t="s">
        <v>62</v>
      </c>
      <c r="E517" t="s">
        <v>75</v>
      </c>
      <c r="F517" t="s">
        <v>110</v>
      </c>
      <c r="G517" s="6">
        <v>2</v>
      </c>
      <c r="H517" s="4">
        <v>163.27000000000001</v>
      </c>
      <c r="I517" s="4">
        <v>99.38</v>
      </c>
      <c r="J517" s="5">
        <v>0.1</v>
      </c>
      <c r="K517" s="6">
        <v>3</v>
      </c>
      <c r="L517" s="6"/>
      <c r="M517" t="s">
        <v>58</v>
      </c>
      <c r="N517" t="s">
        <v>59</v>
      </c>
      <c r="O517" t="s">
        <v>73</v>
      </c>
    </row>
    <row r="518" spans="1:15">
      <c r="A518" t="s">
        <v>373</v>
      </c>
      <c r="B518" s="3">
        <v>45995</v>
      </c>
      <c r="C518" t="s">
        <v>66</v>
      </c>
      <c r="D518" t="s">
        <v>62</v>
      </c>
      <c r="E518" t="s">
        <v>75</v>
      </c>
      <c r="F518" t="s">
        <v>110</v>
      </c>
      <c r="G518" s="6">
        <v>2</v>
      </c>
      <c r="H518" s="4">
        <v>161.71</v>
      </c>
      <c r="I518" s="4">
        <v>103.72</v>
      </c>
      <c r="J518" s="5">
        <v>0.2</v>
      </c>
      <c r="K518" s="6">
        <v>4</v>
      </c>
      <c r="L518" s="6">
        <v>4</v>
      </c>
      <c r="M518" t="s">
        <v>58</v>
      </c>
      <c r="N518" t="s">
        <v>69</v>
      </c>
      <c r="O518" t="s">
        <v>64</v>
      </c>
    </row>
    <row r="519" spans="1:15">
      <c r="A519" t="s">
        <v>616</v>
      </c>
      <c r="B519" s="3">
        <v>45915</v>
      </c>
      <c r="C519" t="s">
        <v>82</v>
      </c>
      <c r="D519" t="s">
        <v>55</v>
      </c>
      <c r="E519" t="s">
        <v>79</v>
      </c>
      <c r="F519" t="s">
        <v>115</v>
      </c>
      <c r="G519" s="6">
        <v>6</v>
      </c>
      <c r="H519" s="4">
        <v>60.45</v>
      </c>
      <c r="I519" s="4">
        <v>34.08</v>
      </c>
      <c r="J519" s="5">
        <v>0</v>
      </c>
      <c r="K519" s="6">
        <v>0</v>
      </c>
      <c r="L519" s="6">
        <v>3</v>
      </c>
      <c r="M519" t="s">
        <v>126</v>
      </c>
      <c r="N519" t="s">
        <v>69</v>
      </c>
      <c r="O519" t="s">
        <v>64</v>
      </c>
    </row>
    <row r="520" spans="1:15">
      <c r="A520" t="s">
        <v>617</v>
      </c>
      <c r="B520" s="3">
        <v>45991</v>
      </c>
      <c r="C520" t="s">
        <v>82</v>
      </c>
      <c r="D520" t="s">
        <v>55</v>
      </c>
      <c r="E520" t="s">
        <v>75</v>
      </c>
      <c r="F520" t="s">
        <v>76</v>
      </c>
      <c r="G520" s="6">
        <v>1</v>
      </c>
      <c r="H520" s="4">
        <v>124.24</v>
      </c>
      <c r="I520" s="4">
        <v>72.23</v>
      </c>
      <c r="J520" s="5">
        <v>0.1</v>
      </c>
      <c r="K520" s="6">
        <v>4</v>
      </c>
      <c r="L520" s="6">
        <v>5</v>
      </c>
      <c r="M520" t="s">
        <v>58</v>
      </c>
      <c r="N520" t="s">
        <v>69</v>
      </c>
      <c r="O520" t="s">
        <v>64</v>
      </c>
    </row>
    <row r="521" spans="1:15">
      <c r="A521" t="s">
        <v>618</v>
      </c>
      <c r="B521" s="3">
        <v>45693</v>
      </c>
      <c r="C521" t="s">
        <v>66</v>
      </c>
      <c r="D521" t="s">
        <v>55</v>
      </c>
      <c r="E521" t="s">
        <v>56</v>
      </c>
      <c r="F521" t="s">
        <v>83</v>
      </c>
      <c r="G521" s="6">
        <v>1</v>
      </c>
      <c r="H521" s="4">
        <v>65</v>
      </c>
      <c r="I521" s="4">
        <v>36.619999999999997</v>
      </c>
      <c r="J521" s="5">
        <v>0.05</v>
      </c>
      <c r="K521" s="6">
        <v>2</v>
      </c>
      <c r="L521" s="6">
        <v>4</v>
      </c>
      <c r="M521" t="s">
        <v>58</v>
      </c>
      <c r="N521" t="s">
        <v>59</v>
      </c>
      <c r="O521" t="s">
        <v>64</v>
      </c>
    </row>
    <row r="522" spans="1:15">
      <c r="A522" t="s">
        <v>619</v>
      </c>
      <c r="B522" s="3">
        <v>45965</v>
      </c>
      <c r="C522" t="s">
        <v>78</v>
      </c>
      <c r="D522" t="s">
        <v>55</v>
      </c>
      <c r="E522" t="s">
        <v>56</v>
      </c>
      <c r="F522" t="s">
        <v>57</v>
      </c>
      <c r="G522" s="6">
        <v>2</v>
      </c>
      <c r="H522" s="4">
        <v>106.9</v>
      </c>
      <c r="I522" s="4">
        <v>70.319999999999993</v>
      </c>
      <c r="J522" s="5">
        <v>0.1</v>
      </c>
      <c r="K522" s="6">
        <v>4</v>
      </c>
      <c r="L522" s="6">
        <v>5</v>
      </c>
      <c r="M522" t="s">
        <v>58</v>
      </c>
      <c r="N522" t="s">
        <v>69</v>
      </c>
      <c r="O522" t="s">
        <v>73</v>
      </c>
    </row>
    <row r="523" spans="1:15">
      <c r="A523" t="s">
        <v>620</v>
      </c>
      <c r="B523" s="3">
        <v>45710</v>
      </c>
      <c r="C523" t="s">
        <v>78</v>
      </c>
      <c r="D523" t="s">
        <v>62</v>
      </c>
      <c r="E523" t="s">
        <v>79</v>
      </c>
      <c r="F523" t="s">
        <v>115</v>
      </c>
      <c r="G523" s="6">
        <v>2</v>
      </c>
      <c r="H523" s="4">
        <v>59.84</v>
      </c>
      <c r="I523" s="4">
        <v>33.54</v>
      </c>
      <c r="J523" s="5">
        <v>0.05</v>
      </c>
      <c r="K523" s="6">
        <v>5</v>
      </c>
      <c r="L523" s="6">
        <v>5</v>
      </c>
      <c r="M523" t="s">
        <v>58</v>
      </c>
      <c r="N523" t="s">
        <v>59</v>
      </c>
      <c r="O523" t="s">
        <v>73</v>
      </c>
    </row>
    <row r="524" spans="1:15">
      <c r="A524" t="s">
        <v>621</v>
      </c>
      <c r="B524" s="3">
        <v>45671</v>
      </c>
      <c r="C524" t="s">
        <v>66</v>
      </c>
      <c r="D524" t="s">
        <v>62</v>
      </c>
      <c r="E524" t="s">
        <v>79</v>
      </c>
      <c r="F524" t="s">
        <v>85</v>
      </c>
      <c r="G524" s="6">
        <v>3</v>
      </c>
      <c r="H524" s="4">
        <v>128.69999999999999</v>
      </c>
      <c r="I524" s="4">
        <v>82.77</v>
      </c>
      <c r="J524" s="5">
        <v>0</v>
      </c>
      <c r="K524" s="6">
        <v>7</v>
      </c>
      <c r="L524" s="6">
        <v>2</v>
      </c>
      <c r="M524" t="s">
        <v>126</v>
      </c>
      <c r="N524" t="s">
        <v>59</v>
      </c>
      <c r="O524" t="s">
        <v>64</v>
      </c>
    </row>
    <row r="525" spans="1:15">
      <c r="A525" t="s">
        <v>622</v>
      </c>
      <c r="B525" s="3">
        <v>45952</v>
      </c>
      <c r="C525" t="s">
        <v>78</v>
      </c>
      <c r="D525" t="s">
        <v>62</v>
      </c>
      <c r="E525" t="s">
        <v>75</v>
      </c>
      <c r="F525" t="s">
        <v>76</v>
      </c>
      <c r="G525" s="6">
        <v>2</v>
      </c>
      <c r="H525" s="4">
        <v>122.98</v>
      </c>
      <c r="I525" s="4">
        <v>72.53</v>
      </c>
      <c r="J525" s="5">
        <v>0.05</v>
      </c>
      <c r="K525" s="6">
        <v>0</v>
      </c>
      <c r="L525" s="6">
        <v>5</v>
      </c>
      <c r="M525" t="s">
        <v>58</v>
      </c>
      <c r="N525" t="s">
        <v>69</v>
      </c>
      <c r="O525" t="s">
        <v>64</v>
      </c>
    </row>
    <row r="526" spans="1:15">
      <c r="A526" t="s">
        <v>623</v>
      </c>
      <c r="B526" s="3">
        <v>45731</v>
      </c>
      <c r="C526" t="s">
        <v>82</v>
      </c>
      <c r="D526" t="s">
        <v>55</v>
      </c>
      <c r="E526" t="s">
        <v>67</v>
      </c>
      <c r="F526" t="s">
        <v>71</v>
      </c>
      <c r="G526" s="6">
        <v>1</v>
      </c>
      <c r="H526" s="4">
        <v>68.34</v>
      </c>
      <c r="I526" s="4">
        <v>37.090000000000003</v>
      </c>
      <c r="J526" s="5">
        <v>0</v>
      </c>
      <c r="K526" s="6">
        <v>0</v>
      </c>
      <c r="L526" s="6">
        <v>4</v>
      </c>
      <c r="M526" t="s">
        <v>58</v>
      </c>
      <c r="N526" t="s">
        <v>69</v>
      </c>
      <c r="O526" t="s">
        <v>64</v>
      </c>
    </row>
    <row r="527" spans="1:15">
      <c r="A527" t="s">
        <v>624</v>
      </c>
      <c r="B527" s="3">
        <v>46005</v>
      </c>
      <c r="C527" t="s">
        <v>66</v>
      </c>
      <c r="D527" t="s">
        <v>62</v>
      </c>
      <c r="E527" t="s">
        <v>56</v>
      </c>
      <c r="F527" t="s">
        <v>83</v>
      </c>
      <c r="G527" s="6">
        <v>1</v>
      </c>
      <c r="H527" s="4">
        <v>66.31</v>
      </c>
      <c r="I527" s="4">
        <v>35.47</v>
      </c>
      <c r="J527" s="5">
        <v>0.05</v>
      </c>
      <c r="K527" s="6">
        <v>3</v>
      </c>
      <c r="L527" s="6">
        <v>5</v>
      </c>
      <c r="M527" t="s">
        <v>58</v>
      </c>
      <c r="N527" t="s">
        <v>59</v>
      </c>
      <c r="O527" t="s">
        <v>64</v>
      </c>
    </row>
    <row r="528" spans="1:15">
      <c r="A528" t="s">
        <v>625</v>
      </c>
      <c r="B528" s="3">
        <v>45706</v>
      </c>
      <c r="C528" t="s">
        <v>82</v>
      </c>
      <c r="D528" t="s">
        <v>55</v>
      </c>
      <c r="E528" t="s">
        <v>227</v>
      </c>
      <c r="F528" t="s">
        <v>80</v>
      </c>
      <c r="G528" s="6">
        <v>4</v>
      </c>
      <c r="H528" s="4">
        <v>73.19</v>
      </c>
      <c r="I528" s="4">
        <v>44.74</v>
      </c>
      <c r="J528" s="5">
        <v>0</v>
      </c>
      <c r="K528" s="6">
        <v>4</v>
      </c>
      <c r="L528" s="6">
        <v>4</v>
      </c>
      <c r="M528" t="s">
        <v>58</v>
      </c>
      <c r="N528" t="s">
        <v>59</v>
      </c>
      <c r="O528" t="s">
        <v>60</v>
      </c>
    </row>
    <row r="529" spans="1:15">
      <c r="A529" t="s">
        <v>626</v>
      </c>
      <c r="B529" s="3">
        <v>45859</v>
      </c>
      <c r="C529" t="s">
        <v>66</v>
      </c>
      <c r="D529" t="s">
        <v>62</v>
      </c>
      <c r="E529" t="s">
        <v>67</v>
      </c>
      <c r="F529" t="s">
        <v>107</v>
      </c>
      <c r="G529" s="6">
        <v>3</v>
      </c>
      <c r="H529" s="4">
        <v>44.94</v>
      </c>
      <c r="I529" s="4">
        <v>21.63</v>
      </c>
      <c r="J529" s="5">
        <v>0.1</v>
      </c>
      <c r="K529" s="6">
        <v>0</v>
      </c>
      <c r="L529" s="6">
        <v>5</v>
      </c>
      <c r="M529" t="s">
        <v>58</v>
      </c>
      <c r="N529" t="s">
        <v>69</v>
      </c>
      <c r="O529" t="s">
        <v>64</v>
      </c>
    </row>
    <row r="530" spans="1:15">
      <c r="A530" t="s">
        <v>627</v>
      </c>
      <c r="B530" s="3">
        <v>45727</v>
      </c>
      <c r="C530" t="s">
        <v>82</v>
      </c>
      <c r="D530" t="s">
        <v>62</v>
      </c>
      <c r="E530" t="s">
        <v>67</v>
      </c>
      <c r="F530" t="s">
        <v>71</v>
      </c>
      <c r="G530" s="6">
        <v>1</v>
      </c>
      <c r="H530" s="4">
        <v>70.63</v>
      </c>
      <c r="I530" s="4">
        <v>36.869999999999997</v>
      </c>
      <c r="J530" s="5">
        <v>0</v>
      </c>
      <c r="K530" s="6">
        <v>4</v>
      </c>
      <c r="L530" s="6">
        <v>4</v>
      </c>
      <c r="M530" t="s">
        <v>58</v>
      </c>
      <c r="N530" t="s">
        <v>59</v>
      </c>
      <c r="O530" t="s">
        <v>64</v>
      </c>
    </row>
    <row r="531" spans="1:15">
      <c r="A531" t="s">
        <v>628</v>
      </c>
      <c r="B531" s="3">
        <v>45747</v>
      </c>
      <c r="C531" t="s">
        <v>78</v>
      </c>
      <c r="D531" t="s">
        <v>62</v>
      </c>
      <c r="E531" t="s">
        <v>67</v>
      </c>
      <c r="F531" t="s">
        <v>71</v>
      </c>
      <c r="G531" s="6">
        <v>3</v>
      </c>
      <c r="H531" s="4">
        <v>67.98</v>
      </c>
      <c r="I531" s="4">
        <v>37.44</v>
      </c>
      <c r="J531" s="5">
        <v>0</v>
      </c>
      <c r="K531" s="6">
        <v>3</v>
      </c>
      <c r="L531" s="6">
        <v>5</v>
      </c>
      <c r="M531" t="s">
        <v>58</v>
      </c>
      <c r="N531" t="s">
        <v>69</v>
      </c>
      <c r="O531" t="s">
        <v>64</v>
      </c>
    </row>
    <row r="532" spans="1:15">
      <c r="A532" t="s">
        <v>629</v>
      </c>
      <c r="B532" s="3">
        <v>45833</v>
      </c>
      <c r="C532" t="s">
        <v>66</v>
      </c>
      <c r="D532" t="s">
        <v>55</v>
      </c>
      <c r="E532" t="s">
        <v>79</v>
      </c>
      <c r="F532" t="s">
        <v>80</v>
      </c>
      <c r="G532" s="6">
        <v>4</v>
      </c>
      <c r="H532" s="4">
        <v>74.7</v>
      </c>
      <c r="I532" s="4">
        <v>45.04</v>
      </c>
      <c r="J532" s="5">
        <v>0.1</v>
      </c>
      <c r="K532" s="6">
        <v>7</v>
      </c>
      <c r="L532" s="6">
        <v>4</v>
      </c>
      <c r="M532" t="s">
        <v>58</v>
      </c>
      <c r="N532" t="s">
        <v>59</v>
      </c>
      <c r="O532" t="s">
        <v>64</v>
      </c>
    </row>
    <row r="533" spans="1:15">
      <c r="A533" t="s">
        <v>630</v>
      </c>
      <c r="B533" s="3">
        <v>45997</v>
      </c>
      <c r="C533" t="s">
        <v>66</v>
      </c>
      <c r="D533" t="s">
        <v>62</v>
      </c>
      <c r="E533" t="s">
        <v>75</v>
      </c>
      <c r="F533" t="s">
        <v>110</v>
      </c>
      <c r="G533" s="6">
        <v>2</v>
      </c>
      <c r="H533" s="4">
        <v>156.12</v>
      </c>
      <c r="I533" s="4">
        <v>101.64</v>
      </c>
      <c r="J533" s="5">
        <v>0.1</v>
      </c>
      <c r="K533" s="6">
        <v>2</v>
      </c>
      <c r="L533" s="6">
        <v>5</v>
      </c>
      <c r="M533" t="s">
        <v>58</v>
      </c>
      <c r="N533" t="s">
        <v>69</v>
      </c>
      <c r="O533" t="s">
        <v>64</v>
      </c>
    </row>
    <row r="534" spans="1:15">
      <c r="A534" t="s">
        <v>631</v>
      </c>
      <c r="B534" s="3">
        <v>45856</v>
      </c>
      <c r="C534" t="s">
        <v>78</v>
      </c>
      <c r="D534" t="s">
        <v>55</v>
      </c>
      <c r="E534" t="s">
        <v>56</v>
      </c>
      <c r="F534" t="s">
        <v>63</v>
      </c>
      <c r="G534" s="6">
        <v>1</v>
      </c>
      <c r="H534" s="4">
        <v>41.11</v>
      </c>
      <c r="I534" s="4">
        <v>19.86</v>
      </c>
      <c r="J534" s="5">
        <v>0</v>
      </c>
      <c r="K534" s="6">
        <v>2</v>
      </c>
      <c r="L534" s="6">
        <v>5</v>
      </c>
      <c r="M534" t="s">
        <v>58</v>
      </c>
      <c r="N534" t="s">
        <v>59</v>
      </c>
      <c r="O534" t="s">
        <v>73</v>
      </c>
    </row>
    <row r="535" spans="1:15">
      <c r="A535" t="s">
        <v>632</v>
      </c>
      <c r="B535" s="3">
        <v>45836</v>
      </c>
      <c r="C535" t="s">
        <v>66</v>
      </c>
      <c r="D535" t="s">
        <v>55</v>
      </c>
      <c r="E535" t="s">
        <v>75</v>
      </c>
      <c r="F535" t="s">
        <v>76</v>
      </c>
      <c r="G535" s="6">
        <v>5</v>
      </c>
      <c r="H535" s="4">
        <v>119.92</v>
      </c>
      <c r="I535" s="4">
        <v>70.069999999999993</v>
      </c>
      <c r="J535" s="5">
        <v>0.1</v>
      </c>
      <c r="K535" s="6">
        <v>6</v>
      </c>
      <c r="L535" s="6">
        <v>3</v>
      </c>
      <c r="M535" t="s">
        <v>58</v>
      </c>
      <c r="N535" t="s">
        <v>59</v>
      </c>
      <c r="O535" t="s">
        <v>64</v>
      </c>
    </row>
    <row r="536" spans="1:15">
      <c r="A536" t="s">
        <v>633</v>
      </c>
      <c r="B536" s="3">
        <v>45934</v>
      </c>
      <c r="C536" t="s">
        <v>54</v>
      </c>
      <c r="D536" t="s">
        <v>62</v>
      </c>
      <c r="E536" t="s">
        <v>67</v>
      </c>
      <c r="F536" t="s">
        <v>107</v>
      </c>
      <c r="G536" s="6">
        <v>2</v>
      </c>
      <c r="H536" s="4">
        <v>44.04</v>
      </c>
      <c r="I536" s="4">
        <v>21.76</v>
      </c>
      <c r="J536" s="5">
        <v>0</v>
      </c>
      <c r="K536" s="6">
        <v>0</v>
      </c>
      <c r="L536" s="6">
        <v>4</v>
      </c>
      <c r="M536" t="s">
        <v>58</v>
      </c>
      <c r="N536" t="s">
        <v>69</v>
      </c>
      <c r="O536" t="s">
        <v>64</v>
      </c>
    </row>
    <row r="537" spans="1:15">
      <c r="A537" t="s">
        <v>634</v>
      </c>
      <c r="B537" s="3">
        <v>45771</v>
      </c>
      <c r="C537" t="s">
        <v>66</v>
      </c>
      <c r="D537" t="s">
        <v>55</v>
      </c>
      <c r="E537" t="s">
        <v>67</v>
      </c>
      <c r="F537" t="s">
        <v>107</v>
      </c>
      <c r="G537" s="6">
        <v>2</v>
      </c>
      <c r="H537" s="4">
        <v>45</v>
      </c>
      <c r="I537" s="4">
        <v>21.5</v>
      </c>
      <c r="J537" s="5">
        <v>0.05</v>
      </c>
      <c r="K537" s="6">
        <v>5</v>
      </c>
      <c r="L537" s="6">
        <v>4</v>
      </c>
      <c r="M537" t="s">
        <v>126</v>
      </c>
      <c r="N537" t="s">
        <v>59</v>
      </c>
      <c r="O537" t="s">
        <v>64</v>
      </c>
    </row>
    <row r="538" spans="1:15">
      <c r="A538" t="s">
        <v>635</v>
      </c>
      <c r="B538" s="3">
        <v>45885</v>
      </c>
      <c r="C538" t="s">
        <v>54</v>
      </c>
      <c r="D538" t="s">
        <v>62</v>
      </c>
      <c r="E538" t="s">
        <v>79</v>
      </c>
      <c r="F538" t="s">
        <v>92</v>
      </c>
      <c r="G538" s="6">
        <v>2</v>
      </c>
      <c r="H538" s="4">
        <v>49.54</v>
      </c>
      <c r="I538" s="4">
        <v>26.01</v>
      </c>
      <c r="J538" s="5">
        <v>0</v>
      </c>
      <c r="K538" s="6">
        <v>4</v>
      </c>
      <c r="L538" s="6">
        <v>5</v>
      </c>
      <c r="M538" t="s">
        <v>58</v>
      </c>
      <c r="N538" t="s">
        <v>87</v>
      </c>
      <c r="O538" t="s">
        <v>60</v>
      </c>
    </row>
    <row r="539" spans="1:15">
      <c r="A539" t="s">
        <v>636</v>
      </c>
      <c r="B539" s="3">
        <v>45920</v>
      </c>
      <c r="C539" t="s">
        <v>66</v>
      </c>
      <c r="D539" t="s">
        <v>62</v>
      </c>
      <c r="E539" t="s">
        <v>79</v>
      </c>
      <c r="F539" t="s">
        <v>80</v>
      </c>
      <c r="G539" s="6">
        <v>2</v>
      </c>
      <c r="H539" s="4">
        <v>73.34</v>
      </c>
      <c r="I539" s="4">
        <v>43.66</v>
      </c>
      <c r="J539" s="5">
        <v>0.1</v>
      </c>
      <c r="K539" s="6">
        <v>7</v>
      </c>
      <c r="L539" s="6">
        <v>3</v>
      </c>
      <c r="M539" t="s">
        <v>58</v>
      </c>
      <c r="N539" t="s">
        <v>87</v>
      </c>
      <c r="O539" t="s">
        <v>64</v>
      </c>
    </row>
    <row r="540" spans="1:15">
      <c r="A540" t="s">
        <v>637</v>
      </c>
      <c r="B540" s="3">
        <v>45803</v>
      </c>
      <c r="C540" t="s">
        <v>82</v>
      </c>
      <c r="D540" t="s">
        <v>62</v>
      </c>
      <c r="E540" t="s">
        <v>67</v>
      </c>
      <c r="F540" t="s">
        <v>94</v>
      </c>
      <c r="G540" s="6">
        <v>1</v>
      </c>
      <c r="H540" s="4">
        <v>36.25</v>
      </c>
      <c r="I540" s="4">
        <v>16.559999999999999</v>
      </c>
      <c r="J540" s="5">
        <v>0.1</v>
      </c>
      <c r="K540" s="6">
        <v>2</v>
      </c>
      <c r="L540" s="6">
        <v>4</v>
      </c>
      <c r="M540" t="s">
        <v>58</v>
      </c>
      <c r="N540" t="s">
        <v>59</v>
      </c>
      <c r="O540" t="s">
        <v>60</v>
      </c>
    </row>
    <row r="541" spans="1:15">
      <c r="A541" t="s">
        <v>638</v>
      </c>
      <c r="B541" s="3">
        <v>45971</v>
      </c>
      <c r="C541" t="s">
        <v>66</v>
      </c>
      <c r="D541" t="s">
        <v>62</v>
      </c>
      <c r="E541" t="s">
        <v>79</v>
      </c>
      <c r="F541" t="s">
        <v>115</v>
      </c>
      <c r="G541" s="6">
        <v>2</v>
      </c>
      <c r="H541" s="4">
        <v>61.22</v>
      </c>
      <c r="I541" s="4">
        <v>34.89</v>
      </c>
      <c r="J541" s="5">
        <v>0.15000000000000002</v>
      </c>
      <c r="K541" s="6">
        <v>3</v>
      </c>
      <c r="L541" s="6">
        <v>4</v>
      </c>
      <c r="M541" t="s">
        <v>58</v>
      </c>
      <c r="N541" t="s">
        <v>59</v>
      </c>
      <c r="O541" t="s">
        <v>64</v>
      </c>
    </row>
    <row r="542" spans="1:15">
      <c r="A542" t="s">
        <v>639</v>
      </c>
      <c r="B542" s="3">
        <v>45749</v>
      </c>
      <c r="C542" t="s">
        <v>305</v>
      </c>
      <c r="D542" t="s">
        <v>55</v>
      </c>
      <c r="E542" t="s">
        <v>56</v>
      </c>
      <c r="F542" t="s">
        <v>89</v>
      </c>
      <c r="G542" s="6">
        <v>4</v>
      </c>
      <c r="H542" s="4">
        <v>79.28</v>
      </c>
      <c r="I542" s="4">
        <v>46.04</v>
      </c>
      <c r="J542" s="5">
        <v>0.1</v>
      </c>
      <c r="K542" s="6">
        <v>6</v>
      </c>
      <c r="L542" s="6">
        <v>3</v>
      </c>
      <c r="M542" t="s">
        <v>58</v>
      </c>
      <c r="N542" t="s">
        <v>59</v>
      </c>
      <c r="O542" t="s">
        <v>64</v>
      </c>
    </row>
    <row r="543" spans="1:15">
      <c r="A543" t="s">
        <v>640</v>
      </c>
      <c r="B543" s="3">
        <v>45844</v>
      </c>
      <c r="C543" t="s">
        <v>82</v>
      </c>
      <c r="D543" t="s">
        <v>62</v>
      </c>
      <c r="E543" t="s">
        <v>56</v>
      </c>
      <c r="F543" t="s">
        <v>57</v>
      </c>
      <c r="G543" s="6">
        <v>2</v>
      </c>
      <c r="H543" s="4">
        <v>110.35</v>
      </c>
      <c r="I543" s="4">
        <v>65.430000000000007</v>
      </c>
      <c r="J543" s="5">
        <v>0</v>
      </c>
      <c r="K543" s="6">
        <v>1</v>
      </c>
      <c r="L543" s="6">
        <v>4</v>
      </c>
      <c r="M543" t="s">
        <v>58</v>
      </c>
      <c r="N543" t="s">
        <v>69</v>
      </c>
      <c r="O543" t="s">
        <v>64</v>
      </c>
    </row>
    <row r="544" spans="1:15">
      <c r="A544" t="s">
        <v>641</v>
      </c>
      <c r="B544" s="3">
        <v>46010</v>
      </c>
      <c r="C544" t="s">
        <v>54</v>
      </c>
      <c r="D544" t="s">
        <v>62</v>
      </c>
      <c r="E544" t="s">
        <v>75</v>
      </c>
      <c r="F544" t="s">
        <v>76</v>
      </c>
      <c r="G544" s="6">
        <v>2</v>
      </c>
      <c r="H544" s="4">
        <v>118.78</v>
      </c>
      <c r="I544" s="4">
        <v>74.77</v>
      </c>
      <c r="J544" s="5">
        <v>0.2</v>
      </c>
      <c r="K544" s="6">
        <v>5</v>
      </c>
      <c r="L544" s="6">
        <v>4</v>
      </c>
      <c r="M544" t="s">
        <v>58</v>
      </c>
      <c r="N544" t="s">
        <v>69</v>
      </c>
      <c r="O544" t="s">
        <v>64</v>
      </c>
    </row>
    <row r="545" spans="1:15">
      <c r="A545" t="s">
        <v>642</v>
      </c>
      <c r="B545" s="3">
        <v>45974</v>
      </c>
      <c r="C545" t="s">
        <v>78</v>
      </c>
      <c r="D545" t="s">
        <v>62</v>
      </c>
      <c r="E545" t="s">
        <v>75</v>
      </c>
      <c r="F545" t="s">
        <v>76</v>
      </c>
      <c r="G545" s="6">
        <v>1</v>
      </c>
      <c r="H545" s="4">
        <v>118.3</v>
      </c>
      <c r="I545" s="4">
        <v>70.959999999999994</v>
      </c>
      <c r="J545" s="5">
        <v>0</v>
      </c>
      <c r="K545" s="6">
        <v>4</v>
      </c>
      <c r="L545" s="6">
        <v>5</v>
      </c>
      <c r="M545" t="s">
        <v>58</v>
      </c>
      <c r="N545" t="s">
        <v>59</v>
      </c>
      <c r="O545" t="s">
        <v>64</v>
      </c>
    </row>
    <row r="546" spans="1:15">
      <c r="A546" t="s">
        <v>643</v>
      </c>
      <c r="B546" s="3">
        <v>45833</v>
      </c>
      <c r="C546" t="s">
        <v>66</v>
      </c>
      <c r="D546" t="s">
        <v>62</v>
      </c>
      <c r="E546" t="s">
        <v>79</v>
      </c>
      <c r="F546" t="s">
        <v>85</v>
      </c>
      <c r="G546" s="6">
        <v>1</v>
      </c>
      <c r="H546" s="4">
        <v>128.76</v>
      </c>
      <c r="I546" s="4">
        <v>84.16</v>
      </c>
      <c r="J546" s="5">
        <v>0.1</v>
      </c>
      <c r="K546" s="6">
        <v>0</v>
      </c>
      <c r="L546" s="6">
        <v>4</v>
      </c>
      <c r="M546" t="s">
        <v>58</v>
      </c>
      <c r="N546" t="s">
        <v>69</v>
      </c>
      <c r="O546" t="s">
        <v>64</v>
      </c>
    </row>
    <row r="547" spans="1:15">
      <c r="A547" t="s">
        <v>644</v>
      </c>
      <c r="B547" s="3">
        <v>45743</v>
      </c>
      <c r="C547" t="s">
        <v>66</v>
      </c>
      <c r="D547" t="s">
        <v>62</v>
      </c>
      <c r="E547" t="s">
        <v>75</v>
      </c>
      <c r="F547" t="s">
        <v>110</v>
      </c>
      <c r="G547" s="6">
        <v>2</v>
      </c>
      <c r="H547" s="4">
        <v>156.69999999999999</v>
      </c>
      <c r="I547" s="4">
        <v>101.58</v>
      </c>
      <c r="J547" s="5">
        <v>0.2</v>
      </c>
      <c r="K547" s="6">
        <v>3</v>
      </c>
      <c r="L547" s="6">
        <v>4</v>
      </c>
      <c r="M547" t="s">
        <v>58</v>
      </c>
      <c r="N547" t="s">
        <v>69</v>
      </c>
      <c r="O547" t="s">
        <v>64</v>
      </c>
    </row>
    <row r="548" spans="1:15">
      <c r="A548" t="s">
        <v>645</v>
      </c>
      <c r="B548" s="3">
        <v>45914</v>
      </c>
      <c r="C548" t="s">
        <v>78</v>
      </c>
      <c r="D548" t="s">
        <v>129</v>
      </c>
      <c r="E548" t="s">
        <v>75</v>
      </c>
      <c r="F548" t="s">
        <v>97</v>
      </c>
      <c r="G548" s="6">
        <v>5</v>
      </c>
      <c r="H548" s="4">
        <v>91.86</v>
      </c>
      <c r="I548" s="4">
        <v>53.46</v>
      </c>
      <c r="J548" s="5">
        <v>0.15000000000000002</v>
      </c>
      <c r="K548" s="6">
        <v>6</v>
      </c>
      <c r="L548" s="6">
        <v>4</v>
      </c>
      <c r="M548" t="s">
        <v>58</v>
      </c>
      <c r="N548" t="s">
        <v>59</v>
      </c>
      <c r="O548" t="s">
        <v>60</v>
      </c>
    </row>
    <row r="549" spans="1:15">
      <c r="A549" t="s">
        <v>646</v>
      </c>
      <c r="B549" s="3">
        <v>46003</v>
      </c>
      <c r="C549" t="s">
        <v>82</v>
      </c>
      <c r="D549" t="s">
        <v>129</v>
      </c>
      <c r="E549" t="s">
        <v>56</v>
      </c>
      <c r="F549" t="s">
        <v>83</v>
      </c>
      <c r="G549" s="6">
        <v>6</v>
      </c>
      <c r="H549" s="4">
        <v>64.81</v>
      </c>
      <c r="I549" s="4">
        <v>35.82</v>
      </c>
      <c r="J549" s="5">
        <v>0.15000000000000002</v>
      </c>
      <c r="K549" s="6">
        <v>4</v>
      </c>
      <c r="L549" s="6">
        <v>5</v>
      </c>
      <c r="M549" t="s">
        <v>58</v>
      </c>
      <c r="N549" t="s">
        <v>87</v>
      </c>
      <c r="O549" t="s">
        <v>73</v>
      </c>
    </row>
    <row r="550" spans="1:15">
      <c r="A550" t="s">
        <v>647</v>
      </c>
      <c r="B550" s="3">
        <v>45702</v>
      </c>
      <c r="C550" t="s">
        <v>66</v>
      </c>
      <c r="D550" t="s">
        <v>62</v>
      </c>
      <c r="E550" t="s">
        <v>56</v>
      </c>
      <c r="F550" t="s">
        <v>57</v>
      </c>
      <c r="G550" s="6">
        <v>1</v>
      </c>
      <c r="H550" s="4">
        <v>112.44</v>
      </c>
      <c r="I550" s="4">
        <v>65.98</v>
      </c>
      <c r="J550" s="5">
        <v>0.05</v>
      </c>
      <c r="K550" s="6">
        <v>5</v>
      </c>
      <c r="L550" s="6">
        <v>4</v>
      </c>
      <c r="M550" t="s">
        <v>58</v>
      </c>
      <c r="N550" t="s">
        <v>59</v>
      </c>
      <c r="O550" t="s">
        <v>64</v>
      </c>
    </row>
    <row r="551" spans="1:15">
      <c r="A551" t="s">
        <v>648</v>
      </c>
      <c r="B551" s="3">
        <v>45953</v>
      </c>
      <c r="C551" t="s">
        <v>78</v>
      </c>
      <c r="D551" t="s">
        <v>62</v>
      </c>
      <c r="E551" t="s">
        <v>79</v>
      </c>
      <c r="F551" t="s">
        <v>115</v>
      </c>
      <c r="G551" s="6">
        <v>2</v>
      </c>
      <c r="H551" s="4">
        <v>62.18</v>
      </c>
      <c r="I551" s="4">
        <v>33.369999999999997</v>
      </c>
      <c r="J551" s="5">
        <v>0</v>
      </c>
      <c r="K551" s="6">
        <v>6</v>
      </c>
      <c r="L551" s="6">
        <v>4</v>
      </c>
      <c r="M551" t="s">
        <v>58</v>
      </c>
      <c r="N551" t="s">
        <v>59</v>
      </c>
      <c r="O551" t="s">
        <v>64</v>
      </c>
    </row>
    <row r="552" spans="1:15">
      <c r="A552" t="s">
        <v>649</v>
      </c>
      <c r="B552" s="3">
        <v>45723</v>
      </c>
      <c r="C552" t="s">
        <v>54</v>
      </c>
      <c r="D552" t="s">
        <v>62</v>
      </c>
      <c r="E552" t="s">
        <v>67</v>
      </c>
      <c r="F552" t="s">
        <v>94</v>
      </c>
      <c r="G552" s="6">
        <v>1</v>
      </c>
      <c r="H552" s="4">
        <v>36.159999999999997</v>
      </c>
      <c r="I552" s="4">
        <v>17.38</v>
      </c>
      <c r="J552" s="5">
        <v>0.05</v>
      </c>
      <c r="K552" s="6">
        <v>3</v>
      </c>
      <c r="L552" s="6">
        <v>3</v>
      </c>
      <c r="M552" t="s">
        <v>126</v>
      </c>
      <c r="N552" t="s">
        <v>59</v>
      </c>
      <c r="O552" t="s">
        <v>64</v>
      </c>
    </row>
    <row r="553" spans="1:15">
      <c r="A553" t="s">
        <v>650</v>
      </c>
      <c r="B553" s="3">
        <v>45927</v>
      </c>
      <c r="C553" t="s">
        <v>78</v>
      </c>
      <c r="D553" t="s">
        <v>62</v>
      </c>
      <c r="E553" t="s">
        <v>79</v>
      </c>
      <c r="F553" t="s">
        <v>80</v>
      </c>
      <c r="G553" s="6">
        <v>1</v>
      </c>
      <c r="H553" s="4">
        <v>77.48</v>
      </c>
      <c r="I553" s="4">
        <v>44.96</v>
      </c>
      <c r="J553" s="5">
        <v>0</v>
      </c>
      <c r="K553" s="6">
        <v>2</v>
      </c>
      <c r="L553" s="6">
        <v>5</v>
      </c>
      <c r="M553" t="s">
        <v>58</v>
      </c>
      <c r="N553" t="s">
        <v>69</v>
      </c>
      <c r="O553" t="s">
        <v>64</v>
      </c>
    </row>
    <row r="554" spans="1:15">
      <c r="A554" t="s">
        <v>651</v>
      </c>
      <c r="B554" s="3">
        <v>45671</v>
      </c>
      <c r="C554" t="s">
        <v>66</v>
      </c>
      <c r="D554" t="s">
        <v>62</v>
      </c>
      <c r="E554" t="s">
        <v>67</v>
      </c>
      <c r="F554" t="s">
        <v>68</v>
      </c>
      <c r="G554" s="6">
        <v>1</v>
      </c>
      <c r="H554" s="4">
        <v>40.44</v>
      </c>
      <c r="I554" s="4">
        <v>18.489999999999998</v>
      </c>
      <c r="J554" s="5">
        <v>0.1</v>
      </c>
      <c r="K554" s="6">
        <v>6</v>
      </c>
      <c r="L554" s="6">
        <v>4</v>
      </c>
      <c r="M554" t="s">
        <v>58</v>
      </c>
      <c r="N554" t="s">
        <v>59</v>
      </c>
      <c r="O554" t="s">
        <v>73</v>
      </c>
    </row>
    <row r="555" spans="1:15">
      <c r="A555" t="s">
        <v>652</v>
      </c>
      <c r="B555" s="3">
        <v>45931</v>
      </c>
      <c r="C555" t="s">
        <v>54</v>
      </c>
      <c r="D555" t="s">
        <v>55</v>
      </c>
      <c r="E555" t="s">
        <v>67</v>
      </c>
      <c r="F555" t="s">
        <v>71</v>
      </c>
      <c r="G555" s="6">
        <v>4</v>
      </c>
      <c r="H555" s="4">
        <v>71.94</v>
      </c>
      <c r="I555" s="4">
        <v>39.869999999999997</v>
      </c>
      <c r="J555" s="5">
        <v>0</v>
      </c>
      <c r="K555" s="6">
        <v>6</v>
      </c>
      <c r="L555" s="6">
        <v>4</v>
      </c>
      <c r="M555" t="s">
        <v>58</v>
      </c>
      <c r="N555" t="s">
        <v>59</v>
      </c>
      <c r="O555" t="s">
        <v>64</v>
      </c>
    </row>
    <row r="556" spans="1:15">
      <c r="A556" t="s">
        <v>653</v>
      </c>
      <c r="B556" s="3">
        <v>45905</v>
      </c>
      <c r="C556" t="s">
        <v>82</v>
      </c>
      <c r="D556" t="s">
        <v>62</v>
      </c>
      <c r="E556" t="s">
        <v>79</v>
      </c>
      <c r="F556" t="s">
        <v>80</v>
      </c>
      <c r="G556" s="6">
        <v>1</v>
      </c>
      <c r="H556" s="4">
        <v>74.22</v>
      </c>
      <c r="I556" s="4">
        <v>42.8</v>
      </c>
      <c r="J556" s="5">
        <v>0.05</v>
      </c>
      <c r="K556" s="6">
        <v>0</v>
      </c>
      <c r="L556" s="6">
        <v>5</v>
      </c>
      <c r="M556" t="s">
        <v>58</v>
      </c>
      <c r="N556" t="s">
        <v>69</v>
      </c>
      <c r="O556" t="s">
        <v>64</v>
      </c>
    </row>
    <row r="557" spans="1:15">
      <c r="A557" t="s">
        <v>654</v>
      </c>
      <c r="B557" s="3">
        <v>45747</v>
      </c>
      <c r="C557" t="s">
        <v>78</v>
      </c>
      <c r="D557" t="s">
        <v>62</v>
      </c>
      <c r="E557" t="s">
        <v>56</v>
      </c>
      <c r="F557" t="s">
        <v>89</v>
      </c>
      <c r="G557" s="6">
        <v>2</v>
      </c>
      <c r="H557" s="4">
        <v>78.739999999999995</v>
      </c>
      <c r="I557" s="4">
        <v>44.93</v>
      </c>
      <c r="J557" s="5">
        <v>0</v>
      </c>
      <c r="K557" s="6">
        <v>3</v>
      </c>
      <c r="L557" s="6">
        <v>4</v>
      </c>
      <c r="M557" t="s">
        <v>58</v>
      </c>
      <c r="N557" t="s">
        <v>59</v>
      </c>
      <c r="O557" t="s">
        <v>64</v>
      </c>
    </row>
    <row r="558" spans="1:15">
      <c r="A558" t="s">
        <v>655</v>
      </c>
      <c r="B558" s="3">
        <v>45664</v>
      </c>
      <c r="C558" t="s">
        <v>78</v>
      </c>
      <c r="D558" t="s">
        <v>62</v>
      </c>
      <c r="E558" t="s">
        <v>56</v>
      </c>
      <c r="F558" t="s">
        <v>63</v>
      </c>
      <c r="G558" s="6">
        <v>1</v>
      </c>
      <c r="H558" s="4">
        <v>41.32</v>
      </c>
      <c r="I558" s="4">
        <v>19.850000000000001</v>
      </c>
      <c r="J558" s="5">
        <v>0</v>
      </c>
      <c r="K558" s="6">
        <v>0</v>
      </c>
      <c r="L558" s="6">
        <v>4</v>
      </c>
      <c r="M558" t="s">
        <v>58</v>
      </c>
      <c r="N558" t="s">
        <v>69</v>
      </c>
      <c r="O558" t="s">
        <v>64</v>
      </c>
    </row>
    <row r="559" spans="1:15">
      <c r="A559" t="s">
        <v>656</v>
      </c>
      <c r="B559" s="3">
        <v>45888</v>
      </c>
      <c r="C559" t="s">
        <v>78</v>
      </c>
      <c r="D559" t="s">
        <v>62</v>
      </c>
      <c r="E559" t="s">
        <v>67</v>
      </c>
      <c r="F559" t="s">
        <v>94</v>
      </c>
      <c r="G559" s="6">
        <v>1</v>
      </c>
      <c r="H559" s="4">
        <v>34.630000000000003</v>
      </c>
      <c r="I559" s="4">
        <v>17.04</v>
      </c>
      <c r="J559" s="5">
        <v>0.1</v>
      </c>
      <c r="K559" s="6">
        <v>4</v>
      </c>
      <c r="L559" s="6">
        <v>5</v>
      </c>
      <c r="M559" t="s">
        <v>58</v>
      </c>
      <c r="N559" t="s">
        <v>59</v>
      </c>
      <c r="O559" t="s">
        <v>64</v>
      </c>
    </row>
    <row r="560" spans="1:15">
      <c r="A560" t="s">
        <v>657</v>
      </c>
      <c r="B560" s="3">
        <v>45849</v>
      </c>
      <c r="C560" t="s">
        <v>54</v>
      </c>
      <c r="D560" t="s">
        <v>62</v>
      </c>
      <c r="E560" t="s">
        <v>75</v>
      </c>
      <c r="F560" t="s">
        <v>110</v>
      </c>
      <c r="G560" s="6">
        <v>1</v>
      </c>
      <c r="H560" s="4">
        <v>159.31</v>
      </c>
      <c r="I560" s="4">
        <v>99.83</v>
      </c>
      <c r="J560" s="5">
        <v>0</v>
      </c>
      <c r="K560" s="6">
        <v>9</v>
      </c>
      <c r="L560" s="6">
        <v>3</v>
      </c>
      <c r="M560" t="s">
        <v>58</v>
      </c>
      <c r="N560" t="s">
        <v>87</v>
      </c>
      <c r="O560" t="s">
        <v>60</v>
      </c>
    </row>
    <row r="561" spans="1:15">
      <c r="A561" t="s">
        <v>658</v>
      </c>
      <c r="B561" s="3">
        <v>45975</v>
      </c>
      <c r="C561" t="s">
        <v>66</v>
      </c>
      <c r="D561" t="s">
        <v>62</v>
      </c>
      <c r="E561" t="s">
        <v>56</v>
      </c>
      <c r="F561" t="s">
        <v>83</v>
      </c>
      <c r="G561" s="6">
        <v>4</v>
      </c>
      <c r="H561" s="4">
        <v>64.14</v>
      </c>
      <c r="I561" s="4">
        <v>36.18</v>
      </c>
      <c r="J561" s="5">
        <v>0.15000000000000002</v>
      </c>
      <c r="K561" s="6">
        <v>2</v>
      </c>
      <c r="L561" s="6">
        <v>5</v>
      </c>
      <c r="M561" t="s">
        <v>58</v>
      </c>
      <c r="N561" t="s">
        <v>69</v>
      </c>
      <c r="O561" t="s">
        <v>64</v>
      </c>
    </row>
    <row r="562" spans="1:15">
      <c r="A562" t="s">
        <v>659</v>
      </c>
      <c r="B562" s="3">
        <v>45779</v>
      </c>
      <c r="C562" t="s">
        <v>78</v>
      </c>
      <c r="D562" t="s">
        <v>129</v>
      </c>
      <c r="E562" t="s">
        <v>79</v>
      </c>
      <c r="F562" t="s">
        <v>80</v>
      </c>
      <c r="G562" s="6">
        <v>3</v>
      </c>
      <c r="H562" s="4">
        <v>77.099999999999994</v>
      </c>
      <c r="I562" s="4">
        <v>41.9</v>
      </c>
      <c r="J562" s="5">
        <v>0.1</v>
      </c>
      <c r="K562" s="6">
        <v>4</v>
      </c>
      <c r="L562" s="6">
        <v>3</v>
      </c>
      <c r="M562" t="s">
        <v>126</v>
      </c>
      <c r="N562" t="s">
        <v>59</v>
      </c>
      <c r="O562" t="s">
        <v>60</v>
      </c>
    </row>
    <row r="563" spans="1:15">
      <c r="A563" t="s">
        <v>660</v>
      </c>
      <c r="B563" s="3">
        <v>45946</v>
      </c>
      <c r="C563" t="s">
        <v>66</v>
      </c>
      <c r="D563" t="s">
        <v>62</v>
      </c>
      <c r="E563" t="s">
        <v>79</v>
      </c>
      <c r="F563" t="s">
        <v>92</v>
      </c>
      <c r="G563" s="6">
        <v>1</v>
      </c>
      <c r="H563" s="4">
        <v>48.66</v>
      </c>
      <c r="I563" s="4">
        <v>26.08</v>
      </c>
      <c r="J563" s="5">
        <v>0.15000000000000002</v>
      </c>
      <c r="K563" s="6">
        <v>6</v>
      </c>
      <c r="L563" s="6">
        <v>4</v>
      </c>
      <c r="M563" t="s">
        <v>58</v>
      </c>
      <c r="N563" t="s">
        <v>59</v>
      </c>
      <c r="O563" t="s">
        <v>64</v>
      </c>
    </row>
    <row r="564" spans="1:15">
      <c r="A564" t="s">
        <v>661</v>
      </c>
      <c r="B564" s="3">
        <v>45842</v>
      </c>
      <c r="C564" t="s">
        <v>54</v>
      </c>
      <c r="D564" t="s">
        <v>62</v>
      </c>
      <c r="E564" t="s">
        <v>79</v>
      </c>
      <c r="F564" t="s">
        <v>92</v>
      </c>
      <c r="G564" s="6">
        <v>1</v>
      </c>
      <c r="H564" s="4">
        <v>49.03</v>
      </c>
      <c r="I564" s="4">
        <v>26.11</v>
      </c>
      <c r="J564" s="5">
        <v>0</v>
      </c>
      <c r="K564" s="6">
        <v>1</v>
      </c>
      <c r="L564" s="6">
        <v>4</v>
      </c>
      <c r="M564" t="s">
        <v>58</v>
      </c>
      <c r="N564" t="s">
        <v>69</v>
      </c>
      <c r="O564" t="s">
        <v>64</v>
      </c>
    </row>
    <row r="565" spans="1:15">
      <c r="A565" t="s">
        <v>662</v>
      </c>
      <c r="B565" s="3">
        <v>46012</v>
      </c>
      <c r="C565" t="s">
        <v>66</v>
      </c>
      <c r="D565" t="s">
        <v>62</v>
      </c>
      <c r="E565" t="s">
        <v>67</v>
      </c>
      <c r="F565" t="s">
        <v>71</v>
      </c>
      <c r="G565" s="6">
        <v>1</v>
      </c>
      <c r="H565" s="4">
        <v>71.069999999999993</v>
      </c>
      <c r="I565" s="4">
        <v>39.82</v>
      </c>
      <c r="J565" s="5">
        <v>0.1</v>
      </c>
      <c r="K565" s="6">
        <v>2</v>
      </c>
      <c r="L565" s="6">
        <v>4</v>
      </c>
      <c r="M565" t="s">
        <v>58</v>
      </c>
      <c r="N565" t="s">
        <v>59</v>
      </c>
      <c r="O565" t="s">
        <v>64</v>
      </c>
    </row>
    <row r="566" spans="1:15">
      <c r="A566" t="s">
        <v>663</v>
      </c>
      <c r="B566" s="3">
        <v>45822</v>
      </c>
      <c r="C566" t="s">
        <v>66</v>
      </c>
      <c r="D566" t="s">
        <v>55</v>
      </c>
      <c r="E566" t="s">
        <v>56</v>
      </c>
      <c r="F566" t="s">
        <v>83</v>
      </c>
      <c r="G566" s="6">
        <v>3</v>
      </c>
      <c r="H566" s="4">
        <v>67.14</v>
      </c>
      <c r="I566" s="4">
        <v>34.299999999999997</v>
      </c>
      <c r="J566" s="5">
        <v>0</v>
      </c>
      <c r="K566" s="6">
        <v>1</v>
      </c>
      <c r="L566" s="6">
        <v>4</v>
      </c>
      <c r="M566" t="s">
        <v>58</v>
      </c>
      <c r="N566" t="s">
        <v>59</v>
      </c>
      <c r="O566" t="s">
        <v>64</v>
      </c>
    </row>
    <row r="567" spans="1:15">
      <c r="A567" t="s">
        <v>664</v>
      </c>
      <c r="B567" s="3">
        <v>45861</v>
      </c>
      <c r="C567" t="s">
        <v>66</v>
      </c>
      <c r="D567" t="s">
        <v>62</v>
      </c>
      <c r="E567" t="s">
        <v>79</v>
      </c>
      <c r="F567" t="s">
        <v>80</v>
      </c>
      <c r="G567" s="6">
        <v>1</v>
      </c>
      <c r="H567" s="4">
        <v>76.64</v>
      </c>
      <c r="I567" s="4">
        <v>43.96</v>
      </c>
      <c r="J567" s="5">
        <v>0.05</v>
      </c>
      <c r="K567" s="6">
        <v>3</v>
      </c>
      <c r="L567" s="6">
        <v>4</v>
      </c>
      <c r="M567" t="s">
        <v>58</v>
      </c>
      <c r="N567" t="s">
        <v>87</v>
      </c>
      <c r="O567" t="s">
        <v>64</v>
      </c>
    </row>
    <row r="568" spans="1:15">
      <c r="A568" t="s">
        <v>665</v>
      </c>
      <c r="B568" s="3">
        <v>45662</v>
      </c>
      <c r="C568" t="s">
        <v>54</v>
      </c>
      <c r="D568" t="s">
        <v>62</v>
      </c>
      <c r="E568" t="s">
        <v>75</v>
      </c>
      <c r="F568" t="s">
        <v>76</v>
      </c>
      <c r="G568" s="6">
        <v>1</v>
      </c>
      <c r="H568" s="4">
        <v>120.83</v>
      </c>
      <c r="I568" s="4">
        <v>75.28</v>
      </c>
      <c r="J568" s="5">
        <v>0</v>
      </c>
      <c r="K568" s="6">
        <v>0</v>
      </c>
      <c r="L568" s="6">
        <v>4</v>
      </c>
      <c r="M568" t="s">
        <v>58</v>
      </c>
      <c r="N568" t="s">
        <v>69</v>
      </c>
      <c r="O568" t="s">
        <v>60</v>
      </c>
    </row>
    <row r="569" spans="1:15">
      <c r="A569" t="s">
        <v>666</v>
      </c>
      <c r="B569" s="3">
        <v>45916</v>
      </c>
      <c r="C569" t="s">
        <v>54</v>
      </c>
      <c r="D569" t="s">
        <v>62</v>
      </c>
      <c r="E569" t="s">
        <v>79</v>
      </c>
      <c r="F569" t="s">
        <v>80</v>
      </c>
      <c r="G569" s="6">
        <v>1</v>
      </c>
      <c r="H569" s="4">
        <v>73.680000000000007</v>
      </c>
      <c r="I569" s="4">
        <v>45.04</v>
      </c>
      <c r="J569" s="5">
        <v>0.1</v>
      </c>
      <c r="K569" s="6">
        <v>3</v>
      </c>
      <c r="L569" s="6">
        <v>4</v>
      </c>
      <c r="M569" t="s">
        <v>58</v>
      </c>
      <c r="N569" t="s">
        <v>59</v>
      </c>
      <c r="O569" t="s">
        <v>64</v>
      </c>
    </row>
    <row r="570" spans="1:15">
      <c r="A570" t="s">
        <v>667</v>
      </c>
      <c r="B570" s="3">
        <v>45748</v>
      </c>
      <c r="C570" t="s">
        <v>54</v>
      </c>
      <c r="D570" t="s">
        <v>55</v>
      </c>
      <c r="E570" t="s">
        <v>56</v>
      </c>
      <c r="F570" t="s">
        <v>83</v>
      </c>
      <c r="G570" s="6">
        <v>2</v>
      </c>
      <c r="H570" s="4">
        <v>63.71</v>
      </c>
      <c r="I570" s="4">
        <v>34.299999999999997</v>
      </c>
      <c r="J570" s="5">
        <v>0</v>
      </c>
      <c r="K570" s="6">
        <v>7</v>
      </c>
      <c r="L570" s="6">
        <v>4</v>
      </c>
      <c r="M570" t="s">
        <v>58</v>
      </c>
      <c r="N570" t="s">
        <v>59</v>
      </c>
      <c r="O570" t="s">
        <v>64</v>
      </c>
    </row>
    <row r="571" spans="1:15">
      <c r="A571" t="s">
        <v>668</v>
      </c>
      <c r="B571" s="3">
        <v>45987</v>
      </c>
      <c r="C571" t="s">
        <v>66</v>
      </c>
      <c r="D571" t="s">
        <v>62</v>
      </c>
      <c r="E571" t="s">
        <v>56</v>
      </c>
      <c r="F571" t="s">
        <v>57</v>
      </c>
      <c r="G571" s="6">
        <v>3</v>
      </c>
      <c r="H571" s="4">
        <v>110.7</v>
      </c>
      <c r="I571" s="4">
        <v>66.84</v>
      </c>
      <c r="J571" s="5">
        <v>0.15000000000000002</v>
      </c>
      <c r="K571" s="6">
        <v>5</v>
      </c>
      <c r="L571" s="6">
        <v>5</v>
      </c>
      <c r="M571" t="s">
        <v>58</v>
      </c>
      <c r="N571" t="s">
        <v>69</v>
      </c>
      <c r="O571" t="s">
        <v>64</v>
      </c>
    </row>
    <row r="572" spans="1:15">
      <c r="A572" t="s">
        <v>669</v>
      </c>
      <c r="B572" s="3">
        <v>45944</v>
      </c>
      <c r="C572" t="s">
        <v>82</v>
      </c>
      <c r="D572" t="s">
        <v>62</v>
      </c>
      <c r="E572" t="s">
        <v>79</v>
      </c>
      <c r="F572" t="s">
        <v>80</v>
      </c>
      <c r="G572" s="6">
        <v>1</v>
      </c>
      <c r="H572" s="4">
        <v>76.56</v>
      </c>
      <c r="I572" s="4">
        <v>43.54</v>
      </c>
      <c r="J572" s="5">
        <v>0</v>
      </c>
      <c r="K572" s="6">
        <v>4</v>
      </c>
      <c r="L572" s="6">
        <v>5</v>
      </c>
      <c r="M572" t="s">
        <v>58</v>
      </c>
      <c r="N572" t="s">
        <v>69</v>
      </c>
      <c r="O572" t="s">
        <v>64</v>
      </c>
    </row>
    <row r="573" spans="1:15">
      <c r="A573" t="s">
        <v>670</v>
      </c>
      <c r="B573" s="3">
        <v>46018</v>
      </c>
      <c r="C573" t="s">
        <v>66</v>
      </c>
      <c r="D573" t="s">
        <v>62</v>
      </c>
      <c r="E573" t="s">
        <v>75</v>
      </c>
      <c r="F573" t="s">
        <v>146</v>
      </c>
      <c r="G573" s="6">
        <v>2</v>
      </c>
      <c r="H573" s="4">
        <v>176.16</v>
      </c>
      <c r="I573" s="4">
        <v>120.54</v>
      </c>
      <c r="J573" s="5">
        <v>0.05</v>
      </c>
      <c r="K573" s="6">
        <v>5</v>
      </c>
      <c r="L573" s="6">
        <v>4</v>
      </c>
      <c r="M573" t="s">
        <v>58</v>
      </c>
      <c r="N573" t="s">
        <v>59</v>
      </c>
      <c r="O573" t="s">
        <v>64</v>
      </c>
    </row>
    <row r="574" spans="1:15">
      <c r="A574" t="s">
        <v>671</v>
      </c>
      <c r="B574" s="3">
        <v>45997</v>
      </c>
      <c r="C574" t="s">
        <v>78</v>
      </c>
      <c r="D574" t="s">
        <v>62</v>
      </c>
      <c r="E574" t="s">
        <v>56</v>
      </c>
      <c r="F574" t="s">
        <v>89</v>
      </c>
      <c r="G574" s="6">
        <v>1</v>
      </c>
      <c r="H574" s="4">
        <v>82.98</v>
      </c>
      <c r="I574" s="4">
        <v>46.31</v>
      </c>
      <c r="J574" s="5">
        <v>0.15000000000000002</v>
      </c>
      <c r="K574" s="6">
        <v>0</v>
      </c>
      <c r="L574" s="6">
        <v>4</v>
      </c>
      <c r="M574" t="s">
        <v>58</v>
      </c>
      <c r="N574" t="s">
        <v>69</v>
      </c>
      <c r="O574" t="s">
        <v>60</v>
      </c>
    </row>
    <row r="575" spans="1:15">
      <c r="A575" t="s">
        <v>672</v>
      </c>
      <c r="B575" s="3">
        <v>45816</v>
      </c>
      <c r="C575" t="s">
        <v>54</v>
      </c>
      <c r="D575" t="s">
        <v>62</v>
      </c>
      <c r="E575" t="s">
        <v>56</v>
      </c>
      <c r="F575" t="s">
        <v>89</v>
      </c>
      <c r="G575" s="6">
        <v>1</v>
      </c>
      <c r="H575" s="4">
        <v>78.209999999999994</v>
      </c>
      <c r="I575" s="4">
        <v>46.46</v>
      </c>
      <c r="J575" s="5">
        <v>0</v>
      </c>
      <c r="K575" s="6">
        <v>4</v>
      </c>
      <c r="L575" s="6">
        <v>4</v>
      </c>
      <c r="M575" t="s">
        <v>58</v>
      </c>
      <c r="N575" t="s">
        <v>59</v>
      </c>
      <c r="O575" t="s">
        <v>60</v>
      </c>
    </row>
    <row r="576" spans="1:15">
      <c r="A576" t="s">
        <v>673</v>
      </c>
      <c r="B576" s="3">
        <v>45920</v>
      </c>
      <c r="C576" t="s">
        <v>66</v>
      </c>
      <c r="D576" t="s">
        <v>55</v>
      </c>
      <c r="E576" t="s">
        <v>67</v>
      </c>
      <c r="F576" t="s">
        <v>68</v>
      </c>
      <c r="G576" s="6">
        <v>3</v>
      </c>
      <c r="H576" s="4">
        <v>38.96</v>
      </c>
      <c r="I576" s="4">
        <v>19.61</v>
      </c>
      <c r="J576" s="5">
        <v>0.05</v>
      </c>
      <c r="K576" s="6">
        <v>5</v>
      </c>
      <c r="L576" s="6">
        <v>4</v>
      </c>
      <c r="M576" t="s">
        <v>58</v>
      </c>
      <c r="N576" t="s">
        <v>59</v>
      </c>
      <c r="O576" t="s">
        <v>64</v>
      </c>
    </row>
    <row r="577" spans="1:15">
      <c r="A577" t="s">
        <v>674</v>
      </c>
      <c r="B577" s="3">
        <v>45910</v>
      </c>
      <c r="C577" t="s">
        <v>78</v>
      </c>
      <c r="D577" t="s">
        <v>62</v>
      </c>
      <c r="E577" t="s">
        <v>56</v>
      </c>
      <c r="F577" t="s">
        <v>57</v>
      </c>
      <c r="G577" s="6">
        <v>1</v>
      </c>
      <c r="H577" s="4">
        <v>113.58</v>
      </c>
      <c r="I577" s="4">
        <v>66.989999999999995</v>
      </c>
      <c r="J577" s="5">
        <v>0</v>
      </c>
      <c r="K577" s="6">
        <v>3</v>
      </c>
      <c r="L577" s="6">
        <v>4</v>
      </c>
      <c r="M577" t="s">
        <v>58</v>
      </c>
      <c r="N577" t="s">
        <v>59</v>
      </c>
      <c r="O577" t="s">
        <v>64</v>
      </c>
    </row>
    <row r="578" spans="1:15">
      <c r="A578" t="s">
        <v>675</v>
      </c>
      <c r="B578" s="3">
        <v>45981</v>
      </c>
      <c r="C578" t="s">
        <v>54</v>
      </c>
      <c r="D578" t="s">
        <v>62</v>
      </c>
      <c r="E578" t="s">
        <v>79</v>
      </c>
      <c r="F578" t="s">
        <v>115</v>
      </c>
      <c r="G578" s="6">
        <v>1</v>
      </c>
      <c r="H578" s="4">
        <v>59.89</v>
      </c>
      <c r="I578" s="4">
        <v>35.630000000000003</v>
      </c>
      <c r="J578" s="5">
        <v>0.05</v>
      </c>
      <c r="K578" s="6">
        <v>4</v>
      </c>
      <c r="L578" s="6">
        <v>4</v>
      </c>
      <c r="M578" t="s">
        <v>58</v>
      </c>
      <c r="N578" t="s">
        <v>59</v>
      </c>
      <c r="O578" t="s">
        <v>73</v>
      </c>
    </row>
    <row r="579" spans="1:15">
      <c r="A579" t="s">
        <v>676</v>
      </c>
      <c r="B579" s="3">
        <v>45959</v>
      </c>
      <c r="C579" t="s">
        <v>54</v>
      </c>
      <c r="D579" t="s">
        <v>55</v>
      </c>
      <c r="E579" t="s">
        <v>67</v>
      </c>
      <c r="F579" t="s">
        <v>107</v>
      </c>
      <c r="G579" s="6">
        <v>2</v>
      </c>
      <c r="H579" s="4">
        <v>45.41</v>
      </c>
      <c r="I579" s="4">
        <v>21.64</v>
      </c>
      <c r="J579" s="5">
        <v>0.1</v>
      </c>
      <c r="K579" s="6">
        <v>3</v>
      </c>
      <c r="L579" s="6">
        <v>4</v>
      </c>
      <c r="M579" t="s">
        <v>58</v>
      </c>
      <c r="N579" t="s">
        <v>87</v>
      </c>
      <c r="O579" t="s">
        <v>60</v>
      </c>
    </row>
    <row r="580" spans="1:15">
      <c r="A580" t="s">
        <v>677</v>
      </c>
      <c r="B580" s="3">
        <v>45863</v>
      </c>
      <c r="C580" t="s">
        <v>66</v>
      </c>
      <c r="D580" t="s">
        <v>55</v>
      </c>
      <c r="E580" t="s">
        <v>75</v>
      </c>
      <c r="F580" t="s">
        <v>76</v>
      </c>
      <c r="G580" s="6">
        <v>1</v>
      </c>
      <c r="H580" s="4">
        <v>119.37</v>
      </c>
      <c r="I580" s="4">
        <v>73.33</v>
      </c>
      <c r="J580" s="5">
        <v>0.1</v>
      </c>
      <c r="K580" s="6">
        <v>5</v>
      </c>
      <c r="L580" s="6">
        <v>4</v>
      </c>
      <c r="M580" t="s">
        <v>58</v>
      </c>
      <c r="N580" t="s">
        <v>59</v>
      </c>
      <c r="O580" t="s">
        <v>64</v>
      </c>
    </row>
    <row r="581" spans="1:15">
      <c r="A581" t="s">
        <v>678</v>
      </c>
      <c r="B581" s="3">
        <v>45781</v>
      </c>
      <c r="C581" t="s">
        <v>66</v>
      </c>
      <c r="D581" t="s">
        <v>55</v>
      </c>
      <c r="E581" t="s">
        <v>67</v>
      </c>
      <c r="F581" t="s">
        <v>68</v>
      </c>
      <c r="G581" s="6">
        <v>6</v>
      </c>
      <c r="H581" s="4">
        <v>40.909999999999997</v>
      </c>
      <c r="I581" s="4">
        <v>18.559999999999999</v>
      </c>
      <c r="J581" s="5">
        <v>0</v>
      </c>
      <c r="K581" s="6">
        <v>2</v>
      </c>
      <c r="L581" s="6">
        <v>5</v>
      </c>
      <c r="M581" t="s">
        <v>58</v>
      </c>
      <c r="N581" t="s">
        <v>69</v>
      </c>
      <c r="O581" t="s">
        <v>64</v>
      </c>
    </row>
    <row r="582" spans="1:15">
      <c r="A582" t="s">
        <v>679</v>
      </c>
      <c r="B582" s="3">
        <v>45773</v>
      </c>
      <c r="C582" t="s">
        <v>78</v>
      </c>
      <c r="D582" t="s">
        <v>62</v>
      </c>
      <c r="E582" t="s">
        <v>75</v>
      </c>
      <c r="F582" t="s">
        <v>110</v>
      </c>
      <c r="G582" s="6">
        <v>1</v>
      </c>
      <c r="H582" s="4">
        <v>163.66</v>
      </c>
      <c r="I582" s="4">
        <v>100.02</v>
      </c>
      <c r="J582" s="5">
        <v>0</v>
      </c>
      <c r="K582" s="6">
        <v>6</v>
      </c>
      <c r="L582" s="6">
        <v>4</v>
      </c>
      <c r="M582" t="s">
        <v>58</v>
      </c>
      <c r="N582" t="s">
        <v>59</v>
      </c>
      <c r="O582" t="s">
        <v>64</v>
      </c>
    </row>
    <row r="583" spans="1:15">
      <c r="A583" t="s">
        <v>680</v>
      </c>
      <c r="B583" s="3">
        <v>45904</v>
      </c>
      <c r="C583" t="s">
        <v>66</v>
      </c>
      <c r="D583" t="s">
        <v>62</v>
      </c>
      <c r="E583" t="s">
        <v>56</v>
      </c>
      <c r="F583" t="s">
        <v>63</v>
      </c>
      <c r="G583" s="6">
        <v>1</v>
      </c>
      <c r="H583" s="4">
        <v>39.450000000000003</v>
      </c>
      <c r="I583" s="4">
        <v>20.14</v>
      </c>
      <c r="J583" s="5">
        <v>0.05</v>
      </c>
      <c r="K583" s="6">
        <v>5</v>
      </c>
      <c r="L583" s="6">
        <v>4</v>
      </c>
      <c r="M583" t="s">
        <v>58</v>
      </c>
      <c r="N583" t="s">
        <v>59</v>
      </c>
      <c r="O583" t="s">
        <v>60</v>
      </c>
    </row>
    <row r="584" spans="1:15">
      <c r="A584" t="s">
        <v>681</v>
      </c>
      <c r="B584" s="3">
        <v>45861</v>
      </c>
      <c r="C584" t="s">
        <v>78</v>
      </c>
      <c r="D584" t="s">
        <v>62</v>
      </c>
      <c r="E584" t="s">
        <v>56</v>
      </c>
      <c r="F584" t="s">
        <v>89</v>
      </c>
      <c r="G584" s="6">
        <v>4</v>
      </c>
      <c r="H584" s="4">
        <v>80.86</v>
      </c>
      <c r="I584" s="4">
        <v>44.48</v>
      </c>
      <c r="J584" s="5">
        <v>0.05</v>
      </c>
      <c r="K584" s="6">
        <v>0</v>
      </c>
      <c r="L584" s="6">
        <v>5</v>
      </c>
      <c r="M584" t="s">
        <v>58</v>
      </c>
      <c r="N584" t="s">
        <v>69</v>
      </c>
      <c r="O584" t="s">
        <v>64</v>
      </c>
    </row>
    <row r="585" spans="1:15">
      <c r="A585" t="s">
        <v>682</v>
      </c>
      <c r="B585" s="3">
        <v>46002</v>
      </c>
      <c r="C585" t="s">
        <v>82</v>
      </c>
      <c r="D585" t="s">
        <v>62</v>
      </c>
      <c r="E585" t="s">
        <v>79</v>
      </c>
      <c r="F585" t="s">
        <v>85</v>
      </c>
      <c r="G585" s="6">
        <v>2</v>
      </c>
      <c r="H585" s="4">
        <v>130.41999999999999</v>
      </c>
      <c r="I585" s="4">
        <v>84.76</v>
      </c>
      <c r="J585" s="5">
        <v>0.15000000000000002</v>
      </c>
      <c r="K585" s="6">
        <v>3</v>
      </c>
      <c r="L585" s="6">
        <v>4</v>
      </c>
      <c r="M585" t="s">
        <v>58</v>
      </c>
      <c r="N585" t="s">
        <v>59</v>
      </c>
      <c r="O585" t="s">
        <v>64</v>
      </c>
    </row>
    <row r="586" spans="1:15">
      <c r="A586" t="s">
        <v>683</v>
      </c>
      <c r="B586" s="3">
        <v>46012</v>
      </c>
      <c r="C586" t="s">
        <v>82</v>
      </c>
      <c r="D586" t="s">
        <v>55</v>
      </c>
      <c r="E586" t="s">
        <v>56</v>
      </c>
      <c r="F586" t="s">
        <v>63</v>
      </c>
      <c r="G586" s="6">
        <v>1</v>
      </c>
      <c r="H586" s="4">
        <v>41.26</v>
      </c>
      <c r="I586" s="4">
        <v>19.53</v>
      </c>
      <c r="J586" s="5">
        <v>0.2</v>
      </c>
      <c r="K586" s="6">
        <v>1</v>
      </c>
      <c r="L586" s="6">
        <v>5</v>
      </c>
      <c r="M586" t="s">
        <v>58</v>
      </c>
      <c r="N586" t="s">
        <v>69</v>
      </c>
      <c r="O586" t="s">
        <v>64</v>
      </c>
    </row>
    <row r="587" spans="1:15">
      <c r="A587" t="s">
        <v>684</v>
      </c>
      <c r="B587" s="3" t="s">
        <v>685</v>
      </c>
      <c r="C587" t="s">
        <v>78</v>
      </c>
      <c r="D587" t="s">
        <v>62</v>
      </c>
      <c r="E587" t="s">
        <v>56</v>
      </c>
      <c r="F587" t="s">
        <v>57</v>
      </c>
      <c r="G587" s="6">
        <v>3</v>
      </c>
      <c r="H587" s="4">
        <v>113.46</v>
      </c>
      <c r="I587" s="4">
        <v>66.58</v>
      </c>
      <c r="J587" s="5">
        <v>0.05</v>
      </c>
      <c r="K587" s="6">
        <v>0</v>
      </c>
      <c r="L587" s="6">
        <v>4</v>
      </c>
      <c r="M587" t="s">
        <v>58</v>
      </c>
      <c r="N587" t="s">
        <v>69</v>
      </c>
      <c r="O587" t="s">
        <v>64</v>
      </c>
    </row>
    <row r="588" spans="1:15">
      <c r="A588" t="s">
        <v>686</v>
      </c>
      <c r="B588" s="3">
        <v>46016</v>
      </c>
      <c r="C588" t="s">
        <v>66</v>
      </c>
      <c r="D588" t="s">
        <v>55</v>
      </c>
      <c r="E588" t="s">
        <v>56</v>
      </c>
      <c r="F588" t="s">
        <v>83</v>
      </c>
      <c r="G588" s="6">
        <v>3</v>
      </c>
      <c r="H588" s="4">
        <v>64.180000000000007</v>
      </c>
      <c r="I588" s="4">
        <v>36.549999999999997</v>
      </c>
      <c r="J588" s="5">
        <v>0.1</v>
      </c>
      <c r="K588" s="6">
        <v>2</v>
      </c>
      <c r="L588" s="6">
        <v>4</v>
      </c>
      <c r="M588" t="s">
        <v>58</v>
      </c>
      <c r="N588" t="s">
        <v>69</v>
      </c>
      <c r="O588" t="s">
        <v>64</v>
      </c>
    </row>
    <row r="589" spans="1:15">
      <c r="A589" t="s">
        <v>687</v>
      </c>
      <c r="B589" s="3">
        <v>45720</v>
      </c>
      <c r="C589" t="s">
        <v>82</v>
      </c>
      <c r="D589" t="s">
        <v>62</v>
      </c>
      <c r="E589" t="s">
        <v>75</v>
      </c>
      <c r="F589" t="s">
        <v>110</v>
      </c>
      <c r="G589" s="6">
        <v>2</v>
      </c>
      <c r="H589" s="4">
        <v>162.51</v>
      </c>
      <c r="I589" s="4">
        <v>104.75</v>
      </c>
      <c r="J589" s="5">
        <v>0.05</v>
      </c>
      <c r="K589" s="6">
        <v>3</v>
      </c>
      <c r="L589" s="6">
        <v>5</v>
      </c>
      <c r="M589" t="s">
        <v>58</v>
      </c>
      <c r="N589" t="s">
        <v>69</v>
      </c>
      <c r="O589" t="s">
        <v>64</v>
      </c>
    </row>
    <row r="590" spans="1:15">
      <c r="A590" t="s">
        <v>688</v>
      </c>
      <c r="B590" s="3">
        <v>46009</v>
      </c>
      <c r="C590" t="s">
        <v>54</v>
      </c>
      <c r="D590" t="s">
        <v>62</v>
      </c>
      <c r="E590" t="s">
        <v>56</v>
      </c>
      <c r="F590" t="s">
        <v>57</v>
      </c>
      <c r="G590" s="6">
        <v>2</v>
      </c>
      <c r="H590" s="4">
        <v>112.49</v>
      </c>
      <c r="I590" s="4">
        <v>68.650000000000006</v>
      </c>
      <c r="J590" s="5">
        <v>0.1</v>
      </c>
      <c r="K590" s="6">
        <v>1</v>
      </c>
      <c r="L590" s="6">
        <v>4</v>
      </c>
      <c r="M590" t="s">
        <v>58</v>
      </c>
      <c r="N590" t="s">
        <v>69</v>
      </c>
      <c r="O590" t="s">
        <v>64</v>
      </c>
    </row>
    <row r="591" spans="1:15">
      <c r="A591" t="s">
        <v>689</v>
      </c>
      <c r="B591" s="3">
        <v>46016</v>
      </c>
      <c r="C591" t="s">
        <v>82</v>
      </c>
      <c r="D591" t="s">
        <v>62</v>
      </c>
      <c r="E591" t="s">
        <v>56</v>
      </c>
      <c r="F591" t="s">
        <v>89</v>
      </c>
      <c r="G591" s="6">
        <v>3</v>
      </c>
      <c r="H591" s="4">
        <v>79.31</v>
      </c>
      <c r="I591" s="4">
        <v>46.42</v>
      </c>
      <c r="J591" s="5">
        <v>0.1</v>
      </c>
      <c r="K591" s="6">
        <v>1</v>
      </c>
      <c r="L591" s="6">
        <v>5</v>
      </c>
      <c r="M591" t="s">
        <v>58</v>
      </c>
      <c r="N591" t="s">
        <v>59</v>
      </c>
      <c r="O591" t="s">
        <v>60</v>
      </c>
    </row>
    <row r="592" spans="1:15">
      <c r="A592" t="s">
        <v>690</v>
      </c>
      <c r="B592" s="3">
        <v>45725</v>
      </c>
      <c r="C592" t="s">
        <v>66</v>
      </c>
      <c r="D592" t="s">
        <v>62</v>
      </c>
      <c r="E592" t="s">
        <v>79</v>
      </c>
      <c r="F592" t="s">
        <v>92</v>
      </c>
      <c r="G592" s="6">
        <v>1</v>
      </c>
      <c r="H592" s="4">
        <v>50.12</v>
      </c>
      <c r="I592" s="4">
        <v>26.28</v>
      </c>
      <c r="J592" s="5">
        <v>0.1</v>
      </c>
      <c r="K592" s="6">
        <v>0</v>
      </c>
      <c r="L592" s="6">
        <v>5</v>
      </c>
      <c r="M592" t="s">
        <v>58</v>
      </c>
      <c r="N592" t="s">
        <v>69</v>
      </c>
      <c r="O592" t="s">
        <v>64</v>
      </c>
    </row>
    <row r="593" spans="1:15">
      <c r="A593" t="s">
        <v>691</v>
      </c>
      <c r="B593" s="3">
        <v>45722</v>
      </c>
      <c r="C593" t="s">
        <v>82</v>
      </c>
      <c r="D593" t="s">
        <v>55</v>
      </c>
      <c r="E593" t="s">
        <v>67</v>
      </c>
      <c r="F593" t="s">
        <v>68</v>
      </c>
      <c r="G593" s="6">
        <v>3</v>
      </c>
      <c r="H593" s="4">
        <v>39.58</v>
      </c>
      <c r="I593" s="4">
        <v>18.829999999999998</v>
      </c>
      <c r="J593" s="5">
        <v>0</v>
      </c>
      <c r="K593" s="6">
        <v>2</v>
      </c>
      <c r="L593" s="6">
        <v>5</v>
      </c>
      <c r="M593" t="s">
        <v>58</v>
      </c>
      <c r="N593" t="s">
        <v>69</v>
      </c>
      <c r="O593" t="s">
        <v>64</v>
      </c>
    </row>
    <row r="594" spans="1:15">
      <c r="A594" t="s">
        <v>692</v>
      </c>
      <c r="B594" s="3">
        <v>45816</v>
      </c>
      <c r="C594" t="s">
        <v>209</v>
      </c>
      <c r="D594" t="s">
        <v>62</v>
      </c>
      <c r="E594" t="s">
        <v>75</v>
      </c>
      <c r="F594" t="s">
        <v>76</v>
      </c>
      <c r="G594" s="6">
        <v>1</v>
      </c>
      <c r="H594" s="4">
        <v>116.52</v>
      </c>
      <c r="I594" s="4">
        <v>75.180000000000007</v>
      </c>
      <c r="J594" s="5">
        <v>0</v>
      </c>
      <c r="K594" s="6">
        <v>5</v>
      </c>
      <c r="L594" s="6">
        <v>4</v>
      </c>
      <c r="M594" t="s">
        <v>58</v>
      </c>
      <c r="N594" t="s">
        <v>59</v>
      </c>
      <c r="O594" t="s">
        <v>64</v>
      </c>
    </row>
    <row r="595" spans="1:15">
      <c r="A595" t="s">
        <v>693</v>
      </c>
      <c r="B595" s="3">
        <v>45696</v>
      </c>
      <c r="C595" t="s">
        <v>66</v>
      </c>
      <c r="D595" t="s">
        <v>55</v>
      </c>
      <c r="E595" t="s">
        <v>79</v>
      </c>
      <c r="F595" t="s">
        <v>80</v>
      </c>
      <c r="G595" s="6">
        <v>1</v>
      </c>
      <c r="H595" s="4">
        <v>77.709999999999994</v>
      </c>
      <c r="I595" s="4">
        <v>43.34</v>
      </c>
      <c r="J595" s="5">
        <v>0.05</v>
      </c>
      <c r="K595" s="6">
        <v>3</v>
      </c>
      <c r="L595" s="6">
        <v>4</v>
      </c>
      <c r="M595" t="s">
        <v>58</v>
      </c>
      <c r="N595" t="s">
        <v>59</v>
      </c>
      <c r="O595" t="s">
        <v>73</v>
      </c>
    </row>
    <row r="596" spans="1:15">
      <c r="A596" t="s">
        <v>694</v>
      </c>
      <c r="B596" s="3">
        <v>45699</v>
      </c>
      <c r="C596" t="s">
        <v>66</v>
      </c>
      <c r="D596" t="s">
        <v>55</v>
      </c>
      <c r="E596" t="s">
        <v>67</v>
      </c>
      <c r="F596" t="s">
        <v>107</v>
      </c>
      <c r="G596" s="6">
        <v>4</v>
      </c>
      <c r="H596" s="4">
        <v>45.17</v>
      </c>
      <c r="I596" s="4">
        <v>21.08</v>
      </c>
      <c r="J596" s="5">
        <v>0</v>
      </c>
      <c r="K596" s="6">
        <v>5</v>
      </c>
      <c r="L596" s="6">
        <v>4</v>
      </c>
      <c r="M596" t="s">
        <v>58</v>
      </c>
      <c r="N596" t="s">
        <v>59</v>
      </c>
      <c r="O596" t="s">
        <v>73</v>
      </c>
    </row>
    <row r="597" spans="1:15">
      <c r="A597" t="s">
        <v>695</v>
      </c>
      <c r="B597" s="3">
        <v>45872</v>
      </c>
      <c r="C597" t="s">
        <v>82</v>
      </c>
      <c r="D597" t="s">
        <v>62</v>
      </c>
      <c r="E597" t="s">
        <v>67</v>
      </c>
      <c r="F597" t="s">
        <v>107</v>
      </c>
      <c r="G597" s="6">
        <v>2</v>
      </c>
      <c r="H597" s="4">
        <v>44.11</v>
      </c>
      <c r="I597" s="4">
        <v>21.79</v>
      </c>
      <c r="J597" s="5">
        <v>0.1</v>
      </c>
      <c r="K597" s="6">
        <v>0</v>
      </c>
      <c r="L597" s="6">
        <v>4</v>
      </c>
      <c r="M597" t="s">
        <v>58</v>
      </c>
      <c r="N597" t="s">
        <v>69</v>
      </c>
      <c r="O597" t="s">
        <v>60</v>
      </c>
    </row>
    <row r="598" spans="1:15">
      <c r="A598" t="s">
        <v>696</v>
      </c>
      <c r="B598" s="3">
        <v>45925</v>
      </c>
      <c r="C598" t="s">
        <v>78</v>
      </c>
      <c r="D598" t="s">
        <v>62</v>
      </c>
      <c r="E598" t="s">
        <v>79</v>
      </c>
      <c r="F598" t="s">
        <v>85</v>
      </c>
      <c r="G598" s="6">
        <v>1</v>
      </c>
      <c r="H598" s="4">
        <v>129.19999999999999</v>
      </c>
      <c r="I598" s="4">
        <v>82.75</v>
      </c>
      <c r="J598" s="5">
        <v>0.1</v>
      </c>
      <c r="K598" s="6">
        <v>0</v>
      </c>
      <c r="L598" s="6">
        <v>4</v>
      </c>
      <c r="M598" t="s">
        <v>58</v>
      </c>
      <c r="N598" t="s">
        <v>69</v>
      </c>
      <c r="O598" t="s">
        <v>60</v>
      </c>
    </row>
    <row r="599" spans="1:15">
      <c r="A599" t="s">
        <v>697</v>
      </c>
      <c r="B599" s="3">
        <v>45731</v>
      </c>
      <c r="C599" t="s">
        <v>54</v>
      </c>
      <c r="D599" t="s">
        <v>62</v>
      </c>
      <c r="E599" t="s">
        <v>79</v>
      </c>
      <c r="F599" t="s">
        <v>85</v>
      </c>
      <c r="G599" s="6">
        <v>1</v>
      </c>
      <c r="H599" s="4">
        <v>132.30000000000001</v>
      </c>
      <c r="I599" s="4">
        <v>84.25</v>
      </c>
      <c r="J599" s="5">
        <v>0</v>
      </c>
      <c r="K599" s="6">
        <v>3</v>
      </c>
      <c r="L599" s="6">
        <v>4</v>
      </c>
      <c r="M599" t="s">
        <v>58</v>
      </c>
      <c r="N599" t="s">
        <v>59</v>
      </c>
      <c r="O599" t="s">
        <v>64</v>
      </c>
    </row>
    <row r="600" spans="1:15">
      <c r="A600" t="s">
        <v>698</v>
      </c>
      <c r="B600" s="3">
        <v>45986</v>
      </c>
      <c r="C600" t="s">
        <v>78</v>
      </c>
      <c r="D600" t="s">
        <v>62</v>
      </c>
      <c r="E600" t="s">
        <v>67</v>
      </c>
      <c r="F600" t="s">
        <v>94</v>
      </c>
      <c r="G600" s="6">
        <v>1</v>
      </c>
      <c r="H600" s="4">
        <v>34.51</v>
      </c>
      <c r="I600" s="4">
        <v>17.670000000000002</v>
      </c>
      <c r="J600" s="5">
        <v>0.15000000000000002</v>
      </c>
      <c r="K600" s="6">
        <v>5</v>
      </c>
      <c r="L600" s="6">
        <v>4</v>
      </c>
      <c r="M600" t="s">
        <v>58</v>
      </c>
      <c r="N600" t="s">
        <v>59</v>
      </c>
      <c r="O600" t="s">
        <v>64</v>
      </c>
    </row>
    <row r="601" spans="1:15">
      <c r="A601" t="s">
        <v>699</v>
      </c>
      <c r="B601" s="3">
        <v>45853</v>
      </c>
      <c r="C601" t="s">
        <v>82</v>
      </c>
      <c r="D601" t="s">
        <v>62</v>
      </c>
      <c r="E601" t="s">
        <v>56</v>
      </c>
      <c r="F601" t="s">
        <v>89</v>
      </c>
      <c r="G601" s="6">
        <v>3</v>
      </c>
      <c r="H601" s="4">
        <v>79.099999999999994</v>
      </c>
      <c r="I601" s="4">
        <v>46.42</v>
      </c>
      <c r="J601" s="5">
        <v>0</v>
      </c>
      <c r="K601" s="6">
        <v>3</v>
      </c>
      <c r="L601" s="6">
        <v>4</v>
      </c>
      <c r="M601" t="s">
        <v>58</v>
      </c>
      <c r="N601" t="s">
        <v>59</v>
      </c>
      <c r="O601" t="s">
        <v>60</v>
      </c>
    </row>
    <row r="602" spans="1:15">
      <c r="A602" t="s">
        <v>700</v>
      </c>
      <c r="B602" s="3">
        <v>45706</v>
      </c>
      <c r="C602" t="s">
        <v>82</v>
      </c>
      <c r="D602" t="s">
        <v>62</v>
      </c>
      <c r="E602" t="s">
        <v>79</v>
      </c>
      <c r="F602" t="s">
        <v>85</v>
      </c>
      <c r="G602" s="6">
        <v>2</v>
      </c>
      <c r="H602" s="4">
        <v>132.81</v>
      </c>
      <c r="I602" s="4">
        <v>81.8</v>
      </c>
      <c r="J602" s="5">
        <v>0</v>
      </c>
      <c r="K602" s="6">
        <v>3</v>
      </c>
      <c r="L602" s="6">
        <v>4</v>
      </c>
      <c r="M602" t="s">
        <v>58</v>
      </c>
      <c r="N602" t="s">
        <v>87</v>
      </c>
      <c r="O602" t="s">
        <v>64</v>
      </c>
    </row>
    <row r="603" spans="1:15">
      <c r="A603" t="s">
        <v>701</v>
      </c>
      <c r="B603" s="3">
        <v>45983</v>
      </c>
      <c r="C603" t="s">
        <v>82</v>
      </c>
      <c r="D603" t="s">
        <v>62</v>
      </c>
      <c r="E603" t="s">
        <v>67</v>
      </c>
      <c r="F603" t="s">
        <v>94</v>
      </c>
      <c r="G603" s="6">
        <v>1</v>
      </c>
      <c r="H603" s="4">
        <v>34.32</v>
      </c>
      <c r="I603" s="4">
        <v>16.79</v>
      </c>
      <c r="J603" s="5">
        <v>0.15000000000000002</v>
      </c>
      <c r="K603" s="6">
        <v>0</v>
      </c>
      <c r="L603" s="6">
        <v>5</v>
      </c>
      <c r="M603" t="s">
        <v>58</v>
      </c>
      <c r="N603" t="s">
        <v>69</v>
      </c>
      <c r="O603" t="s">
        <v>73</v>
      </c>
    </row>
    <row r="604" spans="1:15">
      <c r="A604" t="s">
        <v>702</v>
      </c>
      <c r="B604" s="3">
        <v>45981</v>
      </c>
      <c r="C604" t="s">
        <v>82</v>
      </c>
      <c r="D604" t="s">
        <v>129</v>
      </c>
      <c r="E604" t="s">
        <v>79</v>
      </c>
      <c r="F604" t="s">
        <v>92</v>
      </c>
      <c r="G604" s="6">
        <v>6</v>
      </c>
      <c r="H604" s="4">
        <v>50.61</v>
      </c>
      <c r="I604" s="4">
        <v>26.37</v>
      </c>
      <c r="J604" s="5">
        <v>0.2</v>
      </c>
      <c r="K604" s="6">
        <v>4</v>
      </c>
      <c r="L604" s="6">
        <v>4</v>
      </c>
      <c r="M604" t="s">
        <v>58</v>
      </c>
      <c r="N604" t="s">
        <v>59</v>
      </c>
      <c r="O604" t="s">
        <v>73</v>
      </c>
    </row>
    <row r="605" spans="1:15">
      <c r="A605" t="s">
        <v>703</v>
      </c>
      <c r="B605" s="3">
        <v>45748</v>
      </c>
      <c r="C605" t="s">
        <v>66</v>
      </c>
      <c r="D605" t="s">
        <v>62</v>
      </c>
      <c r="E605" t="s">
        <v>56</v>
      </c>
      <c r="F605" t="s">
        <v>83</v>
      </c>
      <c r="G605" s="6">
        <v>1</v>
      </c>
      <c r="H605" s="4">
        <v>63.94</v>
      </c>
      <c r="I605" s="4">
        <v>35.65</v>
      </c>
      <c r="J605" s="5">
        <v>0.15000000000000002</v>
      </c>
      <c r="K605" s="6">
        <v>4</v>
      </c>
      <c r="L605" s="6">
        <v>4</v>
      </c>
      <c r="M605" t="s">
        <v>58</v>
      </c>
      <c r="N605" t="s">
        <v>87</v>
      </c>
      <c r="O605" t="s">
        <v>64</v>
      </c>
    </row>
    <row r="606" spans="1:15">
      <c r="A606" t="s">
        <v>704</v>
      </c>
      <c r="B606" s="3">
        <v>45940</v>
      </c>
      <c r="C606" t="s">
        <v>78</v>
      </c>
      <c r="D606" t="s">
        <v>55</v>
      </c>
      <c r="E606" t="s">
        <v>67</v>
      </c>
      <c r="F606" t="s">
        <v>107</v>
      </c>
      <c r="G606" s="6">
        <v>3</v>
      </c>
      <c r="H606" s="4">
        <v>45.08</v>
      </c>
      <c r="I606" s="4">
        <v>20.66</v>
      </c>
      <c r="J606" s="5">
        <v>0.1</v>
      </c>
      <c r="K606" s="6">
        <v>3</v>
      </c>
      <c r="L606" s="6">
        <v>4</v>
      </c>
      <c r="M606" t="s">
        <v>126</v>
      </c>
      <c r="N606" t="s">
        <v>59</v>
      </c>
      <c r="O606" t="s">
        <v>64</v>
      </c>
    </row>
    <row r="607" spans="1:15">
      <c r="A607" t="s">
        <v>705</v>
      </c>
      <c r="B607" s="3">
        <v>45915</v>
      </c>
      <c r="C607" t="s">
        <v>82</v>
      </c>
      <c r="D607" t="s">
        <v>62</v>
      </c>
      <c r="E607" t="s">
        <v>67</v>
      </c>
      <c r="F607" t="s">
        <v>68</v>
      </c>
      <c r="G607" s="6">
        <v>1</v>
      </c>
      <c r="H607" s="4">
        <v>38.82</v>
      </c>
      <c r="I607" s="4">
        <v>19.350000000000001</v>
      </c>
      <c r="J607" s="5">
        <v>0</v>
      </c>
      <c r="K607" s="6">
        <v>0</v>
      </c>
      <c r="L607" s="6">
        <v>4</v>
      </c>
      <c r="M607" t="s">
        <v>58</v>
      </c>
      <c r="N607" t="s">
        <v>69</v>
      </c>
      <c r="O607" t="s">
        <v>64</v>
      </c>
    </row>
    <row r="608" spans="1:15">
      <c r="A608" t="s">
        <v>706</v>
      </c>
      <c r="B608" s="3">
        <v>46013</v>
      </c>
      <c r="C608" t="s">
        <v>66</v>
      </c>
      <c r="D608" t="s">
        <v>62</v>
      </c>
      <c r="E608" t="s">
        <v>75</v>
      </c>
      <c r="F608" t="s">
        <v>97</v>
      </c>
      <c r="G608" s="6">
        <v>1</v>
      </c>
      <c r="H608" s="4">
        <v>91.58</v>
      </c>
      <c r="I608" s="4">
        <v>52.88</v>
      </c>
      <c r="J608" s="5">
        <v>0.1</v>
      </c>
      <c r="K608" s="6">
        <v>9</v>
      </c>
      <c r="L608" s="6">
        <v>3</v>
      </c>
      <c r="M608" t="s">
        <v>58</v>
      </c>
      <c r="N608" t="s">
        <v>59</v>
      </c>
      <c r="O608" t="s">
        <v>73</v>
      </c>
    </row>
    <row r="609" spans="1:15">
      <c r="A609" t="s">
        <v>707</v>
      </c>
      <c r="B609" s="3">
        <v>45857</v>
      </c>
      <c r="C609" t="s">
        <v>78</v>
      </c>
      <c r="D609" t="s">
        <v>55</v>
      </c>
      <c r="E609" t="s">
        <v>67</v>
      </c>
      <c r="F609" t="s">
        <v>71</v>
      </c>
      <c r="G609" s="6">
        <v>3</v>
      </c>
      <c r="H609" s="4">
        <v>69.680000000000007</v>
      </c>
      <c r="I609" s="4">
        <v>37.39</v>
      </c>
      <c r="J609" s="5">
        <v>0.05</v>
      </c>
      <c r="K609" s="6">
        <v>5</v>
      </c>
      <c r="L609" s="6">
        <v>3</v>
      </c>
      <c r="M609" t="s">
        <v>126</v>
      </c>
      <c r="N609" t="s">
        <v>59</v>
      </c>
      <c r="O609" t="s">
        <v>64</v>
      </c>
    </row>
    <row r="610" spans="1:15">
      <c r="A610" t="s">
        <v>708</v>
      </c>
      <c r="B610" s="3">
        <v>45887</v>
      </c>
      <c r="C610" t="s">
        <v>82</v>
      </c>
      <c r="D610" t="s">
        <v>62</v>
      </c>
      <c r="E610" t="s">
        <v>79</v>
      </c>
      <c r="F610" t="s">
        <v>80</v>
      </c>
      <c r="G610" s="6">
        <v>2</v>
      </c>
      <c r="H610" s="4">
        <v>73.17</v>
      </c>
      <c r="I610" s="4">
        <v>42.25</v>
      </c>
      <c r="J610" s="5">
        <v>0.05</v>
      </c>
      <c r="K610" s="6">
        <v>1</v>
      </c>
      <c r="L610" s="6">
        <v>4</v>
      </c>
      <c r="M610" t="s">
        <v>58</v>
      </c>
      <c r="N610" t="s">
        <v>87</v>
      </c>
      <c r="O610" t="s">
        <v>60</v>
      </c>
    </row>
    <row r="611" spans="1:15">
      <c r="A611" t="s">
        <v>709</v>
      </c>
      <c r="B611" s="3">
        <v>45894</v>
      </c>
      <c r="C611" t="s">
        <v>82</v>
      </c>
      <c r="D611" t="s">
        <v>55</v>
      </c>
      <c r="E611" t="s">
        <v>67</v>
      </c>
      <c r="F611" t="s">
        <v>71</v>
      </c>
      <c r="G611" s="6">
        <v>3</v>
      </c>
      <c r="H611" s="4">
        <v>69.69</v>
      </c>
      <c r="I611" s="4">
        <v>39.78</v>
      </c>
      <c r="J611" s="5">
        <v>0</v>
      </c>
      <c r="K611" s="6">
        <v>0</v>
      </c>
      <c r="L611" s="6">
        <v>4</v>
      </c>
      <c r="M611" t="s">
        <v>58</v>
      </c>
      <c r="N611" t="s">
        <v>69</v>
      </c>
      <c r="O611" t="s">
        <v>64</v>
      </c>
    </row>
    <row r="612" spans="1:15">
      <c r="A612" t="s">
        <v>710</v>
      </c>
      <c r="B612" s="3">
        <v>46004</v>
      </c>
      <c r="C612" t="s">
        <v>82</v>
      </c>
      <c r="D612" t="s">
        <v>62</v>
      </c>
      <c r="E612" t="s">
        <v>56</v>
      </c>
      <c r="F612" t="s">
        <v>89</v>
      </c>
      <c r="G612" s="6">
        <v>1</v>
      </c>
      <c r="H612" s="4">
        <v>78.38</v>
      </c>
      <c r="I612" s="4">
        <v>45.88</v>
      </c>
      <c r="J612" s="5">
        <v>0.05</v>
      </c>
      <c r="K612" s="6">
        <v>6</v>
      </c>
      <c r="L612" s="6">
        <v>3</v>
      </c>
      <c r="M612" t="s">
        <v>58</v>
      </c>
      <c r="N612" t="s">
        <v>59</v>
      </c>
      <c r="O612" t="s">
        <v>60</v>
      </c>
    </row>
    <row r="613" spans="1:15">
      <c r="A613" t="s">
        <v>711</v>
      </c>
      <c r="B613" s="3">
        <v>45861</v>
      </c>
      <c r="C613" t="s">
        <v>82</v>
      </c>
      <c r="D613" t="s">
        <v>55</v>
      </c>
      <c r="E613" t="s">
        <v>79</v>
      </c>
      <c r="F613" t="s">
        <v>115</v>
      </c>
      <c r="G613" s="6">
        <v>3</v>
      </c>
      <c r="H613" s="4">
        <v>60.33</v>
      </c>
      <c r="I613" s="4">
        <v>33.11</v>
      </c>
      <c r="J613" s="5">
        <v>0</v>
      </c>
      <c r="K613" s="6">
        <v>0</v>
      </c>
      <c r="L613" s="6">
        <v>4</v>
      </c>
      <c r="M613" t="s">
        <v>58</v>
      </c>
      <c r="N613" t="s">
        <v>69</v>
      </c>
      <c r="O613" t="s">
        <v>60</v>
      </c>
    </row>
    <row r="614" spans="1:15">
      <c r="A614" t="s">
        <v>712</v>
      </c>
      <c r="B614" s="3">
        <v>45881</v>
      </c>
      <c r="C614" t="s">
        <v>66</v>
      </c>
      <c r="D614" t="s">
        <v>62</v>
      </c>
      <c r="E614" t="s">
        <v>75</v>
      </c>
      <c r="F614" t="s">
        <v>76</v>
      </c>
      <c r="G614" s="6">
        <v>2</v>
      </c>
      <c r="H614" s="4">
        <v>116.52</v>
      </c>
      <c r="I614" s="4">
        <v>70.73</v>
      </c>
      <c r="J614" s="5">
        <v>0.05</v>
      </c>
      <c r="K614" s="6">
        <v>4</v>
      </c>
      <c r="L614" s="6">
        <v>4</v>
      </c>
      <c r="M614" t="s">
        <v>58</v>
      </c>
      <c r="N614" t="s">
        <v>59</v>
      </c>
      <c r="O614" t="s">
        <v>60</v>
      </c>
    </row>
    <row r="615" spans="1:15">
      <c r="A615" t="s">
        <v>713</v>
      </c>
      <c r="B615" s="3">
        <v>45862</v>
      </c>
      <c r="C615" t="s">
        <v>66</v>
      </c>
      <c r="D615" t="s">
        <v>55</v>
      </c>
      <c r="E615" t="s">
        <v>75</v>
      </c>
      <c r="F615" t="s">
        <v>110</v>
      </c>
      <c r="G615" s="6">
        <v>1</v>
      </c>
      <c r="H615" s="4">
        <v>156.30000000000001</v>
      </c>
      <c r="I615" s="4">
        <v>103.02</v>
      </c>
      <c r="J615" s="5">
        <v>0.05</v>
      </c>
      <c r="K615" s="6">
        <v>3</v>
      </c>
      <c r="L615" s="6">
        <v>5</v>
      </c>
      <c r="M615" t="s">
        <v>58</v>
      </c>
      <c r="N615" t="s">
        <v>69</v>
      </c>
      <c r="O615" t="s">
        <v>64</v>
      </c>
    </row>
    <row r="616" spans="1:15">
      <c r="A616" t="s">
        <v>714</v>
      </c>
      <c r="B616" s="3">
        <v>45758</v>
      </c>
      <c r="C616" t="s">
        <v>82</v>
      </c>
      <c r="D616" t="s">
        <v>62</v>
      </c>
      <c r="E616" t="s">
        <v>79</v>
      </c>
      <c r="F616" t="s">
        <v>92</v>
      </c>
      <c r="G616" s="6">
        <v>1</v>
      </c>
      <c r="H616" s="4">
        <v>49.04</v>
      </c>
      <c r="I616" s="4">
        <v>27.01</v>
      </c>
      <c r="J616" s="5">
        <v>0.05</v>
      </c>
      <c r="K616" s="6">
        <v>4</v>
      </c>
      <c r="L616" s="6">
        <v>4</v>
      </c>
      <c r="M616" t="s">
        <v>58</v>
      </c>
      <c r="N616" t="s">
        <v>59</v>
      </c>
      <c r="O616" t="s">
        <v>64</v>
      </c>
    </row>
    <row r="617" spans="1:15">
      <c r="A617" t="s">
        <v>715</v>
      </c>
      <c r="B617" s="3">
        <v>45853</v>
      </c>
      <c r="C617" t="s">
        <v>54</v>
      </c>
      <c r="D617" t="s">
        <v>62</v>
      </c>
      <c r="E617" t="s">
        <v>56</v>
      </c>
      <c r="F617" t="s">
        <v>89</v>
      </c>
      <c r="G617" s="6">
        <v>2</v>
      </c>
      <c r="H617" s="4">
        <v>82.28</v>
      </c>
      <c r="I617" s="4">
        <v>43.96</v>
      </c>
      <c r="J617" s="5">
        <v>0.05</v>
      </c>
      <c r="K617" s="6">
        <v>4</v>
      </c>
      <c r="L617" s="6">
        <v>5</v>
      </c>
      <c r="M617" t="s">
        <v>58</v>
      </c>
      <c r="N617" t="s">
        <v>59</v>
      </c>
      <c r="O617" t="s">
        <v>64</v>
      </c>
    </row>
    <row r="618" spans="1:15">
      <c r="A618" t="s">
        <v>716</v>
      </c>
      <c r="B618" s="3">
        <v>45668</v>
      </c>
      <c r="C618" t="s">
        <v>66</v>
      </c>
      <c r="D618" t="s">
        <v>55</v>
      </c>
      <c r="E618" t="s">
        <v>79</v>
      </c>
      <c r="F618" t="s">
        <v>85</v>
      </c>
      <c r="G618" s="6">
        <v>5</v>
      </c>
      <c r="H618" s="4">
        <v>131.5</v>
      </c>
      <c r="I618" s="4">
        <v>87</v>
      </c>
      <c r="J618" s="5">
        <v>0.05</v>
      </c>
      <c r="K618" s="6">
        <v>6</v>
      </c>
      <c r="L618" s="6">
        <v>3</v>
      </c>
      <c r="M618" t="s">
        <v>58</v>
      </c>
      <c r="N618" t="s">
        <v>59</v>
      </c>
      <c r="O618" t="s">
        <v>64</v>
      </c>
    </row>
    <row r="619" spans="1:15">
      <c r="A619" t="s">
        <v>717</v>
      </c>
      <c r="B619" s="3">
        <v>45841</v>
      </c>
      <c r="C619" t="s">
        <v>66</v>
      </c>
      <c r="D619" t="s">
        <v>62</v>
      </c>
      <c r="E619" t="s">
        <v>67</v>
      </c>
      <c r="F619" t="s">
        <v>71</v>
      </c>
      <c r="G619" s="6">
        <v>2</v>
      </c>
      <c r="H619" s="4">
        <v>71.06</v>
      </c>
      <c r="I619" s="4">
        <v>39.28</v>
      </c>
      <c r="J619" s="5">
        <v>0.15000000000000002</v>
      </c>
      <c r="K619" s="6">
        <v>4</v>
      </c>
      <c r="L619" s="6">
        <v>5</v>
      </c>
      <c r="M619" t="s">
        <v>58</v>
      </c>
      <c r="N619" t="s">
        <v>69</v>
      </c>
      <c r="O619" t="s">
        <v>73</v>
      </c>
    </row>
    <row r="620" spans="1:15">
      <c r="A620" t="s">
        <v>718</v>
      </c>
      <c r="B620" s="3">
        <v>45724</v>
      </c>
      <c r="C620" t="s">
        <v>78</v>
      </c>
      <c r="D620" t="s">
        <v>62</v>
      </c>
      <c r="E620" t="s">
        <v>75</v>
      </c>
      <c r="F620" t="s">
        <v>97</v>
      </c>
      <c r="G620" s="6">
        <v>1</v>
      </c>
      <c r="H620" s="4">
        <v>92</v>
      </c>
      <c r="I620" s="4">
        <v>53.72</v>
      </c>
      <c r="J620" s="5">
        <v>0</v>
      </c>
      <c r="K620" s="6">
        <v>5</v>
      </c>
      <c r="L620" s="6">
        <v>5</v>
      </c>
      <c r="M620" t="s">
        <v>58</v>
      </c>
      <c r="N620" t="s">
        <v>69</v>
      </c>
      <c r="O620" t="s">
        <v>64</v>
      </c>
    </row>
    <row r="621" spans="1:15">
      <c r="A621" t="s">
        <v>719</v>
      </c>
      <c r="B621" s="3">
        <v>45662</v>
      </c>
      <c r="C621" t="s">
        <v>54</v>
      </c>
      <c r="D621" t="s">
        <v>62</v>
      </c>
      <c r="E621" t="s">
        <v>79</v>
      </c>
      <c r="F621" t="s">
        <v>92</v>
      </c>
      <c r="G621" s="6">
        <v>2</v>
      </c>
      <c r="H621" s="4">
        <v>50.35</v>
      </c>
      <c r="I621" s="4">
        <v>26.78</v>
      </c>
      <c r="J621" s="5">
        <v>0.1</v>
      </c>
      <c r="K621" s="6">
        <v>2</v>
      </c>
      <c r="L621" s="6">
        <v>4</v>
      </c>
      <c r="M621" t="s">
        <v>58</v>
      </c>
      <c r="N621" t="s">
        <v>59</v>
      </c>
      <c r="O621" t="s">
        <v>64</v>
      </c>
    </row>
    <row r="622" spans="1:15">
      <c r="A622" t="s">
        <v>720</v>
      </c>
      <c r="B622" s="3">
        <v>45763</v>
      </c>
      <c r="C622" t="s">
        <v>66</v>
      </c>
      <c r="D622" t="s">
        <v>62</v>
      </c>
      <c r="E622" t="s">
        <v>67</v>
      </c>
      <c r="F622" t="s">
        <v>68</v>
      </c>
      <c r="G622" s="6">
        <v>1</v>
      </c>
      <c r="H622" s="4">
        <v>40.42</v>
      </c>
      <c r="I622" s="4">
        <v>18.68</v>
      </c>
      <c r="J622" s="5">
        <v>0.1</v>
      </c>
      <c r="K622" s="6">
        <v>4</v>
      </c>
      <c r="L622" s="6">
        <v>3</v>
      </c>
      <c r="M622" t="s">
        <v>126</v>
      </c>
      <c r="N622" t="s">
        <v>59</v>
      </c>
      <c r="O622" t="s">
        <v>60</v>
      </c>
    </row>
    <row r="623" spans="1:15">
      <c r="A623" t="s">
        <v>721</v>
      </c>
      <c r="B623" s="3">
        <v>45660</v>
      </c>
      <c r="C623" t="s">
        <v>78</v>
      </c>
      <c r="D623" t="s">
        <v>62</v>
      </c>
      <c r="E623" t="s">
        <v>79</v>
      </c>
      <c r="F623" t="s">
        <v>115</v>
      </c>
      <c r="G623" s="6">
        <v>1</v>
      </c>
      <c r="H623" s="4">
        <v>58.56</v>
      </c>
      <c r="I623" s="4">
        <v>35.1</v>
      </c>
      <c r="J623" s="5">
        <v>0</v>
      </c>
      <c r="K623" s="6">
        <v>0</v>
      </c>
      <c r="L623" s="6">
        <v>5</v>
      </c>
      <c r="M623" t="s">
        <v>58</v>
      </c>
      <c r="N623" t="s">
        <v>69</v>
      </c>
      <c r="O623" t="s">
        <v>64</v>
      </c>
    </row>
    <row r="624" spans="1:15">
      <c r="A624" t="s">
        <v>722</v>
      </c>
      <c r="B624" s="3">
        <v>45799</v>
      </c>
      <c r="C624" t="s">
        <v>66</v>
      </c>
      <c r="D624" t="s">
        <v>55</v>
      </c>
      <c r="E624" t="s">
        <v>67</v>
      </c>
      <c r="F624" t="s">
        <v>68</v>
      </c>
      <c r="G624" s="6">
        <v>3</v>
      </c>
      <c r="H624" s="4">
        <v>40.24</v>
      </c>
      <c r="I624" s="4">
        <v>18.62</v>
      </c>
      <c r="J624" s="5">
        <v>0.05</v>
      </c>
      <c r="K624" s="6">
        <v>0</v>
      </c>
      <c r="L624" s="6">
        <v>5</v>
      </c>
      <c r="M624" t="s">
        <v>58</v>
      </c>
      <c r="N624" t="s">
        <v>69</v>
      </c>
      <c r="O624" t="s">
        <v>64</v>
      </c>
    </row>
    <row r="625" spans="1:15">
      <c r="A625" t="s">
        <v>723</v>
      </c>
      <c r="B625" s="3">
        <v>45984</v>
      </c>
      <c r="C625" t="s">
        <v>54</v>
      </c>
      <c r="D625" t="s">
        <v>62</v>
      </c>
      <c r="E625" t="s">
        <v>56</v>
      </c>
      <c r="F625" t="s">
        <v>83</v>
      </c>
      <c r="G625" s="6">
        <v>1</v>
      </c>
      <c r="H625" s="4">
        <v>63.94</v>
      </c>
      <c r="I625" s="4">
        <v>35.86</v>
      </c>
      <c r="J625" s="5">
        <v>0.05</v>
      </c>
      <c r="K625" s="6">
        <v>3</v>
      </c>
      <c r="L625" s="6">
        <v>4</v>
      </c>
      <c r="M625" t="s">
        <v>58</v>
      </c>
      <c r="N625" t="s">
        <v>59</v>
      </c>
      <c r="O625" t="s">
        <v>64</v>
      </c>
    </row>
    <row r="626" spans="1:15">
      <c r="A626" t="s">
        <v>724</v>
      </c>
      <c r="B626" s="3">
        <v>45993</v>
      </c>
      <c r="C626" t="s">
        <v>54</v>
      </c>
      <c r="D626" t="s">
        <v>62</v>
      </c>
      <c r="E626" t="s">
        <v>75</v>
      </c>
      <c r="F626" t="s">
        <v>146</v>
      </c>
      <c r="G626" s="6">
        <v>2</v>
      </c>
      <c r="H626" s="4">
        <v>182.93</v>
      </c>
      <c r="I626" s="4">
        <v>116.88</v>
      </c>
      <c r="J626" s="5">
        <v>0.05</v>
      </c>
      <c r="K626" s="6">
        <v>6</v>
      </c>
      <c r="L626" s="6">
        <v>4</v>
      </c>
      <c r="M626" t="s">
        <v>58</v>
      </c>
      <c r="N626" t="s">
        <v>59</v>
      </c>
      <c r="O626" t="s">
        <v>64</v>
      </c>
    </row>
    <row r="627" spans="1:15">
      <c r="A627" t="s">
        <v>725</v>
      </c>
      <c r="B627" s="3">
        <v>45932</v>
      </c>
      <c r="C627" t="s">
        <v>66</v>
      </c>
      <c r="D627" t="s">
        <v>62</v>
      </c>
      <c r="E627" t="s">
        <v>79</v>
      </c>
      <c r="F627" t="s">
        <v>115</v>
      </c>
      <c r="G627" s="6">
        <v>2</v>
      </c>
      <c r="H627" s="4">
        <v>60.26</v>
      </c>
      <c r="I627" s="4">
        <v>33.25</v>
      </c>
      <c r="J627" s="5">
        <v>0</v>
      </c>
      <c r="K627" s="6">
        <v>3</v>
      </c>
      <c r="L627" s="6">
        <v>5</v>
      </c>
      <c r="M627" t="s">
        <v>58</v>
      </c>
      <c r="N627" t="s">
        <v>59</v>
      </c>
      <c r="O627" t="s">
        <v>60</v>
      </c>
    </row>
    <row r="628" spans="1:15">
      <c r="A628" t="s">
        <v>726</v>
      </c>
      <c r="B628" s="3">
        <v>45666</v>
      </c>
      <c r="C628" t="s">
        <v>54</v>
      </c>
      <c r="D628" t="s">
        <v>62</v>
      </c>
      <c r="E628" t="s">
        <v>56</v>
      </c>
      <c r="F628" t="s">
        <v>89</v>
      </c>
      <c r="G628" s="6">
        <v>1</v>
      </c>
      <c r="H628" s="4">
        <v>78.099999999999994</v>
      </c>
      <c r="I628" s="4">
        <v>44.43</v>
      </c>
      <c r="J628" s="5">
        <v>0.1</v>
      </c>
      <c r="K628" s="6">
        <v>5</v>
      </c>
      <c r="L628" s="6">
        <v>5</v>
      </c>
      <c r="M628" t="s">
        <v>58</v>
      </c>
      <c r="N628" t="s">
        <v>59</v>
      </c>
      <c r="O628" t="s">
        <v>60</v>
      </c>
    </row>
    <row r="629" spans="1:15">
      <c r="A629" t="s">
        <v>727</v>
      </c>
      <c r="B629" s="3">
        <v>45837</v>
      </c>
      <c r="C629" t="s">
        <v>82</v>
      </c>
      <c r="D629" t="s">
        <v>55</v>
      </c>
      <c r="E629" t="s">
        <v>56</v>
      </c>
      <c r="F629" t="s">
        <v>63</v>
      </c>
      <c r="G629" s="6">
        <v>3</v>
      </c>
      <c r="H629" s="4">
        <v>39.5</v>
      </c>
      <c r="I629" s="4">
        <v>19.91</v>
      </c>
      <c r="J629" s="5">
        <v>0.1</v>
      </c>
      <c r="K629" s="6">
        <v>3</v>
      </c>
      <c r="L629" s="6">
        <v>4</v>
      </c>
      <c r="M629" t="s">
        <v>58</v>
      </c>
      <c r="N629" t="s">
        <v>59</v>
      </c>
      <c r="O629" t="s">
        <v>64</v>
      </c>
    </row>
    <row r="630" spans="1:15">
      <c r="A630" t="s">
        <v>728</v>
      </c>
      <c r="B630" s="3">
        <v>45726</v>
      </c>
      <c r="C630" t="s">
        <v>82</v>
      </c>
      <c r="D630" t="s">
        <v>55</v>
      </c>
      <c r="E630" t="s">
        <v>67</v>
      </c>
      <c r="F630" t="s">
        <v>68</v>
      </c>
      <c r="G630" s="6">
        <v>4</v>
      </c>
      <c r="H630" s="4">
        <v>38.83</v>
      </c>
      <c r="I630" s="4">
        <v>18.920000000000002</v>
      </c>
      <c r="J630" s="5">
        <v>0</v>
      </c>
      <c r="K630" s="6">
        <v>4</v>
      </c>
      <c r="L630" s="6">
        <v>4</v>
      </c>
      <c r="M630" t="s">
        <v>58</v>
      </c>
      <c r="N630" t="s">
        <v>59</v>
      </c>
      <c r="O630" t="s">
        <v>73</v>
      </c>
    </row>
    <row r="631" spans="1:15">
      <c r="A631" t="s">
        <v>729</v>
      </c>
      <c r="B631" s="3">
        <v>45770</v>
      </c>
      <c r="C631" t="s">
        <v>82</v>
      </c>
      <c r="D631" t="s">
        <v>62</v>
      </c>
      <c r="E631" t="s">
        <v>79</v>
      </c>
      <c r="F631" t="s">
        <v>115</v>
      </c>
      <c r="G631" s="6">
        <v>1</v>
      </c>
      <c r="H631" s="4">
        <v>62.39</v>
      </c>
      <c r="I631" s="4">
        <v>35.020000000000003</v>
      </c>
      <c r="J631" s="5">
        <v>0.05</v>
      </c>
      <c r="K631" s="6">
        <v>5</v>
      </c>
      <c r="L631" s="6">
        <v>3</v>
      </c>
      <c r="M631" t="s">
        <v>126</v>
      </c>
      <c r="N631" t="s">
        <v>59</v>
      </c>
      <c r="O631" t="s">
        <v>64</v>
      </c>
    </row>
    <row r="632" spans="1:15">
      <c r="A632" t="s">
        <v>730</v>
      </c>
      <c r="B632" s="3">
        <v>45949</v>
      </c>
      <c r="C632" t="s">
        <v>66</v>
      </c>
      <c r="D632" t="s">
        <v>62</v>
      </c>
      <c r="E632" t="s">
        <v>75</v>
      </c>
      <c r="F632" t="s">
        <v>110</v>
      </c>
      <c r="G632" s="6">
        <v>2</v>
      </c>
      <c r="H632" s="4">
        <v>163.46</v>
      </c>
      <c r="I632" s="4">
        <v>99.81</v>
      </c>
      <c r="J632" s="5">
        <v>0.05</v>
      </c>
      <c r="K632" s="6">
        <v>4</v>
      </c>
      <c r="L632" s="6">
        <v>4</v>
      </c>
      <c r="M632" t="s">
        <v>58</v>
      </c>
      <c r="N632" t="s">
        <v>59</v>
      </c>
      <c r="O632" t="s">
        <v>73</v>
      </c>
    </row>
    <row r="633" spans="1:15">
      <c r="A633" t="s">
        <v>731</v>
      </c>
      <c r="B633" s="3">
        <v>45796</v>
      </c>
      <c r="C633" t="s">
        <v>66</v>
      </c>
      <c r="D633" t="s">
        <v>62</v>
      </c>
      <c r="E633" t="s">
        <v>79</v>
      </c>
      <c r="F633" t="s">
        <v>80</v>
      </c>
      <c r="G633" s="6">
        <v>1</v>
      </c>
      <c r="H633" s="4">
        <v>76.709999999999994</v>
      </c>
      <c r="I633" s="4">
        <v>44.83</v>
      </c>
      <c r="J633" s="5">
        <v>0.05</v>
      </c>
      <c r="K633" s="6">
        <v>4</v>
      </c>
      <c r="L633" s="6">
        <v>5</v>
      </c>
      <c r="M633" t="s">
        <v>58</v>
      </c>
      <c r="N633" t="s">
        <v>59</v>
      </c>
      <c r="O633" t="s">
        <v>60</v>
      </c>
    </row>
    <row r="634" spans="1:15">
      <c r="A634" t="s">
        <v>732</v>
      </c>
      <c r="B634" s="3">
        <v>45728</v>
      </c>
      <c r="C634" t="s">
        <v>54</v>
      </c>
      <c r="D634" t="s">
        <v>55</v>
      </c>
      <c r="E634" t="s">
        <v>79</v>
      </c>
      <c r="F634" t="s">
        <v>92</v>
      </c>
      <c r="G634" s="6">
        <v>1</v>
      </c>
      <c r="H634" s="4">
        <v>49.81</v>
      </c>
      <c r="I634" s="4">
        <v>25.44</v>
      </c>
      <c r="J634" s="5">
        <v>0</v>
      </c>
      <c r="K634" s="6">
        <v>4</v>
      </c>
      <c r="L634" s="6">
        <v>4</v>
      </c>
      <c r="M634" t="s">
        <v>58</v>
      </c>
      <c r="N634" t="s">
        <v>59</v>
      </c>
      <c r="O634" t="s">
        <v>60</v>
      </c>
    </row>
    <row r="635" spans="1:15">
      <c r="A635" t="s">
        <v>733</v>
      </c>
      <c r="B635" s="3">
        <v>45989</v>
      </c>
      <c r="C635" t="s">
        <v>66</v>
      </c>
      <c r="D635" t="s">
        <v>62</v>
      </c>
      <c r="E635" t="s">
        <v>67</v>
      </c>
      <c r="F635" t="s">
        <v>94</v>
      </c>
      <c r="G635" s="6">
        <v>2</v>
      </c>
      <c r="H635" s="4">
        <v>34.04</v>
      </c>
      <c r="I635" s="4">
        <v>17.73</v>
      </c>
      <c r="J635" s="5">
        <v>0.15000000000000002</v>
      </c>
      <c r="K635" s="6">
        <v>0</v>
      </c>
      <c r="L635" s="6">
        <v>5</v>
      </c>
      <c r="M635" t="s">
        <v>58</v>
      </c>
      <c r="N635" t="s">
        <v>69</v>
      </c>
      <c r="O635" t="s">
        <v>64</v>
      </c>
    </row>
    <row r="636" spans="1:15">
      <c r="A636" t="s">
        <v>734</v>
      </c>
      <c r="B636" s="3">
        <v>45893</v>
      </c>
      <c r="C636" t="s">
        <v>66</v>
      </c>
      <c r="D636" t="s">
        <v>129</v>
      </c>
      <c r="E636" t="s">
        <v>75</v>
      </c>
      <c r="F636" t="s">
        <v>76</v>
      </c>
      <c r="G636" s="6">
        <v>10</v>
      </c>
      <c r="H636" s="4">
        <v>121.48</v>
      </c>
      <c r="I636" s="4">
        <v>70.349999999999994</v>
      </c>
      <c r="J636" s="5">
        <v>0.1</v>
      </c>
      <c r="K636" s="6">
        <v>6</v>
      </c>
      <c r="L636" s="6">
        <v>4</v>
      </c>
      <c r="M636" t="s">
        <v>58</v>
      </c>
      <c r="N636" t="s">
        <v>59</v>
      </c>
      <c r="O636" t="s">
        <v>64</v>
      </c>
    </row>
    <row r="637" spans="1:15">
      <c r="A637" t="s">
        <v>735</v>
      </c>
      <c r="B637" s="3">
        <v>45738</v>
      </c>
      <c r="C637" t="s">
        <v>82</v>
      </c>
      <c r="D637" t="s">
        <v>62</v>
      </c>
      <c r="E637" t="s">
        <v>56</v>
      </c>
      <c r="F637" t="s">
        <v>57</v>
      </c>
      <c r="G637" s="6">
        <v>2</v>
      </c>
      <c r="H637" s="4">
        <v>109.2</v>
      </c>
      <c r="I637" s="4">
        <v>68.599999999999994</v>
      </c>
      <c r="J637" s="5">
        <v>0.1</v>
      </c>
      <c r="K637" s="6">
        <v>1</v>
      </c>
      <c r="L637" s="6">
        <v>4</v>
      </c>
      <c r="M637" t="s">
        <v>58</v>
      </c>
      <c r="N637" t="s">
        <v>87</v>
      </c>
      <c r="O637" t="s">
        <v>64</v>
      </c>
    </row>
    <row r="638" spans="1:15">
      <c r="A638" t="s">
        <v>736</v>
      </c>
      <c r="B638" s="3">
        <v>45789</v>
      </c>
      <c r="C638" t="s">
        <v>66</v>
      </c>
      <c r="D638" t="s">
        <v>62</v>
      </c>
      <c r="E638" t="s">
        <v>79</v>
      </c>
      <c r="F638" t="s">
        <v>115</v>
      </c>
      <c r="G638" s="6">
        <v>2</v>
      </c>
      <c r="H638" s="4">
        <v>59.58</v>
      </c>
      <c r="I638" s="4">
        <v>35.51</v>
      </c>
      <c r="J638" s="5">
        <v>0.05</v>
      </c>
      <c r="K638" s="6">
        <v>3</v>
      </c>
      <c r="L638" s="6">
        <v>4</v>
      </c>
      <c r="M638" t="s">
        <v>58</v>
      </c>
      <c r="N638" t="s">
        <v>59</v>
      </c>
      <c r="O638" t="s">
        <v>64</v>
      </c>
    </row>
    <row r="639" spans="1:15">
      <c r="A639" t="s">
        <v>737</v>
      </c>
      <c r="B639" s="3">
        <v>46012</v>
      </c>
      <c r="C639" t="s">
        <v>82</v>
      </c>
      <c r="D639" t="s">
        <v>62</v>
      </c>
      <c r="E639" t="s">
        <v>79</v>
      </c>
      <c r="F639" t="s">
        <v>80</v>
      </c>
      <c r="G639" s="6">
        <v>1</v>
      </c>
      <c r="H639" s="4">
        <v>77.53</v>
      </c>
      <c r="I639" s="4">
        <v>45.07</v>
      </c>
      <c r="J639" s="5">
        <v>0.05</v>
      </c>
      <c r="K639" s="6">
        <v>3</v>
      </c>
      <c r="L639" s="6">
        <v>5</v>
      </c>
      <c r="M639" t="s">
        <v>58</v>
      </c>
      <c r="N639" t="s">
        <v>59</v>
      </c>
      <c r="O639" t="s">
        <v>64</v>
      </c>
    </row>
    <row r="640" spans="1:15">
      <c r="A640" t="s">
        <v>738</v>
      </c>
      <c r="B640" s="3">
        <v>45921</v>
      </c>
      <c r="C640" t="s">
        <v>78</v>
      </c>
      <c r="D640" t="s">
        <v>62</v>
      </c>
      <c r="E640" t="s">
        <v>56</v>
      </c>
      <c r="F640" t="s">
        <v>83</v>
      </c>
      <c r="G640" s="6">
        <v>1</v>
      </c>
      <c r="H640" s="4">
        <v>64.61</v>
      </c>
      <c r="I640" s="4">
        <v>35.72</v>
      </c>
      <c r="J640" s="5">
        <v>0.1</v>
      </c>
      <c r="K640" s="6">
        <v>0</v>
      </c>
      <c r="L640" s="6">
        <v>5</v>
      </c>
      <c r="M640" t="s">
        <v>58</v>
      </c>
      <c r="N640" t="s">
        <v>69</v>
      </c>
      <c r="O640" t="s">
        <v>64</v>
      </c>
    </row>
    <row r="641" spans="1:15">
      <c r="A641" t="s">
        <v>739</v>
      </c>
      <c r="B641" s="3">
        <v>45971</v>
      </c>
      <c r="C641" t="s">
        <v>78</v>
      </c>
      <c r="D641" t="s">
        <v>62</v>
      </c>
      <c r="E641" t="s">
        <v>67</v>
      </c>
      <c r="F641" t="s">
        <v>107</v>
      </c>
      <c r="G641" s="6">
        <v>1</v>
      </c>
      <c r="H641" s="4">
        <v>45.63</v>
      </c>
      <c r="I641" s="4">
        <v>20.89</v>
      </c>
      <c r="J641" s="5">
        <v>0.15000000000000002</v>
      </c>
      <c r="K641" s="6">
        <v>2</v>
      </c>
      <c r="L641" s="6">
        <v>5</v>
      </c>
      <c r="M641" t="s">
        <v>58</v>
      </c>
      <c r="N641" t="s">
        <v>59</v>
      </c>
      <c r="O641" t="s">
        <v>64</v>
      </c>
    </row>
    <row r="642" spans="1:15">
      <c r="A642" t="s">
        <v>740</v>
      </c>
      <c r="B642" s="3">
        <v>45736</v>
      </c>
      <c r="C642" t="s">
        <v>82</v>
      </c>
      <c r="D642" t="s">
        <v>62</v>
      </c>
      <c r="E642" t="s">
        <v>79</v>
      </c>
      <c r="F642" t="s">
        <v>92</v>
      </c>
      <c r="G642" s="6">
        <v>2</v>
      </c>
      <c r="H642" s="4">
        <v>51.17</v>
      </c>
      <c r="I642" s="4">
        <v>25.63</v>
      </c>
      <c r="J642" s="5">
        <v>0</v>
      </c>
      <c r="K642" s="6">
        <v>4</v>
      </c>
      <c r="L642" s="6">
        <v>5</v>
      </c>
      <c r="M642" t="s">
        <v>58</v>
      </c>
      <c r="N642" t="s">
        <v>59</v>
      </c>
      <c r="O642" t="s">
        <v>73</v>
      </c>
    </row>
    <row r="643" spans="1:15">
      <c r="A643" t="s">
        <v>741</v>
      </c>
      <c r="B643" s="3">
        <v>45968</v>
      </c>
      <c r="C643" t="s">
        <v>82</v>
      </c>
      <c r="D643" t="s">
        <v>55</v>
      </c>
      <c r="E643" t="s">
        <v>56</v>
      </c>
      <c r="F643" t="s">
        <v>63</v>
      </c>
      <c r="G643" s="6">
        <v>5</v>
      </c>
      <c r="H643" s="4">
        <v>40.18</v>
      </c>
      <c r="I643" s="4">
        <v>20.100000000000001</v>
      </c>
      <c r="J643" s="5">
        <v>0.1</v>
      </c>
      <c r="K643" s="6">
        <v>2</v>
      </c>
      <c r="L643" s="6">
        <v>4</v>
      </c>
      <c r="M643" t="s">
        <v>58</v>
      </c>
      <c r="N643" t="s">
        <v>59</v>
      </c>
      <c r="O643" t="s">
        <v>73</v>
      </c>
    </row>
    <row r="644" spans="1:15">
      <c r="A644" t="s">
        <v>742</v>
      </c>
      <c r="B644" s="3">
        <v>45938</v>
      </c>
      <c r="C644" t="s">
        <v>66</v>
      </c>
      <c r="D644" t="s">
        <v>62</v>
      </c>
      <c r="E644" t="s">
        <v>79</v>
      </c>
      <c r="F644" t="s">
        <v>85</v>
      </c>
      <c r="G644" s="6">
        <v>2</v>
      </c>
      <c r="H644" s="4">
        <v>127.97</v>
      </c>
      <c r="I644" s="4">
        <v>83.35</v>
      </c>
      <c r="J644" s="5">
        <v>0.1</v>
      </c>
      <c r="K644" s="6">
        <v>1</v>
      </c>
      <c r="L644" s="6">
        <v>4</v>
      </c>
      <c r="M644" t="s">
        <v>58</v>
      </c>
      <c r="N644" t="s">
        <v>59</v>
      </c>
      <c r="O644" t="s">
        <v>64</v>
      </c>
    </row>
    <row r="645" spans="1:15">
      <c r="A645" t="s">
        <v>743</v>
      </c>
      <c r="B645" s="3">
        <v>45862</v>
      </c>
      <c r="C645" t="s">
        <v>66</v>
      </c>
      <c r="D645" t="s">
        <v>62</v>
      </c>
      <c r="E645" t="s">
        <v>79</v>
      </c>
      <c r="F645" t="s">
        <v>80</v>
      </c>
      <c r="G645" s="6">
        <v>1</v>
      </c>
      <c r="H645" s="4">
        <v>75.680000000000007</v>
      </c>
      <c r="I645" s="4">
        <v>42.99</v>
      </c>
      <c r="J645" s="5">
        <v>0.05</v>
      </c>
      <c r="K645" s="6">
        <v>1</v>
      </c>
      <c r="L645" s="6">
        <v>4</v>
      </c>
      <c r="M645" t="s">
        <v>58</v>
      </c>
      <c r="N645" t="s">
        <v>69</v>
      </c>
      <c r="O645" t="s">
        <v>60</v>
      </c>
    </row>
    <row r="646" spans="1:15">
      <c r="A646" t="s">
        <v>744</v>
      </c>
      <c r="B646" s="3">
        <v>45961</v>
      </c>
      <c r="C646" t="s">
        <v>82</v>
      </c>
      <c r="D646" t="s">
        <v>55</v>
      </c>
      <c r="E646" t="s">
        <v>79</v>
      </c>
      <c r="F646" t="s">
        <v>92</v>
      </c>
      <c r="G646" s="6">
        <v>5</v>
      </c>
      <c r="H646" s="4">
        <v>50.42</v>
      </c>
      <c r="I646" s="4">
        <v>25.67</v>
      </c>
      <c r="J646" s="5">
        <v>0</v>
      </c>
      <c r="K646" s="6">
        <v>4</v>
      </c>
      <c r="L646" s="6">
        <v>4</v>
      </c>
      <c r="M646" t="s">
        <v>58</v>
      </c>
      <c r="N646" t="s">
        <v>59</v>
      </c>
      <c r="O646" t="s">
        <v>73</v>
      </c>
    </row>
    <row r="647" spans="1:15">
      <c r="A647" t="s">
        <v>745</v>
      </c>
      <c r="B647" s="3">
        <v>45967</v>
      </c>
      <c r="C647" t="s">
        <v>66</v>
      </c>
      <c r="D647" t="s">
        <v>129</v>
      </c>
      <c r="E647" t="s">
        <v>56</v>
      </c>
      <c r="F647" t="s">
        <v>57</v>
      </c>
      <c r="G647" s="6">
        <v>3</v>
      </c>
      <c r="H647" s="4">
        <v>111.39</v>
      </c>
      <c r="I647" s="4">
        <v>65.27</v>
      </c>
      <c r="J647" s="5">
        <v>0.15000000000000002</v>
      </c>
      <c r="K647" s="6">
        <v>3</v>
      </c>
      <c r="L647" s="6">
        <v>4</v>
      </c>
      <c r="M647" t="s">
        <v>58</v>
      </c>
      <c r="N647" t="s">
        <v>87</v>
      </c>
      <c r="O647" t="s">
        <v>64</v>
      </c>
    </row>
    <row r="648" spans="1:15">
      <c r="A648" t="s">
        <v>746</v>
      </c>
      <c r="B648" s="3">
        <v>45677</v>
      </c>
      <c r="C648" t="s">
        <v>66</v>
      </c>
      <c r="D648" t="s">
        <v>62</v>
      </c>
      <c r="E648" t="s">
        <v>56</v>
      </c>
      <c r="F648" t="s">
        <v>83</v>
      </c>
      <c r="G648" s="6">
        <v>1</v>
      </c>
      <c r="H648" s="4">
        <v>65.36</v>
      </c>
      <c r="I648" s="4">
        <v>34.76</v>
      </c>
      <c r="J648" s="5">
        <v>0.05</v>
      </c>
      <c r="K648" s="6">
        <v>3</v>
      </c>
      <c r="L648" s="6">
        <v>5</v>
      </c>
      <c r="M648" t="s">
        <v>58</v>
      </c>
      <c r="N648" t="s">
        <v>69</v>
      </c>
      <c r="O648" t="s">
        <v>64</v>
      </c>
    </row>
    <row r="649" spans="1:15">
      <c r="A649" t="s">
        <v>747</v>
      </c>
      <c r="B649" s="3">
        <v>46006</v>
      </c>
      <c r="C649" t="s">
        <v>66</v>
      </c>
      <c r="D649" t="s">
        <v>55</v>
      </c>
      <c r="E649" t="s">
        <v>67</v>
      </c>
      <c r="F649" t="s">
        <v>94</v>
      </c>
      <c r="G649" s="6">
        <v>1</v>
      </c>
      <c r="H649" s="4">
        <v>33.97</v>
      </c>
      <c r="I649" s="4">
        <v>17.48</v>
      </c>
      <c r="J649" s="5">
        <v>0.15000000000000002</v>
      </c>
      <c r="K649" s="6">
        <v>2</v>
      </c>
      <c r="L649" s="6">
        <v>5</v>
      </c>
      <c r="M649" t="s">
        <v>58</v>
      </c>
      <c r="N649" t="s">
        <v>59</v>
      </c>
      <c r="O649" t="s">
        <v>60</v>
      </c>
    </row>
    <row r="650" spans="1:15">
      <c r="A650" t="s">
        <v>748</v>
      </c>
      <c r="B650" s="3">
        <v>45982</v>
      </c>
      <c r="C650" t="s">
        <v>66</v>
      </c>
      <c r="D650" t="s">
        <v>129</v>
      </c>
      <c r="E650" t="s">
        <v>67</v>
      </c>
      <c r="F650" t="s">
        <v>71</v>
      </c>
      <c r="G650" s="6">
        <v>2</v>
      </c>
      <c r="H650" s="4">
        <v>72.650000000000006</v>
      </c>
      <c r="I650" s="4">
        <v>38.46</v>
      </c>
      <c r="J650" s="5">
        <v>0.25</v>
      </c>
      <c r="K650" s="6">
        <v>0</v>
      </c>
      <c r="L650" s="6">
        <v>4</v>
      </c>
      <c r="M650" t="s">
        <v>58</v>
      </c>
      <c r="N650" t="s">
        <v>69</v>
      </c>
      <c r="O650" t="s">
        <v>64</v>
      </c>
    </row>
    <row r="651" spans="1:15">
      <c r="A651" t="s">
        <v>749</v>
      </c>
      <c r="B651" s="3">
        <v>45814</v>
      </c>
      <c r="C651" t="s">
        <v>82</v>
      </c>
      <c r="D651" t="s">
        <v>55</v>
      </c>
      <c r="E651" t="s">
        <v>67</v>
      </c>
      <c r="F651" t="s">
        <v>107</v>
      </c>
      <c r="G651" s="6">
        <v>4</v>
      </c>
      <c r="H651" s="4">
        <v>45.34</v>
      </c>
      <c r="I651" s="4">
        <v>21.03</v>
      </c>
      <c r="J651" s="5">
        <v>0</v>
      </c>
      <c r="K651" s="6">
        <v>4</v>
      </c>
      <c r="L651" s="6">
        <v>4</v>
      </c>
      <c r="M651" t="s">
        <v>58</v>
      </c>
      <c r="N651" t="s">
        <v>59</v>
      </c>
      <c r="O651" t="s">
        <v>73</v>
      </c>
    </row>
    <row r="652" spans="1:15">
      <c r="A652" t="s">
        <v>750</v>
      </c>
      <c r="B652" s="3">
        <v>45917</v>
      </c>
      <c r="C652" t="s">
        <v>82</v>
      </c>
      <c r="D652" t="s">
        <v>55</v>
      </c>
      <c r="E652" t="s">
        <v>56</v>
      </c>
      <c r="F652" t="s">
        <v>63</v>
      </c>
      <c r="G652" s="6">
        <v>2</v>
      </c>
      <c r="H652" s="4">
        <v>39.36</v>
      </c>
      <c r="I652" s="4">
        <v>20.56</v>
      </c>
      <c r="J652" s="5">
        <v>0</v>
      </c>
      <c r="K652" s="6">
        <v>5</v>
      </c>
      <c r="L652" s="6">
        <v>5</v>
      </c>
      <c r="M652" t="s">
        <v>58</v>
      </c>
      <c r="N652" t="s">
        <v>87</v>
      </c>
      <c r="O652" t="s">
        <v>73</v>
      </c>
    </row>
    <row r="653" spans="1:15">
      <c r="A653" t="s">
        <v>751</v>
      </c>
      <c r="B653" s="3">
        <v>45810</v>
      </c>
      <c r="C653" t="s">
        <v>54</v>
      </c>
      <c r="D653" t="s">
        <v>55</v>
      </c>
      <c r="E653" t="s">
        <v>56</v>
      </c>
      <c r="F653" t="s">
        <v>89</v>
      </c>
      <c r="G653" s="6">
        <v>3</v>
      </c>
      <c r="H653" s="4">
        <v>83.08</v>
      </c>
      <c r="I653" s="4">
        <v>43.97</v>
      </c>
      <c r="J653" s="5">
        <v>0</v>
      </c>
      <c r="K653" s="6">
        <v>3</v>
      </c>
      <c r="L653" s="6">
        <v>4</v>
      </c>
      <c r="M653" t="s">
        <v>58</v>
      </c>
      <c r="N653" t="s">
        <v>59</v>
      </c>
      <c r="O653" t="s">
        <v>64</v>
      </c>
    </row>
    <row r="654" spans="1:15">
      <c r="A654" t="s">
        <v>752</v>
      </c>
      <c r="B654" s="3">
        <v>45870</v>
      </c>
      <c r="C654" t="s">
        <v>54</v>
      </c>
      <c r="D654" t="s">
        <v>62</v>
      </c>
      <c r="E654" t="s">
        <v>79</v>
      </c>
      <c r="F654" t="s">
        <v>80</v>
      </c>
      <c r="G654" s="6">
        <v>2</v>
      </c>
      <c r="H654" s="4">
        <v>74.599999999999994</v>
      </c>
      <c r="I654" s="4">
        <v>44.1</v>
      </c>
      <c r="J654" s="5">
        <v>0.05</v>
      </c>
      <c r="K654" s="6">
        <v>0</v>
      </c>
      <c r="L654" s="6">
        <v>5</v>
      </c>
      <c r="M654" t="s">
        <v>58</v>
      </c>
      <c r="N654" t="s">
        <v>69</v>
      </c>
      <c r="O654" t="s">
        <v>64</v>
      </c>
    </row>
    <row r="655" spans="1:15">
      <c r="A655" t="s">
        <v>753</v>
      </c>
      <c r="B655" s="3">
        <v>45706</v>
      </c>
      <c r="C655" t="s">
        <v>78</v>
      </c>
      <c r="D655" t="s">
        <v>62</v>
      </c>
      <c r="E655" t="s">
        <v>75</v>
      </c>
      <c r="F655" t="s">
        <v>97</v>
      </c>
      <c r="G655" s="6">
        <v>1</v>
      </c>
      <c r="H655" s="4">
        <v>89.28</v>
      </c>
      <c r="I655" s="4">
        <v>52.43</v>
      </c>
      <c r="J655" s="5">
        <v>0</v>
      </c>
      <c r="K655" s="6">
        <v>8</v>
      </c>
      <c r="L655" s="6">
        <v>3</v>
      </c>
      <c r="M655" t="s">
        <v>58</v>
      </c>
      <c r="N655" t="s">
        <v>59</v>
      </c>
      <c r="O655" t="s">
        <v>73</v>
      </c>
    </row>
    <row r="656" spans="1:15">
      <c r="A656" t="s">
        <v>754</v>
      </c>
      <c r="B656" s="3">
        <v>45820</v>
      </c>
      <c r="C656" t="s">
        <v>54</v>
      </c>
      <c r="D656" t="s">
        <v>62</v>
      </c>
      <c r="E656" t="s">
        <v>67</v>
      </c>
      <c r="F656" t="s">
        <v>94</v>
      </c>
      <c r="G656" s="6">
        <v>2</v>
      </c>
      <c r="H656" s="4">
        <v>35.78</v>
      </c>
      <c r="I656" s="4">
        <v>16.649999999999999</v>
      </c>
      <c r="J656" s="5">
        <v>0</v>
      </c>
      <c r="K656" s="6">
        <v>1</v>
      </c>
      <c r="L656" s="6">
        <v>4</v>
      </c>
      <c r="M656" t="s">
        <v>58</v>
      </c>
      <c r="N656" t="s">
        <v>69</v>
      </c>
      <c r="O656" t="s">
        <v>60</v>
      </c>
    </row>
    <row r="657" spans="1:15">
      <c r="A657" t="s">
        <v>755</v>
      </c>
      <c r="B657" s="3">
        <v>45858</v>
      </c>
      <c r="C657" t="s">
        <v>82</v>
      </c>
      <c r="D657" t="s">
        <v>62</v>
      </c>
      <c r="E657" t="s">
        <v>75</v>
      </c>
      <c r="F657" t="s">
        <v>110</v>
      </c>
      <c r="G657" s="6">
        <v>1</v>
      </c>
      <c r="H657" s="4">
        <v>160.58000000000001</v>
      </c>
      <c r="I657" s="4">
        <v>98.21</v>
      </c>
      <c r="J657" s="5">
        <v>0</v>
      </c>
      <c r="K657" s="6">
        <v>6</v>
      </c>
      <c r="L657" s="6">
        <v>4</v>
      </c>
      <c r="M657" t="s">
        <v>58</v>
      </c>
      <c r="N657" t="s">
        <v>69</v>
      </c>
      <c r="O657" t="s">
        <v>64</v>
      </c>
    </row>
    <row r="658" spans="1:15">
      <c r="A658" t="s">
        <v>756</v>
      </c>
      <c r="B658" s="3">
        <v>45801</v>
      </c>
      <c r="C658" t="s">
        <v>78</v>
      </c>
      <c r="D658" t="s">
        <v>55</v>
      </c>
      <c r="E658" t="s">
        <v>67</v>
      </c>
      <c r="F658" t="s">
        <v>94</v>
      </c>
      <c r="G658" s="6">
        <v>1</v>
      </c>
      <c r="H658" s="4">
        <v>35.549999999999997</v>
      </c>
      <c r="I658" s="4">
        <v>17.43</v>
      </c>
      <c r="J658" s="5">
        <v>0.05</v>
      </c>
      <c r="K658" s="6">
        <v>0</v>
      </c>
      <c r="L658" s="6">
        <v>5</v>
      </c>
      <c r="M658" t="s">
        <v>58</v>
      </c>
      <c r="N658" t="s">
        <v>69</v>
      </c>
      <c r="O658" t="s">
        <v>73</v>
      </c>
    </row>
    <row r="659" spans="1:15">
      <c r="A659" t="s">
        <v>757</v>
      </c>
      <c r="B659" s="3">
        <v>45727</v>
      </c>
      <c r="C659" t="s">
        <v>54</v>
      </c>
      <c r="D659" t="s">
        <v>62</v>
      </c>
      <c r="E659" t="s">
        <v>79</v>
      </c>
      <c r="F659" t="s">
        <v>85</v>
      </c>
      <c r="G659" s="6">
        <v>1</v>
      </c>
      <c r="H659" s="4">
        <v>127.23</v>
      </c>
      <c r="I659" s="4">
        <v>82.13</v>
      </c>
      <c r="J659" s="5">
        <v>0</v>
      </c>
      <c r="K659" s="6">
        <v>1</v>
      </c>
      <c r="L659" s="6">
        <v>4</v>
      </c>
      <c r="M659" t="s">
        <v>58</v>
      </c>
      <c r="N659" t="s">
        <v>59</v>
      </c>
      <c r="O659" t="s">
        <v>64</v>
      </c>
    </row>
    <row r="660" spans="1:15">
      <c r="A660" t="s">
        <v>758</v>
      </c>
      <c r="B660" s="3">
        <v>45767</v>
      </c>
      <c r="C660" t="s">
        <v>78</v>
      </c>
      <c r="D660" t="s">
        <v>62</v>
      </c>
      <c r="E660" t="s">
        <v>67</v>
      </c>
      <c r="F660" t="s">
        <v>71</v>
      </c>
      <c r="G660" s="6">
        <v>2</v>
      </c>
      <c r="H660" s="4">
        <v>69.540000000000006</v>
      </c>
      <c r="I660" s="4">
        <v>37.1</v>
      </c>
      <c r="J660" s="5">
        <v>0</v>
      </c>
      <c r="K660" s="6">
        <v>1</v>
      </c>
      <c r="L660" s="6">
        <v>5</v>
      </c>
      <c r="M660" t="s">
        <v>58</v>
      </c>
      <c r="N660" t="s">
        <v>59</v>
      </c>
      <c r="O660" t="s">
        <v>64</v>
      </c>
    </row>
    <row r="661" spans="1:15">
      <c r="A661" t="s">
        <v>759</v>
      </c>
      <c r="B661" s="3">
        <v>45911</v>
      </c>
      <c r="C661" t="s">
        <v>82</v>
      </c>
      <c r="D661" t="s">
        <v>62</v>
      </c>
      <c r="E661" t="s">
        <v>56</v>
      </c>
      <c r="F661" t="s">
        <v>63</v>
      </c>
      <c r="G661" s="6">
        <v>2</v>
      </c>
      <c r="H661" s="4">
        <v>39.79</v>
      </c>
      <c r="I661" s="4">
        <v>19.48</v>
      </c>
      <c r="J661" s="5">
        <v>0.05</v>
      </c>
      <c r="K661" s="6">
        <v>5</v>
      </c>
      <c r="L661" s="6">
        <v>5</v>
      </c>
      <c r="M661" t="s">
        <v>58</v>
      </c>
      <c r="N661" t="s">
        <v>87</v>
      </c>
      <c r="O661" t="s">
        <v>60</v>
      </c>
    </row>
    <row r="662" spans="1:15">
      <c r="A662" t="s">
        <v>760</v>
      </c>
      <c r="B662" s="3">
        <v>45861</v>
      </c>
      <c r="C662" t="s">
        <v>66</v>
      </c>
      <c r="D662" t="s">
        <v>62</v>
      </c>
      <c r="E662" t="s">
        <v>79</v>
      </c>
      <c r="F662" t="s">
        <v>92</v>
      </c>
      <c r="G662" s="6">
        <v>1</v>
      </c>
      <c r="H662" s="4">
        <v>50.04</v>
      </c>
      <c r="I662" s="4">
        <v>25.91</v>
      </c>
      <c r="J662" s="5">
        <v>0.15000000000000002</v>
      </c>
      <c r="K662" s="6">
        <v>0</v>
      </c>
      <c r="L662" s="6">
        <v>4</v>
      </c>
      <c r="M662" t="s">
        <v>58</v>
      </c>
      <c r="N662" t="s">
        <v>69</v>
      </c>
      <c r="O662" t="s">
        <v>73</v>
      </c>
    </row>
    <row r="663" spans="1:15">
      <c r="A663" t="s">
        <v>761</v>
      </c>
      <c r="B663" s="3">
        <v>46016</v>
      </c>
      <c r="C663" t="s">
        <v>66</v>
      </c>
      <c r="D663" t="s">
        <v>129</v>
      </c>
      <c r="E663" t="s">
        <v>75</v>
      </c>
      <c r="F663" t="s">
        <v>76</v>
      </c>
      <c r="G663" s="6">
        <v>3</v>
      </c>
      <c r="H663" s="4">
        <v>116.65</v>
      </c>
      <c r="I663" s="4">
        <v>73.36</v>
      </c>
      <c r="J663" s="5">
        <v>0.2</v>
      </c>
      <c r="K663" s="6">
        <v>6</v>
      </c>
      <c r="L663" s="6">
        <v>4</v>
      </c>
      <c r="M663" t="s">
        <v>58</v>
      </c>
      <c r="N663" t="s">
        <v>69</v>
      </c>
      <c r="O663" t="s">
        <v>64</v>
      </c>
    </row>
    <row r="664" spans="1:15">
      <c r="A664" t="s">
        <v>762</v>
      </c>
      <c r="B664" s="3">
        <v>46010</v>
      </c>
      <c r="C664" t="s">
        <v>78</v>
      </c>
      <c r="D664" t="s">
        <v>62</v>
      </c>
      <c r="E664" t="s">
        <v>56</v>
      </c>
      <c r="F664" t="s">
        <v>63</v>
      </c>
      <c r="G664" s="6">
        <v>1</v>
      </c>
      <c r="H664" s="4">
        <v>38.799999999999997</v>
      </c>
      <c r="I664" s="4">
        <v>20.12</v>
      </c>
      <c r="J664" s="5">
        <v>0.05</v>
      </c>
      <c r="K664" s="6">
        <v>3</v>
      </c>
      <c r="L664" s="6">
        <v>3</v>
      </c>
      <c r="M664" t="s">
        <v>126</v>
      </c>
      <c r="N664" t="s">
        <v>59</v>
      </c>
      <c r="O664" t="s">
        <v>64</v>
      </c>
    </row>
    <row r="665" spans="1:15">
      <c r="A665" t="s">
        <v>763</v>
      </c>
      <c r="B665" s="3">
        <v>45830</v>
      </c>
      <c r="C665" t="s">
        <v>54</v>
      </c>
      <c r="D665" t="s">
        <v>62</v>
      </c>
      <c r="E665" t="s">
        <v>56</v>
      </c>
      <c r="F665" t="s">
        <v>89</v>
      </c>
      <c r="G665" s="6">
        <v>2</v>
      </c>
      <c r="H665" s="4">
        <v>82.75</v>
      </c>
      <c r="I665" s="4">
        <v>46.73</v>
      </c>
      <c r="J665" s="5">
        <v>0</v>
      </c>
      <c r="K665" s="6">
        <v>2</v>
      </c>
      <c r="L665" s="6">
        <v>4</v>
      </c>
      <c r="M665" t="s">
        <v>58</v>
      </c>
      <c r="N665" t="s">
        <v>87</v>
      </c>
      <c r="O665" t="s">
        <v>64</v>
      </c>
    </row>
    <row r="666" spans="1:15">
      <c r="A666" t="s">
        <v>764</v>
      </c>
      <c r="B666" s="3">
        <v>45896</v>
      </c>
      <c r="C666" t="s">
        <v>82</v>
      </c>
      <c r="D666" t="s">
        <v>62</v>
      </c>
      <c r="E666" t="s">
        <v>79</v>
      </c>
      <c r="F666" t="s">
        <v>115</v>
      </c>
      <c r="G666" s="6">
        <v>1</v>
      </c>
      <c r="H666" s="4">
        <v>61.56</v>
      </c>
      <c r="I666" s="4">
        <v>33.700000000000003</v>
      </c>
      <c r="J666" s="5">
        <v>0</v>
      </c>
      <c r="K666" s="6">
        <v>4</v>
      </c>
      <c r="L666" s="6">
        <v>4</v>
      </c>
      <c r="M666" t="s">
        <v>58</v>
      </c>
      <c r="N666" t="s">
        <v>69</v>
      </c>
      <c r="O666" t="s">
        <v>64</v>
      </c>
    </row>
    <row r="667" spans="1:15">
      <c r="A667" t="s">
        <v>765</v>
      </c>
      <c r="B667" s="3">
        <v>45930</v>
      </c>
      <c r="C667" t="s">
        <v>54</v>
      </c>
      <c r="D667" t="s">
        <v>129</v>
      </c>
      <c r="E667" t="s">
        <v>56</v>
      </c>
      <c r="F667" t="s">
        <v>89</v>
      </c>
      <c r="G667" s="6">
        <v>5</v>
      </c>
      <c r="H667" s="4">
        <v>81.39</v>
      </c>
      <c r="I667" s="4">
        <v>44.73</v>
      </c>
      <c r="J667" s="5">
        <v>0.05</v>
      </c>
      <c r="K667" s="6">
        <v>4</v>
      </c>
      <c r="L667" s="6">
        <v>5</v>
      </c>
      <c r="M667" t="s">
        <v>58</v>
      </c>
      <c r="N667" t="s">
        <v>87</v>
      </c>
      <c r="O667" t="s">
        <v>60</v>
      </c>
    </row>
    <row r="668" spans="1:15">
      <c r="A668" t="s">
        <v>766</v>
      </c>
      <c r="B668" s="3">
        <v>45843</v>
      </c>
      <c r="C668" t="s">
        <v>66</v>
      </c>
      <c r="D668" t="s">
        <v>55</v>
      </c>
      <c r="E668" t="s">
        <v>75</v>
      </c>
      <c r="F668" t="s">
        <v>97</v>
      </c>
      <c r="G668" s="6">
        <v>2</v>
      </c>
      <c r="H668" s="4">
        <v>91.38</v>
      </c>
      <c r="I668" s="4">
        <v>54.47</v>
      </c>
      <c r="J668" s="5">
        <v>0.15000000000000002</v>
      </c>
      <c r="K668" s="6">
        <v>2</v>
      </c>
      <c r="L668" s="6">
        <v>4</v>
      </c>
      <c r="M668" t="s">
        <v>58</v>
      </c>
      <c r="N668" t="s">
        <v>69</v>
      </c>
      <c r="O668" t="s">
        <v>64</v>
      </c>
    </row>
    <row r="669" spans="1:15">
      <c r="A669" t="s">
        <v>767</v>
      </c>
      <c r="B669" s="3">
        <v>45838</v>
      </c>
      <c r="C669" t="s">
        <v>78</v>
      </c>
      <c r="D669" t="s">
        <v>62</v>
      </c>
      <c r="E669" t="s">
        <v>67</v>
      </c>
      <c r="F669" t="s">
        <v>71</v>
      </c>
      <c r="G669" s="6">
        <v>4</v>
      </c>
      <c r="H669" s="4">
        <v>70.19</v>
      </c>
      <c r="I669" s="4">
        <v>37.130000000000003</v>
      </c>
      <c r="J669" s="5">
        <v>0</v>
      </c>
      <c r="K669" s="6">
        <v>5</v>
      </c>
      <c r="L669" s="6">
        <v>5</v>
      </c>
      <c r="M669" t="s">
        <v>58</v>
      </c>
      <c r="N669" t="s">
        <v>87</v>
      </c>
      <c r="O669" t="s">
        <v>73</v>
      </c>
    </row>
    <row r="670" spans="1:15">
      <c r="A670" t="s">
        <v>768</v>
      </c>
      <c r="B670" s="3">
        <v>45906</v>
      </c>
      <c r="C670" t="s">
        <v>54</v>
      </c>
      <c r="D670" t="s">
        <v>55</v>
      </c>
      <c r="E670" t="s">
        <v>56</v>
      </c>
      <c r="F670" t="s">
        <v>83</v>
      </c>
      <c r="G670" s="6">
        <v>3</v>
      </c>
      <c r="H670" s="4">
        <v>67.12</v>
      </c>
      <c r="I670" s="4">
        <v>34.880000000000003</v>
      </c>
      <c r="J670" s="5">
        <v>0.05</v>
      </c>
      <c r="K670" s="6">
        <v>1</v>
      </c>
      <c r="L670" s="6">
        <v>5</v>
      </c>
      <c r="M670" t="s">
        <v>58</v>
      </c>
      <c r="N670" t="s">
        <v>69</v>
      </c>
      <c r="O670" t="s">
        <v>73</v>
      </c>
    </row>
    <row r="671" spans="1:15">
      <c r="A671" t="s">
        <v>769</v>
      </c>
      <c r="B671" s="3">
        <v>45843</v>
      </c>
      <c r="C671" t="s">
        <v>66</v>
      </c>
      <c r="D671" t="s">
        <v>62</v>
      </c>
      <c r="E671" t="s">
        <v>67</v>
      </c>
      <c r="F671" t="s">
        <v>71</v>
      </c>
      <c r="G671" s="6">
        <v>3</v>
      </c>
      <c r="H671" s="4">
        <v>69.77</v>
      </c>
      <c r="I671" s="4">
        <v>37.35</v>
      </c>
      <c r="J671" s="5">
        <v>0</v>
      </c>
      <c r="K671" s="6">
        <v>4</v>
      </c>
      <c r="L671" s="6">
        <v>4</v>
      </c>
      <c r="M671" t="s">
        <v>58</v>
      </c>
      <c r="N671" t="s">
        <v>69</v>
      </c>
      <c r="O671" t="s">
        <v>64</v>
      </c>
    </row>
    <row r="672" spans="1:15">
      <c r="A672" t="s">
        <v>770</v>
      </c>
      <c r="B672" s="3">
        <v>45798</v>
      </c>
      <c r="C672" t="s">
        <v>78</v>
      </c>
      <c r="D672" t="s">
        <v>62</v>
      </c>
      <c r="E672" t="s">
        <v>67</v>
      </c>
      <c r="F672" t="s">
        <v>71</v>
      </c>
      <c r="G672" s="6">
        <v>1</v>
      </c>
      <c r="H672" s="4">
        <v>72.099999999999994</v>
      </c>
      <c r="I672" s="4">
        <v>38.9</v>
      </c>
      <c r="J672" s="5">
        <v>0</v>
      </c>
      <c r="K672" s="6">
        <v>6</v>
      </c>
      <c r="L672" s="6">
        <v>4</v>
      </c>
      <c r="M672" t="s">
        <v>58</v>
      </c>
      <c r="N672" t="s">
        <v>59</v>
      </c>
      <c r="O672" t="s">
        <v>64</v>
      </c>
    </row>
    <row r="673" spans="1:15">
      <c r="A673" t="s">
        <v>771</v>
      </c>
      <c r="B673" s="3">
        <v>45761</v>
      </c>
      <c r="C673" t="s">
        <v>66</v>
      </c>
      <c r="D673" t="s">
        <v>129</v>
      </c>
      <c r="E673" t="s">
        <v>75</v>
      </c>
      <c r="F673" t="s">
        <v>146</v>
      </c>
      <c r="G673" s="6">
        <v>4</v>
      </c>
      <c r="H673" s="4">
        <v>184.62</v>
      </c>
      <c r="I673" s="4">
        <v>112.06</v>
      </c>
      <c r="J673" s="5">
        <v>0.1</v>
      </c>
      <c r="K673" s="6">
        <v>7</v>
      </c>
      <c r="L673" s="6">
        <v>3</v>
      </c>
      <c r="M673" t="s">
        <v>58</v>
      </c>
      <c r="N673" t="s">
        <v>59</v>
      </c>
      <c r="O673" t="s">
        <v>64</v>
      </c>
    </row>
    <row r="674" spans="1:15">
      <c r="A674" t="s">
        <v>772</v>
      </c>
      <c r="B674" s="3">
        <v>45829</v>
      </c>
      <c r="C674" t="s">
        <v>78</v>
      </c>
      <c r="D674" t="s">
        <v>55</v>
      </c>
      <c r="E674" t="s">
        <v>79</v>
      </c>
      <c r="F674" t="s">
        <v>92</v>
      </c>
      <c r="G674" s="6">
        <v>3</v>
      </c>
      <c r="H674" s="4">
        <v>49.75</v>
      </c>
      <c r="I674" s="4">
        <v>25.4</v>
      </c>
      <c r="J674" s="5">
        <v>0.05</v>
      </c>
      <c r="K674" s="6">
        <v>3</v>
      </c>
      <c r="L674" s="6">
        <v>5</v>
      </c>
      <c r="M674" t="s">
        <v>58</v>
      </c>
      <c r="N674" t="s">
        <v>59</v>
      </c>
      <c r="O674" t="s">
        <v>64</v>
      </c>
    </row>
    <row r="675" spans="1:15">
      <c r="A675" t="s">
        <v>773</v>
      </c>
      <c r="B675" s="3">
        <v>45908</v>
      </c>
      <c r="C675" t="s">
        <v>66</v>
      </c>
      <c r="D675" t="s">
        <v>129</v>
      </c>
      <c r="E675" t="s">
        <v>75</v>
      </c>
      <c r="F675" t="s">
        <v>97</v>
      </c>
      <c r="G675" s="6">
        <v>5</v>
      </c>
      <c r="H675" s="4">
        <v>92.65</v>
      </c>
      <c r="I675" s="4">
        <v>55.82</v>
      </c>
      <c r="J675" s="5">
        <v>0.15000000000000002</v>
      </c>
      <c r="K675" s="6">
        <v>4</v>
      </c>
      <c r="L675" s="6">
        <v>5</v>
      </c>
      <c r="M675" t="s">
        <v>58</v>
      </c>
      <c r="N675" t="s">
        <v>69</v>
      </c>
      <c r="O675" t="s">
        <v>64</v>
      </c>
    </row>
    <row r="676" spans="1:15">
      <c r="A676" t="s">
        <v>774</v>
      </c>
      <c r="B676" s="3">
        <v>46018</v>
      </c>
      <c r="C676" t="s">
        <v>66</v>
      </c>
      <c r="D676" t="s">
        <v>129</v>
      </c>
      <c r="E676" t="s">
        <v>79</v>
      </c>
      <c r="F676" t="s">
        <v>92</v>
      </c>
      <c r="G676" s="6">
        <v>5</v>
      </c>
      <c r="H676" s="4">
        <v>49.85</v>
      </c>
      <c r="I676" s="4">
        <v>26.51</v>
      </c>
      <c r="J676" s="5">
        <v>0.2</v>
      </c>
      <c r="K676" s="6">
        <v>4</v>
      </c>
      <c r="L676" s="6">
        <v>4</v>
      </c>
      <c r="M676" t="s">
        <v>58</v>
      </c>
      <c r="N676" t="s">
        <v>59</v>
      </c>
      <c r="O676" t="s">
        <v>64</v>
      </c>
    </row>
    <row r="677" spans="1:15">
      <c r="A677" t="s">
        <v>775</v>
      </c>
      <c r="B677" s="3">
        <v>45994</v>
      </c>
      <c r="C677" t="s">
        <v>66</v>
      </c>
      <c r="D677" t="s">
        <v>62</v>
      </c>
      <c r="E677" t="s">
        <v>79</v>
      </c>
      <c r="F677" t="s">
        <v>115</v>
      </c>
      <c r="G677" s="6">
        <v>1</v>
      </c>
      <c r="H677" s="4">
        <v>61.37</v>
      </c>
      <c r="I677" s="4">
        <v>33.33</v>
      </c>
      <c r="J677" s="5">
        <v>0.1</v>
      </c>
      <c r="K677" s="6">
        <v>4</v>
      </c>
      <c r="L677" s="6">
        <v>5</v>
      </c>
      <c r="M677" t="s">
        <v>58</v>
      </c>
      <c r="N677" t="s">
        <v>59</v>
      </c>
      <c r="O677" t="s">
        <v>64</v>
      </c>
    </row>
    <row r="678" spans="1:15">
      <c r="A678" t="s">
        <v>776</v>
      </c>
      <c r="B678" s="3">
        <v>45844</v>
      </c>
      <c r="C678" t="s">
        <v>66</v>
      </c>
      <c r="D678" t="s">
        <v>62</v>
      </c>
      <c r="E678" t="s">
        <v>67</v>
      </c>
      <c r="F678" t="s">
        <v>71</v>
      </c>
      <c r="G678" s="6">
        <v>1</v>
      </c>
      <c r="H678" s="4">
        <v>70.27</v>
      </c>
      <c r="I678" s="4">
        <v>36.89</v>
      </c>
      <c r="J678" s="5">
        <v>0.05</v>
      </c>
      <c r="K678" s="6">
        <v>5</v>
      </c>
      <c r="L678" s="6">
        <v>5</v>
      </c>
      <c r="M678" t="s">
        <v>58</v>
      </c>
      <c r="N678" t="s">
        <v>87</v>
      </c>
      <c r="O678" t="s">
        <v>60</v>
      </c>
    </row>
    <row r="679" spans="1:15">
      <c r="A679" t="s">
        <v>777</v>
      </c>
      <c r="B679" s="3">
        <v>45910</v>
      </c>
      <c r="C679" t="s">
        <v>78</v>
      </c>
      <c r="D679" t="s">
        <v>62</v>
      </c>
      <c r="E679" t="s">
        <v>67</v>
      </c>
      <c r="F679" t="s">
        <v>94</v>
      </c>
      <c r="G679" s="6">
        <v>3</v>
      </c>
      <c r="H679" s="4">
        <v>35.57</v>
      </c>
      <c r="I679" s="4">
        <v>17.260000000000002</v>
      </c>
      <c r="J679" s="5">
        <v>0.05</v>
      </c>
      <c r="K679" s="6">
        <v>7</v>
      </c>
      <c r="L679" s="6">
        <v>4</v>
      </c>
      <c r="M679" t="s">
        <v>58</v>
      </c>
      <c r="N679" t="s">
        <v>59</v>
      </c>
      <c r="O679" t="s">
        <v>64</v>
      </c>
    </row>
    <row r="680" spans="1:15">
      <c r="A680" t="s">
        <v>778</v>
      </c>
      <c r="B680" s="3">
        <v>45995</v>
      </c>
      <c r="C680" t="s">
        <v>66</v>
      </c>
      <c r="D680" t="s">
        <v>62</v>
      </c>
      <c r="E680" t="s">
        <v>56</v>
      </c>
      <c r="F680" t="s">
        <v>63</v>
      </c>
      <c r="G680" s="6">
        <v>1</v>
      </c>
      <c r="H680" s="4">
        <v>40.65</v>
      </c>
      <c r="I680" s="4">
        <v>19.940000000000001</v>
      </c>
      <c r="J680" s="5">
        <v>0.1</v>
      </c>
      <c r="K680" s="6">
        <v>6</v>
      </c>
      <c r="L680" s="6">
        <v>4</v>
      </c>
      <c r="M680" t="s">
        <v>58</v>
      </c>
      <c r="N680" t="s">
        <v>87</v>
      </c>
      <c r="O680" t="s">
        <v>73</v>
      </c>
    </row>
    <row r="681" spans="1:15">
      <c r="A681" t="s">
        <v>779</v>
      </c>
      <c r="B681" s="3">
        <v>45810</v>
      </c>
      <c r="C681" t="s">
        <v>66</v>
      </c>
      <c r="D681" t="s">
        <v>62</v>
      </c>
      <c r="E681" t="s">
        <v>79</v>
      </c>
      <c r="F681" t="s">
        <v>85</v>
      </c>
      <c r="G681" s="6">
        <v>1</v>
      </c>
      <c r="H681" s="4">
        <v>130.93</v>
      </c>
      <c r="I681" s="4">
        <v>86.16</v>
      </c>
      <c r="J681" s="5">
        <v>0.15000000000000002</v>
      </c>
      <c r="K681" s="6">
        <v>3</v>
      </c>
      <c r="L681" s="6">
        <v>3</v>
      </c>
      <c r="M681" t="s">
        <v>126</v>
      </c>
      <c r="N681" t="s">
        <v>87</v>
      </c>
      <c r="O681" t="s">
        <v>64</v>
      </c>
    </row>
    <row r="682" spans="1:15">
      <c r="A682" t="s">
        <v>780</v>
      </c>
      <c r="B682" s="3">
        <v>45746</v>
      </c>
      <c r="C682" t="s">
        <v>78</v>
      </c>
      <c r="D682" t="s">
        <v>55</v>
      </c>
      <c r="E682" t="s">
        <v>79</v>
      </c>
      <c r="F682" t="s">
        <v>115</v>
      </c>
      <c r="G682" s="6">
        <v>2</v>
      </c>
      <c r="H682" s="4">
        <v>59.76</v>
      </c>
      <c r="I682" s="4">
        <v>34.6</v>
      </c>
      <c r="J682" s="5">
        <v>0.1</v>
      </c>
      <c r="K682" s="6">
        <v>0</v>
      </c>
      <c r="L682" s="6">
        <v>4</v>
      </c>
      <c r="M682" t="s">
        <v>58</v>
      </c>
      <c r="N682" t="s">
        <v>69</v>
      </c>
      <c r="O682" t="s">
        <v>64</v>
      </c>
    </row>
    <row r="683" spans="1:15">
      <c r="A683" t="s">
        <v>781</v>
      </c>
      <c r="B683" s="3">
        <v>45982</v>
      </c>
      <c r="C683" t="s">
        <v>305</v>
      </c>
      <c r="D683" t="s">
        <v>129</v>
      </c>
      <c r="E683" t="s">
        <v>56</v>
      </c>
      <c r="F683" t="s">
        <v>89</v>
      </c>
      <c r="G683" s="6">
        <v>3</v>
      </c>
      <c r="H683" s="4">
        <v>79.430000000000007</v>
      </c>
      <c r="I683" s="4">
        <v>44.95</v>
      </c>
      <c r="J683" s="5">
        <v>0.1</v>
      </c>
      <c r="K683" s="6">
        <v>0</v>
      </c>
      <c r="L683" s="6">
        <v>5</v>
      </c>
      <c r="M683" t="s">
        <v>58</v>
      </c>
      <c r="N683" t="s">
        <v>69</v>
      </c>
      <c r="O683" t="s">
        <v>64</v>
      </c>
    </row>
    <row r="684" spans="1:15">
      <c r="A684" t="s">
        <v>782</v>
      </c>
      <c r="B684" s="3">
        <v>45740</v>
      </c>
      <c r="C684" t="s">
        <v>78</v>
      </c>
      <c r="D684" t="s">
        <v>62</v>
      </c>
      <c r="E684" t="s">
        <v>75</v>
      </c>
      <c r="F684" t="s">
        <v>146</v>
      </c>
      <c r="G684" s="6">
        <v>2</v>
      </c>
      <c r="H684" s="4">
        <v>177.57</v>
      </c>
      <c r="I684" s="4">
        <v>113.06</v>
      </c>
      <c r="J684" s="5">
        <v>0</v>
      </c>
      <c r="K684" s="6">
        <v>4</v>
      </c>
      <c r="L684" s="6">
        <v>4</v>
      </c>
      <c r="M684" t="s">
        <v>58</v>
      </c>
      <c r="N684" t="s">
        <v>59</v>
      </c>
      <c r="O684" t="s">
        <v>60</v>
      </c>
    </row>
    <row r="685" spans="1:15">
      <c r="A685" t="s">
        <v>783</v>
      </c>
      <c r="B685" s="3">
        <v>45897</v>
      </c>
      <c r="C685" t="s">
        <v>78</v>
      </c>
      <c r="D685" t="s">
        <v>62</v>
      </c>
      <c r="E685" t="s">
        <v>67</v>
      </c>
      <c r="F685" t="s">
        <v>68</v>
      </c>
      <c r="G685" s="6">
        <v>1</v>
      </c>
      <c r="H685" s="4">
        <v>40.69</v>
      </c>
      <c r="I685" s="4">
        <v>18.87</v>
      </c>
      <c r="J685" s="5">
        <v>0.1</v>
      </c>
      <c r="K685" s="6">
        <v>5</v>
      </c>
      <c r="L685" s="6">
        <v>4</v>
      </c>
      <c r="M685" t="s">
        <v>58</v>
      </c>
      <c r="N685" t="s">
        <v>59</v>
      </c>
      <c r="O685" t="s">
        <v>73</v>
      </c>
    </row>
    <row r="686" spans="1:15">
      <c r="A686" t="s">
        <v>784</v>
      </c>
      <c r="B686" s="3">
        <v>45829</v>
      </c>
      <c r="C686" t="s">
        <v>78</v>
      </c>
      <c r="D686" t="s">
        <v>62</v>
      </c>
      <c r="E686" t="s">
        <v>79</v>
      </c>
      <c r="F686" t="s">
        <v>80</v>
      </c>
      <c r="G686" s="6">
        <v>3</v>
      </c>
      <c r="H686" s="4">
        <v>74.97</v>
      </c>
      <c r="I686" s="4">
        <v>42.26</v>
      </c>
      <c r="J686" s="5">
        <v>0.1</v>
      </c>
      <c r="K686" s="6">
        <v>2</v>
      </c>
      <c r="L686" s="6">
        <v>5</v>
      </c>
      <c r="M686" t="s">
        <v>58</v>
      </c>
      <c r="N686" t="s">
        <v>59</v>
      </c>
      <c r="O686" t="s">
        <v>73</v>
      </c>
    </row>
    <row r="687" spans="1:15">
      <c r="A687" t="s">
        <v>785</v>
      </c>
      <c r="B687" s="3">
        <v>45915</v>
      </c>
      <c r="C687" t="s">
        <v>82</v>
      </c>
      <c r="D687" t="s">
        <v>62</v>
      </c>
      <c r="E687" t="s">
        <v>79</v>
      </c>
      <c r="F687" t="s">
        <v>115</v>
      </c>
      <c r="G687" s="6">
        <v>2</v>
      </c>
      <c r="H687" s="4">
        <v>62.01</v>
      </c>
      <c r="I687" s="4">
        <v>33.25</v>
      </c>
      <c r="J687" s="5">
        <v>0</v>
      </c>
      <c r="K687" s="6">
        <v>1</v>
      </c>
      <c r="L687" s="6">
        <v>4</v>
      </c>
      <c r="M687" t="s">
        <v>58</v>
      </c>
      <c r="N687" t="s">
        <v>69</v>
      </c>
      <c r="O687" t="s">
        <v>73</v>
      </c>
    </row>
    <row r="688" spans="1:15">
      <c r="A688" t="s">
        <v>786</v>
      </c>
      <c r="B688" s="3">
        <v>45780</v>
      </c>
      <c r="C688" t="s">
        <v>78</v>
      </c>
      <c r="D688" t="s">
        <v>55</v>
      </c>
      <c r="E688" t="s">
        <v>75</v>
      </c>
      <c r="F688" t="s">
        <v>97</v>
      </c>
      <c r="G688" s="6">
        <v>2</v>
      </c>
      <c r="H688" s="4">
        <v>91.72</v>
      </c>
      <c r="I688" s="4">
        <v>53.01</v>
      </c>
      <c r="J688" s="5">
        <v>0</v>
      </c>
      <c r="K688" s="6">
        <v>9</v>
      </c>
      <c r="L688" s="6">
        <v>3</v>
      </c>
      <c r="M688" t="s">
        <v>58</v>
      </c>
      <c r="N688" t="s">
        <v>59</v>
      </c>
      <c r="O688" t="s">
        <v>64</v>
      </c>
    </row>
    <row r="689" spans="1:15">
      <c r="A689" t="s">
        <v>787</v>
      </c>
      <c r="B689" s="3">
        <v>45928</v>
      </c>
      <c r="C689" t="s">
        <v>78</v>
      </c>
      <c r="D689" t="s">
        <v>55</v>
      </c>
      <c r="E689" t="s">
        <v>79</v>
      </c>
      <c r="F689" t="s">
        <v>115</v>
      </c>
      <c r="G689" s="6">
        <v>3</v>
      </c>
      <c r="H689" s="4">
        <v>58.84</v>
      </c>
      <c r="I689" s="4">
        <v>35.520000000000003</v>
      </c>
      <c r="J689" s="5">
        <v>0</v>
      </c>
      <c r="K689" s="6">
        <v>4</v>
      </c>
      <c r="L689" s="6">
        <v>5</v>
      </c>
      <c r="M689" t="s">
        <v>58</v>
      </c>
      <c r="N689" t="s">
        <v>69</v>
      </c>
      <c r="O689" t="s">
        <v>64</v>
      </c>
    </row>
    <row r="690" spans="1:15">
      <c r="A690" t="s">
        <v>788</v>
      </c>
      <c r="B690" s="3">
        <v>45736</v>
      </c>
      <c r="C690" t="s">
        <v>78</v>
      </c>
      <c r="D690" t="s">
        <v>62</v>
      </c>
      <c r="E690" t="s">
        <v>56</v>
      </c>
      <c r="F690" t="s">
        <v>83</v>
      </c>
      <c r="G690" s="6">
        <v>1</v>
      </c>
      <c r="H690" s="4">
        <v>65.19</v>
      </c>
      <c r="I690" s="4">
        <v>34.700000000000003</v>
      </c>
      <c r="J690" s="5">
        <v>0</v>
      </c>
      <c r="K690" s="6">
        <v>5</v>
      </c>
      <c r="L690" s="6">
        <v>5</v>
      </c>
      <c r="M690" t="s">
        <v>58</v>
      </c>
      <c r="N690" t="s">
        <v>87</v>
      </c>
      <c r="O690" t="s">
        <v>64</v>
      </c>
    </row>
    <row r="691" spans="1:15">
      <c r="A691" t="s">
        <v>789</v>
      </c>
      <c r="B691" s="3">
        <v>45847</v>
      </c>
      <c r="C691" t="s">
        <v>66</v>
      </c>
      <c r="D691" t="s">
        <v>62</v>
      </c>
      <c r="E691" t="s">
        <v>79</v>
      </c>
      <c r="F691" t="s">
        <v>115</v>
      </c>
      <c r="G691" s="6">
        <v>1</v>
      </c>
      <c r="H691" s="4">
        <v>59.38</v>
      </c>
      <c r="I691" s="4">
        <v>35.03</v>
      </c>
      <c r="J691" s="5">
        <v>0.05</v>
      </c>
      <c r="K691" s="6">
        <v>5</v>
      </c>
      <c r="L691" s="6">
        <v>4</v>
      </c>
      <c r="M691" t="s">
        <v>126</v>
      </c>
      <c r="N691" t="s">
        <v>87</v>
      </c>
      <c r="O691" t="s">
        <v>64</v>
      </c>
    </row>
    <row r="692" spans="1:15">
      <c r="A692" t="s">
        <v>790</v>
      </c>
      <c r="B692" s="3">
        <v>45998</v>
      </c>
      <c r="C692" t="s">
        <v>78</v>
      </c>
      <c r="D692" t="s">
        <v>62</v>
      </c>
      <c r="E692" t="s">
        <v>56</v>
      </c>
      <c r="F692" t="s">
        <v>57</v>
      </c>
      <c r="G692" s="6">
        <v>1</v>
      </c>
      <c r="H692" s="4">
        <v>110.36</v>
      </c>
      <c r="I692" s="4">
        <v>69.88</v>
      </c>
      <c r="J692" s="5">
        <v>0.15000000000000002</v>
      </c>
      <c r="K692" s="6">
        <v>2</v>
      </c>
      <c r="L692" s="6">
        <v>5</v>
      </c>
      <c r="M692" t="s">
        <v>58</v>
      </c>
      <c r="N692" t="s">
        <v>87</v>
      </c>
      <c r="O692" t="s">
        <v>64</v>
      </c>
    </row>
    <row r="693" spans="1:15">
      <c r="A693" t="s">
        <v>791</v>
      </c>
      <c r="B693" s="3">
        <v>45690</v>
      </c>
      <c r="C693" t="s">
        <v>54</v>
      </c>
      <c r="D693" t="s">
        <v>62</v>
      </c>
      <c r="E693" t="s">
        <v>79</v>
      </c>
      <c r="F693" t="s">
        <v>92</v>
      </c>
      <c r="G693" s="6">
        <v>2</v>
      </c>
      <c r="H693" s="4">
        <v>50.2</v>
      </c>
      <c r="I693" s="4">
        <v>26.75</v>
      </c>
      <c r="J693" s="5">
        <v>0</v>
      </c>
      <c r="K693" s="6">
        <v>1</v>
      </c>
      <c r="L693" s="6">
        <v>5</v>
      </c>
      <c r="M693" t="s">
        <v>58</v>
      </c>
      <c r="N693" t="s">
        <v>87</v>
      </c>
      <c r="O693" t="s">
        <v>64</v>
      </c>
    </row>
    <row r="694" spans="1:15">
      <c r="A694" t="s">
        <v>792</v>
      </c>
      <c r="B694" s="3">
        <v>45807</v>
      </c>
      <c r="C694" t="s">
        <v>78</v>
      </c>
      <c r="D694" t="s">
        <v>129</v>
      </c>
      <c r="E694" t="s">
        <v>793</v>
      </c>
      <c r="F694" t="s">
        <v>110</v>
      </c>
      <c r="G694" s="6">
        <v>3</v>
      </c>
      <c r="H694" s="4">
        <v>164.33</v>
      </c>
      <c r="I694" s="4">
        <v>102.83</v>
      </c>
      <c r="J694" s="5">
        <v>0.1</v>
      </c>
      <c r="K694" s="6">
        <v>3</v>
      </c>
      <c r="L694" s="6">
        <v>5</v>
      </c>
      <c r="M694" t="s">
        <v>58</v>
      </c>
      <c r="N694" t="s">
        <v>69</v>
      </c>
      <c r="O694" t="s">
        <v>60</v>
      </c>
    </row>
    <row r="695" spans="1:15">
      <c r="A695" t="s">
        <v>794</v>
      </c>
      <c r="B695" s="3">
        <v>45971</v>
      </c>
      <c r="C695" t="s">
        <v>54</v>
      </c>
      <c r="D695" t="s">
        <v>62</v>
      </c>
      <c r="E695" t="s">
        <v>56</v>
      </c>
      <c r="F695" t="s">
        <v>63</v>
      </c>
      <c r="G695" s="6">
        <v>2</v>
      </c>
      <c r="H695" s="4">
        <v>41.45</v>
      </c>
      <c r="I695" s="4">
        <v>20.22</v>
      </c>
      <c r="J695" s="5">
        <v>0.05</v>
      </c>
      <c r="K695" s="6">
        <v>3</v>
      </c>
      <c r="L695" s="6">
        <v>3</v>
      </c>
      <c r="M695" t="s">
        <v>126</v>
      </c>
      <c r="N695" t="s">
        <v>59</v>
      </c>
      <c r="O695" t="s">
        <v>64</v>
      </c>
    </row>
    <row r="696" spans="1:15">
      <c r="A696" t="s">
        <v>795</v>
      </c>
      <c r="B696" s="3">
        <v>45771</v>
      </c>
      <c r="C696" t="s">
        <v>54</v>
      </c>
      <c r="D696" t="s">
        <v>62</v>
      </c>
      <c r="E696" t="s">
        <v>56</v>
      </c>
      <c r="F696" t="s">
        <v>83</v>
      </c>
      <c r="G696" s="6">
        <v>1</v>
      </c>
      <c r="H696" s="4">
        <v>63.39</v>
      </c>
      <c r="I696" s="4">
        <v>36.67</v>
      </c>
      <c r="J696" s="5">
        <v>0</v>
      </c>
      <c r="K696" s="6">
        <v>2</v>
      </c>
      <c r="L696" s="6">
        <v>5</v>
      </c>
      <c r="M696" t="s">
        <v>58</v>
      </c>
      <c r="N696" t="s">
        <v>59</v>
      </c>
      <c r="O696" t="s">
        <v>64</v>
      </c>
    </row>
    <row r="697" spans="1:15">
      <c r="A697" t="s">
        <v>796</v>
      </c>
      <c r="B697" s="3">
        <v>45891</v>
      </c>
      <c r="C697" t="s">
        <v>66</v>
      </c>
      <c r="D697" t="s">
        <v>55</v>
      </c>
      <c r="E697" t="s">
        <v>79</v>
      </c>
      <c r="F697" t="s">
        <v>80</v>
      </c>
      <c r="G697" s="6">
        <v>5</v>
      </c>
      <c r="H697" s="4">
        <v>76.12</v>
      </c>
      <c r="I697" s="4">
        <v>43.2</v>
      </c>
      <c r="J697" s="5">
        <v>0.1</v>
      </c>
      <c r="K697" s="6">
        <v>1</v>
      </c>
      <c r="L697" s="6">
        <v>4</v>
      </c>
      <c r="M697" t="s">
        <v>58</v>
      </c>
      <c r="N697" t="s">
        <v>69</v>
      </c>
      <c r="O697" t="s">
        <v>64</v>
      </c>
    </row>
    <row r="698" spans="1:15">
      <c r="A698" t="s">
        <v>797</v>
      </c>
      <c r="B698" s="3">
        <v>45870</v>
      </c>
      <c r="C698" t="s">
        <v>78</v>
      </c>
      <c r="D698" t="s">
        <v>62</v>
      </c>
      <c r="E698" t="s">
        <v>56</v>
      </c>
      <c r="F698" t="s">
        <v>83</v>
      </c>
      <c r="G698" s="6">
        <v>2</v>
      </c>
      <c r="H698" s="4">
        <v>65.599999999999994</v>
      </c>
      <c r="I698" s="4">
        <v>35.49</v>
      </c>
      <c r="J698" s="5">
        <v>0</v>
      </c>
      <c r="K698" s="6">
        <v>1</v>
      </c>
      <c r="L698" s="6">
        <v>5</v>
      </c>
      <c r="M698" t="s">
        <v>58</v>
      </c>
      <c r="N698" t="s">
        <v>87</v>
      </c>
      <c r="O698" t="s">
        <v>60</v>
      </c>
    </row>
    <row r="699" spans="1:15">
      <c r="A699" t="s">
        <v>798</v>
      </c>
      <c r="B699" s="3">
        <v>45838</v>
      </c>
      <c r="C699" t="s">
        <v>66</v>
      </c>
      <c r="D699" t="s">
        <v>55</v>
      </c>
      <c r="E699" t="s">
        <v>79</v>
      </c>
      <c r="F699" t="s">
        <v>115</v>
      </c>
      <c r="G699" s="6">
        <v>5</v>
      </c>
      <c r="H699" s="4">
        <v>59.9</v>
      </c>
      <c r="I699" s="4">
        <v>34.549999999999997</v>
      </c>
      <c r="J699" s="5">
        <v>0.05</v>
      </c>
      <c r="K699" s="6">
        <v>2</v>
      </c>
      <c r="L699" s="6">
        <v>5</v>
      </c>
      <c r="M699" t="s">
        <v>58</v>
      </c>
      <c r="N699" t="s">
        <v>69</v>
      </c>
      <c r="O699" t="s">
        <v>73</v>
      </c>
    </row>
    <row r="700" spans="1:15">
      <c r="A700" t="s">
        <v>799</v>
      </c>
      <c r="B700" s="3">
        <v>45853</v>
      </c>
      <c r="C700" t="s">
        <v>66</v>
      </c>
      <c r="D700" t="s">
        <v>62</v>
      </c>
      <c r="E700" t="s">
        <v>56</v>
      </c>
      <c r="F700" t="s">
        <v>83</v>
      </c>
      <c r="G700" s="6">
        <v>1</v>
      </c>
      <c r="H700" s="4">
        <v>63.41</v>
      </c>
      <c r="I700" s="4">
        <v>34.58</v>
      </c>
      <c r="J700" s="5">
        <v>0.05</v>
      </c>
      <c r="K700" s="6">
        <v>3</v>
      </c>
      <c r="L700" s="6">
        <v>3</v>
      </c>
      <c r="M700" t="s">
        <v>126</v>
      </c>
      <c r="N700" t="s">
        <v>59</v>
      </c>
      <c r="O700" t="s">
        <v>60</v>
      </c>
    </row>
    <row r="701" spans="1:15">
      <c r="A701" t="s">
        <v>800</v>
      </c>
      <c r="B701" s="3">
        <v>46010</v>
      </c>
      <c r="C701" t="s">
        <v>78</v>
      </c>
      <c r="D701" t="s">
        <v>62</v>
      </c>
      <c r="E701" t="s">
        <v>75</v>
      </c>
      <c r="F701" t="s">
        <v>97</v>
      </c>
      <c r="G701" s="6">
        <v>4</v>
      </c>
      <c r="H701" s="4">
        <v>89.76</v>
      </c>
      <c r="I701" s="4">
        <v>54.73</v>
      </c>
      <c r="J701" s="5">
        <v>0.05</v>
      </c>
      <c r="K701" s="6">
        <v>2</v>
      </c>
      <c r="L701" s="6">
        <v>4</v>
      </c>
      <c r="M701" t="s">
        <v>58</v>
      </c>
      <c r="N701" t="s">
        <v>69</v>
      </c>
      <c r="O701" t="s">
        <v>64</v>
      </c>
    </row>
    <row r="702" spans="1:15">
      <c r="A702" t="s">
        <v>801</v>
      </c>
      <c r="B702" s="3">
        <v>45759</v>
      </c>
      <c r="C702" t="s">
        <v>66</v>
      </c>
      <c r="D702" t="s">
        <v>62</v>
      </c>
      <c r="E702" t="s">
        <v>56</v>
      </c>
      <c r="F702" t="s">
        <v>57</v>
      </c>
      <c r="G702" s="6">
        <v>2</v>
      </c>
      <c r="H702" s="4">
        <v>110.76</v>
      </c>
      <c r="I702" s="4">
        <v>68.47</v>
      </c>
      <c r="J702" s="5">
        <v>0.15000000000000002</v>
      </c>
      <c r="K702" s="6">
        <v>6</v>
      </c>
      <c r="L702" s="6">
        <v>4</v>
      </c>
      <c r="M702" t="s">
        <v>58</v>
      </c>
      <c r="N702" t="s">
        <v>87</v>
      </c>
      <c r="O702" t="s">
        <v>73</v>
      </c>
    </row>
    <row r="703" spans="1:15">
      <c r="A703" t="s">
        <v>802</v>
      </c>
      <c r="B703" s="3">
        <v>45798</v>
      </c>
      <c r="C703" t="s">
        <v>66</v>
      </c>
      <c r="D703" t="s">
        <v>62</v>
      </c>
      <c r="E703" t="s">
        <v>75</v>
      </c>
      <c r="F703" t="s">
        <v>76</v>
      </c>
      <c r="G703" s="6">
        <v>4</v>
      </c>
      <c r="H703" s="4">
        <v>119.58</v>
      </c>
      <c r="I703" s="4">
        <v>71.27</v>
      </c>
      <c r="J703" s="5">
        <v>0.1</v>
      </c>
      <c r="K703" s="6">
        <v>4</v>
      </c>
      <c r="L703" s="6">
        <v>3</v>
      </c>
      <c r="M703" t="s">
        <v>126</v>
      </c>
      <c r="N703" t="s">
        <v>59</v>
      </c>
      <c r="O703" t="s">
        <v>73</v>
      </c>
    </row>
    <row r="704" spans="1:15">
      <c r="A704" t="s">
        <v>803</v>
      </c>
      <c r="B704" s="3">
        <v>45993</v>
      </c>
      <c r="C704" t="s">
        <v>78</v>
      </c>
      <c r="D704" t="s">
        <v>55</v>
      </c>
      <c r="E704" t="s">
        <v>67</v>
      </c>
      <c r="F704" t="s">
        <v>94</v>
      </c>
      <c r="G704" s="6">
        <v>3</v>
      </c>
      <c r="H704" s="4">
        <v>34.479999999999997</v>
      </c>
      <c r="I704" s="4">
        <v>17.649999999999999</v>
      </c>
      <c r="J704" s="5">
        <v>0.15000000000000002</v>
      </c>
      <c r="K704" s="6">
        <v>3</v>
      </c>
      <c r="L704" s="6">
        <v>3</v>
      </c>
      <c r="M704" t="s">
        <v>126</v>
      </c>
      <c r="N704" t="s">
        <v>59</v>
      </c>
      <c r="O704" t="s">
        <v>64</v>
      </c>
    </row>
    <row r="705" spans="1:15">
      <c r="A705" t="s">
        <v>804</v>
      </c>
      <c r="B705" s="3">
        <v>45988</v>
      </c>
      <c r="C705" t="s">
        <v>82</v>
      </c>
      <c r="D705" t="s">
        <v>129</v>
      </c>
      <c r="E705" t="s">
        <v>56</v>
      </c>
      <c r="F705" t="s">
        <v>63</v>
      </c>
      <c r="G705" s="6">
        <v>4</v>
      </c>
      <c r="H705" s="4">
        <v>40.71</v>
      </c>
      <c r="I705" s="4">
        <v>20.25</v>
      </c>
      <c r="J705" s="5">
        <v>0.1</v>
      </c>
      <c r="K705" s="6">
        <v>3</v>
      </c>
      <c r="L705" s="6">
        <v>4</v>
      </c>
      <c r="M705" t="s">
        <v>58</v>
      </c>
      <c r="N705" t="s">
        <v>87</v>
      </c>
      <c r="O705" t="s">
        <v>64</v>
      </c>
    </row>
    <row r="706" spans="1:15">
      <c r="A706" t="s">
        <v>805</v>
      </c>
      <c r="B706" s="3">
        <v>45882</v>
      </c>
      <c r="C706" t="s">
        <v>54</v>
      </c>
      <c r="D706" t="s">
        <v>55</v>
      </c>
      <c r="E706" t="s">
        <v>75</v>
      </c>
      <c r="F706" t="s">
        <v>146</v>
      </c>
      <c r="G706" s="6">
        <v>2</v>
      </c>
      <c r="H706" s="4">
        <v>183.57</v>
      </c>
      <c r="I706" s="4">
        <v>114.17</v>
      </c>
      <c r="J706" s="5">
        <v>0.05</v>
      </c>
      <c r="K706" s="6">
        <v>7</v>
      </c>
      <c r="L706" s="6">
        <v>4</v>
      </c>
      <c r="M706" t="s">
        <v>58</v>
      </c>
      <c r="N706" t="s">
        <v>59</v>
      </c>
      <c r="O706" t="s">
        <v>64</v>
      </c>
    </row>
    <row r="707" spans="1:15">
      <c r="A707" t="s">
        <v>806</v>
      </c>
      <c r="B707" s="3">
        <v>45862</v>
      </c>
      <c r="C707" t="s">
        <v>66</v>
      </c>
      <c r="D707" t="s">
        <v>55</v>
      </c>
      <c r="E707" t="s">
        <v>56</v>
      </c>
      <c r="F707" t="s">
        <v>63</v>
      </c>
      <c r="G707" s="6">
        <v>2</v>
      </c>
      <c r="H707" s="4">
        <v>39.159999999999997</v>
      </c>
      <c r="I707" s="4">
        <v>20.55</v>
      </c>
      <c r="J707" s="5">
        <v>0.1</v>
      </c>
      <c r="K707" s="6">
        <v>2</v>
      </c>
      <c r="L707" s="6">
        <v>5</v>
      </c>
      <c r="M707" t="s">
        <v>58</v>
      </c>
      <c r="N707" t="s">
        <v>69</v>
      </c>
      <c r="O707" t="s">
        <v>64</v>
      </c>
    </row>
    <row r="708" spans="1:15">
      <c r="A708" t="s">
        <v>807</v>
      </c>
      <c r="B708" s="3">
        <v>45975</v>
      </c>
      <c r="C708" t="s">
        <v>66</v>
      </c>
      <c r="D708" t="s">
        <v>62</v>
      </c>
      <c r="E708" t="s">
        <v>56</v>
      </c>
      <c r="F708" t="s">
        <v>63</v>
      </c>
      <c r="G708" s="6">
        <v>2</v>
      </c>
      <c r="H708" s="4">
        <v>40.68</v>
      </c>
      <c r="I708" s="4">
        <v>20.170000000000002</v>
      </c>
      <c r="J708" s="5">
        <v>0.15000000000000002</v>
      </c>
      <c r="K708" s="6">
        <v>5</v>
      </c>
      <c r="L708" s="6">
        <v>4</v>
      </c>
      <c r="M708" t="s">
        <v>58</v>
      </c>
      <c r="N708" t="s">
        <v>59</v>
      </c>
      <c r="O708" t="s">
        <v>64</v>
      </c>
    </row>
    <row r="709" spans="1:15">
      <c r="A709" t="s">
        <v>808</v>
      </c>
      <c r="B709" s="3">
        <v>45712</v>
      </c>
      <c r="C709" t="s">
        <v>82</v>
      </c>
      <c r="D709" t="s">
        <v>62</v>
      </c>
      <c r="E709" t="s">
        <v>75</v>
      </c>
      <c r="F709" t="s">
        <v>97</v>
      </c>
      <c r="G709" s="6">
        <v>1</v>
      </c>
      <c r="H709" s="4">
        <v>88.98</v>
      </c>
      <c r="I709" s="4">
        <v>55.06</v>
      </c>
      <c r="J709" s="5">
        <v>0.1</v>
      </c>
      <c r="K709" s="6">
        <v>3</v>
      </c>
      <c r="L709" s="6">
        <v>4</v>
      </c>
      <c r="M709" t="s">
        <v>58</v>
      </c>
      <c r="N709" t="s">
        <v>59</v>
      </c>
      <c r="O709" t="s">
        <v>64</v>
      </c>
    </row>
    <row r="710" spans="1:15">
      <c r="A710" t="s">
        <v>809</v>
      </c>
      <c r="B710" s="3">
        <v>45997</v>
      </c>
      <c r="C710" t="s">
        <v>82</v>
      </c>
      <c r="D710" t="s">
        <v>62</v>
      </c>
      <c r="E710" t="s">
        <v>79</v>
      </c>
      <c r="F710" t="s">
        <v>115</v>
      </c>
      <c r="G710" s="6">
        <v>2</v>
      </c>
      <c r="H710" s="4">
        <v>61.09</v>
      </c>
      <c r="I710" s="4">
        <v>33.369999999999997</v>
      </c>
      <c r="J710" s="5">
        <v>0.1</v>
      </c>
      <c r="K710" s="6">
        <v>3</v>
      </c>
      <c r="L710" s="6">
        <v>4</v>
      </c>
      <c r="M710" t="s">
        <v>58</v>
      </c>
      <c r="N710" t="s">
        <v>59</v>
      </c>
      <c r="O710" t="s">
        <v>64</v>
      </c>
    </row>
    <row r="711" spans="1:15">
      <c r="A711" t="s">
        <v>810</v>
      </c>
      <c r="B711" s="3">
        <v>46017</v>
      </c>
      <c r="C711" t="s">
        <v>78</v>
      </c>
      <c r="D711" t="s">
        <v>62</v>
      </c>
      <c r="E711" t="s">
        <v>79</v>
      </c>
      <c r="F711" t="s">
        <v>80</v>
      </c>
      <c r="G711" s="6">
        <v>1</v>
      </c>
      <c r="H711" s="4">
        <v>76.53</v>
      </c>
      <c r="I711" s="4">
        <v>42.1</v>
      </c>
      <c r="J711" s="5">
        <v>0.05</v>
      </c>
      <c r="K711" s="6">
        <v>5</v>
      </c>
      <c r="L711" s="6">
        <v>5</v>
      </c>
      <c r="M711" t="s">
        <v>58</v>
      </c>
      <c r="N711" t="s">
        <v>59</v>
      </c>
      <c r="O711" t="s">
        <v>64</v>
      </c>
    </row>
    <row r="712" spans="1:15">
      <c r="A712" t="s">
        <v>811</v>
      </c>
      <c r="B712" s="3">
        <v>45899</v>
      </c>
      <c r="C712" t="s">
        <v>82</v>
      </c>
      <c r="D712" t="s">
        <v>129</v>
      </c>
      <c r="E712" t="s">
        <v>67</v>
      </c>
      <c r="F712" t="s">
        <v>71</v>
      </c>
      <c r="G712" s="6">
        <v>6</v>
      </c>
      <c r="H712" s="4">
        <v>68.489999999999995</v>
      </c>
      <c r="I712" s="4">
        <v>38.119999999999997</v>
      </c>
      <c r="J712" s="5">
        <v>0.05</v>
      </c>
      <c r="K712" s="6">
        <v>1</v>
      </c>
      <c r="L712" s="6">
        <v>4</v>
      </c>
      <c r="M712" t="s">
        <v>58</v>
      </c>
      <c r="N712" t="s">
        <v>69</v>
      </c>
      <c r="O712" t="s">
        <v>64</v>
      </c>
    </row>
    <row r="713" spans="1:15">
      <c r="A713" t="s">
        <v>812</v>
      </c>
      <c r="B713" s="3">
        <v>45842</v>
      </c>
      <c r="C713" t="s">
        <v>82</v>
      </c>
      <c r="D713" t="s">
        <v>129</v>
      </c>
      <c r="E713" t="s">
        <v>56</v>
      </c>
      <c r="F713" t="s">
        <v>89</v>
      </c>
      <c r="G713" s="6">
        <v>6</v>
      </c>
      <c r="H713" s="4">
        <v>82.09</v>
      </c>
      <c r="I713" s="4">
        <v>45.5</v>
      </c>
      <c r="J713" s="5">
        <v>0.05</v>
      </c>
      <c r="K713" s="6">
        <v>0</v>
      </c>
      <c r="L713" s="6">
        <v>5</v>
      </c>
      <c r="M713" t="s">
        <v>58</v>
      </c>
      <c r="N713" t="s">
        <v>69</v>
      </c>
      <c r="O713" t="s">
        <v>64</v>
      </c>
    </row>
    <row r="714" spans="1:15">
      <c r="A714" t="s">
        <v>813</v>
      </c>
      <c r="B714" s="3">
        <v>45731</v>
      </c>
      <c r="C714" t="s">
        <v>54</v>
      </c>
      <c r="D714" t="s">
        <v>62</v>
      </c>
      <c r="E714" t="s">
        <v>79</v>
      </c>
      <c r="F714" t="s">
        <v>85</v>
      </c>
      <c r="G714" s="6">
        <v>1</v>
      </c>
      <c r="H714" s="4">
        <v>130.62</v>
      </c>
      <c r="I714" s="4">
        <v>87.33</v>
      </c>
      <c r="J714" s="5">
        <v>0.05</v>
      </c>
      <c r="K714" s="6">
        <v>4</v>
      </c>
      <c r="L714" s="6">
        <v>4</v>
      </c>
      <c r="M714" t="s">
        <v>58</v>
      </c>
      <c r="N714" t="s">
        <v>59</v>
      </c>
      <c r="O714" t="s">
        <v>64</v>
      </c>
    </row>
    <row r="715" spans="1:15">
      <c r="A715" t="s">
        <v>814</v>
      </c>
      <c r="B715" s="3">
        <v>45881</v>
      </c>
      <c r="C715" t="s">
        <v>54</v>
      </c>
      <c r="D715" t="s">
        <v>55</v>
      </c>
      <c r="E715" t="s">
        <v>79</v>
      </c>
      <c r="F715" t="s">
        <v>115</v>
      </c>
      <c r="G715" s="6">
        <v>2</v>
      </c>
      <c r="H715" s="4">
        <v>62.09</v>
      </c>
      <c r="I715" s="4">
        <v>34.03</v>
      </c>
      <c r="J715" s="5">
        <v>0.05</v>
      </c>
      <c r="K715" s="6">
        <v>3</v>
      </c>
      <c r="L715" s="6">
        <v>3</v>
      </c>
      <c r="M715" t="s">
        <v>126</v>
      </c>
      <c r="N715" t="s">
        <v>87</v>
      </c>
      <c r="O715" t="s">
        <v>64</v>
      </c>
    </row>
    <row r="716" spans="1:15">
      <c r="A716" t="s">
        <v>815</v>
      </c>
      <c r="B716" s="3">
        <v>45802</v>
      </c>
      <c r="C716" t="s">
        <v>66</v>
      </c>
      <c r="D716" t="s">
        <v>55</v>
      </c>
      <c r="E716" t="s">
        <v>67</v>
      </c>
      <c r="F716" t="s">
        <v>107</v>
      </c>
      <c r="G716" s="6">
        <v>1</v>
      </c>
      <c r="H716" s="4">
        <v>45.16</v>
      </c>
      <c r="I716" s="4">
        <v>20.38</v>
      </c>
      <c r="J716" s="5">
        <v>0.05</v>
      </c>
      <c r="K716" s="6">
        <v>3</v>
      </c>
      <c r="L716" s="6">
        <v>4</v>
      </c>
      <c r="M716" t="s">
        <v>58</v>
      </c>
      <c r="N716" t="s">
        <v>69</v>
      </c>
      <c r="O716" t="s">
        <v>64</v>
      </c>
    </row>
    <row r="717" spans="1:15">
      <c r="A717" t="s">
        <v>816</v>
      </c>
      <c r="B717" s="3">
        <v>46003</v>
      </c>
      <c r="C717" t="s">
        <v>78</v>
      </c>
      <c r="D717" t="s">
        <v>62</v>
      </c>
      <c r="E717" t="s">
        <v>75</v>
      </c>
      <c r="F717" t="s">
        <v>97</v>
      </c>
      <c r="G717" s="6">
        <v>2</v>
      </c>
      <c r="H717" s="4">
        <v>87.3</v>
      </c>
      <c r="I717" s="4">
        <v>53.24</v>
      </c>
      <c r="J717" s="5">
        <v>0.1</v>
      </c>
      <c r="K717" s="6">
        <v>8</v>
      </c>
      <c r="L717" s="6">
        <v>3</v>
      </c>
      <c r="M717" t="s">
        <v>58</v>
      </c>
      <c r="N717" t="s">
        <v>59</v>
      </c>
      <c r="O717" t="s">
        <v>64</v>
      </c>
    </row>
    <row r="718" spans="1:15">
      <c r="A718" t="s">
        <v>817</v>
      </c>
      <c r="B718" s="3">
        <v>46003</v>
      </c>
      <c r="C718" t="s">
        <v>82</v>
      </c>
      <c r="D718" t="s">
        <v>62</v>
      </c>
      <c r="E718" t="s">
        <v>79</v>
      </c>
      <c r="F718" t="s">
        <v>85</v>
      </c>
      <c r="G718" s="6">
        <v>2</v>
      </c>
      <c r="H718" s="4">
        <v>127.13</v>
      </c>
      <c r="I718" s="4">
        <v>83.24</v>
      </c>
      <c r="J718" s="5">
        <v>0</v>
      </c>
      <c r="K718" s="6">
        <v>4</v>
      </c>
      <c r="L718" s="6">
        <v>4</v>
      </c>
      <c r="M718" t="s">
        <v>58</v>
      </c>
      <c r="N718" t="s">
        <v>59</v>
      </c>
      <c r="O718" t="s">
        <v>64</v>
      </c>
    </row>
    <row r="719" spans="1:15">
      <c r="A719" t="s">
        <v>818</v>
      </c>
      <c r="B719" s="3">
        <v>45706</v>
      </c>
      <c r="C719" t="s">
        <v>54</v>
      </c>
      <c r="D719" t="s">
        <v>62</v>
      </c>
      <c r="E719" t="s">
        <v>56</v>
      </c>
      <c r="F719" t="s">
        <v>57</v>
      </c>
      <c r="G719" s="6">
        <v>1</v>
      </c>
      <c r="H719" s="4">
        <v>109.32</v>
      </c>
      <c r="I719" s="4">
        <v>66.41</v>
      </c>
      <c r="J719" s="5">
        <v>0</v>
      </c>
      <c r="K719" s="6">
        <v>1</v>
      </c>
      <c r="L719" s="6">
        <v>5</v>
      </c>
      <c r="M719" t="s">
        <v>58</v>
      </c>
      <c r="N719" t="s">
        <v>59</v>
      </c>
      <c r="O719" t="s">
        <v>64</v>
      </c>
    </row>
    <row r="720" spans="1:15">
      <c r="A720" t="s">
        <v>819</v>
      </c>
      <c r="B720" s="3">
        <v>46012</v>
      </c>
      <c r="C720" t="s">
        <v>54</v>
      </c>
      <c r="D720" t="s">
        <v>55</v>
      </c>
      <c r="E720" t="s">
        <v>79</v>
      </c>
      <c r="F720" t="s">
        <v>115</v>
      </c>
      <c r="G720" s="6">
        <v>1</v>
      </c>
      <c r="H720" s="4">
        <v>60.91</v>
      </c>
      <c r="I720" s="4">
        <v>34.090000000000003</v>
      </c>
      <c r="J720" s="5">
        <v>0.1</v>
      </c>
      <c r="K720" s="6">
        <v>2</v>
      </c>
      <c r="L720" s="6">
        <v>4</v>
      </c>
      <c r="M720" t="s">
        <v>58</v>
      </c>
      <c r="N720" t="s">
        <v>69</v>
      </c>
      <c r="O720" t="s">
        <v>64</v>
      </c>
    </row>
    <row r="721" spans="1:15">
      <c r="A721" t="s">
        <v>820</v>
      </c>
      <c r="B721" s="3">
        <v>45971</v>
      </c>
      <c r="C721" t="s">
        <v>78</v>
      </c>
      <c r="D721" t="s">
        <v>62</v>
      </c>
      <c r="E721" t="s">
        <v>79</v>
      </c>
      <c r="F721" t="s">
        <v>80</v>
      </c>
      <c r="G721" s="6">
        <v>2</v>
      </c>
      <c r="H721" s="4">
        <v>76.290000000000006</v>
      </c>
      <c r="I721" s="4">
        <v>45.14</v>
      </c>
      <c r="J721" s="5">
        <v>0.1</v>
      </c>
      <c r="K721" s="6">
        <v>5</v>
      </c>
      <c r="L721" s="6">
        <v>4</v>
      </c>
      <c r="M721" t="s">
        <v>58</v>
      </c>
      <c r="N721" t="s">
        <v>69</v>
      </c>
      <c r="O721" t="s">
        <v>60</v>
      </c>
    </row>
    <row r="722" spans="1:15">
      <c r="A722" t="s">
        <v>821</v>
      </c>
      <c r="B722" s="3">
        <v>45940</v>
      </c>
      <c r="C722" t="s">
        <v>54</v>
      </c>
      <c r="D722" t="s">
        <v>129</v>
      </c>
      <c r="E722" t="s">
        <v>67</v>
      </c>
      <c r="F722" t="s">
        <v>94</v>
      </c>
      <c r="G722" s="6">
        <v>6</v>
      </c>
      <c r="H722" s="4">
        <v>34.99</v>
      </c>
      <c r="I722" s="4">
        <v>17.02</v>
      </c>
      <c r="J722" s="5">
        <v>0.05</v>
      </c>
      <c r="K722" s="6">
        <v>1</v>
      </c>
      <c r="L722" s="6">
        <v>4</v>
      </c>
      <c r="M722" t="s">
        <v>58</v>
      </c>
      <c r="N722" t="s">
        <v>69</v>
      </c>
      <c r="O722" t="s">
        <v>64</v>
      </c>
    </row>
    <row r="723" spans="1:15">
      <c r="A723" t="s">
        <v>822</v>
      </c>
      <c r="B723" s="3">
        <v>45807</v>
      </c>
      <c r="C723" t="s">
        <v>78</v>
      </c>
      <c r="D723" t="s">
        <v>55</v>
      </c>
      <c r="E723" t="s">
        <v>79</v>
      </c>
      <c r="F723" t="s">
        <v>115</v>
      </c>
      <c r="G723" s="6">
        <v>1</v>
      </c>
      <c r="H723" s="4">
        <v>59.48</v>
      </c>
      <c r="I723" s="4">
        <v>34.409999999999997</v>
      </c>
      <c r="J723" s="5">
        <v>0.1</v>
      </c>
      <c r="K723" s="6">
        <v>4</v>
      </c>
      <c r="L723" s="6">
        <v>4</v>
      </c>
      <c r="M723" t="s">
        <v>58</v>
      </c>
      <c r="N723" t="s">
        <v>59</v>
      </c>
      <c r="O723" t="s">
        <v>64</v>
      </c>
    </row>
    <row r="724" spans="1:15">
      <c r="A724" t="s">
        <v>823</v>
      </c>
      <c r="B724" s="3">
        <v>45975</v>
      </c>
      <c r="C724" t="s">
        <v>78</v>
      </c>
      <c r="D724" t="s">
        <v>55</v>
      </c>
      <c r="E724" t="s">
        <v>79</v>
      </c>
      <c r="F724" t="s">
        <v>92</v>
      </c>
      <c r="G724" s="6">
        <v>4</v>
      </c>
      <c r="H724" s="4">
        <v>48.56</v>
      </c>
      <c r="I724" s="4">
        <v>26.01</v>
      </c>
      <c r="J724" s="5">
        <v>0.15000000000000002</v>
      </c>
      <c r="K724" s="6">
        <v>2</v>
      </c>
      <c r="L724" s="6">
        <v>4</v>
      </c>
      <c r="M724" t="s">
        <v>58</v>
      </c>
      <c r="N724" t="s">
        <v>59</v>
      </c>
      <c r="O724" t="s">
        <v>64</v>
      </c>
    </row>
    <row r="725" spans="1:15">
      <c r="A725" t="s">
        <v>824</v>
      </c>
      <c r="B725" s="3">
        <v>45858</v>
      </c>
      <c r="C725" t="s">
        <v>66</v>
      </c>
      <c r="D725" t="s">
        <v>55</v>
      </c>
      <c r="E725" t="s">
        <v>56</v>
      </c>
      <c r="F725" t="s">
        <v>89</v>
      </c>
      <c r="G725" s="6">
        <v>2</v>
      </c>
      <c r="H725" s="4">
        <v>79.849999999999994</v>
      </c>
      <c r="I725" s="4">
        <v>46.57</v>
      </c>
      <c r="J725" s="5">
        <v>0.05</v>
      </c>
      <c r="K725" s="6">
        <v>0</v>
      </c>
      <c r="L725" s="6">
        <v>4</v>
      </c>
      <c r="M725" t="s">
        <v>58</v>
      </c>
      <c r="N725" t="s">
        <v>69</v>
      </c>
      <c r="O725" t="s">
        <v>64</v>
      </c>
    </row>
    <row r="726" spans="1:15">
      <c r="A726" t="s">
        <v>825</v>
      </c>
      <c r="B726" s="3">
        <v>45921</v>
      </c>
      <c r="C726" t="s">
        <v>82</v>
      </c>
      <c r="D726" t="s">
        <v>62</v>
      </c>
      <c r="E726" t="s">
        <v>79</v>
      </c>
      <c r="F726" t="s">
        <v>115</v>
      </c>
      <c r="G726" s="6">
        <v>1</v>
      </c>
      <c r="H726" s="4">
        <v>60.49</v>
      </c>
      <c r="I726" s="4">
        <v>34.14</v>
      </c>
      <c r="J726" s="5">
        <v>0.1</v>
      </c>
      <c r="K726" s="6">
        <v>4</v>
      </c>
      <c r="L726" s="6">
        <v>4</v>
      </c>
      <c r="M726" t="s">
        <v>58</v>
      </c>
      <c r="N726" t="s">
        <v>87</v>
      </c>
      <c r="O726" t="s">
        <v>64</v>
      </c>
    </row>
    <row r="727" spans="1:15">
      <c r="A727" t="s">
        <v>826</v>
      </c>
      <c r="B727" s="3">
        <v>45999</v>
      </c>
      <c r="C727" t="s">
        <v>54</v>
      </c>
      <c r="D727" t="s">
        <v>55</v>
      </c>
      <c r="E727" t="s">
        <v>56</v>
      </c>
      <c r="F727" t="s">
        <v>83</v>
      </c>
      <c r="G727" s="6">
        <v>2</v>
      </c>
      <c r="H727" s="4">
        <v>64.739999999999995</v>
      </c>
      <c r="I727" s="4">
        <v>35.83</v>
      </c>
      <c r="J727" s="5">
        <v>0</v>
      </c>
      <c r="K727" s="6">
        <v>4</v>
      </c>
      <c r="L727" s="6">
        <v>5</v>
      </c>
      <c r="M727" t="s">
        <v>58</v>
      </c>
      <c r="N727" t="s">
        <v>59</v>
      </c>
      <c r="O727" t="s">
        <v>64</v>
      </c>
    </row>
    <row r="728" spans="1:15">
      <c r="A728" t="s">
        <v>827</v>
      </c>
      <c r="B728" s="3">
        <v>45866</v>
      </c>
      <c r="C728" t="s">
        <v>66</v>
      </c>
      <c r="D728" t="s">
        <v>55</v>
      </c>
      <c r="E728" t="s">
        <v>67</v>
      </c>
      <c r="F728" t="s">
        <v>71</v>
      </c>
      <c r="G728" s="6">
        <v>1</v>
      </c>
      <c r="H728" s="4">
        <v>70.09</v>
      </c>
      <c r="I728" s="4">
        <v>38.75</v>
      </c>
      <c r="J728" s="5">
        <v>0.1</v>
      </c>
      <c r="K728" s="6">
        <v>5</v>
      </c>
      <c r="L728" s="6">
        <v>4</v>
      </c>
      <c r="M728" t="s">
        <v>58</v>
      </c>
      <c r="N728" t="s">
        <v>59</v>
      </c>
      <c r="O728" t="s">
        <v>64</v>
      </c>
    </row>
    <row r="729" spans="1:15">
      <c r="A729" t="s">
        <v>828</v>
      </c>
      <c r="B729" s="3">
        <v>45900</v>
      </c>
      <c r="C729" t="s">
        <v>82</v>
      </c>
      <c r="D729" t="s">
        <v>55</v>
      </c>
      <c r="E729" t="s">
        <v>67</v>
      </c>
      <c r="F729" t="s">
        <v>68</v>
      </c>
      <c r="G729" s="6">
        <v>2</v>
      </c>
      <c r="H729" s="4">
        <v>39.61</v>
      </c>
      <c r="I729" s="4">
        <v>18.54</v>
      </c>
      <c r="J729" s="5">
        <v>0</v>
      </c>
      <c r="K729" s="6">
        <v>0</v>
      </c>
      <c r="L729" s="6">
        <v>3</v>
      </c>
      <c r="M729" t="s">
        <v>126</v>
      </c>
      <c r="N729" t="s">
        <v>69</v>
      </c>
      <c r="O729" t="s">
        <v>64</v>
      </c>
    </row>
    <row r="730" spans="1:15">
      <c r="A730" t="s">
        <v>829</v>
      </c>
      <c r="B730" s="3">
        <v>45898</v>
      </c>
      <c r="C730" t="s">
        <v>66</v>
      </c>
      <c r="D730" t="s">
        <v>62</v>
      </c>
      <c r="E730" t="s">
        <v>75</v>
      </c>
      <c r="F730" t="s">
        <v>76</v>
      </c>
      <c r="G730" s="6">
        <v>1</v>
      </c>
      <c r="H730" s="4">
        <v>122.7</v>
      </c>
      <c r="I730" s="4">
        <v>73</v>
      </c>
      <c r="J730" s="5">
        <v>0.05</v>
      </c>
      <c r="K730" s="6">
        <v>5</v>
      </c>
      <c r="L730" s="6">
        <v>4</v>
      </c>
      <c r="M730" t="s">
        <v>58</v>
      </c>
      <c r="N730" t="s">
        <v>59</v>
      </c>
      <c r="O730" t="s">
        <v>64</v>
      </c>
    </row>
    <row r="731" spans="1:15">
      <c r="A731" t="s">
        <v>830</v>
      </c>
      <c r="B731" s="3">
        <v>46004</v>
      </c>
      <c r="C731" t="s">
        <v>66</v>
      </c>
      <c r="D731" t="s">
        <v>62</v>
      </c>
      <c r="E731" t="s">
        <v>75</v>
      </c>
      <c r="F731" t="s">
        <v>76</v>
      </c>
      <c r="G731" s="6">
        <v>1</v>
      </c>
      <c r="H731" s="4">
        <v>122.68</v>
      </c>
      <c r="I731" s="4">
        <v>73.34</v>
      </c>
      <c r="J731" s="5">
        <v>0.15000000000000002</v>
      </c>
      <c r="K731" s="6">
        <v>7</v>
      </c>
      <c r="L731" s="6">
        <v>3</v>
      </c>
      <c r="M731" t="s">
        <v>58</v>
      </c>
      <c r="N731" t="s">
        <v>59</v>
      </c>
      <c r="O731" t="s">
        <v>64</v>
      </c>
    </row>
    <row r="732" spans="1:15">
      <c r="A732" t="s">
        <v>831</v>
      </c>
      <c r="B732" s="3">
        <v>46017</v>
      </c>
      <c r="C732" t="s">
        <v>66</v>
      </c>
      <c r="D732" t="s">
        <v>62</v>
      </c>
      <c r="E732" t="s">
        <v>79</v>
      </c>
      <c r="F732" t="s">
        <v>80</v>
      </c>
      <c r="G732" s="6">
        <v>2</v>
      </c>
      <c r="H732" s="4">
        <v>73.61</v>
      </c>
      <c r="I732" s="4">
        <v>43.7</v>
      </c>
      <c r="J732" s="5">
        <v>0.15000000000000002</v>
      </c>
      <c r="K732" s="6">
        <v>1</v>
      </c>
      <c r="L732" s="6">
        <v>4</v>
      </c>
      <c r="M732" t="s">
        <v>58</v>
      </c>
      <c r="N732" t="s">
        <v>87</v>
      </c>
      <c r="O732" t="s">
        <v>73</v>
      </c>
    </row>
    <row r="733" spans="1:15">
      <c r="A733" t="s">
        <v>832</v>
      </c>
      <c r="B733" s="3">
        <v>45920</v>
      </c>
      <c r="C733" t="s">
        <v>66</v>
      </c>
      <c r="D733" t="s">
        <v>55</v>
      </c>
      <c r="E733" t="s">
        <v>227</v>
      </c>
      <c r="F733" t="s">
        <v>85</v>
      </c>
      <c r="G733" s="6">
        <v>4</v>
      </c>
      <c r="H733" s="4">
        <v>129.25</v>
      </c>
      <c r="I733" s="4">
        <v>82.28</v>
      </c>
      <c r="J733" s="5">
        <v>0.05</v>
      </c>
      <c r="K733" s="6">
        <v>4</v>
      </c>
      <c r="L733" s="6">
        <v>4</v>
      </c>
      <c r="M733" t="s">
        <v>58</v>
      </c>
      <c r="N733" t="s">
        <v>87</v>
      </c>
      <c r="O733" t="s">
        <v>64</v>
      </c>
    </row>
    <row r="734" spans="1:15">
      <c r="A734" t="s">
        <v>833</v>
      </c>
      <c r="B734" s="3">
        <v>45809</v>
      </c>
      <c r="C734" t="s">
        <v>54</v>
      </c>
      <c r="D734" t="s">
        <v>62</v>
      </c>
      <c r="E734" t="s">
        <v>56</v>
      </c>
      <c r="F734" t="s">
        <v>89</v>
      </c>
      <c r="G734" s="6">
        <v>1</v>
      </c>
      <c r="H734" s="4">
        <v>78.45</v>
      </c>
      <c r="I734" s="4">
        <v>45.86</v>
      </c>
      <c r="J734" s="5">
        <v>0.05</v>
      </c>
      <c r="K734" s="6">
        <v>1</v>
      </c>
      <c r="L734" s="6">
        <v>5</v>
      </c>
      <c r="M734" t="s">
        <v>58</v>
      </c>
      <c r="N734" t="s">
        <v>69</v>
      </c>
      <c r="O734" t="s">
        <v>64</v>
      </c>
    </row>
    <row r="735" spans="1:15">
      <c r="A735" t="s">
        <v>834</v>
      </c>
      <c r="B735" s="3">
        <v>45842</v>
      </c>
      <c r="C735" t="s">
        <v>78</v>
      </c>
      <c r="D735" t="s">
        <v>62</v>
      </c>
      <c r="E735" t="s">
        <v>67</v>
      </c>
      <c r="F735" t="s">
        <v>68</v>
      </c>
      <c r="G735" s="6">
        <v>3</v>
      </c>
      <c r="H735" s="4">
        <v>40.25</v>
      </c>
      <c r="I735" s="4">
        <v>19.329999999999998</v>
      </c>
      <c r="J735" s="5">
        <v>0</v>
      </c>
      <c r="K735" s="6">
        <v>5</v>
      </c>
      <c r="L735" s="6">
        <v>4</v>
      </c>
      <c r="M735" t="s">
        <v>58</v>
      </c>
      <c r="N735" t="s">
        <v>59</v>
      </c>
      <c r="O735" t="s">
        <v>64</v>
      </c>
    </row>
    <row r="736" spans="1:15">
      <c r="A736" t="s">
        <v>835</v>
      </c>
      <c r="B736" s="3">
        <v>45787</v>
      </c>
      <c r="C736" t="s">
        <v>54</v>
      </c>
      <c r="D736" t="s">
        <v>62</v>
      </c>
      <c r="E736" t="s">
        <v>75</v>
      </c>
      <c r="F736" t="s">
        <v>146</v>
      </c>
      <c r="G736" s="6">
        <v>1</v>
      </c>
      <c r="H736" s="4">
        <v>178.67</v>
      </c>
      <c r="I736" s="4">
        <v>119.09</v>
      </c>
      <c r="J736" s="5">
        <v>0.05</v>
      </c>
      <c r="K736" s="6">
        <v>2</v>
      </c>
      <c r="L736" s="6">
        <v>5</v>
      </c>
      <c r="M736" t="s">
        <v>58</v>
      </c>
      <c r="N736" t="s">
        <v>69</v>
      </c>
      <c r="O736" t="s">
        <v>64</v>
      </c>
    </row>
    <row r="737" spans="1:15">
      <c r="A737" t="s">
        <v>836</v>
      </c>
      <c r="B737" s="3">
        <v>45963</v>
      </c>
      <c r="C737" t="s">
        <v>78</v>
      </c>
      <c r="D737" t="s">
        <v>62</v>
      </c>
      <c r="E737" t="s">
        <v>67</v>
      </c>
      <c r="F737" t="s">
        <v>71</v>
      </c>
      <c r="G737" s="6">
        <v>1</v>
      </c>
      <c r="H737" s="4">
        <v>69.739999999999995</v>
      </c>
      <c r="I737" s="4">
        <v>37.909999999999997</v>
      </c>
      <c r="J737" s="5">
        <v>0.05</v>
      </c>
      <c r="K737" s="6">
        <v>5</v>
      </c>
      <c r="L737" s="6">
        <v>5</v>
      </c>
      <c r="M737" t="s">
        <v>58</v>
      </c>
      <c r="N737" t="s">
        <v>59</v>
      </c>
      <c r="O737" t="s">
        <v>60</v>
      </c>
    </row>
    <row r="738" spans="1:15">
      <c r="A738" t="s">
        <v>837</v>
      </c>
      <c r="B738" s="3">
        <v>45848</v>
      </c>
      <c r="C738" t="s">
        <v>78</v>
      </c>
      <c r="D738" t="s">
        <v>129</v>
      </c>
      <c r="E738" t="s">
        <v>67</v>
      </c>
      <c r="F738" t="s">
        <v>94</v>
      </c>
      <c r="G738" s="6">
        <v>10</v>
      </c>
      <c r="H738" s="4">
        <v>34.75</v>
      </c>
      <c r="I738" s="4">
        <v>17.25</v>
      </c>
      <c r="J738" s="5">
        <v>0.05</v>
      </c>
      <c r="K738" s="6">
        <v>1</v>
      </c>
      <c r="L738" s="6">
        <v>4</v>
      </c>
      <c r="M738" t="s">
        <v>58</v>
      </c>
      <c r="N738" t="s">
        <v>59</v>
      </c>
      <c r="O738" t="s">
        <v>64</v>
      </c>
    </row>
    <row r="739" spans="1:15">
      <c r="A739" t="s">
        <v>595</v>
      </c>
      <c r="B739" s="3">
        <v>45711</v>
      </c>
      <c r="C739" t="s">
        <v>66</v>
      </c>
      <c r="D739" t="s">
        <v>129</v>
      </c>
      <c r="E739" t="s">
        <v>56</v>
      </c>
      <c r="F739" t="s">
        <v>83</v>
      </c>
      <c r="G739" s="6">
        <v>5</v>
      </c>
      <c r="H739" s="4">
        <v>63.35</v>
      </c>
      <c r="I739" s="4">
        <v>36.68</v>
      </c>
      <c r="J739" s="5">
        <v>0.25</v>
      </c>
      <c r="K739" s="6">
        <v>3</v>
      </c>
      <c r="L739" s="6">
        <v>5</v>
      </c>
      <c r="M739" t="s">
        <v>58</v>
      </c>
      <c r="N739" t="s">
        <v>87</v>
      </c>
      <c r="O739" t="s">
        <v>73</v>
      </c>
    </row>
    <row r="740" spans="1:15">
      <c r="A740" t="s">
        <v>838</v>
      </c>
      <c r="B740" s="3">
        <v>45948</v>
      </c>
      <c r="C740" t="s">
        <v>78</v>
      </c>
      <c r="D740" t="s">
        <v>62</v>
      </c>
      <c r="E740" t="s">
        <v>56</v>
      </c>
      <c r="F740" t="s">
        <v>57</v>
      </c>
      <c r="G740" s="6">
        <v>1</v>
      </c>
      <c r="H740" s="4">
        <v>108.2</v>
      </c>
      <c r="I740" s="4">
        <v>67.12</v>
      </c>
      <c r="J740" s="5">
        <v>0.05</v>
      </c>
      <c r="K740" s="6">
        <v>5</v>
      </c>
      <c r="L740" s="6">
        <v>5</v>
      </c>
      <c r="M740" t="s">
        <v>58</v>
      </c>
      <c r="N740" t="s">
        <v>59</v>
      </c>
      <c r="O740" t="s">
        <v>64</v>
      </c>
    </row>
    <row r="741" spans="1:15">
      <c r="A741" t="s">
        <v>839</v>
      </c>
      <c r="B741" s="3">
        <v>45689</v>
      </c>
      <c r="C741" t="s">
        <v>78</v>
      </c>
      <c r="D741" t="s">
        <v>129</v>
      </c>
      <c r="E741" t="s">
        <v>79</v>
      </c>
      <c r="F741" t="s">
        <v>85</v>
      </c>
      <c r="G741" s="6">
        <v>6</v>
      </c>
      <c r="H741" s="4">
        <v>132.58000000000001</v>
      </c>
      <c r="I741" s="4">
        <v>82.62</v>
      </c>
      <c r="J741" s="5">
        <v>0.05</v>
      </c>
      <c r="K741" s="6">
        <v>4</v>
      </c>
      <c r="L741" s="6">
        <v>4</v>
      </c>
      <c r="M741" t="s">
        <v>58</v>
      </c>
      <c r="N741" t="s">
        <v>59</v>
      </c>
      <c r="O741" t="s">
        <v>73</v>
      </c>
    </row>
    <row r="742" spans="1:15">
      <c r="A742" t="s">
        <v>840</v>
      </c>
      <c r="B742" s="3">
        <v>45776</v>
      </c>
      <c r="C742" t="s">
        <v>66</v>
      </c>
      <c r="D742" t="s">
        <v>62</v>
      </c>
      <c r="E742" t="s">
        <v>79</v>
      </c>
      <c r="F742" t="s">
        <v>85</v>
      </c>
      <c r="G742" s="6">
        <v>1</v>
      </c>
      <c r="H742" s="4">
        <v>129.22</v>
      </c>
      <c r="I742" s="4">
        <v>88.18</v>
      </c>
      <c r="J742" s="5">
        <v>0.15000000000000002</v>
      </c>
      <c r="K742" s="6">
        <v>3</v>
      </c>
      <c r="L742" s="6">
        <v>4</v>
      </c>
      <c r="M742" t="s">
        <v>58</v>
      </c>
      <c r="N742" t="s">
        <v>59</v>
      </c>
      <c r="O742" t="s">
        <v>64</v>
      </c>
    </row>
    <row r="743" spans="1:15">
      <c r="A743" t="s">
        <v>841</v>
      </c>
      <c r="B743" s="3">
        <v>45991</v>
      </c>
      <c r="C743" t="s">
        <v>82</v>
      </c>
      <c r="D743" t="s">
        <v>62</v>
      </c>
      <c r="E743" t="s">
        <v>79</v>
      </c>
      <c r="F743" t="s">
        <v>85</v>
      </c>
      <c r="G743" s="6">
        <v>1</v>
      </c>
      <c r="H743" s="4">
        <v>133.66999999999999</v>
      </c>
      <c r="I743" s="4">
        <v>86.17</v>
      </c>
      <c r="J743" s="5">
        <v>0.1</v>
      </c>
      <c r="K743" s="6">
        <v>0</v>
      </c>
      <c r="L743" s="6">
        <v>3</v>
      </c>
      <c r="M743" t="s">
        <v>126</v>
      </c>
      <c r="N743" t="s">
        <v>69</v>
      </c>
      <c r="O743" t="s">
        <v>60</v>
      </c>
    </row>
    <row r="744" spans="1:15">
      <c r="A744" t="s">
        <v>842</v>
      </c>
      <c r="B744" s="3">
        <v>45695</v>
      </c>
      <c r="C744" t="s">
        <v>82</v>
      </c>
      <c r="D744" t="s">
        <v>62</v>
      </c>
      <c r="E744" t="s">
        <v>56</v>
      </c>
      <c r="F744" t="s">
        <v>89</v>
      </c>
      <c r="G744" s="6">
        <v>1</v>
      </c>
      <c r="H744" s="4">
        <v>78.25</v>
      </c>
      <c r="I744" s="4">
        <v>45.43</v>
      </c>
      <c r="J744" s="5">
        <v>0</v>
      </c>
      <c r="K744" s="6">
        <v>4</v>
      </c>
      <c r="L744" s="6">
        <v>4</v>
      </c>
      <c r="M744" t="s">
        <v>58</v>
      </c>
      <c r="N744" t="s">
        <v>59</v>
      </c>
      <c r="O744" t="s">
        <v>64</v>
      </c>
    </row>
    <row r="745" spans="1:15">
      <c r="A745" t="s">
        <v>843</v>
      </c>
      <c r="B745" s="3">
        <v>45905</v>
      </c>
      <c r="C745" t="s">
        <v>54</v>
      </c>
      <c r="D745" t="s">
        <v>62</v>
      </c>
      <c r="E745" t="s">
        <v>67</v>
      </c>
      <c r="F745" t="s">
        <v>68</v>
      </c>
      <c r="G745" s="6">
        <v>2</v>
      </c>
      <c r="H745" s="4">
        <v>40.25</v>
      </c>
      <c r="I745" s="4">
        <v>19.93</v>
      </c>
      <c r="J745" s="5">
        <v>0.05</v>
      </c>
      <c r="K745" s="6">
        <v>2</v>
      </c>
      <c r="L745" s="6">
        <v>5</v>
      </c>
      <c r="M745" t="s">
        <v>58</v>
      </c>
      <c r="N745" t="s">
        <v>87</v>
      </c>
      <c r="O745" t="s">
        <v>64</v>
      </c>
    </row>
    <row r="746" spans="1:15">
      <c r="A746" t="s">
        <v>844</v>
      </c>
      <c r="B746" s="3">
        <v>45833</v>
      </c>
      <c r="C746" t="s">
        <v>66</v>
      </c>
      <c r="D746" t="s">
        <v>55</v>
      </c>
      <c r="E746" t="s">
        <v>75</v>
      </c>
      <c r="F746" t="s">
        <v>97</v>
      </c>
      <c r="G746" s="6">
        <v>4</v>
      </c>
      <c r="H746" s="4">
        <v>87.85</v>
      </c>
      <c r="I746" s="4">
        <v>53.53</v>
      </c>
      <c r="J746" s="5">
        <v>0.1</v>
      </c>
      <c r="K746" s="6">
        <v>8</v>
      </c>
      <c r="L746" s="6">
        <v>3</v>
      </c>
      <c r="M746" t="s">
        <v>58</v>
      </c>
      <c r="N746" t="s">
        <v>59</v>
      </c>
      <c r="O746" t="s">
        <v>60</v>
      </c>
    </row>
    <row r="747" spans="1:15">
      <c r="A747" t="s">
        <v>845</v>
      </c>
      <c r="B747" s="3">
        <v>45995</v>
      </c>
      <c r="C747" t="s">
        <v>82</v>
      </c>
      <c r="D747" t="s">
        <v>62</v>
      </c>
      <c r="E747" t="s">
        <v>75</v>
      </c>
      <c r="F747" t="s">
        <v>97</v>
      </c>
      <c r="G747" s="6">
        <v>1</v>
      </c>
      <c r="H747" s="4">
        <v>93.16</v>
      </c>
      <c r="I747" s="4">
        <v>54.94</v>
      </c>
      <c r="J747" s="5">
        <v>0.1</v>
      </c>
      <c r="K747" s="6">
        <v>4</v>
      </c>
      <c r="L747" s="6">
        <v>4</v>
      </c>
      <c r="M747" t="s">
        <v>58</v>
      </c>
      <c r="N747" t="s">
        <v>59</v>
      </c>
      <c r="O747" t="s">
        <v>64</v>
      </c>
    </row>
    <row r="748" spans="1:15">
      <c r="A748" t="s">
        <v>846</v>
      </c>
      <c r="B748" s="3">
        <v>45908</v>
      </c>
      <c r="C748" t="s">
        <v>82</v>
      </c>
      <c r="D748" t="s">
        <v>55</v>
      </c>
      <c r="E748" t="s">
        <v>56</v>
      </c>
      <c r="F748" t="s">
        <v>89</v>
      </c>
      <c r="G748" s="6">
        <v>3</v>
      </c>
      <c r="H748" s="4">
        <v>82.05</v>
      </c>
      <c r="I748" s="4">
        <v>46.92</v>
      </c>
      <c r="J748" s="5">
        <v>0</v>
      </c>
      <c r="K748" s="6">
        <v>4</v>
      </c>
      <c r="L748" s="6">
        <v>5</v>
      </c>
      <c r="M748" t="s">
        <v>58</v>
      </c>
      <c r="N748" t="s">
        <v>87</v>
      </c>
      <c r="O748" t="s">
        <v>64</v>
      </c>
    </row>
    <row r="749" spans="1:15">
      <c r="A749" t="s">
        <v>847</v>
      </c>
      <c r="B749" s="3">
        <v>45783</v>
      </c>
      <c r="C749" t="s">
        <v>78</v>
      </c>
      <c r="D749" t="s">
        <v>62</v>
      </c>
      <c r="E749" t="s">
        <v>75</v>
      </c>
      <c r="F749" t="s">
        <v>110</v>
      </c>
      <c r="G749" s="6">
        <v>1</v>
      </c>
      <c r="H749" s="4">
        <v>158.52000000000001</v>
      </c>
      <c r="I749" s="4">
        <v>104.91</v>
      </c>
      <c r="J749" s="5">
        <v>0</v>
      </c>
      <c r="K749" s="6">
        <v>5</v>
      </c>
      <c r="L749" s="6">
        <v>5</v>
      </c>
      <c r="M749" t="s">
        <v>58</v>
      </c>
      <c r="N749" t="s">
        <v>59</v>
      </c>
      <c r="O749" t="s">
        <v>64</v>
      </c>
    </row>
    <row r="750" spans="1:15">
      <c r="A750" t="s">
        <v>848</v>
      </c>
      <c r="B750" s="3">
        <v>45979</v>
      </c>
      <c r="C750" t="s">
        <v>66</v>
      </c>
      <c r="D750" t="s">
        <v>62</v>
      </c>
      <c r="E750" t="s">
        <v>67</v>
      </c>
      <c r="F750" t="s">
        <v>71</v>
      </c>
      <c r="G750" s="6">
        <v>1</v>
      </c>
      <c r="H750" s="4">
        <v>72.06</v>
      </c>
      <c r="I750" s="4">
        <v>39.76</v>
      </c>
      <c r="J750" s="5">
        <v>0.05</v>
      </c>
      <c r="K750" s="6">
        <v>3</v>
      </c>
      <c r="L750" s="6">
        <v>4</v>
      </c>
      <c r="M750" t="s">
        <v>58</v>
      </c>
      <c r="N750" t="s">
        <v>59</v>
      </c>
      <c r="O750" t="s">
        <v>60</v>
      </c>
    </row>
    <row r="751" spans="1:15">
      <c r="A751" t="s">
        <v>849</v>
      </c>
      <c r="B751" s="3">
        <v>45700</v>
      </c>
      <c r="C751" t="s">
        <v>54</v>
      </c>
      <c r="D751" t="s">
        <v>62</v>
      </c>
      <c r="E751" t="s">
        <v>75</v>
      </c>
      <c r="F751" t="s">
        <v>76</v>
      </c>
      <c r="G751" s="6">
        <v>2</v>
      </c>
      <c r="H751" s="4">
        <v>123.7</v>
      </c>
      <c r="I751" s="4">
        <v>75.040000000000006</v>
      </c>
      <c r="J751" s="5">
        <v>0.05</v>
      </c>
      <c r="K751" s="6">
        <v>4</v>
      </c>
      <c r="L751" s="6">
        <v>5</v>
      </c>
      <c r="M751" t="s">
        <v>58</v>
      </c>
      <c r="N751" t="s">
        <v>69</v>
      </c>
      <c r="O751" t="s">
        <v>60</v>
      </c>
    </row>
    <row r="752" spans="1:15">
      <c r="A752" t="s">
        <v>850</v>
      </c>
      <c r="B752" s="3">
        <v>46021</v>
      </c>
      <c r="C752" t="s">
        <v>66</v>
      </c>
      <c r="D752" t="s">
        <v>62</v>
      </c>
      <c r="E752" t="s">
        <v>75</v>
      </c>
      <c r="F752" t="s">
        <v>76</v>
      </c>
      <c r="G752" s="6">
        <v>1</v>
      </c>
      <c r="H752" s="4">
        <v>119.68</v>
      </c>
      <c r="I752" s="4">
        <v>72.92</v>
      </c>
      <c r="J752" s="5">
        <v>0</v>
      </c>
      <c r="K752" s="6">
        <v>8</v>
      </c>
      <c r="L752" s="6">
        <v>3</v>
      </c>
      <c r="M752" t="s">
        <v>58</v>
      </c>
      <c r="N752" t="s">
        <v>59</v>
      </c>
      <c r="O752" t="s">
        <v>73</v>
      </c>
    </row>
    <row r="753" spans="1:15">
      <c r="A753" t="s">
        <v>851</v>
      </c>
      <c r="B753" s="3">
        <v>45980</v>
      </c>
      <c r="C753" t="s">
        <v>54</v>
      </c>
      <c r="D753" t="s">
        <v>62</v>
      </c>
      <c r="E753" t="s">
        <v>56</v>
      </c>
      <c r="F753" t="s">
        <v>63</v>
      </c>
      <c r="G753" s="6">
        <v>1</v>
      </c>
      <c r="H753" s="4">
        <v>39.28</v>
      </c>
      <c r="I753" s="4">
        <v>20.99</v>
      </c>
      <c r="J753" s="5">
        <v>0.15000000000000002</v>
      </c>
      <c r="K753" s="6">
        <v>2</v>
      </c>
      <c r="L753" s="6">
        <v>3</v>
      </c>
      <c r="M753" t="s">
        <v>126</v>
      </c>
      <c r="N753" t="s">
        <v>69</v>
      </c>
      <c r="O753" t="s">
        <v>64</v>
      </c>
    </row>
    <row r="754" spans="1:15">
      <c r="A754" t="s">
        <v>852</v>
      </c>
      <c r="B754" s="3">
        <v>45996</v>
      </c>
      <c r="C754" t="s">
        <v>66</v>
      </c>
      <c r="D754" t="s">
        <v>129</v>
      </c>
      <c r="E754" t="s">
        <v>79</v>
      </c>
      <c r="F754" t="s">
        <v>85</v>
      </c>
      <c r="G754" s="6">
        <v>5</v>
      </c>
      <c r="H754" s="4">
        <v>129.16999999999999</v>
      </c>
      <c r="I754" s="4">
        <v>87.71</v>
      </c>
      <c r="J754" s="5">
        <v>0.25</v>
      </c>
      <c r="K754" s="6">
        <v>7</v>
      </c>
      <c r="L754" s="6">
        <v>3</v>
      </c>
      <c r="M754" t="s">
        <v>58</v>
      </c>
      <c r="N754" t="s">
        <v>59</v>
      </c>
      <c r="O754" t="s">
        <v>64</v>
      </c>
    </row>
    <row r="755" spans="1:15">
      <c r="A755" t="s">
        <v>853</v>
      </c>
      <c r="B755" s="3">
        <v>45957</v>
      </c>
      <c r="C755" t="s">
        <v>66</v>
      </c>
      <c r="D755" t="s">
        <v>62</v>
      </c>
      <c r="E755" t="s">
        <v>67</v>
      </c>
      <c r="F755" t="s">
        <v>68</v>
      </c>
      <c r="G755" s="6">
        <v>1</v>
      </c>
      <c r="H755" s="4">
        <v>39.53</v>
      </c>
      <c r="I755" s="4">
        <v>19.41</v>
      </c>
      <c r="J755" s="5">
        <v>0</v>
      </c>
      <c r="K755" s="6">
        <v>3</v>
      </c>
      <c r="L755" s="6">
        <v>4</v>
      </c>
      <c r="M755" t="s">
        <v>58</v>
      </c>
      <c r="N755" t="s">
        <v>69</v>
      </c>
      <c r="O755" t="s">
        <v>64</v>
      </c>
    </row>
    <row r="756" spans="1:15">
      <c r="A756" t="s">
        <v>854</v>
      </c>
      <c r="B756" s="3">
        <v>46018</v>
      </c>
      <c r="C756" t="s">
        <v>82</v>
      </c>
      <c r="D756" t="s">
        <v>55</v>
      </c>
      <c r="E756" t="s">
        <v>79</v>
      </c>
      <c r="F756" t="s">
        <v>85</v>
      </c>
      <c r="G756" s="6">
        <v>2</v>
      </c>
      <c r="H756" s="4">
        <v>131.29</v>
      </c>
      <c r="I756" s="4">
        <v>85.6</v>
      </c>
      <c r="J756" s="5">
        <v>0.1</v>
      </c>
      <c r="K756" s="6">
        <v>4</v>
      </c>
      <c r="L756" s="6">
        <v>4</v>
      </c>
      <c r="M756" t="s">
        <v>58</v>
      </c>
      <c r="N756" t="s">
        <v>59</v>
      </c>
      <c r="O756" t="s">
        <v>73</v>
      </c>
    </row>
    <row r="757" spans="1:15">
      <c r="A757" t="s">
        <v>855</v>
      </c>
      <c r="B757" s="3">
        <v>45755</v>
      </c>
      <c r="C757" t="s">
        <v>66</v>
      </c>
      <c r="D757" t="s">
        <v>62</v>
      </c>
      <c r="E757" t="s">
        <v>67</v>
      </c>
      <c r="F757" t="s">
        <v>68</v>
      </c>
      <c r="G757" s="6">
        <v>3</v>
      </c>
      <c r="H757" s="4">
        <v>40.4</v>
      </c>
      <c r="I757" s="4">
        <v>19.940000000000001</v>
      </c>
      <c r="J757" s="5">
        <v>0.05</v>
      </c>
      <c r="K757" s="6">
        <v>0</v>
      </c>
      <c r="L757" s="6">
        <v>4</v>
      </c>
      <c r="M757" t="s">
        <v>58</v>
      </c>
      <c r="N757" t="s">
        <v>69</v>
      </c>
      <c r="O757" t="s">
        <v>73</v>
      </c>
    </row>
    <row r="758" spans="1:15">
      <c r="A758" t="s">
        <v>856</v>
      </c>
      <c r="B758" s="3">
        <v>45671</v>
      </c>
      <c r="C758" t="s">
        <v>66</v>
      </c>
      <c r="D758" t="s">
        <v>55</v>
      </c>
      <c r="E758" t="s">
        <v>67</v>
      </c>
      <c r="F758" t="s">
        <v>71</v>
      </c>
      <c r="G758" s="6">
        <v>4</v>
      </c>
      <c r="H758" s="4">
        <v>70.41</v>
      </c>
      <c r="I758" s="4">
        <v>37.79</v>
      </c>
      <c r="J758" s="5">
        <v>0.05</v>
      </c>
      <c r="K758" s="6">
        <v>5</v>
      </c>
      <c r="L758" s="6">
        <v>4</v>
      </c>
      <c r="M758" t="s">
        <v>58</v>
      </c>
      <c r="N758" t="s">
        <v>69</v>
      </c>
      <c r="O758" t="s">
        <v>64</v>
      </c>
    </row>
    <row r="759" spans="1:15">
      <c r="A759" t="s">
        <v>857</v>
      </c>
      <c r="B759" s="3">
        <v>45852</v>
      </c>
      <c r="C759" t="s">
        <v>54</v>
      </c>
      <c r="D759" t="s">
        <v>62</v>
      </c>
      <c r="E759" t="s">
        <v>75</v>
      </c>
      <c r="F759" t="s">
        <v>146</v>
      </c>
      <c r="G759" s="6">
        <v>1</v>
      </c>
      <c r="H759" s="4">
        <v>184.86</v>
      </c>
      <c r="I759" s="4">
        <v>117.75</v>
      </c>
      <c r="J759" s="5">
        <v>0.05</v>
      </c>
      <c r="K759" s="6">
        <v>3</v>
      </c>
      <c r="L759" s="6">
        <v>5</v>
      </c>
      <c r="M759" t="s">
        <v>58</v>
      </c>
      <c r="N759" t="s">
        <v>69</v>
      </c>
      <c r="O759" t="s">
        <v>64</v>
      </c>
    </row>
    <row r="760" spans="1:15">
      <c r="A760" t="s">
        <v>858</v>
      </c>
      <c r="B760" s="3">
        <v>46002</v>
      </c>
      <c r="C760" t="s">
        <v>78</v>
      </c>
      <c r="D760" t="s">
        <v>62</v>
      </c>
      <c r="E760" t="s">
        <v>56</v>
      </c>
      <c r="F760" t="s">
        <v>89</v>
      </c>
      <c r="G760" s="6">
        <v>1</v>
      </c>
      <c r="H760" s="4">
        <v>79.78</v>
      </c>
      <c r="I760" s="4">
        <v>46.42</v>
      </c>
      <c r="J760" s="5">
        <v>0.15000000000000002</v>
      </c>
      <c r="K760" s="6">
        <v>5</v>
      </c>
      <c r="L760" s="6">
        <v>4</v>
      </c>
      <c r="M760" t="s">
        <v>58</v>
      </c>
      <c r="N760" t="s">
        <v>69</v>
      </c>
      <c r="O760" t="s">
        <v>73</v>
      </c>
    </row>
    <row r="761" spans="1:15">
      <c r="A761" t="s">
        <v>859</v>
      </c>
      <c r="B761" s="3">
        <v>45930</v>
      </c>
      <c r="C761" t="s">
        <v>66</v>
      </c>
      <c r="D761" t="s">
        <v>55</v>
      </c>
      <c r="E761" t="s">
        <v>227</v>
      </c>
      <c r="F761" t="s">
        <v>115</v>
      </c>
      <c r="G761" s="6">
        <v>2</v>
      </c>
      <c r="H761" s="4">
        <v>60.79</v>
      </c>
      <c r="I761" s="4">
        <v>34.68</v>
      </c>
      <c r="J761" s="5">
        <v>0.05</v>
      </c>
      <c r="K761" s="6">
        <v>4</v>
      </c>
      <c r="L761" s="6">
        <v>5</v>
      </c>
      <c r="M761" t="s">
        <v>58</v>
      </c>
      <c r="N761" t="s">
        <v>69</v>
      </c>
      <c r="O761" t="s">
        <v>64</v>
      </c>
    </row>
    <row r="762" spans="1:15">
      <c r="A762" t="s">
        <v>860</v>
      </c>
      <c r="B762" s="3">
        <v>45998</v>
      </c>
      <c r="C762" t="s">
        <v>66</v>
      </c>
      <c r="D762" t="s">
        <v>129</v>
      </c>
      <c r="E762" t="s">
        <v>75</v>
      </c>
      <c r="F762" t="s">
        <v>110</v>
      </c>
      <c r="G762" s="6">
        <v>6</v>
      </c>
      <c r="H762" s="4">
        <v>163.56</v>
      </c>
      <c r="I762" s="4">
        <v>102.33</v>
      </c>
      <c r="J762" s="5">
        <v>0.1</v>
      </c>
      <c r="K762" s="6">
        <v>3</v>
      </c>
      <c r="L762" s="6">
        <v>4</v>
      </c>
      <c r="M762" t="s">
        <v>126</v>
      </c>
      <c r="N762" t="s">
        <v>87</v>
      </c>
      <c r="O762" t="s">
        <v>64</v>
      </c>
    </row>
    <row r="763" spans="1:15">
      <c r="A763" t="s">
        <v>861</v>
      </c>
      <c r="B763" s="3">
        <v>46019</v>
      </c>
      <c r="C763" t="s">
        <v>66</v>
      </c>
      <c r="D763" t="s">
        <v>55</v>
      </c>
      <c r="E763" t="s">
        <v>67</v>
      </c>
      <c r="F763" t="s">
        <v>107</v>
      </c>
      <c r="G763" s="6">
        <v>3</v>
      </c>
      <c r="H763" s="4">
        <v>45.36</v>
      </c>
      <c r="I763" s="4">
        <v>21.5</v>
      </c>
      <c r="J763" s="5">
        <v>0.2</v>
      </c>
      <c r="K763" s="6">
        <v>2</v>
      </c>
      <c r="L763" s="6">
        <v>5</v>
      </c>
      <c r="M763" t="s">
        <v>58</v>
      </c>
      <c r="N763" t="s">
        <v>87</v>
      </c>
      <c r="O763" t="s">
        <v>73</v>
      </c>
    </row>
    <row r="764" spans="1:15">
      <c r="A764" t="s">
        <v>862</v>
      </c>
      <c r="B764" s="3">
        <v>45985</v>
      </c>
      <c r="C764" t="s">
        <v>66</v>
      </c>
      <c r="D764" t="s">
        <v>62</v>
      </c>
      <c r="E764" t="s">
        <v>67</v>
      </c>
      <c r="F764" t="s">
        <v>107</v>
      </c>
      <c r="G764" s="6">
        <v>4</v>
      </c>
      <c r="H764" s="4">
        <v>45.1</v>
      </c>
      <c r="I764" s="4">
        <v>20.93</v>
      </c>
      <c r="J764" s="5">
        <v>0.15000000000000002</v>
      </c>
      <c r="K764" s="6">
        <v>3</v>
      </c>
      <c r="L764" s="6">
        <v>4</v>
      </c>
      <c r="M764" t="s">
        <v>58</v>
      </c>
      <c r="N764" t="s">
        <v>69</v>
      </c>
      <c r="O764" t="s">
        <v>64</v>
      </c>
    </row>
    <row r="765" spans="1:15">
      <c r="A765" t="s">
        <v>863</v>
      </c>
      <c r="B765" s="3">
        <v>45828</v>
      </c>
      <c r="C765" t="s">
        <v>54</v>
      </c>
      <c r="D765" t="s">
        <v>62</v>
      </c>
      <c r="E765" t="s">
        <v>79</v>
      </c>
      <c r="F765" t="s">
        <v>80</v>
      </c>
      <c r="G765" s="6">
        <v>1</v>
      </c>
      <c r="H765" s="4">
        <v>73.989999999999995</v>
      </c>
      <c r="I765" s="4">
        <v>45.15</v>
      </c>
      <c r="J765" s="5">
        <v>0</v>
      </c>
      <c r="K765" s="6">
        <v>0</v>
      </c>
      <c r="L765" s="6">
        <v>4</v>
      </c>
      <c r="M765" t="s">
        <v>58</v>
      </c>
      <c r="N765" t="s">
        <v>69</v>
      </c>
      <c r="O765" t="s">
        <v>64</v>
      </c>
    </row>
    <row r="766" spans="1:15">
      <c r="A766" t="s">
        <v>864</v>
      </c>
      <c r="B766" s="3">
        <v>45882</v>
      </c>
      <c r="C766" t="s">
        <v>78</v>
      </c>
      <c r="D766" t="s">
        <v>129</v>
      </c>
      <c r="E766" t="s">
        <v>79</v>
      </c>
      <c r="F766" t="s">
        <v>92</v>
      </c>
      <c r="G766" s="6">
        <v>8</v>
      </c>
      <c r="H766" s="4">
        <v>50.79</v>
      </c>
      <c r="I766" s="4">
        <v>25.42</v>
      </c>
      <c r="J766" s="5">
        <v>0.15000000000000002</v>
      </c>
      <c r="K766" s="6">
        <v>3</v>
      </c>
      <c r="L766" s="6">
        <v>4</v>
      </c>
      <c r="M766" t="s">
        <v>58</v>
      </c>
      <c r="N766" t="s">
        <v>87</v>
      </c>
      <c r="O766" t="s">
        <v>64</v>
      </c>
    </row>
    <row r="767" spans="1:15">
      <c r="A767" t="s">
        <v>865</v>
      </c>
      <c r="B767" s="3">
        <v>45833</v>
      </c>
      <c r="C767" t="s">
        <v>66</v>
      </c>
      <c r="D767" t="s">
        <v>55</v>
      </c>
      <c r="E767" t="s">
        <v>67</v>
      </c>
      <c r="F767" t="s">
        <v>94</v>
      </c>
      <c r="G767" s="6">
        <v>2</v>
      </c>
      <c r="H767" s="4">
        <v>35.08</v>
      </c>
      <c r="I767" s="4">
        <v>17.18</v>
      </c>
      <c r="J767" s="5">
        <v>0</v>
      </c>
      <c r="K767" s="6">
        <v>1</v>
      </c>
      <c r="L767" s="6">
        <v>4</v>
      </c>
      <c r="M767" t="s">
        <v>126</v>
      </c>
      <c r="N767" t="s">
        <v>69</v>
      </c>
      <c r="O767" t="s">
        <v>73</v>
      </c>
    </row>
    <row r="768" spans="1:15">
      <c r="A768" t="s">
        <v>866</v>
      </c>
      <c r="B768" s="3">
        <v>45709</v>
      </c>
      <c r="C768" t="s">
        <v>66</v>
      </c>
      <c r="D768" t="s">
        <v>55</v>
      </c>
      <c r="E768" t="s">
        <v>79</v>
      </c>
      <c r="F768" t="s">
        <v>85</v>
      </c>
      <c r="G768" s="6">
        <v>3</v>
      </c>
      <c r="H768" s="4">
        <v>126.58</v>
      </c>
      <c r="I768" s="4">
        <v>85.06</v>
      </c>
      <c r="J768" s="5">
        <v>0.05</v>
      </c>
      <c r="K768" s="6">
        <v>5</v>
      </c>
      <c r="L768" s="6">
        <v>4</v>
      </c>
      <c r="M768" t="s">
        <v>58</v>
      </c>
      <c r="N768" t="s">
        <v>59</v>
      </c>
      <c r="O768" t="s">
        <v>64</v>
      </c>
    </row>
    <row r="769" spans="1:15">
      <c r="A769" t="s">
        <v>867</v>
      </c>
      <c r="B769" s="3">
        <v>45950</v>
      </c>
      <c r="C769" t="s">
        <v>66</v>
      </c>
      <c r="D769" t="s">
        <v>55</v>
      </c>
      <c r="E769" t="s">
        <v>75</v>
      </c>
      <c r="F769" t="s">
        <v>110</v>
      </c>
      <c r="G769" s="6">
        <v>1</v>
      </c>
      <c r="H769" s="4">
        <v>156.27000000000001</v>
      </c>
      <c r="I769" s="4">
        <v>105.73</v>
      </c>
      <c r="J769" s="5">
        <v>0.1</v>
      </c>
      <c r="K769" s="6">
        <v>1</v>
      </c>
      <c r="L769" s="6">
        <v>5</v>
      </c>
      <c r="M769" t="s">
        <v>58</v>
      </c>
      <c r="N769" t="s">
        <v>69</v>
      </c>
      <c r="O769" t="s">
        <v>64</v>
      </c>
    </row>
    <row r="770" spans="1:15">
      <c r="A770" t="s">
        <v>868</v>
      </c>
      <c r="B770" s="3">
        <v>45986</v>
      </c>
      <c r="C770" t="s">
        <v>82</v>
      </c>
      <c r="D770" t="s">
        <v>55</v>
      </c>
      <c r="E770" t="s">
        <v>79</v>
      </c>
      <c r="F770" t="s">
        <v>80</v>
      </c>
      <c r="G770" s="6">
        <v>4</v>
      </c>
      <c r="H770" s="4">
        <v>74.89</v>
      </c>
      <c r="I770" s="4">
        <v>43.66</v>
      </c>
      <c r="J770" s="5">
        <v>0.1</v>
      </c>
      <c r="K770" s="6">
        <v>4</v>
      </c>
      <c r="L770" s="6">
        <v>4</v>
      </c>
      <c r="M770" t="s">
        <v>58</v>
      </c>
      <c r="N770" t="s">
        <v>59</v>
      </c>
      <c r="O770" t="s">
        <v>60</v>
      </c>
    </row>
    <row r="771" spans="1:15">
      <c r="A771" t="s">
        <v>869</v>
      </c>
      <c r="B771" s="3">
        <v>45862</v>
      </c>
      <c r="C771" t="s">
        <v>82</v>
      </c>
      <c r="D771" t="s">
        <v>62</v>
      </c>
      <c r="E771" t="s">
        <v>56</v>
      </c>
      <c r="F771" t="s">
        <v>63</v>
      </c>
      <c r="G771" s="6">
        <v>2</v>
      </c>
      <c r="H771" s="4">
        <v>39.549999999999997</v>
      </c>
      <c r="I771" s="4">
        <v>20.7</v>
      </c>
      <c r="J771" s="5">
        <v>0</v>
      </c>
      <c r="K771" s="6">
        <v>1</v>
      </c>
      <c r="L771" s="6">
        <v>5</v>
      </c>
      <c r="M771" t="s">
        <v>58</v>
      </c>
      <c r="N771" t="s">
        <v>69</v>
      </c>
      <c r="O771" t="s">
        <v>60</v>
      </c>
    </row>
    <row r="772" spans="1:15">
      <c r="A772" t="s">
        <v>870</v>
      </c>
      <c r="B772" s="3">
        <v>45949</v>
      </c>
      <c r="C772" t="s">
        <v>54</v>
      </c>
      <c r="D772" t="s">
        <v>62</v>
      </c>
      <c r="E772" t="s">
        <v>67</v>
      </c>
      <c r="F772" t="s">
        <v>94</v>
      </c>
      <c r="G772" s="6">
        <v>2</v>
      </c>
      <c r="H772" s="4">
        <v>36.28</v>
      </c>
      <c r="I772" s="4">
        <v>17.809999999999999</v>
      </c>
      <c r="J772" s="5">
        <v>0.1</v>
      </c>
      <c r="K772" s="6">
        <v>2</v>
      </c>
      <c r="L772" s="6">
        <v>4</v>
      </c>
      <c r="M772" t="s">
        <v>58</v>
      </c>
      <c r="N772" t="s">
        <v>59</v>
      </c>
      <c r="O772" t="s">
        <v>64</v>
      </c>
    </row>
    <row r="773" spans="1:15">
      <c r="A773" t="s">
        <v>871</v>
      </c>
      <c r="B773" s="3">
        <v>45783</v>
      </c>
      <c r="C773" t="s">
        <v>54</v>
      </c>
      <c r="D773" t="s">
        <v>62</v>
      </c>
      <c r="E773" t="s">
        <v>67</v>
      </c>
      <c r="F773" t="s">
        <v>71</v>
      </c>
      <c r="G773" s="6">
        <v>1</v>
      </c>
      <c r="H773" s="4">
        <v>69.989999999999995</v>
      </c>
      <c r="I773" s="4">
        <v>38.4</v>
      </c>
      <c r="J773" s="5">
        <v>0.05</v>
      </c>
      <c r="K773" s="6">
        <v>2</v>
      </c>
      <c r="L773" s="6">
        <v>5</v>
      </c>
      <c r="M773" t="s">
        <v>58</v>
      </c>
      <c r="N773" t="s">
        <v>59</v>
      </c>
      <c r="O773" t="s">
        <v>64</v>
      </c>
    </row>
    <row r="774" spans="1:15">
      <c r="A774" t="s">
        <v>872</v>
      </c>
      <c r="B774" s="3">
        <v>45931</v>
      </c>
      <c r="C774" t="s">
        <v>66</v>
      </c>
      <c r="D774" t="s">
        <v>62</v>
      </c>
      <c r="E774" t="s">
        <v>79</v>
      </c>
      <c r="F774" t="s">
        <v>80</v>
      </c>
      <c r="G774" s="6">
        <v>3</v>
      </c>
      <c r="H774" s="4">
        <v>74.16</v>
      </c>
      <c r="I774" s="4">
        <v>44.45</v>
      </c>
      <c r="J774" s="5">
        <v>0.15000000000000002</v>
      </c>
      <c r="K774" s="6">
        <v>0</v>
      </c>
      <c r="L774" s="6">
        <v>5</v>
      </c>
      <c r="M774" t="s">
        <v>58</v>
      </c>
      <c r="N774" t="s">
        <v>69</v>
      </c>
      <c r="O774" t="s">
        <v>60</v>
      </c>
    </row>
    <row r="775" spans="1:15">
      <c r="A775" t="s">
        <v>873</v>
      </c>
      <c r="B775" s="3">
        <v>45867</v>
      </c>
      <c r="C775" t="s">
        <v>82</v>
      </c>
      <c r="D775" t="s">
        <v>62</v>
      </c>
      <c r="E775" t="s">
        <v>75</v>
      </c>
      <c r="F775" t="s">
        <v>76</v>
      </c>
      <c r="G775" s="6">
        <v>1</v>
      </c>
      <c r="H775" s="4">
        <v>119.05</v>
      </c>
      <c r="I775" s="4">
        <v>71.709999999999994</v>
      </c>
      <c r="J775" s="5">
        <v>0</v>
      </c>
      <c r="K775" s="6">
        <v>5</v>
      </c>
      <c r="L775" s="6">
        <v>5</v>
      </c>
      <c r="M775" t="s">
        <v>58</v>
      </c>
      <c r="N775" t="s">
        <v>59</v>
      </c>
      <c r="O775" t="s">
        <v>64</v>
      </c>
    </row>
    <row r="776" spans="1:15">
      <c r="A776" t="s">
        <v>874</v>
      </c>
      <c r="B776" s="3">
        <v>45889</v>
      </c>
      <c r="C776" t="s">
        <v>66</v>
      </c>
      <c r="D776" t="s">
        <v>62</v>
      </c>
      <c r="E776" t="s">
        <v>75</v>
      </c>
      <c r="F776" t="s">
        <v>97</v>
      </c>
      <c r="G776" s="6">
        <v>2</v>
      </c>
      <c r="H776" s="4">
        <v>93.42</v>
      </c>
      <c r="I776" s="4">
        <v>54.95</v>
      </c>
      <c r="J776" s="5">
        <v>0.2</v>
      </c>
      <c r="K776" s="6">
        <v>1</v>
      </c>
      <c r="L776" s="6">
        <v>4</v>
      </c>
      <c r="M776" t="s">
        <v>58</v>
      </c>
      <c r="N776" t="s">
        <v>69</v>
      </c>
      <c r="O776" t="s">
        <v>73</v>
      </c>
    </row>
    <row r="777" spans="1:15">
      <c r="A777" t="s">
        <v>875</v>
      </c>
      <c r="B777" s="3">
        <v>45856</v>
      </c>
      <c r="C777" t="s">
        <v>66</v>
      </c>
      <c r="D777" t="s">
        <v>55</v>
      </c>
      <c r="E777" t="s">
        <v>56</v>
      </c>
      <c r="F777" t="s">
        <v>63</v>
      </c>
      <c r="G777" s="6">
        <v>1</v>
      </c>
      <c r="H777" s="4">
        <v>38.97</v>
      </c>
      <c r="I777" s="4">
        <v>20.98</v>
      </c>
      <c r="J777" s="5">
        <v>0.1</v>
      </c>
      <c r="K777" s="6">
        <v>5</v>
      </c>
      <c r="L777" s="6">
        <v>4</v>
      </c>
      <c r="M777" t="s">
        <v>58</v>
      </c>
      <c r="N777" t="s">
        <v>87</v>
      </c>
      <c r="O777" t="s">
        <v>64</v>
      </c>
    </row>
    <row r="778" spans="1:15">
      <c r="A778" t="s">
        <v>876</v>
      </c>
      <c r="B778" s="3">
        <v>46000</v>
      </c>
      <c r="C778" t="s">
        <v>54</v>
      </c>
      <c r="D778" t="s">
        <v>62</v>
      </c>
      <c r="E778" t="s">
        <v>75</v>
      </c>
      <c r="F778" t="s">
        <v>110</v>
      </c>
      <c r="G778" s="6">
        <v>2</v>
      </c>
      <c r="H778" s="4">
        <v>157.84</v>
      </c>
      <c r="I778" s="4">
        <v>103.48</v>
      </c>
      <c r="J778" s="5">
        <v>0.05</v>
      </c>
      <c r="K778" s="6">
        <v>6</v>
      </c>
      <c r="L778" s="6">
        <v>3</v>
      </c>
      <c r="M778" t="s">
        <v>58</v>
      </c>
      <c r="N778" t="s">
        <v>59</v>
      </c>
      <c r="O778" t="s">
        <v>60</v>
      </c>
    </row>
    <row r="779" spans="1:15">
      <c r="A779" t="s">
        <v>877</v>
      </c>
      <c r="B779" s="3">
        <v>45944</v>
      </c>
      <c r="C779" t="s">
        <v>54</v>
      </c>
      <c r="D779" t="s">
        <v>62</v>
      </c>
      <c r="E779" t="s">
        <v>56</v>
      </c>
      <c r="F779" t="s">
        <v>57</v>
      </c>
      <c r="G779" s="6">
        <v>2</v>
      </c>
      <c r="H779" s="4">
        <v>108.53</v>
      </c>
      <c r="I779" s="4">
        <v>67.16</v>
      </c>
      <c r="J779" s="5">
        <v>0</v>
      </c>
      <c r="K779" s="6">
        <v>7</v>
      </c>
      <c r="L779" s="6">
        <v>4</v>
      </c>
      <c r="M779" t="s">
        <v>58</v>
      </c>
      <c r="N779" t="s">
        <v>59</v>
      </c>
      <c r="O779" t="s">
        <v>64</v>
      </c>
    </row>
    <row r="780" spans="1:15">
      <c r="A780" t="s">
        <v>878</v>
      </c>
      <c r="B780" s="3">
        <v>46015</v>
      </c>
      <c r="C780" t="s">
        <v>66</v>
      </c>
      <c r="D780" t="s">
        <v>62</v>
      </c>
      <c r="E780" t="s">
        <v>79</v>
      </c>
      <c r="F780" t="s">
        <v>80</v>
      </c>
      <c r="G780" s="6">
        <v>1</v>
      </c>
      <c r="H780" s="4">
        <v>75</v>
      </c>
      <c r="I780" s="4">
        <v>43.65</v>
      </c>
      <c r="J780" s="5">
        <v>0.2</v>
      </c>
      <c r="K780" s="6">
        <v>2</v>
      </c>
      <c r="L780" s="6">
        <v>5</v>
      </c>
      <c r="M780" t="s">
        <v>58</v>
      </c>
      <c r="N780" t="s">
        <v>69</v>
      </c>
      <c r="O780" t="s">
        <v>64</v>
      </c>
    </row>
    <row r="781" spans="1:15">
      <c r="A781" t="s">
        <v>879</v>
      </c>
      <c r="B781" s="3">
        <v>45912</v>
      </c>
      <c r="C781" t="s">
        <v>78</v>
      </c>
      <c r="D781" t="s">
        <v>62</v>
      </c>
      <c r="E781" t="s">
        <v>79</v>
      </c>
      <c r="F781" t="s">
        <v>85</v>
      </c>
      <c r="G781" s="6">
        <v>3</v>
      </c>
      <c r="H781" s="4">
        <v>130.33000000000001</v>
      </c>
      <c r="I781" s="4">
        <v>86.54</v>
      </c>
      <c r="J781" s="5">
        <v>0.1</v>
      </c>
      <c r="K781" s="6">
        <v>5</v>
      </c>
      <c r="L781" s="6">
        <v>3</v>
      </c>
      <c r="M781" t="s">
        <v>126</v>
      </c>
      <c r="N781" t="s">
        <v>59</v>
      </c>
      <c r="O781" t="s">
        <v>64</v>
      </c>
    </row>
    <row r="782" spans="1:15">
      <c r="A782" t="s">
        <v>880</v>
      </c>
      <c r="B782" s="3">
        <v>45990</v>
      </c>
      <c r="C782" t="s">
        <v>54</v>
      </c>
      <c r="D782" t="s">
        <v>55</v>
      </c>
      <c r="E782" t="s">
        <v>79</v>
      </c>
      <c r="F782" t="s">
        <v>85</v>
      </c>
      <c r="G782" s="6">
        <v>2</v>
      </c>
      <c r="H782" s="4">
        <v>129.29</v>
      </c>
      <c r="I782" s="4">
        <v>87.89</v>
      </c>
      <c r="J782" s="5">
        <v>0.15000000000000002</v>
      </c>
      <c r="K782" s="6">
        <v>0</v>
      </c>
      <c r="L782" s="6">
        <v>4</v>
      </c>
      <c r="M782" t="s">
        <v>58</v>
      </c>
      <c r="N782" t="s">
        <v>69</v>
      </c>
      <c r="O782" t="s">
        <v>60</v>
      </c>
    </row>
    <row r="783" spans="1:15">
      <c r="A783" t="s">
        <v>881</v>
      </c>
      <c r="B783" s="3">
        <v>46006</v>
      </c>
      <c r="C783" t="s">
        <v>66</v>
      </c>
      <c r="D783" t="s">
        <v>62</v>
      </c>
      <c r="E783" t="s">
        <v>56</v>
      </c>
      <c r="F783" t="s">
        <v>63</v>
      </c>
      <c r="G783" s="6">
        <v>2</v>
      </c>
      <c r="H783" s="4">
        <v>40.94</v>
      </c>
      <c r="I783" s="4">
        <v>20.96</v>
      </c>
      <c r="J783" s="5">
        <v>0.1</v>
      </c>
      <c r="K783" s="6">
        <v>2</v>
      </c>
      <c r="L783" s="6">
        <v>3</v>
      </c>
      <c r="M783" t="s">
        <v>126</v>
      </c>
      <c r="N783" t="s">
        <v>69</v>
      </c>
      <c r="O783" t="s">
        <v>60</v>
      </c>
    </row>
    <row r="784" spans="1:15">
      <c r="A784" t="s">
        <v>882</v>
      </c>
      <c r="B784" s="3">
        <v>46004</v>
      </c>
      <c r="C784" t="s">
        <v>54</v>
      </c>
      <c r="D784" t="s">
        <v>129</v>
      </c>
      <c r="E784" t="s">
        <v>79</v>
      </c>
      <c r="F784" t="s">
        <v>85</v>
      </c>
      <c r="G784" s="6">
        <v>4</v>
      </c>
      <c r="H784" s="4">
        <v>130.38999999999999</v>
      </c>
      <c r="I784" s="4">
        <v>82.03</v>
      </c>
      <c r="J784" s="5">
        <v>0.1</v>
      </c>
      <c r="K784" s="6">
        <v>4</v>
      </c>
      <c r="L784" s="6">
        <v>3</v>
      </c>
      <c r="M784" t="s">
        <v>126</v>
      </c>
      <c r="N784" t="s">
        <v>59</v>
      </c>
      <c r="O784" t="s">
        <v>73</v>
      </c>
    </row>
    <row r="785" spans="1:15">
      <c r="A785" t="s">
        <v>883</v>
      </c>
      <c r="B785" s="3">
        <v>45831</v>
      </c>
      <c r="C785" t="s">
        <v>54</v>
      </c>
      <c r="D785" t="s">
        <v>62</v>
      </c>
      <c r="E785" t="s">
        <v>75</v>
      </c>
      <c r="F785" t="s">
        <v>97</v>
      </c>
      <c r="G785" s="6">
        <v>1</v>
      </c>
      <c r="H785" s="4">
        <v>93.57</v>
      </c>
      <c r="I785" s="4">
        <v>52.81</v>
      </c>
      <c r="J785" s="5">
        <v>0</v>
      </c>
      <c r="K785" s="6">
        <v>2</v>
      </c>
      <c r="L785" s="6">
        <v>4</v>
      </c>
      <c r="M785" t="s">
        <v>58</v>
      </c>
      <c r="N785" t="s">
        <v>69</v>
      </c>
      <c r="O785" t="s">
        <v>64</v>
      </c>
    </row>
    <row r="786" spans="1:15">
      <c r="A786" t="s">
        <v>884</v>
      </c>
      <c r="B786" s="3">
        <v>45683</v>
      </c>
      <c r="C786" t="s">
        <v>66</v>
      </c>
      <c r="D786" t="s">
        <v>62</v>
      </c>
      <c r="E786" t="s">
        <v>75</v>
      </c>
      <c r="F786" t="s">
        <v>97</v>
      </c>
      <c r="G786" s="6">
        <v>1</v>
      </c>
      <c r="H786" s="4">
        <v>87.43</v>
      </c>
      <c r="I786" s="4">
        <v>55.39</v>
      </c>
      <c r="J786" s="5">
        <v>0</v>
      </c>
      <c r="K786" s="6">
        <v>6</v>
      </c>
      <c r="L786" s="6">
        <v>4</v>
      </c>
      <c r="M786" t="s">
        <v>58</v>
      </c>
      <c r="N786" t="s">
        <v>87</v>
      </c>
      <c r="O786" t="s">
        <v>64</v>
      </c>
    </row>
    <row r="787" spans="1:15">
      <c r="A787" t="s">
        <v>885</v>
      </c>
      <c r="B787" s="3">
        <v>45715</v>
      </c>
      <c r="C787" t="s">
        <v>54</v>
      </c>
      <c r="D787" t="s">
        <v>62</v>
      </c>
      <c r="E787" t="s">
        <v>75</v>
      </c>
      <c r="F787" t="s">
        <v>76</v>
      </c>
      <c r="G787" s="6">
        <v>1</v>
      </c>
      <c r="H787" s="4">
        <v>119.97</v>
      </c>
      <c r="I787" s="4">
        <v>72.3</v>
      </c>
      <c r="J787" s="5">
        <v>0.05</v>
      </c>
      <c r="K787" s="6">
        <v>0</v>
      </c>
      <c r="L787" s="6">
        <v>4</v>
      </c>
      <c r="M787" t="s">
        <v>58</v>
      </c>
      <c r="N787" t="s">
        <v>69</v>
      </c>
      <c r="O787" t="s">
        <v>64</v>
      </c>
    </row>
    <row r="788" spans="1:15">
      <c r="A788" t="s">
        <v>886</v>
      </c>
      <c r="B788" s="3">
        <v>46011</v>
      </c>
      <c r="C788" t="s">
        <v>54</v>
      </c>
      <c r="D788" t="s">
        <v>62</v>
      </c>
      <c r="E788" t="s">
        <v>56</v>
      </c>
      <c r="F788" t="s">
        <v>83</v>
      </c>
      <c r="G788" s="6">
        <v>2</v>
      </c>
      <c r="H788" s="4">
        <v>65.94</v>
      </c>
      <c r="I788" s="4">
        <v>34.94</v>
      </c>
      <c r="J788" s="5">
        <v>0.2</v>
      </c>
      <c r="K788" s="6">
        <v>0</v>
      </c>
      <c r="L788" s="6">
        <v>5</v>
      </c>
      <c r="M788" t="s">
        <v>58</v>
      </c>
      <c r="N788" t="s">
        <v>69</v>
      </c>
      <c r="O788" t="s">
        <v>73</v>
      </c>
    </row>
    <row r="789" spans="1:15">
      <c r="A789" t="s">
        <v>887</v>
      </c>
      <c r="B789" s="3">
        <v>45862</v>
      </c>
      <c r="C789" t="s">
        <v>66</v>
      </c>
      <c r="D789" t="s">
        <v>62</v>
      </c>
      <c r="E789" t="s">
        <v>56</v>
      </c>
      <c r="F789" t="s">
        <v>63</v>
      </c>
      <c r="G789" s="6">
        <v>1</v>
      </c>
      <c r="H789" s="4">
        <v>38.85</v>
      </c>
      <c r="I789" s="4">
        <v>20.81</v>
      </c>
      <c r="J789" s="5">
        <v>0</v>
      </c>
      <c r="K789" s="6">
        <v>0</v>
      </c>
      <c r="L789" s="6">
        <v>5</v>
      </c>
      <c r="M789" t="s">
        <v>58</v>
      </c>
      <c r="N789" t="s">
        <v>69</v>
      </c>
      <c r="O789" t="s">
        <v>64</v>
      </c>
    </row>
    <row r="790" spans="1:15">
      <c r="A790" t="s">
        <v>888</v>
      </c>
      <c r="B790" s="3">
        <v>45670</v>
      </c>
      <c r="C790" t="s">
        <v>54</v>
      </c>
      <c r="D790" t="s">
        <v>62</v>
      </c>
      <c r="E790" t="s">
        <v>67</v>
      </c>
      <c r="F790" t="s">
        <v>71</v>
      </c>
      <c r="G790" s="6">
        <v>1</v>
      </c>
      <c r="H790" s="4">
        <v>68.67</v>
      </c>
      <c r="I790" s="4">
        <v>38.4</v>
      </c>
      <c r="J790" s="5">
        <v>0.1</v>
      </c>
      <c r="K790" s="6">
        <v>1</v>
      </c>
      <c r="L790" s="6">
        <v>5</v>
      </c>
      <c r="M790" t="s">
        <v>58</v>
      </c>
      <c r="N790" t="s">
        <v>69</v>
      </c>
      <c r="O790" t="s">
        <v>64</v>
      </c>
    </row>
    <row r="791" spans="1:15">
      <c r="A791" t="s">
        <v>889</v>
      </c>
      <c r="B791" s="3">
        <v>45796</v>
      </c>
      <c r="C791" t="s">
        <v>66</v>
      </c>
      <c r="D791" t="s">
        <v>55</v>
      </c>
      <c r="E791" t="s">
        <v>79</v>
      </c>
      <c r="F791" t="s">
        <v>85</v>
      </c>
      <c r="G791" s="6">
        <v>1</v>
      </c>
      <c r="H791" s="4">
        <v>126.11</v>
      </c>
      <c r="I791" s="4">
        <v>85.82</v>
      </c>
      <c r="J791" s="5">
        <v>0.1</v>
      </c>
      <c r="K791" s="6">
        <v>1</v>
      </c>
      <c r="L791" s="6">
        <v>4</v>
      </c>
      <c r="M791" t="s">
        <v>58</v>
      </c>
      <c r="N791" t="s">
        <v>59</v>
      </c>
      <c r="O791" t="s">
        <v>64</v>
      </c>
    </row>
    <row r="792" spans="1:15">
      <c r="A792" t="s">
        <v>890</v>
      </c>
      <c r="B792" s="3">
        <v>45989</v>
      </c>
      <c r="C792" t="s">
        <v>82</v>
      </c>
      <c r="D792" t="s">
        <v>55</v>
      </c>
      <c r="E792" t="s">
        <v>79</v>
      </c>
      <c r="F792" t="s">
        <v>115</v>
      </c>
      <c r="G792" s="6">
        <v>1</v>
      </c>
      <c r="H792" s="4">
        <v>60.41</v>
      </c>
      <c r="I792" s="4">
        <v>33.42</v>
      </c>
      <c r="J792" s="5">
        <v>0.15000000000000002</v>
      </c>
      <c r="K792" s="6">
        <v>5</v>
      </c>
      <c r="L792" s="6">
        <v>4</v>
      </c>
      <c r="M792" t="s">
        <v>58</v>
      </c>
      <c r="N792" t="s">
        <v>59</v>
      </c>
      <c r="O792" t="s">
        <v>64</v>
      </c>
    </row>
    <row r="793" spans="1:15">
      <c r="A793" t="s">
        <v>891</v>
      </c>
      <c r="B793" s="3">
        <v>45669</v>
      </c>
      <c r="C793" t="s">
        <v>66</v>
      </c>
      <c r="D793" t="s">
        <v>62</v>
      </c>
      <c r="E793" t="s">
        <v>79</v>
      </c>
      <c r="F793" t="s">
        <v>115</v>
      </c>
      <c r="G793" s="6">
        <v>3</v>
      </c>
      <c r="H793" s="4">
        <v>61.12</v>
      </c>
      <c r="I793" s="4">
        <v>33.869999999999997</v>
      </c>
      <c r="J793" s="5">
        <v>0.05</v>
      </c>
      <c r="K793" s="6">
        <v>6</v>
      </c>
      <c r="L793" s="6">
        <v>4</v>
      </c>
      <c r="M793" t="s">
        <v>58</v>
      </c>
      <c r="N793" t="s">
        <v>59</v>
      </c>
      <c r="O793" t="s">
        <v>60</v>
      </c>
    </row>
    <row r="794" spans="1:15">
      <c r="A794" t="s">
        <v>892</v>
      </c>
      <c r="B794" s="3">
        <v>45666</v>
      </c>
      <c r="C794" t="s">
        <v>66</v>
      </c>
      <c r="D794" t="s">
        <v>62</v>
      </c>
      <c r="E794" t="s">
        <v>67</v>
      </c>
      <c r="F794" t="s">
        <v>71</v>
      </c>
      <c r="G794" s="6">
        <v>1</v>
      </c>
      <c r="H794" s="4">
        <v>71.69</v>
      </c>
      <c r="I794" s="4">
        <v>38.56</v>
      </c>
      <c r="J794" s="5">
        <v>0.1</v>
      </c>
      <c r="K794" s="6">
        <v>1</v>
      </c>
      <c r="L794" s="6">
        <v>4</v>
      </c>
      <c r="M794" t="s">
        <v>58</v>
      </c>
      <c r="N794" t="s">
        <v>69</v>
      </c>
      <c r="O794" t="s">
        <v>64</v>
      </c>
    </row>
    <row r="795" spans="1:15">
      <c r="A795" t="s">
        <v>893</v>
      </c>
      <c r="B795" s="3">
        <v>45721</v>
      </c>
      <c r="C795" t="s">
        <v>78</v>
      </c>
      <c r="D795" t="s">
        <v>129</v>
      </c>
      <c r="E795" t="s">
        <v>67</v>
      </c>
      <c r="F795" t="s">
        <v>68</v>
      </c>
      <c r="G795" s="6">
        <v>6</v>
      </c>
      <c r="H795" s="4">
        <v>40.94</v>
      </c>
      <c r="I795" s="4">
        <v>19.059999999999999</v>
      </c>
      <c r="J795" s="5">
        <v>0.05</v>
      </c>
      <c r="K795" s="6">
        <v>3</v>
      </c>
      <c r="L795" s="6">
        <v>4</v>
      </c>
      <c r="M795" t="s">
        <v>58</v>
      </c>
      <c r="N795" t="s">
        <v>87</v>
      </c>
      <c r="O795" t="s">
        <v>64</v>
      </c>
    </row>
    <row r="796" spans="1:15">
      <c r="A796" t="s">
        <v>894</v>
      </c>
      <c r="B796" s="3">
        <v>45995</v>
      </c>
      <c r="C796" t="s">
        <v>66</v>
      </c>
      <c r="D796" t="s">
        <v>62</v>
      </c>
      <c r="E796" t="s">
        <v>56</v>
      </c>
      <c r="F796" t="s">
        <v>63</v>
      </c>
      <c r="G796" s="6">
        <v>1</v>
      </c>
      <c r="H796" s="4">
        <v>39.82</v>
      </c>
      <c r="I796" s="4">
        <v>20.05</v>
      </c>
      <c r="J796" s="5">
        <v>0.1</v>
      </c>
      <c r="K796" s="6">
        <v>4</v>
      </c>
      <c r="L796" s="6">
        <v>3</v>
      </c>
      <c r="M796" t="s">
        <v>126</v>
      </c>
      <c r="N796" t="s">
        <v>59</v>
      </c>
      <c r="O796" t="s">
        <v>64</v>
      </c>
    </row>
    <row r="797" spans="1:15">
      <c r="A797" t="s">
        <v>895</v>
      </c>
      <c r="B797" s="3">
        <v>45873</v>
      </c>
      <c r="C797" t="s">
        <v>82</v>
      </c>
      <c r="D797" t="s">
        <v>62</v>
      </c>
      <c r="E797" t="s">
        <v>67</v>
      </c>
      <c r="F797" t="s">
        <v>94</v>
      </c>
      <c r="G797" s="6">
        <v>1</v>
      </c>
      <c r="H797" s="4">
        <v>36.049999999999997</v>
      </c>
      <c r="I797" s="4">
        <v>17.68</v>
      </c>
      <c r="J797" s="5">
        <v>0.1</v>
      </c>
      <c r="K797" s="6">
        <v>4</v>
      </c>
      <c r="L797" s="6">
        <v>4</v>
      </c>
      <c r="M797" t="s">
        <v>58</v>
      </c>
      <c r="N797" t="s">
        <v>59</v>
      </c>
      <c r="O797" t="s">
        <v>64</v>
      </c>
    </row>
    <row r="798" spans="1:15">
      <c r="A798" t="s">
        <v>581</v>
      </c>
      <c r="B798" s="3">
        <v>45805</v>
      </c>
      <c r="C798" t="s">
        <v>78</v>
      </c>
      <c r="D798" t="s">
        <v>62</v>
      </c>
      <c r="E798" t="s">
        <v>67</v>
      </c>
      <c r="F798" t="s">
        <v>94</v>
      </c>
      <c r="G798" s="6">
        <v>1</v>
      </c>
      <c r="H798" s="4">
        <v>34.53</v>
      </c>
      <c r="I798" s="4">
        <v>16.53</v>
      </c>
      <c r="J798" s="5">
        <v>0</v>
      </c>
      <c r="K798" s="6">
        <v>4</v>
      </c>
      <c r="L798" s="6">
        <v>4</v>
      </c>
      <c r="M798" t="s">
        <v>58</v>
      </c>
      <c r="N798" t="s">
        <v>59</v>
      </c>
      <c r="O798" t="s">
        <v>64</v>
      </c>
    </row>
    <row r="799" spans="1:15">
      <c r="A799" t="s">
        <v>896</v>
      </c>
      <c r="B799" s="3">
        <v>45726</v>
      </c>
      <c r="C799" t="s">
        <v>82</v>
      </c>
      <c r="D799" t="s">
        <v>62</v>
      </c>
      <c r="E799" t="s">
        <v>56</v>
      </c>
      <c r="F799" t="s">
        <v>63</v>
      </c>
      <c r="G799" s="6">
        <v>1</v>
      </c>
      <c r="H799" s="4">
        <v>39.71</v>
      </c>
      <c r="I799" s="4">
        <v>19.62</v>
      </c>
      <c r="J799" s="5">
        <v>0</v>
      </c>
      <c r="K799" s="6">
        <v>2</v>
      </c>
      <c r="L799" s="6">
        <v>4</v>
      </c>
      <c r="M799" t="s">
        <v>58</v>
      </c>
      <c r="N799" t="s">
        <v>59</v>
      </c>
      <c r="O799" t="s">
        <v>64</v>
      </c>
    </row>
    <row r="800" spans="1:15">
      <c r="A800" t="s">
        <v>897</v>
      </c>
      <c r="B800" s="3">
        <v>45970</v>
      </c>
      <c r="C800" t="s">
        <v>78</v>
      </c>
      <c r="D800" t="s">
        <v>62</v>
      </c>
      <c r="E800" t="s">
        <v>67</v>
      </c>
      <c r="F800" t="s">
        <v>107</v>
      </c>
      <c r="G800" s="6">
        <v>1</v>
      </c>
      <c r="H800" s="4">
        <v>45.81</v>
      </c>
      <c r="I800" s="4">
        <v>21.48</v>
      </c>
      <c r="J800" s="5">
        <v>0.1</v>
      </c>
      <c r="K800" s="6">
        <v>6</v>
      </c>
      <c r="L800" s="6">
        <v>4</v>
      </c>
      <c r="M800" t="s">
        <v>58</v>
      </c>
      <c r="N800" t="s">
        <v>59</v>
      </c>
      <c r="O800" t="s">
        <v>73</v>
      </c>
    </row>
    <row r="801" spans="1:15">
      <c r="A801" t="s">
        <v>898</v>
      </c>
      <c r="B801" s="3">
        <v>45908</v>
      </c>
      <c r="C801" t="s">
        <v>54</v>
      </c>
      <c r="D801" t="s">
        <v>55</v>
      </c>
      <c r="E801" t="s">
        <v>79</v>
      </c>
      <c r="F801" t="s">
        <v>115</v>
      </c>
      <c r="G801" s="6">
        <v>1</v>
      </c>
      <c r="H801" s="4">
        <v>58.55</v>
      </c>
      <c r="I801" s="4">
        <v>33.409999999999997</v>
      </c>
      <c r="J801" s="5">
        <v>0</v>
      </c>
      <c r="K801" s="6">
        <v>2</v>
      </c>
      <c r="L801" s="6">
        <v>4</v>
      </c>
      <c r="M801" t="s">
        <v>58</v>
      </c>
      <c r="N801" t="s">
        <v>59</v>
      </c>
      <c r="O801" t="s">
        <v>73</v>
      </c>
    </row>
    <row r="802" spans="1:15">
      <c r="A802" t="s">
        <v>899</v>
      </c>
      <c r="B802" s="3">
        <v>45880</v>
      </c>
      <c r="C802" t="s">
        <v>54</v>
      </c>
      <c r="D802" t="s">
        <v>55</v>
      </c>
      <c r="E802" t="s">
        <v>67</v>
      </c>
      <c r="F802" t="s">
        <v>107</v>
      </c>
      <c r="G802" s="6">
        <v>1</v>
      </c>
      <c r="H802" s="4">
        <v>45.01</v>
      </c>
      <c r="I802" s="4">
        <v>21.64</v>
      </c>
      <c r="J802" s="5">
        <v>0.05</v>
      </c>
      <c r="K802" s="6">
        <v>3</v>
      </c>
      <c r="L802" s="6">
        <v>4</v>
      </c>
      <c r="M802" t="s">
        <v>58</v>
      </c>
      <c r="N802" t="s">
        <v>59</v>
      </c>
      <c r="O802" t="s">
        <v>60</v>
      </c>
    </row>
    <row r="803" spans="1:15">
      <c r="A803" t="s">
        <v>900</v>
      </c>
      <c r="B803" s="3">
        <v>45824</v>
      </c>
      <c r="C803" t="s">
        <v>66</v>
      </c>
      <c r="D803" t="s">
        <v>62</v>
      </c>
      <c r="E803" t="s">
        <v>79</v>
      </c>
      <c r="F803" t="s">
        <v>92</v>
      </c>
      <c r="G803" s="6">
        <v>1</v>
      </c>
      <c r="H803" s="4">
        <v>50.6</v>
      </c>
      <c r="I803" s="4">
        <v>25.68</v>
      </c>
      <c r="J803" s="5">
        <v>0.2</v>
      </c>
      <c r="K803" s="6">
        <v>4</v>
      </c>
      <c r="L803" s="6">
        <v>5</v>
      </c>
      <c r="M803" t="s">
        <v>58</v>
      </c>
      <c r="N803" t="s">
        <v>59</v>
      </c>
      <c r="O803" t="s">
        <v>64</v>
      </c>
    </row>
    <row r="804" spans="1:15">
      <c r="A804" t="s">
        <v>901</v>
      </c>
      <c r="B804" s="3">
        <v>45920</v>
      </c>
      <c r="C804" t="s">
        <v>66</v>
      </c>
      <c r="D804" t="s">
        <v>55</v>
      </c>
      <c r="E804" t="s">
        <v>79</v>
      </c>
      <c r="F804" t="s">
        <v>80</v>
      </c>
      <c r="G804" s="6">
        <v>4</v>
      </c>
      <c r="H804" s="4">
        <v>77.64</v>
      </c>
      <c r="I804" s="4">
        <v>44.6</v>
      </c>
      <c r="J804" s="5">
        <v>0.1</v>
      </c>
      <c r="K804" s="6">
        <v>0</v>
      </c>
      <c r="L804" s="6">
        <v>4</v>
      </c>
      <c r="M804" t="s">
        <v>58</v>
      </c>
      <c r="N804" t="s">
        <v>69</v>
      </c>
      <c r="O804" t="s">
        <v>64</v>
      </c>
    </row>
    <row r="805" spans="1:15">
      <c r="A805" t="s">
        <v>902</v>
      </c>
      <c r="B805" s="3">
        <v>45803</v>
      </c>
      <c r="C805" t="s">
        <v>78</v>
      </c>
      <c r="D805" t="s">
        <v>62</v>
      </c>
      <c r="E805" t="s">
        <v>56</v>
      </c>
      <c r="F805" t="s">
        <v>57</v>
      </c>
      <c r="G805" s="6">
        <v>1</v>
      </c>
      <c r="H805" s="4">
        <v>107.79</v>
      </c>
      <c r="I805" s="4">
        <v>66.989999999999995</v>
      </c>
      <c r="J805" s="5">
        <v>0.05</v>
      </c>
      <c r="K805" s="6">
        <v>1</v>
      </c>
      <c r="L805" s="6">
        <v>5</v>
      </c>
      <c r="M805" t="s">
        <v>58</v>
      </c>
      <c r="N805" t="s">
        <v>69</v>
      </c>
      <c r="O805" t="s">
        <v>64</v>
      </c>
    </row>
    <row r="806" spans="1:15">
      <c r="A806" t="s">
        <v>903</v>
      </c>
      <c r="B806" s="3">
        <v>45774</v>
      </c>
      <c r="C806" t="s">
        <v>82</v>
      </c>
      <c r="D806" t="s">
        <v>55</v>
      </c>
      <c r="E806" t="s">
        <v>56</v>
      </c>
      <c r="F806" t="s">
        <v>83</v>
      </c>
      <c r="G806" s="6">
        <v>4</v>
      </c>
      <c r="H806" s="4">
        <v>63.05</v>
      </c>
      <c r="I806" s="4">
        <v>34.270000000000003</v>
      </c>
      <c r="J806" s="5">
        <v>0</v>
      </c>
      <c r="K806" s="6">
        <v>0</v>
      </c>
      <c r="L806" s="6">
        <v>5</v>
      </c>
      <c r="M806" t="s">
        <v>58</v>
      </c>
      <c r="N806" t="s">
        <v>69</v>
      </c>
      <c r="O806" t="s">
        <v>64</v>
      </c>
    </row>
    <row r="807" spans="1:15">
      <c r="A807" t="s">
        <v>904</v>
      </c>
      <c r="B807" s="3">
        <v>45718</v>
      </c>
      <c r="C807" t="s">
        <v>54</v>
      </c>
      <c r="D807" t="s">
        <v>55</v>
      </c>
      <c r="E807" t="s">
        <v>79</v>
      </c>
      <c r="F807" t="s">
        <v>85</v>
      </c>
      <c r="G807" s="6">
        <v>4</v>
      </c>
      <c r="H807" s="4">
        <v>130.22</v>
      </c>
      <c r="I807" s="4">
        <v>87.64</v>
      </c>
      <c r="J807" s="5">
        <v>0</v>
      </c>
      <c r="K807" s="6">
        <v>4</v>
      </c>
      <c r="L807" s="6">
        <v>4</v>
      </c>
      <c r="M807" t="s">
        <v>58</v>
      </c>
      <c r="N807" t="s">
        <v>59</v>
      </c>
      <c r="O807" t="s">
        <v>64</v>
      </c>
    </row>
    <row r="808" spans="1:15">
      <c r="A808" t="s">
        <v>905</v>
      </c>
      <c r="B808" s="3">
        <v>45727</v>
      </c>
      <c r="C808" t="s">
        <v>78</v>
      </c>
      <c r="D808" t="s">
        <v>55</v>
      </c>
      <c r="E808" t="s">
        <v>56</v>
      </c>
      <c r="F808" t="s">
        <v>63</v>
      </c>
      <c r="G808" s="6">
        <v>3</v>
      </c>
      <c r="H808" s="4">
        <v>39.729999999999997</v>
      </c>
      <c r="I808" s="4">
        <v>19.829999999999998</v>
      </c>
      <c r="J808" s="5">
        <v>0</v>
      </c>
      <c r="K808" s="6">
        <v>5</v>
      </c>
      <c r="L808" s="6">
        <v>4</v>
      </c>
      <c r="M808" t="s">
        <v>58</v>
      </c>
      <c r="N808" t="s">
        <v>69</v>
      </c>
      <c r="O808" t="s">
        <v>64</v>
      </c>
    </row>
    <row r="809" spans="1:15">
      <c r="A809" t="s">
        <v>906</v>
      </c>
      <c r="B809" s="3">
        <v>45947</v>
      </c>
      <c r="C809" t="s">
        <v>66</v>
      </c>
      <c r="D809" t="s">
        <v>62</v>
      </c>
      <c r="E809" t="s">
        <v>79</v>
      </c>
      <c r="F809" t="s">
        <v>92</v>
      </c>
      <c r="G809" s="6">
        <v>1</v>
      </c>
      <c r="H809" s="4">
        <v>50</v>
      </c>
      <c r="I809" s="4">
        <v>26.85</v>
      </c>
      <c r="J809" s="5">
        <v>0.15000000000000002</v>
      </c>
      <c r="K809" s="6">
        <v>2</v>
      </c>
      <c r="L809" s="6">
        <v>4</v>
      </c>
      <c r="M809" t="s">
        <v>58</v>
      </c>
      <c r="N809" t="s">
        <v>59</v>
      </c>
      <c r="O809" t="s">
        <v>73</v>
      </c>
    </row>
    <row r="810" spans="1:15">
      <c r="A810" t="s">
        <v>907</v>
      </c>
      <c r="B810" s="3">
        <v>45700</v>
      </c>
      <c r="C810" t="s">
        <v>82</v>
      </c>
      <c r="D810" t="s">
        <v>62</v>
      </c>
      <c r="E810" t="s">
        <v>79</v>
      </c>
      <c r="F810" t="s">
        <v>80</v>
      </c>
      <c r="G810" s="6">
        <v>2</v>
      </c>
      <c r="H810" s="4">
        <v>74.81</v>
      </c>
      <c r="I810" s="4">
        <v>42.37</v>
      </c>
      <c r="J810" s="5">
        <v>0.05</v>
      </c>
      <c r="K810" s="6">
        <v>3</v>
      </c>
      <c r="L810" s="6">
        <v>4</v>
      </c>
      <c r="M810" t="s">
        <v>58</v>
      </c>
      <c r="N810" t="s">
        <v>59</v>
      </c>
      <c r="O810" t="s">
        <v>64</v>
      </c>
    </row>
    <row r="811" spans="1:15">
      <c r="A811" t="s">
        <v>908</v>
      </c>
      <c r="B811" s="3">
        <v>45797</v>
      </c>
      <c r="C811" t="s">
        <v>66</v>
      </c>
      <c r="D811" t="s">
        <v>62</v>
      </c>
      <c r="E811" t="s">
        <v>79</v>
      </c>
      <c r="F811" t="s">
        <v>115</v>
      </c>
      <c r="G811" s="6">
        <v>2</v>
      </c>
      <c r="H811" s="4">
        <v>60.71</v>
      </c>
      <c r="I811" s="4">
        <v>35.69</v>
      </c>
      <c r="J811" s="5">
        <v>0.05</v>
      </c>
      <c r="K811" s="6">
        <v>1</v>
      </c>
      <c r="L811" s="6">
        <v>4</v>
      </c>
      <c r="M811" t="s">
        <v>58</v>
      </c>
      <c r="N811" t="s">
        <v>69</v>
      </c>
      <c r="O811" t="s">
        <v>64</v>
      </c>
    </row>
    <row r="812" spans="1:15">
      <c r="A812" t="s">
        <v>909</v>
      </c>
      <c r="B812" s="3">
        <v>45758</v>
      </c>
      <c r="C812" t="s">
        <v>78</v>
      </c>
      <c r="D812" t="s">
        <v>62</v>
      </c>
      <c r="E812" t="s">
        <v>79</v>
      </c>
      <c r="F812" t="s">
        <v>92</v>
      </c>
      <c r="G812" s="6">
        <v>1</v>
      </c>
      <c r="H812" s="4">
        <v>50.7</v>
      </c>
      <c r="I812" s="4">
        <v>26.83</v>
      </c>
      <c r="J812" s="5">
        <v>0.1</v>
      </c>
      <c r="K812" s="6">
        <v>5</v>
      </c>
      <c r="L812" s="6">
        <v>4</v>
      </c>
      <c r="M812" t="s">
        <v>58</v>
      </c>
      <c r="N812" t="s">
        <v>59</v>
      </c>
      <c r="O812" t="s">
        <v>73</v>
      </c>
    </row>
    <row r="813" spans="1:15">
      <c r="A813" t="s">
        <v>910</v>
      </c>
      <c r="B813" s="3">
        <v>45948</v>
      </c>
      <c r="C813" t="s">
        <v>78</v>
      </c>
      <c r="D813" t="s">
        <v>62</v>
      </c>
      <c r="E813" t="s">
        <v>67</v>
      </c>
      <c r="F813" t="s">
        <v>94</v>
      </c>
      <c r="G813" s="6">
        <v>3</v>
      </c>
      <c r="H813" s="4">
        <v>34.840000000000003</v>
      </c>
      <c r="I813" s="4">
        <v>17.739999999999998</v>
      </c>
      <c r="J813" s="5">
        <v>0.05</v>
      </c>
      <c r="K813" s="6">
        <v>0</v>
      </c>
      <c r="L813" s="6">
        <v>4</v>
      </c>
      <c r="M813" t="s">
        <v>58</v>
      </c>
      <c r="N813" t="s">
        <v>69</v>
      </c>
      <c r="O813" t="s">
        <v>73</v>
      </c>
    </row>
    <row r="814" spans="1:15">
      <c r="A814" t="s">
        <v>911</v>
      </c>
      <c r="B814" s="3">
        <v>45659</v>
      </c>
      <c r="C814" t="s">
        <v>66</v>
      </c>
      <c r="D814" t="s">
        <v>62</v>
      </c>
      <c r="E814" t="s">
        <v>67</v>
      </c>
      <c r="F814" t="s">
        <v>107</v>
      </c>
      <c r="G814" s="6">
        <v>1</v>
      </c>
      <c r="H814" s="4">
        <v>43.69</v>
      </c>
      <c r="I814" s="4">
        <v>21.57</v>
      </c>
      <c r="J814" s="5">
        <v>0</v>
      </c>
      <c r="K814" s="6">
        <v>4</v>
      </c>
      <c r="L814" s="6">
        <v>4</v>
      </c>
      <c r="M814" t="s">
        <v>58</v>
      </c>
      <c r="N814" t="s">
        <v>87</v>
      </c>
      <c r="O814" t="s">
        <v>73</v>
      </c>
    </row>
    <row r="815" spans="1:15">
      <c r="A815" t="s">
        <v>912</v>
      </c>
      <c r="B815" s="3">
        <v>45995</v>
      </c>
      <c r="C815" t="s">
        <v>54</v>
      </c>
      <c r="D815" t="s">
        <v>62</v>
      </c>
      <c r="E815" t="s">
        <v>56</v>
      </c>
      <c r="F815" t="s">
        <v>63</v>
      </c>
      <c r="G815" s="6">
        <v>1</v>
      </c>
      <c r="H815" s="4">
        <v>39.85</v>
      </c>
      <c r="I815" s="4">
        <v>20.22</v>
      </c>
      <c r="J815" s="5">
        <v>0.1</v>
      </c>
      <c r="K815" s="6">
        <v>2</v>
      </c>
      <c r="L815" s="6">
        <v>5</v>
      </c>
      <c r="M815" t="s">
        <v>58</v>
      </c>
      <c r="N815" t="s">
        <v>59</v>
      </c>
      <c r="O815" t="s">
        <v>64</v>
      </c>
    </row>
    <row r="816" spans="1:15">
      <c r="A816" t="s">
        <v>913</v>
      </c>
      <c r="B816" s="3">
        <v>45861</v>
      </c>
      <c r="C816" t="s">
        <v>54</v>
      </c>
      <c r="D816" t="s">
        <v>62</v>
      </c>
      <c r="E816" t="s">
        <v>56</v>
      </c>
      <c r="F816" t="s">
        <v>89</v>
      </c>
      <c r="G816" s="6">
        <v>1</v>
      </c>
      <c r="H816" s="4">
        <v>80.97</v>
      </c>
      <c r="I816" s="4">
        <v>44.05</v>
      </c>
      <c r="J816" s="5">
        <v>0.05</v>
      </c>
      <c r="K816" s="6">
        <v>1</v>
      </c>
      <c r="L816" s="6">
        <v>4</v>
      </c>
      <c r="M816" t="s">
        <v>58</v>
      </c>
      <c r="N816" t="s">
        <v>69</v>
      </c>
      <c r="O816" t="s">
        <v>64</v>
      </c>
    </row>
    <row r="817" spans="1:15">
      <c r="A817" t="s">
        <v>914</v>
      </c>
      <c r="B817" s="3">
        <v>45699</v>
      </c>
      <c r="C817" t="s">
        <v>82</v>
      </c>
      <c r="D817" t="s">
        <v>62</v>
      </c>
      <c r="E817" t="s">
        <v>75</v>
      </c>
      <c r="F817" t="s">
        <v>110</v>
      </c>
      <c r="G817" s="6">
        <v>1</v>
      </c>
      <c r="H817" s="4">
        <v>158.57</v>
      </c>
      <c r="I817" s="4">
        <v>98.24</v>
      </c>
      <c r="J817" s="5">
        <v>0</v>
      </c>
      <c r="K817" s="6">
        <v>4</v>
      </c>
      <c r="L817" s="6">
        <v>3</v>
      </c>
      <c r="M817" t="s">
        <v>126</v>
      </c>
      <c r="N817" t="s">
        <v>59</v>
      </c>
      <c r="O817" t="s">
        <v>60</v>
      </c>
    </row>
    <row r="818" spans="1:15">
      <c r="A818" t="s">
        <v>915</v>
      </c>
      <c r="B818" s="3">
        <v>45821</v>
      </c>
      <c r="C818" t="s">
        <v>78</v>
      </c>
      <c r="D818" t="s">
        <v>62</v>
      </c>
      <c r="E818" t="s">
        <v>75</v>
      </c>
      <c r="F818" t="s">
        <v>110</v>
      </c>
      <c r="G818" s="6">
        <v>1</v>
      </c>
      <c r="H818" s="4">
        <v>164.09</v>
      </c>
      <c r="I818" s="4">
        <v>102.54</v>
      </c>
      <c r="J818" s="5">
        <v>0</v>
      </c>
      <c r="K818" s="6">
        <v>4</v>
      </c>
      <c r="L818" s="6">
        <v>4</v>
      </c>
      <c r="M818" t="s">
        <v>58</v>
      </c>
      <c r="N818" t="s">
        <v>69</v>
      </c>
      <c r="O818" t="s">
        <v>64</v>
      </c>
    </row>
    <row r="819" spans="1:15">
      <c r="A819" t="s">
        <v>916</v>
      </c>
      <c r="B819" s="3">
        <v>45691</v>
      </c>
      <c r="C819" t="s">
        <v>54</v>
      </c>
      <c r="D819" t="s">
        <v>62</v>
      </c>
      <c r="E819" t="s">
        <v>67</v>
      </c>
      <c r="F819" t="s">
        <v>94</v>
      </c>
      <c r="G819" s="6">
        <v>1</v>
      </c>
      <c r="H819" s="4">
        <v>33.94</v>
      </c>
      <c r="I819" s="4">
        <v>17.059999999999999</v>
      </c>
      <c r="J819" s="5">
        <v>0</v>
      </c>
      <c r="K819" s="6">
        <v>0</v>
      </c>
      <c r="L819" s="6">
        <v>5</v>
      </c>
      <c r="M819" t="s">
        <v>58</v>
      </c>
      <c r="N819" t="s">
        <v>69</v>
      </c>
      <c r="O819" t="s">
        <v>64</v>
      </c>
    </row>
    <row r="820" spans="1:15">
      <c r="A820" t="s">
        <v>917</v>
      </c>
      <c r="B820" s="3">
        <v>45951</v>
      </c>
      <c r="C820" t="s">
        <v>66</v>
      </c>
      <c r="D820" t="s">
        <v>62</v>
      </c>
      <c r="E820" t="s">
        <v>75</v>
      </c>
      <c r="F820" t="s">
        <v>76</v>
      </c>
      <c r="G820" s="6">
        <v>1</v>
      </c>
      <c r="H820" s="4">
        <v>118.78</v>
      </c>
      <c r="I820" s="4">
        <v>71.25</v>
      </c>
      <c r="J820" s="5">
        <v>0.1</v>
      </c>
      <c r="K820" s="6">
        <v>4</v>
      </c>
      <c r="L820" s="6">
        <v>4</v>
      </c>
      <c r="M820" t="s">
        <v>58</v>
      </c>
      <c r="N820" t="s">
        <v>69</v>
      </c>
      <c r="O820" t="s">
        <v>64</v>
      </c>
    </row>
    <row r="821" spans="1:15">
      <c r="A821" t="s">
        <v>918</v>
      </c>
      <c r="B821" s="3">
        <v>45889</v>
      </c>
      <c r="C821" t="s">
        <v>54</v>
      </c>
      <c r="D821" t="s">
        <v>62</v>
      </c>
      <c r="E821" t="s">
        <v>75</v>
      </c>
      <c r="F821" t="s">
        <v>146</v>
      </c>
      <c r="G821" s="6">
        <v>1</v>
      </c>
      <c r="H821" s="4">
        <v>177.26</v>
      </c>
      <c r="I821" s="4">
        <v>118.74</v>
      </c>
      <c r="J821" s="5">
        <v>0</v>
      </c>
      <c r="K821" s="6">
        <v>4</v>
      </c>
      <c r="L821" s="6">
        <v>5</v>
      </c>
      <c r="M821" t="s">
        <v>58</v>
      </c>
      <c r="N821" t="s">
        <v>59</v>
      </c>
      <c r="O821" t="s">
        <v>73</v>
      </c>
    </row>
    <row r="822" spans="1:15">
      <c r="A822" t="s">
        <v>919</v>
      </c>
      <c r="B822" s="3">
        <v>45915</v>
      </c>
      <c r="C822" t="s">
        <v>78</v>
      </c>
      <c r="D822" t="s">
        <v>55</v>
      </c>
      <c r="E822" t="s">
        <v>56</v>
      </c>
      <c r="F822" t="s">
        <v>63</v>
      </c>
      <c r="G822" s="6">
        <v>1</v>
      </c>
      <c r="H822" s="4">
        <v>41.29</v>
      </c>
      <c r="I822" s="4">
        <v>19.420000000000002</v>
      </c>
      <c r="J822" s="5">
        <v>0.05</v>
      </c>
      <c r="K822" s="6">
        <v>4</v>
      </c>
      <c r="L822" s="6">
        <v>4</v>
      </c>
      <c r="M822" t="s">
        <v>58</v>
      </c>
      <c r="N822" t="s">
        <v>87</v>
      </c>
      <c r="O822" t="s">
        <v>64</v>
      </c>
    </row>
    <row r="823" spans="1:15">
      <c r="A823" t="s">
        <v>920</v>
      </c>
      <c r="B823" s="3">
        <v>45753</v>
      </c>
      <c r="C823" t="s">
        <v>82</v>
      </c>
      <c r="D823" t="s">
        <v>62</v>
      </c>
      <c r="E823" t="s">
        <v>56</v>
      </c>
      <c r="F823" t="s">
        <v>83</v>
      </c>
      <c r="G823" s="6">
        <v>1</v>
      </c>
      <c r="H823" s="4">
        <v>64.739999999999995</v>
      </c>
      <c r="I823" s="4">
        <v>36.43</v>
      </c>
      <c r="J823" s="5">
        <v>0.1</v>
      </c>
      <c r="K823" s="6">
        <v>4</v>
      </c>
      <c r="L823" s="6">
        <v>4</v>
      </c>
      <c r="M823" t="s">
        <v>58</v>
      </c>
      <c r="N823" t="s">
        <v>59</v>
      </c>
      <c r="O823" t="s">
        <v>60</v>
      </c>
    </row>
    <row r="824" spans="1:15">
      <c r="A824" t="s">
        <v>921</v>
      </c>
      <c r="B824" s="3">
        <v>46016</v>
      </c>
      <c r="C824" t="s">
        <v>54</v>
      </c>
      <c r="D824" t="s">
        <v>62</v>
      </c>
      <c r="E824" t="s">
        <v>75</v>
      </c>
      <c r="F824" t="s">
        <v>110</v>
      </c>
      <c r="G824" s="6">
        <v>2</v>
      </c>
      <c r="H824" s="4">
        <v>156.55000000000001</v>
      </c>
      <c r="I824" s="4">
        <v>104.41</v>
      </c>
      <c r="J824" s="5">
        <v>0.05</v>
      </c>
      <c r="K824" s="6">
        <v>7</v>
      </c>
      <c r="L824" s="6">
        <v>4</v>
      </c>
      <c r="M824" t="s">
        <v>58</v>
      </c>
      <c r="N824" t="s">
        <v>59</v>
      </c>
      <c r="O824" t="s">
        <v>64</v>
      </c>
    </row>
    <row r="825" spans="1:15">
      <c r="A825" t="s">
        <v>922</v>
      </c>
      <c r="B825" s="3">
        <v>45670</v>
      </c>
      <c r="C825" t="s">
        <v>66</v>
      </c>
      <c r="D825" t="s">
        <v>62</v>
      </c>
      <c r="E825" t="s">
        <v>56</v>
      </c>
      <c r="F825" t="s">
        <v>63</v>
      </c>
      <c r="G825" s="6">
        <v>4</v>
      </c>
      <c r="H825" s="4">
        <v>40.65</v>
      </c>
      <c r="I825" s="4">
        <v>19.89</v>
      </c>
      <c r="J825" s="5">
        <v>0.15000000000000002</v>
      </c>
      <c r="K825" s="6">
        <v>5</v>
      </c>
      <c r="L825" s="6">
        <v>4</v>
      </c>
      <c r="M825" t="s">
        <v>58</v>
      </c>
      <c r="N825" t="s">
        <v>59</v>
      </c>
      <c r="O825" t="s">
        <v>64</v>
      </c>
    </row>
    <row r="826" spans="1:15">
      <c r="A826" t="s">
        <v>923</v>
      </c>
      <c r="B826" s="3">
        <v>45759</v>
      </c>
      <c r="C826" t="s">
        <v>66</v>
      </c>
      <c r="D826" t="s">
        <v>62</v>
      </c>
      <c r="E826" t="s">
        <v>56</v>
      </c>
      <c r="F826" t="s">
        <v>89</v>
      </c>
      <c r="G826" s="6">
        <v>1</v>
      </c>
      <c r="H826" s="4">
        <v>78.08</v>
      </c>
      <c r="I826" s="4">
        <v>45.62</v>
      </c>
      <c r="J826" s="5">
        <v>0.1</v>
      </c>
      <c r="K826" s="6">
        <v>3</v>
      </c>
      <c r="L826" s="6">
        <v>4</v>
      </c>
      <c r="M826" t="s">
        <v>58</v>
      </c>
      <c r="N826" t="s">
        <v>59</v>
      </c>
      <c r="O826" t="s">
        <v>64</v>
      </c>
    </row>
    <row r="827" spans="1:15">
      <c r="A827" t="s">
        <v>924</v>
      </c>
      <c r="B827" s="3">
        <v>45765</v>
      </c>
      <c r="C827" t="s">
        <v>78</v>
      </c>
      <c r="D827" t="s">
        <v>62</v>
      </c>
      <c r="E827" t="s">
        <v>56</v>
      </c>
      <c r="F827" t="s">
        <v>57</v>
      </c>
      <c r="G827" s="6">
        <v>2</v>
      </c>
      <c r="H827" s="4">
        <v>112.72</v>
      </c>
      <c r="I827" s="4">
        <v>68.81</v>
      </c>
      <c r="J827" s="5">
        <v>0.05</v>
      </c>
      <c r="K827" s="6">
        <v>3</v>
      </c>
      <c r="L827" s="6">
        <v>5</v>
      </c>
      <c r="M827" t="s">
        <v>58</v>
      </c>
      <c r="N827" t="s">
        <v>87</v>
      </c>
      <c r="O827" t="s">
        <v>64</v>
      </c>
    </row>
    <row r="828" spans="1:15">
      <c r="A828" t="s">
        <v>925</v>
      </c>
      <c r="B828" s="3">
        <v>45866</v>
      </c>
      <c r="C828" t="s">
        <v>78</v>
      </c>
      <c r="D828" t="s">
        <v>55</v>
      </c>
      <c r="E828" t="s">
        <v>75</v>
      </c>
      <c r="F828" t="s">
        <v>97</v>
      </c>
      <c r="G828" s="6">
        <v>4</v>
      </c>
      <c r="H828" s="4">
        <v>89.22</v>
      </c>
      <c r="I828" s="4">
        <v>55.9</v>
      </c>
      <c r="J828" s="5">
        <v>0.1</v>
      </c>
      <c r="K828" s="6">
        <v>3</v>
      </c>
      <c r="L828" s="6">
        <v>5</v>
      </c>
      <c r="M828" t="s">
        <v>58</v>
      </c>
      <c r="N828" t="s">
        <v>69</v>
      </c>
      <c r="O828" t="s">
        <v>64</v>
      </c>
    </row>
    <row r="829" spans="1:15">
      <c r="A829" t="s">
        <v>926</v>
      </c>
      <c r="B829" s="3">
        <v>46014</v>
      </c>
      <c r="C829" t="s">
        <v>66</v>
      </c>
      <c r="D829" t="s">
        <v>62</v>
      </c>
      <c r="E829" t="s">
        <v>56</v>
      </c>
      <c r="F829" t="s">
        <v>63</v>
      </c>
      <c r="G829" s="6">
        <v>3</v>
      </c>
      <c r="H829" s="4">
        <v>40.200000000000003</v>
      </c>
      <c r="I829" s="4">
        <v>20.440000000000001</v>
      </c>
      <c r="J829" s="5">
        <v>0.05</v>
      </c>
      <c r="K829" s="6">
        <v>3</v>
      </c>
      <c r="L829" s="6">
        <v>4</v>
      </c>
      <c r="M829" t="s">
        <v>58</v>
      </c>
      <c r="N829" t="s">
        <v>69</v>
      </c>
      <c r="O829" t="s">
        <v>64</v>
      </c>
    </row>
    <row r="830" spans="1:15">
      <c r="A830" t="s">
        <v>927</v>
      </c>
      <c r="B830" s="3">
        <v>45774</v>
      </c>
      <c r="C830" t="s">
        <v>54</v>
      </c>
      <c r="D830" t="s">
        <v>55</v>
      </c>
      <c r="E830" t="s">
        <v>67</v>
      </c>
      <c r="F830" t="s">
        <v>94</v>
      </c>
      <c r="G830" s="6">
        <v>2</v>
      </c>
      <c r="H830" s="4">
        <v>33.99</v>
      </c>
      <c r="I830" s="4">
        <v>17.21</v>
      </c>
      <c r="J830" s="5">
        <v>0</v>
      </c>
      <c r="K830" s="6">
        <v>0</v>
      </c>
      <c r="L830" s="6">
        <v>5</v>
      </c>
      <c r="M830" t="s">
        <v>58</v>
      </c>
      <c r="N830" t="s">
        <v>69</v>
      </c>
      <c r="O830" t="s">
        <v>64</v>
      </c>
    </row>
    <row r="831" spans="1:15">
      <c r="A831" t="s">
        <v>928</v>
      </c>
      <c r="B831" s="3">
        <v>45988</v>
      </c>
      <c r="C831" t="s">
        <v>78</v>
      </c>
      <c r="D831" t="s">
        <v>62</v>
      </c>
      <c r="E831" t="s">
        <v>75</v>
      </c>
      <c r="F831" t="s">
        <v>97</v>
      </c>
      <c r="G831" s="6">
        <v>3</v>
      </c>
      <c r="H831" s="4">
        <v>89.64</v>
      </c>
      <c r="I831" s="4">
        <v>56.35</v>
      </c>
      <c r="J831" s="5">
        <v>0.1</v>
      </c>
      <c r="K831" s="6">
        <v>6</v>
      </c>
      <c r="L831" s="6">
        <v>4</v>
      </c>
      <c r="M831" t="s">
        <v>58</v>
      </c>
      <c r="N831" t="s">
        <v>87</v>
      </c>
      <c r="O831" t="s">
        <v>60</v>
      </c>
    </row>
    <row r="832" spans="1:15">
      <c r="A832" t="s">
        <v>929</v>
      </c>
      <c r="B832" s="3">
        <v>45849</v>
      </c>
      <c r="C832" t="s">
        <v>66</v>
      </c>
      <c r="D832" t="s">
        <v>55</v>
      </c>
      <c r="E832" t="s">
        <v>67</v>
      </c>
      <c r="F832" t="s">
        <v>94</v>
      </c>
      <c r="G832" s="6">
        <v>4</v>
      </c>
      <c r="H832" s="4">
        <v>35.380000000000003</v>
      </c>
      <c r="I832" s="4">
        <v>17.059999999999999</v>
      </c>
      <c r="J832" s="5">
        <v>0.2</v>
      </c>
      <c r="K832" s="6">
        <v>8</v>
      </c>
      <c r="L832" s="6">
        <v>2</v>
      </c>
      <c r="M832" t="s">
        <v>126</v>
      </c>
      <c r="N832" t="s">
        <v>59</v>
      </c>
      <c r="O832" t="s">
        <v>64</v>
      </c>
    </row>
    <row r="833" spans="1:15">
      <c r="A833" t="s">
        <v>930</v>
      </c>
      <c r="B833" s="3">
        <v>45883</v>
      </c>
      <c r="C833" t="s">
        <v>66</v>
      </c>
      <c r="D833" t="s">
        <v>62</v>
      </c>
      <c r="E833" t="s">
        <v>67</v>
      </c>
      <c r="F833" t="s">
        <v>68</v>
      </c>
      <c r="G833" s="6">
        <v>1</v>
      </c>
      <c r="H833" s="4">
        <v>39.07</v>
      </c>
      <c r="I833" s="4">
        <v>19.64</v>
      </c>
      <c r="J833" s="5">
        <v>0.1</v>
      </c>
      <c r="K833" s="6">
        <v>8</v>
      </c>
      <c r="L833" s="6">
        <v>4</v>
      </c>
      <c r="M833" t="s">
        <v>58</v>
      </c>
      <c r="N833" t="s">
        <v>59</v>
      </c>
      <c r="O833" t="s">
        <v>64</v>
      </c>
    </row>
    <row r="834" spans="1:15">
      <c r="A834" t="s">
        <v>931</v>
      </c>
      <c r="B834" s="3">
        <v>45767</v>
      </c>
      <c r="C834" t="s">
        <v>78</v>
      </c>
      <c r="D834" t="s">
        <v>62</v>
      </c>
      <c r="E834" t="s">
        <v>79</v>
      </c>
      <c r="F834" t="s">
        <v>80</v>
      </c>
      <c r="G834" s="6">
        <v>3</v>
      </c>
      <c r="H834" s="4">
        <v>75.819999999999993</v>
      </c>
      <c r="I834" s="4">
        <v>41.76</v>
      </c>
      <c r="J834" s="5">
        <v>0.05</v>
      </c>
      <c r="K834" s="6">
        <v>6</v>
      </c>
      <c r="L834" s="6">
        <v>4</v>
      </c>
      <c r="M834" t="s">
        <v>58</v>
      </c>
      <c r="N834" t="s">
        <v>59</v>
      </c>
      <c r="O834" t="s">
        <v>73</v>
      </c>
    </row>
    <row r="835" spans="1:15">
      <c r="A835" t="s">
        <v>932</v>
      </c>
      <c r="B835" s="3">
        <v>45990</v>
      </c>
      <c r="C835" t="s">
        <v>54</v>
      </c>
      <c r="D835" t="s">
        <v>55</v>
      </c>
      <c r="E835" t="s">
        <v>79</v>
      </c>
      <c r="F835" t="s">
        <v>80</v>
      </c>
      <c r="G835" s="6">
        <v>3</v>
      </c>
      <c r="H835" s="4">
        <v>77.489999999999995</v>
      </c>
      <c r="I835" s="4">
        <v>43.98</v>
      </c>
      <c r="J835" s="5">
        <v>0.05</v>
      </c>
      <c r="K835" s="6">
        <v>6</v>
      </c>
      <c r="L835" s="6">
        <v>3</v>
      </c>
      <c r="M835" t="s">
        <v>58</v>
      </c>
      <c r="N835" t="s">
        <v>59</v>
      </c>
      <c r="O835" t="s">
        <v>64</v>
      </c>
    </row>
    <row r="836" spans="1:15">
      <c r="A836" t="s">
        <v>933</v>
      </c>
      <c r="B836" s="3">
        <v>45782</v>
      </c>
      <c r="C836" t="s">
        <v>66</v>
      </c>
      <c r="D836" t="s">
        <v>62</v>
      </c>
      <c r="E836" t="s">
        <v>79</v>
      </c>
      <c r="F836" t="s">
        <v>92</v>
      </c>
      <c r="G836" s="6">
        <v>1</v>
      </c>
      <c r="H836" s="4">
        <v>49.2</v>
      </c>
      <c r="I836" s="4">
        <v>26.05</v>
      </c>
      <c r="J836" s="5">
        <v>0</v>
      </c>
      <c r="K836" s="6">
        <v>0</v>
      </c>
      <c r="L836" s="6">
        <v>5</v>
      </c>
      <c r="M836" t="s">
        <v>58</v>
      </c>
      <c r="N836" t="s">
        <v>69</v>
      </c>
      <c r="O836" t="s">
        <v>64</v>
      </c>
    </row>
    <row r="837" spans="1:15">
      <c r="A837" t="s">
        <v>934</v>
      </c>
      <c r="B837" s="3">
        <v>45897</v>
      </c>
      <c r="C837" t="s">
        <v>66</v>
      </c>
      <c r="D837" t="s">
        <v>62</v>
      </c>
      <c r="E837" t="s">
        <v>56</v>
      </c>
      <c r="F837" t="s">
        <v>63</v>
      </c>
      <c r="G837" s="6">
        <v>1</v>
      </c>
      <c r="H837" s="4">
        <v>39.76</v>
      </c>
      <c r="I837" s="4">
        <v>19.8</v>
      </c>
      <c r="J837" s="5">
        <v>0.15000000000000002</v>
      </c>
      <c r="K837" s="6">
        <v>2</v>
      </c>
      <c r="L837" s="6">
        <v>4</v>
      </c>
      <c r="M837" t="s">
        <v>58</v>
      </c>
      <c r="N837" t="s">
        <v>69</v>
      </c>
      <c r="O837" t="s">
        <v>60</v>
      </c>
    </row>
    <row r="838" spans="1:15">
      <c r="A838" t="s">
        <v>935</v>
      </c>
      <c r="B838" s="3">
        <v>45845</v>
      </c>
      <c r="C838" t="s">
        <v>66</v>
      </c>
      <c r="D838" t="s">
        <v>55</v>
      </c>
      <c r="E838" t="s">
        <v>67</v>
      </c>
      <c r="F838" t="s">
        <v>71</v>
      </c>
      <c r="G838" s="6">
        <v>6</v>
      </c>
      <c r="H838" s="4">
        <v>72.290000000000006</v>
      </c>
      <c r="I838" s="4">
        <v>38.49</v>
      </c>
      <c r="J838" s="5">
        <v>0.2</v>
      </c>
      <c r="K838" s="6">
        <v>5</v>
      </c>
      <c r="L838" s="6">
        <v>5</v>
      </c>
      <c r="M838" t="s">
        <v>58</v>
      </c>
      <c r="N838" t="s">
        <v>87</v>
      </c>
      <c r="O838" t="s">
        <v>64</v>
      </c>
    </row>
    <row r="839" spans="1:15">
      <c r="A839" t="s">
        <v>936</v>
      </c>
      <c r="B839" s="3">
        <v>46013</v>
      </c>
      <c r="C839" t="s">
        <v>66</v>
      </c>
      <c r="D839" t="s">
        <v>62</v>
      </c>
      <c r="E839" t="s">
        <v>79</v>
      </c>
      <c r="F839" t="s">
        <v>92</v>
      </c>
      <c r="G839" s="6">
        <v>1</v>
      </c>
      <c r="H839" s="4">
        <v>48.85</v>
      </c>
      <c r="I839" s="4">
        <v>25.47</v>
      </c>
      <c r="J839" s="5">
        <v>0.1</v>
      </c>
      <c r="K839" s="6">
        <v>0</v>
      </c>
      <c r="L839" s="6">
        <v>4</v>
      </c>
      <c r="M839" t="s">
        <v>58</v>
      </c>
      <c r="N839" t="s">
        <v>69</v>
      </c>
      <c r="O839" t="s">
        <v>60</v>
      </c>
    </row>
    <row r="840" spans="1:15">
      <c r="A840" t="s">
        <v>937</v>
      </c>
      <c r="B840" s="3">
        <v>45855</v>
      </c>
      <c r="C840" t="s">
        <v>66</v>
      </c>
      <c r="D840" t="s">
        <v>62</v>
      </c>
      <c r="E840" t="s">
        <v>79</v>
      </c>
      <c r="F840" t="s">
        <v>85</v>
      </c>
      <c r="G840" s="6">
        <v>1</v>
      </c>
      <c r="H840" s="4">
        <v>130.6</v>
      </c>
      <c r="I840" s="4">
        <v>83.12</v>
      </c>
      <c r="J840" s="5">
        <v>0.1</v>
      </c>
      <c r="K840" s="6">
        <v>2</v>
      </c>
      <c r="L840" s="6">
        <v>4</v>
      </c>
      <c r="M840" t="s">
        <v>58</v>
      </c>
      <c r="N840" t="s">
        <v>69</v>
      </c>
      <c r="O840" t="s">
        <v>64</v>
      </c>
    </row>
    <row r="841" spans="1:15">
      <c r="A841" t="s">
        <v>938</v>
      </c>
      <c r="B841" s="3">
        <v>45974</v>
      </c>
      <c r="C841" t="s">
        <v>82</v>
      </c>
      <c r="D841" t="s">
        <v>62</v>
      </c>
      <c r="E841" t="s">
        <v>56</v>
      </c>
      <c r="F841" t="s">
        <v>89</v>
      </c>
      <c r="G841" s="6">
        <v>1</v>
      </c>
      <c r="H841" s="4">
        <v>82.62</v>
      </c>
      <c r="I841" s="4">
        <v>46.44</v>
      </c>
      <c r="J841" s="5">
        <v>0</v>
      </c>
      <c r="K841" s="6">
        <v>5</v>
      </c>
      <c r="L841" s="6">
        <v>5</v>
      </c>
      <c r="M841" t="s">
        <v>58</v>
      </c>
      <c r="N841" t="s">
        <v>87</v>
      </c>
      <c r="O841" t="s">
        <v>64</v>
      </c>
    </row>
    <row r="842" spans="1:15">
      <c r="A842" t="s">
        <v>939</v>
      </c>
      <c r="B842" s="3">
        <v>45777</v>
      </c>
      <c r="C842" t="s">
        <v>82</v>
      </c>
      <c r="D842" t="s">
        <v>62</v>
      </c>
      <c r="E842" t="s">
        <v>79</v>
      </c>
      <c r="F842" t="s">
        <v>92</v>
      </c>
      <c r="G842" s="6">
        <v>1</v>
      </c>
      <c r="H842" s="4">
        <v>49.48</v>
      </c>
      <c r="I842" s="4">
        <v>26.56</v>
      </c>
      <c r="J842" s="5">
        <v>0</v>
      </c>
      <c r="K842" s="6">
        <v>0</v>
      </c>
      <c r="L842" s="6">
        <v>5</v>
      </c>
      <c r="M842" t="s">
        <v>58</v>
      </c>
      <c r="N842" t="s">
        <v>69</v>
      </c>
      <c r="O842" t="s">
        <v>64</v>
      </c>
    </row>
    <row r="843" spans="1:15">
      <c r="A843" t="s">
        <v>940</v>
      </c>
      <c r="B843" s="3">
        <v>45890</v>
      </c>
      <c r="C843" t="s">
        <v>54</v>
      </c>
      <c r="D843" t="s">
        <v>62</v>
      </c>
      <c r="E843" t="s">
        <v>67</v>
      </c>
      <c r="F843" t="s">
        <v>71</v>
      </c>
      <c r="G843" s="6">
        <v>1</v>
      </c>
      <c r="H843" s="4">
        <v>69.040000000000006</v>
      </c>
      <c r="I843" s="4">
        <v>39.46</v>
      </c>
      <c r="J843" s="5">
        <v>0</v>
      </c>
      <c r="K843" s="6">
        <v>4</v>
      </c>
      <c r="L843" s="6">
        <v>5</v>
      </c>
      <c r="M843" t="s">
        <v>58</v>
      </c>
      <c r="N843" t="s">
        <v>59</v>
      </c>
      <c r="O843" t="s">
        <v>73</v>
      </c>
    </row>
    <row r="844" spans="1:15">
      <c r="A844" t="s">
        <v>941</v>
      </c>
      <c r="B844" s="3">
        <v>45998</v>
      </c>
      <c r="C844" t="s">
        <v>66</v>
      </c>
      <c r="D844" t="s">
        <v>62</v>
      </c>
      <c r="E844" t="s">
        <v>56</v>
      </c>
      <c r="F844" t="s">
        <v>83</v>
      </c>
      <c r="G844" s="6">
        <v>2</v>
      </c>
      <c r="H844" s="4">
        <v>64.62</v>
      </c>
      <c r="I844" s="4">
        <v>34.880000000000003</v>
      </c>
      <c r="J844" s="5">
        <v>0.2</v>
      </c>
      <c r="K844" s="6">
        <v>0</v>
      </c>
      <c r="L844" s="6">
        <v>4</v>
      </c>
      <c r="M844" t="s">
        <v>58</v>
      </c>
      <c r="N844" t="s">
        <v>69</v>
      </c>
      <c r="O844" t="s">
        <v>64</v>
      </c>
    </row>
    <row r="845" spans="1:15">
      <c r="A845" t="s">
        <v>942</v>
      </c>
      <c r="B845" s="3">
        <v>45818</v>
      </c>
      <c r="C845" t="s">
        <v>66</v>
      </c>
      <c r="D845" t="s">
        <v>62</v>
      </c>
      <c r="E845" t="s">
        <v>79</v>
      </c>
      <c r="F845" t="s">
        <v>85</v>
      </c>
      <c r="G845" s="6">
        <v>2</v>
      </c>
      <c r="H845" s="4">
        <v>132.44</v>
      </c>
      <c r="I845" s="4">
        <v>87.99</v>
      </c>
      <c r="J845" s="5">
        <v>0.15000000000000002</v>
      </c>
      <c r="K845" s="6">
        <v>5</v>
      </c>
      <c r="L845" s="6">
        <v>3</v>
      </c>
      <c r="M845" t="s">
        <v>126</v>
      </c>
      <c r="N845" t="s">
        <v>87</v>
      </c>
      <c r="O845" t="s">
        <v>64</v>
      </c>
    </row>
    <row r="846" spans="1:15">
      <c r="A846" t="s">
        <v>943</v>
      </c>
      <c r="B846" s="3">
        <v>45995</v>
      </c>
      <c r="C846" t="s">
        <v>66</v>
      </c>
      <c r="D846" t="s">
        <v>62</v>
      </c>
      <c r="E846" t="s">
        <v>67</v>
      </c>
      <c r="F846" t="s">
        <v>68</v>
      </c>
      <c r="G846" s="6">
        <v>1</v>
      </c>
      <c r="H846" s="4">
        <v>40.369999999999997</v>
      </c>
      <c r="I846" s="4">
        <v>19.62</v>
      </c>
      <c r="J846" s="5">
        <v>0.1</v>
      </c>
      <c r="K846" s="6">
        <v>4</v>
      </c>
      <c r="L846" s="6">
        <v>4</v>
      </c>
      <c r="M846" t="s">
        <v>58</v>
      </c>
      <c r="N846" t="s">
        <v>59</v>
      </c>
      <c r="O846" t="s">
        <v>73</v>
      </c>
    </row>
    <row r="847" spans="1:15">
      <c r="A847" t="s">
        <v>944</v>
      </c>
      <c r="B847" s="3">
        <v>45915</v>
      </c>
      <c r="C847" t="s">
        <v>54</v>
      </c>
      <c r="D847" t="s">
        <v>62</v>
      </c>
      <c r="E847" t="s">
        <v>56</v>
      </c>
      <c r="F847" t="s">
        <v>57</v>
      </c>
      <c r="G847" s="6">
        <v>1</v>
      </c>
      <c r="H847" s="4">
        <v>109.44</v>
      </c>
      <c r="I847" s="4">
        <v>65.05</v>
      </c>
      <c r="J847" s="5">
        <v>0</v>
      </c>
      <c r="K847" s="6">
        <v>2</v>
      </c>
      <c r="L847" s="6">
        <v>4</v>
      </c>
      <c r="M847" t="s">
        <v>58</v>
      </c>
      <c r="N847" t="s">
        <v>69</v>
      </c>
      <c r="O847" t="s">
        <v>64</v>
      </c>
    </row>
    <row r="848" spans="1:15">
      <c r="A848" t="s">
        <v>945</v>
      </c>
      <c r="B848" s="3">
        <v>45715</v>
      </c>
      <c r="C848" t="s">
        <v>82</v>
      </c>
      <c r="D848" t="s">
        <v>129</v>
      </c>
      <c r="E848" t="s">
        <v>79</v>
      </c>
      <c r="F848" t="s">
        <v>92</v>
      </c>
      <c r="G848" s="6">
        <v>4</v>
      </c>
      <c r="H848" s="4">
        <v>50.21</v>
      </c>
      <c r="I848" s="4">
        <v>26.55</v>
      </c>
      <c r="J848" s="5">
        <v>0.05</v>
      </c>
      <c r="K848" s="6">
        <v>4</v>
      </c>
      <c r="L848" s="6">
        <v>4</v>
      </c>
      <c r="M848" t="s">
        <v>58</v>
      </c>
      <c r="N848" t="s">
        <v>59</v>
      </c>
      <c r="O848" t="s">
        <v>73</v>
      </c>
    </row>
    <row r="849" spans="1:15">
      <c r="A849" t="s">
        <v>946</v>
      </c>
      <c r="B849" s="3">
        <v>45906</v>
      </c>
      <c r="C849" t="s">
        <v>66</v>
      </c>
      <c r="D849" t="s">
        <v>55</v>
      </c>
      <c r="E849" t="s">
        <v>56</v>
      </c>
      <c r="F849" t="s">
        <v>89</v>
      </c>
      <c r="G849" s="6">
        <v>2</v>
      </c>
      <c r="H849" s="4">
        <v>79.11</v>
      </c>
      <c r="I849" s="4">
        <v>46.46</v>
      </c>
      <c r="J849" s="5">
        <v>0.05</v>
      </c>
      <c r="K849" s="6">
        <v>6</v>
      </c>
      <c r="L849" s="6">
        <v>4</v>
      </c>
      <c r="M849" t="s">
        <v>58</v>
      </c>
      <c r="N849" t="s">
        <v>69</v>
      </c>
      <c r="O849" t="s">
        <v>64</v>
      </c>
    </row>
    <row r="850" spans="1:15">
      <c r="A850" t="s">
        <v>947</v>
      </c>
      <c r="B850" s="3">
        <v>45689</v>
      </c>
      <c r="C850" t="s">
        <v>82</v>
      </c>
      <c r="D850" t="s">
        <v>129</v>
      </c>
      <c r="E850" t="s">
        <v>75</v>
      </c>
      <c r="F850" t="s">
        <v>110</v>
      </c>
      <c r="G850" s="6">
        <v>10</v>
      </c>
      <c r="H850" s="4">
        <v>160.4</v>
      </c>
      <c r="I850" s="4">
        <v>102.53</v>
      </c>
      <c r="J850" s="5">
        <v>0.05</v>
      </c>
      <c r="K850" s="6">
        <v>8</v>
      </c>
      <c r="L850" s="6">
        <v>3</v>
      </c>
      <c r="M850" t="s">
        <v>58</v>
      </c>
      <c r="N850" t="s">
        <v>59</v>
      </c>
      <c r="O850" t="s">
        <v>60</v>
      </c>
    </row>
    <row r="851" spans="1:15">
      <c r="A851" t="s">
        <v>948</v>
      </c>
      <c r="B851" s="3">
        <v>45951</v>
      </c>
      <c r="C851" t="s">
        <v>66</v>
      </c>
      <c r="D851" t="s">
        <v>62</v>
      </c>
      <c r="E851" t="s">
        <v>67</v>
      </c>
      <c r="F851" t="s">
        <v>71</v>
      </c>
      <c r="G851" s="6">
        <v>2</v>
      </c>
      <c r="H851" s="4">
        <v>69.67</v>
      </c>
      <c r="I851" s="4">
        <v>37.82</v>
      </c>
      <c r="J851" s="5">
        <v>0.05</v>
      </c>
      <c r="K851" s="6">
        <v>4</v>
      </c>
      <c r="L851" s="6">
        <v>5</v>
      </c>
      <c r="M851" t="s">
        <v>58</v>
      </c>
      <c r="N851" t="s">
        <v>59</v>
      </c>
      <c r="O851" t="s">
        <v>73</v>
      </c>
    </row>
    <row r="852" spans="1:15">
      <c r="A852" t="s">
        <v>949</v>
      </c>
      <c r="B852" s="3">
        <v>45978</v>
      </c>
      <c r="C852" t="s">
        <v>66</v>
      </c>
      <c r="D852" t="s">
        <v>62</v>
      </c>
      <c r="E852" t="s">
        <v>75</v>
      </c>
      <c r="F852" t="s">
        <v>76</v>
      </c>
      <c r="G852" s="6">
        <v>1</v>
      </c>
      <c r="H852" s="4">
        <v>118.51</v>
      </c>
      <c r="I852" s="4">
        <v>72.09</v>
      </c>
      <c r="J852" s="5">
        <v>0.2</v>
      </c>
      <c r="K852" s="6">
        <v>5</v>
      </c>
      <c r="L852" s="6">
        <v>4</v>
      </c>
      <c r="M852" t="s">
        <v>126</v>
      </c>
      <c r="N852" t="s">
        <v>59</v>
      </c>
      <c r="O852" t="s">
        <v>64</v>
      </c>
    </row>
    <row r="853" spans="1:15">
      <c r="A853" t="s">
        <v>950</v>
      </c>
      <c r="B853" s="3">
        <v>45797</v>
      </c>
      <c r="C853" t="s">
        <v>54</v>
      </c>
      <c r="D853" t="s">
        <v>62</v>
      </c>
      <c r="E853" t="s">
        <v>75</v>
      </c>
      <c r="F853" t="s">
        <v>97</v>
      </c>
      <c r="G853" s="6">
        <v>2</v>
      </c>
      <c r="H853" s="4">
        <v>88.26</v>
      </c>
      <c r="I853" s="4">
        <v>56.28</v>
      </c>
      <c r="J853" s="5">
        <v>0.05</v>
      </c>
      <c r="K853" s="6">
        <v>3</v>
      </c>
      <c r="L853" s="6">
        <v>4</v>
      </c>
      <c r="M853" t="s">
        <v>58</v>
      </c>
      <c r="N853" t="s">
        <v>59</v>
      </c>
      <c r="O853" t="s">
        <v>64</v>
      </c>
    </row>
    <row r="854" spans="1:15">
      <c r="A854" t="s">
        <v>951</v>
      </c>
      <c r="B854" s="3">
        <v>45765</v>
      </c>
      <c r="C854" t="s">
        <v>78</v>
      </c>
      <c r="D854" t="s">
        <v>62</v>
      </c>
      <c r="E854" t="s">
        <v>67</v>
      </c>
      <c r="F854" t="s">
        <v>94</v>
      </c>
      <c r="G854" s="6">
        <v>2</v>
      </c>
      <c r="H854" s="4">
        <v>35.090000000000003</v>
      </c>
      <c r="I854" s="4">
        <v>17.5</v>
      </c>
      <c r="J854" s="5">
        <v>0</v>
      </c>
      <c r="K854" s="6">
        <v>4</v>
      </c>
      <c r="L854" s="6">
        <v>4</v>
      </c>
      <c r="M854" t="s">
        <v>58</v>
      </c>
      <c r="N854" t="s">
        <v>69</v>
      </c>
      <c r="O854" t="s">
        <v>64</v>
      </c>
    </row>
    <row r="855" spans="1:15">
      <c r="A855" t="s">
        <v>952</v>
      </c>
      <c r="B855" s="3">
        <v>45775</v>
      </c>
      <c r="C855" t="s">
        <v>54</v>
      </c>
      <c r="D855" t="s">
        <v>62</v>
      </c>
      <c r="E855" t="s">
        <v>67</v>
      </c>
      <c r="F855" t="s">
        <v>94</v>
      </c>
      <c r="G855" s="6">
        <v>2</v>
      </c>
      <c r="H855" s="4">
        <v>33.96</v>
      </c>
      <c r="I855" s="4">
        <v>17.75</v>
      </c>
      <c r="J855" s="5">
        <v>0</v>
      </c>
      <c r="K855" s="6">
        <v>3</v>
      </c>
      <c r="L855" s="6">
        <v>4</v>
      </c>
      <c r="M855" t="s">
        <v>58</v>
      </c>
      <c r="N855" t="s">
        <v>59</v>
      </c>
      <c r="O855" t="s">
        <v>64</v>
      </c>
    </row>
    <row r="856" spans="1:15">
      <c r="A856" t="s">
        <v>953</v>
      </c>
      <c r="B856" s="3">
        <v>45888</v>
      </c>
      <c r="C856" t="s">
        <v>66</v>
      </c>
      <c r="D856" t="s">
        <v>62</v>
      </c>
      <c r="E856" t="s">
        <v>56</v>
      </c>
      <c r="F856" t="s">
        <v>83</v>
      </c>
      <c r="G856" s="6">
        <v>2</v>
      </c>
      <c r="H856" s="4">
        <v>65.17</v>
      </c>
      <c r="I856" s="4">
        <v>35.99</v>
      </c>
      <c r="J856" s="5">
        <v>0.2</v>
      </c>
      <c r="K856" s="6">
        <v>4</v>
      </c>
      <c r="L856" s="6">
        <v>4</v>
      </c>
      <c r="M856" t="s">
        <v>58</v>
      </c>
      <c r="N856" t="s">
        <v>59</v>
      </c>
      <c r="O856" t="s">
        <v>64</v>
      </c>
    </row>
    <row r="857" spans="1:15">
      <c r="A857" t="s">
        <v>954</v>
      </c>
      <c r="B857" s="3">
        <v>45809</v>
      </c>
      <c r="C857" t="s">
        <v>66</v>
      </c>
      <c r="D857" t="s">
        <v>55</v>
      </c>
      <c r="E857" t="s">
        <v>79</v>
      </c>
      <c r="F857" t="s">
        <v>92</v>
      </c>
      <c r="G857" s="6">
        <v>2</v>
      </c>
      <c r="H857" s="4">
        <v>49.14</v>
      </c>
      <c r="I857" s="4">
        <v>25.63</v>
      </c>
      <c r="J857" s="5">
        <v>0</v>
      </c>
      <c r="K857" s="6">
        <v>8</v>
      </c>
      <c r="L857" s="6">
        <v>3</v>
      </c>
      <c r="M857" t="s">
        <v>126</v>
      </c>
      <c r="N857" t="s">
        <v>59</v>
      </c>
      <c r="O857" t="s">
        <v>60</v>
      </c>
    </row>
    <row r="858" spans="1:15">
      <c r="A858" t="s">
        <v>955</v>
      </c>
      <c r="B858" s="3">
        <v>45789</v>
      </c>
      <c r="C858" t="s">
        <v>78</v>
      </c>
      <c r="D858" t="s">
        <v>55</v>
      </c>
      <c r="E858" t="s">
        <v>56</v>
      </c>
      <c r="F858" t="s">
        <v>89</v>
      </c>
      <c r="G858" s="6">
        <v>5</v>
      </c>
      <c r="H858" s="4">
        <v>77.78</v>
      </c>
      <c r="I858" s="4">
        <v>44.99</v>
      </c>
      <c r="J858" s="5">
        <v>0.05</v>
      </c>
      <c r="K858" s="6">
        <v>0</v>
      </c>
      <c r="L858" s="6">
        <v>4</v>
      </c>
      <c r="M858" t="s">
        <v>58</v>
      </c>
      <c r="N858" t="s">
        <v>69</v>
      </c>
      <c r="O858" t="s">
        <v>64</v>
      </c>
    </row>
    <row r="859" spans="1:15">
      <c r="A859" t="s">
        <v>956</v>
      </c>
      <c r="B859" s="3">
        <v>45902</v>
      </c>
      <c r="C859" t="s">
        <v>66</v>
      </c>
      <c r="D859" t="s">
        <v>55</v>
      </c>
      <c r="E859" t="s">
        <v>75</v>
      </c>
      <c r="F859" t="s">
        <v>110</v>
      </c>
      <c r="G859" s="6">
        <v>1</v>
      </c>
      <c r="H859" s="4">
        <v>161.07</v>
      </c>
      <c r="I859" s="4">
        <v>98.7</v>
      </c>
      <c r="J859" s="5">
        <v>0.05</v>
      </c>
      <c r="K859" s="6">
        <v>6</v>
      </c>
      <c r="L859" s="6">
        <v>4</v>
      </c>
      <c r="M859" t="s">
        <v>58</v>
      </c>
      <c r="N859" t="s">
        <v>59</v>
      </c>
      <c r="O859" t="s">
        <v>60</v>
      </c>
    </row>
    <row r="860" spans="1:15">
      <c r="A860" t="s">
        <v>957</v>
      </c>
      <c r="B860" s="3">
        <v>45745</v>
      </c>
      <c r="C860" t="s">
        <v>78</v>
      </c>
      <c r="D860" t="s">
        <v>55</v>
      </c>
      <c r="E860" t="s">
        <v>67</v>
      </c>
      <c r="F860" t="s">
        <v>71</v>
      </c>
      <c r="G860" s="6">
        <v>2</v>
      </c>
      <c r="H860" s="4">
        <v>70.48</v>
      </c>
      <c r="I860" s="4">
        <v>39.770000000000003</v>
      </c>
      <c r="J860" s="5">
        <v>0</v>
      </c>
      <c r="K860" s="6">
        <v>4</v>
      </c>
      <c r="L860" s="6">
        <v>5</v>
      </c>
      <c r="M860" t="s">
        <v>58</v>
      </c>
      <c r="N860" t="s">
        <v>59</v>
      </c>
      <c r="O860" t="s">
        <v>64</v>
      </c>
    </row>
    <row r="861" spans="1:15">
      <c r="A861" t="s">
        <v>958</v>
      </c>
      <c r="B861" s="3">
        <v>45855</v>
      </c>
      <c r="C861" t="s">
        <v>78</v>
      </c>
      <c r="D861" t="s">
        <v>62</v>
      </c>
      <c r="E861" t="s">
        <v>56</v>
      </c>
      <c r="F861" t="s">
        <v>89</v>
      </c>
      <c r="G861" s="6">
        <v>3</v>
      </c>
      <c r="H861" s="4">
        <v>78.25</v>
      </c>
      <c r="I861" s="4">
        <v>45.35</v>
      </c>
      <c r="J861" s="5">
        <v>0.05</v>
      </c>
      <c r="K861" s="6">
        <v>3</v>
      </c>
      <c r="L861" s="6">
        <v>4</v>
      </c>
      <c r="M861" t="s">
        <v>58</v>
      </c>
      <c r="N861" t="s">
        <v>59</v>
      </c>
      <c r="O861" t="s">
        <v>64</v>
      </c>
    </row>
    <row r="862" spans="1:15">
      <c r="A862" t="s">
        <v>959</v>
      </c>
      <c r="B862" s="3">
        <v>45774</v>
      </c>
      <c r="C862" t="s">
        <v>78</v>
      </c>
      <c r="D862" t="s">
        <v>62</v>
      </c>
      <c r="E862" t="s">
        <v>67</v>
      </c>
      <c r="F862" t="s">
        <v>107</v>
      </c>
      <c r="G862" s="6">
        <v>3</v>
      </c>
      <c r="H862" s="4">
        <v>45.94</v>
      </c>
      <c r="I862" s="4">
        <v>20.84</v>
      </c>
      <c r="J862" s="5">
        <v>0</v>
      </c>
      <c r="K862" s="6">
        <v>2</v>
      </c>
      <c r="L862" s="6">
        <v>4</v>
      </c>
      <c r="M862" t="s">
        <v>58</v>
      </c>
      <c r="N862" t="s">
        <v>59</v>
      </c>
      <c r="O862" t="s">
        <v>60</v>
      </c>
    </row>
    <row r="863" spans="1:15">
      <c r="A863" t="s">
        <v>960</v>
      </c>
      <c r="B863" s="3">
        <v>45946</v>
      </c>
      <c r="C863" t="s">
        <v>78</v>
      </c>
      <c r="D863" t="s">
        <v>62</v>
      </c>
      <c r="E863" t="s">
        <v>75</v>
      </c>
      <c r="F863" t="s">
        <v>146</v>
      </c>
      <c r="G863" s="6">
        <v>2</v>
      </c>
      <c r="H863" s="4">
        <v>179.17</v>
      </c>
      <c r="I863" s="4">
        <v>116.86</v>
      </c>
      <c r="J863" s="5">
        <v>0.05</v>
      </c>
      <c r="K863" s="6">
        <v>3</v>
      </c>
      <c r="L863" s="6">
        <v>5</v>
      </c>
      <c r="M863" t="s">
        <v>58</v>
      </c>
      <c r="N863" t="s">
        <v>69</v>
      </c>
      <c r="O863" t="s">
        <v>64</v>
      </c>
    </row>
    <row r="864" spans="1:15">
      <c r="A864" t="s">
        <v>961</v>
      </c>
      <c r="B864" s="3">
        <v>45772</v>
      </c>
      <c r="C864" t="s">
        <v>54</v>
      </c>
      <c r="D864" t="s">
        <v>62</v>
      </c>
      <c r="E864" t="s">
        <v>79</v>
      </c>
      <c r="F864" t="s">
        <v>92</v>
      </c>
      <c r="G864" s="6">
        <v>4</v>
      </c>
      <c r="H864" s="4">
        <v>50.95</v>
      </c>
      <c r="I864" s="4">
        <v>27.21</v>
      </c>
      <c r="J864" s="5">
        <v>0.1</v>
      </c>
      <c r="K864" s="6">
        <v>3</v>
      </c>
      <c r="L864" s="6">
        <v>5</v>
      </c>
      <c r="M864" t="s">
        <v>58</v>
      </c>
      <c r="N864" t="s">
        <v>59</v>
      </c>
      <c r="O864" t="s">
        <v>64</v>
      </c>
    </row>
    <row r="865" spans="1:15">
      <c r="A865" t="s">
        <v>962</v>
      </c>
      <c r="B865" s="3">
        <v>45779</v>
      </c>
      <c r="C865" t="s">
        <v>82</v>
      </c>
      <c r="D865" t="s">
        <v>62</v>
      </c>
      <c r="E865" t="s">
        <v>75</v>
      </c>
      <c r="F865" t="s">
        <v>146</v>
      </c>
      <c r="G865" s="6">
        <v>1</v>
      </c>
      <c r="H865" s="4">
        <v>177</v>
      </c>
      <c r="I865" s="4">
        <v>117.57</v>
      </c>
      <c r="J865" s="5">
        <v>0.05</v>
      </c>
      <c r="K865" s="6">
        <v>0</v>
      </c>
      <c r="L865" s="6">
        <v>4</v>
      </c>
      <c r="M865" t="s">
        <v>58</v>
      </c>
      <c r="N865" t="s">
        <v>69</v>
      </c>
      <c r="O865" t="s">
        <v>64</v>
      </c>
    </row>
    <row r="866" spans="1:15">
      <c r="A866" t="s">
        <v>963</v>
      </c>
      <c r="B866" s="3">
        <v>45979</v>
      </c>
      <c r="C866" t="s">
        <v>78</v>
      </c>
      <c r="D866" t="s">
        <v>62</v>
      </c>
      <c r="E866" t="s">
        <v>67</v>
      </c>
      <c r="F866" t="s">
        <v>107</v>
      </c>
      <c r="G866" s="6">
        <v>1</v>
      </c>
      <c r="H866" s="4">
        <v>45.03</v>
      </c>
      <c r="I866" s="4">
        <v>21.48</v>
      </c>
      <c r="J866" s="5">
        <v>0.15000000000000002</v>
      </c>
      <c r="K866" s="6">
        <v>1</v>
      </c>
      <c r="L866" s="6">
        <v>4</v>
      </c>
      <c r="M866" t="s">
        <v>58</v>
      </c>
      <c r="N866" t="s">
        <v>69</v>
      </c>
      <c r="O866" t="s">
        <v>64</v>
      </c>
    </row>
    <row r="867" spans="1:15">
      <c r="A867" t="s">
        <v>964</v>
      </c>
      <c r="B867" s="3">
        <v>45950</v>
      </c>
      <c r="C867" t="s">
        <v>82</v>
      </c>
      <c r="D867" t="s">
        <v>62</v>
      </c>
      <c r="E867" t="s">
        <v>67</v>
      </c>
      <c r="F867" t="s">
        <v>94</v>
      </c>
      <c r="G867" s="6">
        <v>2</v>
      </c>
      <c r="H867" s="4">
        <v>34.26</v>
      </c>
      <c r="I867" s="4">
        <v>17.12</v>
      </c>
      <c r="J867" s="5">
        <v>0</v>
      </c>
      <c r="K867" s="6">
        <v>4</v>
      </c>
      <c r="L867" s="6">
        <v>5</v>
      </c>
      <c r="M867" t="s">
        <v>58</v>
      </c>
      <c r="N867" t="s">
        <v>59</v>
      </c>
      <c r="O867" t="s">
        <v>60</v>
      </c>
    </row>
    <row r="868" spans="1:15">
      <c r="A868" t="s">
        <v>965</v>
      </c>
      <c r="B868" s="3">
        <v>45889</v>
      </c>
      <c r="C868" t="s">
        <v>66</v>
      </c>
      <c r="D868" t="s">
        <v>62</v>
      </c>
      <c r="E868" t="s">
        <v>67</v>
      </c>
      <c r="F868" t="s">
        <v>68</v>
      </c>
      <c r="G868" s="6">
        <v>1</v>
      </c>
      <c r="H868" s="4">
        <v>39.909999999999997</v>
      </c>
      <c r="I868" s="4">
        <v>19.88</v>
      </c>
      <c r="J868" s="5">
        <v>0</v>
      </c>
      <c r="K868" s="6">
        <v>6</v>
      </c>
      <c r="L868" s="6">
        <v>4</v>
      </c>
      <c r="M868" t="s">
        <v>58</v>
      </c>
      <c r="N868" t="s">
        <v>59</v>
      </c>
      <c r="O868" t="s">
        <v>64</v>
      </c>
    </row>
    <row r="869" spans="1:15">
      <c r="A869" t="s">
        <v>966</v>
      </c>
      <c r="B869" s="3">
        <v>46021</v>
      </c>
      <c r="C869" t="s">
        <v>66</v>
      </c>
      <c r="D869" t="s">
        <v>62</v>
      </c>
      <c r="E869" t="s">
        <v>79</v>
      </c>
      <c r="F869" t="s">
        <v>85</v>
      </c>
      <c r="G869" s="6">
        <v>2</v>
      </c>
      <c r="H869" s="4">
        <v>131.38</v>
      </c>
      <c r="I869" s="4">
        <v>87.73</v>
      </c>
      <c r="J869" s="5">
        <v>0.25</v>
      </c>
      <c r="K869" s="6">
        <v>5</v>
      </c>
      <c r="L869" s="6">
        <v>4</v>
      </c>
      <c r="M869" t="s">
        <v>58</v>
      </c>
      <c r="N869" t="s">
        <v>59</v>
      </c>
      <c r="O869" t="s">
        <v>64</v>
      </c>
    </row>
    <row r="870" spans="1:15">
      <c r="A870" t="s">
        <v>967</v>
      </c>
      <c r="B870" s="3">
        <v>45773</v>
      </c>
      <c r="C870" t="s">
        <v>66</v>
      </c>
      <c r="D870" t="s">
        <v>62</v>
      </c>
      <c r="E870" t="s">
        <v>79</v>
      </c>
      <c r="F870" t="s">
        <v>92</v>
      </c>
      <c r="G870" s="6">
        <v>1</v>
      </c>
      <c r="H870" s="4">
        <v>49.99</v>
      </c>
      <c r="I870" s="4">
        <v>27.3</v>
      </c>
      <c r="J870" s="5">
        <v>0.05</v>
      </c>
      <c r="K870" s="6">
        <v>4</v>
      </c>
      <c r="L870" s="6">
        <v>3</v>
      </c>
      <c r="M870" t="s">
        <v>126</v>
      </c>
      <c r="N870" t="s">
        <v>59</v>
      </c>
      <c r="O870" t="s">
        <v>73</v>
      </c>
    </row>
    <row r="871" spans="1:15">
      <c r="A871" t="s">
        <v>968</v>
      </c>
      <c r="B871" s="3">
        <v>45762</v>
      </c>
      <c r="C871" t="s">
        <v>82</v>
      </c>
      <c r="D871" t="s">
        <v>55</v>
      </c>
      <c r="E871" t="s">
        <v>56</v>
      </c>
      <c r="F871" t="s">
        <v>89</v>
      </c>
      <c r="G871" s="6">
        <v>2</v>
      </c>
      <c r="H871" s="4">
        <v>81.89</v>
      </c>
      <c r="I871" s="4">
        <v>45.73</v>
      </c>
      <c r="J871" s="5">
        <v>0.05</v>
      </c>
      <c r="K871" s="6">
        <v>2</v>
      </c>
      <c r="L871" s="6">
        <v>4</v>
      </c>
      <c r="M871" t="s">
        <v>58</v>
      </c>
      <c r="N871" t="s">
        <v>59</v>
      </c>
      <c r="O871" t="s">
        <v>64</v>
      </c>
    </row>
    <row r="872" spans="1:15">
      <c r="A872" t="s">
        <v>969</v>
      </c>
      <c r="B872" s="3">
        <v>45814</v>
      </c>
      <c r="C872" t="s">
        <v>78</v>
      </c>
      <c r="D872" t="s">
        <v>55</v>
      </c>
      <c r="E872" t="s">
        <v>79</v>
      </c>
      <c r="F872" t="s">
        <v>80</v>
      </c>
      <c r="G872" s="6">
        <v>1</v>
      </c>
      <c r="H872" s="4">
        <v>75.8</v>
      </c>
      <c r="I872" s="4">
        <v>44.14</v>
      </c>
      <c r="J872" s="5">
        <v>0.05</v>
      </c>
      <c r="K872" s="6">
        <v>5</v>
      </c>
      <c r="L872" s="6">
        <v>3</v>
      </c>
      <c r="M872" t="s">
        <v>126</v>
      </c>
      <c r="N872" t="s">
        <v>69</v>
      </c>
      <c r="O872" t="s">
        <v>64</v>
      </c>
    </row>
    <row r="873" spans="1:15">
      <c r="A873" t="s">
        <v>970</v>
      </c>
      <c r="B873" s="3">
        <v>45791</v>
      </c>
      <c r="C873" t="s">
        <v>82</v>
      </c>
      <c r="D873" t="s">
        <v>55</v>
      </c>
      <c r="E873" t="s">
        <v>79</v>
      </c>
      <c r="F873" t="s">
        <v>92</v>
      </c>
      <c r="G873" s="6">
        <v>2</v>
      </c>
      <c r="H873" s="4">
        <v>51.43</v>
      </c>
      <c r="I873" s="4">
        <v>26.23</v>
      </c>
      <c r="J873" s="5">
        <v>0</v>
      </c>
      <c r="K873" s="6">
        <v>5</v>
      </c>
      <c r="L873" s="6">
        <v>4</v>
      </c>
      <c r="M873" t="s">
        <v>58</v>
      </c>
      <c r="N873" t="s">
        <v>87</v>
      </c>
      <c r="O873" t="s">
        <v>60</v>
      </c>
    </row>
    <row r="874" spans="1:15">
      <c r="A874" t="s">
        <v>971</v>
      </c>
      <c r="B874" s="3">
        <v>45998</v>
      </c>
      <c r="C874" t="s">
        <v>66</v>
      </c>
      <c r="D874" t="s">
        <v>129</v>
      </c>
      <c r="E874" t="s">
        <v>67</v>
      </c>
      <c r="F874" t="s">
        <v>94</v>
      </c>
      <c r="G874" s="6">
        <v>4</v>
      </c>
      <c r="H874" s="4">
        <v>36.340000000000003</v>
      </c>
      <c r="I874" s="4">
        <v>17.68</v>
      </c>
      <c r="J874" s="5">
        <v>0.2</v>
      </c>
      <c r="K874" s="6">
        <v>4</v>
      </c>
      <c r="L874" s="6">
        <v>5</v>
      </c>
      <c r="M874" t="s">
        <v>58</v>
      </c>
      <c r="N874" t="s">
        <v>59</v>
      </c>
      <c r="O874" t="s">
        <v>64</v>
      </c>
    </row>
    <row r="875" spans="1:15">
      <c r="A875" t="s">
        <v>972</v>
      </c>
      <c r="B875" s="3">
        <v>45979</v>
      </c>
      <c r="C875" t="s">
        <v>78</v>
      </c>
      <c r="D875" t="s">
        <v>62</v>
      </c>
      <c r="E875" t="s">
        <v>67</v>
      </c>
      <c r="F875" t="s">
        <v>68</v>
      </c>
      <c r="G875" s="6">
        <v>1</v>
      </c>
      <c r="H875" s="4">
        <v>40.659999999999997</v>
      </c>
      <c r="I875" s="4">
        <v>18.62</v>
      </c>
      <c r="J875" s="5">
        <v>0</v>
      </c>
      <c r="K875" s="6">
        <v>3</v>
      </c>
      <c r="L875" s="6">
        <v>5</v>
      </c>
      <c r="M875" t="s">
        <v>58</v>
      </c>
      <c r="N875" t="s">
        <v>69</v>
      </c>
      <c r="O875" t="s">
        <v>73</v>
      </c>
    </row>
    <row r="876" spans="1:15">
      <c r="A876" t="s">
        <v>973</v>
      </c>
      <c r="B876" s="3">
        <v>46004</v>
      </c>
      <c r="C876" t="s">
        <v>66</v>
      </c>
      <c r="D876" t="s">
        <v>62</v>
      </c>
      <c r="E876" t="s">
        <v>67</v>
      </c>
      <c r="F876" t="s">
        <v>71</v>
      </c>
      <c r="G876" s="6">
        <v>1</v>
      </c>
      <c r="H876" s="4">
        <v>69.290000000000006</v>
      </c>
      <c r="I876" s="4">
        <v>38.619999999999997</v>
      </c>
      <c r="J876" s="5">
        <v>0.1</v>
      </c>
      <c r="K876" s="6">
        <v>0</v>
      </c>
      <c r="L876" s="6">
        <v>5</v>
      </c>
      <c r="M876" t="s">
        <v>58</v>
      </c>
      <c r="N876" t="s">
        <v>69</v>
      </c>
      <c r="O876" t="s">
        <v>64</v>
      </c>
    </row>
    <row r="877" spans="1:15">
      <c r="A877" t="s">
        <v>974</v>
      </c>
      <c r="B877" s="3">
        <v>45662</v>
      </c>
      <c r="C877" t="s">
        <v>66</v>
      </c>
      <c r="D877" t="s">
        <v>62</v>
      </c>
      <c r="E877" t="s">
        <v>79</v>
      </c>
      <c r="F877" t="s">
        <v>80</v>
      </c>
      <c r="G877" s="6">
        <v>1</v>
      </c>
      <c r="H877" s="4">
        <v>77.81</v>
      </c>
      <c r="I877" s="4">
        <v>43.42</v>
      </c>
      <c r="J877" s="5">
        <v>0.05</v>
      </c>
      <c r="K877" s="6">
        <v>3</v>
      </c>
      <c r="L877" s="6">
        <v>5</v>
      </c>
      <c r="M877" t="s">
        <v>58</v>
      </c>
      <c r="N877" t="s">
        <v>59</v>
      </c>
      <c r="O877" t="s">
        <v>64</v>
      </c>
    </row>
    <row r="878" spans="1:15">
      <c r="A878" t="s">
        <v>975</v>
      </c>
      <c r="B878" s="3">
        <v>45689</v>
      </c>
      <c r="C878" t="s">
        <v>78</v>
      </c>
      <c r="D878" t="s">
        <v>62</v>
      </c>
      <c r="E878" t="s">
        <v>75</v>
      </c>
      <c r="F878" t="s">
        <v>76</v>
      </c>
      <c r="G878" s="6">
        <v>2</v>
      </c>
      <c r="H878" s="4">
        <v>120.87</v>
      </c>
      <c r="I878" s="4">
        <v>70.17</v>
      </c>
      <c r="J878" s="5">
        <v>0.1</v>
      </c>
      <c r="K878" s="6">
        <v>4</v>
      </c>
      <c r="L878" s="6">
        <v>4</v>
      </c>
      <c r="M878" t="s">
        <v>58</v>
      </c>
      <c r="N878" t="s">
        <v>69</v>
      </c>
      <c r="O878" t="s">
        <v>73</v>
      </c>
    </row>
    <row r="879" spans="1:15">
      <c r="A879" t="s">
        <v>976</v>
      </c>
      <c r="B879" s="3">
        <v>45997</v>
      </c>
      <c r="C879" t="s">
        <v>82</v>
      </c>
      <c r="D879" t="s">
        <v>62</v>
      </c>
      <c r="E879" t="s">
        <v>79</v>
      </c>
      <c r="F879" t="s">
        <v>80</v>
      </c>
      <c r="G879" s="6">
        <v>1</v>
      </c>
      <c r="H879" s="4">
        <v>73.13</v>
      </c>
      <c r="I879" s="4">
        <v>41.81</v>
      </c>
      <c r="J879" s="5">
        <v>0.1</v>
      </c>
      <c r="K879" s="6">
        <v>2</v>
      </c>
      <c r="L879" s="6">
        <v>5</v>
      </c>
      <c r="M879" t="s">
        <v>58</v>
      </c>
      <c r="N879" t="s">
        <v>69</v>
      </c>
      <c r="O879" t="s">
        <v>60</v>
      </c>
    </row>
    <row r="880" spans="1:15">
      <c r="A880" t="s">
        <v>977</v>
      </c>
      <c r="B880" s="3">
        <v>45914</v>
      </c>
      <c r="C880" t="s">
        <v>66</v>
      </c>
      <c r="D880" t="s">
        <v>55</v>
      </c>
      <c r="E880" t="s">
        <v>67</v>
      </c>
      <c r="F880" t="s">
        <v>107</v>
      </c>
      <c r="G880" s="6">
        <v>4</v>
      </c>
      <c r="H880" s="4">
        <v>45.69</v>
      </c>
      <c r="I880" s="4">
        <v>20.64</v>
      </c>
      <c r="J880" s="5">
        <v>0.05</v>
      </c>
      <c r="K880" s="6">
        <v>7</v>
      </c>
      <c r="L880" s="6">
        <v>4</v>
      </c>
      <c r="M880" t="s">
        <v>58</v>
      </c>
      <c r="N880" t="s">
        <v>59</v>
      </c>
      <c r="O880" t="s">
        <v>64</v>
      </c>
    </row>
    <row r="881" spans="1:15">
      <c r="A881" t="s">
        <v>978</v>
      </c>
      <c r="B881" s="3">
        <v>45732</v>
      </c>
      <c r="C881" t="s">
        <v>54</v>
      </c>
      <c r="D881" t="s">
        <v>62</v>
      </c>
      <c r="E881" t="s">
        <v>75</v>
      </c>
      <c r="F881" t="s">
        <v>76</v>
      </c>
      <c r="G881" s="6">
        <v>2</v>
      </c>
      <c r="H881" s="4">
        <v>121.76</v>
      </c>
      <c r="I881" s="4">
        <v>70.33</v>
      </c>
      <c r="J881" s="5">
        <v>0.1</v>
      </c>
      <c r="K881" s="6">
        <v>7</v>
      </c>
      <c r="L881" s="6">
        <v>4</v>
      </c>
      <c r="M881" t="s">
        <v>58</v>
      </c>
      <c r="N881" t="s">
        <v>59</v>
      </c>
      <c r="O881" t="s">
        <v>64</v>
      </c>
    </row>
    <row r="882" spans="1:15">
      <c r="A882" t="s">
        <v>979</v>
      </c>
      <c r="B882" s="3">
        <v>45884</v>
      </c>
      <c r="C882" t="s">
        <v>82</v>
      </c>
      <c r="D882" t="s">
        <v>55</v>
      </c>
      <c r="E882" t="s">
        <v>56</v>
      </c>
      <c r="F882" t="s">
        <v>89</v>
      </c>
      <c r="G882" s="6">
        <v>1</v>
      </c>
      <c r="H882" s="4">
        <v>79.25</v>
      </c>
      <c r="I882" s="4">
        <v>45.53</v>
      </c>
      <c r="J882" s="5">
        <v>0.05</v>
      </c>
      <c r="K882" s="6">
        <v>4</v>
      </c>
      <c r="L882" s="6">
        <v>4</v>
      </c>
      <c r="M882" t="s">
        <v>58</v>
      </c>
      <c r="N882" t="s">
        <v>59</v>
      </c>
      <c r="O882" t="s">
        <v>73</v>
      </c>
    </row>
    <row r="883" spans="1:15">
      <c r="A883" t="s">
        <v>980</v>
      </c>
      <c r="B883" s="3">
        <v>45785</v>
      </c>
      <c r="C883" t="s">
        <v>82</v>
      </c>
      <c r="D883" t="s">
        <v>62</v>
      </c>
      <c r="E883" t="s">
        <v>56</v>
      </c>
      <c r="F883" t="s">
        <v>57</v>
      </c>
      <c r="G883" s="6">
        <v>3</v>
      </c>
      <c r="H883" s="4">
        <v>109.63</v>
      </c>
      <c r="I883" s="4">
        <v>65.400000000000006</v>
      </c>
      <c r="J883" s="5">
        <v>0.05</v>
      </c>
      <c r="K883" s="6">
        <v>4</v>
      </c>
      <c r="L883" s="6">
        <v>4</v>
      </c>
      <c r="M883" t="s">
        <v>58</v>
      </c>
      <c r="N883" t="s">
        <v>69</v>
      </c>
      <c r="O883" t="s">
        <v>64</v>
      </c>
    </row>
    <row r="884" spans="1:15">
      <c r="A884" t="s">
        <v>981</v>
      </c>
      <c r="B884" s="3">
        <v>45893</v>
      </c>
      <c r="C884" t="s">
        <v>54</v>
      </c>
      <c r="D884" t="s">
        <v>62</v>
      </c>
      <c r="E884" t="s">
        <v>79</v>
      </c>
      <c r="F884" t="s">
        <v>85</v>
      </c>
      <c r="G884" s="6">
        <v>2</v>
      </c>
      <c r="H884" s="4">
        <v>128.04</v>
      </c>
      <c r="I884" s="4">
        <v>86.8</v>
      </c>
      <c r="J884" s="5">
        <v>0</v>
      </c>
      <c r="K884" s="6">
        <v>7</v>
      </c>
      <c r="L884" s="6">
        <v>4</v>
      </c>
      <c r="M884" t="s">
        <v>58</v>
      </c>
      <c r="N884" t="s">
        <v>59</v>
      </c>
      <c r="O884" t="s">
        <v>60</v>
      </c>
    </row>
    <row r="885" spans="1:15">
      <c r="A885" t="s">
        <v>982</v>
      </c>
      <c r="B885" s="3">
        <v>45737</v>
      </c>
      <c r="C885" t="s">
        <v>82</v>
      </c>
      <c r="D885" t="s">
        <v>62</v>
      </c>
      <c r="E885" t="s">
        <v>79</v>
      </c>
      <c r="F885" t="s">
        <v>85</v>
      </c>
      <c r="G885" s="6">
        <v>1</v>
      </c>
      <c r="H885" s="4">
        <v>131.03</v>
      </c>
      <c r="I885" s="4">
        <v>86.94</v>
      </c>
      <c r="J885" s="5">
        <v>0</v>
      </c>
      <c r="K885" s="6">
        <v>3</v>
      </c>
      <c r="L885" s="6">
        <v>4</v>
      </c>
      <c r="M885" t="s">
        <v>58</v>
      </c>
      <c r="N885" t="s">
        <v>59</v>
      </c>
      <c r="O885" t="s">
        <v>64</v>
      </c>
    </row>
    <row r="886" spans="1:15">
      <c r="A886" t="s">
        <v>983</v>
      </c>
      <c r="B886" s="3">
        <v>45795</v>
      </c>
      <c r="C886" t="s">
        <v>82</v>
      </c>
      <c r="D886" t="s">
        <v>62</v>
      </c>
      <c r="E886" t="s">
        <v>67</v>
      </c>
      <c r="F886" t="s">
        <v>94</v>
      </c>
      <c r="G886" s="6">
        <v>1</v>
      </c>
      <c r="H886" s="4">
        <v>34.69</v>
      </c>
      <c r="I886" s="4">
        <v>17.420000000000002</v>
      </c>
      <c r="J886" s="5">
        <v>0</v>
      </c>
      <c r="K886" s="6">
        <v>4</v>
      </c>
      <c r="L886" s="6">
        <v>5</v>
      </c>
      <c r="M886" t="s">
        <v>58</v>
      </c>
      <c r="N886" t="s">
        <v>59</v>
      </c>
      <c r="O886" t="s">
        <v>64</v>
      </c>
    </row>
    <row r="887" spans="1:15">
      <c r="A887" t="s">
        <v>984</v>
      </c>
      <c r="B887" s="3">
        <v>45789</v>
      </c>
      <c r="C887" t="s">
        <v>66</v>
      </c>
      <c r="D887" t="s">
        <v>62</v>
      </c>
      <c r="E887" t="s">
        <v>67</v>
      </c>
      <c r="F887" t="s">
        <v>71</v>
      </c>
      <c r="G887" s="6">
        <v>1</v>
      </c>
      <c r="H887" s="4">
        <v>70.430000000000007</v>
      </c>
      <c r="I887" s="4">
        <v>37.97</v>
      </c>
      <c r="J887" s="5">
        <v>0.15000000000000002</v>
      </c>
      <c r="K887" s="6">
        <v>5</v>
      </c>
      <c r="L887" s="6">
        <v>4</v>
      </c>
      <c r="M887" t="s">
        <v>58</v>
      </c>
      <c r="N887" t="s">
        <v>59</v>
      </c>
      <c r="O887" t="s">
        <v>60</v>
      </c>
    </row>
    <row r="888" spans="1:15">
      <c r="A888" t="s">
        <v>985</v>
      </c>
      <c r="B888" s="3">
        <v>45942</v>
      </c>
      <c r="C888" t="s">
        <v>78</v>
      </c>
      <c r="D888" t="s">
        <v>55</v>
      </c>
      <c r="E888" t="s">
        <v>56</v>
      </c>
      <c r="F888" t="s">
        <v>89</v>
      </c>
      <c r="G888" s="6">
        <v>4</v>
      </c>
      <c r="H888" s="4">
        <v>82.02</v>
      </c>
      <c r="I888" s="4">
        <v>46.09</v>
      </c>
      <c r="J888" s="5">
        <v>0</v>
      </c>
      <c r="K888" s="6">
        <v>4</v>
      </c>
      <c r="L888" s="6">
        <v>4</v>
      </c>
      <c r="M888" t="s">
        <v>58</v>
      </c>
      <c r="N888" t="s">
        <v>59</v>
      </c>
      <c r="O888" t="s">
        <v>64</v>
      </c>
    </row>
    <row r="889" spans="1:15">
      <c r="A889" t="s">
        <v>986</v>
      </c>
      <c r="B889" s="3">
        <v>45868</v>
      </c>
      <c r="C889" t="s">
        <v>78</v>
      </c>
      <c r="D889" t="s">
        <v>62</v>
      </c>
      <c r="E889" t="s">
        <v>56</v>
      </c>
      <c r="F889" t="s">
        <v>89</v>
      </c>
      <c r="G889" s="6">
        <v>1</v>
      </c>
      <c r="H889" s="4">
        <v>79.94</v>
      </c>
      <c r="I889" s="4">
        <v>44.81</v>
      </c>
      <c r="J889" s="5">
        <v>0</v>
      </c>
      <c r="K889" s="6">
        <v>7</v>
      </c>
      <c r="L889" s="6">
        <v>4</v>
      </c>
      <c r="M889" t="s">
        <v>58</v>
      </c>
      <c r="N889" t="s">
        <v>59</v>
      </c>
      <c r="O889" t="s">
        <v>73</v>
      </c>
    </row>
    <row r="890" spans="1:15">
      <c r="A890" t="s">
        <v>987</v>
      </c>
      <c r="B890" s="3">
        <v>46013</v>
      </c>
      <c r="C890" t="s">
        <v>78</v>
      </c>
      <c r="D890" t="s">
        <v>62</v>
      </c>
      <c r="E890" t="s">
        <v>79</v>
      </c>
      <c r="F890" t="s">
        <v>80</v>
      </c>
      <c r="G890" s="6">
        <v>1</v>
      </c>
      <c r="H890" s="4">
        <v>76.41</v>
      </c>
      <c r="I890" s="4">
        <v>43.05</v>
      </c>
      <c r="J890" s="5">
        <v>0</v>
      </c>
      <c r="K890" s="6">
        <v>1</v>
      </c>
      <c r="L890" s="6">
        <v>5</v>
      </c>
      <c r="M890" t="s">
        <v>58</v>
      </c>
      <c r="N890" t="s">
        <v>59</v>
      </c>
      <c r="O890" t="s">
        <v>64</v>
      </c>
    </row>
    <row r="891" spans="1:15">
      <c r="A891" t="s">
        <v>988</v>
      </c>
      <c r="B891" s="3">
        <v>45903</v>
      </c>
      <c r="C891" t="s">
        <v>78</v>
      </c>
      <c r="D891" t="s">
        <v>62</v>
      </c>
      <c r="E891" t="s">
        <v>67</v>
      </c>
      <c r="F891" t="s">
        <v>107</v>
      </c>
      <c r="G891" s="6">
        <v>1</v>
      </c>
      <c r="H891" s="4">
        <v>45.65</v>
      </c>
      <c r="I891" s="4">
        <v>20.45</v>
      </c>
      <c r="J891" s="5">
        <v>0</v>
      </c>
      <c r="K891" s="6">
        <v>2</v>
      </c>
      <c r="L891" s="6">
        <v>4</v>
      </c>
      <c r="M891" t="s">
        <v>58</v>
      </c>
      <c r="N891" t="s">
        <v>59</v>
      </c>
      <c r="O891" t="s">
        <v>64</v>
      </c>
    </row>
    <row r="892" spans="1:15">
      <c r="A892" t="s">
        <v>989</v>
      </c>
      <c r="B892" s="3">
        <v>45712</v>
      </c>
      <c r="C892" t="s">
        <v>66</v>
      </c>
      <c r="D892" t="s">
        <v>62</v>
      </c>
      <c r="E892" t="s">
        <v>67</v>
      </c>
      <c r="F892" t="s">
        <v>94</v>
      </c>
      <c r="G892" s="6">
        <v>1</v>
      </c>
      <c r="H892" s="4">
        <v>35.22</v>
      </c>
      <c r="I892" s="4">
        <v>17.04</v>
      </c>
      <c r="J892" s="5">
        <v>0.2</v>
      </c>
      <c r="K892" s="6">
        <v>0</v>
      </c>
      <c r="L892" s="6">
        <v>4</v>
      </c>
      <c r="M892" t="s">
        <v>58</v>
      </c>
      <c r="N892" t="s">
        <v>69</v>
      </c>
      <c r="O892" t="s">
        <v>73</v>
      </c>
    </row>
    <row r="893" spans="1:15">
      <c r="A893" t="s">
        <v>990</v>
      </c>
      <c r="B893" s="3">
        <v>45781</v>
      </c>
      <c r="C893" t="s">
        <v>66</v>
      </c>
      <c r="D893" t="s">
        <v>55</v>
      </c>
      <c r="E893" t="s">
        <v>56</v>
      </c>
      <c r="F893" t="s">
        <v>83</v>
      </c>
      <c r="G893" s="6">
        <v>4</v>
      </c>
      <c r="H893" s="4">
        <v>64.75</v>
      </c>
      <c r="I893" s="4">
        <v>34.549999999999997</v>
      </c>
      <c r="J893" s="5">
        <v>0.05</v>
      </c>
      <c r="K893" s="6">
        <v>0</v>
      </c>
      <c r="L893" s="6">
        <v>3</v>
      </c>
      <c r="M893" t="s">
        <v>126</v>
      </c>
      <c r="N893" t="s">
        <v>69</v>
      </c>
      <c r="O893" t="s">
        <v>64</v>
      </c>
    </row>
    <row r="894" spans="1:15">
      <c r="A894" t="s">
        <v>991</v>
      </c>
      <c r="B894" s="3">
        <v>45679</v>
      </c>
      <c r="C894" t="s">
        <v>78</v>
      </c>
      <c r="D894" t="s">
        <v>62</v>
      </c>
      <c r="E894" t="s">
        <v>79</v>
      </c>
      <c r="F894" t="s">
        <v>115</v>
      </c>
      <c r="G894" s="6">
        <v>2</v>
      </c>
      <c r="H894" s="4">
        <v>61.09</v>
      </c>
      <c r="I894" s="4">
        <v>34.479999999999997</v>
      </c>
      <c r="J894" s="5">
        <v>0</v>
      </c>
      <c r="K894" s="6">
        <v>0</v>
      </c>
      <c r="L894" s="6">
        <v>4</v>
      </c>
      <c r="M894" t="s">
        <v>58</v>
      </c>
      <c r="N894" t="s">
        <v>69</v>
      </c>
      <c r="O894" t="s">
        <v>64</v>
      </c>
    </row>
    <row r="895" spans="1:15">
      <c r="A895" t="s">
        <v>992</v>
      </c>
      <c r="B895" s="3">
        <v>46011</v>
      </c>
      <c r="C895" t="s">
        <v>82</v>
      </c>
      <c r="D895" t="s">
        <v>62</v>
      </c>
      <c r="E895" t="s">
        <v>67</v>
      </c>
      <c r="F895" t="s">
        <v>107</v>
      </c>
      <c r="G895" s="6">
        <v>1</v>
      </c>
      <c r="H895" s="4">
        <v>46.08</v>
      </c>
      <c r="I895" s="4">
        <v>20.59</v>
      </c>
      <c r="J895" s="5">
        <v>0</v>
      </c>
      <c r="K895" s="6">
        <v>0</v>
      </c>
      <c r="L895" s="6">
        <v>4</v>
      </c>
      <c r="M895" t="s">
        <v>58</v>
      </c>
      <c r="N895" t="s">
        <v>69</v>
      </c>
      <c r="O895" t="s">
        <v>64</v>
      </c>
    </row>
    <row r="896" spans="1:15">
      <c r="A896" t="s">
        <v>993</v>
      </c>
      <c r="B896" s="3">
        <v>45822</v>
      </c>
      <c r="C896" t="s">
        <v>78</v>
      </c>
      <c r="D896" t="s">
        <v>62</v>
      </c>
      <c r="E896" t="s">
        <v>79</v>
      </c>
      <c r="F896" t="s">
        <v>92</v>
      </c>
      <c r="G896" s="6">
        <v>2</v>
      </c>
      <c r="H896" s="4">
        <v>50.67</v>
      </c>
      <c r="I896" s="4">
        <v>26.56</v>
      </c>
      <c r="J896" s="5">
        <v>0</v>
      </c>
      <c r="K896" s="6">
        <v>0</v>
      </c>
      <c r="L896" s="6">
        <v>4</v>
      </c>
      <c r="M896" t="s">
        <v>58</v>
      </c>
      <c r="N896" t="s">
        <v>69</v>
      </c>
      <c r="O896" t="s">
        <v>60</v>
      </c>
    </row>
    <row r="897" spans="1:15">
      <c r="A897" t="s">
        <v>994</v>
      </c>
      <c r="B897" s="3">
        <v>45818</v>
      </c>
      <c r="C897" t="s">
        <v>54</v>
      </c>
      <c r="D897" t="s">
        <v>62</v>
      </c>
      <c r="E897" t="s">
        <v>67</v>
      </c>
      <c r="F897" t="s">
        <v>94</v>
      </c>
      <c r="G897" s="6">
        <v>2</v>
      </c>
      <c r="H897" s="4">
        <v>35.049999999999997</v>
      </c>
      <c r="I897" s="4">
        <v>17.649999999999999</v>
      </c>
      <c r="J897" s="5">
        <v>0.05</v>
      </c>
      <c r="K897" s="6">
        <v>1</v>
      </c>
      <c r="L897" s="6">
        <v>4</v>
      </c>
      <c r="M897" t="s">
        <v>58</v>
      </c>
      <c r="N897" t="s">
        <v>59</v>
      </c>
      <c r="O897" t="s">
        <v>60</v>
      </c>
    </row>
    <row r="898" spans="1:15">
      <c r="A898" t="s">
        <v>995</v>
      </c>
      <c r="B898" s="3">
        <v>45906</v>
      </c>
      <c r="C898" t="s">
        <v>66</v>
      </c>
      <c r="D898" t="s">
        <v>62</v>
      </c>
      <c r="E898" t="s">
        <v>56</v>
      </c>
      <c r="F898" t="s">
        <v>83</v>
      </c>
      <c r="G898" s="6">
        <v>2</v>
      </c>
      <c r="H898" s="4">
        <v>67.38</v>
      </c>
      <c r="I898" s="4">
        <v>35.35</v>
      </c>
      <c r="J898" s="5">
        <v>0.1</v>
      </c>
      <c r="K898" s="6">
        <v>5</v>
      </c>
      <c r="L898" s="6">
        <v>5</v>
      </c>
      <c r="M898" t="s">
        <v>58</v>
      </c>
      <c r="N898" t="s">
        <v>59</v>
      </c>
      <c r="O898" t="s">
        <v>64</v>
      </c>
    </row>
    <row r="899" spans="1:15">
      <c r="A899" t="s">
        <v>996</v>
      </c>
      <c r="B899" s="3">
        <v>45961</v>
      </c>
      <c r="C899" t="s">
        <v>66</v>
      </c>
      <c r="D899" t="s">
        <v>62</v>
      </c>
      <c r="E899" t="s">
        <v>56</v>
      </c>
      <c r="F899" t="s">
        <v>89</v>
      </c>
      <c r="G899" s="6">
        <v>1</v>
      </c>
      <c r="H899" s="4">
        <v>80.2</v>
      </c>
      <c r="I899" s="4">
        <v>46.58</v>
      </c>
      <c r="J899" s="5">
        <v>0.1</v>
      </c>
      <c r="K899" s="6">
        <v>6</v>
      </c>
      <c r="L899" s="6">
        <v>4</v>
      </c>
      <c r="M899" t="s">
        <v>58</v>
      </c>
      <c r="N899" t="s">
        <v>59</v>
      </c>
      <c r="O899" t="s">
        <v>64</v>
      </c>
    </row>
    <row r="900" spans="1:15">
      <c r="A900" t="s">
        <v>997</v>
      </c>
      <c r="B900" s="3">
        <v>45976</v>
      </c>
      <c r="C900" t="s">
        <v>82</v>
      </c>
      <c r="D900" t="s">
        <v>62</v>
      </c>
      <c r="E900" t="s">
        <v>79</v>
      </c>
      <c r="F900" t="s">
        <v>92</v>
      </c>
      <c r="G900" s="6">
        <v>3</v>
      </c>
      <c r="H900" s="4">
        <v>50.38</v>
      </c>
      <c r="I900" s="4">
        <v>26.92</v>
      </c>
      <c r="J900" s="5">
        <v>0.1</v>
      </c>
      <c r="K900" s="6">
        <v>2</v>
      </c>
      <c r="L900" s="6">
        <v>5</v>
      </c>
      <c r="M900" t="s">
        <v>58</v>
      </c>
      <c r="N900" t="s">
        <v>69</v>
      </c>
      <c r="O900" t="s">
        <v>60</v>
      </c>
    </row>
    <row r="901" spans="1:15">
      <c r="A901" t="s">
        <v>998</v>
      </c>
      <c r="B901" s="3">
        <v>45992</v>
      </c>
      <c r="C901" t="s">
        <v>78</v>
      </c>
      <c r="D901" t="s">
        <v>62</v>
      </c>
      <c r="E901" t="s">
        <v>56</v>
      </c>
      <c r="F901" t="s">
        <v>63</v>
      </c>
      <c r="G901" s="6">
        <v>1</v>
      </c>
      <c r="H901" s="4">
        <v>38.82</v>
      </c>
      <c r="I901" s="4">
        <v>20.22</v>
      </c>
      <c r="J901" s="5">
        <v>0.1</v>
      </c>
      <c r="K901" s="6">
        <v>0</v>
      </c>
      <c r="L901" s="6">
        <v>4</v>
      </c>
      <c r="M901" t="s">
        <v>58</v>
      </c>
      <c r="N901" t="s">
        <v>69</v>
      </c>
      <c r="O901" t="s">
        <v>64</v>
      </c>
    </row>
    <row r="902" spans="1:15">
      <c r="A902" t="s">
        <v>999</v>
      </c>
      <c r="B902" s="3">
        <v>45941</v>
      </c>
      <c r="C902" t="s">
        <v>66</v>
      </c>
      <c r="D902" t="s">
        <v>62</v>
      </c>
      <c r="E902" t="s">
        <v>56</v>
      </c>
      <c r="F902" t="s">
        <v>89</v>
      </c>
      <c r="G902" s="6">
        <v>3</v>
      </c>
      <c r="H902" s="4">
        <v>82.18</v>
      </c>
      <c r="I902" s="4">
        <v>44.61</v>
      </c>
      <c r="J902" s="5">
        <v>0</v>
      </c>
      <c r="K902" s="6">
        <v>0</v>
      </c>
      <c r="L902" s="6">
        <v>5</v>
      </c>
      <c r="M902" t="s">
        <v>58</v>
      </c>
      <c r="N902" t="s">
        <v>69</v>
      </c>
      <c r="O902" t="s">
        <v>64</v>
      </c>
    </row>
    <row r="903" spans="1:15">
      <c r="A903" t="s">
        <v>1000</v>
      </c>
      <c r="B903" s="3">
        <v>45812</v>
      </c>
      <c r="C903" t="s">
        <v>66</v>
      </c>
      <c r="D903" t="s">
        <v>62</v>
      </c>
      <c r="E903" t="s">
        <v>79</v>
      </c>
      <c r="F903" t="s">
        <v>115</v>
      </c>
      <c r="G903" s="6">
        <v>1</v>
      </c>
      <c r="H903" s="4">
        <v>60.1</v>
      </c>
      <c r="I903" s="4">
        <v>33.4</v>
      </c>
      <c r="J903" s="5">
        <v>0</v>
      </c>
      <c r="K903" s="6">
        <v>7</v>
      </c>
      <c r="L903" s="6">
        <v>3</v>
      </c>
      <c r="M903" t="s">
        <v>58</v>
      </c>
      <c r="N903" t="s">
        <v>59</v>
      </c>
      <c r="O903" t="s">
        <v>64</v>
      </c>
    </row>
    <row r="904" spans="1:15">
      <c r="A904" t="s">
        <v>1001</v>
      </c>
      <c r="B904" s="3">
        <v>45985</v>
      </c>
      <c r="C904" t="s">
        <v>54</v>
      </c>
      <c r="D904" t="s">
        <v>62</v>
      </c>
      <c r="E904" t="s">
        <v>79</v>
      </c>
      <c r="F904" t="s">
        <v>80</v>
      </c>
      <c r="G904" s="6">
        <v>3</v>
      </c>
      <c r="H904" s="4">
        <v>77.23</v>
      </c>
      <c r="I904" s="4">
        <v>43.91</v>
      </c>
      <c r="J904" s="5">
        <v>0.1</v>
      </c>
      <c r="K904" s="6">
        <v>1</v>
      </c>
      <c r="L904" s="6">
        <v>4</v>
      </c>
      <c r="M904" t="s">
        <v>58</v>
      </c>
      <c r="N904" t="s">
        <v>69</v>
      </c>
      <c r="O904" t="s">
        <v>73</v>
      </c>
    </row>
    <row r="905" spans="1:15">
      <c r="A905" t="s">
        <v>1002</v>
      </c>
      <c r="B905" s="3">
        <v>45993</v>
      </c>
      <c r="C905" t="s">
        <v>66</v>
      </c>
      <c r="D905" t="s">
        <v>62</v>
      </c>
      <c r="E905" t="s">
        <v>56</v>
      </c>
      <c r="F905" t="s">
        <v>57</v>
      </c>
      <c r="G905" s="6">
        <v>2</v>
      </c>
      <c r="H905" s="4">
        <v>108.33</v>
      </c>
      <c r="I905" s="4">
        <v>68.099999999999994</v>
      </c>
      <c r="J905" s="5">
        <v>0.15000000000000002</v>
      </c>
      <c r="K905" s="6">
        <v>3</v>
      </c>
      <c r="L905" s="6">
        <v>5</v>
      </c>
      <c r="M905" t="s">
        <v>58</v>
      </c>
      <c r="N905" t="s">
        <v>59</v>
      </c>
      <c r="O905" t="s">
        <v>64</v>
      </c>
    </row>
    <row r="906" spans="1:15">
      <c r="A906" t="s">
        <v>1003</v>
      </c>
      <c r="B906" s="3">
        <v>45976</v>
      </c>
      <c r="C906" t="s">
        <v>78</v>
      </c>
      <c r="D906" t="s">
        <v>55</v>
      </c>
      <c r="E906" t="s">
        <v>75</v>
      </c>
      <c r="F906" t="s">
        <v>146</v>
      </c>
      <c r="G906" s="6">
        <v>4</v>
      </c>
      <c r="H906" s="4">
        <v>181.68</v>
      </c>
      <c r="I906" s="4">
        <v>114.9</v>
      </c>
      <c r="J906" s="5">
        <v>0</v>
      </c>
      <c r="K906" s="6">
        <v>8</v>
      </c>
      <c r="L906" s="6">
        <v>3</v>
      </c>
      <c r="M906" t="s">
        <v>58</v>
      </c>
      <c r="N906" t="s">
        <v>59</v>
      </c>
      <c r="O906" t="s">
        <v>64</v>
      </c>
    </row>
    <row r="907" spans="1:15">
      <c r="A907" t="s">
        <v>1004</v>
      </c>
      <c r="B907" s="3">
        <v>46003</v>
      </c>
      <c r="C907" t="s">
        <v>78</v>
      </c>
      <c r="D907" t="s">
        <v>62</v>
      </c>
      <c r="E907" t="s">
        <v>79</v>
      </c>
      <c r="F907" t="s">
        <v>85</v>
      </c>
      <c r="G907" s="6">
        <v>1</v>
      </c>
      <c r="H907" s="4">
        <v>128.11000000000001</v>
      </c>
      <c r="I907" s="4">
        <v>83.17</v>
      </c>
      <c r="J907" s="5">
        <v>0.1</v>
      </c>
      <c r="K907" s="6">
        <v>4</v>
      </c>
      <c r="L907" s="6">
        <v>4</v>
      </c>
      <c r="M907" t="s">
        <v>58</v>
      </c>
      <c r="N907" t="s">
        <v>59</v>
      </c>
      <c r="O907" t="s">
        <v>64</v>
      </c>
    </row>
    <row r="908" spans="1:15">
      <c r="A908" t="s">
        <v>1005</v>
      </c>
      <c r="B908" s="3">
        <v>45730</v>
      </c>
      <c r="C908" t="s">
        <v>78</v>
      </c>
      <c r="D908" t="s">
        <v>55</v>
      </c>
      <c r="E908" t="s">
        <v>56</v>
      </c>
      <c r="F908" t="s">
        <v>89</v>
      </c>
      <c r="G908" s="6">
        <v>3</v>
      </c>
      <c r="H908" s="4">
        <v>80.94</v>
      </c>
      <c r="I908" s="4">
        <v>44.65</v>
      </c>
      <c r="J908" s="5">
        <v>0.05</v>
      </c>
      <c r="K908" s="6">
        <v>6</v>
      </c>
      <c r="L908" s="6">
        <v>3</v>
      </c>
      <c r="M908" t="s">
        <v>58</v>
      </c>
      <c r="N908" t="s">
        <v>87</v>
      </c>
      <c r="O908" t="s">
        <v>64</v>
      </c>
    </row>
    <row r="909" spans="1:15">
      <c r="A909" t="s">
        <v>1006</v>
      </c>
      <c r="B909" s="3">
        <v>45919</v>
      </c>
      <c r="C909" t="s">
        <v>82</v>
      </c>
      <c r="D909" t="s">
        <v>62</v>
      </c>
      <c r="E909" t="s">
        <v>79</v>
      </c>
      <c r="F909" t="s">
        <v>115</v>
      </c>
      <c r="G909" s="6">
        <v>1</v>
      </c>
      <c r="H909" s="4">
        <v>59.61</v>
      </c>
      <c r="I909" s="4">
        <v>33.979999999999997</v>
      </c>
      <c r="J909" s="5">
        <v>0</v>
      </c>
      <c r="K909" s="6">
        <v>3</v>
      </c>
      <c r="L909" s="6">
        <v>4</v>
      </c>
      <c r="M909" t="s">
        <v>58</v>
      </c>
      <c r="N909" t="s">
        <v>59</v>
      </c>
      <c r="O909" t="s">
        <v>64</v>
      </c>
    </row>
    <row r="910" spans="1:15">
      <c r="A910" t="s">
        <v>1007</v>
      </c>
      <c r="B910" s="3">
        <v>45788</v>
      </c>
      <c r="C910" t="s">
        <v>66</v>
      </c>
      <c r="D910" t="s">
        <v>129</v>
      </c>
      <c r="E910" t="s">
        <v>56</v>
      </c>
      <c r="F910" t="s">
        <v>83</v>
      </c>
      <c r="G910" s="6">
        <v>6</v>
      </c>
      <c r="H910" s="4">
        <v>66.930000000000007</v>
      </c>
      <c r="I910" s="4">
        <v>36.08</v>
      </c>
      <c r="J910" s="5">
        <v>0.15000000000000002</v>
      </c>
      <c r="K910" s="6">
        <v>6</v>
      </c>
      <c r="L910" s="6">
        <v>3</v>
      </c>
      <c r="M910" t="s">
        <v>126</v>
      </c>
      <c r="N910" t="s">
        <v>69</v>
      </c>
      <c r="O910" t="s">
        <v>73</v>
      </c>
    </row>
    <row r="911" spans="1:15">
      <c r="A911" t="s">
        <v>1008</v>
      </c>
      <c r="B911" s="3">
        <v>45937</v>
      </c>
      <c r="C911" t="s">
        <v>82</v>
      </c>
      <c r="D911" t="s">
        <v>62</v>
      </c>
      <c r="E911" t="s">
        <v>56</v>
      </c>
      <c r="F911" t="s">
        <v>63</v>
      </c>
      <c r="G911" s="6">
        <v>1</v>
      </c>
      <c r="H911" s="4">
        <v>40.71</v>
      </c>
      <c r="I911" s="4">
        <v>19.829999999999998</v>
      </c>
      <c r="J911" s="5">
        <v>0.05</v>
      </c>
      <c r="K911" s="6">
        <v>2</v>
      </c>
      <c r="L911" s="6">
        <v>3</v>
      </c>
      <c r="M911" t="s">
        <v>126</v>
      </c>
      <c r="N911" t="s">
        <v>87</v>
      </c>
      <c r="O911" t="s">
        <v>64</v>
      </c>
    </row>
    <row r="912" spans="1:15">
      <c r="A912" t="s">
        <v>1009</v>
      </c>
      <c r="B912" s="3">
        <v>45748</v>
      </c>
      <c r="C912" t="s">
        <v>82</v>
      </c>
      <c r="D912" t="s">
        <v>62</v>
      </c>
      <c r="E912" t="s">
        <v>79</v>
      </c>
      <c r="F912" t="s">
        <v>115</v>
      </c>
      <c r="G912" s="6">
        <v>4</v>
      </c>
      <c r="H912" s="4">
        <v>58.44</v>
      </c>
      <c r="I912" s="4">
        <v>35.42</v>
      </c>
      <c r="J912" s="5">
        <v>0</v>
      </c>
      <c r="K912" s="6">
        <v>5</v>
      </c>
      <c r="L912" s="6">
        <v>5</v>
      </c>
      <c r="M912" t="s">
        <v>58</v>
      </c>
      <c r="N912" t="s">
        <v>59</v>
      </c>
      <c r="O912" t="s">
        <v>64</v>
      </c>
    </row>
    <row r="913" spans="1:15">
      <c r="A913" t="s">
        <v>1010</v>
      </c>
      <c r="B913" s="3">
        <v>45760</v>
      </c>
      <c r="C913" t="s">
        <v>82</v>
      </c>
      <c r="D913" t="s">
        <v>62</v>
      </c>
      <c r="E913" t="s">
        <v>56</v>
      </c>
      <c r="F913" t="s">
        <v>63</v>
      </c>
      <c r="G913" s="6">
        <v>1</v>
      </c>
      <c r="H913" s="4">
        <v>40.99</v>
      </c>
      <c r="I913" s="4">
        <v>20.5</v>
      </c>
      <c r="J913" s="5">
        <v>0</v>
      </c>
      <c r="K913" s="6">
        <v>7</v>
      </c>
      <c r="L913" s="6">
        <v>3</v>
      </c>
      <c r="M913" t="s">
        <v>58</v>
      </c>
      <c r="N913" t="s">
        <v>59</v>
      </c>
      <c r="O913" t="s">
        <v>64</v>
      </c>
    </row>
    <row r="914" spans="1:15">
      <c r="A914" t="s">
        <v>1011</v>
      </c>
      <c r="B914" s="3">
        <v>45764</v>
      </c>
      <c r="C914" t="s">
        <v>78</v>
      </c>
      <c r="D914" t="s">
        <v>62</v>
      </c>
      <c r="E914" t="s">
        <v>56</v>
      </c>
      <c r="F914" t="s">
        <v>89</v>
      </c>
      <c r="G914" s="6">
        <v>3</v>
      </c>
      <c r="H914" s="4">
        <v>80.47</v>
      </c>
      <c r="I914" s="4">
        <v>43.81</v>
      </c>
      <c r="J914" s="5">
        <v>0.05</v>
      </c>
      <c r="K914" s="6">
        <v>4</v>
      </c>
      <c r="L914" s="6">
        <v>5</v>
      </c>
      <c r="M914" t="s">
        <v>58</v>
      </c>
      <c r="N914" t="s">
        <v>59</v>
      </c>
      <c r="O914" t="s">
        <v>60</v>
      </c>
    </row>
    <row r="915" spans="1:15">
      <c r="A915" t="s">
        <v>1012</v>
      </c>
      <c r="B915" s="3">
        <v>45986</v>
      </c>
      <c r="C915" t="s">
        <v>78</v>
      </c>
      <c r="D915" t="s">
        <v>62</v>
      </c>
      <c r="E915" t="s">
        <v>75</v>
      </c>
      <c r="F915" t="s">
        <v>97</v>
      </c>
      <c r="G915" s="6">
        <v>1</v>
      </c>
      <c r="H915" s="4">
        <v>91.87</v>
      </c>
      <c r="I915" s="4">
        <v>56.34</v>
      </c>
      <c r="J915" s="5">
        <v>0.05</v>
      </c>
      <c r="K915" s="6">
        <v>6</v>
      </c>
      <c r="L915" s="6">
        <v>4</v>
      </c>
      <c r="M915" t="s">
        <v>58</v>
      </c>
      <c r="N915" t="s">
        <v>59</v>
      </c>
      <c r="O915" t="s">
        <v>64</v>
      </c>
    </row>
    <row r="916" spans="1:15">
      <c r="A916" t="s">
        <v>1013</v>
      </c>
      <c r="B916" s="3">
        <v>45856</v>
      </c>
      <c r="C916" t="s">
        <v>66</v>
      </c>
      <c r="D916" t="s">
        <v>62</v>
      </c>
      <c r="E916" t="s">
        <v>79</v>
      </c>
      <c r="F916" t="s">
        <v>85</v>
      </c>
      <c r="G916" s="6">
        <v>1</v>
      </c>
      <c r="H916" s="4">
        <v>131.65</v>
      </c>
      <c r="I916" s="4">
        <v>82.01</v>
      </c>
      <c r="J916" s="5">
        <v>0.05</v>
      </c>
      <c r="K916" s="6">
        <v>1</v>
      </c>
      <c r="L916" s="6">
        <v>3</v>
      </c>
      <c r="M916" t="s">
        <v>126</v>
      </c>
      <c r="N916" t="s">
        <v>69</v>
      </c>
      <c r="O916" t="s">
        <v>64</v>
      </c>
    </row>
    <row r="917" spans="1:15">
      <c r="A917" t="s">
        <v>1014</v>
      </c>
      <c r="B917" s="3">
        <v>45874</v>
      </c>
      <c r="C917" t="s">
        <v>66</v>
      </c>
      <c r="D917" t="s">
        <v>62</v>
      </c>
      <c r="E917" t="s">
        <v>67</v>
      </c>
      <c r="F917" t="s">
        <v>71</v>
      </c>
      <c r="G917" s="6">
        <v>1</v>
      </c>
      <c r="H917" s="4">
        <v>72.739999999999995</v>
      </c>
      <c r="I917" s="4">
        <v>37.729999999999997</v>
      </c>
      <c r="J917" s="5">
        <v>0.05</v>
      </c>
      <c r="K917" s="6">
        <v>1</v>
      </c>
      <c r="L917" s="6">
        <v>5</v>
      </c>
      <c r="M917" t="s">
        <v>58</v>
      </c>
      <c r="N917" t="s">
        <v>69</v>
      </c>
      <c r="O917" t="s">
        <v>60</v>
      </c>
    </row>
    <row r="918" spans="1:15">
      <c r="A918" t="s">
        <v>1015</v>
      </c>
      <c r="B918" s="3">
        <v>45765</v>
      </c>
      <c r="C918" t="s">
        <v>78</v>
      </c>
      <c r="D918" t="s">
        <v>62</v>
      </c>
      <c r="E918" t="s">
        <v>56</v>
      </c>
      <c r="F918" t="s">
        <v>57</v>
      </c>
      <c r="G918" s="6">
        <v>1</v>
      </c>
      <c r="H918" s="4">
        <v>108.33</v>
      </c>
      <c r="I918" s="4">
        <v>69.959999999999994</v>
      </c>
      <c r="J918" s="5">
        <v>0.1</v>
      </c>
      <c r="K918" s="6">
        <v>4</v>
      </c>
      <c r="L918" s="6">
        <v>5</v>
      </c>
      <c r="M918" t="s">
        <v>58</v>
      </c>
      <c r="N918" t="s">
        <v>59</v>
      </c>
      <c r="O918" t="s">
        <v>60</v>
      </c>
    </row>
    <row r="919" spans="1:15">
      <c r="A919" t="s">
        <v>1016</v>
      </c>
      <c r="B919" s="3">
        <v>45979</v>
      </c>
      <c r="C919" t="s">
        <v>66</v>
      </c>
      <c r="D919" t="s">
        <v>62</v>
      </c>
      <c r="E919" t="s">
        <v>67</v>
      </c>
      <c r="F919" t="s">
        <v>94</v>
      </c>
      <c r="G919" s="6">
        <v>2</v>
      </c>
      <c r="H919" s="4">
        <v>35.07</v>
      </c>
      <c r="I919" s="4">
        <v>17.760000000000002</v>
      </c>
      <c r="J919" s="5">
        <v>0.2</v>
      </c>
      <c r="K919" s="6">
        <v>1</v>
      </c>
      <c r="L919" s="6">
        <v>4</v>
      </c>
      <c r="M919" t="s">
        <v>58</v>
      </c>
      <c r="N919" t="s">
        <v>69</v>
      </c>
      <c r="O919" t="s">
        <v>64</v>
      </c>
    </row>
    <row r="920" spans="1:15">
      <c r="A920" t="s">
        <v>1017</v>
      </c>
      <c r="B920" s="3">
        <v>46009</v>
      </c>
      <c r="C920" t="s">
        <v>82</v>
      </c>
      <c r="D920" t="s">
        <v>62</v>
      </c>
      <c r="E920" t="s">
        <v>67</v>
      </c>
      <c r="F920" t="s">
        <v>107</v>
      </c>
      <c r="G920" s="6">
        <v>4</v>
      </c>
      <c r="H920" s="4">
        <v>44.52</v>
      </c>
      <c r="I920" s="4">
        <v>20.62</v>
      </c>
      <c r="J920" s="5">
        <v>0.1</v>
      </c>
      <c r="K920" s="6">
        <v>2</v>
      </c>
      <c r="L920" s="6">
        <v>4</v>
      </c>
      <c r="M920" t="s">
        <v>58</v>
      </c>
      <c r="N920" t="s">
        <v>87</v>
      </c>
      <c r="O920" t="s">
        <v>64</v>
      </c>
    </row>
    <row r="921" spans="1:15">
      <c r="A921" t="s">
        <v>1018</v>
      </c>
      <c r="B921" s="3">
        <v>45680</v>
      </c>
      <c r="C921" t="s">
        <v>54</v>
      </c>
      <c r="D921" t="s">
        <v>62</v>
      </c>
      <c r="E921" t="s">
        <v>79</v>
      </c>
      <c r="F921" t="s">
        <v>92</v>
      </c>
      <c r="G921" s="6">
        <v>1</v>
      </c>
      <c r="H921" s="4">
        <v>49.84</v>
      </c>
      <c r="I921" s="4">
        <v>26.61</v>
      </c>
      <c r="J921" s="5">
        <v>0.05</v>
      </c>
      <c r="K921" s="6">
        <v>7</v>
      </c>
      <c r="L921" s="6">
        <v>3</v>
      </c>
      <c r="M921" t="s">
        <v>58</v>
      </c>
      <c r="N921" t="s">
        <v>59</v>
      </c>
      <c r="O921" t="s">
        <v>60</v>
      </c>
    </row>
    <row r="922" spans="1:15">
      <c r="A922" t="s">
        <v>1019</v>
      </c>
      <c r="B922" s="3">
        <v>45867</v>
      </c>
      <c r="C922" t="s">
        <v>82</v>
      </c>
      <c r="D922" t="s">
        <v>55</v>
      </c>
      <c r="E922" t="s">
        <v>79</v>
      </c>
      <c r="F922" t="s">
        <v>92</v>
      </c>
      <c r="G922" s="6">
        <v>4</v>
      </c>
      <c r="H922" s="4">
        <v>51.73</v>
      </c>
      <c r="I922" s="4">
        <v>27.1</v>
      </c>
      <c r="J922" s="5">
        <v>0.1</v>
      </c>
      <c r="K922" s="6">
        <v>4</v>
      </c>
      <c r="L922" s="6">
        <v>4</v>
      </c>
      <c r="M922" t="s">
        <v>58</v>
      </c>
      <c r="N922" t="s">
        <v>59</v>
      </c>
      <c r="O922" t="s">
        <v>73</v>
      </c>
    </row>
    <row r="923" spans="1:15">
      <c r="A923" t="s">
        <v>1020</v>
      </c>
      <c r="B923" s="3">
        <v>45716</v>
      </c>
      <c r="C923" t="s">
        <v>66</v>
      </c>
      <c r="D923" t="s">
        <v>62</v>
      </c>
      <c r="E923" t="s">
        <v>79</v>
      </c>
      <c r="F923" t="s">
        <v>80</v>
      </c>
      <c r="G923" s="6">
        <v>4</v>
      </c>
      <c r="H923" s="4">
        <v>73.540000000000006</v>
      </c>
      <c r="I923" s="4">
        <v>44.74</v>
      </c>
      <c r="J923" s="5">
        <v>0.05</v>
      </c>
      <c r="K923" s="6">
        <v>4</v>
      </c>
      <c r="L923" s="6">
        <v>4</v>
      </c>
      <c r="M923" t="s">
        <v>58</v>
      </c>
      <c r="N923" t="s">
        <v>69</v>
      </c>
      <c r="O923" t="s">
        <v>73</v>
      </c>
    </row>
    <row r="924" spans="1:15">
      <c r="A924" t="s">
        <v>1021</v>
      </c>
      <c r="B924" s="3">
        <v>46005</v>
      </c>
      <c r="C924" t="s">
        <v>54</v>
      </c>
      <c r="D924" t="s">
        <v>129</v>
      </c>
      <c r="E924" t="s">
        <v>56</v>
      </c>
      <c r="F924" t="s">
        <v>89</v>
      </c>
      <c r="G924" s="6">
        <v>4</v>
      </c>
      <c r="H924" s="4">
        <v>80.08</v>
      </c>
      <c r="I924" s="4">
        <v>44.08</v>
      </c>
      <c r="J924" s="5">
        <v>0.2</v>
      </c>
      <c r="K924" s="6">
        <v>4</v>
      </c>
      <c r="L924" s="6">
        <v>5</v>
      </c>
      <c r="M924" t="s">
        <v>58</v>
      </c>
      <c r="N924" t="s">
        <v>87</v>
      </c>
      <c r="O924" t="s">
        <v>73</v>
      </c>
    </row>
    <row r="925" spans="1:15">
      <c r="A925" t="s">
        <v>1022</v>
      </c>
      <c r="B925" s="3">
        <v>45740</v>
      </c>
      <c r="C925" t="s">
        <v>78</v>
      </c>
      <c r="D925" t="s">
        <v>62</v>
      </c>
      <c r="E925" t="s">
        <v>79</v>
      </c>
      <c r="F925" t="s">
        <v>85</v>
      </c>
      <c r="G925" s="6">
        <v>4</v>
      </c>
      <c r="H925" s="4">
        <v>132.51</v>
      </c>
      <c r="I925" s="4">
        <v>83.83</v>
      </c>
      <c r="J925" s="5">
        <v>0</v>
      </c>
      <c r="K925" s="6">
        <v>3</v>
      </c>
      <c r="L925" s="6">
        <v>4</v>
      </c>
      <c r="M925" t="s">
        <v>58</v>
      </c>
      <c r="N925" t="s">
        <v>59</v>
      </c>
      <c r="O925" t="s">
        <v>64</v>
      </c>
    </row>
    <row r="926" spans="1:15">
      <c r="A926" t="s">
        <v>1023</v>
      </c>
      <c r="B926" s="3">
        <v>45853</v>
      </c>
      <c r="C926" t="s">
        <v>78</v>
      </c>
      <c r="D926" t="s">
        <v>62</v>
      </c>
      <c r="E926" t="s">
        <v>56</v>
      </c>
      <c r="F926" t="s">
        <v>63</v>
      </c>
      <c r="G926" s="6">
        <v>3</v>
      </c>
      <c r="H926" s="4">
        <v>39.56</v>
      </c>
      <c r="I926" s="4">
        <v>19.86</v>
      </c>
      <c r="J926" s="5">
        <v>0</v>
      </c>
      <c r="K926" s="6">
        <v>1</v>
      </c>
      <c r="L926" s="6">
        <v>5</v>
      </c>
      <c r="M926" t="s">
        <v>58</v>
      </c>
      <c r="N926" t="s">
        <v>69</v>
      </c>
      <c r="O926" t="s">
        <v>64</v>
      </c>
    </row>
    <row r="927" spans="1:15">
      <c r="A927" t="s">
        <v>1024</v>
      </c>
      <c r="B927" s="3">
        <v>45948</v>
      </c>
      <c r="C927" t="s">
        <v>66</v>
      </c>
      <c r="D927" t="s">
        <v>62</v>
      </c>
      <c r="E927" t="s">
        <v>56</v>
      </c>
      <c r="F927" t="s">
        <v>57</v>
      </c>
      <c r="G927" s="6">
        <v>1</v>
      </c>
      <c r="H927" s="4">
        <v>112.06</v>
      </c>
      <c r="I927" s="4">
        <v>67.239999999999995</v>
      </c>
      <c r="J927" s="5">
        <v>0.1</v>
      </c>
      <c r="K927" s="6">
        <v>2</v>
      </c>
      <c r="L927" s="6">
        <v>5</v>
      </c>
      <c r="M927" t="s">
        <v>58</v>
      </c>
      <c r="N927" t="s">
        <v>69</v>
      </c>
      <c r="O927" t="s">
        <v>60</v>
      </c>
    </row>
    <row r="928" spans="1:15">
      <c r="A928" t="s">
        <v>1025</v>
      </c>
      <c r="B928" s="3">
        <v>45821</v>
      </c>
      <c r="C928" t="s">
        <v>66</v>
      </c>
      <c r="D928" t="s">
        <v>62</v>
      </c>
      <c r="E928" t="s">
        <v>67</v>
      </c>
      <c r="F928" t="s">
        <v>71</v>
      </c>
      <c r="G928" s="6">
        <v>1</v>
      </c>
      <c r="H928" s="4">
        <v>71.150000000000006</v>
      </c>
      <c r="I928" s="4">
        <v>36.9</v>
      </c>
      <c r="J928" s="5">
        <v>0</v>
      </c>
      <c r="K928" s="6">
        <v>0</v>
      </c>
      <c r="L928" s="6">
        <v>4</v>
      </c>
      <c r="M928" t="s">
        <v>58</v>
      </c>
      <c r="N928" t="s">
        <v>69</v>
      </c>
      <c r="O928" t="s">
        <v>60</v>
      </c>
    </row>
    <row r="929" spans="1:15">
      <c r="A929" t="s">
        <v>1026</v>
      </c>
      <c r="B929" s="3">
        <v>45742</v>
      </c>
      <c r="C929" t="s">
        <v>66</v>
      </c>
      <c r="D929" t="s">
        <v>129</v>
      </c>
      <c r="E929" t="s">
        <v>79</v>
      </c>
      <c r="F929" t="s">
        <v>92</v>
      </c>
      <c r="G929" s="6">
        <v>6</v>
      </c>
      <c r="H929" s="4">
        <v>51.78</v>
      </c>
      <c r="I929" s="4">
        <v>26.32</v>
      </c>
      <c r="J929" s="5">
        <v>0.05</v>
      </c>
      <c r="K929" s="6">
        <v>4</v>
      </c>
      <c r="L929" s="6">
        <v>4</v>
      </c>
      <c r="M929" t="s">
        <v>58</v>
      </c>
      <c r="N929" t="s">
        <v>59</v>
      </c>
      <c r="O929" t="s">
        <v>73</v>
      </c>
    </row>
    <row r="930" spans="1:15">
      <c r="A930" t="s">
        <v>1027</v>
      </c>
      <c r="B930" s="3">
        <v>45783</v>
      </c>
      <c r="C930" t="s">
        <v>54</v>
      </c>
      <c r="D930" t="s">
        <v>62</v>
      </c>
      <c r="E930" t="s">
        <v>67</v>
      </c>
      <c r="F930" t="s">
        <v>94</v>
      </c>
      <c r="G930" s="6">
        <v>3</v>
      </c>
      <c r="H930" s="4">
        <v>36.229999999999997</v>
      </c>
      <c r="I930" s="4">
        <v>16.96</v>
      </c>
      <c r="J930" s="5">
        <v>0</v>
      </c>
      <c r="K930" s="6">
        <v>1</v>
      </c>
      <c r="L930" s="6">
        <v>5</v>
      </c>
      <c r="M930" t="s">
        <v>58</v>
      </c>
      <c r="N930" t="s">
        <v>87</v>
      </c>
      <c r="O930" t="s">
        <v>73</v>
      </c>
    </row>
    <row r="931" spans="1:15">
      <c r="A931" t="s">
        <v>1028</v>
      </c>
      <c r="B931" s="3">
        <v>45952</v>
      </c>
      <c r="C931" t="s">
        <v>54</v>
      </c>
      <c r="D931" t="s">
        <v>55</v>
      </c>
      <c r="E931" t="s">
        <v>79</v>
      </c>
      <c r="F931" t="s">
        <v>85</v>
      </c>
      <c r="G931" s="6">
        <v>5</v>
      </c>
      <c r="H931" s="4">
        <v>132.47999999999999</v>
      </c>
      <c r="I931" s="4">
        <v>85.34</v>
      </c>
      <c r="J931" s="5">
        <v>0</v>
      </c>
      <c r="K931" s="6">
        <v>0</v>
      </c>
      <c r="L931" s="6">
        <v>3</v>
      </c>
      <c r="M931" t="s">
        <v>126</v>
      </c>
      <c r="N931" t="s">
        <v>69</v>
      </c>
      <c r="O931" t="s">
        <v>64</v>
      </c>
    </row>
    <row r="932" spans="1:15">
      <c r="A932" t="s">
        <v>1029</v>
      </c>
      <c r="B932" s="3">
        <v>46014</v>
      </c>
      <c r="C932" t="s">
        <v>78</v>
      </c>
      <c r="D932" t="s">
        <v>62</v>
      </c>
      <c r="E932" t="s">
        <v>56</v>
      </c>
      <c r="F932" t="s">
        <v>83</v>
      </c>
      <c r="G932" s="6">
        <v>1</v>
      </c>
      <c r="H932" s="4">
        <v>64.81</v>
      </c>
      <c r="I932" s="4">
        <v>35.76</v>
      </c>
      <c r="J932" s="5">
        <v>0.15000000000000002</v>
      </c>
      <c r="K932" s="6">
        <v>2</v>
      </c>
      <c r="L932" s="6">
        <v>4</v>
      </c>
      <c r="M932" t="s">
        <v>58</v>
      </c>
      <c r="N932" t="s">
        <v>59</v>
      </c>
      <c r="O932" t="s">
        <v>64</v>
      </c>
    </row>
    <row r="933" spans="1:15">
      <c r="A933" t="s">
        <v>1030</v>
      </c>
      <c r="B933" s="3">
        <v>46008</v>
      </c>
      <c r="C933" t="s">
        <v>66</v>
      </c>
      <c r="D933" t="s">
        <v>55</v>
      </c>
      <c r="E933" t="s">
        <v>79</v>
      </c>
      <c r="F933" t="s">
        <v>85</v>
      </c>
      <c r="G933" s="6">
        <v>2</v>
      </c>
      <c r="H933" s="4">
        <v>134.74</v>
      </c>
      <c r="I933" s="4">
        <v>85.81</v>
      </c>
      <c r="J933" s="5">
        <v>0.2</v>
      </c>
      <c r="K933" s="6">
        <v>3</v>
      </c>
      <c r="L933" s="6">
        <v>3</v>
      </c>
      <c r="M933" t="s">
        <v>126</v>
      </c>
      <c r="N933" t="s">
        <v>69</v>
      </c>
      <c r="O933" t="s">
        <v>73</v>
      </c>
    </row>
    <row r="934" spans="1:15">
      <c r="A934" t="s">
        <v>1031</v>
      </c>
      <c r="B934" s="3">
        <v>46000</v>
      </c>
      <c r="C934" t="s">
        <v>82</v>
      </c>
      <c r="D934" t="s">
        <v>62</v>
      </c>
      <c r="E934" t="s">
        <v>67</v>
      </c>
      <c r="F934" t="s">
        <v>107</v>
      </c>
      <c r="G934" s="6">
        <v>2</v>
      </c>
      <c r="H934" s="4">
        <v>43.82</v>
      </c>
      <c r="I934" s="4">
        <v>21.62</v>
      </c>
      <c r="J934" s="5">
        <v>0.15000000000000002</v>
      </c>
      <c r="K934" s="6">
        <v>4</v>
      </c>
      <c r="L934" s="6">
        <v>5</v>
      </c>
      <c r="M934" t="s">
        <v>58</v>
      </c>
      <c r="N934" t="s">
        <v>59</v>
      </c>
      <c r="O934" t="s">
        <v>64</v>
      </c>
    </row>
    <row r="935" spans="1:15">
      <c r="A935" t="s">
        <v>1032</v>
      </c>
      <c r="B935" s="3">
        <v>45825</v>
      </c>
      <c r="C935" t="s">
        <v>66</v>
      </c>
      <c r="D935" t="s">
        <v>62</v>
      </c>
      <c r="E935" t="s">
        <v>79</v>
      </c>
      <c r="F935" t="s">
        <v>115</v>
      </c>
      <c r="G935" s="6">
        <v>1</v>
      </c>
      <c r="H935" s="4">
        <v>59.27</v>
      </c>
      <c r="I935" s="4">
        <v>33.78</v>
      </c>
      <c r="J935" s="5">
        <v>0</v>
      </c>
      <c r="K935" s="6">
        <v>4</v>
      </c>
      <c r="L935" s="6">
        <v>5</v>
      </c>
      <c r="M935" t="s">
        <v>58</v>
      </c>
      <c r="N935" t="s">
        <v>59</v>
      </c>
      <c r="O935" t="s">
        <v>73</v>
      </c>
    </row>
    <row r="936" spans="1:15">
      <c r="A936" t="s">
        <v>1033</v>
      </c>
      <c r="B936" s="3">
        <v>45778</v>
      </c>
      <c r="C936" t="s">
        <v>78</v>
      </c>
      <c r="D936" t="s">
        <v>55</v>
      </c>
      <c r="E936" t="s">
        <v>56</v>
      </c>
      <c r="F936" t="s">
        <v>63</v>
      </c>
      <c r="G936" s="6">
        <v>5</v>
      </c>
      <c r="H936" s="4">
        <v>41.44</v>
      </c>
      <c r="I936" s="4">
        <v>20.86</v>
      </c>
      <c r="J936" s="5">
        <v>0.1</v>
      </c>
      <c r="K936" s="6">
        <v>0</v>
      </c>
      <c r="L936" s="6">
        <v>4</v>
      </c>
      <c r="M936" t="s">
        <v>58</v>
      </c>
      <c r="N936" t="s">
        <v>69</v>
      </c>
      <c r="O936" t="s">
        <v>64</v>
      </c>
    </row>
    <row r="937" spans="1:15">
      <c r="A937" t="s">
        <v>1034</v>
      </c>
      <c r="B937" s="3">
        <v>45676</v>
      </c>
      <c r="C937" t="s">
        <v>66</v>
      </c>
      <c r="D937" t="s">
        <v>55</v>
      </c>
      <c r="E937" t="s">
        <v>67</v>
      </c>
      <c r="F937" t="s">
        <v>107</v>
      </c>
      <c r="G937" s="6">
        <v>2</v>
      </c>
      <c r="H937" s="4">
        <v>44.93</v>
      </c>
      <c r="I937" s="4">
        <v>21.79</v>
      </c>
      <c r="J937" s="5">
        <v>0.05</v>
      </c>
      <c r="K937" s="6">
        <v>4</v>
      </c>
      <c r="L937" s="6">
        <v>4</v>
      </c>
      <c r="M937" t="s">
        <v>58</v>
      </c>
      <c r="N937" t="s">
        <v>59</v>
      </c>
      <c r="O937" t="s">
        <v>73</v>
      </c>
    </row>
    <row r="938" spans="1:15">
      <c r="A938" t="s">
        <v>1035</v>
      </c>
      <c r="B938" s="3">
        <v>45946</v>
      </c>
      <c r="C938" t="s">
        <v>54</v>
      </c>
      <c r="D938" t="s">
        <v>62</v>
      </c>
      <c r="E938" t="s">
        <v>79</v>
      </c>
      <c r="F938" t="s">
        <v>92</v>
      </c>
      <c r="G938" s="6">
        <v>2</v>
      </c>
      <c r="H938" s="4">
        <v>50.83</v>
      </c>
      <c r="I938" s="4">
        <v>25.78</v>
      </c>
      <c r="J938" s="5">
        <v>0</v>
      </c>
      <c r="K938" s="6">
        <v>3</v>
      </c>
      <c r="L938" s="6">
        <v>4</v>
      </c>
      <c r="M938" t="s">
        <v>58</v>
      </c>
      <c r="N938" t="s">
        <v>59</v>
      </c>
      <c r="O938" t="s">
        <v>64</v>
      </c>
    </row>
    <row r="939" spans="1:15">
      <c r="A939" t="s">
        <v>1036</v>
      </c>
      <c r="B939" s="3">
        <v>45950</v>
      </c>
      <c r="C939" t="s">
        <v>78</v>
      </c>
      <c r="D939" t="s">
        <v>129</v>
      </c>
      <c r="E939" t="s">
        <v>79</v>
      </c>
      <c r="F939" t="s">
        <v>80</v>
      </c>
      <c r="G939" s="6">
        <v>8</v>
      </c>
      <c r="H939" s="4">
        <v>73.27</v>
      </c>
      <c r="I939" s="4">
        <v>42.57</v>
      </c>
      <c r="J939" s="5">
        <v>0.1</v>
      </c>
      <c r="K939" s="6">
        <v>3</v>
      </c>
      <c r="L939" s="6">
        <v>5</v>
      </c>
      <c r="M939" t="s">
        <v>58</v>
      </c>
      <c r="N939" t="s">
        <v>59</v>
      </c>
      <c r="O939" t="s">
        <v>60</v>
      </c>
    </row>
    <row r="940" spans="1:15">
      <c r="A940" t="s">
        <v>1037</v>
      </c>
      <c r="B940" s="3">
        <v>45791</v>
      </c>
      <c r="C940" t="s">
        <v>1038</v>
      </c>
      <c r="D940" t="s">
        <v>62</v>
      </c>
      <c r="E940" t="s">
        <v>79</v>
      </c>
      <c r="F940" t="s">
        <v>115</v>
      </c>
      <c r="G940" s="6">
        <v>2</v>
      </c>
      <c r="H940" s="4">
        <v>61.3</v>
      </c>
      <c r="I940" s="4">
        <v>34.29</v>
      </c>
      <c r="J940" s="5">
        <v>0</v>
      </c>
      <c r="K940" s="6">
        <v>0</v>
      </c>
      <c r="L940" s="6">
        <v>4</v>
      </c>
      <c r="M940" t="s">
        <v>58</v>
      </c>
      <c r="N940" t="s">
        <v>69</v>
      </c>
      <c r="O940" t="s">
        <v>64</v>
      </c>
    </row>
    <row r="941" spans="1:15">
      <c r="A941" t="s">
        <v>1039</v>
      </c>
      <c r="B941" s="3">
        <v>45987</v>
      </c>
      <c r="C941" t="s">
        <v>78</v>
      </c>
      <c r="D941" t="s">
        <v>62</v>
      </c>
      <c r="E941" t="s">
        <v>75</v>
      </c>
      <c r="F941" t="s">
        <v>97</v>
      </c>
      <c r="G941" s="6">
        <v>1</v>
      </c>
      <c r="H941" s="4">
        <v>90.17</v>
      </c>
      <c r="I941" s="4">
        <v>55.84</v>
      </c>
      <c r="J941" s="5">
        <v>0.1</v>
      </c>
      <c r="K941" s="6">
        <v>3</v>
      </c>
      <c r="L941" s="6">
        <v>4</v>
      </c>
      <c r="M941" t="s">
        <v>58</v>
      </c>
      <c r="N941" t="s">
        <v>69</v>
      </c>
      <c r="O941" t="s">
        <v>73</v>
      </c>
    </row>
    <row r="942" spans="1:15">
      <c r="A942" t="s">
        <v>1040</v>
      </c>
      <c r="B942" s="3">
        <v>45722</v>
      </c>
      <c r="C942" t="s">
        <v>78</v>
      </c>
      <c r="D942" t="s">
        <v>62</v>
      </c>
      <c r="E942" t="s">
        <v>79</v>
      </c>
      <c r="F942" t="s">
        <v>115</v>
      </c>
      <c r="G942" s="6">
        <v>1</v>
      </c>
      <c r="H942" s="4">
        <v>59.46</v>
      </c>
      <c r="I942" s="4">
        <v>35.090000000000003</v>
      </c>
      <c r="J942" s="5">
        <v>0</v>
      </c>
      <c r="K942" s="6">
        <v>2</v>
      </c>
      <c r="L942" s="6">
        <v>4</v>
      </c>
      <c r="M942" t="s">
        <v>58</v>
      </c>
      <c r="N942" t="s">
        <v>59</v>
      </c>
      <c r="O942" t="s">
        <v>73</v>
      </c>
    </row>
    <row r="943" spans="1:15">
      <c r="A943" t="s">
        <v>1041</v>
      </c>
      <c r="B943" s="3">
        <v>45917</v>
      </c>
      <c r="C943" t="s">
        <v>54</v>
      </c>
      <c r="D943" t="s">
        <v>62</v>
      </c>
      <c r="E943" t="s">
        <v>79</v>
      </c>
      <c r="F943" t="s">
        <v>80</v>
      </c>
      <c r="G943" s="6">
        <v>2</v>
      </c>
      <c r="H943" s="4">
        <v>75.959999999999994</v>
      </c>
      <c r="I943" s="4">
        <v>44.03</v>
      </c>
      <c r="J943" s="5">
        <v>0</v>
      </c>
      <c r="K943" s="6">
        <v>4</v>
      </c>
      <c r="L943" s="6">
        <v>5</v>
      </c>
      <c r="M943" t="s">
        <v>58</v>
      </c>
      <c r="N943" t="s">
        <v>59</v>
      </c>
      <c r="O943" t="s">
        <v>64</v>
      </c>
    </row>
    <row r="944" spans="1:15">
      <c r="A944" t="s">
        <v>1042</v>
      </c>
      <c r="B944" s="3">
        <v>45938</v>
      </c>
      <c r="C944" t="s">
        <v>78</v>
      </c>
      <c r="D944" t="s">
        <v>55</v>
      </c>
      <c r="E944" t="s">
        <v>67</v>
      </c>
      <c r="F944" t="s">
        <v>94</v>
      </c>
      <c r="G944" s="6">
        <v>4</v>
      </c>
      <c r="H944" s="4">
        <v>35.36</v>
      </c>
      <c r="I944" s="4">
        <v>16.5</v>
      </c>
      <c r="J944" s="5">
        <v>0.05</v>
      </c>
      <c r="K944" s="6">
        <v>1</v>
      </c>
      <c r="L944" s="6">
        <v>5</v>
      </c>
      <c r="M944" t="s">
        <v>58</v>
      </c>
      <c r="N944" t="s">
        <v>59</v>
      </c>
      <c r="O944" t="s">
        <v>64</v>
      </c>
    </row>
    <row r="945" spans="1:15">
      <c r="A945" t="s">
        <v>1043</v>
      </c>
      <c r="B945" s="3">
        <v>45965</v>
      </c>
      <c r="C945" t="s">
        <v>82</v>
      </c>
      <c r="D945" t="s">
        <v>55</v>
      </c>
      <c r="E945" t="s">
        <v>79</v>
      </c>
      <c r="F945" t="s">
        <v>85</v>
      </c>
      <c r="G945" s="6">
        <v>4</v>
      </c>
      <c r="H945" s="4">
        <v>128.16</v>
      </c>
      <c r="I945" s="4">
        <v>83.03</v>
      </c>
      <c r="J945" s="5">
        <v>0.1</v>
      </c>
      <c r="K945" s="6">
        <v>4</v>
      </c>
      <c r="L945" s="6">
        <v>4</v>
      </c>
      <c r="M945" t="s">
        <v>58</v>
      </c>
      <c r="N945" t="s">
        <v>59</v>
      </c>
      <c r="O945" t="s">
        <v>64</v>
      </c>
    </row>
    <row r="946" spans="1:15">
      <c r="A946" t="s">
        <v>1044</v>
      </c>
      <c r="B946" s="3">
        <v>45955</v>
      </c>
      <c r="C946" t="s">
        <v>54</v>
      </c>
      <c r="D946" t="s">
        <v>62</v>
      </c>
      <c r="E946" t="s">
        <v>79</v>
      </c>
      <c r="F946" t="s">
        <v>92</v>
      </c>
      <c r="G946" s="6">
        <v>1</v>
      </c>
      <c r="H946" s="4">
        <v>51.31</v>
      </c>
      <c r="I946" s="4">
        <v>26.53</v>
      </c>
      <c r="J946" s="5">
        <v>0</v>
      </c>
      <c r="K946" s="6">
        <v>4</v>
      </c>
      <c r="L946" s="6">
        <v>4</v>
      </c>
      <c r="M946" t="s">
        <v>58</v>
      </c>
      <c r="N946" t="s">
        <v>69</v>
      </c>
      <c r="O946" t="s">
        <v>64</v>
      </c>
    </row>
    <row r="947" spans="1:15">
      <c r="A947" t="s">
        <v>1045</v>
      </c>
      <c r="B947" s="3">
        <v>45976</v>
      </c>
      <c r="C947" t="s">
        <v>66</v>
      </c>
      <c r="D947" t="s">
        <v>62</v>
      </c>
      <c r="E947" t="s">
        <v>75</v>
      </c>
      <c r="F947" t="s">
        <v>110</v>
      </c>
      <c r="G947" s="6">
        <v>1</v>
      </c>
      <c r="H947" s="4">
        <v>156.63999999999999</v>
      </c>
      <c r="I947" s="4">
        <v>98</v>
      </c>
      <c r="J947" s="5">
        <v>0.1</v>
      </c>
      <c r="K947" s="6">
        <v>8</v>
      </c>
      <c r="L947" s="6">
        <v>3</v>
      </c>
      <c r="M947" t="s">
        <v>58</v>
      </c>
      <c r="N947" t="s">
        <v>59</v>
      </c>
      <c r="O947" t="s">
        <v>60</v>
      </c>
    </row>
    <row r="948" spans="1:15">
      <c r="A948" t="s">
        <v>1046</v>
      </c>
      <c r="B948" s="3">
        <v>46019</v>
      </c>
      <c r="C948" t="s">
        <v>66</v>
      </c>
      <c r="D948" t="s">
        <v>55</v>
      </c>
      <c r="E948" t="s">
        <v>79</v>
      </c>
      <c r="F948" t="s">
        <v>92</v>
      </c>
      <c r="G948" s="6">
        <v>2</v>
      </c>
      <c r="H948" s="4">
        <v>50.93</v>
      </c>
      <c r="I948" s="4">
        <v>26.83</v>
      </c>
      <c r="J948" s="5">
        <v>0.1</v>
      </c>
      <c r="K948" s="6">
        <v>2</v>
      </c>
      <c r="L948" s="6">
        <v>4</v>
      </c>
      <c r="M948" t="s">
        <v>58</v>
      </c>
      <c r="N948" t="s">
        <v>59</v>
      </c>
      <c r="O948" t="s">
        <v>64</v>
      </c>
    </row>
    <row r="949" spans="1:15">
      <c r="A949" t="s">
        <v>1047</v>
      </c>
      <c r="B949" s="3">
        <v>46008</v>
      </c>
      <c r="C949" t="s">
        <v>82</v>
      </c>
      <c r="D949" t="s">
        <v>62</v>
      </c>
      <c r="E949" t="s">
        <v>79</v>
      </c>
      <c r="F949" t="s">
        <v>85</v>
      </c>
      <c r="G949" s="6">
        <v>1</v>
      </c>
      <c r="H949" s="4">
        <v>128.72</v>
      </c>
      <c r="I949" s="4">
        <v>84.82</v>
      </c>
      <c r="J949" s="5">
        <v>0.1</v>
      </c>
      <c r="K949" s="6">
        <v>3</v>
      </c>
      <c r="L949" s="6">
        <v>3</v>
      </c>
      <c r="M949" t="s">
        <v>126</v>
      </c>
      <c r="N949" t="s">
        <v>59</v>
      </c>
      <c r="O949" t="s">
        <v>64</v>
      </c>
    </row>
    <row r="950" spans="1:15">
      <c r="A950" t="s">
        <v>1048</v>
      </c>
      <c r="B950" s="3">
        <v>46013</v>
      </c>
      <c r="C950" t="s">
        <v>66</v>
      </c>
      <c r="D950" t="s">
        <v>62</v>
      </c>
      <c r="E950" t="s">
        <v>79</v>
      </c>
      <c r="F950" t="s">
        <v>92</v>
      </c>
      <c r="G950" s="6">
        <v>1</v>
      </c>
      <c r="H950" s="4">
        <v>48.54</v>
      </c>
      <c r="I950" s="4">
        <v>26.55</v>
      </c>
      <c r="J950" s="5">
        <v>0.1</v>
      </c>
      <c r="K950" s="6">
        <v>2</v>
      </c>
      <c r="L950" s="6">
        <v>5</v>
      </c>
      <c r="M950" t="s">
        <v>58</v>
      </c>
      <c r="N950" t="s">
        <v>59</v>
      </c>
      <c r="O950" t="s">
        <v>60</v>
      </c>
    </row>
    <row r="951" spans="1:15">
      <c r="A951" t="s">
        <v>1049</v>
      </c>
      <c r="B951" s="3">
        <v>45869</v>
      </c>
      <c r="C951" t="s">
        <v>66</v>
      </c>
      <c r="D951" t="s">
        <v>55</v>
      </c>
      <c r="E951" t="s">
        <v>79</v>
      </c>
      <c r="F951" t="s">
        <v>85</v>
      </c>
      <c r="G951" s="6">
        <v>2</v>
      </c>
      <c r="H951" s="4">
        <v>128.80000000000001</v>
      </c>
      <c r="I951" s="4">
        <v>86.41</v>
      </c>
      <c r="J951" s="5">
        <v>0.05</v>
      </c>
      <c r="K951" s="6">
        <v>5</v>
      </c>
      <c r="L951" s="6">
        <v>4</v>
      </c>
      <c r="M951" t="s">
        <v>58</v>
      </c>
      <c r="N951" t="s">
        <v>59</v>
      </c>
      <c r="O951" t="s">
        <v>64</v>
      </c>
    </row>
    <row r="952" spans="1:15">
      <c r="A952" t="s">
        <v>1050</v>
      </c>
      <c r="B952" s="3">
        <v>45922</v>
      </c>
      <c r="C952" t="s">
        <v>54</v>
      </c>
      <c r="D952" t="s">
        <v>62</v>
      </c>
      <c r="E952" t="s">
        <v>56</v>
      </c>
      <c r="F952" t="s">
        <v>89</v>
      </c>
      <c r="G952" s="6">
        <v>1</v>
      </c>
      <c r="H952" s="4">
        <v>81.23</v>
      </c>
      <c r="I952" s="4">
        <v>46.68</v>
      </c>
      <c r="J952" s="5">
        <v>0</v>
      </c>
      <c r="K952" s="6">
        <v>1</v>
      </c>
      <c r="L952" s="6">
        <v>5</v>
      </c>
      <c r="M952" t="s">
        <v>58</v>
      </c>
      <c r="N952" t="s">
        <v>59</v>
      </c>
      <c r="O952" t="s">
        <v>64</v>
      </c>
    </row>
    <row r="953" spans="1:15">
      <c r="A953" t="s">
        <v>1051</v>
      </c>
      <c r="B953" s="3">
        <v>45658</v>
      </c>
      <c r="C953" t="s">
        <v>66</v>
      </c>
      <c r="D953" t="s">
        <v>62</v>
      </c>
      <c r="E953" t="s">
        <v>56</v>
      </c>
      <c r="F953" t="s">
        <v>57</v>
      </c>
      <c r="G953" s="6">
        <v>1</v>
      </c>
      <c r="H953" s="4">
        <v>112.96</v>
      </c>
      <c r="I953" s="4">
        <v>65.36</v>
      </c>
      <c r="J953" s="5">
        <v>0.05</v>
      </c>
      <c r="K953" s="6">
        <v>5</v>
      </c>
      <c r="L953" s="6">
        <v>3</v>
      </c>
      <c r="M953" t="s">
        <v>126</v>
      </c>
      <c r="N953" t="s">
        <v>59</v>
      </c>
      <c r="O953" t="s">
        <v>64</v>
      </c>
    </row>
    <row r="954" spans="1:15">
      <c r="A954" t="s">
        <v>1052</v>
      </c>
      <c r="B954" s="3">
        <v>45847</v>
      </c>
      <c r="C954" t="s">
        <v>66</v>
      </c>
      <c r="D954" t="s">
        <v>62</v>
      </c>
      <c r="E954" t="s">
        <v>56</v>
      </c>
      <c r="F954" t="s">
        <v>83</v>
      </c>
      <c r="G954" s="6">
        <v>2</v>
      </c>
      <c r="H954" s="4">
        <v>63.13</v>
      </c>
      <c r="I954" s="4">
        <v>36.4</v>
      </c>
      <c r="J954" s="5">
        <v>0.1</v>
      </c>
      <c r="K954" s="6">
        <v>6</v>
      </c>
      <c r="L954" s="6">
        <v>3</v>
      </c>
      <c r="M954" t="s">
        <v>58</v>
      </c>
      <c r="N954" t="s">
        <v>59</v>
      </c>
      <c r="O954" t="s">
        <v>64</v>
      </c>
    </row>
    <row r="955" spans="1:15">
      <c r="A955" t="s">
        <v>1053</v>
      </c>
      <c r="B955" s="3">
        <v>45735</v>
      </c>
      <c r="C955" t="s">
        <v>82</v>
      </c>
      <c r="D955" t="s">
        <v>55</v>
      </c>
      <c r="E955" t="s">
        <v>56</v>
      </c>
      <c r="F955" t="s">
        <v>57</v>
      </c>
      <c r="G955" s="6">
        <v>3</v>
      </c>
      <c r="H955" s="4">
        <v>110.97</v>
      </c>
      <c r="I955" s="4">
        <v>65.739999999999995</v>
      </c>
      <c r="J955" s="5">
        <v>0.05</v>
      </c>
      <c r="K955" s="6">
        <v>6</v>
      </c>
      <c r="L955" s="6">
        <v>4</v>
      </c>
      <c r="M955" t="s">
        <v>58</v>
      </c>
      <c r="N955" t="s">
        <v>87</v>
      </c>
      <c r="O955" t="s">
        <v>60</v>
      </c>
    </row>
    <row r="956" spans="1:15">
      <c r="A956" t="s">
        <v>1054</v>
      </c>
      <c r="B956" s="3">
        <v>45677</v>
      </c>
      <c r="C956" t="s">
        <v>54</v>
      </c>
      <c r="D956" t="s">
        <v>62</v>
      </c>
      <c r="E956" t="s">
        <v>56</v>
      </c>
      <c r="F956" t="s">
        <v>83</v>
      </c>
      <c r="G956" s="6">
        <v>1</v>
      </c>
      <c r="H956" s="4">
        <v>67.260000000000005</v>
      </c>
      <c r="I956" s="4">
        <v>35.92</v>
      </c>
      <c r="J956" s="5">
        <v>0</v>
      </c>
      <c r="K956" s="6">
        <v>3</v>
      </c>
      <c r="L956" s="6">
        <v>5</v>
      </c>
      <c r="M956" t="s">
        <v>58</v>
      </c>
      <c r="N956" t="s">
        <v>59</v>
      </c>
      <c r="O956" t="s">
        <v>60</v>
      </c>
    </row>
    <row r="957" spans="1:15">
      <c r="A957" t="s">
        <v>1055</v>
      </c>
      <c r="B957" s="3">
        <v>45939</v>
      </c>
      <c r="C957" t="s">
        <v>82</v>
      </c>
      <c r="D957" t="s">
        <v>62</v>
      </c>
      <c r="E957" t="s">
        <v>75</v>
      </c>
      <c r="F957" t="s">
        <v>97</v>
      </c>
      <c r="G957" s="6">
        <v>1</v>
      </c>
      <c r="H957" s="4">
        <v>87.4</v>
      </c>
      <c r="I957" s="4">
        <v>55.21</v>
      </c>
      <c r="J957" s="5">
        <v>0</v>
      </c>
      <c r="K957" s="6">
        <v>3</v>
      </c>
      <c r="L957" s="6">
        <v>4</v>
      </c>
      <c r="M957" t="s">
        <v>58</v>
      </c>
      <c r="N957" t="s">
        <v>69</v>
      </c>
      <c r="O957" t="s">
        <v>60</v>
      </c>
    </row>
    <row r="958" spans="1:15">
      <c r="A958" t="s">
        <v>1056</v>
      </c>
      <c r="B958" s="3">
        <v>45786</v>
      </c>
      <c r="C958" t="s">
        <v>78</v>
      </c>
      <c r="D958" t="s">
        <v>55</v>
      </c>
      <c r="E958" t="s">
        <v>56</v>
      </c>
      <c r="F958" t="s">
        <v>83</v>
      </c>
      <c r="G958" s="6">
        <v>4</v>
      </c>
      <c r="H958" s="4">
        <v>66.53</v>
      </c>
      <c r="I958" s="4">
        <v>36.479999999999997</v>
      </c>
      <c r="J958" s="5">
        <v>0</v>
      </c>
      <c r="K958" s="6">
        <v>6</v>
      </c>
      <c r="L958" s="6">
        <v>4</v>
      </c>
      <c r="M958" t="s">
        <v>58</v>
      </c>
      <c r="N958" t="s">
        <v>59</v>
      </c>
      <c r="O958" t="s">
        <v>73</v>
      </c>
    </row>
    <row r="959" spans="1:15">
      <c r="A959" t="s">
        <v>1057</v>
      </c>
      <c r="B959" s="3">
        <v>45740</v>
      </c>
      <c r="C959" t="s">
        <v>66</v>
      </c>
      <c r="D959" t="s">
        <v>62</v>
      </c>
      <c r="E959" t="s">
        <v>67</v>
      </c>
      <c r="F959" t="s">
        <v>94</v>
      </c>
      <c r="G959" s="6">
        <v>1</v>
      </c>
      <c r="H959" s="4">
        <v>34.9</v>
      </c>
      <c r="I959" s="4">
        <v>17.22</v>
      </c>
      <c r="J959" s="5">
        <v>0.05</v>
      </c>
      <c r="K959" s="6">
        <v>3</v>
      </c>
      <c r="L959" s="6">
        <v>4</v>
      </c>
      <c r="M959" t="s">
        <v>58</v>
      </c>
      <c r="N959" t="s">
        <v>59</v>
      </c>
      <c r="O959" t="s">
        <v>64</v>
      </c>
    </row>
    <row r="960" spans="1:15">
      <c r="A960" t="s">
        <v>1058</v>
      </c>
      <c r="B960" s="3">
        <v>46009</v>
      </c>
      <c r="C960" t="s">
        <v>78</v>
      </c>
      <c r="D960" t="s">
        <v>129</v>
      </c>
      <c r="E960" t="s">
        <v>67</v>
      </c>
      <c r="F960" t="s">
        <v>71</v>
      </c>
      <c r="G960" s="6">
        <v>8</v>
      </c>
      <c r="H960" s="4">
        <v>69.900000000000006</v>
      </c>
      <c r="I960" s="4">
        <v>39.65</v>
      </c>
      <c r="J960" s="5">
        <v>0.05</v>
      </c>
      <c r="K960" s="6">
        <v>1</v>
      </c>
      <c r="L960" s="6">
        <v>4</v>
      </c>
      <c r="M960" t="s">
        <v>58</v>
      </c>
      <c r="N960" t="s">
        <v>69</v>
      </c>
      <c r="O960" t="s">
        <v>60</v>
      </c>
    </row>
    <row r="961" spans="1:15">
      <c r="A961" t="s">
        <v>1059</v>
      </c>
      <c r="B961" s="3">
        <v>45775</v>
      </c>
      <c r="C961" t="s">
        <v>66</v>
      </c>
      <c r="D961" t="s">
        <v>55</v>
      </c>
      <c r="E961" t="s">
        <v>67</v>
      </c>
      <c r="F961" t="s">
        <v>107</v>
      </c>
      <c r="G961" s="6">
        <v>4</v>
      </c>
      <c r="H961" s="4">
        <v>44.96</v>
      </c>
      <c r="I961" s="4">
        <v>20.55</v>
      </c>
      <c r="J961" s="5">
        <v>0.1</v>
      </c>
      <c r="K961" s="6">
        <v>3</v>
      </c>
      <c r="L961" s="6">
        <v>4</v>
      </c>
      <c r="M961" t="s">
        <v>58</v>
      </c>
      <c r="N961" t="s">
        <v>59</v>
      </c>
      <c r="O961" t="s">
        <v>64</v>
      </c>
    </row>
    <row r="962" spans="1:15">
      <c r="A962" t="s">
        <v>1060</v>
      </c>
      <c r="B962" s="3">
        <v>45780</v>
      </c>
      <c r="C962" t="s">
        <v>82</v>
      </c>
      <c r="D962" t="s">
        <v>62</v>
      </c>
      <c r="E962" t="s">
        <v>56</v>
      </c>
      <c r="F962" t="s">
        <v>89</v>
      </c>
      <c r="G962" s="6">
        <v>1</v>
      </c>
      <c r="H962" s="4">
        <v>82.41</v>
      </c>
      <c r="I962" s="4">
        <v>47.01</v>
      </c>
      <c r="J962" s="5">
        <v>0</v>
      </c>
      <c r="K962" s="6">
        <v>1</v>
      </c>
      <c r="L962" s="6">
        <v>4</v>
      </c>
      <c r="M962" t="s">
        <v>58</v>
      </c>
      <c r="N962" t="s">
        <v>59</v>
      </c>
      <c r="O962" t="s">
        <v>64</v>
      </c>
    </row>
    <row r="963" spans="1:15">
      <c r="A963" t="s">
        <v>1061</v>
      </c>
      <c r="B963" s="3">
        <v>45674</v>
      </c>
      <c r="C963" t="s">
        <v>54</v>
      </c>
      <c r="D963" t="s">
        <v>129</v>
      </c>
      <c r="E963" t="s">
        <v>56</v>
      </c>
      <c r="F963" t="s">
        <v>89</v>
      </c>
      <c r="G963" s="6">
        <v>4</v>
      </c>
      <c r="H963" s="4">
        <v>79.930000000000007</v>
      </c>
      <c r="I963" s="4">
        <v>45.06</v>
      </c>
      <c r="J963" s="5">
        <v>0.05</v>
      </c>
      <c r="K963" s="6">
        <v>4</v>
      </c>
      <c r="L963" s="6">
        <v>5</v>
      </c>
      <c r="M963" t="s">
        <v>58</v>
      </c>
      <c r="N963" t="s">
        <v>59</v>
      </c>
      <c r="O963" t="s">
        <v>64</v>
      </c>
    </row>
    <row r="964" spans="1:15">
      <c r="A964" t="s">
        <v>1062</v>
      </c>
      <c r="B964" s="3">
        <v>45678</v>
      </c>
      <c r="C964" t="s">
        <v>82</v>
      </c>
      <c r="D964" t="s">
        <v>55</v>
      </c>
      <c r="E964" t="s">
        <v>79</v>
      </c>
      <c r="F964" t="s">
        <v>80</v>
      </c>
      <c r="G964" s="6">
        <v>2</v>
      </c>
      <c r="H964" s="4">
        <v>74.17</v>
      </c>
      <c r="I964" s="4">
        <v>45.05</v>
      </c>
      <c r="J964" s="5">
        <v>0.05</v>
      </c>
      <c r="K964" s="6">
        <v>3</v>
      </c>
      <c r="L964" s="6">
        <v>4</v>
      </c>
      <c r="M964" t="s">
        <v>58</v>
      </c>
      <c r="N964" t="s">
        <v>59</v>
      </c>
      <c r="O964" t="s">
        <v>64</v>
      </c>
    </row>
    <row r="965" spans="1:15">
      <c r="A965" t="s">
        <v>1063</v>
      </c>
      <c r="B965" s="3">
        <v>45835</v>
      </c>
      <c r="C965" t="s">
        <v>78</v>
      </c>
      <c r="D965" t="s">
        <v>55</v>
      </c>
      <c r="E965" t="s">
        <v>402</v>
      </c>
      <c r="F965" t="s">
        <v>71</v>
      </c>
      <c r="G965" s="6">
        <v>6</v>
      </c>
      <c r="H965" s="4">
        <v>70.17</v>
      </c>
      <c r="I965" s="4">
        <v>37.159999999999997</v>
      </c>
      <c r="J965" s="5">
        <v>0</v>
      </c>
      <c r="K965" s="6">
        <v>0</v>
      </c>
      <c r="L965" s="6">
        <v>5</v>
      </c>
      <c r="M965" t="s">
        <v>58</v>
      </c>
      <c r="N965" t="s">
        <v>69</v>
      </c>
      <c r="O965" t="s">
        <v>73</v>
      </c>
    </row>
    <row r="966" spans="1:15">
      <c r="A966" t="s">
        <v>1064</v>
      </c>
      <c r="B966" s="3">
        <v>46019</v>
      </c>
      <c r="C966" t="s">
        <v>78</v>
      </c>
      <c r="D966" t="s">
        <v>55</v>
      </c>
      <c r="E966" t="s">
        <v>75</v>
      </c>
      <c r="F966" t="s">
        <v>76</v>
      </c>
      <c r="G966" s="6">
        <v>4</v>
      </c>
      <c r="H966" s="4">
        <v>123.68</v>
      </c>
      <c r="I966" s="4">
        <v>74.81</v>
      </c>
      <c r="J966" s="5">
        <v>0.05</v>
      </c>
      <c r="K966" s="6">
        <v>6</v>
      </c>
      <c r="L966" s="6">
        <v>4</v>
      </c>
      <c r="M966" t="s">
        <v>58</v>
      </c>
      <c r="N966" t="s">
        <v>59</v>
      </c>
      <c r="O966" t="s">
        <v>64</v>
      </c>
    </row>
    <row r="967" spans="1:15">
      <c r="A967" t="s">
        <v>1065</v>
      </c>
      <c r="B967" s="3">
        <v>45678</v>
      </c>
      <c r="C967" t="s">
        <v>78</v>
      </c>
      <c r="D967" t="s">
        <v>62</v>
      </c>
      <c r="E967" t="s">
        <v>56</v>
      </c>
      <c r="F967" t="s">
        <v>63</v>
      </c>
      <c r="G967" s="6">
        <v>3</v>
      </c>
      <c r="H967" s="4">
        <v>38.82</v>
      </c>
      <c r="I967" s="4">
        <v>20.04</v>
      </c>
      <c r="J967" s="5">
        <v>0</v>
      </c>
      <c r="K967" s="6">
        <v>3</v>
      </c>
      <c r="L967" s="6">
        <v>4</v>
      </c>
      <c r="M967" t="s">
        <v>58</v>
      </c>
      <c r="N967" t="s">
        <v>87</v>
      </c>
      <c r="O967" t="s">
        <v>73</v>
      </c>
    </row>
    <row r="968" spans="1:15">
      <c r="A968" t="s">
        <v>1066</v>
      </c>
      <c r="B968" s="3">
        <v>45781</v>
      </c>
      <c r="C968" t="s">
        <v>66</v>
      </c>
      <c r="D968" t="s">
        <v>62</v>
      </c>
      <c r="E968" t="s">
        <v>75</v>
      </c>
      <c r="F968" t="s">
        <v>97</v>
      </c>
      <c r="G968" s="6">
        <v>1</v>
      </c>
      <c r="H968" s="4">
        <v>91.88</v>
      </c>
      <c r="I968" s="4">
        <v>54.29</v>
      </c>
      <c r="J968" s="5">
        <v>0.15000000000000002</v>
      </c>
      <c r="K968" s="6">
        <v>1</v>
      </c>
      <c r="L968" s="6">
        <v>4</v>
      </c>
      <c r="M968" t="s">
        <v>58</v>
      </c>
      <c r="N968" t="s">
        <v>69</v>
      </c>
      <c r="O968" t="s">
        <v>64</v>
      </c>
    </row>
    <row r="969" spans="1:15">
      <c r="A969" t="s">
        <v>1067</v>
      </c>
      <c r="B969" s="3">
        <v>46003</v>
      </c>
      <c r="C969" t="s">
        <v>54</v>
      </c>
      <c r="D969" t="s">
        <v>55</v>
      </c>
      <c r="E969" t="s">
        <v>56</v>
      </c>
      <c r="F969" t="s">
        <v>63</v>
      </c>
      <c r="G969" s="6">
        <v>2</v>
      </c>
      <c r="H969" s="4">
        <v>39.26</v>
      </c>
      <c r="I969" s="4">
        <v>20.39</v>
      </c>
      <c r="J969" s="5">
        <v>0.1</v>
      </c>
      <c r="K969" s="6">
        <v>6</v>
      </c>
      <c r="L969" s="6">
        <v>4</v>
      </c>
      <c r="M969" t="s">
        <v>58</v>
      </c>
      <c r="N969" t="s">
        <v>59</v>
      </c>
      <c r="O969" t="s">
        <v>64</v>
      </c>
    </row>
    <row r="970" spans="1:15">
      <c r="A970" t="s">
        <v>1068</v>
      </c>
      <c r="B970" s="3">
        <v>45981</v>
      </c>
      <c r="C970" t="s">
        <v>78</v>
      </c>
      <c r="D970" t="s">
        <v>62</v>
      </c>
      <c r="E970" t="s">
        <v>56</v>
      </c>
      <c r="F970" t="s">
        <v>63</v>
      </c>
      <c r="G970" s="6">
        <v>1</v>
      </c>
      <c r="H970" s="4">
        <v>39.75</v>
      </c>
      <c r="I970" s="4">
        <v>20.56</v>
      </c>
      <c r="J970" s="5">
        <v>0.15000000000000002</v>
      </c>
      <c r="K970" s="6">
        <v>2</v>
      </c>
      <c r="L970" s="6">
        <v>4</v>
      </c>
      <c r="M970" t="s">
        <v>58</v>
      </c>
      <c r="N970" t="s">
        <v>59</v>
      </c>
      <c r="O970" t="s">
        <v>64</v>
      </c>
    </row>
    <row r="971" spans="1:15">
      <c r="A971" t="s">
        <v>1069</v>
      </c>
      <c r="B971" s="3">
        <v>45981</v>
      </c>
      <c r="C971" t="s">
        <v>66</v>
      </c>
      <c r="D971" t="s">
        <v>55</v>
      </c>
      <c r="E971" t="s">
        <v>67</v>
      </c>
      <c r="F971" t="s">
        <v>71</v>
      </c>
      <c r="G971" s="6">
        <v>2</v>
      </c>
      <c r="H971" s="4">
        <v>71.959999999999994</v>
      </c>
      <c r="I971" s="4">
        <v>38.42</v>
      </c>
      <c r="J971" s="5">
        <v>0.15000000000000002</v>
      </c>
      <c r="K971" s="6">
        <v>6</v>
      </c>
      <c r="L971" s="6">
        <v>4</v>
      </c>
      <c r="M971" t="s">
        <v>58</v>
      </c>
      <c r="N971" t="s">
        <v>59</v>
      </c>
      <c r="O971" t="s">
        <v>64</v>
      </c>
    </row>
    <row r="972" spans="1:15">
      <c r="A972" t="s">
        <v>1070</v>
      </c>
      <c r="B972" s="3">
        <v>45992</v>
      </c>
      <c r="C972" t="s">
        <v>66</v>
      </c>
      <c r="D972" t="s">
        <v>62</v>
      </c>
      <c r="E972" t="s">
        <v>75</v>
      </c>
      <c r="F972" t="s">
        <v>76</v>
      </c>
      <c r="G972" s="6">
        <v>3</v>
      </c>
      <c r="H972" s="4">
        <v>124.67</v>
      </c>
      <c r="I972" s="4">
        <v>72.44</v>
      </c>
      <c r="J972" s="5">
        <v>0.05</v>
      </c>
      <c r="K972" s="6">
        <v>2</v>
      </c>
      <c r="L972" s="6">
        <v>4</v>
      </c>
      <c r="M972" t="s">
        <v>58</v>
      </c>
      <c r="N972" t="s">
        <v>69</v>
      </c>
      <c r="O972" t="s">
        <v>64</v>
      </c>
    </row>
    <row r="973" spans="1:15">
      <c r="A973" t="s">
        <v>1071</v>
      </c>
      <c r="B973" s="3">
        <v>45886</v>
      </c>
      <c r="C973" t="s">
        <v>66</v>
      </c>
      <c r="D973" t="s">
        <v>62</v>
      </c>
      <c r="E973" t="s">
        <v>75</v>
      </c>
      <c r="F973" t="s">
        <v>76</v>
      </c>
      <c r="G973" s="6">
        <v>2</v>
      </c>
      <c r="H973" s="4">
        <v>120.49</v>
      </c>
      <c r="I973" s="4">
        <v>72.2</v>
      </c>
      <c r="J973" s="5">
        <v>0.15000000000000002</v>
      </c>
      <c r="K973" s="6">
        <v>7</v>
      </c>
      <c r="L973" s="6">
        <v>4</v>
      </c>
      <c r="M973" t="s">
        <v>58</v>
      </c>
      <c r="N973" t="s">
        <v>59</v>
      </c>
      <c r="O973" t="s">
        <v>73</v>
      </c>
    </row>
    <row r="974" spans="1:15">
      <c r="A974" t="s">
        <v>1072</v>
      </c>
      <c r="B974" s="3">
        <v>46011</v>
      </c>
      <c r="C974" t="s">
        <v>82</v>
      </c>
      <c r="D974" t="s">
        <v>55</v>
      </c>
      <c r="E974" t="s">
        <v>56</v>
      </c>
      <c r="F974" t="s">
        <v>57</v>
      </c>
      <c r="G974" s="6">
        <v>1</v>
      </c>
      <c r="H974" s="4">
        <v>114.21</v>
      </c>
      <c r="I974" s="4">
        <v>64.989999999999995</v>
      </c>
      <c r="J974" s="5">
        <v>0.15000000000000002</v>
      </c>
      <c r="K974" s="6">
        <v>5</v>
      </c>
      <c r="L974" s="6">
        <v>5</v>
      </c>
      <c r="M974" t="s">
        <v>58</v>
      </c>
      <c r="N974" t="s">
        <v>59</v>
      </c>
      <c r="O974" t="s">
        <v>60</v>
      </c>
    </row>
    <row r="975" spans="1:15">
      <c r="A975" t="s">
        <v>1073</v>
      </c>
      <c r="B975" s="3">
        <v>46022</v>
      </c>
      <c r="C975" t="s">
        <v>66</v>
      </c>
      <c r="D975" t="s">
        <v>129</v>
      </c>
      <c r="E975" t="s">
        <v>56</v>
      </c>
      <c r="F975" t="s">
        <v>63</v>
      </c>
      <c r="G975" s="6">
        <v>10</v>
      </c>
      <c r="H975" s="4">
        <v>40.659999999999997</v>
      </c>
      <c r="I975" s="4">
        <v>20.36</v>
      </c>
      <c r="J975" s="5">
        <v>0.2</v>
      </c>
      <c r="K975" s="6">
        <v>1</v>
      </c>
      <c r="L975" s="6">
        <v>3</v>
      </c>
      <c r="M975" t="s">
        <v>126</v>
      </c>
      <c r="N975" t="s">
        <v>59</v>
      </c>
      <c r="O975" t="s">
        <v>73</v>
      </c>
    </row>
    <row r="976" spans="1:15">
      <c r="A976" t="s">
        <v>1074</v>
      </c>
      <c r="B976" s="3">
        <v>45795</v>
      </c>
      <c r="C976" t="s">
        <v>82</v>
      </c>
      <c r="D976" t="s">
        <v>55</v>
      </c>
      <c r="E976" t="s">
        <v>56</v>
      </c>
      <c r="F976" t="s">
        <v>57</v>
      </c>
      <c r="G976" s="6">
        <v>1</v>
      </c>
      <c r="H976" s="4">
        <v>111.19</v>
      </c>
      <c r="I976" s="4">
        <v>67.010000000000005</v>
      </c>
      <c r="J976" s="5">
        <v>0</v>
      </c>
      <c r="K976" s="6">
        <v>1</v>
      </c>
      <c r="L976" s="6">
        <v>4</v>
      </c>
      <c r="M976" t="s">
        <v>58</v>
      </c>
      <c r="N976" t="s">
        <v>59</v>
      </c>
      <c r="O976" t="s">
        <v>64</v>
      </c>
    </row>
    <row r="977" spans="1:15">
      <c r="A977" t="s">
        <v>1075</v>
      </c>
      <c r="B977" s="3">
        <v>45735</v>
      </c>
      <c r="C977" t="s">
        <v>82</v>
      </c>
      <c r="D977" t="s">
        <v>62</v>
      </c>
      <c r="E977" t="s">
        <v>79</v>
      </c>
      <c r="F977" t="s">
        <v>80</v>
      </c>
      <c r="G977" s="6">
        <v>1</v>
      </c>
      <c r="H977" s="4">
        <v>76.47</v>
      </c>
      <c r="I977" s="4">
        <v>42.93</v>
      </c>
      <c r="J977" s="5">
        <v>0</v>
      </c>
      <c r="K977" s="6">
        <v>5</v>
      </c>
      <c r="L977" s="6">
        <v>4</v>
      </c>
      <c r="M977" t="s">
        <v>58</v>
      </c>
      <c r="N977" t="s">
        <v>59</v>
      </c>
      <c r="O977" t="s">
        <v>73</v>
      </c>
    </row>
    <row r="978" spans="1:15">
      <c r="A978" t="s">
        <v>1076</v>
      </c>
      <c r="B978" s="3">
        <v>45659</v>
      </c>
      <c r="C978" t="s">
        <v>78</v>
      </c>
      <c r="D978" t="s">
        <v>62</v>
      </c>
      <c r="E978" t="s">
        <v>79</v>
      </c>
      <c r="F978" t="s">
        <v>115</v>
      </c>
      <c r="G978" s="6">
        <v>1</v>
      </c>
      <c r="H978" s="4">
        <v>59.85</v>
      </c>
      <c r="I978" s="4">
        <v>35.33</v>
      </c>
      <c r="J978" s="5">
        <v>0.05</v>
      </c>
      <c r="K978" s="6">
        <v>4</v>
      </c>
      <c r="L978" s="6">
        <v>4</v>
      </c>
      <c r="M978" t="s">
        <v>58</v>
      </c>
      <c r="N978" t="s">
        <v>69</v>
      </c>
      <c r="O978" t="s">
        <v>64</v>
      </c>
    </row>
    <row r="979" spans="1:15">
      <c r="A979" t="s">
        <v>1077</v>
      </c>
      <c r="B979" s="3">
        <v>45977</v>
      </c>
      <c r="C979" t="s">
        <v>66</v>
      </c>
      <c r="D979" t="s">
        <v>55</v>
      </c>
      <c r="E979" t="s">
        <v>56</v>
      </c>
      <c r="F979" t="s">
        <v>57</v>
      </c>
      <c r="G979" s="6">
        <v>5</v>
      </c>
      <c r="H979" s="4">
        <v>107.57</v>
      </c>
      <c r="I979" s="4">
        <v>65.84</v>
      </c>
      <c r="J979" s="5">
        <v>0.1</v>
      </c>
      <c r="K979" s="6">
        <v>6</v>
      </c>
      <c r="L979" s="6">
        <v>4</v>
      </c>
      <c r="M979" t="s">
        <v>58</v>
      </c>
      <c r="N979" t="s">
        <v>87</v>
      </c>
      <c r="O979" t="s">
        <v>64</v>
      </c>
    </row>
    <row r="980" spans="1:15">
      <c r="A980" t="s">
        <v>1078</v>
      </c>
      <c r="B980" s="3">
        <v>45662</v>
      </c>
      <c r="C980" t="s">
        <v>78</v>
      </c>
      <c r="D980" t="s">
        <v>62</v>
      </c>
      <c r="E980" t="s">
        <v>79</v>
      </c>
      <c r="F980" t="s">
        <v>115</v>
      </c>
      <c r="G980" s="6">
        <v>2</v>
      </c>
      <c r="H980" s="4">
        <v>60.58</v>
      </c>
      <c r="I980" s="4">
        <v>34.03</v>
      </c>
      <c r="J980" s="5">
        <v>0</v>
      </c>
      <c r="K980" s="6">
        <v>0</v>
      </c>
      <c r="L980" s="6">
        <v>4</v>
      </c>
      <c r="M980" t="s">
        <v>58</v>
      </c>
      <c r="N980" t="s">
        <v>69</v>
      </c>
      <c r="O980" t="s">
        <v>64</v>
      </c>
    </row>
    <row r="981" spans="1:15">
      <c r="A981" t="s">
        <v>1079</v>
      </c>
      <c r="B981" s="3">
        <v>46016</v>
      </c>
      <c r="C981" t="s">
        <v>82</v>
      </c>
      <c r="D981" t="s">
        <v>62</v>
      </c>
      <c r="E981" t="s">
        <v>79</v>
      </c>
      <c r="F981" t="s">
        <v>92</v>
      </c>
      <c r="G981" s="6">
        <v>2</v>
      </c>
      <c r="H981" s="4">
        <v>50.23</v>
      </c>
      <c r="I981" s="4">
        <v>25.58</v>
      </c>
      <c r="J981" s="5">
        <v>0.05</v>
      </c>
      <c r="K981" s="6">
        <v>0</v>
      </c>
      <c r="L981" s="6">
        <v>3</v>
      </c>
      <c r="M981" t="s">
        <v>126</v>
      </c>
      <c r="N981" t="s">
        <v>69</v>
      </c>
      <c r="O981" t="s">
        <v>60</v>
      </c>
    </row>
    <row r="982" spans="1:15">
      <c r="A982" t="s">
        <v>1080</v>
      </c>
      <c r="B982" s="3">
        <v>45924</v>
      </c>
      <c r="C982" t="s">
        <v>66</v>
      </c>
      <c r="D982" t="s">
        <v>62</v>
      </c>
      <c r="E982" t="s">
        <v>75</v>
      </c>
      <c r="F982" t="s">
        <v>76</v>
      </c>
      <c r="G982" s="6">
        <v>1</v>
      </c>
      <c r="H982" s="4">
        <v>117.38</v>
      </c>
      <c r="I982" s="4">
        <v>72.44</v>
      </c>
      <c r="J982" s="5">
        <v>0.1</v>
      </c>
      <c r="K982" s="6">
        <v>2</v>
      </c>
      <c r="L982" s="6">
        <v>4</v>
      </c>
      <c r="M982" t="s">
        <v>58</v>
      </c>
      <c r="N982" t="s">
        <v>69</v>
      </c>
      <c r="O982" t="s">
        <v>64</v>
      </c>
    </row>
    <row r="983" spans="1:15">
      <c r="A983" t="s">
        <v>1081</v>
      </c>
      <c r="B983" s="3">
        <v>45750</v>
      </c>
      <c r="C983" t="s">
        <v>78</v>
      </c>
      <c r="D983" t="s">
        <v>55</v>
      </c>
      <c r="E983" t="s">
        <v>56</v>
      </c>
      <c r="F983" t="s">
        <v>89</v>
      </c>
      <c r="G983" s="6">
        <v>3</v>
      </c>
      <c r="H983" s="4">
        <v>80.67</v>
      </c>
      <c r="I983" s="4">
        <v>46.22</v>
      </c>
      <c r="J983" s="5">
        <v>0</v>
      </c>
      <c r="K983" s="6">
        <v>0</v>
      </c>
      <c r="L983" s="6">
        <v>5</v>
      </c>
      <c r="M983" t="s">
        <v>58</v>
      </c>
      <c r="N983" t="s">
        <v>69</v>
      </c>
      <c r="O983" t="s">
        <v>64</v>
      </c>
    </row>
    <row r="984" spans="1:15">
      <c r="A984" t="s">
        <v>1082</v>
      </c>
      <c r="B984" s="3">
        <v>45889</v>
      </c>
      <c r="C984" t="s">
        <v>78</v>
      </c>
      <c r="D984" t="s">
        <v>62</v>
      </c>
      <c r="E984" t="s">
        <v>67</v>
      </c>
      <c r="F984" t="s">
        <v>68</v>
      </c>
      <c r="G984" s="6">
        <v>1</v>
      </c>
      <c r="H984" s="4">
        <v>38.799999999999997</v>
      </c>
      <c r="I984" s="4">
        <v>19.62</v>
      </c>
      <c r="J984" s="5">
        <v>0</v>
      </c>
      <c r="K984" s="6">
        <v>2</v>
      </c>
      <c r="L984" s="6">
        <v>5</v>
      </c>
      <c r="M984" t="s">
        <v>58</v>
      </c>
      <c r="N984" t="s">
        <v>59</v>
      </c>
      <c r="O984" t="s">
        <v>60</v>
      </c>
    </row>
    <row r="985" spans="1:15">
      <c r="A985" t="s">
        <v>1083</v>
      </c>
      <c r="B985" s="3">
        <v>45766</v>
      </c>
      <c r="C985" t="s">
        <v>54</v>
      </c>
      <c r="D985" t="s">
        <v>129</v>
      </c>
      <c r="E985" t="s">
        <v>79</v>
      </c>
      <c r="F985" t="s">
        <v>92</v>
      </c>
      <c r="G985" s="6">
        <v>8</v>
      </c>
      <c r="H985" s="4">
        <v>51.84</v>
      </c>
      <c r="I985" s="4">
        <v>26.94</v>
      </c>
      <c r="J985" s="5">
        <v>0.05</v>
      </c>
      <c r="K985" s="6">
        <v>0</v>
      </c>
      <c r="L985" s="6">
        <v>4</v>
      </c>
      <c r="M985" t="s">
        <v>58</v>
      </c>
      <c r="N985" t="s">
        <v>69</v>
      </c>
      <c r="O985" t="s">
        <v>60</v>
      </c>
    </row>
    <row r="986" spans="1:15">
      <c r="A986" t="s">
        <v>1084</v>
      </c>
      <c r="B986" s="3">
        <v>45795</v>
      </c>
      <c r="C986" t="s">
        <v>66</v>
      </c>
      <c r="D986" t="s">
        <v>55</v>
      </c>
      <c r="E986" t="s">
        <v>75</v>
      </c>
      <c r="F986" t="s">
        <v>97</v>
      </c>
      <c r="G986" s="6">
        <v>3</v>
      </c>
      <c r="H986" s="4">
        <v>88.84</v>
      </c>
      <c r="I986" s="4">
        <v>56.67</v>
      </c>
      <c r="J986" s="5">
        <v>0.2</v>
      </c>
      <c r="K986" s="6">
        <v>7</v>
      </c>
      <c r="L986" s="6">
        <v>4</v>
      </c>
      <c r="M986" t="s">
        <v>58</v>
      </c>
      <c r="N986" t="s">
        <v>59</v>
      </c>
      <c r="O986" t="s">
        <v>64</v>
      </c>
    </row>
    <row r="987" spans="1:15">
      <c r="A987" t="s">
        <v>1085</v>
      </c>
      <c r="B987" s="3">
        <v>45948</v>
      </c>
      <c r="C987" t="s">
        <v>78</v>
      </c>
      <c r="D987" t="s">
        <v>62</v>
      </c>
      <c r="E987" t="s">
        <v>75</v>
      </c>
      <c r="F987" t="s">
        <v>110</v>
      </c>
      <c r="G987" s="6">
        <v>3</v>
      </c>
      <c r="H987" s="4">
        <v>159.57</v>
      </c>
      <c r="I987" s="4">
        <v>104.67</v>
      </c>
      <c r="J987" s="5">
        <v>0</v>
      </c>
      <c r="K987" s="6">
        <v>2</v>
      </c>
      <c r="L987" s="6">
        <v>5</v>
      </c>
      <c r="M987" t="s">
        <v>58</v>
      </c>
      <c r="N987" t="s">
        <v>69</v>
      </c>
      <c r="O987" t="s">
        <v>73</v>
      </c>
    </row>
    <row r="988" spans="1:15">
      <c r="A988" t="s">
        <v>1086</v>
      </c>
      <c r="B988" s="3">
        <v>45742</v>
      </c>
      <c r="C988" t="s">
        <v>82</v>
      </c>
      <c r="D988" t="s">
        <v>55</v>
      </c>
      <c r="E988" t="s">
        <v>79</v>
      </c>
      <c r="F988" t="s">
        <v>85</v>
      </c>
      <c r="G988" s="6">
        <v>3</v>
      </c>
      <c r="H988" s="4">
        <v>133.53</v>
      </c>
      <c r="I988" s="4">
        <v>85.91</v>
      </c>
      <c r="J988" s="5">
        <v>0.05</v>
      </c>
      <c r="K988" s="6">
        <v>2</v>
      </c>
      <c r="L988" s="6">
        <v>4</v>
      </c>
      <c r="M988" t="s">
        <v>58</v>
      </c>
      <c r="N988" t="s">
        <v>69</v>
      </c>
      <c r="O988" t="s">
        <v>64</v>
      </c>
    </row>
    <row r="989" spans="1:15">
      <c r="A989" t="s">
        <v>1087</v>
      </c>
      <c r="B989" s="3">
        <v>46000</v>
      </c>
      <c r="C989" t="s">
        <v>82</v>
      </c>
      <c r="D989" t="s">
        <v>62</v>
      </c>
      <c r="E989" t="s">
        <v>67</v>
      </c>
      <c r="F989" t="s">
        <v>68</v>
      </c>
      <c r="G989" s="6">
        <v>1</v>
      </c>
      <c r="H989" s="4">
        <v>41.04</v>
      </c>
      <c r="I989" s="4">
        <v>19.71</v>
      </c>
      <c r="J989" s="5">
        <v>0.1</v>
      </c>
      <c r="K989" s="6">
        <v>3</v>
      </c>
      <c r="L989" s="6">
        <v>4</v>
      </c>
      <c r="M989" t="s">
        <v>58</v>
      </c>
      <c r="N989" t="s">
        <v>59</v>
      </c>
      <c r="O989" t="s">
        <v>64</v>
      </c>
    </row>
    <row r="990" spans="1:15">
      <c r="A990" t="s">
        <v>1088</v>
      </c>
      <c r="B990" s="3">
        <v>45980</v>
      </c>
      <c r="C990" t="s">
        <v>66</v>
      </c>
      <c r="D990" t="s">
        <v>55</v>
      </c>
      <c r="E990" t="s">
        <v>79</v>
      </c>
      <c r="F990" t="s">
        <v>80</v>
      </c>
      <c r="G990" s="6">
        <v>3</v>
      </c>
      <c r="H990" s="4">
        <v>76.19</v>
      </c>
      <c r="I990" s="4">
        <v>43.51</v>
      </c>
      <c r="J990" s="5">
        <v>0.05</v>
      </c>
      <c r="K990" s="6">
        <v>1</v>
      </c>
      <c r="L990" s="6">
        <v>5</v>
      </c>
      <c r="M990" t="s">
        <v>58</v>
      </c>
      <c r="N990" t="s">
        <v>69</v>
      </c>
      <c r="O990" t="s">
        <v>73</v>
      </c>
    </row>
    <row r="991" spans="1:15">
      <c r="A991" t="s">
        <v>1089</v>
      </c>
      <c r="B991" s="3">
        <v>45983</v>
      </c>
      <c r="C991" t="s">
        <v>78</v>
      </c>
      <c r="D991" t="s">
        <v>55</v>
      </c>
      <c r="E991" t="s">
        <v>79</v>
      </c>
      <c r="F991" t="s">
        <v>115</v>
      </c>
      <c r="G991" s="6">
        <v>4</v>
      </c>
      <c r="H991" s="4">
        <v>58.85</v>
      </c>
      <c r="I991" s="4">
        <v>34.43</v>
      </c>
      <c r="J991" s="5">
        <v>0.05</v>
      </c>
      <c r="K991" s="6">
        <v>5</v>
      </c>
      <c r="L991" s="6">
        <v>4</v>
      </c>
      <c r="M991" t="s">
        <v>58</v>
      </c>
      <c r="N991" t="s">
        <v>59</v>
      </c>
      <c r="O991" t="s">
        <v>73</v>
      </c>
    </row>
    <row r="992" spans="1:15">
      <c r="A992" t="s">
        <v>1090</v>
      </c>
      <c r="B992" s="3">
        <v>45993</v>
      </c>
      <c r="C992" t="s">
        <v>78</v>
      </c>
      <c r="D992" t="s">
        <v>55</v>
      </c>
      <c r="E992" t="s">
        <v>67</v>
      </c>
      <c r="F992" t="s">
        <v>94</v>
      </c>
      <c r="G992" s="6">
        <v>2</v>
      </c>
      <c r="H992" s="4">
        <v>35.380000000000003</v>
      </c>
      <c r="I992" s="4">
        <v>17.489999999999998</v>
      </c>
      <c r="J992" s="5">
        <v>0.15000000000000002</v>
      </c>
      <c r="K992" s="6">
        <v>5</v>
      </c>
      <c r="L992" s="6">
        <v>4</v>
      </c>
      <c r="M992" t="s">
        <v>58</v>
      </c>
      <c r="N992" t="s">
        <v>59</v>
      </c>
      <c r="O992" t="s">
        <v>64</v>
      </c>
    </row>
    <row r="993" spans="1:15">
      <c r="A993" t="s">
        <v>1091</v>
      </c>
      <c r="B993" s="3">
        <v>46018</v>
      </c>
      <c r="C993" t="s">
        <v>82</v>
      </c>
      <c r="D993" t="s">
        <v>62</v>
      </c>
      <c r="E993" t="s">
        <v>75</v>
      </c>
      <c r="F993" t="s">
        <v>97</v>
      </c>
      <c r="G993" s="6">
        <v>2</v>
      </c>
      <c r="H993" s="4">
        <v>93.31</v>
      </c>
      <c r="I993" s="4">
        <v>54.65</v>
      </c>
      <c r="J993" s="5">
        <v>0.05</v>
      </c>
      <c r="K993" s="6">
        <v>3</v>
      </c>
      <c r="L993" s="6">
        <v>4</v>
      </c>
      <c r="M993" t="s">
        <v>58</v>
      </c>
      <c r="N993" t="s">
        <v>69</v>
      </c>
      <c r="O993" t="s">
        <v>64</v>
      </c>
    </row>
    <row r="994" spans="1:15">
      <c r="A994" t="s">
        <v>1092</v>
      </c>
      <c r="B994" s="3">
        <v>45807</v>
      </c>
      <c r="C994" t="s">
        <v>82</v>
      </c>
      <c r="D994" t="s">
        <v>55</v>
      </c>
      <c r="E994" t="s">
        <v>56</v>
      </c>
      <c r="F994" t="s">
        <v>89</v>
      </c>
      <c r="G994" s="6">
        <v>2</v>
      </c>
      <c r="H994" s="4">
        <v>80.319999999999993</v>
      </c>
      <c r="I994" s="4">
        <v>44.43</v>
      </c>
      <c r="J994" s="5">
        <v>0</v>
      </c>
      <c r="K994" s="6">
        <v>5</v>
      </c>
      <c r="L994" s="6">
        <v>5</v>
      </c>
      <c r="M994" t="s">
        <v>58</v>
      </c>
      <c r="N994" t="s">
        <v>59</v>
      </c>
      <c r="O994" t="s">
        <v>64</v>
      </c>
    </row>
    <row r="995" spans="1:15">
      <c r="A995" t="s">
        <v>1093</v>
      </c>
      <c r="B995" s="3">
        <v>45823</v>
      </c>
      <c r="C995" t="s">
        <v>78</v>
      </c>
      <c r="D995" t="s">
        <v>129</v>
      </c>
      <c r="E995" t="s">
        <v>75</v>
      </c>
      <c r="F995" t="s">
        <v>97</v>
      </c>
      <c r="G995" s="6">
        <v>6</v>
      </c>
      <c r="H995" s="4">
        <v>92.92</v>
      </c>
      <c r="I995" s="4">
        <v>53.18</v>
      </c>
      <c r="J995" s="5">
        <v>0.05</v>
      </c>
      <c r="K995" s="6">
        <v>3</v>
      </c>
      <c r="L995" s="6">
        <v>3</v>
      </c>
      <c r="M995" t="s">
        <v>126</v>
      </c>
      <c r="N995" t="s">
        <v>69</v>
      </c>
      <c r="O995" t="s">
        <v>64</v>
      </c>
    </row>
    <row r="996" spans="1:15">
      <c r="A996" t="s">
        <v>1094</v>
      </c>
      <c r="B996" s="3">
        <v>45833</v>
      </c>
      <c r="C996" t="s">
        <v>66</v>
      </c>
      <c r="D996" t="s">
        <v>62</v>
      </c>
      <c r="E996" t="s">
        <v>56</v>
      </c>
      <c r="F996" t="s">
        <v>89</v>
      </c>
      <c r="G996" s="6">
        <v>1</v>
      </c>
      <c r="H996" s="4">
        <v>78.48</v>
      </c>
      <c r="I996" s="4">
        <v>46.3</v>
      </c>
      <c r="J996" s="5">
        <v>0.05</v>
      </c>
      <c r="K996" s="6">
        <v>3</v>
      </c>
      <c r="L996" s="6">
        <v>4</v>
      </c>
      <c r="M996" t="s">
        <v>58</v>
      </c>
      <c r="N996" t="s">
        <v>87</v>
      </c>
      <c r="O996" t="s">
        <v>60</v>
      </c>
    </row>
    <row r="997" spans="1:15">
      <c r="A997" t="s">
        <v>1095</v>
      </c>
      <c r="B997" s="3">
        <v>45914</v>
      </c>
      <c r="C997" t="s">
        <v>78</v>
      </c>
      <c r="D997" t="s">
        <v>55</v>
      </c>
      <c r="E997" t="s">
        <v>75</v>
      </c>
      <c r="F997" t="s">
        <v>146</v>
      </c>
      <c r="G997" s="6">
        <v>2</v>
      </c>
      <c r="H997" s="4">
        <v>182.25</v>
      </c>
      <c r="I997" s="4">
        <v>119.46</v>
      </c>
      <c r="J997" s="5">
        <v>0</v>
      </c>
      <c r="K997" s="6">
        <v>1</v>
      </c>
      <c r="L997" s="6">
        <v>5</v>
      </c>
      <c r="M997" t="s">
        <v>58</v>
      </c>
      <c r="N997" t="s">
        <v>69</v>
      </c>
      <c r="O997" t="s">
        <v>64</v>
      </c>
    </row>
    <row r="998" spans="1:15">
      <c r="A998" t="s">
        <v>1096</v>
      </c>
      <c r="B998" s="3">
        <v>45817</v>
      </c>
      <c r="C998" t="s">
        <v>66</v>
      </c>
      <c r="D998" t="s">
        <v>55</v>
      </c>
      <c r="E998" t="s">
        <v>79</v>
      </c>
      <c r="F998" t="s">
        <v>92</v>
      </c>
      <c r="G998" s="6">
        <v>4</v>
      </c>
      <c r="H998" s="4">
        <v>51.86</v>
      </c>
      <c r="I998" s="4">
        <v>26.73</v>
      </c>
      <c r="J998" s="5">
        <v>0.1</v>
      </c>
      <c r="K998" s="6">
        <v>3</v>
      </c>
      <c r="L998" s="6">
        <v>4</v>
      </c>
      <c r="M998" t="s">
        <v>58</v>
      </c>
      <c r="N998" t="s">
        <v>87</v>
      </c>
      <c r="O998" t="s">
        <v>73</v>
      </c>
    </row>
    <row r="999" spans="1:15">
      <c r="A999" t="s">
        <v>1097</v>
      </c>
      <c r="B999" s="3">
        <v>45904</v>
      </c>
      <c r="C999" t="s">
        <v>66</v>
      </c>
      <c r="D999" t="s">
        <v>129</v>
      </c>
      <c r="E999" t="s">
        <v>79</v>
      </c>
      <c r="F999" t="s">
        <v>85</v>
      </c>
      <c r="G999" s="6">
        <v>2</v>
      </c>
      <c r="H999" s="4">
        <v>134.81</v>
      </c>
      <c r="I999" s="4">
        <v>85.47</v>
      </c>
      <c r="J999" s="5">
        <v>0.1</v>
      </c>
      <c r="K999" s="6">
        <v>2</v>
      </c>
      <c r="L999" s="6">
        <v>4</v>
      </c>
      <c r="M999" t="s">
        <v>58</v>
      </c>
      <c r="N999" t="s">
        <v>59</v>
      </c>
      <c r="O999" t="s">
        <v>60</v>
      </c>
    </row>
    <row r="1000" spans="1:15">
      <c r="A1000" t="s">
        <v>1098</v>
      </c>
      <c r="B1000" s="3">
        <v>45951</v>
      </c>
      <c r="C1000" t="s">
        <v>82</v>
      </c>
      <c r="D1000" t="s">
        <v>62</v>
      </c>
      <c r="E1000" t="s">
        <v>79</v>
      </c>
      <c r="F1000" t="s">
        <v>115</v>
      </c>
      <c r="G1000" s="6">
        <v>1</v>
      </c>
      <c r="H1000" s="4">
        <v>59.6</v>
      </c>
      <c r="I1000" s="4">
        <v>35.53</v>
      </c>
      <c r="J1000" s="5">
        <v>0</v>
      </c>
      <c r="K1000" s="6">
        <v>0</v>
      </c>
      <c r="L1000" s="6">
        <v>4</v>
      </c>
      <c r="M1000" t="s">
        <v>58</v>
      </c>
      <c r="N1000" t="s">
        <v>69</v>
      </c>
      <c r="O1000" t="s">
        <v>64</v>
      </c>
    </row>
    <row r="1001" spans="1:15">
      <c r="A1001" t="s">
        <v>1099</v>
      </c>
      <c r="B1001" s="3">
        <v>45763</v>
      </c>
      <c r="C1001" t="s">
        <v>82</v>
      </c>
      <c r="D1001" t="s">
        <v>55</v>
      </c>
      <c r="E1001" t="s">
        <v>79</v>
      </c>
      <c r="F1001" t="s">
        <v>115</v>
      </c>
      <c r="G1001" s="6">
        <v>3</v>
      </c>
      <c r="H1001" s="4">
        <v>59.92</v>
      </c>
      <c r="I1001" s="4">
        <v>35.31</v>
      </c>
      <c r="J1001" s="5">
        <v>0.1</v>
      </c>
      <c r="K1001" s="6">
        <v>3</v>
      </c>
      <c r="L1001" s="6">
        <v>5</v>
      </c>
      <c r="M1001" t="s">
        <v>58</v>
      </c>
      <c r="N1001" t="s">
        <v>59</v>
      </c>
      <c r="O1001" t="s">
        <v>60</v>
      </c>
    </row>
    <row r="1002" spans="1:15">
      <c r="A1002" t="s">
        <v>711</v>
      </c>
      <c r="B1002" s="3">
        <v>45861</v>
      </c>
      <c r="C1002" t="s">
        <v>82</v>
      </c>
      <c r="D1002" t="s">
        <v>55</v>
      </c>
      <c r="E1002" t="s">
        <v>79</v>
      </c>
      <c r="F1002" t="s">
        <v>115</v>
      </c>
      <c r="G1002" s="6">
        <v>3</v>
      </c>
      <c r="H1002" s="4">
        <v>60.33</v>
      </c>
      <c r="I1002" s="4">
        <v>33.11</v>
      </c>
      <c r="J1002" s="5">
        <v>0</v>
      </c>
      <c r="K1002" s="6">
        <v>0</v>
      </c>
      <c r="L1002" s="6">
        <v>4</v>
      </c>
      <c r="M1002" t="s">
        <v>58</v>
      </c>
      <c r="N1002" t="s">
        <v>69</v>
      </c>
      <c r="O1002" t="s">
        <v>60</v>
      </c>
    </row>
    <row r="1003" spans="1:15">
      <c r="A1003" t="s">
        <v>1100</v>
      </c>
      <c r="B1003" s="3">
        <v>45984</v>
      </c>
      <c r="C1003" t="s">
        <v>78</v>
      </c>
      <c r="D1003" t="s">
        <v>62</v>
      </c>
      <c r="E1003" t="s">
        <v>79</v>
      </c>
      <c r="F1003" t="s">
        <v>80</v>
      </c>
      <c r="G1003" s="6">
        <v>2</v>
      </c>
      <c r="H1003" s="4">
        <v>73.52</v>
      </c>
      <c r="I1003" s="4">
        <v>45</v>
      </c>
      <c r="J1003" s="5">
        <v>0.05</v>
      </c>
      <c r="K1003" s="6">
        <v>1</v>
      </c>
      <c r="L1003" s="6">
        <v>4</v>
      </c>
      <c r="M1003" t="s">
        <v>58</v>
      </c>
      <c r="N1003" t="s">
        <v>87</v>
      </c>
      <c r="O1003" t="s">
        <v>64</v>
      </c>
    </row>
    <row r="1004" spans="1:15">
      <c r="A1004" t="s">
        <v>1101</v>
      </c>
      <c r="B1004" s="3">
        <v>45986</v>
      </c>
      <c r="C1004" t="s">
        <v>82</v>
      </c>
      <c r="D1004" t="s">
        <v>62</v>
      </c>
      <c r="E1004" t="s">
        <v>56</v>
      </c>
      <c r="F1004" t="s">
        <v>57</v>
      </c>
      <c r="G1004" s="6">
        <v>2</v>
      </c>
      <c r="H1004" s="4">
        <v>107.06</v>
      </c>
      <c r="I1004" s="4">
        <v>69.84</v>
      </c>
      <c r="J1004" s="5">
        <v>0.05</v>
      </c>
      <c r="K1004" s="6">
        <v>3</v>
      </c>
      <c r="L1004" s="6">
        <v>4</v>
      </c>
      <c r="M1004" t="s">
        <v>58</v>
      </c>
      <c r="N1004" t="s">
        <v>59</v>
      </c>
      <c r="O1004" t="s">
        <v>64</v>
      </c>
    </row>
    <row r="1005" spans="1:15">
      <c r="A1005" t="s">
        <v>1102</v>
      </c>
      <c r="B1005" s="3">
        <v>45726</v>
      </c>
      <c r="C1005" t="s">
        <v>78</v>
      </c>
      <c r="D1005" t="s">
        <v>62</v>
      </c>
      <c r="E1005" t="s">
        <v>75</v>
      </c>
      <c r="F1005" t="s">
        <v>97</v>
      </c>
      <c r="G1005" s="6">
        <v>1</v>
      </c>
      <c r="H1005" s="4">
        <v>88.4</v>
      </c>
      <c r="I1005" s="4">
        <v>55.36</v>
      </c>
      <c r="J1005" s="5">
        <v>0.05</v>
      </c>
      <c r="K1005" s="6">
        <v>1</v>
      </c>
      <c r="L1005" s="6">
        <v>4</v>
      </c>
      <c r="M1005" t="s">
        <v>58</v>
      </c>
      <c r="N1005" t="s">
        <v>69</v>
      </c>
      <c r="O1005" t="s">
        <v>64</v>
      </c>
    </row>
    <row r="1006" spans="1:15">
      <c r="A1006" t="s">
        <v>1103</v>
      </c>
      <c r="B1006" s="3">
        <v>45894</v>
      </c>
      <c r="C1006" t="s">
        <v>82</v>
      </c>
      <c r="D1006" t="s">
        <v>62</v>
      </c>
      <c r="E1006" t="s">
        <v>56</v>
      </c>
      <c r="F1006" t="s">
        <v>89</v>
      </c>
      <c r="G1006" s="6">
        <v>1</v>
      </c>
      <c r="H1006" s="4">
        <v>81.900000000000006</v>
      </c>
      <c r="I1006" s="4">
        <v>44.63</v>
      </c>
      <c r="J1006" s="5">
        <v>0.1</v>
      </c>
      <c r="K1006" s="6">
        <v>5</v>
      </c>
      <c r="L1006" s="6">
        <v>3</v>
      </c>
      <c r="M1006" t="s">
        <v>126</v>
      </c>
      <c r="N1006" t="s">
        <v>59</v>
      </c>
      <c r="O1006" t="s">
        <v>60</v>
      </c>
    </row>
    <row r="1007" spans="1:15">
      <c r="A1007" t="s">
        <v>1104</v>
      </c>
      <c r="B1007" s="3">
        <v>45989</v>
      </c>
      <c r="C1007" t="s">
        <v>54</v>
      </c>
      <c r="D1007" t="s">
        <v>62</v>
      </c>
      <c r="E1007" t="s">
        <v>75</v>
      </c>
      <c r="F1007" t="s">
        <v>146</v>
      </c>
      <c r="G1007" s="6">
        <v>2</v>
      </c>
      <c r="H1007" s="4">
        <v>182.99</v>
      </c>
      <c r="I1007" s="4">
        <v>115.91</v>
      </c>
      <c r="J1007" s="5">
        <v>0.05</v>
      </c>
      <c r="K1007" s="6">
        <v>4</v>
      </c>
      <c r="L1007" s="6">
        <v>5</v>
      </c>
      <c r="M1007" t="s">
        <v>58</v>
      </c>
      <c r="N1007" t="s">
        <v>69</v>
      </c>
      <c r="O1007" t="s">
        <v>60</v>
      </c>
    </row>
    <row r="1008" spans="1:15">
      <c r="A1008" t="s">
        <v>1105</v>
      </c>
      <c r="B1008" s="3">
        <v>45707</v>
      </c>
      <c r="C1008" t="s">
        <v>209</v>
      </c>
      <c r="D1008" t="s">
        <v>62</v>
      </c>
      <c r="E1008" t="s">
        <v>75</v>
      </c>
      <c r="F1008" t="s">
        <v>76</v>
      </c>
      <c r="G1008" s="6">
        <v>1</v>
      </c>
      <c r="H1008" s="4">
        <v>116.75</v>
      </c>
      <c r="I1008" s="4">
        <v>70.650000000000006</v>
      </c>
      <c r="J1008" s="5">
        <v>0.1</v>
      </c>
      <c r="K1008" s="6">
        <v>9</v>
      </c>
      <c r="L1008" s="6">
        <v>3</v>
      </c>
      <c r="M1008" t="s">
        <v>58</v>
      </c>
      <c r="N1008" t="s">
        <v>59</v>
      </c>
      <c r="O1008" t="s">
        <v>60</v>
      </c>
    </row>
    <row r="1009" spans="1:15">
      <c r="A1009" t="s">
        <v>1106</v>
      </c>
      <c r="B1009" s="3">
        <v>45993</v>
      </c>
      <c r="C1009" t="s">
        <v>78</v>
      </c>
      <c r="D1009" t="s">
        <v>55</v>
      </c>
      <c r="E1009" t="s">
        <v>79</v>
      </c>
      <c r="F1009" t="s">
        <v>92</v>
      </c>
      <c r="G1009" s="6">
        <v>2</v>
      </c>
      <c r="H1009" s="4">
        <v>48.86</v>
      </c>
      <c r="I1009" s="4">
        <v>25.6</v>
      </c>
      <c r="J1009" s="5">
        <v>0.05</v>
      </c>
      <c r="K1009" s="6">
        <v>0</v>
      </c>
      <c r="L1009" s="6">
        <v>5</v>
      </c>
      <c r="M1009" t="s">
        <v>58</v>
      </c>
      <c r="N1009" t="s">
        <v>69</v>
      </c>
      <c r="O1009" t="s">
        <v>64</v>
      </c>
    </row>
    <row r="1010" spans="1:15">
      <c r="A1010" t="s">
        <v>1107</v>
      </c>
      <c r="B1010" s="3">
        <v>46014</v>
      </c>
      <c r="C1010" t="s">
        <v>54</v>
      </c>
      <c r="D1010" t="s">
        <v>55</v>
      </c>
      <c r="E1010" t="s">
        <v>56</v>
      </c>
      <c r="F1010" t="s">
        <v>89</v>
      </c>
      <c r="G1010" s="6">
        <v>5</v>
      </c>
      <c r="H1010" s="4">
        <v>82.14</v>
      </c>
      <c r="I1010" s="4">
        <v>47.13</v>
      </c>
      <c r="J1010" s="5">
        <v>0.15000000000000002</v>
      </c>
      <c r="K1010" s="6">
        <v>5</v>
      </c>
      <c r="L1010" s="6">
        <v>5</v>
      </c>
      <c r="M1010" t="s">
        <v>58</v>
      </c>
      <c r="N1010" t="s">
        <v>59</v>
      </c>
      <c r="O1010" t="s">
        <v>64</v>
      </c>
    </row>
    <row r="1011" spans="1:15">
      <c r="A1011" t="s">
        <v>1108</v>
      </c>
      <c r="B1011" s="3">
        <v>46010</v>
      </c>
      <c r="C1011" t="s">
        <v>54</v>
      </c>
      <c r="D1011" t="s">
        <v>62</v>
      </c>
      <c r="E1011" t="s">
        <v>75</v>
      </c>
      <c r="F1011" t="s">
        <v>146</v>
      </c>
      <c r="G1011" s="6">
        <v>1</v>
      </c>
      <c r="H1011" s="4">
        <v>180.42</v>
      </c>
      <c r="I1011" s="4">
        <v>116.44</v>
      </c>
      <c r="J1011" s="5">
        <v>0.1</v>
      </c>
      <c r="K1011" s="6">
        <v>6</v>
      </c>
      <c r="L1011" s="6">
        <v>4</v>
      </c>
      <c r="M1011" t="s">
        <v>58</v>
      </c>
      <c r="N1011" t="s">
        <v>59</v>
      </c>
      <c r="O1011" t="s">
        <v>64</v>
      </c>
    </row>
    <row r="1012" spans="1:15">
      <c r="A1012" t="s">
        <v>1109</v>
      </c>
      <c r="B1012" s="3">
        <v>45741</v>
      </c>
      <c r="C1012" t="s">
        <v>78</v>
      </c>
      <c r="D1012" t="s">
        <v>62</v>
      </c>
      <c r="E1012" t="s">
        <v>67</v>
      </c>
      <c r="F1012" t="s">
        <v>68</v>
      </c>
      <c r="G1012" s="6">
        <v>3</v>
      </c>
      <c r="H1012" s="4">
        <v>38.83</v>
      </c>
      <c r="I1012" s="4">
        <v>19.37</v>
      </c>
      <c r="J1012" s="5">
        <v>0.05</v>
      </c>
      <c r="K1012" s="6">
        <v>0</v>
      </c>
      <c r="L1012" s="6">
        <v>4</v>
      </c>
      <c r="M1012" t="s">
        <v>58</v>
      </c>
      <c r="N1012" t="s">
        <v>69</v>
      </c>
      <c r="O1012" t="s">
        <v>64</v>
      </c>
    </row>
    <row r="1013" spans="1:15">
      <c r="A1013" t="s">
        <v>1110</v>
      </c>
      <c r="B1013" s="3">
        <v>45835</v>
      </c>
      <c r="C1013" t="s">
        <v>82</v>
      </c>
      <c r="D1013" t="s">
        <v>55</v>
      </c>
      <c r="E1013" t="s">
        <v>56</v>
      </c>
      <c r="F1013" t="s">
        <v>89</v>
      </c>
      <c r="G1013" s="6">
        <v>2</v>
      </c>
      <c r="H1013" s="4">
        <v>82.89</v>
      </c>
      <c r="I1013" s="4">
        <v>46.08</v>
      </c>
      <c r="J1013" s="5">
        <v>0.05</v>
      </c>
      <c r="K1013" s="6">
        <v>6</v>
      </c>
      <c r="L1013" s="6">
        <v>4</v>
      </c>
      <c r="M1013" t="s">
        <v>58</v>
      </c>
      <c r="N1013" t="s">
        <v>59</v>
      </c>
      <c r="O1013" t="s">
        <v>73</v>
      </c>
    </row>
    <row r="1014" spans="1:15">
      <c r="A1014" t="s">
        <v>1111</v>
      </c>
      <c r="B1014" s="3">
        <v>45936</v>
      </c>
      <c r="C1014" t="s">
        <v>54</v>
      </c>
      <c r="D1014" t="s">
        <v>62</v>
      </c>
      <c r="E1014" t="s">
        <v>56</v>
      </c>
      <c r="F1014" t="s">
        <v>57</v>
      </c>
      <c r="G1014" s="6">
        <v>1</v>
      </c>
      <c r="H1014" s="4">
        <v>111.12</v>
      </c>
      <c r="I1014" s="4">
        <v>65.09</v>
      </c>
      <c r="J1014" s="5">
        <v>0</v>
      </c>
      <c r="K1014" s="6">
        <v>3</v>
      </c>
      <c r="L1014" s="6">
        <v>4</v>
      </c>
      <c r="M1014" t="s">
        <v>58</v>
      </c>
      <c r="N1014" t="s">
        <v>59</v>
      </c>
      <c r="O1014" t="s">
        <v>60</v>
      </c>
    </row>
    <row r="1015" spans="1:15">
      <c r="A1015" t="s">
        <v>1112</v>
      </c>
      <c r="B1015" s="3">
        <v>46013</v>
      </c>
      <c r="C1015" t="s">
        <v>78</v>
      </c>
      <c r="D1015" t="s">
        <v>55</v>
      </c>
      <c r="E1015" t="s">
        <v>56</v>
      </c>
      <c r="F1015" t="s">
        <v>83</v>
      </c>
      <c r="G1015" s="6">
        <v>3</v>
      </c>
      <c r="H1015" s="4">
        <v>63.85</v>
      </c>
      <c r="I1015" s="4">
        <v>36.659999999999997</v>
      </c>
      <c r="J1015" s="5">
        <v>0.1</v>
      </c>
      <c r="K1015" s="6">
        <v>0</v>
      </c>
      <c r="L1015" s="6">
        <v>4</v>
      </c>
      <c r="M1015" t="s">
        <v>58</v>
      </c>
      <c r="N1015" t="s">
        <v>69</v>
      </c>
      <c r="O1015" t="s">
        <v>64</v>
      </c>
    </row>
    <row r="1016" spans="1:15">
      <c r="A1016" t="s">
        <v>1113</v>
      </c>
      <c r="B1016" s="3">
        <v>45987</v>
      </c>
      <c r="C1016" t="s">
        <v>82</v>
      </c>
      <c r="D1016" t="s">
        <v>62</v>
      </c>
      <c r="E1016" t="s">
        <v>56</v>
      </c>
      <c r="F1016" t="s">
        <v>89</v>
      </c>
      <c r="G1016" s="6">
        <v>2</v>
      </c>
      <c r="H1016" s="4">
        <v>79.209999999999994</v>
      </c>
      <c r="I1016" s="4">
        <v>45.91</v>
      </c>
      <c r="J1016" s="5">
        <v>0.05</v>
      </c>
      <c r="K1016" s="6">
        <v>6</v>
      </c>
      <c r="L1016" s="6">
        <v>4</v>
      </c>
      <c r="M1016" t="s">
        <v>58</v>
      </c>
      <c r="N1016" t="s">
        <v>59</v>
      </c>
      <c r="O1016" t="s">
        <v>64</v>
      </c>
    </row>
    <row r="1017" spans="1:15">
      <c r="A1017" t="s">
        <v>1114</v>
      </c>
      <c r="B1017" s="3">
        <v>45993</v>
      </c>
      <c r="C1017" t="s">
        <v>54</v>
      </c>
      <c r="D1017" t="s">
        <v>55</v>
      </c>
      <c r="E1017" t="s">
        <v>79</v>
      </c>
      <c r="F1017" t="s">
        <v>80</v>
      </c>
      <c r="G1017" s="6">
        <v>5</v>
      </c>
      <c r="H1017" s="4">
        <v>73.989999999999995</v>
      </c>
      <c r="I1017" s="4">
        <v>43.92</v>
      </c>
      <c r="J1017" s="5">
        <v>0</v>
      </c>
      <c r="K1017" s="6">
        <v>2</v>
      </c>
      <c r="L1017" s="6">
        <v>5</v>
      </c>
      <c r="M1017" t="s">
        <v>58</v>
      </c>
      <c r="N1017" t="s">
        <v>87</v>
      </c>
      <c r="O1017" t="s">
        <v>60</v>
      </c>
    </row>
    <row r="1018" spans="1:15">
      <c r="A1018" t="s">
        <v>1115</v>
      </c>
      <c r="B1018" s="3">
        <v>45827</v>
      </c>
      <c r="C1018" t="s">
        <v>54</v>
      </c>
      <c r="D1018" t="s">
        <v>55</v>
      </c>
      <c r="E1018" t="s">
        <v>56</v>
      </c>
      <c r="F1018" t="s">
        <v>83</v>
      </c>
      <c r="G1018" s="6">
        <v>3</v>
      </c>
      <c r="H1018" s="4">
        <v>64.400000000000006</v>
      </c>
      <c r="I1018" s="4">
        <v>34.4</v>
      </c>
      <c r="J1018" s="5">
        <v>0</v>
      </c>
      <c r="K1018" s="6">
        <v>2</v>
      </c>
      <c r="L1018" s="6">
        <v>4</v>
      </c>
      <c r="M1018" t="s">
        <v>58</v>
      </c>
      <c r="N1018" t="s">
        <v>59</v>
      </c>
      <c r="O1018" t="s">
        <v>64</v>
      </c>
    </row>
    <row r="1019" spans="1:15">
      <c r="A1019" t="s">
        <v>1116</v>
      </c>
      <c r="B1019" s="3">
        <v>45985</v>
      </c>
      <c r="C1019" t="s">
        <v>54</v>
      </c>
      <c r="D1019" t="s">
        <v>62</v>
      </c>
      <c r="E1019" t="s">
        <v>67</v>
      </c>
      <c r="F1019" t="s">
        <v>107</v>
      </c>
      <c r="G1019" s="6">
        <v>1</v>
      </c>
      <c r="H1019" s="4">
        <v>45.2</v>
      </c>
      <c r="I1019" s="4">
        <v>21.9</v>
      </c>
      <c r="J1019" s="5">
        <v>0.15000000000000002</v>
      </c>
      <c r="K1019" s="6">
        <v>4</v>
      </c>
      <c r="L1019" s="6">
        <v>4</v>
      </c>
      <c r="M1019" t="s">
        <v>58</v>
      </c>
      <c r="N1019" t="s">
        <v>69</v>
      </c>
      <c r="O1019" t="s">
        <v>64</v>
      </c>
    </row>
    <row r="1020" spans="1:15">
      <c r="A1020" t="s">
        <v>1117</v>
      </c>
      <c r="B1020" s="3">
        <v>45890</v>
      </c>
      <c r="C1020" t="s">
        <v>78</v>
      </c>
      <c r="D1020" t="s">
        <v>62</v>
      </c>
      <c r="E1020" t="s">
        <v>75</v>
      </c>
      <c r="F1020" t="s">
        <v>146</v>
      </c>
      <c r="G1020" s="6">
        <v>1</v>
      </c>
      <c r="H1020" s="4">
        <v>183.6</v>
      </c>
      <c r="I1020" s="4">
        <v>120.57</v>
      </c>
      <c r="J1020" s="5">
        <v>0</v>
      </c>
      <c r="K1020" s="6">
        <v>1</v>
      </c>
      <c r="L1020" s="6">
        <v>4</v>
      </c>
      <c r="M1020" t="s">
        <v>58</v>
      </c>
      <c r="N1020" t="s">
        <v>69</v>
      </c>
      <c r="O1020" t="s">
        <v>73</v>
      </c>
    </row>
    <row r="1021" spans="1:15">
      <c r="A1021" t="s">
        <v>1118</v>
      </c>
      <c r="B1021" s="3">
        <v>45716</v>
      </c>
      <c r="C1021" t="s">
        <v>54</v>
      </c>
      <c r="D1021" t="s">
        <v>62</v>
      </c>
      <c r="E1021" t="s">
        <v>67</v>
      </c>
      <c r="F1021" t="s">
        <v>71</v>
      </c>
      <c r="G1021" s="6">
        <v>1</v>
      </c>
      <c r="H1021" s="4">
        <v>71.98</v>
      </c>
      <c r="I1021" s="4">
        <v>37</v>
      </c>
      <c r="J1021" s="5">
        <v>0.05</v>
      </c>
      <c r="K1021" s="6">
        <v>4</v>
      </c>
      <c r="L1021" s="6">
        <v>5</v>
      </c>
      <c r="M1021" t="s">
        <v>58</v>
      </c>
      <c r="N1021" t="s">
        <v>59</v>
      </c>
      <c r="O1021" t="s">
        <v>64</v>
      </c>
    </row>
    <row r="1022" spans="1:15">
      <c r="A1022" t="s">
        <v>1119</v>
      </c>
      <c r="B1022" s="3">
        <v>45707</v>
      </c>
      <c r="C1022" t="s">
        <v>66</v>
      </c>
      <c r="D1022" t="s">
        <v>55</v>
      </c>
      <c r="E1022" t="s">
        <v>56</v>
      </c>
      <c r="F1022" t="s">
        <v>83</v>
      </c>
      <c r="G1022" s="6">
        <v>1</v>
      </c>
      <c r="H1022" s="4">
        <v>66.760000000000005</v>
      </c>
      <c r="I1022" s="4">
        <v>36.36</v>
      </c>
      <c r="J1022" s="5">
        <v>0.2</v>
      </c>
      <c r="K1022" s="6">
        <v>6</v>
      </c>
      <c r="L1022" s="6">
        <v>4</v>
      </c>
      <c r="M1022" t="s">
        <v>58</v>
      </c>
      <c r="N1022" t="s">
        <v>59</v>
      </c>
      <c r="O1022" t="s">
        <v>73</v>
      </c>
    </row>
    <row r="1023" spans="1:15">
      <c r="A1023" t="s">
        <v>1120</v>
      </c>
      <c r="B1023" s="3">
        <v>45963</v>
      </c>
      <c r="C1023" t="s">
        <v>78</v>
      </c>
      <c r="D1023" t="s">
        <v>62</v>
      </c>
      <c r="E1023" t="s">
        <v>75</v>
      </c>
      <c r="F1023" t="s">
        <v>110</v>
      </c>
      <c r="G1023" s="6">
        <v>1</v>
      </c>
      <c r="H1023" s="4">
        <v>159.04</v>
      </c>
      <c r="I1023" s="4">
        <v>99</v>
      </c>
      <c r="J1023" s="5">
        <v>0.1</v>
      </c>
      <c r="K1023" s="6">
        <v>6</v>
      </c>
      <c r="L1023" s="6">
        <v>4</v>
      </c>
      <c r="M1023" t="s">
        <v>58</v>
      </c>
      <c r="N1023" t="s">
        <v>69</v>
      </c>
      <c r="O1023" t="s">
        <v>64</v>
      </c>
    </row>
    <row r="1024" spans="1:15">
      <c r="A1024" t="s">
        <v>1121</v>
      </c>
      <c r="B1024" s="3">
        <v>45702</v>
      </c>
      <c r="C1024" t="s">
        <v>66</v>
      </c>
      <c r="D1024" t="s">
        <v>62</v>
      </c>
      <c r="E1024" t="s">
        <v>56</v>
      </c>
      <c r="F1024" t="s">
        <v>57</v>
      </c>
      <c r="G1024" s="6">
        <v>2</v>
      </c>
      <c r="H1024" s="4">
        <v>107.02</v>
      </c>
      <c r="I1024" s="4">
        <v>66.400000000000006</v>
      </c>
      <c r="J1024" s="5">
        <v>0.1</v>
      </c>
      <c r="K1024" s="6">
        <v>0</v>
      </c>
      <c r="L1024" s="6">
        <v>4</v>
      </c>
      <c r="M1024" t="s">
        <v>58</v>
      </c>
      <c r="N1024" t="s">
        <v>69</v>
      </c>
      <c r="O1024" t="s">
        <v>64</v>
      </c>
    </row>
    <row r="1025" spans="1:15">
      <c r="A1025" t="s">
        <v>1122</v>
      </c>
      <c r="B1025" s="3">
        <v>45770</v>
      </c>
      <c r="C1025" t="s">
        <v>54</v>
      </c>
      <c r="D1025" t="s">
        <v>62</v>
      </c>
      <c r="E1025" t="s">
        <v>56</v>
      </c>
      <c r="F1025" t="s">
        <v>89</v>
      </c>
      <c r="G1025" s="6">
        <v>1</v>
      </c>
      <c r="H1025" s="4">
        <v>80.59</v>
      </c>
      <c r="I1025" s="4">
        <v>47.15</v>
      </c>
      <c r="J1025" s="5">
        <v>0.05</v>
      </c>
      <c r="K1025" s="6">
        <v>4</v>
      </c>
      <c r="L1025" s="6">
        <v>4</v>
      </c>
      <c r="M1025" t="s">
        <v>58</v>
      </c>
      <c r="N1025" t="s">
        <v>59</v>
      </c>
      <c r="O1025" t="s">
        <v>64</v>
      </c>
    </row>
    <row r="1026" spans="1:15">
      <c r="A1026" t="s">
        <v>1123</v>
      </c>
      <c r="B1026" s="3">
        <v>45972</v>
      </c>
      <c r="C1026" t="s">
        <v>78</v>
      </c>
      <c r="D1026" t="s">
        <v>55</v>
      </c>
      <c r="E1026" t="s">
        <v>67</v>
      </c>
      <c r="F1026" t="s">
        <v>94</v>
      </c>
      <c r="G1026" s="6">
        <v>2</v>
      </c>
      <c r="H1026" s="4">
        <v>34.619999999999997</v>
      </c>
      <c r="I1026" s="4">
        <v>17.84</v>
      </c>
      <c r="J1026" s="5">
        <v>0</v>
      </c>
      <c r="K1026" s="6">
        <v>2</v>
      </c>
      <c r="L1026" s="6">
        <v>5</v>
      </c>
      <c r="M1026" t="s">
        <v>58</v>
      </c>
      <c r="N1026" t="s">
        <v>59</v>
      </c>
      <c r="O1026" t="s">
        <v>64</v>
      </c>
    </row>
    <row r="1027" spans="1:15">
      <c r="A1027" t="s">
        <v>1124</v>
      </c>
      <c r="B1027" s="3">
        <v>45976</v>
      </c>
      <c r="C1027" t="s">
        <v>78</v>
      </c>
      <c r="D1027" t="s">
        <v>62</v>
      </c>
      <c r="E1027" t="s">
        <v>67</v>
      </c>
      <c r="F1027" t="s">
        <v>94</v>
      </c>
      <c r="G1027" s="6">
        <v>1</v>
      </c>
      <c r="H1027" s="4">
        <v>34.75</v>
      </c>
      <c r="I1027" s="4">
        <v>17.59</v>
      </c>
      <c r="J1027" s="5">
        <v>0.15000000000000002</v>
      </c>
      <c r="K1027" s="6">
        <v>3</v>
      </c>
      <c r="L1027" s="6">
        <v>4</v>
      </c>
      <c r="M1027" t="s">
        <v>58</v>
      </c>
      <c r="N1027" t="s">
        <v>59</v>
      </c>
      <c r="O1027" t="s">
        <v>73</v>
      </c>
    </row>
    <row r="1028" spans="1:15">
      <c r="A1028" t="s">
        <v>1125</v>
      </c>
      <c r="B1028" s="3">
        <v>46004</v>
      </c>
      <c r="C1028" t="s">
        <v>78</v>
      </c>
      <c r="D1028" t="s">
        <v>62</v>
      </c>
      <c r="E1028" t="s">
        <v>75</v>
      </c>
      <c r="F1028" t="s">
        <v>146</v>
      </c>
      <c r="G1028" s="6">
        <v>2</v>
      </c>
      <c r="H1028" s="4">
        <v>186.56</v>
      </c>
      <c r="I1028" s="4">
        <v>118.33</v>
      </c>
      <c r="J1028" s="5">
        <v>0.05</v>
      </c>
      <c r="K1028" s="6">
        <v>6</v>
      </c>
      <c r="L1028" s="6">
        <v>4</v>
      </c>
      <c r="M1028" t="s">
        <v>58</v>
      </c>
      <c r="N1028" t="s">
        <v>59</v>
      </c>
      <c r="O1028" t="s">
        <v>60</v>
      </c>
    </row>
    <row r="1029" spans="1:15">
      <c r="A1029" t="s">
        <v>1126</v>
      </c>
      <c r="B1029" s="3">
        <v>45936</v>
      </c>
      <c r="C1029" t="s">
        <v>54</v>
      </c>
      <c r="D1029" t="s">
        <v>62</v>
      </c>
      <c r="E1029" t="s">
        <v>79</v>
      </c>
      <c r="F1029" t="s">
        <v>85</v>
      </c>
      <c r="G1029" s="6">
        <v>1</v>
      </c>
      <c r="H1029" s="4">
        <v>133.57</v>
      </c>
      <c r="I1029" s="4">
        <v>84.29</v>
      </c>
      <c r="J1029" s="5">
        <v>0.05</v>
      </c>
      <c r="K1029" s="6">
        <v>1</v>
      </c>
      <c r="L1029" s="6">
        <v>4</v>
      </c>
      <c r="M1029" t="s">
        <v>58</v>
      </c>
      <c r="N1029" t="s">
        <v>69</v>
      </c>
      <c r="O1029" t="s">
        <v>64</v>
      </c>
    </row>
    <row r="1030" spans="1:15">
      <c r="A1030" t="s">
        <v>1127</v>
      </c>
      <c r="B1030" s="3" t="s">
        <v>1128</v>
      </c>
      <c r="C1030" t="s">
        <v>54</v>
      </c>
      <c r="D1030" t="s">
        <v>55</v>
      </c>
      <c r="E1030" t="s">
        <v>67</v>
      </c>
      <c r="F1030" t="s">
        <v>94</v>
      </c>
      <c r="G1030" s="6">
        <v>2</v>
      </c>
      <c r="H1030" s="4">
        <v>35.119999999999997</v>
      </c>
      <c r="I1030" s="4">
        <v>17</v>
      </c>
      <c r="J1030" s="5">
        <v>0.05</v>
      </c>
      <c r="K1030" s="6">
        <v>6</v>
      </c>
      <c r="L1030" s="6">
        <v>4</v>
      </c>
      <c r="M1030" t="s">
        <v>58</v>
      </c>
      <c r="N1030" t="s">
        <v>59</v>
      </c>
      <c r="O1030" t="s">
        <v>60</v>
      </c>
    </row>
    <row r="1031" spans="1:15">
      <c r="A1031" t="s">
        <v>1129</v>
      </c>
      <c r="B1031" s="3">
        <v>45861</v>
      </c>
      <c r="C1031" t="s">
        <v>54</v>
      </c>
      <c r="D1031" t="s">
        <v>55</v>
      </c>
      <c r="E1031" t="s">
        <v>79</v>
      </c>
      <c r="F1031" t="s">
        <v>92</v>
      </c>
      <c r="G1031" s="6">
        <v>5</v>
      </c>
      <c r="H1031" s="4">
        <v>48.58</v>
      </c>
      <c r="I1031" s="4">
        <v>25.23</v>
      </c>
      <c r="J1031" s="5">
        <v>0.05</v>
      </c>
      <c r="K1031" s="6">
        <v>3</v>
      </c>
      <c r="L1031" s="6">
        <v>4</v>
      </c>
      <c r="M1031" t="s">
        <v>58</v>
      </c>
      <c r="N1031" t="s">
        <v>69</v>
      </c>
      <c r="O1031" t="s">
        <v>64</v>
      </c>
    </row>
    <row r="1032" spans="1:15">
      <c r="A1032" t="s">
        <v>1130</v>
      </c>
      <c r="B1032" s="3">
        <v>45703</v>
      </c>
      <c r="C1032" t="s">
        <v>82</v>
      </c>
      <c r="D1032" t="s">
        <v>55</v>
      </c>
      <c r="E1032" t="s">
        <v>79</v>
      </c>
      <c r="F1032" t="s">
        <v>85</v>
      </c>
      <c r="G1032" s="6">
        <v>1</v>
      </c>
      <c r="H1032" s="4">
        <v>134.74</v>
      </c>
      <c r="I1032" s="4">
        <v>85.85</v>
      </c>
      <c r="J1032" s="5">
        <v>0</v>
      </c>
      <c r="K1032" s="6">
        <v>3</v>
      </c>
      <c r="L1032" s="6">
        <v>4</v>
      </c>
      <c r="M1032" t="s">
        <v>58</v>
      </c>
      <c r="N1032" t="s">
        <v>59</v>
      </c>
      <c r="O1032" t="s">
        <v>64</v>
      </c>
    </row>
    <row r="1033" spans="1:15">
      <c r="A1033" t="s">
        <v>1131</v>
      </c>
      <c r="B1033" s="3">
        <v>45858</v>
      </c>
      <c r="C1033" t="s">
        <v>54</v>
      </c>
      <c r="D1033" t="s">
        <v>62</v>
      </c>
      <c r="E1033" t="s">
        <v>79</v>
      </c>
      <c r="F1033" t="s">
        <v>92</v>
      </c>
      <c r="G1033" s="6">
        <v>1</v>
      </c>
      <c r="H1033" s="4">
        <v>49.95</v>
      </c>
      <c r="I1033" s="4">
        <v>26.75</v>
      </c>
      <c r="J1033" s="5">
        <v>0.1</v>
      </c>
      <c r="K1033" s="6">
        <v>1</v>
      </c>
      <c r="L1033" s="6">
        <v>4</v>
      </c>
      <c r="M1033" t="s">
        <v>58</v>
      </c>
      <c r="N1033" t="s">
        <v>69</v>
      </c>
      <c r="O1033" t="s">
        <v>64</v>
      </c>
    </row>
    <row r="1034" spans="1:15">
      <c r="A1034" t="s">
        <v>1132</v>
      </c>
      <c r="B1034" s="3">
        <v>45900</v>
      </c>
      <c r="C1034" t="s">
        <v>82</v>
      </c>
      <c r="D1034" t="s">
        <v>62</v>
      </c>
      <c r="E1034" t="s">
        <v>75</v>
      </c>
      <c r="F1034" t="s">
        <v>97</v>
      </c>
      <c r="G1034" s="6">
        <v>1</v>
      </c>
      <c r="H1034" s="4">
        <v>87.93</v>
      </c>
      <c r="I1034" s="4">
        <v>53.28</v>
      </c>
      <c r="J1034" s="5">
        <v>0.05</v>
      </c>
      <c r="K1034" s="6">
        <v>6</v>
      </c>
      <c r="L1034" s="6">
        <v>4</v>
      </c>
      <c r="M1034" t="s">
        <v>58</v>
      </c>
      <c r="N1034" t="s">
        <v>87</v>
      </c>
      <c r="O1034" t="s">
        <v>64</v>
      </c>
    </row>
    <row r="1035" spans="1:15">
      <c r="A1035" t="s">
        <v>1133</v>
      </c>
      <c r="B1035" s="3">
        <v>45981</v>
      </c>
      <c r="C1035" t="s">
        <v>78</v>
      </c>
      <c r="D1035" t="s">
        <v>62</v>
      </c>
      <c r="E1035" t="s">
        <v>79</v>
      </c>
      <c r="F1035" t="s">
        <v>115</v>
      </c>
      <c r="G1035" s="6">
        <v>2</v>
      </c>
      <c r="H1035" s="4">
        <v>62.11</v>
      </c>
      <c r="I1035" s="4">
        <v>33.4</v>
      </c>
      <c r="J1035" s="5">
        <v>0.05</v>
      </c>
      <c r="K1035" s="6">
        <v>2</v>
      </c>
      <c r="L1035" s="6">
        <v>5</v>
      </c>
      <c r="M1035" t="s">
        <v>58</v>
      </c>
      <c r="N1035" t="s">
        <v>69</v>
      </c>
      <c r="O1035" t="s">
        <v>64</v>
      </c>
    </row>
    <row r="1036" spans="1:15">
      <c r="A1036" t="s">
        <v>1134</v>
      </c>
      <c r="B1036" s="3">
        <v>45811</v>
      </c>
      <c r="C1036" t="s">
        <v>82</v>
      </c>
      <c r="D1036" t="s">
        <v>62</v>
      </c>
      <c r="E1036" t="s">
        <v>75</v>
      </c>
      <c r="F1036" t="s">
        <v>146</v>
      </c>
      <c r="G1036" s="6">
        <v>1</v>
      </c>
      <c r="H1036" s="4">
        <v>183.45</v>
      </c>
      <c r="I1036" s="4">
        <v>119.85</v>
      </c>
      <c r="J1036" s="5">
        <v>0.05</v>
      </c>
      <c r="K1036" s="6">
        <v>6</v>
      </c>
      <c r="L1036" s="6"/>
      <c r="M1036" t="s">
        <v>58</v>
      </c>
      <c r="N1036" t="s">
        <v>69</v>
      </c>
      <c r="O1036" t="s">
        <v>64</v>
      </c>
    </row>
    <row r="1037" spans="1:15">
      <c r="A1037" t="s">
        <v>1135</v>
      </c>
      <c r="B1037" s="3">
        <v>45976</v>
      </c>
      <c r="C1037" t="s">
        <v>82</v>
      </c>
      <c r="D1037" t="s">
        <v>62</v>
      </c>
      <c r="E1037" t="s">
        <v>79</v>
      </c>
      <c r="F1037" t="s">
        <v>85</v>
      </c>
      <c r="G1037" s="6">
        <v>1</v>
      </c>
      <c r="H1037" s="4">
        <v>128.16999999999999</v>
      </c>
      <c r="I1037" s="4">
        <v>85.05</v>
      </c>
      <c r="J1037" s="5">
        <v>0.05</v>
      </c>
      <c r="K1037" s="6">
        <v>2</v>
      </c>
      <c r="L1037" s="6">
        <v>4</v>
      </c>
      <c r="M1037" t="s">
        <v>58</v>
      </c>
      <c r="N1037" t="s">
        <v>69</v>
      </c>
      <c r="O1037" t="s">
        <v>64</v>
      </c>
    </row>
    <row r="1038" spans="1:15">
      <c r="A1038" t="s">
        <v>1136</v>
      </c>
      <c r="B1038" s="3">
        <v>45714</v>
      </c>
      <c r="C1038" t="s">
        <v>66</v>
      </c>
      <c r="D1038" t="s">
        <v>55</v>
      </c>
      <c r="E1038" t="s">
        <v>56</v>
      </c>
      <c r="F1038" t="s">
        <v>57</v>
      </c>
      <c r="G1038" s="6">
        <v>3</v>
      </c>
      <c r="H1038" s="4">
        <v>108.22</v>
      </c>
      <c r="I1038" s="4">
        <v>66.540000000000006</v>
      </c>
      <c r="J1038" s="5">
        <v>0.05</v>
      </c>
      <c r="K1038" s="6">
        <v>0</v>
      </c>
      <c r="L1038" s="6">
        <v>5</v>
      </c>
      <c r="M1038" t="s">
        <v>58</v>
      </c>
      <c r="N1038" t="s">
        <v>69</v>
      </c>
      <c r="O1038" t="s">
        <v>60</v>
      </c>
    </row>
    <row r="1039" spans="1:15">
      <c r="A1039" t="s">
        <v>1137</v>
      </c>
      <c r="B1039" s="3">
        <v>45940</v>
      </c>
      <c r="C1039" t="s">
        <v>82</v>
      </c>
      <c r="D1039" t="s">
        <v>62</v>
      </c>
      <c r="E1039" t="s">
        <v>75</v>
      </c>
      <c r="F1039" t="s">
        <v>76</v>
      </c>
      <c r="G1039" s="6">
        <v>2</v>
      </c>
      <c r="H1039" s="4">
        <v>117.98</v>
      </c>
      <c r="I1039" s="4">
        <v>73.03</v>
      </c>
      <c r="J1039" s="5">
        <v>0.05</v>
      </c>
      <c r="K1039" s="6">
        <v>3</v>
      </c>
      <c r="L1039" s="6">
        <v>4</v>
      </c>
      <c r="M1039" t="s">
        <v>58</v>
      </c>
      <c r="N1039" t="s">
        <v>69</v>
      </c>
      <c r="O1039" t="s">
        <v>60</v>
      </c>
    </row>
    <row r="1040" spans="1:15">
      <c r="A1040" t="s">
        <v>1138</v>
      </c>
      <c r="B1040" s="3">
        <v>45742</v>
      </c>
      <c r="C1040" t="s">
        <v>54</v>
      </c>
      <c r="D1040" t="s">
        <v>129</v>
      </c>
      <c r="E1040" t="s">
        <v>56</v>
      </c>
      <c r="F1040" t="s">
        <v>63</v>
      </c>
      <c r="G1040" s="6">
        <v>5</v>
      </c>
      <c r="H1040" s="4">
        <v>40.200000000000003</v>
      </c>
      <c r="I1040" s="4">
        <v>19.46</v>
      </c>
      <c r="J1040" s="5">
        <v>0.1</v>
      </c>
      <c r="K1040" s="6">
        <v>3</v>
      </c>
      <c r="L1040" s="6">
        <v>4</v>
      </c>
      <c r="M1040" t="s">
        <v>58</v>
      </c>
      <c r="N1040" t="s">
        <v>69</v>
      </c>
      <c r="O1040" t="s">
        <v>60</v>
      </c>
    </row>
    <row r="1041" spans="1:15">
      <c r="A1041" t="s">
        <v>1139</v>
      </c>
      <c r="B1041" s="3">
        <v>45873</v>
      </c>
      <c r="C1041" t="s">
        <v>66</v>
      </c>
      <c r="D1041" t="s">
        <v>62</v>
      </c>
      <c r="E1041" t="s">
        <v>56</v>
      </c>
      <c r="F1041" t="s">
        <v>57</v>
      </c>
      <c r="G1041" s="6">
        <v>1</v>
      </c>
      <c r="H1041" s="4">
        <v>108.75</v>
      </c>
      <c r="I1041" s="4">
        <v>69.86</v>
      </c>
      <c r="J1041" s="5">
        <v>0</v>
      </c>
      <c r="K1041" s="6">
        <v>1</v>
      </c>
      <c r="L1041" s="6">
        <v>4</v>
      </c>
      <c r="M1041" t="s">
        <v>58</v>
      </c>
      <c r="N1041" t="s">
        <v>69</v>
      </c>
      <c r="O1041" t="s">
        <v>64</v>
      </c>
    </row>
    <row r="1042" spans="1:15">
      <c r="A1042" t="s">
        <v>1140</v>
      </c>
      <c r="B1042" s="3">
        <v>45989</v>
      </c>
      <c r="C1042" t="s">
        <v>54</v>
      </c>
      <c r="D1042" t="s">
        <v>62</v>
      </c>
      <c r="E1042" t="s">
        <v>79</v>
      </c>
      <c r="F1042" t="s">
        <v>92</v>
      </c>
      <c r="G1042" s="6">
        <v>3</v>
      </c>
      <c r="H1042" s="4">
        <v>51.3</v>
      </c>
      <c r="I1042" s="4">
        <v>25.84</v>
      </c>
      <c r="J1042" s="5">
        <v>0.05</v>
      </c>
      <c r="K1042" s="6">
        <v>0</v>
      </c>
      <c r="L1042" s="6">
        <v>5</v>
      </c>
      <c r="M1042" t="s">
        <v>58</v>
      </c>
      <c r="N1042" t="s">
        <v>69</v>
      </c>
      <c r="O1042" t="s">
        <v>73</v>
      </c>
    </row>
    <row r="1043" spans="1:15">
      <c r="A1043" t="s">
        <v>1141</v>
      </c>
      <c r="B1043" s="3">
        <v>45725</v>
      </c>
      <c r="C1043" t="s">
        <v>82</v>
      </c>
      <c r="D1043" t="s">
        <v>62</v>
      </c>
      <c r="E1043" t="s">
        <v>79</v>
      </c>
      <c r="F1043" t="s">
        <v>115</v>
      </c>
      <c r="G1043" s="6">
        <v>1</v>
      </c>
      <c r="H1043" s="4">
        <v>59.43</v>
      </c>
      <c r="I1043" s="4">
        <v>33.450000000000003</v>
      </c>
      <c r="J1043" s="5">
        <v>0.05</v>
      </c>
      <c r="K1043" s="6">
        <v>6</v>
      </c>
      <c r="L1043" s="6">
        <v>3</v>
      </c>
      <c r="M1043" t="s">
        <v>58</v>
      </c>
      <c r="N1043" t="s">
        <v>59</v>
      </c>
      <c r="O1043" t="s">
        <v>64</v>
      </c>
    </row>
    <row r="1044" spans="1:15">
      <c r="A1044" t="s">
        <v>1142</v>
      </c>
      <c r="B1044" s="3">
        <v>46017</v>
      </c>
      <c r="C1044" t="s">
        <v>82</v>
      </c>
      <c r="D1044" t="s">
        <v>62</v>
      </c>
      <c r="E1044" t="s">
        <v>75</v>
      </c>
      <c r="F1044" t="s">
        <v>110</v>
      </c>
      <c r="G1044" s="6">
        <v>2</v>
      </c>
      <c r="H1044" s="4">
        <v>161.66</v>
      </c>
      <c r="I1044" s="4">
        <v>99.75</v>
      </c>
      <c r="J1044" s="5">
        <v>0.1</v>
      </c>
      <c r="K1044" s="6">
        <v>4</v>
      </c>
      <c r="L1044" s="6">
        <v>3</v>
      </c>
      <c r="M1044" t="s">
        <v>126</v>
      </c>
      <c r="N1044" t="s">
        <v>69</v>
      </c>
      <c r="O1044" t="s">
        <v>64</v>
      </c>
    </row>
    <row r="1045" spans="1:15">
      <c r="A1045" t="s">
        <v>1143</v>
      </c>
      <c r="B1045" s="3">
        <v>45825</v>
      </c>
      <c r="C1045" t="s">
        <v>66</v>
      </c>
      <c r="D1045" t="s">
        <v>62</v>
      </c>
      <c r="E1045" t="s">
        <v>56</v>
      </c>
      <c r="F1045" t="s">
        <v>63</v>
      </c>
      <c r="G1045" s="6">
        <v>3</v>
      </c>
      <c r="H1045" s="4">
        <v>40.880000000000003</v>
      </c>
      <c r="I1045" s="4">
        <v>19.64</v>
      </c>
      <c r="J1045" s="5">
        <v>0.2</v>
      </c>
      <c r="K1045" s="6">
        <v>6</v>
      </c>
      <c r="L1045" s="6">
        <v>4</v>
      </c>
      <c r="M1045" t="s">
        <v>58</v>
      </c>
      <c r="N1045" t="s">
        <v>59</v>
      </c>
      <c r="O1045" t="s">
        <v>64</v>
      </c>
    </row>
    <row r="1046" spans="1:15">
      <c r="A1046" t="s">
        <v>1144</v>
      </c>
      <c r="B1046" s="3">
        <v>45990</v>
      </c>
      <c r="C1046" t="s">
        <v>82</v>
      </c>
      <c r="D1046" t="s">
        <v>62</v>
      </c>
      <c r="E1046" t="s">
        <v>56</v>
      </c>
      <c r="F1046" t="s">
        <v>57</v>
      </c>
      <c r="G1046" s="6">
        <v>2</v>
      </c>
      <c r="H1046" s="4">
        <v>111.6</v>
      </c>
      <c r="I1046" s="4">
        <v>65.37</v>
      </c>
      <c r="J1046" s="5">
        <v>0.1</v>
      </c>
      <c r="K1046" s="6">
        <v>3</v>
      </c>
      <c r="L1046" s="6">
        <v>4</v>
      </c>
      <c r="M1046" t="s">
        <v>58</v>
      </c>
      <c r="N1046" t="s">
        <v>59</v>
      </c>
      <c r="O1046" t="s">
        <v>64</v>
      </c>
    </row>
    <row r="1047" spans="1:15">
      <c r="A1047" t="s">
        <v>1145</v>
      </c>
      <c r="B1047" s="3">
        <v>46003</v>
      </c>
      <c r="C1047" t="s">
        <v>66</v>
      </c>
      <c r="D1047" t="s">
        <v>62</v>
      </c>
      <c r="E1047" t="s">
        <v>56</v>
      </c>
      <c r="F1047" t="s">
        <v>89</v>
      </c>
      <c r="G1047" s="6">
        <v>1</v>
      </c>
      <c r="H1047" s="4">
        <v>81.84</v>
      </c>
      <c r="I1047" s="4">
        <v>46.43</v>
      </c>
      <c r="J1047" s="5">
        <v>0.05</v>
      </c>
      <c r="K1047" s="6">
        <v>4</v>
      </c>
      <c r="L1047" s="6">
        <v>4</v>
      </c>
      <c r="M1047" t="s">
        <v>126</v>
      </c>
      <c r="N1047" t="s">
        <v>59</v>
      </c>
      <c r="O1047" t="s">
        <v>64</v>
      </c>
    </row>
    <row r="1048" spans="1:15">
      <c r="A1048" t="s">
        <v>1146</v>
      </c>
      <c r="B1048" s="3">
        <v>45764</v>
      </c>
      <c r="C1048" t="s">
        <v>66</v>
      </c>
      <c r="D1048" t="s">
        <v>55</v>
      </c>
      <c r="E1048" t="s">
        <v>56</v>
      </c>
      <c r="F1048" t="s">
        <v>57</v>
      </c>
      <c r="G1048" s="6">
        <v>3</v>
      </c>
      <c r="H1048" s="4">
        <v>112.08</v>
      </c>
      <c r="I1048" s="4">
        <v>66.17</v>
      </c>
      <c r="J1048" s="5">
        <v>0.05</v>
      </c>
      <c r="K1048" s="6">
        <v>4</v>
      </c>
      <c r="L1048" s="6">
        <v>4</v>
      </c>
      <c r="M1048" t="s">
        <v>58</v>
      </c>
      <c r="N1048" t="s">
        <v>59</v>
      </c>
      <c r="O1048" t="s">
        <v>60</v>
      </c>
    </row>
    <row r="1049" spans="1:15">
      <c r="A1049" t="s">
        <v>1147</v>
      </c>
      <c r="B1049" s="3">
        <v>45904</v>
      </c>
      <c r="C1049" t="s">
        <v>66</v>
      </c>
      <c r="D1049" t="s">
        <v>62</v>
      </c>
      <c r="E1049" t="s">
        <v>67</v>
      </c>
      <c r="F1049" t="s">
        <v>68</v>
      </c>
      <c r="G1049" s="6">
        <v>2</v>
      </c>
      <c r="H1049" s="4">
        <v>40.630000000000003</v>
      </c>
      <c r="I1049" s="4">
        <v>18.86</v>
      </c>
      <c r="J1049" s="5">
        <v>0.1</v>
      </c>
      <c r="K1049" s="6">
        <v>2</v>
      </c>
      <c r="L1049" s="6">
        <v>4</v>
      </c>
      <c r="M1049" t="s">
        <v>58</v>
      </c>
      <c r="N1049" t="s">
        <v>69</v>
      </c>
      <c r="O1049" t="s">
        <v>64</v>
      </c>
    </row>
    <row r="1050" spans="1:15">
      <c r="A1050" t="s">
        <v>1148</v>
      </c>
      <c r="B1050" s="3">
        <v>45856</v>
      </c>
      <c r="C1050" t="s">
        <v>78</v>
      </c>
      <c r="D1050" t="s">
        <v>62</v>
      </c>
      <c r="E1050" t="s">
        <v>79</v>
      </c>
      <c r="F1050" t="s">
        <v>92</v>
      </c>
      <c r="G1050" s="6">
        <v>1</v>
      </c>
      <c r="H1050" s="4">
        <v>51.85</v>
      </c>
      <c r="I1050" s="4">
        <v>26.17</v>
      </c>
      <c r="J1050" s="5">
        <v>0.05</v>
      </c>
      <c r="K1050" s="6">
        <v>3</v>
      </c>
      <c r="L1050" s="6">
        <v>5</v>
      </c>
      <c r="M1050" t="s">
        <v>58</v>
      </c>
      <c r="N1050" t="s">
        <v>59</v>
      </c>
      <c r="O1050" t="s">
        <v>60</v>
      </c>
    </row>
    <row r="1051" spans="1:15">
      <c r="A1051" t="s">
        <v>1149</v>
      </c>
      <c r="B1051" s="3">
        <v>45751</v>
      </c>
      <c r="C1051" t="s">
        <v>82</v>
      </c>
      <c r="D1051" t="s">
        <v>62</v>
      </c>
      <c r="E1051" t="s">
        <v>79</v>
      </c>
      <c r="F1051" t="s">
        <v>80</v>
      </c>
      <c r="G1051" s="6">
        <v>2</v>
      </c>
      <c r="H1051" s="4">
        <v>77.41</v>
      </c>
      <c r="I1051" s="4">
        <v>43.22</v>
      </c>
      <c r="J1051" s="5">
        <v>0</v>
      </c>
      <c r="K1051" s="6">
        <v>4</v>
      </c>
      <c r="L1051" s="6">
        <v>5</v>
      </c>
      <c r="M1051" t="s">
        <v>58</v>
      </c>
      <c r="N1051" t="s">
        <v>59</v>
      </c>
      <c r="O1051" t="s">
        <v>64</v>
      </c>
    </row>
    <row r="1052" spans="1:15">
      <c r="A1052" t="s">
        <v>1150</v>
      </c>
      <c r="B1052" s="3">
        <v>45845</v>
      </c>
      <c r="C1052" t="s">
        <v>82</v>
      </c>
      <c r="D1052" t="s">
        <v>129</v>
      </c>
      <c r="E1052" t="s">
        <v>75</v>
      </c>
      <c r="F1052" t="s">
        <v>110</v>
      </c>
      <c r="G1052" s="6">
        <v>10</v>
      </c>
      <c r="H1052" s="4">
        <v>156.9</v>
      </c>
      <c r="I1052" s="4">
        <v>105.89</v>
      </c>
      <c r="J1052" s="5">
        <v>0.05</v>
      </c>
      <c r="K1052" s="6">
        <v>2</v>
      </c>
      <c r="L1052" s="6">
        <v>4</v>
      </c>
      <c r="M1052" t="s">
        <v>58</v>
      </c>
      <c r="N1052" t="s">
        <v>69</v>
      </c>
      <c r="O1052" t="s">
        <v>64</v>
      </c>
    </row>
    <row r="1053" spans="1:15">
      <c r="A1053" t="s">
        <v>1151</v>
      </c>
      <c r="B1053" s="3">
        <v>45763</v>
      </c>
      <c r="C1053" t="s">
        <v>78</v>
      </c>
      <c r="D1053" t="s">
        <v>62</v>
      </c>
      <c r="E1053" t="s">
        <v>79</v>
      </c>
      <c r="F1053" t="s">
        <v>85</v>
      </c>
      <c r="G1053" s="6">
        <v>2</v>
      </c>
      <c r="H1053" s="4">
        <v>132.16999999999999</v>
      </c>
      <c r="I1053" s="4">
        <v>84.9</v>
      </c>
      <c r="J1053" s="5">
        <v>0</v>
      </c>
      <c r="K1053" s="6">
        <v>4</v>
      </c>
      <c r="L1053" s="6">
        <v>4</v>
      </c>
      <c r="M1053" t="s">
        <v>58</v>
      </c>
      <c r="N1053" t="s">
        <v>59</v>
      </c>
      <c r="O1053" t="s">
        <v>64</v>
      </c>
    </row>
    <row r="1054" spans="1:15">
      <c r="A1054" t="s">
        <v>1152</v>
      </c>
      <c r="B1054" s="3">
        <v>45866</v>
      </c>
      <c r="C1054" t="s">
        <v>78</v>
      </c>
      <c r="D1054" t="s">
        <v>62</v>
      </c>
      <c r="E1054" t="s">
        <v>79</v>
      </c>
      <c r="F1054" t="s">
        <v>115</v>
      </c>
      <c r="G1054" s="6">
        <v>1</v>
      </c>
      <c r="H1054" s="4">
        <v>58.84</v>
      </c>
      <c r="I1054" s="4">
        <v>35.5</v>
      </c>
      <c r="J1054" s="5">
        <v>0.05</v>
      </c>
      <c r="K1054" s="6">
        <v>6</v>
      </c>
      <c r="L1054" s="6">
        <v>3</v>
      </c>
      <c r="M1054" t="s">
        <v>58</v>
      </c>
      <c r="N1054" t="s">
        <v>59</v>
      </c>
      <c r="O1054" t="s">
        <v>60</v>
      </c>
    </row>
    <row r="1055" spans="1:15">
      <c r="A1055" t="s">
        <v>1153</v>
      </c>
      <c r="B1055" s="3">
        <v>45911</v>
      </c>
      <c r="C1055" t="s">
        <v>78</v>
      </c>
      <c r="D1055" t="s">
        <v>62</v>
      </c>
      <c r="E1055" t="s">
        <v>75</v>
      </c>
      <c r="F1055" t="s">
        <v>76</v>
      </c>
      <c r="G1055" s="6">
        <v>1</v>
      </c>
      <c r="H1055" s="4">
        <v>116.94</v>
      </c>
      <c r="I1055" s="4">
        <v>74.66</v>
      </c>
      <c r="J1055" s="5">
        <v>0</v>
      </c>
      <c r="K1055" s="6">
        <v>4</v>
      </c>
      <c r="L1055" s="6">
        <v>4</v>
      </c>
      <c r="M1055" t="s">
        <v>58</v>
      </c>
      <c r="N1055" t="s">
        <v>59</v>
      </c>
      <c r="O1055" t="s">
        <v>64</v>
      </c>
    </row>
    <row r="1056" spans="1:15">
      <c r="A1056" t="s">
        <v>1154</v>
      </c>
      <c r="B1056" s="3">
        <v>45664</v>
      </c>
      <c r="C1056" t="s">
        <v>66</v>
      </c>
      <c r="D1056" t="s">
        <v>62</v>
      </c>
      <c r="E1056" t="s">
        <v>56</v>
      </c>
      <c r="F1056" t="s">
        <v>83</v>
      </c>
      <c r="G1056" s="6">
        <v>2</v>
      </c>
      <c r="H1056" s="4">
        <v>65.11</v>
      </c>
      <c r="I1056" s="4">
        <v>34.29</v>
      </c>
      <c r="J1056" s="5">
        <v>0.05</v>
      </c>
      <c r="K1056" s="6">
        <v>5</v>
      </c>
      <c r="L1056" s="6">
        <v>4</v>
      </c>
      <c r="M1056" t="s">
        <v>58</v>
      </c>
      <c r="N1056" t="s">
        <v>59</v>
      </c>
      <c r="O1056" t="s">
        <v>64</v>
      </c>
    </row>
    <row r="1057" spans="1:15">
      <c r="A1057" t="s">
        <v>1155</v>
      </c>
      <c r="B1057" s="3">
        <v>45926</v>
      </c>
      <c r="C1057" t="s">
        <v>82</v>
      </c>
      <c r="D1057" t="s">
        <v>129</v>
      </c>
      <c r="E1057" t="s">
        <v>67</v>
      </c>
      <c r="F1057" t="s">
        <v>71</v>
      </c>
      <c r="G1057" s="6">
        <v>5</v>
      </c>
      <c r="H1057" s="4">
        <v>68.37</v>
      </c>
      <c r="I1057" s="4">
        <v>38.159999999999997</v>
      </c>
      <c r="J1057" s="5">
        <v>0.05</v>
      </c>
      <c r="K1057" s="6">
        <v>6</v>
      </c>
      <c r="L1057" s="6">
        <v>3</v>
      </c>
      <c r="M1057" t="s">
        <v>58</v>
      </c>
      <c r="N1057" t="s">
        <v>87</v>
      </c>
      <c r="O1057" t="s">
        <v>64</v>
      </c>
    </row>
    <row r="1058" spans="1:15">
      <c r="A1058" t="s">
        <v>1156</v>
      </c>
      <c r="B1058" s="3">
        <v>46010</v>
      </c>
      <c r="C1058" t="s">
        <v>54</v>
      </c>
      <c r="D1058" t="s">
        <v>55</v>
      </c>
      <c r="E1058" t="s">
        <v>402</v>
      </c>
      <c r="F1058" t="s">
        <v>71</v>
      </c>
      <c r="G1058" s="6">
        <v>2</v>
      </c>
      <c r="H1058" s="4">
        <v>70.69</v>
      </c>
      <c r="I1058" s="4">
        <v>38.15</v>
      </c>
      <c r="J1058" s="5">
        <v>0.05</v>
      </c>
      <c r="K1058" s="6">
        <v>2</v>
      </c>
      <c r="L1058" s="6">
        <v>4</v>
      </c>
      <c r="M1058" t="s">
        <v>58</v>
      </c>
      <c r="N1058" t="s">
        <v>59</v>
      </c>
      <c r="O1058" t="s">
        <v>60</v>
      </c>
    </row>
    <row r="1059" spans="1:15">
      <c r="A1059" t="s">
        <v>1157</v>
      </c>
      <c r="B1059" s="3">
        <v>45746</v>
      </c>
      <c r="C1059" t="s">
        <v>82</v>
      </c>
      <c r="D1059" t="s">
        <v>62</v>
      </c>
      <c r="E1059" t="s">
        <v>79</v>
      </c>
      <c r="F1059" t="s">
        <v>80</v>
      </c>
      <c r="G1059" s="6">
        <v>1</v>
      </c>
      <c r="H1059" s="4">
        <v>75.77</v>
      </c>
      <c r="I1059" s="4">
        <v>44.28</v>
      </c>
      <c r="J1059" s="5">
        <v>0</v>
      </c>
      <c r="K1059" s="6">
        <v>1</v>
      </c>
      <c r="L1059" s="6">
        <v>5</v>
      </c>
      <c r="M1059" t="s">
        <v>58</v>
      </c>
      <c r="N1059" t="s">
        <v>69</v>
      </c>
      <c r="O1059" t="s">
        <v>64</v>
      </c>
    </row>
    <row r="1060" spans="1:15">
      <c r="A1060" t="s">
        <v>1158</v>
      </c>
      <c r="B1060" s="3">
        <v>46010</v>
      </c>
      <c r="C1060" t="s">
        <v>78</v>
      </c>
      <c r="D1060" t="s">
        <v>62</v>
      </c>
      <c r="E1060" t="s">
        <v>75</v>
      </c>
      <c r="F1060" t="s">
        <v>97</v>
      </c>
      <c r="G1060" s="6">
        <v>1</v>
      </c>
      <c r="H1060" s="4">
        <v>89.6</v>
      </c>
      <c r="I1060" s="4">
        <v>53.97</v>
      </c>
      <c r="J1060" s="5">
        <v>0.1</v>
      </c>
      <c r="K1060" s="6">
        <v>4</v>
      </c>
      <c r="L1060" s="6">
        <v>4</v>
      </c>
      <c r="M1060" t="s">
        <v>126</v>
      </c>
      <c r="N1060" t="s">
        <v>59</v>
      </c>
      <c r="O1060" t="s">
        <v>64</v>
      </c>
    </row>
    <row r="1061" spans="1:15">
      <c r="A1061" t="s">
        <v>1159</v>
      </c>
      <c r="B1061" s="3">
        <v>46005</v>
      </c>
      <c r="C1061" t="s">
        <v>78</v>
      </c>
      <c r="D1061" t="s">
        <v>62</v>
      </c>
      <c r="E1061" t="s">
        <v>56</v>
      </c>
      <c r="F1061" t="s">
        <v>57</v>
      </c>
      <c r="G1061" s="6">
        <v>1</v>
      </c>
      <c r="H1061" s="4">
        <v>108.89</v>
      </c>
      <c r="I1061" s="4">
        <v>68.97</v>
      </c>
      <c r="J1061" s="5">
        <v>0.1</v>
      </c>
      <c r="K1061" s="6">
        <v>0</v>
      </c>
      <c r="L1061" s="6">
        <v>4</v>
      </c>
      <c r="M1061" t="s">
        <v>58</v>
      </c>
      <c r="N1061" t="s">
        <v>69</v>
      </c>
      <c r="O1061" t="s">
        <v>64</v>
      </c>
    </row>
    <row r="1062" spans="1:15">
      <c r="A1062" t="s">
        <v>1160</v>
      </c>
      <c r="B1062" s="3">
        <v>45876</v>
      </c>
      <c r="C1062" t="s">
        <v>54</v>
      </c>
      <c r="D1062" t="s">
        <v>129</v>
      </c>
      <c r="E1062" t="s">
        <v>79</v>
      </c>
      <c r="F1062" t="s">
        <v>80</v>
      </c>
      <c r="G1062" s="6">
        <v>5</v>
      </c>
      <c r="H1062" s="4">
        <v>77.3</v>
      </c>
      <c r="I1062" s="4">
        <v>43.55</v>
      </c>
      <c r="J1062" s="5">
        <v>0.05</v>
      </c>
      <c r="K1062" s="6">
        <v>0</v>
      </c>
      <c r="L1062" s="6">
        <v>4</v>
      </c>
      <c r="M1062" t="s">
        <v>126</v>
      </c>
      <c r="N1062" t="s">
        <v>69</v>
      </c>
      <c r="O1062" t="s">
        <v>73</v>
      </c>
    </row>
    <row r="1063" spans="1:15">
      <c r="A1063" t="s">
        <v>1161</v>
      </c>
      <c r="B1063" s="3">
        <v>45890</v>
      </c>
      <c r="C1063" t="s">
        <v>78</v>
      </c>
      <c r="D1063" t="s">
        <v>55</v>
      </c>
      <c r="E1063" t="s">
        <v>67</v>
      </c>
      <c r="F1063" t="s">
        <v>68</v>
      </c>
      <c r="G1063" s="6">
        <v>1</v>
      </c>
      <c r="H1063" s="4">
        <v>39.409999999999997</v>
      </c>
      <c r="I1063" s="4">
        <v>19.88</v>
      </c>
      <c r="J1063" s="5">
        <v>0.1</v>
      </c>
      <c r="K1063" s="6">
        <v>0</v>
      </c>
      <c r="L1063" s="6">
        <v>4</v>
      </c>
      <c r="M1063" t="s">
        <v>58</v>
      </c>
      <c r="N1063" t="s">
        <v>69</v>
      </c>
      <c r="O1063" t="s">
        <v>64</v>
      </c>
    </row>
    <row r="1064" spans="1:15">
      <c r="A1064" t="s">
        <v>1162</v>
      </c>
      <c r="B1064" s="3">
        <v>45977</v>
      </c>
      <c r="C1064" t="s">
        <v>54</v>
      </c>
      <c r="D1064" t="s">
        <v>62</v>
      </c>
      <c r="E1064" t="s">
        <v>75</v>
      </c>
      <c r="F1064" t="s">
        <v>146</v>
      </c>
      <c r="G1064" s="6">
        <v>2</v>
      </c>
      <c r="H1064" s="4">
        <v>184.64</v>
      </c>
      <c r="I1064" s="4">
        <v>119.16</v>
      </c>
      <c r="J1064" s="5">
        <v>0.05</v>
      </c>
      <c r="K1064" s="6">
        <v>0</v>
      </c>
      <c r="L1064" s="6">
        <v>4</v>
      </c>
      <c r="M1064" t="s">
        <v>58</v>
      </c>
      <c r="N1064" t="s">
        <v>69</v>
      </c>
      <c r="O1064" t="s">
        <v>64</v>
      </c>
    </row>
    <row r="1065" spans="1:15">
      <c r="A1065" t="s">
        <v>1163</v>
      </c>
      <c r="B1065" s="3">
        <v>45830</v>
      </c>
      <c r="C1065" t="s">
        <v>78</v>
      </c>
      <c r="D1065" t="s">
        <v>55</v>
      </c>
      <c r="E1065" t="s">
        <v>75</v>
      </c>
      <c r="F1065" t="s">
        <v>97</v>
      </c>
      <c r="G1065" s="6">
        <v>1</v>
      </c>
      <c r="H1065" s="4">
        <v>89.12</v>
      </c>
      <c r="I1065" s="4">
        <v>53.61</v>
      </c>
      <c r="J1065" s="5">
        <v>0</v>
      </c>
      <c r="K1065" s="6">
        <v>6</v>
      </c>
      <c r="L1065" s="6">
        <v>4</v>
      </c>
      <c r="M1065" t="s">
        <v>58</v>
      </c>
      <c r="N1065" t="s">
        <v>59</v>
      </c>
      <c r="O1065" t="s">
        <v>73</v>
      </c>
    </row>
    <row r="1066" spans="1:15">
      <c r="A1066" t="s">
        <v>1164</v>
      </c>
      <c r="B1066" s="3">
        <v>45863</v>
      </c>
      <c r="C1066" t="s">
        <v>78</v>
      </c>
      <c r="D1066" t="s">
        <v>62</v>
      </c>
      <c r="E1066" t="s">
        <v>56</v>
      </c>
      <c r="F1066" t="s">
        <v>83</v>
      </c>
      <c r="G1066" s="6">
        <v>1</v>
      </c>
      <c r="H1066" s="4">
        <v>64.16</v>
      </c>
      <c r="I1066" s="4">
        <v>35.26</v>
      </c>
      <c r="J1066" s="5">
        <v>0</v>
      </c>
      <c r="K1066" s="6">
        <v>0</v>
      </c>
      <c r="L1066" s="6">
        <v>4</v>
      </c>
      <c r="M1066" t="s">
        <v>58</v>
      </c>
      <c r="N1066" t="s">
        <v>69</v>
      </c>
      <c r="O1066" t="s">
        <v>64</v>
      </c>
    </row>
    <row r="1067" spans="1:15">
      <c r="A1067" t="s">
        <v>1165</v>
      </c>
      <c r="B1067" s="3">
        <v>45939</v>
      </c>
      <c r="C1067" t="s">
        <v>54</v>
      </c>
      <c r="D1067" t="s">
        <v>62</v>
      </c>
      <c r="E1067" t="s">
        <v>56</v>
      </c>
      <c r="F1067" t="s">
        <v>63</v>
      </c>
      <c r="G1067" s="6">
        <v>3</v>
      </c>
      <c r="H1067" s="4">
        <v>40.25</v>
      </c>
      <c r="I1067" s="4">
        <v>20.27</v>
      </c>
      <c r="J1067" s="5">
        <v>0.05</v>
      </c>
      <c r="K1067" s="6">
        <v>2</v>
      </c>
      <c r="L1067" s="6">
        <v>4</v>
      </c>
      <c r="M1067" t="s">
        <v>58</v>
      </c>
      <c r="N1067" t="s">
        <v>59</v>
      </c>
      <c r="O1067" t="s">
        <v>64</v>
      </c>
    </row>
    <row r="1068" spans="1:15">
      <c r="A1068" t="s">
        <v>1166</v>
      </c>
      <c r="B1068" s="3">
        <v>45995</v>
      </c>
      <c r="C1068" t="s">
        <v>78</v>
      </c>
      <c r="D1068" t="s">
        <v>55</v>
      </c>
      <c r="E1068" t="s">
        <v>67</v>
      </c>
      <c r="F1068" t="s">
        <v>94</v>
      </c>
      <c r="G1068" s="6">
        <v>2</v>
      </c>
      <c r="H1068" s="4">
        <v>35.43</v>
      </c>
      <c r="I1068" s="4">
        <v>17.29</v>
      </c>
      <c r="J1068" s="5">
        <v>0.05</v>
      </c>
      <c r="K1068" s="6">
        <v>2</v>
      </c>
      <c r="L1068" s="6">
        <v>5</v>
      </c>
      <c r="M1068" t="s">
        <v>58</v>
      </c>
      <c r="N1068" t="s">
        <v>59</v>
      </c>
      <c r="O1068" t="s">
        <v>60</v>
      </c>
    </row>
    <row r="1069" spans="1:15">
      <c r="A1069" t="s">
        <v>1167</v>
      </c>
      <c r="B1069" s="3">
        <v>45724</v>
      </c>
      <c r="C1069" t="s">
        <v>78</v>
      </c>
      <c r="D1069" t="s">
        <v>62</v>
      </c>
      <c r="E1069" t="s">
        <v>56</v>
      </c>
      <c r="F1069" t="s">
        <v>63</v>
      </c>
      <c r="G1069" s="6">
        <v>1</v>
      </c>
      <c r="H1069" s="4">
        <v>40.46</v>
      </c>
      <c r="I1069" s="4">
        <v>19.489999999999998</v>
      </c>
      <c r="J1069" s="5">
        <v>0.1</v>
      </c>
      <c r="K1069" s="6">
        <v>3</v>
      </c>
      <c r="L1069" s="6">
        <v>5</v>
      </c>
      <c r="M1069" t="s">
        <v>58</v>
      </c>
      <c r="N1069" t="s">
        <v>59</v>
      </c>
      <c r="O1069" t="s">
        <v>64</v>
      </c>
    </row>
    <row r="1070" spans="1:15">
      <c r="A1070" t="s">
        <v>1168</v>
      </c>
      <c r="B1070" s="3">
        <v>45672</v>
      </c>
      <c r="C1070" t="s">
        <v>82</v>
      </c>
      <c r="D1070" t="s">
        <v>129</v>
      </c>
      <c r="E1070" t="s">
        <v>56</v>
      </c>
      <c r="F1070" t="s">
        <v>57</v>
      </c>
      <c r="G1070" s="6">
        <v>10</v>
      </c>
      <c r="H1070" s="4">
        <v>112.23</v>
      </c>
      <c r="I1070" s="4">
        <v>69.63</v>
      </c>
      <c r="J1070" s="5">
        <v>0.05</v>
      </c>
      <c r="K1070" s="6">
        <v>4</v>
      </c>
      <c r="L1070" s="6">
        <v>4</v>
      </c>
      <c r="M1070" t="s">
        <v>58</v>
      </c>
      <c r="N1070" t="s">
        <v>59</v>
      </c>
      <c r="O1070" t="s">
        <v>64</v>
      </c>
    </row>
    <row r="1071" spans="1:15">
      <c r="A1071" t="s">
        <v>1169</v>
      </c>
      <c r="B1071" s="3">
        <v>45741</v>
      </c>
      <c r="C1071" t="s">
        <v>82</v>
      </c>
      <c r="D1071" t="s">
        <v>62</v>
      </c>
      <c r="E1071" t="s">
        <v>79</v>
      </c>
      <c r="F1071" t="s">
        <v>85</v>
      </c>
      <c r="G1071" s="6">
        <v>4</v>
      </c>
      <c r="H1071" s="4">
        <v>129.68</v>
      </c>
      <c r="I1071" s="4">
        <v>86.3</v>
      </c>
      <c r="J1071" s="5">
        <v>0</v>
      </c>
      <c r="K1071" s="6">
        <v>1</v>
      </c>
      <c r="L1071" s="6">
        <v>4</v>
      </c>
      <c r="M1071" t="s">
        <v>58</v>
      </c>
      <c r="N1071" t="s">
        <v>69</v>
      </c>
      <c r="O1071" t="s">
        <v>64</v>
      </c>
    </row>
    <row r="1072" spans="1:15">
      <c r="A1072" t="s">
        <v>1170</v>
      </c>
      <c r="B1072" s="3">
        <v>45662</v>
      </c>
      <c r="C1072" t="s">
        <v>54</v>
      </c>
      <c r="D1072" t="s">
        <v>62</v>
      </c>
      <c r="E1072" t="s">
        <v>79</v>
      </c>
      <c r="F1072" t="s">
        <v>92</v>
      </c>
      <c r="G1072" s="6">
        <v>4</v>
      </c>
      <c r="H1072" s="4">
        <v>51.49</v>
      </c>
      <c r="I1072" s="4">
        <v>26.51</v>
      </c>
      <c r="J1072" s="5">
        <v>0</v>
      </c>
      <c r="K1072" s="6">
        <v>3</v>
      </c>
      <c r="L1072" s="6">
        <v>4</v>
      </c>
      <c r="M1072" t="s">
        <v>58</v>
      </c>
      <c r="N1072" t="s">
        <v>59</v>
      </c>
      <c r="O1072" t="s">
        <v>73</v>
      </c>
    </row>
    <row r="1073" spans="1:15">
      <c r="A1073" t="s">
        <v>128</v>
      </c>
      <c r="B1073" s="3">
        <v>45761</v>
      </c>
      <c r="C1073" t="s">
        <v>66</v>
      </c>
      <c r="D1073" t="s">
        <v>129</v>
      </c>
      <c r="E1073" t="s">
        <v>67</v>
      </c>
      <c r="F1073" t="s">
        <v>107</v>
      </c>
      <c r="G1073" s="6">
        <v>4</v>
      </c>
      <c r="H1073" s="4">
        <v>46.31</v>
      </c>
      <c r="I1073" s="4">
        <v>21.97</v>
      </c>
      <c r="J1073" s="5">
        <v>0.15000000000000002</v>
      </c>
      <c r="K1073" s="6">
        <v>5</v>
      </c>
      <c r="L1073" s="6">
        <v>5</v>
      </c>
      <c r="M1073" t="s">
        <v>58</v>
      </c>
      <c r="N1073" t="s">
        <v>59</v>
      </c>
      <c r="O1073" t="s">
        <v>60</v>
      </c>
    </row>
    <row r="1074" spans="1:15">
      <c r="A1074" t="s">
        <v>1171</v>
      </c>
      <c r="B1074" s="3">
        <v>45910</v>
      </c>
      <c r="C1074" t="s">
        <v>1038</v>
      </c>
      <c r="D1074" t="s">
        <v>129</v>
      </c>
      <c r="E1074" t="s">
        <v>56</v>
      </c>
      <c r="F1074" t="s">
        <v>83</v>
      </c>
      <c r="G1074" s="6">
        <v>6</v>
      </c>
      <c r="H1074" s="4">
        <v>65.78</v>
      </c>
      <c r="I1074" s="4">
        <v>36.08</v>
      </c>
      <c r="J1074" s="5">
        <v>0.05</v>
      </c>
      <c r="K1074" s="6">
        <v>1</v>
      </c>
      <c r="L1074" s="6">
        <v>5</v>
      </c>
      <c r="M1074" t="s">
        <v>58</v>
      </c>
      <c r="N1074" t="s">
        <v>69</v>
      </c>
      <c r="O1074" t="s">
        <v>64</v>
      </c>
    </row>
    <row r="1075" spans="1:15">
      <c r="A1075" t="s">
        <v>1172</v>
      </c>
      <c r="B1075" s="3">
        <v>45876</v>
      </c>
      <c r="C1075" t="s">
        <v>78</v>
      </c>
      <c r="D1075" t="s">
        <v>62</v>
      </c>
      <c r="E1075" t="s">
        <v>56</v>
      </c>
      <c r="F1075" t="s">
        <v>89</v>
      </c>
      <c r="G1075" s="6">
        <v>3</v>
      </c>
      <c r="H1075" s="4">
        <v>82.59</v>
      </c>
      <c r="I1075" s="4">
        <v>46.17</v>
      </c>
      <c r="J1075" s="5">
        <v>0.05</v>
      </c>
      <c r="K1075" s="6">
        <v>5</v>
      </c>
      <c r="L1075" s="6">
        <v>4</v>
      </c>
      <c r="M1075" t="s">
        <v>58</v>
      </c>
      <c r="N1075" t="s">
        <v>59</v>
      </c>
      <c r="O1075" t="s">
        <v>64</v>
      </c>
    </row>
    <row r="1076" spans="1:15">
      <c r="A1076" t="s">
        <v>1173</v>
      </c>
      <c r="B1076" s="3">
        <v>45952</v>
      </c>
      <c r="C1076" t="s">
        <v>82</v>
      </c>
      <c r="D1076" t="s">
        <v>62</v>
      </c>
      <c r="E1076" t="s">
        <v>79</v>
      </c>
      <c r="F1076" t="s">
        <v>85</v>
      </c>
      <c r="G1076" s="6">
        <v>1</v>
      </c>
      <c r="H1076" s="4">
        <v>126.59</v>
      </c>
      <c r="I1076" s="4">
        <v>86.02</v>
      </c>
      <c r="J1076" s="5">
        <v>0.05</v>
      </c>
      <c r="K1076" s="6">
        <v>5</v>
      </c>
      <c r="L1076" s="6">
        <v>4</v>
      </c>
      <c r="M1076" t="s">
        <v>58</v>
      </c>
      <c r="N1076" t="s">
        <v>59</v>
      </c>
      <c r="O1076" t="s">
        <v>64</v>
      </c>
    </row>
    <row r="1077" spans="1:15">
      <c r="A1077" t="s">
        <v>1174</v>
      </c>
      <c r="B1077" s="3">
        <v>45937</v>
      </c>
      <c r="C1077" t="s">
        <v>66</v>
      </c>
      <c r="D1077" t="s">
        <v>62</v>
      </c>
      <c r="E1077" t="s">
        <v>75</v>
      </c>
      <c r="F1077" t="s">
        <v>110</v>
      </c>
      <c r="G1077" s="6">
        <v>3</v>
      </c>
      <c r="H1077" s="4">
        <v>166.05</v>
      </c>
      <c r="I1077" s="4">
        <v>103.88</v>
      </c>
      <c r="J1077" s="5">
        <v>0</v>
      </c>
      <c r="K1077" s="6">
        <v>2</v>
      </c>
      <c r="L1077" s="6">
        <v>5</v>
      </c>
      <c r="M1077" t="s">
        <v>58</v>
      </c>
      <c r="N1077" t="s">
        <v>69</v>
      </c>
      <c r="O1077" t="s">
        <v>64</v>
      </c>
    </row>
    <row r="1078" spans="1:15">
      <c r="A1078" t="s">
        <v>1175</v>
      </c>
      <c r="B1078" s="3">
        <v>46008</v>
      </c>
      <c r="C1078" t="s">
        <v>54</v>
      </c>
      <c r="D1078" t="s">
        <v>62</v>
      </c>
      <c r="E1078" t="s">
        <v>56</v>
      </c>
      <c r="F1078" t="s">
        <v>63</v>
      </c>
      <c r="G1078" s="6">
        <v>1</v>
      </c>
      <c r="H1078" s="4">
        <v>40.67</v>
      </c>
      <c r="I1078" s="4">
        <v>20.74</v>
      </c>
      <c r="J1078" s="5">
        <v>0.15000000000000002</v>
      </c>
      <c r="K1078" s="6">
        <v>0</v>
      </c>
      <c r="L1078" s="6"/>
      <c r="M1078" t="s">
        <v>58</v>
      </c>
      <c r="N1078" t="s">
        <v>69</v>
      </c>
      <c r="O1078" t="s">
        <v>64</v>
      </c>
    </row>
    <row r="1079" spans="1:15">
      <c r="A1079" t="s">
        <v>1176</v>
      </c>
      <c r="B1079" s="3">
        <v>45853</v>
      </c>
      <c r="C1079" t="s">
        <v>82</v>
      </c>
      <c r="D1079" t="s">
        <v>62</v>
      </c>
      <c r="E1079" t="s">
        <v>56</v>
      </c>
      <c r="F1079" t="s">
        <v>57</v>
      </c>
      <c r="G1079" s="6">
        <v>2</v>
      </c>
      <c r="H1079" s="4">
        <v>111.91</v>
      </c>
      <c r="I1079" s="4">
        <v>66.03</v>
      </c>
      <c r="J1079" s="5">
        <v>0.05</v>
      </c>
      <c r="K1079" s="6">
        <v>3</v>
      </c>
      <c r="L1079" s="6">
        <v>3</v>
      </c>
      <c r="M1079" t="s">
        <v>126</v>
      </c>
      <c r="N1079" t="s">
        <v>59</v>
      </c>
      <c r="O1079" t="s">
        <v>64</v>
      </c>
    </row>
    <row r="1080" spans="1:15">
      <c r="A1080" t="s">
        <v>1177</v>
      </c>
      <c r="B1080" s="3">
        <v>45812</v>
      </c>
      <c r="C1080" t="s">
        <v>66</v>
      </c>
      <c r="D1080" t="s">
        <v>62</v>
      </c>
      <c r="E1080" t="s">
        <v>79</v>
      </c>
      <c r="F1080" t="s">
        <v>80</v>
      </c>
      <c r="G1080" s="6">
        <v>1</v>
      </c>
      <c r="H1080" s="4">
        <v>73.650000000000006</v>
      </c>
      <c r="I1080" s="4">
        <v>44.76</v>
      </c>
      <c r="J1080" s="5">
        <v>0</v>
      </c>
      <c r="K1080" s="6">
        <v>4</v>
      </c>
      <c r="L1080" s="6">
        <v>4</v>
      </c>
      <c r="M1080" t="s">
        <v>58</v>
      </c>
      <c r="N1080" t="s">
        <v>59</v>
      </c>
      <c r="O1080" t="s">
        <v>64</v>
      </c>
    </row>
    <row r="1081" spans="1:15">
      <c r="A1081" t="s">
        <v>1178</v>
      </c>
      <c r="B1081" s="3">
        <v>45801</v>
      </c>
      <c r="C1081" t="s">
        <v>54</v>
      </c>
      <c r="D1081" t="s">
        <v>62</v>
      </c>
      <c r="E1081" t="s">
        <v>79</v>
      </c>
      <c r="F1081" t="s">
        <v>80</v>
      </c>
      <c r="G1081" s="6">
        <v>1</v>
      </c>
      <c r="H1081" s="4">
        <v>73.099999999999994</v>
      </c>
      <c r="I1081" s="4">
        <v>41.88</v>
      </c>
      <c r="J1081" s="5">
        <v>0</v>
      </c>
      <c r="K1081" s="6">
        <v>1</v>
      </c>
      <c r="L1081" s="6">
        <v>4</v>
      </c>
      <c r="M1081" t="s">
        <v>58</v>
      </c>
      <c r="N1081" t="s">
        <v>69</v>
      </c>
      <c r="O1081" t="s">
        <v>64</v>
      </c>
    </row>
    <row r="1082" spans="1:15">
      <c r="A1082" t="s">
        <v>1179</v>
      </c>
      <c r="B1082" s="3">
        <v>45871</v>
      </c>
      <c r="C1082" t="s">
        <v>82</v>
      </c>
      <c r="D1082" t="s">
        <v>62</v>
      </c>
      <c r="E1082" t="s">
        <v>56</v>
      </c>
      <c r="F1082" t="s">
        <v>89</v>
      </c>
      <c r="G1082" s="6">
        <v>1</v>
      </c>
      <c r="H1082" s="4">
        <v>83.08</v>
      </c>
      <c r="I1082" s="4">
        <v>44.56</v>
      </c>
      <c r="J1082" s="5">
        <v>0.1</v>
      </c>
      <c r="K1082" s="6">
        <v>4</v>
      </c>
      <c r="L1082" s="6">
        <v>5</v>
      </c>
      <c r="M1082" t="s">
        <v>58</v>
      </c>
      <c r="N1082" t="s">
        <v>59</v>
      </c>
      <c r="O1082" t="s">
        <v>60</v>
      </c>
    </row>
    <row r="1083" spans="1:15">
      <c r="A1083" t="s">
        <v>199</v>
      </c>
      <c r="B1083" s="3">
        <v>45709</v>
      </c>
      <c r="C1083" t="s">
        <v>78</v>
      </c>
      <c r="D1083" t="s">
        <v>62</v>
      </c>
      <c r="E1083" t="s">
        <v>79</v>
      </c>
      <c r="F1083" t="s">
        <v>115</v>
      </c>
      <c r="G1083" s="6">
        <v>2</v>
      </c>
      <c r="H1083" s="4">
        <v>58.95</v>
      </c>
      <c r="I1083" s="4">
        <v>33.090000000000003</v>
      </c>
      <c r="J1083" s="5">
        <v>0.05</v>
      </c>
      <c r="K1083" s="6">
        <v>3</v>
      </c>
      <c r="L1083" s="6">
        <v>4</v>
      </c>
      <c r="M1083" t="s">
        <v>58</v>
      </c>
      <c r="N1083" t="s">
        <v>87</v>
      </c>
      <c r="O1083" t="s">
        <v>64</v>
      </c>
    </row>
    <row r="1084" spans="1:15">
      <c r="A1084" t="s">
        <v>1180</v>
      </c>
      <c r="B1084" s="3">
        <v>45769</v>
      </c>
      <c r="C1084" t="s">
        <v>54</v>
      </c>
      <c r="D1084" t="s">
        <v>55</v>
      </c>
      <c r="E1084" t="s">
        <v>75</v>
      </c>
      <c r="F1084" t="s">
        <v>146</v>
      </c>
      <c r="G1084" s="6">
        <v>4</v>
      </c>
      <c r="H1084" s="4">
        <v>186.52</v>
      </c>
      <c r="I1084" s="4">
        <v>115.01</v>
      </c>
      <c r="J1084" s="5">
        <v>0.05</v>
      </c>
      <c r="K1084" s="6">
        <v>7</v>
      </c>
      <c r="L1084" s="6">
        <v>4</v>
      </c>
      <c r="M1084" t="s">
        <v>58</v>
      </c>
      <c r="N1084" t="s">
        <v>59</v>
      </c>
      <c r="O1084" t="s">
        <v>64</v>
      </c>
    </row>
    <row r="1085" spans="1:15">
      <c r="A1085" t="s">
        <v>1181</v>
      </c>
      <c r="B1085" s="3">
        <v>45997</v>
      </c>
      <c r="C1085" t="s">
        <v>78</v>
      </c>
      <c r="D1085" t="s">
        <v>62</v>
      </c>
      <c r="E1085" t="s">
        <v>75</v>
      </c>
      <c r="F1085" t="s">
        <v>110</v>
      </c>
      <c r="G1085" s="6">
        <v>1</v>
      </c>
      <c r="H1085" s="4">
        <v>159.94</v>
      </c>
      <c r="I1085" s="4">
        <v>104.83</v>
      </c>
      <c r="J1085" s="5">
        <v>0.1</v>
      </c>
      <c r="K1085" s="6">
        <v>4</v>
      </c>
      <c r="L1085" s="6">
        <v>4</v>
      </c>
      <c r="M1085" t="s">
        <v>58</v>
      </c>
      <c r="N1085" t="s">
        <v>59</v>
      </c>
      <c r="O1085" t="s">
        <v>64</v>
      </c>
    </row>
    <row r="1086" spans="1:15">
      <c r="A1086" t="s">
        <v>1182</v>
      </c>
      <c r="B1086" s="3">
        <v>45909</v>
      </c>
      <c r="C1086" t="s">
        <v>82</v>
      </c>
      <c r="D1086" t="s">
        <v>55</v>
      </c>
      <c r="E1086" t="s">
        <v>79</v>
      </c>
      <c r="F1086" t="s">
        <v>92</v>
      </c>
      <c r="G1086" s="6">
        <v>3</v>
      </c>
      <c r="H1086" s="4">
        <v>50.46</v>
      </c>
      <c r="I1086" s="4">
        <v>26.6</v>
      </c>
      <c r="J1086" s="5">
        <v>0.05</v>
      </c>
      <c r="K1086" s="6">
        <v>1</v>
      </c>
      <c r="L1086" s="6">
        <v>5</v>
      </c>
      <c r="M1086" t="s">
        <v>58</v>
      </c>
      <c r="N1086" t="s">
        <v>69</v>
      </c>
      <c r="O1086" t="s">
        <v>64</v>
      </c>
    </row>
    <row r="1087" spans="1:15">
      <c r="A1087" t="s">
        <v>1183</v>
      </c>
      <c r="B1087" s="3">
        <v>45875</v>
      </c>
      <c r="C1087" t="s">
        <v>78</v>
      </c>
      <c r="D1087" t="s">
        <v>62</v>
      </c>
      <c r="E1087" t="s">
        <v>75</v>
      </c>
      <c r="F1087" t="s">
        <v>146</v>
      </c>
      <c r="G1087" s="6">
        <v>1</v>
      </c>
      <c r="H1087" s="4">
        <v>185.01</v>
      </c>
      <c r="I1087" s="4">
        <v>116.7</v>
      </c>
      <c r="J1087" s="5">
        <v>0</v>
      </c>
      <c r="K1087" s="6">
        <v>1</v>
      </c>
      <c r="L1087" s="6">
        <v>4</v>
      </c>
      <c r="M1087" t="s">
        <v>58</v>
      </c>
      <c r="N1087" t="s">
        <v>69</v>
      </c>
      <c r="O1087" t="s">
        <v>64</v>
      </c>
    </row>
    <row r="1088" spans="1:15">
      <c r="A1088" t="s">
        <v>1184</v>
      </c>
      <c r="B1088" s="3">
        <v>45936</v>
      </c>
      <c r="C1088" t="s">
        <v>54</v>
      </c>
      <c r="D1088" t="s">
        <v>62</v>
      </c>
      <c r="E1088" t="s">
        <v>67</v>
      </c>
      <c r="F1088" t="s">
        <v>107</v>
      </c>
      <c r="G1088" s="6">
        <v>2</v>
      </c>
      <c r="H1088" s="4">
        <v>46.69</v>
      </c>
      <c r="I1088" s="4">
        <v>21.7</v>
      </c>
      <c r="J1088" s="5">
        <v>0</v>
      </c>
      <c r="K1088" s="6">
        <v>4</v>
      </c>
      <c r="L1088" s="6">
        <v>4</v>
      </c>
      <c r="M1088" t="s">
        <v>58</v>
      </c>
      <c r="N1088" t="s">
        <v>87</v>
      </c>
      <c r="O1088" t="s">
        <v>73</v>
      </c>
    </row>
    <row r="1089" spans="1:15">
      <c r="A1089" t="s">
        <v>1185</v>
      </c>
      <c r="B1089" s="3">
        <v>46013</v>
      </c>
      <c r="C1089" t="s">
        <v>54</v>
      </c>
      <c r="D1089" t="s">
        <v>62</v>
      </c>
      <c r="E1089" t="s">
        <v>79</v>
      </c>
      <c r="F1089" t="s">
        <v>115</v>
      </c>
      <c r="G1089" s="6">
        <v>1</v>
      </c>
      <c r="H1089" s="4">
        <v>59.62</v>
      </c>
      <c r="I1089" s="4">
        <v>33.97</v>
      </c>
      <c r="J1089" s="5">
        <v>0.15000000000000002</v>
      </c>
      <c r="K1089" s="6">
        <v>7</v>
      </c>
      <c r="L1089" s="6">
        <v>4</v>
      </c>
      <c r="M1089" t="s">
        <v>58</v>
      </c>
      <c r="N1089" t="s">
        <v>59</v>
      </c>
      <c r="O1089" t="s">
        <v>64</v>
      </c>
    </row>
    <row r="1090" spans="1:15">
      <c r="A1090" t="s">
        <v>1186</v>
      </c>
      <c r="B1090" s="3">
        <v>45906</v>
      </c>
      <c r="C1090" t="s">
        <v>78</v>
      </c>
      <c r="D1090" t="s">
        <v>55</v>
      </c>
      <c r="E1090" t="s">
        <v>79</v>
      </c>
      <c r="F1090" t="s">
        <v>115</v>
      </c>
      <c r="G1090" s="6">
        <v>3</v>
      </c>
      <c r="H1090" s="4">
        <v>61.18</v>
      </c>
      <c r="I1090" s="4">
        <v>33.299999999999997</v>
      </c>
      <c r="J1090" s="5">
        <v>0.05</v>
      </c>
      <c r="K1090" s="6">
        <v>0</v>
      </c>
      <c r="L1090" s="6">
        <v>5</v>
      </c>
      <c r="M1090" t="s">
        <v>58</v>
      </c>
      <c r="N1090" t="s">
        <v>69</v>
      </c>
      <c r="O1090" t="s">
        <v>64</v>
      </c>
    </row>
    <row r="1091" spans="1:15">
      <c r="A1091" t="s">
        <v>1187</v>
      </c>
      <c r="B1091" s="3">
        <v>45967</v>
      </c>
      <c r="C1091" t="s">
        <v>82</v>
      </c>
      <c r="D1091" t="s">
        <v>62</v>
      </c>
      <c r="E1091" t="s">
        <v>79</v>
      </c>
      <c r="F1091" t="s">
        <v>85</v>
      </c>
      <c r="G1091" s="6">
        <v>1</v>
      </c>
      <c r="H1091" s="4">
        <v>133.69999999999999</v>
      </c>
      <c r="I1091" s="4">
        <v>85.68</v>
      </c>
      <c r="J1091" s="5">
        <v>0.1</v>
      </c>
      <c r="K1091" s="6">
        <v>3</v>
      </c>
      <c r="L1091" s="6">
        <v>4</v>
      </c>
      <c r="M1091" t="s">
        <v>58</v>
      </c>
      <c r="N1091" t="s">
        <v>59</v>
      </c>
      <c r="O1091" t="s">
        <v>64</v>
      </c>
    </row>
    <row r="1092" spans="1:15">
      <c r="A1092" t="s">
        <v>1188</v>
      </c>
      <c r="B1092" s="3">
        <v>45745</v>
      </c>
      <c r="C1092" t="s">
        <v>78</v>
      </c>
      <c r="D1092" t="s">
        <v>62</v>
      </c>
      <c r="E1092" t="s">
        <v>67</v>
      </c>
      <c r="F1092" t="s">
        <v>68</v>
      </c>
      <c r="G1092" s="6">
        <v>1</v>
      </c>
      <c r="H1092" s="4">
        <v>40.07</v>
      </c>
      <c r="I1092" s="4">
        <v>19.78</v>
      </c>
      <c r="J1092" s="5">
        <v>0.05</v>
      </c>
      <c r="K1092" s="6">
        <v>3</v>
      </c>
      <c r="L1092" s="6">
        <v>3</v>
      </c>
      <c r="M1092" t="s">
        <v>126</v>
      </c>
      <c r="N1092" t="s">
        <v>59</v>
      </c>
      <c r="O1092" t="s">
        <v>60</v>
      </c>
    </row>
    <row r="1093" spans="1:15">
      <c r="A1093" t="s">
        <v>1189</v>
      </c>
      <c r="B1093" s="3">
        <v>45796</v>
      </c>
      <c r="C1093" t="s">
        <v>78</v>
      </c>
      <c r="D1093" t="s">
        <v>62</v>
      </c>
      <c r="E1093" t="s">
        <v>79</v>
      </c>
      <c r="F1093" t="s">
        <v>115</v>
      </c>
      <c r="G1093" s="6">
        <v>1</v>
      </c>
      <c r="H1093" s="4">
        <v>58.3</v>
      </c>
      <c r="I1093" s="4">
        <v>35.130000000000003</v>
      </c>
      <c r="J1093" s="5">
        <v>0</v>
      </c>
      <c r="K1093" s="6">
        <v>0</v>
      </c>
      <c r="L1093" s="6">
        <v>5</v>
      </c>
      <c r="M1093" t="s">
        <v>58</v>
      </c>
      <c r="N1093" t="s">
        <v>69</v>
      </c>
      <c r="O1093" t="s">
        <v>64</v>
      </c>
    </row>
    <row r="1094" spans="1:15">
      <c r="A1094" t="s">
        <v>1190</v>
      </c>
      <c r="B1094" s="3">
        <v>46002</v>
      </c>
      <c r="C1094" t="s">
        <v>78</v>
      </c>
      <c r="D1094" t="s">
        <v>62</v>
      </c>
      <c r="E1094" t="s">
        <v>56</v>
      </c>
      <c r="F1094" t="s">
        <v>63</v>
      </c>
      <c r="G1094" s="6">
        <v>1</v>
      </c>
      <c r="H1094" s="4">
        <v>38.93</v>
      </c>
      <c r="I1094" s="4">
        <v>20.91</v>
      </c>
      <c r="J1094" s="5">
        <v>0.2</v>
      </c>
      <c r="K1094" s="6">
        <v>0</v>
      </c>
      <c r="L1094" s="6">
        <v>4</v>
      </c>
      <c r="M1094" t="s">
        <v>58</v>
      </c>
      <c r="N1094" t="s">
        <v>69</v>
      </c>
      <c r="O1094" t="s">
        <v>64</v>
      </c>
    </row>
    <row r="1095" spans="1:15">
      <c r="A1095" t="s">
        <v>1191</v>
      </c>
      <c r="B1095" s="3">
        <v>45973</v>
      </c>
      <c r="C1095" t="s">
        <v>1192</v>
      </c>
      <c r="D1095" t="s">
        <v>55</v>
      </c>
      <c r="E1095" t="s">
        <v>56</v>
      </c>
      <c r="F1095" t="s">
        <v>89</v>
      </c>
      <c r="G1095" s="6">
        <v>2</v>
      </c>
      <c r="H1095" s="4">
        <v>82.23</v>
      </c>
      <c r="I1095" s="4">
        <v>46.09</v>
      </c>
      <c r="J1095" s="5">
        <v>0.1</v>
      </c>
      <c r="K1095" s="6">
        <v>1</v>
      </c>
      <c r="L1095" s="6">
        <v>4</v>
      </c>
      <c r="M1095" t="s">
        <v>58</v>
      </c>
      <c r="N1095" t="s">
        <v>69</v>
      </c>
      <c r="O1095" t="s">
        <v>64</v>
      </c>
    </row>
    <row r="1096" spans="1:15">
      <c r="A1096" t="s">
        <v>1193</v>
      </c>
      <c r="B1096" s="3">
        <v>45696</v>
      </c>
      <c r="C1096" t="s">
        <v>78</v>
      </c>
      <c r="D1096" t="s">
        <v>62</v>
      </c>
      <c r="E1096" t="s">
        <v>56</v>
      </c>
      <c r="F1096" t="s">
        <v>83</v>
      </c>
      <c r="G1096" s="6">
        <v>1</v>
      </c>
      <c r="H1096" s="4">
        <v>63.82</v>
      </c>
      <c r="I1096" s="4">
        <v>34.340000000000003</v>
      </c>
      <c r="J1096" s="5">
        <v>0.05</v>
      </c>
      <c r="K1096" s="6">
        <v>0</v>
      </c>
      <c r="L1096" s="6">
        <v>4</v>
      </c>
      <c r="M1096" t="s">
        <v>58</v>
      </c>
      <c r="N1096" t="s">
        <v>69</v>
      </c>
      <c r="O1096" t="s">
        <v>64</v>
      </c>
    </row>
    <row r="1097" spans="1:15">
      <c r="A1097" t="s">
        <v>1194</v>
      </c>
      <c r="B1097" s="3">
        <v>45726</v>
      </c>
      <c r="C1097" t="s">
        <v>78</v>
      </c>
      <c r="D1097" t="s">
        <v>62</v>
      </c>
      <c r="E1097" t="s">
        <v>56</v>
      </c>
      <c r="F1097" t="s">
        <v>57</v>
      </c>
      <c r="G1097" s="6">
        <v>3</v>
      </c>
      <c r="H1097" s="4">
        <v>114.05</v>
      </c>
      <c r="I1097" s="4">
        <v>69.09</v>
      </c>
      <c r="J1097" s="5">
        <v>0</v>
      </c>
      <c r="K1097" s="6">
        <v>4</v>
      </c>
      <c r="L1097" s="6">
        <v>4</v>
      </c>
      <c r="M1097" t="s">
        <v>58</v>
      </c>
      <c r="N1097" t="s">
        <v>59</v>
      </c>
      <c r="O1097" t="s">
        <v>73</v>
      </c>
    </row>
    <row r="1098" spans="1:15">
      <c r="A1098" t="s">
        <v>1195</v>
      </c>
      <c r="B1098" s="3">
        <v>45736</v>
      </c>
      <c r="C1098" t="s">
        <v>82</v>
      </c>
      <c r="D1098" t="s">
        <v>62</v>
      </c>
      <c r="E1098" t="s">
        <v>56</v>
      </c>
      <c r="F1098" t="s">
        <v>83</v>
      </c>
      <c r="G1098" s="6">
        <v>2</v>
      </c>
      <c r="H1098" s="4">
        <v>64.2</v>
      </c>
      <c r="I1098" s="4">
        <v>34.630000000000003</v>
      </c>
      <c r="J1098" s="5">
        <v>0.05</v>
      </c>
      <c r="K1098" s="6">
        <v>1</v>
      </c>
      <c r="L1098" s="6">
        <v>4</v>
      </c>
      <c r="M1098" t="s">
        <v>58</v>
      </c>
      <c r="N1098" t="s">
        <v>69</v>
      </c>
      <c r="O1098" t="s">
        <v>73</v>
      </c>
    </row>
    <row r="1099" spans="1:15">
      <c r="A1099" t="s">
        <v>1196</v>
      </c>
      <c r="B1099" s="3">
        <v>45745</v>
      </c>
      <c r="C1099" t="s">
        <v>66</v>
      </c>
      <c r="D1099" t="s">
        <v>62</v>
      </c>
      <c r="E1099" t="s">
        <v>75</v>
      </c>
      <c r="F1099" t="s">
        <v>97</v>
      </c>
      <c r="G1099" s="6">
        <v>1</v>
      </c>
      <c r="H1099" s="4">
        <v>88.27</v>
      </c>
      <c r="I1099" s="4">
        <v>53.9</v>
      </c>
      <c r="J1099" s="5">
        <v>0</v>
      </c>
      <c r="K1099" s="6">
        <v>3</v>
      </c>
      <c r="L1099" s="6">
        <v>4</v>
      </c>
      <c r="M1099" t="s">
        <v>58</v>
      </c>
      <c r="N1099" t="s">
        <v>59</v>
      </c>
      <c r="O1099" t="s">
        <v>60</v>
      </c>
    </row>
    <row r="1100" spans="1:15">
      <c r="A1100" t="s">
        <v>1197</v>
      </c>
      <c r="B1100" s="3">
        <v>45696</v>
      </c>
      <c r="C1100" t="s">
        <v>66</v>
      </c>
      <c r="D1100" t="s">
        <v>62</v>
      </c>
      <c r="E1100" t="s">
        <v>56</v>
      </c>
      <c r="F1100" t="s">
        <v>63</v>
      </c>
      <c r="G1100" s="6">
        <v>3</v>
      </c>
      <c r="H1100" s="4">
        <v>38.950000000000003</v>
      </c>
      <c r="I1100" s="4">
        <v>20.61</v>
      </c>
      <c r="J1100" s="5">
        <v>0.05</v>
      </c>
      <c r="K1100" s="6">
        <v>1</v>
      </c>
      <c r="L1100" s="6">
        <v>4</v>
      </c>
      <c r="M1100" t="s">
        <v>58</v>
      </c>
      <c r="N1100" t="s">
        <v>69</v>
      </c>
      <c r="O1100" t="s">
        <v>64</v>
      </c>
    </row>
    <row r="1101" spans="1:15">
      <c r="A1101" t="s">
        <v>1198</v>
      </c>
      <c r="B1101" s="3">
        <v>45935</v>
      </c>
      <c r="C1101" t="s">
        <v>66</v>
      </c>
      <c r="D1101" t="s">
        <v>62</v>
      </c>
      <c r="E1101" t="s">
        <v>56</v>
      </c>
      <c r="F1101" t="s">
        <v>83</v>
      </c>
      <c r="G1101" s="6">
        <v>3</v>
      </c>
      <c r="H1101" s="4">
        <v>64.44</v>
      </c>
      <c r="I1101" s="4">
        <v>34.85</v>
      </c>
      <c r="J1101" s="5">
        <v>0.2</v>
      </c>
      <c r="K1101" s="6">
        <v>3</v>
      </c>
      <c r="L1101" s="6">
        <v>4</v>
      </c>
      <c r="M1101" t="s">
        <v>58</v>
      </c>
      <c r="N1101" t="s">
        <v>59</v>
      </c>
      <c r="O1101" t="s">
        <v>60</v>
      </c>
    </row>
    <row r="1102" spans="1:15">
      <c r="A1102" t="s">
        <v>1199</v>
      </c>
      <c r="B1102" s="3">
        <v>45804</v>
      </c>
      <c r="C1102" t="s">
        <v>82</v>
      </c>
      <c r="D1102" t="s">
        <v>129</v>
      </c>
      <c r="E1102" t="s">
        <v>67</v>
      </c>
      <c r="F1102" t="s">
        <v>71</v>
      </c>
      <c r="G1102" s="6">
        <v>4</v>
      </c>
      <c r="H1102" s="4">
        <v>68.790000000000006</v>
      </c>
      <c r="I1102" s="4">
        <v>38.42</v>
      </c>
      <c r="J1102" s="5">
        <v>0.1</v>
      </c>
      <c r="K1102" s="6">
        <v>6</v>
      </c>
      <c r="L1102" s="6">
        <v>4</v>
      </c>
      <c r="M1102" t="s">
        <v>58</v>
      </c>
      <c r="N1102" t="s">
        <v>59</v>
      </c>
      <c r="O1102" t="s">
        <v>64</v>
      </c>
    </row>
    <row r="1103" spans="1:15">
      <c r="A1103" t="s">
        <v>1200</v>
      </c>
      <c r="B1103" s="3">
        <v>45751</v>
      </c>
      <c r="C1103" t="s">
        <v>82</v>
      </c>
      <c r="D1103" t="s">
        <v>55</v>
      </c>
      <c r="E1103" t="s">
        <v>56</v>
      </c>
      <c r="F1103" t="s">
        <v>63</v>
      </c>
      <c r="G1103" s="6">
        <v>5</v>
      </c>
      <c r="H1103" s="4">
        <v>40.65</v>
      </c>
      <c r="I1103" s="4">
        <v>20.94</v>
      </c>
      <c r="J1103" s="5">
        <v>0</v>
      </c>
      <c r="K1103" s="6">
        <v>3</v>
      </c>
      <c r="L1103" s="6">
        <v>5</v>
      </c>
      <c r="M1103" t="s">
        <v>58</v>
      </c>
      <c r="N1103" t="s">
        <v>59</v>
      </c>
      <c r="O1103" t="s">
        <v>60</v>
      </c>
    </row>
    <row r="1104" spans="1:15">
      <c r="A1104" t="s">
        <v>1201</v>
      </c>
      <c r="B1104" s="3">
        <v>45959</v>
      </c>
      <c r="C1104" t="s">
        <v>54</v>
      </c>
      <c r="D1104" t="s">
        <v>55</v>
      </c>
      <c r="E1104" t="s">
        <v>75</v>
      </c>
      <c r="F1104" t="s">
        <v>76</v>
      </c>
      <c r="G1104" s="6">
        <v>3</v>
      </c>
      <c r="H1104" s="4">
        <v>121.34</v>
      </c>
      <c r="I1104" s="4">
        <v>71.39</v>
      </c>
      <c r="J1104" s="5">
        <v>0.05</v>
      </c>
      <c r="K1104" s="6">
        <v>6</v>
      </c>
      <c r="L1104" s="6">
        <v>4</v>
      </c>
      <c r="M1104" t="s">
        <v>58</v>
      </c>
      <c r="N1104" t="s">
        <v>59</v>
      </c>
      <c r="O1104" t="s">
        <v>64</v>
      </c>
    </row>
    <row r="1105" spans="1:15">
      <c r="A1105" t="s">
        <v>1202</v>
      </c>
      <c r="B1105" s="3">
        <v>45825</v>
      </c>
      <c r="C1105" t="s">
        <v>82</v>
      </c>
      <c r="D1105" t="s">
        <v>62</v>
      </c>
      <c r="E1105" t="s">
        <v>56</v>
      </c>
      <c r="F1105" t="s">
        <v>89</v>
      </c>
      <c r="G1105" s="6">
        <v>1</v>
      </c>
      <c r="H1105" s="4">
        <v>78.95</v>
      </c>
      <c r="I1105" s="4">
        <v>45.77</v>
      </c>
      <c r="J1105" s="5">
        <v>0</v>
      </c>
      <c r="K1105" s="6">
        <v>3</v>
      </c>
      <c r="L1105" s="6">
        <v>5</v>
      </c>
      <c r="M1105" t="s">
        <v>58</v>
      </c>
      <c r="N1105" t="s">
        <v>59</v>
      </c>
      <c r="O1105" t="s">
        <v>64</v>
      </c>
    </row>
    <row r="1106" spans="1:15">
      <c r="A1106" t="s">
        <v>1203</v>
      </c>
      <c r="B1106" s="3">
        <v>45849</v>
      </c>
      <c r="C1106" t="s">
        <v>78</v>
      </c>
      <c r="D1106" t="s">
        <v>129</v>
      </c>
      <c r="E1106" t="s">
        <v>75</v>
      </c>
      <c r="F1106" t="s">
        <v>97</v>
      </c>
      <c r="G1106" s="6">
        <v>10</v>
      </c>
      <c r="H1106" s="4">
        <v>87.46</v>
      </c>
      <c r="I1106" s="4">
        <v>55.31</v>
      </c>
      <c r="J1106" s="5">
        <v>0.1</v>
      </c>
      <c r="K1106" s="6">
        <v>4</v>
      </c>
      <c r="L1106" s="6">
        <v>4</v>
      </c>
      <c r="M1106" t="s">
        <v>58</v>
      </c>
      <c r="N1106" t="s">
        <v>59</v>
      </c>
      <c r="O1106" t="s">
        <v>73</v>
      </c>
    </row>
    <row r="1107" spans="1:15">
      <c r="A1107" t="s">
        <v>1204</v>
      </c>
      <c r="B1107" s="3">
        <v>45771</v>
      </c>
      <c r="C1107" t="s">
        <v>54</v>
      </c>
      <c r="D1107" t="s">
        <v>62</v>
      </c>
      <c r="E1107" t="s">
        <v>56</v>
      </c>
      <c r="F1107" t="s">
        <v>89</v>
      </c>
      <c r="G1107" s="6">
        <v>1</v>
      </c>
      <c r="H1107" s="4">
        <v>82.08</v>
      </c>
      <c r="I1107" s="4">
        <v>45.65</v>
      </c>
      <c r="J1107" s="5">
        <v>0</v>
      </c>
      <c r="K1107" s="6">
        <v>3</v>
      </c>
      <c r="L1107" s="6">
        <v>4</v>
      </c>
      <c r="M1107" t="s">
        <v>58</v>
      </c>
      <c r="N1107" t="s">
        <v>59</v>
      </c>
      <c r="O1107" t="s">
        <v>64</v>
      </c>
    </row>
    <row r="1108" spans="1:15">
      <c r="A1108" t="s">
        <v>1205</v>
      </c>
      <c r="B1108" s="3">
        <v>45978</v>
      </c>
      <c r="C1108" t="s">
        <v>82</v>
      </c>
      <c r="D1108" t="s">
        <v>62</v>
      </c>
      <c r="E1108" t="s">
        <v>75</v>
      </c>
      <c r="F1108" t="s">
        <v>110</v>
      </c>
      <c r="G1108" s="6">
        <v>1</v>
      </c>
      <c r="H1108" s="4">
        <v>160.87</v>
      </c>
      <c r="I1108" s="4">
        <v>102.89</v>
      </c>
      <c r="J1108" s="5">
        <v>0.05</v>
      </c>
      <c r="K1108" s="6">
        <v>5</v>
      </c>
      <c r="L1108" s="6">
        <v>5</v>
      </c>
      <c r="M1108" t="s">
        <v>58</v>
      </c>
      <c r="N1108" t="s">
        <v>59</v>
      </c>
      <c r="O1108" t="s">
        <v>60</v>
      </c>
    </row>
    <row r="1109" spans="1:15">
      <c r="A1109" t="s">
        <v>1206</v>
      </c>
      <c r="B1109" s="3">
        <v>45997</v>
      </c>
      <c r="C1109" t="s">
        <v>78</v>
      </c>
      <c r="D1109" t="s">
        <v>62</v>
      </c>
      <c r="E1109" t="s">
        <v>67</v>
      </c>
      <c r="F1109" t="s">
        <v>68</v>
      </c>
      <c r="G1109" s="6">
        <v>1</v>
      </c>
      <c r="H1109" s="4">
        <v>40.47</v>
      </c>
      <c r="I1109" s="4">
        <v>18.46</v>
      </c>
      <c r="J1109" s="5">
        <v>0.1</v>
      </c>
      <c r="K1109" s="6">
        <v>3</v>
      </c>
      <c r="L1109" s="6">
        <v>4</v>
      </c>
      <c r="M1109" t="s">
        <v>58</v>
      </c>
      <c r="N1109" t="s">
        <v>69</v>
      </c>
      <c r="O1109" t="s">
        <v>64</v>
      </c>
    </row>
    <row r="1110" spans="1:15">
      <c r="A1110" t="s">
        <v>1207</v>
      </c>
      <c r="B1110" s="3">
        <v>46018</v>
      </c>
      <c r="C1110" t="s">
        <v>82</v>
      </c>
      <c r="D1110" t="s">
        <v>62</v>
      </c>
      <c r="E1110" t="s">
        <v>67</v>
      </c>
      <c r="F1110" t="s">
        <v>68</v>
      </c>
      <c r="G1110" s="6">
        <v>1</v>
      </c>
      <c r="H1110" s="4">
        <v>40.96</v>
      </c>
      <c r="I1110" s="4">
        <v>19.39</v>
      </c>
      <c r="J1110" s="5">
        <v>0.1</v>
      </c>
      <c r="K1110" s="6">
        <v>2</v>
      </c>
      <c r="L1110" s="6">
        <v>4</v>
      </c>
      <c r="M1110" t="s">
        <v>126</v>
      </c>
      <c r="N1110" t="s">
        <v>59</v>
      </c>
      <c r="O1110" t="s">
        <v>64</v>
      </c>
    </row>
    <row r="1111" spans="1:15">
      <c r="A1111" t="s">
        <v>1208</v>
      </c>
      <c r="B1111" s="3">
        <v>45850</v>
      </c>
      <c r="C1111" t="s">
        <v>82</v>
      </c>
      <c r="D1111" t="s">
        <v>62</v>
      </c>
      <c r="E1111" t="s">
        <v>75</v>
      </c>
      <c r="F1111" t="s">
        <v>110</v>
      </c>
      <c r="G1111" s="6">
        <v>2</v>
      </c>
      <c r="H1111" s="4">
        <v>158.44999999999999</v>
      </c>
      <c r="I1111" s="4">
        <v>103.42</v>
      </c>
      <c r="J1111" s="5">
        <v>0</v>
      </c>
      <c r="K1111" s="6">
        <v>0</v>
      </c>
      <c r="L1111" s="6">
        <v>4</v>
      </c>
      <c r="M1111" t="s">
        <v>58</v>
      </c>
      <c r="N1111" t="s">
        <v>69</v>
      </c>
      <c r="O1111" t="s">
        <v>64</v>
      </c>
    </row>
    <row r="1112" spans="1:15">
      <c r="A1112" t="s">
        <v>1209</v>
      </c>
      <c r="B1112" s="3">
        <v>45974</v>
      </c>
      <c r="C1112" t="s">
        <v>78</v>
      </c>
      <c r="D1112" t="s">
        <v>129</v>
      </c>
      <c r="E1112" t="s">
        <v>67</v>
      </c>
      <c r="F1112" t="s">
        <v>71</v>
      </c>
      <c r="G1112" s="6">
        <v>6</v>
      </c>
      <c r="H1112" s="4">
        <v>72.72</v>
      </c>
      <c r="I1112" s="4">
        <v>37.92</v>
      </c>
      <c r="J1112" s="5">
        <v>0.25</v>
      </c>
      <c r="K1112" s="6">
        <v>3</v>
      </c>
      <c r="L1112" s="6">
        <v>3</v>
      </c>
      <c r="M1112" t="s">
        <v>126</v>
      </c>
      <c r="N1112" t="s">
        <v>59</v>
      </c>
      <c r="O1112" t="s">
        <v>64</v>
      </c>
    </row>
    <row r="1113" spans="1:15">
      <c r="A1113" t="s">
        <v>1210</v>
      </c>
      <c r="B1113" s="3">
        <v>45830</v>
      </c>
      <c r="C1113" t="s">
        <v>78</v>
      </c>
      <c r="D1113" t="s">
        <v>62</v>
      </c>
      <c r="E1113" t="s">
        <v>79</v>
      </c>
      <c r="F1113" t="s">
        <v>92</v>
      </c>
      <c r="G1113" s="6">
        <v>1</v>
      </c>
      <c r="H1113" s="4">
        <v>50.55</v>
      </c>
      <c r="I1113" s="4">
        <v>26.43</v>
      </c>
      <c r="J1113" s="5">
        <v>0.05</v>
      </c>
      <c r="K1113" s="6">
        <v>3</v>
      </c>
      <c r="L1113" s="6">
        <v>4</v>
      </c>
      <c r="M1113" t="s">
        <v>58</v>
      </c>
      <c r="N1113" t="s">
        <v>59</v>
      </c>
      <c r="O1113" t="s">
        <v>64</v>
      </c>
    </row>
    <row r="1114" spans="1:15">
      <c r="A1114" t="s">
        <v>1211</v>
      </c>
      <c r="B1114" s="3">
        <v>45766</v>
      </c>
      <c r="C1114" t="s">
        <v>82</v>
      </c>
      <c r="D1114" t="s">
        <v>62</v>
      </c>
      <c r="E1114" t="s">
        <v>75</v>
      </c>
      <c r="F1114" t="s">
        <v>97</v>
      </c>
      <c r="G1114" s="6">
        <v>2</v>
      </c>
      <c r="H1114" s="4">
        <v>87.85</v>
      </c>
      <c r="I1114" s="4">
        <v>54.91</v>
      </c>
      <c r="J1114" s="5">
        <v>0</v>
      </c>
      <c r="K1114" s="6">
        <v>8</v>
      </c>
      <c r="L1114" s="6">
        <v>3</v>
      </c>
      <c r="M1114" t="s">
        <v>58</v>
      </c>
      <c r="N1114" t="s">
        <v>87</v>
      </c>
      <c r="O1114" t="s">
        <v>73</v>
      </c>
    </row>
    <row r="1115" spans="1:15">
      <c r="A1115" t="s">
        <v>1212</v>
      </c>
      <c r="B1115" s="3">
        <v>45890</v>
      </c>
      <c r="C1115" t="s">
        <v>54</v>
      </c>
      <c r="D1115" t="s">
        <v>55</v>
      </c>
      <c r="E1115" t="s">
        <v>67</v>
      </c>
      <c r="F1115" t="s">
        <v>107</v>
      </c>
      <c r="G1115" s="6">
        <v>3</v>
      </c>
      <c r="H1115" s="4">
        <v>44.51</v>
      </c>
      <c r="I1115" s="4">
        <v>20.440000000000001</v>
      </c>
      <c r="J1115" s="5">
        <v>0.1</v>
      </c>
      <c r="K1115" s="6">
        <v>2</v>
      </c>
      <c r="L1115" s="6">
        <v>5</v>
      </c>
      <c r="M1115" t="s">
        <v>58</v>
      </c>
      <c r="N1115" t="s">
        <v>59</v>
      </c>
      <c r="O1115" t="s">
        <v>73</v>
      </c>
    </row>
    <row r="1116" spans="1:15">
      <c r="A1116" t="s">
        <v>1213</v>
      </c>
      <c r="B1116" s="3">
        <v>45853</v>
      </c>
      <c r="C1116" t="s">
        <v>66</v>
      </c>
      <c r="D1116" t="s">
        <v>62</v>
      </c>
      <c r="E1116" t="s">
        <v>79</v>
      </c>
      <c r="F1116" t="s">
        <v>85</v>
      </c>
      <c r="G1116" s="6">
        <v>2</v>
      </c>
      <c r="H1116" s="4">
        <v>128.93</v>
      </c>
      <c r="I1116" s="4">
        <v>86.45</v>
      </c>
      <c r="J1116" s="5">
        <v>0.1</v>
      </c>
      <c r="K1116" s="6">
        <v>6</v>
      </c>
      <c r="L1116" s="6">
        <v>4</v>
      </c>
      <c r="M1116" t="s">
        <v>58</v>
      </c>
      <c r="N1116" t="s">
        <v>59</v>
      </c>
      <c r="O1116" t="s">
        <v>60</v>
      </c>
    </row>
    <row r="1117" spans="1:15">
      <c r="A1117" t="s">
        <v>1214</v>
      </c>
      <c r="B1117" s="3">
        <v>45866</v>
      </c>
      <c r="C1117" t="s">
        <v>54</v>
      </c>
      <c r="D1117" t="s">
        <v>62</v>
      </c>
      <c r="E1117" t="s">
        <v>79</v>
      </c>
      <c r="F1117" t="s">
        <v>80</v>
      </c>
      <c r="G1117" s="6">
        <v>1</v>
      </c>
      <c r="H1117" s="4">
        <v>75.11</v>
      </c>
      <c r="I1117" s="4">
        <v>42.5</v>
      </c>
      <c r="J1117" s="5">
        <v>0</v>
      </c>
      <c r="K1117" s="6">
        <v>4</v>
      </c>
      <c r="L1117" s="6">
        <v>4</v>
      </c>
      <c r="M1117" t="s">
        <v>126</v>
      </c>
      <c r="N1117" t="s">
        <v>59</v>
      </c>
      <c r="O1117" t="s">
        <v>64</v>
      </c>
    </row>
    <row r="1118" spans="1:15">
      <c r="A1118" t="s">
        <v>1215</v>
      </c>
      <c r="B1118" s="3">
        <v>45709</v>
      </c>
      <c r="C1118" t="s">
        <v>82</v>
      </c>
      <c r="D1118" t="s">
        <v>55</v>
      </c>
      <c r="E1118" t="s">
        <v>79</v>
      </c>
      <c r="F1118" t="s">
        <v>85</v>
      </c>
      <c r="G1118" s="6">
        <v>2</v>
      </c>
      <c r="H1118" s="4">
        <v>134.4</v>
      </c>
      <c r="I1118" s="4">
        <v>87.22</v>
      </c>
      <c r="J1118" s="5">
        <v>0.1</v>
      </c>
      <c r="K1118" s="6">
        <v>7</v>
      </c>
      <c r="L1118" s="6">
        <v>3</v>
      </c>
      <c r="M1118" t="s">
        <v>58</v>
      </c>
      <c r="N1118" t="s">
        <v>59</v>
      </c>
      <c r="O1118" t="s">
        <v>64</v>
      </c>
    </row>
    <row r="1119" spans="1:15">
      <c r="A1119" t="s">
        <v>1216</v>
      </c>
      <c r="B1119" s="3">
        <v>45719</v>
      </c>
      <c r="C1119" t="s">
        <v>54</v>
      </c>
      <c r="D1119" t="s">
        <v>62</v>
      </c>
      <c r="E1119" t="s">
        <v>79</v>
      </c>
      <c r="F1119" t="s">
        <v>80</v>
      </c>
      <c r="G1119" s="6">
        <v>3</v>
      </c>
      <c r="H1119" s="4">
        <v>75.77</v>
      </c>
      <c r="I1119" s="4">
        <v>41.85</v>
      </c>
      <c r="J1119" s="5">
        <v>0</v>
      </c>
      <c r="K1119" s="6">
        <v>4</v>
      </c>
      <c r="L1119" s="6">
        <v>3</v>
      </c>
      <c r="M1119" t="s">
        <v>126</v>
      </c>
      <c r="N1119" t="s">
        <v>59</v>
      </c>
      <c r="O1119" t="s">
        <v>60</v>
      </c>
    </row>
    <row r="1120" spans="1:15">
      <c r="A1120" t="s">
        <v>1217</v>
      </c>
      <c r="B1120" s="3">
        <v>45977</v>
      </c>
      <c r="C1120" t="s">
        <v>54</v>
      </c>
      <c r="D1120" t="s">
        <v>62</v>
      </c>
      <c r="E1120" t="s">
        <v>75</v>
      </c>
      <c r="F1120" t="s">
        <v>146</v>
      </c>
      <c r="G1120" s="6">
        <v>2</v>
      </c>
      <c r="H1120" s="4">
        <v>179.91</v>
      </c>
      <c r="I1120" s="4">
        <v>112.91</v>
      </c>
      <c r="J1120" s="5">
        <v>0</v>
      </c>
      <c r="K1120" s="6">
        <v>7</v>
      </c>
      <c r="L1120" s="6">
        <v>4</v>
      </c>
      <c r="M1120" t="s">
        <v>58</v>
      </c>
      <c r="N1120" t="s">
        <v>59</v>
      </c>
      <c r="O1120" t="s">
        <v>73</v>
      </c>
    </row>
    <row r="1121" spans="1:15">
      <c r="A1121" t="s">
        <v>1218</v>
      </c>
      <c r="B1121" s="3">
        <v>45955</v>
      </c>
      <c r="C1121" t="s">
        <v>66</v>
      </c>
      <c r="D1121" t="s">
        <v>62</v>
      </c>
      <c r="E1121" t="s">
        <v>67</v>
      </c>
      <c r="F1121" t="s">
        <v>71</v>
      </c>
      <c r="G1121" s="6">
        <v>3</v>
      </c>
      <c r="H1121" s="4">
        <v>71.180000000000007</v>
      </c>
      <c r="I1121" s="4">
        <v>37.28</v>
      </c>
      <c r="J1121" s="5">
        <v>0.05</v>
      </c>
      <c r="K1121" s="6">
        <v>0</v>
      </c>
      <c r="L1121" s="6">
        <v>4</v>
      </c>
      <c r="M1121" t="s">
        <v>58</v>
      </c>
      <c r="N1121" t="s">
        <v>69</v>
      </c>
      <c r="O1121" t="s">
        <v>60</v>
      </c>
    </row>
    <row r="1122" spans="1:15">
      <c r="A1122" t="s">
        <v>1219</v>
      </c>
      <c r="B1122" s="3">
        <v>45917</v>
      </c>
      <c r="C1122" t="s">
        <v>66</v>
      </c>
      <c r="D1122" t="s">
        <v>62</v>
      </c>
      <c r="E1122" t="s">
        <v>56</v>
      </c>
      <c r="F1122" t="s">
        <v>63</v>
      </c>
      <c r="G1122" s="6">
        <v>1</v>
      </c>
      <c r="H1122" s="4">
        <v>39.53</v>
      </c>
      <c r="I1122" s="4">
        <v>19.850000000000001</v>
      </c>
      <c r="J1122" s="5">
        <v>0.1</v>
      </c>
      <c r="K1122" s="6">
        <v>3</v>
      </c>
      <c r="L1122" s="6">
        <v>4</v>
      </c>
      <c r="M1122" t="s">
        <v>58</v>
      </c>
      <c r="N1122" t="s">
        <v>59</v>
      </c>
      <c r="O1122" t="s">
        <v>64</v>
      </c>
    </row>
    <row r="1123" spans="1:15">
      <c r="A1123" t="s">
        <v>1220</v>
      </c>
      <c r="B1123" s="3">
        <v>45720</v>
      </c>
      <c r="C1123" t="s">
        <v>66</v>
      </c>
      <c r="D1123" t="s">
        <v>55</v>
      </c>
      <c r="E1123" t="s">
        <v>56</v>
      </c>
      <c r="F1123" t="s">
        <v>63</v>
      </c>
      <c r="G1123" s="6">
        <v>1</v>
      </c>
      <c r="H1123" s="4">
        <v>40.619999999999997</v>
      </c>
      <c r="I1123" s="4">
        <v>20.97</v>
      </c>
      <c r="J1123" s="5">
        <v>0.15000000000000002</v>
      </c>
      <c r="K1123" s="6">
        <v>2</v>
      </c>
      <c r="L1123" s="6">
        <v>3</v>
      </c>
      <c r="M1123" t="s">
        <v>126</v>
      </c>
      <c r="N1123" t="s">
        <v>59</v>
      </c>
      <c r="O1123" t="s">
        <v>73</v>
      </c>
    </row>
    <row r="1124" spans="1:15">
      <c r="A1124" t="s">
        <v>1221</v>
      </c>
      <c r="B1124" s="3">
        <v>45684</v>
      </c>
      <c r="C1124" t="s">
        <v>66</v>
      </c>
      <c r="D1124" t="s">
        <v>62</v>
      </c>
      <c r="E1124" t="s">
        <v>56</v>
      </c>
      <c r="F1124" t="s">
        <v>89</v>
      </c>
      <c r="G1124" s="6">
        <v>1</v>
      </c>
      <c r="H1124" s="4">
        <v>80.900000000000006</v>
      </c>
      <c r="I1124" s="4">
        <v>45.59</v>
      </c>
      <c r="J1124" s="5">
        <v>0.2</v>
      </c>
      <c r="K1124" s="6">
        <v>5</v>
      </c>
      <c r="L1124" s="6">
        <v>4</v>
      </c>
      <c r="M1124" t="s">
        <v>58</v>
      </c>
      <c r="N1124" t="s">
        <v>59</v>
      </c>
      <c r="O1124" t="s">
        <v>60</v>
      </c>
    </row>
    <row r="1125" spans="1:15">
      <c r="A1125" t="s">
        <v>1222</v>
      </c>
      <c r="B1125" s="3">
        <v>45673</v>
      </c>
      <c r="C1125" t="s">
        <v>54</v>
      </c>
      <c r="D1125" t="s">
        <v>62</v>
      </c>
      <c r="E1125" t="s">
        <v>79</v>
      </c>
      <c r="F1125" t="s">
        <v>115</v>
      </c>
      <c r="G1125" s="6">
        <v>2</v>
      </c>
      <c r="H1125" s="4">
        <v>59.9</v>
      </c>
      <c r="I1125" s="4">
        <v>33.979999999999997</v>
      </c>
      <c r="J1125" s="5">
        <v>0.05</v>
      </c>
      <c r="K1125" s="6">
        <v>0</v>
      </c>
      <c r="L1125" s="6">
        <v>5</v>
      </c>
      <c r="M1125" t="s">
        <v>58</v>
      </c>
      <c r="N1125" t="s">
        <v>69</v>
      </c>
      <c r="O1125" t="s">
        <v>64</v>
      </c>
    </row>
    <row r="1126" spans="1:15">
      <c r="A1126" t="s">
        <v>1223</v>
      </c>
      <c r="B1126" s="3">
        <v>45827</v>
      </c>
      <c r="C1126" t="s">
        <v>66</v>
      </c>
      <c r="D1126" t="s">
        <v>62</v>
      </c>
      <c r="E1126" t="s">
        <v>56</v>
      </c>
      <c r="F1126" t="s">
        <v>63</v>
      </c>
      <c r="G1126" s="6">
        <v>1</v>
      </c>
      <c r="H1126" s="4">
        <v>41.35</v>
      </c>
      <c r="I1126" s="4">
        <v>20.260000000000002</v>
      </c>
      <c r="J1126" s="5">
        <v>0.15000000000000002</v>
      </c>
      <c r="K1126" s="6">
        <v>0</v>
      </c>
      <c r="L1126" s="6">
        <v>4</v>
      </c>
      <c r="M1126" t="s">
        <v>58</v>
      </c>
      <c r="N1126" t="s">
        <v>69</v>
      </c>
      <c r="O1126" t="s">
        <v>60</v>
      </c>
    </row>
    <row r="1127" spans="1:15">
      <c r="A1127" t="s">
        <v>1224</v>
      </c>
      <c r="B1127" s="3">
        <v>45904</v>
      </c>
      <c r="C1127" t="s">
        <v>66</v>
      </c>
      <c r="E1127" t="s">
        <v>56</v>
      </c>
      <c r="F1127" t="s">
        <v>63</v>
      </c>
      <c r="G1127" s="6">
        <v>4</v>
      </c>
      <c r="H1127" s="4">
        <v>41.56</v>
      </c>
      <c r="I1127" s="4">
        <v>20.43</v>
      </c>
      <c r="J1127" s="5">
        <v>0.05</v>
      </c>
      <c r="K1127" s="6">
        <v>6</v>
      </c>
      <c r="L1127" s="6">
        <v>4</v>
      </c>
      <c r="M1127" t="s">
        <v>58</v>
      </c>
      <c r="N1127" t="s">
        <v>59</v>
      </c>
      <c r="O1127" t="s">
        <v>64</v>
      </c>
    </row>
    <row r="1128" spans="1:15">
      <c r="A1128" t="s">
        <v>1225</v>
      </c>
      <c r="B1128" s="3">
        <v>45961</v>
      </c>
      <c r="C1128" t="s">
        <v>54</v>
      </c>
      <c r="D1128" t="s">
        <v>62</v>
      </c>
      <c r="E1128" t="s">
        <v>79</v>
      </c>
      <c r="F1128" t="s">
        <v>85</v>
      </c>
      <c r="G1128" s="6">
        <v>1</v>
      </c>
      <c r="H1128" s="4">
        <v>127.07</v>
      </c>
      <c r="I1128" s="4">
        <v>85.9</v>
      </c>
      <c r="J1128" s="5">
        <v>0.1</v>
      </c>
      <c r="K1128" s="6">
        <v>3</v>
      </c>
      <c r="L1128" s="6">
        <v>4</v>
      </c>
      <c r="M1128" t="s">
        <v>58</v>
      </c>
      <c r="N1128" t="s">
        <v>69</v>
      </c>
      <c r="O1128" t="s">
        <v>64</v>
      </c>
    </row>
    <row r="1129" spans="1:15">
      <c r="A1129" t="s">
        <v>1226</v>
      </c>
      <c r="B1129" s="3">
        <v>46004</v>
      </c>
      <c r="C1129" t="s">
        <v>78</v>
      </c>
      <c r="D1129" t="s">
        <v>62</v>
      </c>
      <c r="E1129" t="s">
        <v>75</v>
      </c>
      <c r="F1129" t="s">
        <v>146</v>
      </c>
      <c r="G1129" s="6">
        <v>1</v>
      </c>
      <c r="H1129" s="4">
        <v>178.18</v>
      </c>
      <c r="I1129" s="4">
        <v>119.89</v>
      </c>
      <c r="J1129" s="5">
        <v>0.15000000000000002</v>
      </c>
      <c r="K1129" s="6">
        <v>7</v>
      </c>
      <c r="L1129" s="6">
        <v>3</v>
      </c>
      <c r="M1129" t="s">
        <v>58</v>
      </c>
      <c r="N1129" t="s">
        <v>87</v>
      </c>
      <c r="O1129" t="s">
        <v>64</v>
      </c>
    </row>
    <row r="1130" spans="1:15">
      <c r="A1130" t="s">
        <v>1227</v>
      </c>
      <c r="B1130" s="3">
        <v>45974</v>
      </c>
      <c r="C1130" t="s">
        <v>78</v>
      </c>
      <c r="D1130" t="s">
        <v>62</v>
      </c>
      <c r="E1130" t="s">
        <v>67</v>
      </c>
      <c r="F1130" t="s">
        <v>94</v>
      </c>
      <c r="G1130" s="6">
        <v>1</v>
      </c>
      <c r="H1130" s="4">
        <v>34.72</v>
      </c>
      <c r="I1130" s="4">
        <v>16.63</v>
      </c>
      <c r="J1130" s="5">
        <v>0.1</v>
      </c>
      <c r="K1130" s="6">
        <v>3</v>
      </c>
      <c r="L1130" s="6">
        <v>4</v>
      </c>
      <c r="M1130" t="s">
        <v>58</v>
      </c>
      <c r="N1130" t="s">
        <v>59</v>
      </c>
      <c r="O1130" t="s">
        <v>60</v>
      </c>
    </row>
    <row r="1131" spans="1:15">
      <c r="A1131" t="s">
        <v>1228</v>
      </c>
      <c r="B1131" s="3">
        <v>45727</v>
      </c>
      <c r="C1131" t="s">
        <v>82</v>
      </c>
      <c r="D1131" t="s">
        <v>62</v>
      </c>
      <c r="E1131" t="s">
        <v>56</v>
      </c>
      <c r="F1131" t="s">
        <v>89</v>
      </c>
      <c r="G1131" s="6">
        <v>2</v>
      </c>
      <c r="H1131" s="4">
        <v>82.24</v>
      </c>
      <c r="I1131" s="4">
        <v>45.06</v>
      </c>
      <c r="J1131" s="5">
        <v>0</v>
      </c>
      <c r="K1131" s="6">
        <v>3</v>
      </c>
      <c r="L1131" s="6">
        <v>4</v>
      </c>
      <c r="M1131" t="s">
        <v>58</v>
      </c>
      <c r="N1131" t="s">
        <v>59</v>
      </c>
      <c r="O1131" t="s">
        <v>73</v>
      </c>
    </row>
    <row r="1132" spans="1:15">
      <c r="A1132" t="s">
        <v>1229</v>
      </c>
      <c r="B1132" s="3">
        <v>45955</v>
      </c>
      <c r="C1132" t="s">
        <v>54</v>
      </c>
      <c r="D1132" t="s">
        <v>62</v>
      </c>
      <c r="E1132" t="s">
        <v>79</v>
      </c>
      <c r="F1132" t="s">
        <v>115</v>
      </c>
      <c r="G1132" s="6">
        <v>1</v>
      </c>
      <c r="H1132" s="4">
        <v>61.22</v>
      </c>
      <c r="I1132" s="4">
        <v>33.93</v>
      </c>
      <c r="J1132" s="5">
        <v>0</v>
      </c>
      <c r="K1132" s="6">
        <v>2</v>
      </c>
      <c r="L1132" s="6">
        <v>4</v>
      </c>
      <c r="M1132" t="s">
        <v>58</v>
      </c>
      <c r="N1132" t="s">
        <v>59</v>
      </c>
      <c r="O1132" t="s">
        <v>64</v>
      </c>
    </row>
    <row r="1133" spans="1:15">
      <c r="A1133" t="s">
        <v>1230</v>
      </c>
      <c r="B1133" s="3">
        <v>45918</v>
      </c>
      <c r="C1133" t="s">
        <v>78</v>
      </c>
      <c r="D1133" t="s">
        <v>62</v>
      </c>
      <c r="E1133" t="s">
        <v>56</v>
      </c>
      <c r="F1133" t="s">
        <v>83</v>
      </c>
      <c r="G1133" s="6">
        <v>1</v>
      </c>
      <c r="H1133" s="4">
        <v>64.45</v>
      </c>
      <c r="I1133" s="4">
        <v>34.770000000000003</v>
      </c>
      <c r="J1133" s="5">
        <v>0.1</v>
      </c>
      <c r="K1133" s="6">
        <v>2</v>
      </c>
      <c r="L1133" s="6">
        <v>4</v>
      </c>
      <c r="M1133" t="s">
        <v>58</v>
      </c>
      <c r="N1133" t="s">
        <v>59</v>
      </c>
      <c r="O1133" t="s">
        <v>64</v>
      </c>
    </row>
    <row r="1134" spans="1:15">
      <c r="A1134" t="s">
        <v>1231</v>
      </c>
      <c r="B1134" s="3">
        <v>45871</v>
      </c>
      <c r="C1134" t="s">
        <v>54</v>
      </c>
      <c r="D1134" t="s">
        <v>62</v>
      </c>
      <c r="E1134" t="s">
        <v>67</v>
      </c>
      <c r="F1134" t="s">
        <v>68</v>
      </c>
      <c r="G1134" s="6">
        <v>1</v>
      </c>
      <c r="H1134" s="4">
        <v>39.71</v>
      </c>
      <c r="I1134" s="4">
        <v>19.25</v>
      </c>
      <c r="J1134" s="5">
        <v>0.05</v>
      </c>
      <c r="K1134" s="6">
        <v>3</v>
      </c>
      <c r="L1134" s="6">
        <v>4</v>
      </c>
      <c r="M1134" t="s">
        <v>58</v>
      </c>
      <c r="N1134" t="s">
        <v>59</v>
      </c>
      <c r="O1134" t="s">
        <v>73</v>
      </c>
    </row>
    <row r="1135" spans="1:15">
      <c r="A1135" t="s">
        <v>1232</v>
      </c>
      <c r="B1135" s="3">
        <v>45868</v>
      </c>
      <c r="C1135" t="s">
        <v>54</v>
      </c>
      <c r="D1135" t="s">
        <v>55</v>
      </c>
      <c r="E1135" t="s">
        <v>56</v>
      </c>
      <c r="F1135" t="s">
        <v>57</v>
      </c>
      <c r="G1135" s="6">
        <v>3</v>
      </c>
      <c r="H1135" s="4">
        <v>112.62</v>
      </c>
      <c r="I1135" s="4">
        <v>66.790000000000006</v>
      </c>
      <c r="J1135" s="5">
        <v>0</v>
      </c>
      <c r="K1135" s="6">
        <v>4</v>
      </c>
      <c r="L1135" s="6">
        <v>5</v>
      </c>
      <c r="M1135" t="s">
        <v>58</v>
      </c>
      <c r="N1135" t="s">
        <v>69</v>
      </c>
      <c r="O1135" t="s">
        <v>64</v>
      </c>
    </row>
    <row r="1136" spans="1:15">
      <c r="A1136" t="s">
        <v>1233</v>
      </c>
      <c r="B1136" s="3">
        <v>45759</v>
      </c>
      <c r="C1136" t="s">
        <v>78</v>
      </c>
      <c r="D1136" t="s">
        <v>55</v>
      </c>
      <c r="E1136" t="s">
        <v>79</v>
      </c>
      <c r="F1136" t="s">
        <v>92</v>
      </c>
      <c r="G1136" s="6">
        <v>3</v>
      </c>
      <c r="H1136" s="4">
        <v>48.88</v>
      </c>
      <c r="I1136" s="4">
        <v>25.3</v>
      </c>
      <c r="J1136" s="5">
        <v>0</v>
      </c>
      <c r="K1136" s="6">
        <v>1</v>
      </c>
      <c r="L1136" s="6">
        <v>5</v>
      </c>
      <c r="M1136" t="s">
        <v>58</v>
      </c>
      <c r="N1136" t="s">
        <v>69</v>
      </c>
      <c r="O1136" t="s">
        <v>64</v>
      </c>
    </row>
    <row r="1137" spans="1:15">
      <c r="A1137" t="s">
        <v>505</v>
      </c>
      <c r="B1137" s="3">
        <v>45806</v>
      </c>
      <c r="C1137" t="s">
        <v>78</v>
      </c>
      <c r="D1137" t="s">
        <v>55</v>
      </c>
      <c r="E1137" t="s">
        <v>79</v>
      </c>
      <c r="F1137" t="s">
        <v>92</v>
      </c>
      <c r="G1137" s="6">
        <v>5</v>
      </c>
      <c r="H1137" s="4">
        <v>49.43</v>
      </c>
      <c r="I1137" s="4">
        <v>26.46</v>
      </c>
      <c r="J1137" s="5">
        <v>0.1</v>
      </c>
      <c r="K1137" s="6">
        <v>0</v>
      </c>
      <c r="L1137" s="6">
        <v>4</v>
      </c>
      <c r="M1137" t="s">
        <v>58</v>
      </c>
      <c r="N1137" t="s">
        <v>69</v>
      </c>
      <c r="O1137" t="s">
        <v>64</v>
      </c>
    </row>
    <row r="1138" spans="1:15">
      <c r="A1138" t="s">
        <v>1234</v>
      </c>
      <c r="B1138" s="3">
        <v>45889</v>
      </c>
      <c r="C1138" t="s">
        <v>54</v>
      </c>
      <c r="D1138" t="s">
        <v>62</v>
      </c>
      <c r="E1138" t="s">
        <v>56</v>
      </c>
      <c r="F1138" t="s">
        <v>57</v>
      </c>
      <c r="G1138" s="6">
        <v>1</v>
      </c>
      <c r="H1138" s="4">
        <v>106.89</v>
      </c>
      <c r="I1138" s="4">
        <v>65.930000000000007</v>
      </c>
      <c r="J1138" s="5">
        <v>0.1</v>
      </c>
      <c r="K1138" s="6">
        <v>7</v>
      </c>
      <c r="L1138" s="6">
        <v>4</v>
      </c>
      <c r="M1138" t="s">
        <v>58</v>
      </c>
      <c r="N1138" t="s">
        <v>59</v>
      </c>
      <c r="O1138" t="s">
        <v>73</v>
      </c>
    </row>
    <row r="1139" spans="1:15">
      <c r="A1139" t="s">
        <v>1235</v>
      </c>
      <c r="B1139" s="3">
        <v>45884</v>
      </c>
      <c r="C1139" t="s">
        <v>54</v>
      </c>
      <c r="D1139" t="s">
        <v>55</v>
      </c>
      <c r="E1139" t="s">
        <v>56</v>
      </c>
      <c r="F1139" t="s">
        <v>57</v>
      </c>
      <c r="G1139" s="6">
        <v>6</v>
      </c>
      <c r="H1139" s="4">
        <v>111.43</v>
      </c>
      <c r="I1139" s="4">
        <v>68.64</v>
      </c>
      <c r="J1139" s="5">
        <v>0</v>
      </c>
      <c r="K1139" s="6">
        <v>3</v>
      </c>
      <c r="L1139" s="6">
        <v>5</v>
      </c>
      <c r="M1139" t="s">
        <v>58</v>
      </c>
      <c r="N1139" t="s">
        <v>87</v>
      </c>
      <c r="O1139" t="s">
        <v>64</v>
      </c>
    </row>
    <row r="1140" spans="1:15">
      <c r="A1140" t="s">
        <v>1236</v>
      </c>
      <c r="B1140" s="3">
        <v>45786</v>
      </c>
      <c r="C1140" t="s">
        <v>78</v>
      </c>
      <c r="D1140" t="s">
        <v>62</v>
      </c>
      <c r="E1140" t="s">
        <v>56</v>
      </c>
      <c r="F1140" t="s">
        <v>57</v>
      </c>
      <c r="G1140" s="6">
        <v>1</v>
      </c>
      <c r="H1140" s="4">
        <v>110.91</v>
      </c>
      <c r="I1140" s="4">
        <v>69.64</v>
      </c>
      <c r="J1140" s="5">
        <v>0</v>
      </c>
      <c r="K1140" s="6">
        <v>3</v>
      </c>
      <c r="L1140" s="6">
        <v>4</v>
      </c>
      <c r="M1140" t="s">
        <v>58</v>
      </c>
      <c r="N1140" t="s">
        <v>59</v>
      </c>
      <c r="O1140" t="s">
        <v>64</v>
      </c>
    </row>
    <row r="1141" spans="1:15">
      <c r="A1141" t="s">
        <v>1237</v>
      </c>
      <c r="B1141" s="3">
        <v>45884</v>
      </c>
      <c r="C1141" t="s">
        <v>66</v>
      </c>
      <c r="D1141" t="s">
        <v>62</v>
      </c>
      <c r="E1141" t="s">
        <v>75</v>
      </c>
      <c r="F1141" t="s">
        <v>76</v>
      </c>
      <c r="G1141" s="6">
        <v>2</v>
      </c>
      <c r="H1141" s="4">
        <v>121.42</v>
      </c>
      <c r="I1141" s="4">
        <v>75.41</v>
      </c>
      <c r="J1141" s="5">
        <v>0.05</v>
      </c>
      <c r="K1141" s="6">
        <v>0</v>
      </c>
      <c r="L1141" s="6">
        <v>4</v>
      </c>
      <c r="M1141" t="s">
        <v>58</v>
      </c>
      <c r="N1141" t="s">
        <v>69</v>
      </c>
      <c r="O1141" t="s">
        <v>64</v>
      </c>
    </row>
    <row r="1142" spans="1:15">
      <c r="A1142" t="s">
        <v>1238</v>
      </c>
      <c r="B1142" s="3">
        <v>46010</v>
      </c>
      <c r="C1142" t="s">
        <v>66</v>
      </c>
      <c r="E1142" t="s">
        <v>56</v>
      </c>
      <c r="F1142" t="s">
        <v>63</v>
      </c>
      <c r="G1142" s="6">
        <v>1</v>
      </c>
      <c r="H1142" s="4">
        <v>40.729999999999997</v>
      </c>
      <c r="I1142" s="4">
        <v>19.940000000000001</v>
      </c>
      <c r="J1142" s="5">
        <v>0.2</v>
      </c>
      <c r="K1142" s="6">
        <v>0</v>
      </c>
      <c r="L1142" s="6">
        <v>5</v>
      </c>
      <c r="M1142" t="s">
        <v>58</v>
      </c>
      <c r="N1142" t="s">
        <v>69</v>
      </c>
      <c r="O1142" t="s">
        <v>64</v>
      </c>
    </row>
    <row r="1143" spans="1:15">
      <c r="A1143" t="s">
        <v>1239</v>
      </c>
      <c r="B1143" s="3">
        <v>45688</v>
      </c>
      <c r="C1143" t="s">
        <v>66</v>
      </c>
      <c r="D1143" t="s">
        <v>55</v>
      </c>
      <c r="E1143" t="s">
        <v>67</v>
      </c>
      <c r="F1143" t="s">
        <v>94</v>
      </c>
      <c r="G1143" s="6">
        <v>3</v>
      </c>
      <c r="H1143" s="4">
        <v>36.04</v>
      </c>
      <c r="I1143" s="4">
        <v>16.8</v>
      </c>
      <c r="J1143" s="5">
        <v>0.1</v>
      </c>
      <c r="K1143" s="6">
        <v>3</v>
      </c>
      <c r="L1143" s="6">
        <v>4</v>
      </c>
      <c r="M1143" t="s">
        <v>58</v>
      </c>
      <c r="N1143" t="s">
        <v>59</v>
      </c>
      <c r="O1143" t="s">
        <v>64</v>
      </c>
    </row>
    <row r="1144" spans="1:15">
      <c r="A1144" t="s">
        <v>1240</v>
      </c>
      <c r="B1144" s="3">
        <v>45989</v>
      </c>
      <c r="C1144" t="s">
        <v>78</v>
      </c>
      <c r="D1144" t="s">
        <v>62</v>
      </c>
      <c r="E1144" t="s">
        <v>56</v>
      </c>
      <c r="F1144" t="s">
        <v>89</v>
      </c>
      <c r="G1144" s="6">
        <v>1</v>
      </c>
      <c r="H1144" s="4">
        <v>78.89</v>
      </c>
      <c r="I1144" s="4">
        <v>43.79</v>
      </c>
      <c r="J1144" s="5">
        <v>0.1</v>
      </c>
      <c r="K1144" s="6">
        <v>0</v>
      </c>
      <c r="L1144" s="6">
        <v>4</v>
      </c>
      <c r="M1144" t="s">
        <v>58</v>
      </c>
      <c r="N1144" t="s">
        <v>69</v>
      </c>
      <c r="O1144" t="s">
        <v>60</v>
      </c>
    </row>
    <row r="1145" spans="1:15">
      <c r="A1145" t="s">
        <v>1241</v>
      </c>
      <c r="B1145" s="3">
        <v>45819</v>
      </c>
      <c r="C1145" t="s">
        <v>54</v>
      </c>
      <c r="D1145" t="s">
        <v>55</v>
      </c>
      <c r="E1145" t="s">
        <v>67</v>
      </c>
      <c r="F1145" t="s">
        <v>107</v>
      </c>
      <c r="G1145" s="6">
        <v>1</v>
      </c>
      <c r="H1145" s="4">
        <v>45.63</v>
      </c>
      <c r="I1145" s="4">
        <v>20.38</v>
      </c>
      <c r="J1145" s="5">
        <v>0.1</v>
      </c>
      <c r="K1145" s="6">
        <v>3</v>
      </c>
      <c r="L1145" s="6">
        <v>5</v>
      </c>
      <c r="M1145" t="s">
        <v>58</v>
      </c>
      <c r="N1145" t="s">
        <v>59</v>
      </c>
      <c r="O1145" t="s">
        <v>60</v>
      </c>
    </row>
    <row r="1146" spans="1:15">
      <c r="A1146" t="s">
        <v>1242</v>
      </c>
      <c r="B1146" s="3">
        <v>45997</v>
      </c>
      <c r="C1146" t="s">
        <v>78</v>
      </c>
      <c r="D1146" t="s">
        <v>62</v>
      </c>
      <c r="E1146" t="s">
        <v>67</v>
      </c>
      <c r="F1146" t="s">
        <v>71</v>
      </c>
      <c r="G1146" s="6">
        <v>2</v>
      </c>
      <c r="H1146" s="4">
        <v>72.25</v>
      </c>
      <c r="I1146" s="4">
        <v>36.97</v>
      </c>
      <c r="J1146" s="5">
        <v>0.05</v>
      </c>
      <c r="K1146" s="6">
        <v>3</v>
      </c>
      <c r="L1146" s="6">
        <v>3</v>
      </c>
      <c r="M1146" t="s">
        <v>126</v>
      </c>
      <c r="N1146" t="s">
        <v>87</v>
      </c>
      <c r="O1146" t="s">
        <v>64</v>
      </c>
    </row>
    <row r="1147" spans="1:15">
      <c r="A1147" t="s">
        <v>1243</v>
      </c>
      <c r="B1147" s="3">
        <v>45781</v>
      </c>
      <c r="C1147" t="s">
        <v>54</v>
      </c>
      <c r="D1147" t="s">
        <v>55</v>
      </c>
      <c r="E1147" t="s">
        <v>67</v>
      </c>
      <c r="F1147" t="s">
        <v>71</v>
      </c>
      <c r="G1147" s="6">
        <v>1</v>
      </c>
      <c r="H1147" s="4">
        <v>68.150000000000006</v>
      </c>
      <c r="I1147" s="4">
        <v>39.01</v>
      </c>
      <c r="J1147" s="5">
        <v>0</v>
      </c>
      <c r="K1147" s="6">
        <v>4</v>
      </c>
      <c r="L1147" s="6">
        <v>5</v>
      </c>
      <c r="M1147" t="s">
        <v>58</v>
      </c>
      <c r="N1147" t="s">
        <v>59</v>
      </c>
      <c r="O1147" t="s">
        <v>60</v>
      </c>
    </row>
    <row r="1148" spans="1:15">
      <c r="A1148" t="s">
        <v>1244</v>
      </c>
      <c r="B1148" s="3">
        <v>45977</v>
      </c>
      <c r="C1148" t="s">
        <v>82</v>
      </c>
      <c r="D1148" t="s">
        <v>62</v>
      </c>
      <c r="E1148" t="s">
        <v>79</v>
      </c>
      <c r="F1148" t="s">
        <v>80</v>
      </c>
      <c r="G1148" s="6">
        <v>3</v>
      </c>
      <c r="H1148" s="4">
        <v>73.67</v>
      </c>
      <c r="I1148" s="4">
        <v>45.08</v>
      </c>
      <c r="J1148" s="5">
        <v>0.1</v>
      </c>
      <c r="K1148" s="6">
        <v>5</v>
      </c>
      <c r="L1148" s="6">
        <v>5</v>
      </c>
      <c r="M1148" t="s">
        <v>58</v>
      </c>
      <c r="N1148" t="s">
        <v>87</v>
      </c>
      <c r="O1148" t="s">
        <v>73</v>
      </c>
    </row>
    <row r="1149" spans="1:15">
      <c r="A1149" t="s">
        <v>1245</v>
      </c>
      <c r="B1149" s="3">
        <v>45936</v>
      </c>
      <c r="C1149" t="s">
        <v>66</v>
      </c>
      <c r="D1149" t="s">
        <v>55</v>
      </c>
      <c r="E1149" t="s">
        <v>67</v>
      </c>
      <c r="F1149" t="s">
        <v>68</v>
      </c>
      <c r="G1149" s="6">
        <v>5</v>
      </c>
      <c r="H1149" s="4">
        <v>39.200000000000003</v>
      </c>
      <c r="I1149" s="4">
        <v>18.670000000000002</v>
      </c>
      <c r="J1149" s="5">
        <v>0</v>
      </c>
      <c r="K1149" s="6">
        <v>1</v>
      </c>
      <c r="L1149" s="6">
        <v>4</v>
      </c>
      <c r="M1149" t="s">
        <v>58</v>
      </c>
      <c r="N1149" t="s">
        <v>69</v>
      </c>
      <c r="O1149" t="s">
        <v>64</v>
      </c>
    </row>
    <row r="1150" spans="1:15">
      <c r="A1150" t="s">
        <v>1246</v>
      </c>
      <c r="B1150" s="3">
        <v>45666</v>
      </c>
      <c r="C1150" t="s">
        <v>82</v>
      </c>
      <c r="D1150" t="s">
        <v>55</v>
      </c>
      <c r="E1150" t="s">
        <v>75</v>
      </c>
      <c r="F1150" t="s">
        <v>110</v>
      </c>
      <c r="G1150" s="6">
        <v>1</v>
      </c>
      <c r="H1150" s="4">
        <v>156.83000000000001</v>
      </c>
      <c r="I1150" s="4">
        <v>99.36</v>
      </c>
      <c r="J1150" s="5">
        <v>0.05</v>
      </c>
      <c r="K1150" s="6">
        <v>5</v>
      </c>
      <c r="L1150" s="6">
        <v>3</v>
      </c>
      <c r="M1150" t="s">
        <v>126</v>
      </c>
      <c r="N1150" t="s">
        <v>59</v>
      </c>
      <c r="O1150" t="s">
        <v>64</v>
      </c>
    </row>
    <row r="1151" spans="1:15">
      <c r="A1151" t="s">
        <v>1247</v>
      </c>
      <c r="B1151" s="3">
        <v>46006</v>
      </c>
      <c r="C1151" t="s">
        <v>66</v>
      </c>
      <c r="D1151" t="s">
        <v>129</v>
      </c>
      <c r="E1151" t="s">
        <v>75</v>
      </c>
      <c r="F1151" t="s">
        <v>97</v>
      </c>
      <c r="G1151" s="6">
        <v>6</v>
      </c>
      <c r="H1151" s="4">
        <v>87.99</v>
      </c>
      <c r="I1151" s="4">
        <v>55.56</v>
      </c>
      <c r="J1151" s="5">
        <v>0.1</v>
      </c>
      <c r="K1151" s="6">
        <v>3</v>
      </c>
      <c r="L1151" s="6">
        <v>4</v>
      </c>
      <c r="M1151" t="s">
        <v>126</v>
      </c>
      <c r="N1151" t="s">
        <v>69</v>
      </c>
      <c r="O1151" t="s">
        <v>64</v>
      </c>
    </row>
    <row r="1152" spans="1:15">
      <c r="A1152" t="s">
        <v>1248</v>
      </c>
      <c r="B1152" s="3">
        <v>45782</v>
      </c>
      <c r="C1152" t="s">
        <v>54</v>
      </c>
      <c r="D1152" t="s">
        <v>129</v>
      </c>
      <c r="E1152" t="s">
        <v>67</v>
      </c>
      <c r="F1152" t="s">
        <v>71</v>
      </c>
      <c r="G1152" s="6">
        <v>6</v>
      </c>
      <c r="H1152" s="4">
        <v>71.34</v>
      </c>
      <c r="I1152" s="4">
        <v>39.76</v>
      </c>
      <c r="J1152" s="5">
        <v>0.05</v>
      </c>
      <c r="K1152" s="6">
        <v>1</v>
      </c>
      <c r="L1152" s="6"/>
      <c r="M1152" t="s">
        <v>58</v>
      </c>
      <c r="N1152" t="s">
        <v>59</v>
      </c>
      <c r="O1152" t="s">
        <v>64</v>
      </c>
    </row>
    <row r="1153" spans="1:15">
      <c r="A1153" t="s">
        <v>1249</v>
      </c>
      <c r="B1153" s="3">
        <v>45826</v>
      </c>
      <c r="C1153" t="s">
        <v>78</v>
      </c>
      <c r="D1153" t="s">
        <v>55</v>
      </c>
      <c r="E1153" t="s">
        <v>56</v>
      </c>
      <c r="F1153" t="s">
        <v>83</v>
      </c>
      <c r="G1153" s="6">
        <v>4</v>
      </c>
      <c r="H1153" s="4">
        <v>65.97</v>
      </c>
      <c r="I1153" s="4">
        <v>34.33</v>
      </c>
      <c r="J1153" s="5">
        <v>0.1</v>
      </c>
      <c r="K1153" s="6">
        <v>0</v>
      </c>
      <c r="L1153" s="6"/>
      <c r="M1153" t="s">
        <v>58</v>
      </c>
      <c r="N1153" t="s">
        <v>69</v>
      </c>
      <c r="O1153" t="s">
        <v>64</v>
      </c>
    </row>
    <row r="1154" spans="1:15">
      <c r="A1154" t="s">
        <v>1250</v>
      </c>
      <c r="B1154" s="3">
        <v>46016</v>
      </c>
      <c r="C1154" t="s">
        <v>78</v>
      </c>
      <c r="D1154" t="s">
        <v>62</v>
      </c>
      <c r="E1154" t="s">
        <v>79</v>
      </c>
      <c r="F1154" t="s">
        <v>92</v>
      </c>
      <c r="G1154" s="6">
        <v>2</v>
      </c>
      <c r="H1154" s="4">
        <v>51.48</v>
      </c>
      <c r="I1154" s="4">
        <v>27.08</v>
      </c>
      <c r="J1154" s="5">
        <v>0.05</v>
      </c>
      <c r="K1154" s="6">
        <v>0</v>
      </c>
      <c r="L1154" s="6">
        <v>4</v>
      </c>
      <c r="M1154" t="s">
        <v>58</v>
      </c>
      <c r="N1154" t="s">
        <v>69</v>
      </c>
      <c r="O1154" t="s">
        <v>60</v>
      </c>
    </row>
    <row r="1155" spans="1:15">
      <c r="A1155" t="s">
        <v>1251</v>
      </c>
      <c r="B1155" s="3">
        <v>45971</v>
      </c>
      <c r="C1155" t="s">
        <v>66</v>
      </c>
      <c r="D1155" t="s">
        <v>55</v>
      </c>
      <c r="E1155" t="s">
        <v>56</v>
      </c>
      <c r="F1155" t="s">
        <v>57</v>
      </c>
      <c r="G1155" s="6">
        <v>1</v>
      </c>
      <c r="H1155" s="4">
        <v>112.11</v>
      </c>
      <c r="I1155" s="4">
        <v>69.540000000000006</v>
      </c>
      <c r="J1155" s="5">
        <v>0.15000000000000002</v>
      </c>
      <c r="K1155" s="6">
        <v>4</v>
      </c>
      <c r="L1155" s="6">
        <v>5</v>
      </c>
      <c r="M1155" t="s">
        <v>58</v>
      </c>
      <c r="N1155" t="s">
        <v>59</v>
      </c>
      <c r="O1155" t="s">
        <v>64</v>
      </c>
    </row>
    <row r="1156" spans="1:15">
      <c r="A1156" t="s">
        <v>1252</v>
      </c>
      <c r="B1156" s="3">
        <v>46005</v>
      </c>
      <c r="C1156" t="s">
        <v>66</v>
      </c>
      <c r="D1156" t="s">
        <v>62</v>
      </c>
      <c r="E1156" t="s">
        <v>67</v>
      </c>
      <c r="F1156" t="s">
        <v>94</v>
      </c>
      <c r="G1156" s="6">
        <v>1</v>
      </c>
      <c r="H1156" s="4">
        <v>34.770000000000003</v>
      </c>
      <c r="I1156" s="4">
        <v>17.34</v>
      </c>
      <c r="J1156" s="5">
        <v>0.15000000000000002</v>
      </c>
      <c r="K1156" s="6">
        <v>5</v>
      </c>
      <c r="L1156" s="6">
        <v>5</v>
      </c>
      <c r="M1156" t="s">
        <v>58</v>
      </c>
      <c r="N1156" t="s">
        <v>59</v>
      </c>
      <c r="O1156" t="s">
        <v>64</v>
      </c>
    </row>
    <row r="1157" spans="1:15">
      <c r="A1157" t="s">
        <v>1253</v>
      </c>
      <c r="B1157" s="3">
        <v>45707</v>
      </c>
      <c r="C1157" t="s">
        <v>66</v>
      </c>
      <c r="D1157" t="s">
        <v>129</v>
      </c>
      <c r="E1157" t="s">
        <v>56</v>
      </c>
      <c r="F1157" t="s">
        <v>89</v>
      </c>
      <c r="G1157" s="6">
        <v>6</v>
      </c>
      <c r="H1157" s="4">
        <v>79.430000000000007</v>
      </c>
      <c r="I1157" s="4">
        <v>44.03</v>
      </c>
      <c r="J1157" s="5">
        <v>0.1</v>
      </c>
      <c r="K1157" s="6">
        <v>4</v>
      </c>
      <c r="L1157" s="6">
        <v>3</v>
      </c>
      <c r="M1157" t="s">
        <v>126</v>
      </c>
      <c r="N1157" t="s">
        <v>69</v>
      </c>
      <c r="O1157" t="s">
        <v>73</v>
      </c>
    </row>
    <row r="1158" spans="1:15">
      <c r="A1158" t="s">
        <v>1254</v>
      </c>
      <c r="B1158" s="3">
        <v>45714</v>
      </c>
      <c r="C1158" t="s">
        <v>78</v>
      </c>
      <c r="D1158" t="s">
        <v>62</v>
      </c>
      <c r="E1158" t="s">
        <v>67</v>
      </c>
      <c r="F1158" t="s">
        <v>107</v>
      </c>
      <c r="G1158" s="6">
        <v>2</v>
      </c>
      <c r="H1158" s="4">
        <v>45.64</v>
      </c>
      <c r="I1158" s="4">
        <v>21.4</v>
      </c>
      <c r="J1158" s="5">
        <v>0</v>
      </c>
      <c r="K1158" s="6">
        <v>3</v>
      </c>
      <c r="L1158" s="6">
        <v>4</v>
      </c>
      <c r="M1158" t="s">
        <v>58</v>
      </c>
      <c r="N1158" t="s">
        <v>59</v>
      </c>
      <c r="O1158" t="s">
        <v>64</v>
      </c>
    </row>
    <row r="1159" spans="1:15">
      <c r="A1159" t="s">
        <v>1255</v>
      </c>
      <c r="B1159" s="3">
        <v>45765</v>
      </c>
      <c r="C1159" t="s">
        <v>78</v>
      </c>
      <c r="D1159" t="s">
        <v>62</v>
      </c>
      <c r="E1159" t="s">
        <v>67</v>
      </c>
      <c r="F1159" t="s">
        <v>71</v>
      </c>
      <c r="G1159" s="6">
        <v>1</v>
      </c>
      <c r="H1159" s="4">
        <v>71.11</v>
      </c>
      <c r="I1159" s="4">
        <v>37.24</v>
      </c>
      <c r="J1159" s="5">
        <v>0</v>
      </c>
      <c r="K1159" s="6">
        <v>5</v>
      </c>
      <c r="L1159" s="6">
        <v>4</v>
      </c>
      <c r="M1159" t="s">
        <v>58</v>
      </c>
      <c r="N1159" t="s">
        <v>87</v>
      </c>
      <c r="O1159" t="s">
        <v>64</v>
      </c>
    </row>
    <row r="1160" spans="1:15">
      <c r="A1160" t="s">
        <v>1256</v>
      </c>
      <c r="B1160" s="3">
        <v>45802</v>
      </c>
      <c r="C1160" t="s">
        <v>78</v>
      </c>
      <c r="D1160" t="s">
        <v>55</v>
      </c>
      <c r="E1160" t="s">
        <v>56</v>
      </c>
      <c r="F1160" t="s">
        <v>57</v>
      </c>
      <c r="G1160" s="6">
        <v>4</v>
      </c>
      <c r="H1160" s="4">
        <v>113.82</v>
      </c>
      <c r="I1160" s="4">
        <v>70.3</v>
      </c>
      <c r="J1160" s="5">
        <v>0</v>
      </c>
      <c r="K1160" s="6">
        <v>2</v>
      </c>
      <c r="L1160" s="6">
        <v>4</v>
      </c>
      <c r="M1160" t="s">
        <v>58</v>
      </c>
      <c r="N1160" t="s">
        <v>59</v>
      </c>
      <c r="O1160" t="s">
        <v>64</v>
      </c>
    </row>
    <row r="1161" spans="1:15">
      <c r="A1161" t="s">
        <v>1257</v>
      </c>
      <c r="B1161" s="3">
        <v>45966</v>
      </c>
      <c r="C1161" t="s">
        <v>78</v>
      </c>
      <c r="D1161" t="s">
        <v>55</v>
      </c>
      <c r="E1161" t="s">
        <v>56</v>
      </c>
      <c r="F1161" t="s">
        <v>83</v>
      </c>
      <c r="G1161" s="6">
        <v>5</v>
      </c>
      <c r="H1161" s="4">
        <v>64.66</v>
      </c>
      <c r="I1161" s="4">
        <v>35.04</v>
      </c>
      <c r="J1161" s="5">
        <v>0.1</v>
      </c>
      <c r="K1161" s="6">
        <v>4</v>
      </c>
      <c r="L1161" s="6">
        <v>4</v>
      </c>
      <c r="M1161" t="s">
        <v>58</v>
      </c>
      <c r="N1161" t="s">
        <v>59</v>
      </c>
      <c r="O1161" t="s">
        <v>64</v>
      </c>
    </row>
    <row r="1162" spans="1:15">
      <c r="A1162" t="s">
        <v>1258</v>
      </c>
      <c r="B1162" s="3">
        <v>45993</v>
      </c>
      <c r="C1162" t="s">
        <v>78</v>
      </c>
      <c r="D1162" t="s">
        <v>62</v>
      </c>
      <c r="E1162" t="s">
        <v>79</v>
      </c>
      <c r="F1162" t="s">
        <v>115</v>
      </c>
      <c r="G1162" s="6">
        <v>1</v>
      </c>
      <c r="H1162" s="4">
        <v>61.29</v>
      </c>
      <c r="I1162" s="4">
        <v>34.71</v>
      </c>
      <c r="J1162" s="5">
        <v>0.05</v>
      </c>
      <c r="K1162" s="6">
        <v>3</v>
      </c>
      <c r="L1162" s="6">
        <v>4</v>
      </c>
      <c r="M1162" t="s">
        <v>58</v>
      </c>
      <c r="N1162" t="s">
        <v>59</v>
      </c>
      <c r="O1162" t="s">
        <v>64</v>
      </c>
    </row>
    <row r="1163" spans="1:15">
      <c r="A1163" t="s">
        <v>1259</v>
      </c>
      <c r="B1163" s="3">
        <v>45697</v>
      </c>
      <c r="C1163" t="s">
        <v>66</v>
      </c>
      <c r="D1163" t="s">
        <v>62</v>
      </c>
      <c r="E1163" t="s">
        <v>79</v>
      </c>
      <c r="F1163" t="s">
        <v>80</v>
      </c>
      <c r="G1163" s="6">
        <v>2</v>
      </c>
      <c r="H1163" s="4">
        <v>77.22</v>
      </c>
      <c r="I1163" s="4">
        <v>42.16</v>
      </c>
      <c r="J1163" s="5">
        <v>0.1</v>
      </c>
      <c r="K1163" s="6">
        <v>1</v>
      </c>
      <c r="L1163" s="6">
        <v>4</v>
      </c>
      <c r="M1163" t="s">
        <v>58</v>
      </c>
      <c r="N1163" t="s">
        <v>59</v>
      </c>
      <c r="O1163" t="s">
        <v>60</v>
      </c>
    </row>
    <row r="1164" spans="1:15">
      <c r="A1164" t="s">
        <v>1260</v>
      </c>
      <c r="B1164" s="3">
        <v>45948</v>
      </c>
      <c r="C1164" t="s">
        <v>54</v>
      </c>
      <c r="D1164" t="s">
        <v>62</v>
      </c>
      <c r="E1164" t="s">
        <v>79</v>
      </c>
      <c r="F1164" t="s">
        <v>115</v>
      </c>
      <c r="G1164" s="6">
        <v>1</v>
      </c>
      <c r="H1164" s="4">
        <v>59.73</v>
      </c>
      <c r="I1164" s="4">
        <v>35.43</v>
      </c>
      <c r="J1164" s="5">
        <v>0</v>
      </c>
      <c r="K1164" s="6">
        <v>2</v>
      </c>
      <c r="L1164" s="6">
        <v>4</v>
      </c>
      <c r="M1164" t="s">
        <v>58</v>
      </c>
      <c r="N1164" t="s">
        <v>59</v>
      </c>
      <c r="O1164" t="s">
        <v>64</v>
      </c>
    </row>
    <row r="1165" spans="1:15">
      <c r="A1165" t="s">
        <v>1261</v>
      </c>
      <c r="B1165" s="3">
        <v>45920</v>
      </c>
      <c r="C1165" t="s">
        <v>78</v>
      </c>
      <c r="D1165" t="s">
        <v>62</v>
      </c>
      <c r="E1165" t="s">
        <v>67</v>
      </c>
      <c r="F1165" t="s">
        <v>68</v>
      </c>
      <c r="G1165" s="6">
        <v>2</v>
      </c>
      <c r="H1165" s="4">
        <v>41.16</v>
      </c>
      <c r="I1165" s="4">
        <v>19.84</v>
      </c>
      <c r="J1165" s="5">
        <v>0.05</v>
      </c>
      <c r="K1165" s="6">
        <v>4</v>
      </c>
      <c r="L1165" s="6">
        <v>5</v>
      </c>
      <c r="M1165" t="s">
        <v>58</v>
      </c>
      <c r="N1165" t="s">
        <v>87</v>
      </c>
      <c r="O1165" t="s">
        <v>73</v>
      </c>
    </row>
    <row r="1166" spans="1:15">
      <c r="A1166" t="s">
        <v>1262</v>
      </c>
      <c r="B1166" s="3">
        <v>45796</v>
      </c>
      <c r="C1166" t="s">
        <v>78</v>
      </c>
      <c r="D1166" t="s">
        <v>55</v>
      </c>
      <c r="E1166" t="s">
        <v>67</v>
      </c>
      <c r="F1166" t="s">
        <v>71</v>
      </c>
      <c r="G1166" s="6">
        <v>3</v>
      </c>
      <c r="H1166" s="4">
        <v>71.13</v>
      </c>
      <c r="I1166" s="4">
        <v>39.61</v>
      </c>
      <c r="J1166" s="5">
        <v>0</v>
      </c>
      <c r="K1166" s="6">
        <v>0</v>
      </c>
      <c r="L1166" s="6">
        <v>5</v>
      </c>
      <c r="M1166" t="s">
        <v>58</v>
      </c>
      <c r="N1166" t="s">
        <v>69</v>
      </c>
      <c r="O1166" t="s">
        <v>73</v>
      </c>
    </row>
    <row r="1167" spans="1:15">
      <c r="A1167" t="s">
        <v>1263</v>
      </c>
      <c r="B1167" s="3">
        <v>45732</v>
      </c>
      <c r="C1167" t="s">
        <v>82</v>
      </c>
      <c r="D1167" t="s">
        <v>55</v>
      </c>
      <c r="E1167" t="s">
        <v>56</v>
      </c>
      <c r="F1167" t="s">
        <v>83</v>
      </c>
      <c r="G1167" s="6">
        <v>2</v>
      </c>
      <c r="H1167" s="4">
        <v>64.349999999999994</v>
      </c>
      <c r="I1167" s="4">
        <v>35.29</v>
      </c>
      <c r="J1167" s="5">
        <v>0.05</v>
      </c>
      <c r="K1167" s="6">
        <v>4</v>
      </c>
      <c r="L1167" s="6">
        <v>4</v>
      </c>
      <c r="M1167" t="s">
        <v>58</v>
      </c>
      <c r="N1167" t="s">
        <v>59</v>
      </c>
      <c r="O1167" t="s">
        <v>64</v>
      </c>
    </row>
    <row r="1168" spans="1:15">
      <c r="A1168" t="s">
        <v>1264</v>
      </c>
      <c r="B1168" s="3">
        <v>45905</v>
      </c>
      <c r="C1168" t="s">
        <v>78</v>
      </c>
      <c r="D1168" t="s">
        <v>62</v>
      </c>
      <c r="E1168" t="s">
        <v>79</v>
      </c>
      <c r="F1168" t="s">
        <v>92</v>
      </c>
      <c r="G1168" s="6">
        <v>1</v>
      </c>
      <c r="H1168" s="4">
        <v>50.51</v>
      </c>
      <c r="I1168" s="4">
        <v>27.08</v>
      </c>
      <c r="J1168" s="5">
        <v>0.1</v>
      </c>
      <c r="K1168" s="6">
        <v>5</v>
      </c>
      <c r="L1168" s="6">
        <v>4</v>
      </c>
      <c r="M1168" t="s">
        <v>58</v>
      </c>
      <c r="N1168" t="s">
        <v>59</v>
      </c>
      <c r="O1168" t="s">
        <v>64</v>
      </c>
    </row>
    <row r="1169" spans="1:15">
      <c r="A1169" t="s">
        <v>1265</v>
      </c>
      <c r="B1169" s="3">
        <v>46022</v>
      </c>
      <c r="C1169" t="s">
        <v>54</v>
      </c>
      <c r="D1169" t="s">
        <v>62</v>
      </c>
      <c r="E1169" t="s">
        <v>56</v>
      </c>
      <c r="F1169" t="s">
        <v>63</v>
      </c>
      <c r="G1169" s="6">
        <v>1</v>
      </c>
      <c r="H1169" s="4">
        <v>41.16</v>
      </c>
      <c r="I1169" s="4">
        <v>19.88</v>
      </c>
      <c r="J1169" s="5">
        <v>0.1</v>
      </c>
      <c r="K1169" s="6">
        <v>4</v>
      </c>
      <c r="L1169" s="6">
        <v>4</v>
      </c>
      <c r="M1169" t="s">
        <v>58</v>
      </c>
      <c r="N1169" t="s">
        <v>59</v>
      </c>
      <c r="O1169" t="s">
        <v>64</v>
      </c>
    </row>
    <row r="1170" spans="1:15">
      <c r="A1170" t="s">
        <v>1266</v>
      </c>
      <c r="B1170" s="3">
        <v>45927</v>
      </c>
      <c r="C1170" t="s">
        <v>66</v>
      </c>
      <c r="D1170" t="s">
        <v>62</v>
      </c>
      <c r="E1170" t="s">
        <v>67</v>
      </c>
      <c r="F1170" t="s">
        <v>68</v>
      </c>
      <c r="G1170" s="6">
        <v>1</v>
      </c>
      <c r="H1170" s="4">
        <v>39.07</v>
      </c>
      <c r="I1170" s="4">
        <v>19.010000000000002</v>
      </c>
      <c r="J1170" s="5">
        <v>0.05</v>
      </c>
      <c r="K1170" s="6">
        <v>3</v>
      </c>
      <c r="L1170" s="6">
        <v>4</v>
      </c>
      <c r="M1170" t="s">
        <v>58</v>
      </c>
      <c r="N1170" t="s">
        <v>69</v>
      </c>
      <c r="O1170" t="s">
        <v>60</v>
      </c>
    </row>
    <row r="1171" spans="1:15">
      <c r="A1171" t="s">
        <v>1267</v>
      </c>
      <c r="B1171" s="3">
        <v>45832</v>
      </c>
      <c r="C1171" t="s">
        <v>54</v>
      </c>
      <c r="D1171" t="s">
        <v>62</v>
      </c>
      <c r="E1171" t="s">
        <v>75</v>
      </c>
      <c r="F1171" t="s">
        <v>110</v>
      </c>
      <c r="G1171" s="6">
        <v>2</v>
      </c>
      <c r="H1171" s="4">
        <v>162.44</v>
      </c>
      <c r="I1171" s="4">
        <v>98.36</v>
      </c>
      <c r="J1171" s="5">
        <v>0.05</v>
      </c>
      <c r="K1171" s="6">
        <v>4</v>
      </c>
      <c r="L1171" s="6">
        <v>3</v>
      </c>
      <c r="M1171" t="s">
        <v>126</v>
      </c>
      <c r="N1171" t="s">
        <v>69</v>
      </c>
      <c r="O1171" t="s">
        <v>60</v>
      </c>
    </row>
    <row r="1172" spans="1:15">
      <c r="A1172" t="s">
        <v>1268</v>
      </c>
      <c r="B1172" s="3">
        <v>46022</v>
      </c>
      <c r="C1172" t="s">
        <v>78</v>
      </c>
      <c r="D1172" t="s">
        <v>62</v>
      </c>
      <c r="E1172" t="s">
        <v>79</v>
      </c>
      <c r="F1172" t="s">
        <v>115</v>
      </c>
      <c r="G1172" s="6">
        <v>1</v>
      </c>
      <c r="H1172" s="4">
        <v>62.31</v>
      </c>
      <c r="I1172" s="4">
        <v>35.369999999999997</v>
      </c>
      <c r="J1172" s="5">
        <v>0</v>
      </c>
      <c r="K1172" s="6">
        <v>0</v>
      </c>
      <c r="L1172" s="6">
        <v>5</v>
      </c>
      <c r="M1172" t="s">
        <v>58</v>
      </c>
      <c r="N1172" t="s">
        <v>69</v>
      </c>
      <c r="O1172" t="s">
        <v>60</v>
      </c>
    </row>
    <row r="1173" spans="1:15">
      <c r="A1173" t="s">
        <v>1269</v>
      </c>
      <c r="B1173" s="3">
        <v>45737</v>
      </c>
      <c r="C1173" t="s">
        <v>54</v>
      </c>
      <c r="D1173" t="s">
        <v>62</v>
      </c>
      <c r="E1173" t="s">
        <v>67</v>
      </c>
      <c r="F1173" t="s">
        <v>94</v>
      </c>
      <c r="G1173" s="6">
        <v>3</v>
      </c>
      <c r="H1173" s="4">
        <v>34.590000000000003</v>
      </c>
      <c r="I1173" s="4">
        <v>17.53</v>
      </c>
      <c r="J1173" s="5">
        <v>0</v>
      </c>
      <c r="K1173" s="6">
        <v>0</v>
      </c>
      <c r="L1173" s="6">
        <v>4</v>
      </c>
      <c r="M1173" t="s">
        <v>58</v>
      </c>
      <c r="N1173" t="s">
        <v>69</v>
      </c>
      <c r="O1173" t="s">
        <v>64</v>
      </c>
    </row>
    <row r="1174" spans="1:15">
      <c r="A1174" t="s">
        <v>1270</v>
      </c>
      <c r="B1174" s="3">
        <v>45732</v>
      </c>
      <c r="C1174" t="s">
        <v>78</v>
      </c>
      <c r="D1174" t="s">
        <v>55</v>
      </c>
      <c r="E1174" t="s">
        <v>79</v>
      </c>
      <c r="F1174" t="s">
        <v>115</v>
      </c>
      <c r="G1174" s="6">
        <v>4</v>
      </c>
      <c r="H1174" s="4">
        <v>58.75</v>
      </c>
      <c r="I1174" s="4">
        <v>33.99</v>
      </c>
      <c r="J1174" s="5">
        <v>0</v>
      </c>
      <c r="K1174" s="6">
        <v>3</v>
      </c>
      <c r="L1174" s="6">
        <v>5</v>
      </c>
      <c r="M1174" t="s">
        <v>58</v>
      </c>
      <c r="N1174" t="s">
        <v>59</v>
      </c>
      <c r="O1174" t="s">
        <v>64</v>
      </c>
    </row>
    <row r="1175" spans="1:15">
      <c r="A1175" t="s">
        <v>1271</v>
      </c>
      <c r="B1175" s="3">
        <v>45806</v>
      </c>
      <c r="C1175" t="s">
        <v>54</v>
      </c>
      <c r="D1175" t="s">
        <v>62</v>
      </c>
      <c r="E1175" t="s">
        <v>79</v>
      </c>
      <c r="F1175" t="s">
        <v>85</v>
      </c>
      <c r="G1175" s="6">
        <v>2</v>
      </c>
      <c r="H1175" s="4">
        <v>135.07</v>
      </c>
      <c r="I1175" s="4">
        <v>86</v>
      </c>
      <c r="J1175" s="5">
        <v>0</v>
      </c>
      <c r="K1175" s="6">
        <v>0</v>
      </c>
      <c r="L1175" s="6">
        <v>4</v>
      </c>
      <c r="M1175" t="s">
        <v>58</v>
      </c>
      <c r="N1175" t="s">
        <v>69</v>
      </c>
      <c r="O1175" t="s">
        <v>73</v>
      </c>
    </row>
    <row r="1176" spans="1:15">
      <c r="A1176" t="s">
        <v>1272</v>
      </c>
      <c r="B1176" s="3">
        <v>45897</v>
      </c>
      <c r="C1176" t="s">
        <v>66</v>
      </c>
      <c r="D1176" t="s">
        <v>129</v>
      </c>
      <c r="E1176" t="s">
        <v>79</v>
      </c>
      <c r="F1176" t="s">
        <v>115</v>
      </c>
      <c r="G1176" s="6">
        <v>10</v>
      </c>
      <c r="H1176" s="4">
        <v>62.37</v>
      </c>
      <c r="I1176" s="4">
        <v>35.200000000000003</v>
      </c>
      <c r="J1176" s="5">
        <v>0.05</v>
      </c>
      <c r="K1176" s="6">
        <v>2</v>
      </c>
      <c r="L1176" s="6">
        <v>5</v>
      </c>
      <c r="M1176" t="s">
        <v>58</v>
      </c>
      <c r="N1176" t="s">
        <v>87</v>
      </c>
      <c r="O1176" t="s">
        <v>64</v>
      </c>
    </row>
    <row r="1177" spans="1:15">
      <c r="A1177" t="s">
        <v>1273</v>
      </c>
      <c r="B1177" s="3">
        <v>45996</v>
      </c>
      <c r="C1177" t="s">
        <v>82</v>
      </c>
      <c r="D1177" t="s">
        <v>55</v>
      </c>
      <c r="E1177" t="s">
        <v>67</v>
      </c>
      <c r="F1177" t="s">
        <v>68</v>
      </c>
      <c r="G1177" s="6">
        <v>2</v>
      </c>
      <c r="H1177" s="4">
        <v>40.74</v>
      </c>
      <c r="I1177" s="4">
        <v>19.399999999999999</v>
      </c>
      <c r="J1177" s="5">
        <v>0.15000000000000002</v>
      </c>
      <c r="K1177" s="6">
        <v>2</v>
      </c>
      <c r="L1177" s="6">
        <v>5</v>
      </c>
      <c r="M1177" t="s">
        <v>58</v>
      </c>
      <c r="N1177" t="s">
        <v>59</v>
      </c>
      <c r="O1177" t="s">
        <v>64</v>
      </c>
    </row>
    <row r="1178" spans="1:15">
      <c r="A1178" t="s">
        <v>1274</v>
      </c>
      <c r="B1178" s="3">
        <v>45838</v>
      </c>
      <c r="C1178" t="s">
        <v>78</v>
      </c>
      <c r="D1178" t="s">
        <v>62</v>
      </c>
      <c r="E1178" t="s">
        <v>67</v>
      </c>
      <c r="F1178" t="s">
        <v>68</v>
      </c>
      <c r="G1178" s="6">
        <v>1</v>
      </c>
      <c r="H1178" s="4">
        <v>41.06</v>
      </c>
      <c r="I1178" s="4">
        <v>18.87</v>
      </c>
      <c r="J1178" s="5">
        <v>0</v>
      </c>
      <c r="K1178" s="6">
        <v>2</v>
      </c>
      <c r="L1178" s="6">
        <v>4</v>
      </c>
      <c r="M1178" t="s">
        <v>58</v>
      </c>
      <c r="N1178" t="s">
        <v>59</v>
      </c>
      <c r="O1178" t="s">
        <v>64</v>
      </c>
    </row>
    <row r="1179" spans="1:15">
      <c r="A1179" t="s">
        <v>1275</v>
      </c>
      <c r="B1179" s="3">
        <v>45734</v>
      </c>
      <c r="C1179" t="s">
        <v>78</v>
      </c>
      <c r="D1179" t="s">
        <v>62</v>
      </c>
      <c r="E1179" t="s">
        <v>56</v>
      </c>
      <c r="F1179" t="s">
        <v>83</v>
      </c>
      <c r="G1179" s="6">
        <v>1</v>
      </c>
      <c r="H1179" s="4">
        <v>64.47</v>
      </c>
      <c r="I1179" s="4">
        <v>34.520000000000003</v>
      </c>
      <c r="J1179" s="5">
        <v>0</v>
      </c>
      <c r="K1179" s="6">
        <v>4</v>
      </c>
      <c r="L1179" s="6">
        <v>5</v>
      </c>
      <c r="M1179" t="s">
        <v>58</v>
      </c>
      <c r="N1179" t="s">
        <v>69</v>
      </c>
      <c r="O1179" t="s">
        <v>60</v>
      </c>
    </row>
    <row r="1180" spans="1:15">
      <c r="A1180" t="s">
        <v>1276</v>
      </c>
      <c r="B1180" s="3">
        <v>45951</v>
      </c>
      <c r="C1180" t="s">
        <v>78</v>
      </c>
      <c r="D1180" t="s">
        <v>55</v>
      </c>
      <c r="E1180" t="s">
        <v>75</v>
      </c>
      <c r="F1180" t="s">
        <v>110</v>
      </c>
      <c r="G1180" s="6">
        <v>4</v>
      </c>
      <c r="H1180" s="4">
        <v>164.16</v>
      </c>
      <c r="I1180" s="4">
        <v>101.26</v>
      </c>
      <c r="J1180" s="5">
        <v>0.05</v>
      </c>
      <c r="K1180" s="6">
        <v>5</v>
      </c>
      <c r="L1180" s="6">
        <v>4</v>
      </c>
      <c r="M1180" t="s">
        <v>58</v>
      </c>
      <c r="N1180" t="s">
        <v>59</v>
      </c>
      <c r="O1180" t="s">
        <v>73</v>
      </c>
    </row>
    <row r="1181" spans="1:15">
      <c r="A1181" t="s">
        <v>1277</v>
      </c>
      <c r="B1181" s="3">
        <v>45749</v>
      </c>
      <c r="C1181" t="s">
        <v>66</v>
      </c>
      <c r="D1181" t="s">
        <v>62</v>
      </c>
      <c r="E1181" t="s">
        <v>79</v>
      </c>
      <c r="F1181" t="s">
        <v>92</v>
      </c>
      <c r="G1181" s="6">
        <v>1</v>
      </c>
      <c r="H1181" s="4">
        <v>49.19</v>
      </c>
      <c r="I1181" s="4">
        <v>25.67</v>
      </c>
      <c r="J1181" s="5">
        <v>0.15000000000000002</v>
      </c>
      <c r="K1181" s="6">
        <v>3</v>
      </c>
      <c r="L1181" s="6">
        <v>4</v>
      </c>
      <c r="M1181" t="s">
        <v>58</v>
      </c>
      <c r="N1181" t="s">
        <v>59</v>
      </c>
      <c r="O1181" t="s">
        <v>64</v>
      </c>
    </row>
    <row r="1182" spans="1:15">
      <c r="A1182" t="s">
        <v>1278</v>
      </c>
      <c r="B1182" s="3">
        <v>45990</v>
      </c>
      <c r="C1182" t="s">
        <v>54</v>
      </c>
      <c r="D1182" t="s">
        <v>62</v>
      </c>
      <c r="E1182" t="s">
        <v>56</v>
      </c>
      <c r="F1182" t="s">
        <v>83</v>
      </c>
      <c r="G1182" s="6">
        <v>2</v>
      </c>
      <c r="H1182" s="4">
        <v>64.989999999999995</v>
      </c>
      <c r="I1182" s="4">
        <v>35.6</v>
      </c>
      <c r="J1182" s="5">
        <v>0.15000000000000002</v>
      </c>
      <c r="K1182" s="6">
        <v>2</v>
      </c>
      <c r="L1182" s="6">
        <v>5</v>
      </c>
      <c r="M1182" t="s">
        <v>58</v>
      </c>
      <c r="N1182" t="s">
        <v>59</v>
      </c>
      <c r="O1182" t="s">
        <v>64</v>
      </c>
    </row>
    <row r="1183" spans="1:15">
      <c r="A1183" t="s">
        <v>1279</v>
      </c>
      <c r="B1183" s="3">
        <v>45856</v>
      </c>
      <c r="C1183" t="s">
        <v>82</v>
      </c>
      <c r="D1183" t="s">
        <v>62</v>
      </c>
      <c r="E1183" t="s">
        <v>67</v>
      </c>
      <c r="F1183" t="s">
        <v>68</v>
      </c>
      <c r="G1183" s="6">
        <v>2</v>
      </c>
      <c r="H1183" s="4">
        <v>40.909999999999997</v>
      </c>
      <c r="I1183" s="4">
        <v>18.5</v>
      </c>
      <c r="J1183" s="5">
        <v>0.05</v>
      </c>
      <c r="K1183" s="6">
        <v>2</v>
      </c>
      <c r="L1183" s="6">
        <v>4</v>
      </c>
      <c r="M1183" t="s">
        <v>58</v>
      </c>
      <c r="N1183" t="s">
        <v>69</v>
      </c>
      <c r="O1183" t="s">
        <v>64</v>
      </c>
    </row>
    <row r="1184" spans="1:15">
      <c r="A1184" t="s">
        <v>1280</v>
      </c>
      <c r="B1184" s="3">
        <v>45897</v>
      </c>
      <c r="C1184" t="s">
        <v>66</v>
      </c>
      <c r="D1184" t="s">
        <v>62</v>
      </c>
      <c r="E1184" t="s">
        <v>67</v>
      </c>
      <c r="F1184" t="s">
        <v>94</v>
      </c>
      <c r="G1184" s="6">
        <v>1</v>
      </c>
      <c r="H1184" s="4">
        <v>34.74</v>
      </c>
      <c r="I1184" s="4">
        <v>17.38</v>
      </c>
      <c r="J1184" s="5">
        <v>0</v>
      </c>
      <c r="K1184" s="6">
        <v>3</v>
      </c>
      <c r="L1184" s="6">
        <v>4</v>
      </c>
      <c r="M1184" t="s">
        <v>58</v>
      </c>
      <c r="N1184" t="s">
        <v>69</v>
      </c>
      <c r="O1184" t="s">
        <v>64</v>
      </c>
    </row>
    <row r="1185" spans="1:15">
      <c r="A1185" t="s">
        <v>1281</v>
      </c>
      <c r="B1185" s="3">
        <v>45817</v>
      </c>
      <c r="C1185" t="s">
        <v>78</v>
      </c>
      <c r="D1185" t="s">
        <v>62</v>
      </c>
      <c r="E1185" t="s">
        <v>79</v>
      </c>
      <c r="F1185" t="s">
        <v>115</v>
      </c>
      <c r="G1185" s="6">
        <v>1</v>
      </c>
      <c r="H1185" s="4">
        <v>59.5</v>
      </c>
      <c r="I1185" s="4">
        <v>33.36</v>
      </c>
      <c r="J1185" s="5">
        <v>0</v>
      </c>
      <c r="K1185" s="6">
        <v>3</v>
      </c>
      <c r="L1185" s="6">
        <v>3</v>
      </c>
      <c r="M1185" t="s">
        <v>126</v>
      </c>
      <c r="N1185" t="s">
        <v>59</v>
      </c>
      <c r="O1185" t="s">
        <v>64</v>
      </c>
    </row>
    <row r="1186" spans="1:15">
      <c r="A1186" t="s">
        <v>1282</v>
      </c>
      <c r="B1186" s="3">
        <v>45814</v>
      </c>
      <c r="C1186" t="s">
        <v>66</v>
      </c>
      <c r="D1186" t="s">
        <v>55</v>
      </c>
      <c r="E1186" t="s">
        <v>67</v>
      </c>
      <c r="F1186" t="s">
        <v>71</v>
      </c>
      <c r="G1186" s="6">
        <v>3</v>
      </c>
      <c r="H1186" s="4">
        <v>70.36</v>
      </c>
      <c r="I1186" s="4">
        <v>39.65</v>
      </c>
      <c r="J1186" s="5">
        <v>0</v>
      </c>
      <c r="K1186" s="6">
        <v>4</v>
      </c>
      <c r="L1186" s="6">
        <v>5</v>
      </c>
      <c r="M1186" t="s">
        <v>58</v>
      </c>
      <c r="N1186" t="s">
        <v>59</v>
      </c>
      <c r="O1186" t="s">
        <v>64</v>
      </c>
    </row>
    <row r="1187" spans="1:15">
      <c r="A1187" t="s">
        <v>1283</v>
      </c>
      <c r="B1187" s="3">
        <v>45960</v>
      </c>
      <c r="C1187" t="s">
        <v>66</v>
      </c>
      <c r="D1187" t="s">
        <v>62</v>
      </c>
      <c r="E1187" t="s">
        <v>79</v>
      </c>
      <c r="F1187" t="s">
        <v>85</v>
      </c>
      <c r="G1187" s="6">
        <v>3</v>
      </c>
      <c r="H1187" s="4">
        <v>130.88</v>
      </c>
      <c r="I1187" s="4">
        <v>83.24</v>
      </c>
      <c r="J1187" s="5">
        <v>0</v>
      </c>
      <c r="K1187" s="6">
        <v>2</v>
      </c>
      <c r="L1187" s="6">
        <v>4</v>
      </c>
      <c r="M1187" t="s">
        <v>58</v>
      </c>
      <c r="N1187" t="s">
        <v>59</v>
      </c>
      <c r="O1187" t="s">
        <v>60</v>
      </c>
    </row>
    <row r="1188" spans="1:15">
      <c r="A1188" t="s">
        <v>1284</v>
      </c>
      <c r="B1188" s="3">
        <v>45992</v>
      </c>
      <c r="C1188" t="s">
        <v>82</v>
      </c>
      <c r="D1188" t="s">
        <v>62</v>
      </c>
      <c r="E1188" t="s">
        <v>79</v>
      </c>
      <c r="F1188" t="s">
        <v>80</v>
      </c>
      <c r="G1188" s="6">
        <v>4</v>
      </c>
      <c r="H1188" s="4">
        <v>77.040000000000006</v>
      </c>
      <c r="I1188" s="4">
        <v>44.31</v>
      </c>
      <c r="J1188" s="5">
        <v>0.15000000000000002</v>
      </c>
      <c r="K1188" s="6">
        <v>3</v>
      </c>
      <c r="L1188" s="6">
        <v>4</v>
      </c>
      <c r="M1188" t="s">
        <v>58</v>
      </c>
      <c r="N1188" t="s">
        <v>59</v>
      </c>
      <c r="O1188" t="s">
        <v>64</v>
      </c>
    </row>
    <row r="1189" spans="1:15">
      <c r="A1189" t="s">
        <v>1285</v>
      </c>
      <c r="B1189" s="3">
        <v>45865</v>
      </c>
      <c r="C1189" t="s">
        <v>54</v>
      </c>
      <c r="D1189" t="s">
        <v>62</v>
      </c>
      <c r="E1189" t="s">
        <v>75</v>
      </c>
      <c r="F1189" t="s">
        <v>76</v>
      </c>
      <c r="G1189" s="6">
        <v>1</v>
      </c>
      <c r="H1189" s="4">
        <v>118.63</v>
      </c>
      <c r="I1189" s="4">
        <v>71.540000000000006</v>
      </c>
      <c r="J1189" s="5">
        <v>0</v>
      </c>
      <c r="K1189" s="6">
        <v>7</v>
      </c>
      <c r="L1189" s="6">
        <v>3</v>
      </c>
      <c r="M1189" t="s">
        <v>58</v>
      </c>
      <c r="N1189" t="s">
        <v>59</v>
      </c>
      <c r="O1189" t="s">
        <v>64</v>
      </c>
    </row>
    <row r="1190" spans="1:15">
      <c r="A1190" t="s">
        <v>1286</v>
      </c>
      <c r="B1190" s="3">
        <v>45738</v>
      </c>
      <c r="C1190" t="s">
        <v>66</v>
      </c>
      <c r="D1190" t="s">
        <v>55</v>
      </c>
      <c r="E1190" t="s">
        <v>79</v>
      </c>
      <c r="F1190" t="s">
        <v>115</v>
      </c>
      <c r="G1190" s="6">
        <v>2</v>
      </c>
      <c r="H1190" s="4">
        <v>62.09</v>
      </c>
      <c r="I1190" s="4">
        <v>35.18</v>
      </c>
      <c r="J1190" s="5">
        <v>0.1</v>
      </c>
      <c r="K1190" s="6">
        <v>4</v>
      </c>
      <c r="L1190" s="6">
        <v>3</v>
      </c>
      <c r="M1190" t="s">
        <v>126</v>
      </c>
      <c r="N1190" t="s">
        <v>59</v>
      </c>
      <c r="O1190" t="s">
        <v>64</v>
      </c>
    </row>
    <row r="1191" spans="1:15">
      <c r="A1191" t="s">
        <v>1287</v>
      </c>
      <c r="B1191" s="3">
        <v>45840</v>
      </c>
      <c r="C1191" t="s">
        <v>82</v>
      </c>
      <c r="D1191" t="s">
        <v>62</v>
      </c>
      <c r="E1191" t="s">
        <v>56</v>
      </c>
      <c r="F1191" t="s">
        <v>57</v>
      </c>
      <c r="G1191" s="6">
        <v>1</v>
      </c>
      <c r="H1191" s="4">
        <v>111.19</v>
      </c>
      <c r="I1191" s="4">
        <v>68.11</v>
      </c>
      <c r="J1191" s="5">
        <v>0.1</v>
      </c>
      <c r="K1191" s="6">
        <v>3</v>
      </c>
      <c r="L1191" s="6">
        <v>4</v>
      </c>
      <c r="M1191" t="s">
        <v>58</v>
      </c>
      <c r="N1191" t="s">
        <v>69</v>
      </c>
      <c r="O1191" t="s">
        <v>64</v>
      </c>
    </row>
    <row r="1192" spans="1:15">
      <c r="A1192" t="s">
        <v>143</v>
      </c>
      <c r="B1192" s="3">
        <v>45960</v>
      </c>
      <c r="C1192" t="s">
        <v>66</v>
      </c>
      <c r="D1192" t="s">
        <v>55</v>
      </c>
      <c r="E1192" t="s">
        <v>56</v>
      </c>
      <c r="F1192" t="s">
        <v>83</v>
      </c>
      <c r="G1192" s="6">
        <v>2</v>
      </c>
      <c r="H1192" s="4">
        <v>65.459999999999994</v>
      </c>
      <c r="I1192" s="4">
        <v>34.200000000000003</v>
      </c>
      <c r="J1192" s="5">
        <v>0.2</v>
      </c>
      <c r="K1192" s="6">
        <v>2</v>
      </c>
      <c r="L1192" s="6">
        <v>4</v>
      </c>
      <c r="M1192" t="s">
        <v>58</v>
      </c>
      <c r="N1192" t="s">
        <v>69</v>
      </c>
      <c r="O1192" t="s">
        <v>64</v>
      </c>
    </row>
    <row r="1193" spans="1:15">
      <c r="A1193" t="s">
        <v>1288</v>
      </c>
      <c r="B1193" s="3">
        <v>45936</v>
      </c>
      <c r="C1193" t="s">
        <v>78</v>
      </c>
      <c r="D1193" t="s">
        <v>62</v>
      </c>
      <c r="E1193" t="s">
        <v>79</v>
      </c>
      <c r="F1193" t="s">
        <v>115</v>
      </c>
      <c r="G1193" s="6">
        <v>2</v>
      </c>
      <c r="H1193" s="4">
        <v>59.07</v>
      </c>
      <c r="I1193" s="4">
        <v>34.25</v>
      </c>
      <c r="J1193" s="5">
        <v>0</v>
      </c>
      <c r="K1193" s="6">
        <v>6</v>
      </c>
      <c r="L1193" s="6">
        <v>4</v>
      </c>
      <c r="M1193" t="s">
        <v>58</v>
      </c>
      <c r="N1193" t="s">
        <v>87</v>
      </c>
      <c r="O1193" t="s">
        <v>60</v>
      </c>
    </row>
    <row r="1194" spans="1:15">
      <c r="A1194" t="s">
        <v>1289</v>
      </c>
      <c r="B1194" s="3">
        <v>45930</v>
      </c>
      <c r="C1194" t="s">
        <v>82</v>
      </c>
      <c r="D1194" t="s">
        <v>129</v>
      </c>
      <c r="E1194" t="s">
        <v>56</v>
      </c>
      <c r="F1194" t="s">
        <v>89</v>
      </c>
      <c r="G1194" s="6">
        <v>6</v>
      </c>
      <c r="H1194" s="4">
        <v>82.74</v>
      </c>
      <c r="I1194" s="4">
        <v>44.82</v>
      </c>
      <c r="J1194" s="5">
        <v>0.05</v>
      </c>
      <c r="K1194" s="6">
        <v>3</v>
      </c>
      <c r="L1194" s="6">
        <v>4</v>
      </c>
      <c r="M1194" t="s">
        <v>58</v>
      </c>
      <c r="N1194" t="s">
        <v>59</v>
      </c>
      <c r="O1194" t="s">
        <v>60</v>
      </c>
    </row>
    <row r="1195" spans="1:15">
      <c r="A1195" t="s">
        <v>1290</v>
      </c>
      <c r="B1195" s="3">
        <v>45694</v>
      </c>
      <c r="C1195" t="s">
        <v>78</v>
      </c>
      <c r="D1195" t="s">
        <v>55</v>
      </c>
      <c r="E1195" t="s">
        <v>67</v>
      </c>
      <c r="F1195" t="s">
        <v>107</v>
      </c>
      <c r="G1195" s="6">
        <v>1</v>
      </c>
      <c r="H1195" s="4">
        <v>46.46</v>
      </c>
      <c r="I1195" s="4">
        <v>20.82</v>
      </c>
      <c r="J1195" s="5">
        <v>0.05</v>
      </c>
      <c r="K1195" s="6">
        <v>1</v>
      </c>
      <c r="L1195" s="6">
        <v>5</v>
      </c>
      <c r="M1195" t="s">
        <v>58</v>
      </c>
      <c r="N1195" t="s">
        <v>87</v>
      </c>
      <c r="O1195" t="s">
        <v>64</v>
      </c>
    </row>
    <row r="1196" spans="1:15">
      <c r="A1196" t="s">
        <v>1291</v>
      </c>
      <c r="B1196" s="3">
        <v>45925</v>
      </c>
      <c r="C1196" t="s">
        <v>78</v>
      </c>
      <c r="D1196" t="s">
        <v>55</v>
      </c>
      <c r="E1196" t="s">
        <v>56</v>
      </c>
      <c r="F1196" t="s">
        <v>63</v>
      </c>
      <c r="G1196" s="6">
        <v>4</v>
      </c>
      <c r="H1196" s="4">
        <v>40.04</v>
      </c>
      <c r="I1196" s="4">
        <v>20.99</v>
      </c>
      <c r="J1196" s="5">
        <v>0</v>
      </c>
      <c r="K1196" s="6">
        <v>3</v>
      </c>
      <c r="L1196" s="6">
        <v>5</v>
      </c>
      <c r="M1196" t="s">
        <v>58</v>
      </c>
      <c r="N1196" t="s">
        <v>59</v>
      </c>
      <c r="O1196" t="s">
        <v>73</v>
      </c>
    </row>
    <row r="1197" spans="1:15">
      <c r="A1197" t="s">
        <v>1292</v>
      </c>
      <c r="B1197" s="3">
        <v>45658</v>
      </c>
      <c r="C1197" t="s">
        <v>78</v>
      </c>
      <c r="D1197" t="s">
        <v>62</v>
      </c>
      <c r="E1197" t="s">
        <v>79</v>
      </c>
      <c r="F1197" t="s">
        <v>80</v>
      </c>
      <c r="G1197" s="6">
        <v>1</v>
      </c>
      <c r="H1197" s="4">
        <v>73.02</v>
      </c>
      <c r="I1197" s="4">
        <v>44.35</v>
      </c>
      <c r="J1197" s="5">
        <v>0.05</v>
      </c>
      <c r="K1197" s="6">
        <v>2</v>
      </c>
      <c r="L1197" s="6">
        <v>4</v>
      </c>
      <c r="M1197" t="s">
        <v>58</v>
      </c>
      <c r="N1197" t="s">
        <v>59</v>
      </c>
      <c r="O1197" t="s">
        <v>60</v>
      </c>
    </row>
    <row r="1198" spans="1:15">
      <c r="A1198" t="s">
        <v>1293</v>
      </c>
      <c r="B1198" s="3">
        <v>45719</v>
      </c>
      <c r="C1198" t="s">
        <v>82</v>
      </c>
      <c r="D1198" t="s">
        <v>62</v>
      </c>
      <c r="E1198" t="s">
        <v>56</v>
      </c>
      <c r="F1198" t="s">
        <v>63</v>
      </c>
      <c r="G1198" s="6">
        <v>4</v>
      </c>
      <c r="H1198" s="4">
        <v>40.53</v>
      </c>
      <c r="I1198" s="4">
        <v>20.83</v>
      </c>
      <c r="J1198" s="5">
        <v>0.1</v>
      </c>
      <c r="K1198" s="6">
        <v>6</v>
      </c>
      <c r="L1198" s="6">
        <v>4</v>
      </c>
      <c r="M1198" t="s">
        <v>58</v>
      </c>
      <c r="N1198" t="s">
        <v>59</v>
      </c>
      <c r="O1198" t="s">
        <v>60</v>
      </c>
    </row>
    <row r="1199" spans="1:15">
      <c r="A1199" t="s">
        <v>1294</v>
      </c>
      <c r="B1199" s="3">
        <v>45900</v>
      </c>
      <c r="C1199" t="s">
        <v>54</v>
      </c>
      <c r="D1199" t="s">
        <v>55</v>
      </c>
      <c r="E1199" t="s">
        <v>56</v>
      </c>
      <c r="F1199" t="s">
        <v>89</v>
      </c>
      <c r="G1199" s="6">
        <v>3</v>
      </c>
      <c r="H1199" s="4">
        <v>81.3</v>
      </c>
      <c r="I1199" s="4">
        <v>45.81</v>
      </c>
      <c r="J1199" s="5">
        <v>0.05</v>
      </c>
      <c r="K1199" s="6">
        <v>4</v>
      </c>
      <c r="L1199" s="6">
        <v>4</v>
      </c>
      <c r="M1199" t="s">
        <v>126</v>
      </c>
      <c r="N1199" t="s">
        <v>59</v>
      </c>
      <c r="O1199" t="s">
        <v>64</v>
      </c>
    </row>
    <row r="1200" spans="1:15">
      <c r="A1200" t="s">
        <v>1295</v>
      </c>
      <c r="B1200" s="3">
        <v>45883</v>
      </c>
      <c r="C1200" t="s">
        <v>66</v>
      </c>
      <c r="D1200" t="s">
        <v>55</v>
      </c>
      <c r="E1200" t="s">
        <v>75</v>
      </c>
      <c r="F1200" t="s">
        <v>110</v>
      </c>
      <c r="G1200" s="6">
        <v>4</v>
      </c>
      <c r="H1200" s="4">
        <v>164.46</v>
      </c>
      <c r="I1200" s="4">
        <v>100.04</v>
      </c>
      <c r="J1200" s="5">
        <v>0</v>
      </c>
      <c r="K1200" s="6">
        <v>6</v>
      </c>
      <c r="L1200" s="6">
        <v>4</v>
      </c>
      <c r="M1200" t="s">
        <v>58</v>
      </c>
      <c r="N1200" t="s">
        <v>59</v>
      </c>
      <c r="O1200" t="s">
        <v>64</v>
      </c>
    </row>
    <row r="1201" spans="1:15">
      <c r="A1201" t="s">
        <v>1296</v>
      </c>
      <c r="B1201" s="3">
        <v>46016</v>
      </c>
      <c r="C1201" t="s">
        <v>82</v>
      </c>
      <c r="D1201" t="s">
        <v>62</v>
      </c>
      <c r="E1201" t="s">
        <v>67</v>
      </c>
      <c r="F1201" t="s">
        <v>107</v>
      </c>
      <c r="G1201" s="6">
        <v>2</v>
      </c>
      <c r="H1201" s="4">
        <v>45.1</v>
      </c>
      <c r="I1201" s="4">
        <v>21.04</v>
      </c>
      <c r="J1201" s="5">
        <v>0.1</v>
      </c>
      <c r="K1201" s="6">
        <v>3</v>
      </c>
      <c r="L1201" s="6">
        <v>4</v>
      </c>
      <c r="M1201" t="s">
        <v>58</v>
      </c>
      <c r="N1201" t="s">
        <v>59</v>
      </c>
      <c r="O1201" t="s">
        <v>64</v>
      </c>
    </row>
    <row r="1202" spans="1:15">
      <c r="A1202" t="s">
        <v>1297</v>
      </c>
      <c r="B1202" s="3">
        <v>45946</v>
      </c>
      <c r="C1202" t="s">
        <v>82</v>
      </c>
      <c r="D1202" t="s">
        <v>55</v>
      </c>
      <c r="E1202" t="s">
        <v>79</v>
      </c>
      <c r="F1202" t="s">
        <v>92</v>
      </c>
      <c r="G1202" s="6">
        <v>4</v>
      </c>
      <c r="H1202" s="4">
        <v>48.78</v>
      </c>
      <c r="I1202" s="4">
        <v>26.04</v>
      </c>
      <c r="J1202" s="5">
        <v>0</v>
      </c>
      <c r="K1202" s="6">
        <v>3</v>
      </c>
      <c r="L1202" s="6">
        <v>4</v>
      </c>
      <c r="M1202" t="s">
        <v>58</v>
      </c>
      <c r="N1202" t="s">
        <v>87</v>
      </c>
      <c r="O1202" t="s">
        <v>60</v>
      </c>
    </row>
    <row r="1203" spans="1:15">
      <c r="A1203" t="s">
        <v>1298</v>
      </c>
      <c r="B1203" s="3">
        <v>45745</v>
      </c>
      <c r="C1203" t="s">
        <v>66</v>
      </c>
      <c r="D1203" t="s">
        <v>62</v>
      </c>
      <c r="E1203" t="s">
        <v>56</v>
      </c>
      <c r="F1203" t="s">
        <v>89</v>
      </c>
      <c r="G1203" s="6">
        <v>1</v>
      </c>
      <c r="H1203" s="4">
        <v>82.13</v>
      </c>
      <c r="I1203" s="4">
        <v>46.07</v>
      </c>
      <c r="J1203" s="5">
        <v>0.1</v>
      </c>
      <c r="K1203" s="6">
        <v>7</v>
      </c>
      <c r="L1203" s="6">
        <v>4</v>
      </c>
      <c r="M1203" t="s">
        <v>58</v>
      </c>
      <c r="N1203" t="s">
        <v>59</v>
      </c>
      <c r="O1203" t="s">
        <v>64</v>
      </c>
    </row>
    <row r="1204" spans="1:15">
      <c r="A1204" t="s">
        <v>1299</v>
      </c>
      <c r="B1204" s="3">
        <v>45830</v>
      </c>
      <c r="C1204" t="s">
        <v>54</v>
      </c>
      <c r="D1204" t="s">
        <v>62</v>
      </c>
      <c r="E1204" t="s">
        <v>79</v>
      </c>
      <c r="F1204" t="s">
        <v>80</v>
      </c>
      <c r="G1204" s="6">
        <v>3</v>
      </c>
      <c r="H1204" s="4">
        <v>76.22</v>
      </c>
      <c r="I1204" s="4">
        <v>44.26</v>
      </c>
      <c r="J1204" s="5">
        <v>0</v>
      </c>
      <c r="K1204" s="6">
        <v>3</v>
      </c>
      <c r="L1204" s="6">
        <v>4</v>
      </c>
      <c r="M1204" t="s">
        <v>58</v>
      </c>
      <c r="N1204" t="s">
        <v>59</v>
      </c>
      <c r="O1204" t="s">
        <v>64</v>
      </c>
    </row>
    <row r="1205" spans="1:15">
      <c r="A1205" t="s">
        <v>1300</v>
      </c>
      <c r="B1205" s="3">
        <v>45915</v>
      </c>
      <c r="C1205" t="s">
        <v>82</v>
      </c>
      <c r="D1205" t="s">
        <v>62</v>
      </c>
      <c r="E1205" t="s">
        <v>67</v>
      </c>
      <c r="F1205" t="s">
        <v>94</v>
      </c>
      <c r="G1205" s="6">
        <v>1</v>
      </c>
      <c r="H1205" s="4">
        <v>35.119999999999997</v>
      </c>
      <c r="I1205" s="4">
        <v>17.3</v>
      </c>
      <c r="J1205" s="5">
        <v>0.05</v>
      </c>
      <c r="K1205" s="6">
        <v>0</v>
      </c>
      <c r="L1205" s="6">
        <v>4</v>
      </c>
      <c r="M1205" t="s">
        <v>58</v>
      </c>
      <c r="N1205" t="s">
        <v>69</v>
      </c>
      <c r="O1205" t="s">
        <v>64</v>
      </c>
    </row>
    <row r="1206" spans="1:15">
      <c r="A1206" t="s">
        <v>1301</v>
      </c>
      <c r="B1206" s="3">
        <v>45682</v>
      </c>
      <c r="C1206" t="s">
        <v>54</v>
      </c>
      <c r="D1206" t="s">
        <v>55</v>
      </c>
      <c r="E1206" t="s">
        <v>79</v>
      </c>
      <c r="F1206" t="s">
        <v>80</v>
      </c>
      <c r="G1206" s="6">
        <v>3</v>
      </c>
      <c r="H1206" s="4">
        <v>73.290000000000006</v>
      </c>
      <c r="I1206" s="4">
        <v>42.79</v>
      </c>
      <c r="J1206" s="5">
        <v>0.1</v>
      </c>
      <c r="K1206" s="6">
        <v>4</v>
      </c>
      <c r="L1206" s="6">
        <v>4</v>
      </c>
      <c r="M1206" t="s">
        <v>58</v>
      </c>
      <c r="N1206" t="s">
        <v>59</v>
      </c>
      <c r="O1206" t="s">
        <v>64</v>
      </c>
    </row>
    <row r="1207" spans="1:15">
      <c r="A1207" t="s">
        <v>1302</v>
      </c>
      <c r="B1207" s="3">
        <v>45717</v>
      </c>
      <c r="C1207" t="s">
        <v>66</v>
      </c>
      <c r="D1207" t="s">
        <v>62</v>
      </c>
      <c r="E1207" t="s">
        <v>67</v>
      </c>
      <c r="F1207" t="s">
        <v>71</v>
      </c>
      <c r="G1207" s="6">
        <v>1</v>
      </c>
      <c r="H1207" s="4">
        <v>70.209999999999994</v>
      </c>
      <c r="I1207" s="4">
        <v>38.409999999999997</v>
      </c>
      <c r="J1207" s="5">
        <v>0.15000000000000002</v>
      </c>
      <c r="K1207" s="6">
        <v>1</v>
      </c>
      <c r="L1207" s="6">
        <v>4</v>
      </c>
      <c r="M1207" t="s">
        <v>58</v>
      </c>
      <c r="N1207" t="s">
        <v>69</v>
      </c>
      <c r="O1207" t="s">
        <v>64</v>
      </c>
    </row>
    <row r="1208" spans="1:15">
      <c r="A1208" t="s">
        <v>1303</v>
      </c>
      <c r="B1208" s="3">
        <v>45807</v>
      </c>
      <c r="C1208" t="s">
        <v>66</v>
      </c>
      <c r="D1208" t="s">
        <v>62</v>
      </c>
      <c r="E1208" t="s">
        <v>56</v>
      </c>
      <c r="F1208" t="s">
        <v>57</v>
      </c>
      <c r="G1208" s="6">
        <v>1</v>
      </c>
      <c r="H1208" s="4">
        <v>110.73</v>
      </c>
      <c r="I1208" s="4">
        <v>68.62</v>
      </c>
      <c r="J1208" s="5">
        <v>0.05</v>
      </c>
      <c r="K1208" s="6">
        <v>2</v>
      </c>
      <c r="L1208" s="6">
        <v>5</v>
      </c>
      <c r="M1208" t="s">
        <v>58</v>
      </c>
      <c r="N1208" t="s">
        <v>69</v>
      </c>
      <c r="O1208" t="s">
        <v>64</v>
      </c>
    </row>
    <row r="1209" spans="1:15">
      <c r="A1209" t="s">
        <v>1304</v>
      </c>
      <c r="B1209" s="3">
        <v>45950</v>
      </c>
      <c r="C1209" t="s">
        <v>78</v>
      </c>
      <c r="D1209" t="s">
        <v>129</v>
      </c>
      <c r="E1209" t="s">
        <v>79</v>
      </c>
      <c r="F1209" t="s">
        <v>80</v>
      </c>
      <c r="G1209" s="6">
        <v>5</v>
      </c>
      <c r="H1209" s="4">
        <v>77.12</v>
      </c>
      <c r="I1209" s="4">
        <v>43.47</v>
      </c>
      <c r="J1209" s="5">
        <v>0.1</v>
      </c>
      <c r="K1209" s="6">
        <v>3</v>
      </c>
      <c r="L1209" s="6">
        <v>4</v>
      </c>
      <c r="M1209" t="s">
        <v>58</v>
      </c>
      <c r="N1209" t="s">
        <v>59</v>
      </c>
      <c r="O1209" t="s">
        <v>73</v>
      </c>
    </row>
    <row r="1210" spans="1:15">
      <c r="A1210" t="s">
        <v>1305</v>
      </c>
      <c r="B1210" s="3">
        <v>45681</v>
      </c>
      <c r="C1210" t="s">
        <v>66</v>
      </c>
      <c r="D1210" t="s">
        <v>55</v>
      </c>
      <c r="E1210" t="s">
        <v>79</v>
      </c>
      <c r="F1210" t="s">
        <v>85</v>
      </c>
      <c r="G1210" s="6">
        <v>3</v>
      </c>
      <c r="H1210" s="4">
        <v>133.54</v>
      </c>
      <c r="I1210" s="4">
        <v>82.39</v>
      </c>
      <c r="J1210" s="5">
        <v>0.05</v>
      </c>
      <c r="K1210" s="6">
        <v>4</v>
      </c>
      <c r="L1210" s="6">
        <v>4</v>
      </c>
      <c r="M1210" t="s">
        <v>58</v>
      </c>
      <c r="N1210" t="s">
        <v>87</v>
      </c>
      <c r="O1210" t="s">
        <v>64</v>
      </c>
    </row>
    <row r="1211" spans="1:15">
      <c r="A1211" t="s">
        <v>1306</v>
      </c>
      <c r="B1211" s="3">
        <v>45896</v>
      </c>
      <c r="C1211" t="s">
        <v>54</v>
      </c>
      <c r="D1211" t="s">
        <v>55</v>
      </c>
      <c r="E1211" t="s">
        <v>75</v>
      </c>
      <c r="F1211" t="s">
        <v>110</v>
      </c>
      <c r="G1211" s="6">
        <v>6</v>
      </c>
      <c r="H1211" s="4">
        <v>158.22999999999999</v>
      </c>
      <c r="I1211" s="4">
        <v>104.45</v>
      </c>
      <c r="J1211" s="5">
        <v>0</v>
      </c>
      <c r="K1211" s="6">
        <v>1</v>
      </c>
      <c r="L1211" s="6">
        <v>5</v>
      </c>
      <c r="M1211" t="s">
        <v>58</v>
      </c>
      <c r="N1211" t="s">
        <v>69</v>
      </c>
      <c r="O1211" t="s">
        <v>60</v>
      </c>
    </row>
    <row r="1212" spans="1:15">
      <c r="A1212" t="s">
        <v>1307</v>
      </c>
      <c r="B1212" s="3">
        <v>45697</v>
      </c>
      <c r="C1212" t="s">
        <v>78</v>
      </c>
      <c r="D1212" t="s">
        <v>62</v>
      </c>
      <c r="E1212" t="s">
        <v>75</v>
      </c>
      <c r="F1212" t="s">
        <v>97</v>
      </c>
      <c r="G1212" s="6">
        <v>1</v>
      </c>
      <c r="H1212" s="4">
        <v>91.89</v>
      </c>
      <c r="I1212" s="4">
        <v>54.39</v>
      </c>
      <c r="J1212" s="5">
        <v>0.05</v>
      </c>
      <c r="K1212" s="6">
        <v>1</v>
      </c>
      <c r="L1212" s="6">
        <v>5</v>
      </c>
      <c r="M1212" t="s">
        <v>58</v>
      </c>
      <c r="N1212" t="s">
        <v>69</v>
      </c>
      <c r="O1212" t="s">
        <v>64</v>
      </c>
    </row>
    <row r="1213" spans="1:15">
      <c r="A1213" t="s">
        <v>1308</v>
      </c>
      <c r="B1213" s="3">
        <v>45950</v>
      </c>
      <c r="C1213" t="s">
        <v>82</v>
      </c>
      <c r="D1213" t="s">
        <v>62</v>
      </c>
      <c r="E1213" t="s">
        <v>67</v>
      </c>
      <c r="F1213" t="s">
        <v>107</v>
      </c>
      <c r="G1213" s="6">
        <v>1</v>
      </c>
      <c r="H1213" s="4">
        <v>45.71</v>
      </c>
      <c r="I1213" s="4">
        <v>20.91</v>
      </c>
      <c r="J1213" s="5">
        <v>0</v>
      </c>
      <c r="K1213" s="6">
        <v>5</v>
      </c>
      <c r="L1213" s="6">
        <v>4</v>
      </c>
      <c r="M1213" t="s">
        <v>58</v>
      </c>
      <c r="N1213" t="s">
        <v>59</v>
      </c>
      <c r="O1213" t="s">
        <v>60</v>
      </c>
    </row>
    <row r="1214" spans="1:15">
      <c r="A1214" t="s">
        <v>1309</v>
      </c>
      <c r="B1214" s="3">
        <v>45860</v>
      </c>
      <c r="C1214" t="s">
        <v>66</v>
      </c>
      <c r="D1214" t="s">
        <v>62</v>
      </c>
      <c r="E1214" t="s">
        <v>67</v>
      </c>
      <c r="F1214" t="s">
        <v>71</v>
      </c>
      <c r="G1214" s="6">
        <v>2</v>
      </c>
      <c r="H1214" s="4">
        <v>71.040000000000006</v>
      </c>
      <c r="I1214" s="4">
        <v>38.619999999999997</v>
      </c>
      <c r="J1214" s="5">
        <v>0</v>
      </c>
      <c r="K1214" s="6">
        <v>3</v>
      </c>
      <c r="L1214" s="6">
        <v>5</v>
      </c>
      <c r="M1214" t="s">
        <v>58</v>
      </c>
      <c r="N1214" t="s">
        <v>59</v>
      </c>
      <c r="O1214" t="s">
        <v>73</v>
      </c>
    </row>
    <row r="1215" spans="1:15">
      <c r="A1215" t="s">
        <v>1310</v>
      </c>
      <c r="B1215" s="3">
        <v>45750</v>
      </c>
      <c r="C1215" t="s">
        <v>54</v>
      </c>
      <c r="D1215" t="s">
        <v>62</v>
      </c>
      <c r="E1215" t="s">
        <v>67</v>
      </c>
      <c r="F1215" t="s">
        <v>68</v>
      </c>
      <c r="G1215" s="6">
        <v>1</v>
      </c>
      <c r="H1215" s="4">
        <v>41.59</v>
      </c>
      <c r="I1215" s="4">
        <v>19.09</v>
      </c>
      <c r="J1215" s="5">
        <v>0</v>
      </c>
      <c r="K1215" s="6">
        <v>5</v>
      </c>
      <c r="L1215" s="6">
        <v>3</v>
      </c>
      <c r="M1215" t="s">
        <v>126</v>
      </c>
      <c r="N1215" t="s">
        <v>59</v>
      </c>
      <c r="O1215" t="s">
        <v>64</v>
      </c>
    </row>
    <row r="1216" spans="1:15">
      <c r="A1216" t="s">
        <v>1311</v>
      </c>
      <c r="B1216" s="3">
        <v>45740</v>
      </c>
      <c r="C1216" t="s">
        <v>78</v>
      </c>
      <c r="D1216" t="s">
        <v>129</v>
      </c>
      <c r="E1216" t="s">
        <v>75</v>
      </c>
      <c r="F1216" t="s">
        <v>110</v>
      </c>
      <c r="G1216" s="6">
        <v>5</v>
      </c>
      <c r="H1216" s="4">
        <v>164.05</v>
      </c>
      <c r="I1216" s="4">
        <v>103.16</v>
      </c>
      <c r="J1216" s="5">
        <v>0.05</v>
      </c>
      <c r="K1216" s="6">
        <v>7</v>
      </c>
      <c r="L1216" s="6">
        <v>4</v>
      </c>
      <c r="M1216" t="s">
        <v>58</v>
      </c>
      <c r="N1216" t="s">
        <v>69</v>
      </c>
      <c r="O1216" t="s">
        <v>60</v>
      </c>
    </row>
    <row r="1217" spans="1:15">
      <c r="A1217" t="s">
        <v>1312</v>
      </c>
      <c r="B1217" s="3">
        <v>45783</v>
      </c>
      <c r="C1217" t="s">
        <v>82</v>
      </c>
      <c r="D1217" t="s">
        <v>55</v>
      </c>
      <c r="E1217" t="s">
        <v>79</v>
      </c>
      <c r="F1217" t="s">
        <v>115</v>
      </c>
      <c r="G1217" s="6">
        <v>3</v>
      </c>
      <c r="H1217" s="4">
        <v>59.83</v>
      </c>
      <c r="I1217" s="4">
        <v>35.44</v>
      </c>
      <c r="J1217" s="5">
        <v>0.1</v>
      </c>
      <c r="K1217" s="6">
        <v>3</v>
      </c>
      <c r="L1217" s="6">
        <v>5</v>
      </c>
      <c r="M1217" t="s">
        <v>58</v>
      </c>
      <c r="N1217" t="s">
        <v>69</v>
      </c>
      <c r="O1217" t="s">
        <v>64</v>
      </c>
    </row>
    <row r="1218" spans="1:15">
      <c r="A1218" t="s">
        <v>1313</v>
      </c>
      <c r="B1218" s="3">
        <v>45754</v>
      </c>
      <c r="C1218" t="s">
        <v>78</v>
      </c>
      <c r="D1218" t="s">
        <v>62</v>
      </c>
      <c r="E1218" t="s">
        <v>56</v>
      </c>
      <c r="F1218" t="s">
        <v>57</v>
      </c>
      <c r="G1218" s="6">
        <v>1</v>
      </c>
      <c r="H1218" s="4">
        <v>111.51</v>
      </c>
      <c r="I1218" s="4">
        <v>68.95</v>
      </c>
      <c r="J1218" s="5">
        <v>0.05</v>
      </c>
      <c r="K1218" s="6">
        <v>2</v>
      </c>
      <c r="L1218" s="6">
        <v>5</v>
      </c>
      <c r="M1218" t="s">
        <v>58</v>
      </c>
      <c r="N1218" t="s">
        <v>59</v>
      </c>
      <c r="O1218" t="s">
        <v>64</v>
      </c>
    </row>
    <row r="1219" spans="1:15">
      <c r="A1219" t="s">
        <v>1314</v>
      </c>
      <c r="B1219" s="3">
        <v>45794</v>
      </c>
      <c r="C1219" t="s">
        <v>78</v>
      </c>
      <c r="D1219" t="s">
        <v>55</v>
      </c>
      <c r="E1219" t="s">
        <v>75</v>
      </c>
      <c r="F1219" t="s">
        <v>97</v>
      </c>
      <c r="G1219" s="6">
        <v>2</v>
      </c>
      <c r="H1219" s="4">
        <v>87.6</v>
      </c>
      <c r="I1219" s="4">
        <v>54.49</v>
      </c>
      <c r="J1219" s="5">
        <v>0.05</v>
      </c>
      <c r="K1219" s="6">
        <v>6</v>
      </c>
      <c r="L1219" s="6">
        <v>4</v>
      </c>
      <c r="M1219" t="s">
        <v>58</v>
      </c>
      <c r="N1219" t="s">
        <v>59</v>
      </c>
      <c r="O1219" t="s">
        <v>64</v>
      </c>
    </row>
    <row r="1220" spans="1:15">
      <c r="A1220" t="s">
        <v>1315</v>
      </c>
      <c r="B1220" s="3">
        <v>45669</v>
      </c>
      <c r="C1220" t="s">
        <v>78</v>
      </c>
      <c r="D1220" t="s">
        <v>55</v>
      </c>
      <c r="E1220" t="s">
        <v>67</v>
      </c>
      <c r="F1220" t="s">
        <v>94</v>
      </c>
      <c r="G1220" s="6">
        <v>5</v>
      </c>
      <c r="H1220" s="4">
        <v>34.909999999999997</v>
      </c>
      <c r="I1220" s="4">
        <v>17.399999999999999</v>
      </c>
      <c r="J1220" s="5">
        <v>0.05</v>
      </c>
      <c r="K1220" s="6">
        <v>0</v>
      </c>
      <c r="L1220" s="6">
        <v>5</v>
      </c>
      <c r="M1220" t="s">
        <v>58</v>
      </c>
      <c r="N1220" t="s">
        <v>69</v>
      </c>
      <c r="O1220" t="s">
        <v>64</v>
      </c>
    </row>
    <row r="1221" spans="1:15">
      <c r="A1221" t="s">
        <v>1316</v>
      </c>
      <c r="B1221" s="3">
        <v>45962</v>
      </c>
      <c r="C1221" t="s">
        <v>78</v>
      </c>
      <c r="D1221" t="s">
        <v>62</v>
      </c>
      <c r="E1221" t="s">
        <v>75</v>
      </c>
      <c r="F1221" t="s">
        <v>97</v>
      </c>
      <c r="G1221" s="6">
        <v>3</v>
      </c>
      <c r="H1221" s="4">
        <v>91.53</v>
      </c>
      <c r="I1221" s="4">
        <v>54.56</v>
      </c>
      <c r="J1221" s="5">
        <v>0.1</v>
      </c>
      <c r="K1221" s="6">
        <v>4</v>
      </c>
      <c r="L1221" s="6">
        <v>5</v>
      </c>
      <c r="M1221" t="s">
        <v>58</v>
      </c>
      <c r="N1221" t="s">
        <v>59</v>
      </c>
      <c r="O1221" t="s">
        <v>64</v>
      </c>
    </row>
    <row r="1222" spans="1:15">
      <c r="A1222" t="s">
        <v>1317</v>
      </c>
      <c r="B1222" s="3">
        <v>45962</v>
      </c>
      <c r="C1222" t="s">
        <v>78</v>
      </c>
      <c r="D1222" t="s">
        <v>62</v>
      </c>
      <c r="E1222" t="s">
        <v>67</v>
      </c>
      <c r="F1222" t="s">
        <v>68</v>
      </c>
      <c r="G1222" s="6">
        <v>1</v>
      </c>
      <c r="H1222" s="4">
        <v>41.17</v>
      </c>
      <c r="I1222" s="4">
        <v>19.05</v>
      </c>
      <c r="J1222" s="5">
        <v>0</v>
      </c>
      <c r="K1222" s="6">
        <v>6</v>
      </c>
      <c r="L1222" s="6">
        <v>4</v>
      </c>
      <c r="M1222" t="s">
        <v>58</v>
      </c>
      <c r="N1222" t="s">
        <v>59</v>
      </c>
      <c r="O1222" t="s">
        <v>64</v>
      </c>
    </row>
    <row r="1223" spans="1:15">
      <c r="A1223" t="s">
        <v>1318</v>
      </c>
      <c r="B1223" s="3">
        <v>45728</v>
      </c>
      <c r="C1223" t="s">
        <v>82</v>
      </c>
      <c r="D1223" t="s">
        <v>55</v>
      </c>
      <c r="E1223" t="s">
        <v>56</v>
      </c>
      <c r="F1223" t="s">
        <v>57</v>
      </c>
      <c r="G1223" s="6">
        <v>1</v>
      </c>
      <c r="H1223" s="4">
        <v>107.15</v>
      </c>
      <c r="I1223" s="4">
        <v>69.94</v>
      </c>
      <c r="J1223" s="5">
        <v>0</v>
      </c>
      <c r="K1223" s="6">
        <v>3</v>
      </c>
      <c r="L1223" s="6">
        <v>5</v>
      </c>
      <c r="M1223" t="s">
        <v>58</v>
      </c>
      <c r="N1223" t="s">
        <v>87</v>
      </c>
      <c r="O1223" t="s">
        <v>60</v>
      </c>
    </row>
    <row r="1224" spans="1:15">
      <c r="A1224" t="s">
        <v>1319</v>
      </c>
      <c r="B1224" s="3">
        <v>45973</v>
      </c>
      <c r="C1224" t="s">
        <v>78</v>
      </c>
      <c r="D1224" t="s">
        <v>62</v>
      </c>
      <c r="E1224" t="s">
        <v>67</v>
      </c>
      <c r="F1224" t="s">
        <v>107</v>
      </c>
      <c r="G1224" s="6">
        <v>1</v>
      </c>
      <c r="H1224" s="4">
        <v>43.97</v>
      </c>
      <c r="I1224" s="4">
        <v>20.65</v>
      </c>
      <c r="J1224" s="5">
        <v>0.05</v>
      </c>
      <c r="K1224" s="6">
        <v>4</v>
      </c>
      <c r="L1224" s="6">
        <v>4</v>
      </c>
      <c r="M1224" t="s">
        <v>58</v>
      </c>
      <c r="N1224" t="s">
        <v>59</v>
      </c>
      <c r="O1224" t="s">
        <v>60</v>
      </c>
    </row>
    <row r="1225" spans="1:15">
      <c r="A1225" t="s">
        <v>1320</v>
      </c>
      <c r="B1225" s="3">
        <v>45907</v>
      </c>
      <c r="C1225" t="s">
        <v>82</v>
      </c>
      <c r="D1225" t="s">
        <v>55</v>
      </c>
      <c r="E1225" t="s">
        <v>67</v>
      </c>
      <c r="F1225" t="s">
        <v>107</v>
      </c>
      <c r="G1225" s="6">
        <v>2</v>
      </c>
      <c r="H1225" s="4">
        <v>46.07</v>
      </c>
      <c r="I1225" s="4">
        <v>21.01</v>
      </c>
      <c r="J1225" s="5">
        <v>0</v>
      </c>
      <c r="K1225" s="6">
        <v>3</v>
      </c>
      <c r="L1225" s="6">
        <v>4</v>
      </c>
      <c r="M1225" t="s">
        <v>58</v>
      </c>
      <c r="N1225" t="s">
        <v>69</v>
      </c>
      <c r="O1225" t="s">
        <v>64</v>
      </c>
    </row>
    <row r="1226" spans="1:15">
      <c r="A1226" t="s">
        <v>1321</v>
      </c>
      <c r="B1226" s="3">
        <v>45953</v>
      </c>
      <c r="C1226" t="s">
        <v>66</v>
      </c>
      <c r="D1226" t="s">
        <v>62</v>
      </c>
      <c r="E1226" t="s">
        <v>79</v>
      </c>
      <c r="F1226" t="s">
        <v>115</v>
      </c>
      <c r="G1226" s="6">
        <v>1</v>
      </c>
      <c r="H1226" s="4">
        <v>61.54</v>
      </c>
      <c r="I1226" s="4">
        <v>34.46</v>
      </c>
      <c r="J1226" s="5">
        <v>0.05</v>
      </c>
      <c r="K1226" s="6">
        <v>2</v>
      </c>
      <c r="L1226" s="6">
        <v>4</v>
      </c>
      <c r="M1226" t="s">
        <v>58</v>
      </c>
      <c r="N1226" t="s">
        <v>69</v>
      </c>
      <c r="O1226" t="s">
        <v>64</v>
      </c>
    </row>
    <row r="1227" spans="1:15">
      <c r="A1227" t="s">
        <v>1322</v>
      </c>
      <c r="B1227" s="3">
        <v>45978</v>
      </c>
      <c r="C1227" t="s">
        <v>54</v>
      </c>
      <c r="D1227" t="s">
        <v>62</v>
      </c>
      <c r="E1227" t="s">
        <v>56</v>
      </c>
      <c r="F1227" t="s">
        <v>83</v>
      </c>
      <c r="G1227" s="6">
        <v>1</v>
      </c>
      <c r="H1227" s="4">
        <v>63.21</v>
      </c>
      <c r="I1227" s="4">
        <v>36.74</v>
      </c>
      <c r="J1227" s="5">
        <v>0.05</v>
      </c>
      <c r="K1227" s="6">
        <v>4</v>
      </c>
      <c r="L1227" s="6">
        <v>4</v>
      </c>
      <c r="M1227" t="s">
        <v>58</v>
      </c>
      <c r="N1227" t="s">
        <v>69</v>
      </c>
      <c r="O1227" t="s">
        <v>64</v>
      </c>
    </row>
    <row r="1228" spans="1:15">
      <c r="A1228" t="s">
        <v>1323</v>
      </c>
      <c r="B1228" s="3">
        <v>45898</v>
      </c>
      <c r="C1228" t="s">
        <v>82</v>
      </c>
      <c r="D1228" t="s">
        <v>62</v>
      </c>
      <c r="E1228" t="s">
        <v>67</v>
      </c>
      <c r="F1228" t="s">
        <v>107</v>
      </c>
      <c r="G1228" s="6">
        <v>1</v>
      </c>
      <c r="H1228" s="4">
        <v>45</v>
      </c>
      <c r="I1228" s="4">
        <v>20.87</v>
      </c>
      <c r="J1228" s="5">
        <v>0</v>
      </c>
      <c r="K1228" s="6">
        <v>2</v>
      </c>
      <c r="L1228" s="6">
        <v>4</v>
      </c>
      <c r="M1228" t="s">
        <v>58</v>
      </c>
      <c r="N1228" t="s">
        <v>69</v>
      </c>
      <c r="O1228" t="s">
        <v>64</v>
      </c>
    </row>
    <row r="1229" spans="1:15">
      <c r="A1229" t="s">
        <v>1324</v>
      </c>
      <c r="B1229" s="3">
        <v>45896</v>
      </c>
      <c r="C1229" t="s">
        <v>82</v>
      </c>
      <c r="D1229" t="s">
        <v>62</v>
      </c>
      <c r="E1229" t="s">
        <v>67</v>
      </c>
      <c r="F1229" t="s">
        <v>107</v>
      </c>
      <c r="G1229" s="6">
        <v>1</v>
      </c>
      <c r="H1229" s="4">
        <v>44.16</v>
      </c>
      <c r="I1229" s="4">
        <v>21.95</v>
      </c>
      <c r="J1229" s="5">
        <v>0.05</v>
      </c>
      <c r="K1229" s="6">
        <v>2</v>
      </c>
      <c r="L1229" s="6">
        <v>4</v>
      </c>
      <c r="M1229" t="s">
        <v>58</v>
      </c>
      <c r="N1229" t="s">
        <v>69</v>
      </c>
      <c r="O1229" t="s">
        <v>64</v>
      </c>
    </row>
    <row r="1230" spans="1:15">
      <c r="A1230" t="s">
        <v>1325</v>
      </c>
      <c r="B1230" s="3">
        <v>45994</v>
      </c>
      <c r="C1230" t="s">
        <v>66</v>
      </c>
      <c r="D1230" t="s">
        <v>55</v>
      </c>
      <c r="E1230" t="s">
        <v>79</v>
      </c>
      <c r="F1230" t="s">
        <v>92</v>
      </c>
      <c r="G1230" s="6">
        <v>3</v>
      </c>
      <c r="H1230" s="4">
        <v>48.72</v>
      </c>
      <c r="I1230" s="4">
        <v>26.09</v>
      </c>
      <c r="J1230" s="5">
        <v>0.2</v>
      </c>
      <c r="K1230" s="6">
        <v>5</v>
      </c>
      <c r="L1230" s="6">
        <v>5</v>
      </c>
      <c r="M1230" t="s">
        <v>58</v>
      </c>
      <c r="N1230" t="s">
        <v>59</v>
      </c>
      <c r="O1230" t="s">
        <v>64</v>
      </c>
    </row>
    <row r="1231" spans="1:15">
      <c r="A1231" t="s">
        <v>1326</v>
      </c>
      <c r="B1231" s="3">
        <v>45942</v>
      </c>
      <c r="C1231" t="s">
        <v>66</v>
      </c>
      <c r="D1231" t="s">
        <v>55</v>
      </c>
      <c r="E1231" t="s">
        <v>79</v>
      </c>
      <c r="F1231" t="s">
        <v>80</v>
      </c>
      <c r="G1231" s="6">
        <v>3</v>
      </c>
      <c r="H1231" s="4">
        <v>74.67</v>
      </c>
      <c r="I1231" s="4">
        <v>43</v>
      </c>
      <c r="J1231" s="5">
        <v>0.1</v>
      </c>
      <c r="K1231" s="6">
        <v>5</v>
      </c>
      <c r="L1231" s="6">
        <v>5</v>
      </c>
      <c r="M1231" t="s">
        <v>58</v>
      </c>
      <c r="N1231" t="s">
        <v>59</v>
      </c>
      <c r="O1231" t="s">
        <v>64</v>
      </c>
    </row>
    <row r="1232" spans="1:15">
      <c r="A1232" t="s">
        <v>1327</v>
      </c>
      <c r="B1232" s="3">
        <v>45764</v>
      </c>
      <c r="C1232" t="s">
        <v>82</v>
      </c>
      <c r="D1232" t="s">
        <v>55</v>
      </c>
      <c r="E1232" t="s">
        <v>67</v>
      </c>
      <c r="F1232" t="s">
        <v>68</v>
      </c>
      <c r="G1232" s="6">
        <v>3</v>
      </c>
      <c r="H1232" s="4">
        <v>40.06</v>
      </c>
      <c r="I1232" s="4">
        <v>19.89</v>
      </c>
      <c r="J1232" s="5">
        <v>0</v>
      </c>
      <c r="K1232" s="6">
        <v>2</v>
      </c>
      <c r="L1232" s="6">
        <v>4</v>
      </c>
      <c r="M1232" t="s">
        <v>58</v>
      </c>
      <c r="N1232" t="s">
        <v>69</v>
      </c>
      <c r="O1232" t="s">
        <v>64</v>
      </c>
    </row>
    <row r="1233" spans="1:15">
      <c r="A1233" t="s">
        <v>1328</v>
      </c>
      <c r="B1233" s="3">
        <v>45867</v>
      </c>
      <c r="C1233" t="s">
        <v>66</v>
      </c>
      <c r="D1233" t="s">
        <v>62</v>
      </c>
      <c r="E1233" t="s">
        <v>56</v>
      </c>
      <c r="F1233" t="s">
        <v>57</v>
      </c>
      <c r="G1233" s="6">
        <v>1</v>
      </c>
      <c r="H1233" s="4">
        <v>106.8</v>
      </c>
      <c r="I1233" s="4">
        <v>68.86</v>
      </c>
      <c r="J1233" s="5">
        <v>0.1</v>
      </c>
      <c r="K1233" s="6">
        <v>0</v>
      </c>
      <c r="L1233" s="6">
        <v>5</v>
      </c>
      <c r="M1233" t="s">
        <v>58</v>
      </c>
      <c r="N1233" t="s">
        <v>69</v>
      </c>
      <c r="O1233" t="s">
        <v>64</v>
      </c>
    </row>
    <row r="1234" spans="1:15">
      <c r="A1234" t="s">
        <v>1329</v>
      </c>
      <c r="B1234" s="3">
        <v>45884</v>
      </c>
      <c r="C1234" t="s">
        <v>78</v>
      </c>
      <c r="D1234" t="s">
        <v>55</v>
      </c>
      <c r="E1234" t="s">
        <v>75</v>
      </c>
      <c r="F1234" t="s">
        <v>146</v>
      </c>
      <c r="G1234" s="6">
        <v>3</v>
      </c>
      <c r="H1234" s="4">
        <v>182.25</v>
      </c>
      <c r="I1234" s="4">
        <v>119.99</v>
      </c>
      <c r="J1234" s="5">
        <v>0</v>
      </c>
      <c r="K1234" s="6">
        <v>8</v>
      </c>
      <c r="L1234" s="6">
        <v>4</v>
      </c>
      <c r="M1234" t="s">
        <v>58</v>
      </c>
      <c r="N1234" t="s">
        <v>59</v>
      </c>
      <c r="O1234" t="s">
        <v>64</v>
      </c>
    </row>
    <row r="1235" spans="1:15">
      <c r="A1235" t="s">
        <v>1330</v>
      </c>
      <c r="B1235" s="3">
        <v>46000</v>
      </c>
      <c r="C1235" t="s">
        <v>82</v>
      </c>
      <c r="D1235" t="s">
        <v>129</v>
      </c>
      <c r="E1235" t="s">
        <v>79</v>
      </c>
      <c r="F1235" t="s">
        <v>115</v>
      </c>
      <c r="G1235" s="6">
        <v>2</v>
      </c>
      <c r="H1235" s="4">
        <v>58.78</v>
      </c>
      <c r="I1235" s="4">
        <v>33.159999999999997</v>
      </c>
      <c r="J1235" s="5">
        <v>0.2</v>
      </c>
      <c r="K1235" s="6">
        <v>0</v>
      </c>
      <c r="L1235" s="6">
        <v>4</v>
      </c>
      <c r="M1235" t="s">
        <v>58</v>
      </c>
      <c r="N1235" t="s">
        <v>69</v>
      </c>
      <c r="O1235" t="s">
        <v>60</v>
      </c>
    </row>
    <row r="1236" spans="1:15">
      <c r="A1236" t="s">
        <v>1331</v>
      </c>
      <c r="B1236" s="3">
        <v>45896</v>
      </c>
      <c r="C1236" t="s">
        <v>54</v>
      </c>
      <c r="D1236" t="s">
        <v>62</v>
      </c>
      <c r="E1236" t="s">
        <v>75</v>
      </c>
      <c r="F1236" t="s">
        <v>76</v>
      </c>
      <c r="G1236" s="6">
        <v>2</v>
      </c>
      <c r="H1236" s="4">
        <v>121.22</v>
      </c>
      <c r="I1236" s="4">
        <v>73.760000000000005</v>
      </c>
      <c r="J1236" s="5">
        <v>0.05</v>
      </c>
      <c r="K1236" s="6">
        <v>6</v>
      </c>
      <c r="L1236" s="6">
        <v>4</v>
      </c>
      <c r="M1236" t="s">
        <v>58</v>
      </c>
      <c r="N1236" t="s">
        <v>59</v>
      </c>
      <c r="O1236" t="s">
        <v>60</v>
      </c>
    </row>
    <row r="1237" spans="1:15">
      <c r="A1237" t="s">
        <v>1332</v>
      </c>
      <c r="B1237" s="3">
        <v>45696</v>
      </c>
      <c r="C1237" t="s">
        <v>78</v>
      </c>
      <c r="D1237" t="s">
        <v>55</v>
      </c>
      <c r="E1237" t="s">
        <v>75</v>
      </c>
      <c r="F1237" t="s">
        <v>110</v>
      </c>
      <c r="G1237" s="6">
        <v>4</v>
      </c>
      <c r="H1237" s="4">
        <v>155.68</v>
      </c>
      <c r="I1237" s="4">
        <v>105.93</v>
      </c>
      <c r="J1237" s="5">
        <v>0</v>
      </c>
      <c r="K1237" s="6">
        <v>9</v>
      </c>
      <c r="L1237" s="6">
        <v>3</v>
      </c>
      <c r="M1237" t="s">
        <v>58</v>
      </c>
      <c r="N1237" t="s">
        <v>59</v>
      </c>
      <c r="O1237" t="s">
        <v>64</v>
      </c>
    </row>
    <row r="1238" spans="1:15">
      <c r="A1238" t="s">
        <v>1333</v>
      </c>
      <c r="B1238" s="3">
        <v>45727</v>
      </c>
      <c r="C1238" t="s">
        <v>82</v>
      </c>
      <c r="D1238" t="s">
        <v>62</v>
      </c>
      <c r="E1238" t="s">
        <v>79</v>
      </c>
      <c r="F1238" t="s">
        <v>85</v>
      </c>
      <c r="G1238" s="6">
        <v>2</v>
      </c>
      <c r="H1238" s="4">
        <v>133.46</v>
      </c>
      <c r="I1238" s="4">
        <v>87.87</v>
      </c>
      <c r="J1238" s="5">
        <v>0.05</v>
      </c>
      <c r="K1238" s="6">
        <v>6</v>
      </c>
      <c r="L1238" s="6">
        <v>3</v>
      </c>
      <c r="M1238" t="s">
        <v>126</v>
      </c>
      <c r="N1238" t="s">
        <v>87</v>
      </c>
      <c r="O1238" t="s">
        <v>64</v>
      </c>
    </row>
    <row r="1239" spans="1:15">
      <c r="A1239" t="s">
        <v>1334</v>
      </c>
      <c r="B1239" s="3" t="s">
        <v>1335</v>
      </c>
      <c r="C1239" t="s">
        <v>54</v>
      </c>
      <c r="D1239" t="s">
        <v>62</v>
      </c>
      <c r="E1239" t="s">
        <v>75</v>
      </c>
      <c r="F1239" t="s">
        <v>110</v>
      </c>
      <c r="G1239" s="6">
        <v>2</v>
      </c>
      <c r="H1239" s="4">
        <v>161.06</v>
      </c>
      <c r="I1239" s="4">
        <v>105.33</v>
      </c>
      <c r="J1239" s="5">
        <v>0.1</v>
      </c>
      <c r="K1239" s="6">
        <v>5</v>
      </c>
      <c r="L1239" s="6">
        <v>5</v>
      </c>
      <c r="M1239" t="s">
        <v>58</v>
      </c>
      <c r="N1239" t="s">
        <v>59</v>
      </c>
      <c r="O1239" t="s">
        <v>64</v>
      </c>
    </row>
    <row r="1240" spans="1:15">
      <c r="A1240" t="s">
        <v>1336</v>
      </c>
      <c r="B1240" s="3" t="s">
        <v>1337</v>
      </c>
      <c r="C1240" t="s">
        <v>66</v>
      </c>
      <c r="D1240" t="s">
        <v>62</v>
      </c>
      <c r="E1240" t="s">
        <v>79</v>
      </c>
      <c r="F1240" t="s">
        <v>92</v>
      </c>
      <c r="G1240" s="6">
        <v>1</v>
      </c>
      <c r="H1240" s="4">
        <v>50.11</v>
      </c>
      <c r="I1240" s="4">
        <v>25.42</v>
      </c>
      <c r="J1240" s="5">
        <v>0</v>
      </c>
      <c r="K1240" s="6">
        <v>2</v>
      </c>
      <c r="L1240" s="6">
        <v>3</v>
      </c>
      <c r="M1240" t="s">
        <v>126</v>
      </c>
      <c r="N1240" t="s">
        <v>69</v>
      </c>
      <c r="O1240" t="s">
        <v>64</v>
      </c>
    </row>
    <row r="1241" spans="1:15">
      <c r="A1241" t="s">
        <v>1338</v>
      </c>
      <c r="B1241" s="3">
        <v>45854</v>
      </c>
      <c r="C1241" t="s">
        <v>78</v>
      </c>
      <c r="D1241" t="s">
        <v>62</v>
      </c>
      <c r="E1241" t="s">
        <v>75</v>
      </c>
      <c r="F1241" t="s">
        <v>146</v>
      </c>
      <c r="G1241" s="6">
        <v>1</v>
      </c>
      <c r="H1241" s="4">
        <v>182.13</v>
      </c>
      <c r="I1241" s="4">
        <v>114.21</v>
      </c>
      <c r="J1241" s="5">
        <v>0</v>
      </c>
      <c r="K1241" s="6">
        <v>7</v>
      </c>
      <c r="L1241" s="6">
        <v>4</v>
      </c>
      <c r="M1241" t="s">
        <v>58</v>
      </c>
      <c r="N1241" t="s">
        <v>59</v>
      </c>
      <c r="O1241" t="s">
        <v>64</v>
      </c>
    </row>
    <row r="1242" spans="1:15">
      <c r="A1242" t="s">
        <v>1339</v>
      </c>
      <c r="B1242" s="3">
        <v>45973</v>
      </c>
      <c r="C1242" t="s">
        <v>82</v>
      </c>
      <c r="D1242" t="s">
        <v>62</v>
      </c>
      <c r="E1242" t="s">
        <v>79</v>
      </c>
      <c r="F1242" t="s">
        <v>115</v>
      </c>
      <c r="G1242" s="6">
        <v>1</v>
      </c>
      <c r="H1242" s="4">
        <v>60.87</v>
      </c>
      <c r="I1242" s="4">
        <v>33.51</v>
      </c>
      <c r="J1242" s="5">
        <v>0.05</v>
      </c>
      <c r="K1242" s="6">
        <v>0</v>
      </c>
      <c r="L1242" s="6">
        <v>5</v>
      </c>
      <c r="M1242" t="s">
        <v>58</v>
      </c>
      <c r="N1242" t="s">
        <v>69</v>
      </c>
      <c r="O1242" t="s">
        <v>64</v>
      </c>
    </row>
    <row r="1243" spans="1:15">
      <c r="A1243" t="s">
        <v>1340</v>
      </c>
      <c r="B1243" s="3">
        <v>46019</v>
      </c>
      <c r="C1243" t="s">
        <v>82</v>
      </c>
      <c r="D1243" t="s">
        <v>62</v>
      </c>
      <c r="E1243" t="s">
        <v>79</v>
      </c>
      <c r="F1243" t="s">
        <v>115</v>
      </c>
      <c r="G1243" s="6">
        <v>4</v>
      </c>
      <c r="H1243" s="4">
        <v>59.55</v>
      </c>
      <c r="I1243" s="4">
        <v>35.4</v>
      </c>
      <c r="J1243" s="5">
        <v>0.15000000000000002</v>
      </c>
      <c r="K1243" s="6">
        <v>3</v>
      </c>
      <c r="L1243" s="6">
        <v>4</v>
      </c>
      <c r="M1243" t="s">
        <v>58</v>
      </c>
      <c r="N1243" t="s">
        <v>59</v>
      </c>
      <c r="O1243" t="s">
        <v>64</v>
      </c>
    </row>
    <row r="1244" spans="1:15">
      <c r="A1244" t="s">
        <v>1341</v>
      </c>
      <c r="B1244" s="3">
        <v>45832</v>
      </c>
      <c r="C1244" t="s">
        <v>78</v>
      </c>
      <c r="D1244" t="s">
        <v>55</v>
      </c>
      <c r="E1244" t="s">
        <v>75</v>
      </c>
      <c r="F1244" t="s">
        <v>76</v>
      </c>
      <c r="G1244" s="6">
        <v>3</v>
      </c>
      <c r="H1244" s="4">
        <v>120.92</v>
      </c>
      <c r="I1244" s="4">
        <v>75.16</v>
      </c>
      <c r="J1244" s="5">
        <v>0</v>
      </c>
      <c r="K1244" s="6">
        <v>2</v>
      </c>
      <c r="L1244" s="6">
        <v>4</v>
      </c>
      <c r="M1244" t="s">
        <v>58</v>
      </c>
      <c r="N1244" t="s">
        <v>69</v>
      </c>
      <c r="O1244" t="s">
        <v>73</v>
      </c>
    </row>
    <row r="1245" spans="1:15">
      <c r="A1245" t="s">
        <v>1342</v>
      </c>
      <c r="B1245" s="3">
        <v>45866</v>
      </c>
      <c r="C1245" t="s">
        <v>82</v>
      </c>
      <c r="D1245" t="s">
        <v>129</v>
      </c>
      <c r="E1245" t="s">
        <v>79</v>
      </c>
      <c r="F1245" t="s">
        <v>115</v>
      </c>
      <c r="G1245" s="6">
        <v>3</v>
      </c>
      <c r="H1245" s="4">
        <v>58.71</v>
      </c>
      <c r="I1245" s="4">
        <v>34.950000000000003</v>
      </c>
      <c r="J1245" s="5">
        <v>0.1</v>
      </c>
      <c r="K1245" s="6">
        <v>1</v>
      </c>
      <c r="L1245" s="6">
        <v>5</v>
      </c>
      <c r="M1245" t="s">
        <v>58</v>
      </c>
      <c r="N1245" t="s">
        <v>69</v>
      </c>
      <c r="O1245" t="s">
        <v>73</v>
      </c>
    </row>
    <row r="1246" spans="1:15">
      <c r="A1246" t="s">
        <v>1343</v>
      </c>
      <c r="B1246" s="3">
        <v>45774</v>
      </c>
      <c r="C1246" t="s">
        <v>54</v>
      </c>
      <c r="D1246" t="s">
        <v>62</v>
      </c>
      <c r="E1246" t="s">
        <v>79</v>
      </c>
      <c r="F1246" t="s">
        <v>80</v>
      </c>
      <c r="G1246" s="6">
        <v>3</v>
      </c>
      <c r="H1246" s="4">
        <v>76.84</v>
      </c>
      <c r="I1246" s="4">
        <v>44.33</v>
      </c>
      <c r="J1246" s="5">
        <v>0.05</v>
      </c>
      <c r="K1246" s="6">
        <v>1</v>
      </c>
      <c r="L1246" s="6">
        <v>5</v>
      </c>
      <c r="M1246" t="s">
        <v>58</v>
      </c>
      <c r="N1246" t="s">
        <v>69</v>
      </c>
      <c r="O1246" t="s">
        <v>64</v>
      </c>
    </row>
    <row r="1247" spans="1:15">
      <c r="A1247" t="s">
        <v>1344</v>
      </c>
      <c r="B1247" s="3">
        <v>45663</v>
      </c>
      <c r="C1247" t="s">
        <v>54</v>
      </c>
      <c r="D1247" t="s">
        <v>55</v>
      </c>
      <c r="E1247" t="s">
        <v>75</v>
      </c>
      <c r="F1247" t="s">
        <v>110</v>
      </c>
      <c r="G1247" s="6">
        <v>6</v>
      </c>
      <c r="H1247" s="4">
        <v>158.34</v>
      </c>
      <c r="I1247" s="4">
        <v>100.46</v>
      </c>
      <c r="J1247" s="5">
        <v>0</v>
      </c>
      <c r="K1247" s="6">
        <v>5</v>
      </c>
      <c r="L1247" s="6">
        <v>4</v>
      </c>
      <c r="M1247" t="s">
        <v>58</v>
      </c>
      <c r="N1247" t="s">
        <v>59</v>
      </c>
      <c r="O1247" t="s">
        <v>64</v>
      </c>
    </row>
    <row r="1248" spans="1:15">
      <c r="A1248" t="s">
        <v>1345</v>
      </c>
      <c r="B1248" s="3">
        <v>45693</v>
      </c>
      <c r="C1248" t="s">
        <v>66</v>
      </c>
      <c r="D1248" t="s">
        <v>62</v>
      </c>
      <c r="E1248" t="s">
        <v>79</v>
      </c>
      <c r="F1248" t="s">
        <v>85</v>
      </c>
      <c r="G1248" s="6">
        <v>2</v>
      </c>
      <c r="H1248" s="4">
        <v>132.18</v>
      </c>
      <c r="I1248" s="4">
        <v>82.96</v>
      </c>
      <c r="J1248" s="5">
        <v>0.15000000000000002</v>
      </c>
      <c r="K1248" s="6">
        <v>0</v>
      </c>
      <c r="L1248" s="6">
        <v>3</v>
      </c>
      <c r="M1248" t="s">
        <v>126</v>
      </c>
      <c r="N1248" t="s">
        <v>69</v>
      </c>
      <c r="O1248" t="s">
        <v>64</v>
      </c>
    </row>
    <row r="1249" spans="1:15">
      <c r="A1249" t="s">
        <v>1346</v>
      </c>
      <c r="B1249" s="3">
        <v>45929</v>
      </c>
      <c r="C1249" t="s">
        <v>305</v>
      </c>
      <c r="D1249" t="s">
        <v>55</v>
      </c>
      <c r="E1249" t="s">
        <v>67</v>
      </c>
      <c r="F1249" t="s">
        <v>107</v>
      </c>
      <c r="G1249" s="6">
        <v>4</v>
      </c>
      <c r="H1249" s="4">
        <v>44.39</v>
      </c>
      <c r="I1249" s="4">
        <v>21.92</v>
      </c>
      <c r="J1249" s="5">
        <v>0</v>
      </c>
      <c r="K1249" s="6">
        <v>4</v>
      </c>
      <c r="L1249" s="6">
        <v>4</v>
      </c>
      <c r="M1249" t="s">
        <v>58</v>
      </c>
      <c r="N1249" t="s">
        <v>59</v>
      </c>
      <c r="O1249" t="s">
        <v>64</v>
      </c>
    </row>
    <row r="1250" spans="1:15">
      <c r="A1250" t="s">
        <v>1347</v>
      </c>
      <c r="B1250" s="3">
        <v>45987</v>
      </c>
      <c r="C1250" t="s">
        <v>66</v>
      </c>
      <c r="D1250" t="s">
        <v>55</v>
      </c>
      <c r="E1250" t="s">
        <v>56</v>
      </c>
      <c r="F1250" t="s">
        <v>63</v>
      </c>
      <c r="G1250" s="6">
        <v>1</v>
      </c>
      <c r="H1250" s="4">
        <v>40.590000000000003</v>
      </c>
      <c r="I1250" s="4">
        <v>20.91</v>
      </c>
      <c r="J1250" s="5">
        <v>0.1</v>
      </c>
      <c r="K1250" s="6">
        <v>5</v>
      </c>
      <c r="L1250" s="6">
        <v>4</v>
      </c>
      <c r="M1250" t="s">
        <v>58</v>
      </c>
      <c r="N1250" t="s">
        <v>69</v>
      </c>
      <c r="O1250" t="s">
        <v>73</v>
      </c>
    </row>
    <row r="1251" spans="1:15">
      <c r="A1251" t="s">
        <v>1348</v>
      </c>
      <c r="B1251" s="3">
        <v>46016</v>
      </c>
      <c r="C1251" t="s">
        <v>54</v>
      </c>
      <c r="D1251" t="s">
        <v>62</v>
      </c>
      <c r="E1251" t="s">
        <v>67</v>
      </c>
      <c r="F1251" t="s">
        <v>107</v>
      </c>
      <c r="G1251" s="6">
        <v>2</v>
      </c>
      <c r="H1251" s="4">
        <v>45.29</v>
      </c>
      <c r="I1251" s="4">
        <v>21.47</v>
      </c>
      <c r="J1251" s="5">
        <v>0.1</v>
      </c>
      <c r="K1251" s="6">
        <v>2</v>
      </c>
      <c r="L1251" s="6">
        <v>4</v>
      </c>
      <c r="M1251" t="s">
        <v>58</v>
      </c>
      <c r="N1251" t="s">
        <v>69</v>
      </c>
      <c r="O1251" t="s">
        <v>64</v>
      </c>
    </row>
    <row r="1252" spans="1:15">
      <c r="A1252" t="s">
        <v>1349</v>
      </c>
      <c r="B1252" s="3">
        <v>45996</v>
      </c>
      <c r="C1252" t="s">
        <v>66</v>
      </c>
      <c r="D1252" t="s">
        <v>62</v>
      </c>
      <c r="E1252" t="s">
        <v>56</v>
      </c>
      <c r="F1252" t="s">
        <v>83</v>
      </c>
      <c r="G1252" s="6">
        <v>1</v>
      </c>
      <c r="H1252" s="4">
        <v>63.81</v>
      </c>
      <c r="I1252" s="4">
        <v>36.479999999999997</v>
      </c>
      <c r="J1252" s="5">
        <v>0.2</v>
      </c>
      <c r="K1252" s="6">
        <v>1</v>
      </c>
      <c r="L1252" s="6">
        <v>4</v>
      </c>
      <c r="M1252" t="s">
        <v>58</v>
      </c>
      <c r="N1252" t="s">
        <v>69</v>
      </c>
      <c r="O1252" t="s">
        <v>64</v>
      </c>
    </row>
    <row r="1253" spans="1:15">
      <c r="A1253" t="s">
        <v>1350</v>
      </c>
      <c r="B1253" s="3">
        <v>45691</v>
      </c>
      <c r="C1253" t="s">
        <v>78</v>
      </c>
      <c r="D1253" t="s">
        <v>62</v>
      </c>
      <c r="E1253" t="s">
        <v>67</v>
      </c>
      <c r="F1253" t="s">
        <v>94</v>
      </c>
      <c r="G1253" s="6">
        <v>1</v>
      </c>
      <c r="H1253" s="4">
        <v>34.79</v>
      </c>
      <c r="I1253" s="4">
        <v>17.75</v>
      </c>
      <c r="J1253" s="5">
        <v>0</v>
      </c>
      <c r="K1253" s="6">
        <v>1</v>
      </c>
      <c r="L1253" s="6">
        <v>5</v>
      </c>
      <c r="M1253" t="s">
        <v>58</v>
      </c>
      <c r="N1253" t="s">
        <v>59</v>
      </c>
      <c r="O1253" t="s">
        <v>64</v>
      </c>
    </row>
    <row r="1254" spans="1:15">
      <c r="A1254" t="s">
        <v>1351</v>
      </c>
      <c r="B1254" s="3">
        <v>45773</v>
      </c>
      <c r="C1254" t="s">
        <v>82</v>
      </c>
      <c r="D1254" t="s">
        <v>62</v>
      </c>
      <c r="E1254" t="s">
        <v>56</v>
      </c>
      <c r="F1254" t="s">
        <v>57</v>
      </c>
      <c r="G1254" s="6">
        <v>1</v>
      </c>
      <c r="H1254" s="4">
        <v>109.69</v>
      </c>
      <c r="I1254" s="4">
        <v>66.16</v>
      </c>
      <c r="J1254" s="5">
        <v>0</v>
      </c>
      <c r="K1254" s="6">
        <v>3</v>
      </c>
      <c r="L1254" s="6">
        <v>3</v>
      </c>
      <c r="M1254" t="s">
        <v>126</v>
      </c>
      <c r="N1254" t="s">
        <v>59</v>
      </c>
      <c r="O1254" t="s">
        <v>64</v>
      </c>
    </row>
    <row r="1255" spans="1:15">
      <c r="A1255" t="s">
        <v>1352</v>
      </c>
      <c r="B1255" s="3">
        <v>45774</v>
      </c>
      <c r="C1255" t="s">
        <v>66</v>
      </c>
      <c r="D1255" t="s">
        <v>62</v>
      </c>
      <c r="E1255" t="s">
        <v>67</v>
      </c>
      <c r="F1255" t="s">
        <v>107</v>
      </c>
      <c r="G1255" s="6">
        <v>1</v>
      </c>
      <c r="H1255" s="4">
        <v>45.1</v>
      </c>
      <c r="I1255" s="4">
        <v>20.96</v>
      </c>
      <c r="J1255" s="5">
        <v>0.1</v>
      </c>
      <c r="K1255" s="6">
        <v>6</v>
      </c>
      <c r="L1255" s="6">
        <v>4</v>
      </c>
      <c r="M1255" t="s">
        <v>58</v>
      </c>
      <c r="N1255" t="s">
        <v>59</v>
      </c>
      <c r="O1255" t="s">
        <v>60</v>
      </c>
    </row>
    <row r="1256" spans="1:15">
      <c r="A1256" t="s">
        <v>1353</v>
      </c>
      <c r="B1256" s="3">
        <v>45979</v>
      </c>
      <c r="C1256" t="s">
        <v>82</v>
      </c>
      <c r="D1256" t="s">
        <v>62</v>
      </c>
      <c r="E1256" t="s">
        <v>67</v>
      </c>
      <c r="F1256" t="s">
        <v>68</v>
      </c>
      <c r="G1256" s="6">
        <v>2</v>
      </c>
      <c r="H1256" s="4">
        <v>41.34</v>
      </c>
      <c r="I1256" s="4">
        <v>19.64</v>
      </c>
      <c r="J1256" s="5">
        <v>0.1</v>
      </c>
      <c r="K1256" s="6">
        <v>2</v>
      </c>
      <c r="L1256" s="6">
        <v>3</v>
      </c>
      <c r="M1256" t="s">
        <v>126</v>
      </c>
      <c r="N1256" t="s">
        <v>87</v>
      </c>
      <c r="O1256" t="s">
        <v>64</v>
      </c>
    </row>
    <row r="1257" spans="1:15">
      <c r="A1257" t="s">
        <v>1354</v>
      </c>
      <c r="B1257" s="3">
        <v>45864</v>
      </c>
      <c r="C1257" t="s">
        <v>78</v>
      </c>
      <c r="D1257" t="s">
        <v>62</v>
      </c>
      <c r="E1257" t="s">
        <v>67</v>
      </c>
      <c r="F1257" t="s">
        <v>71</v>
      </c>
      <c r="G1257" s="6">
        <v>2</v>
      </c>
      <c r="H1257" s="4">
        <v>72.41</v>
      </c>
      <c r="I1257" s="4">
        <v>37.630000000000003</v>
      </c>
      <c r="J1257" s="5">
        <v>0.05</v>
      </c>
      <c r="K1257" s="6">
        <v>2</v>
      </c>
      <c r="L1257" s="6">
        <v>4</v>
      </c>
      <c r="M1257" t="s">
        <v>58</v>
      </c>
      <c r="N1257" t="s">
        <v>59</v>
      </c>
      <c r="O1257" t="s">
        <v>64</v>
      </c>
    </row>
    <row r="1258" spans="1:15">
      <c r="A1258" t="s">
        <v>1355</v>
      </c>
      <c r="B1258" s="3">
        <v>45906</v>
      </c>
      <c r="C1258" t="s">
        <v>78</v>
      </c>
      <c r="D1258" t="s">
        <v>62</v>
      </c>
      <c r="E1258" t="s">
        <v>75</v>
      </c>
      <c r="F1258" t="s">
        <v>76</v>
      </c>
      <c r="G1258" s="6">
        <v>1</v>
      </c>
      <c r="H1258" s="4">
        <v>117.87</v>
      </c>
      <c r="I1258" s="4">
        <v>71.84</v>
      </c>
      <c r="J1258" s="5">
        <v>0</v>
      </c>
      <c r="K1258" s="6">
        <v>5</v>
      </c>
      <c r="L1258" s="6">
        <v>4</v>
      </c>
      <c r="M1258" t="s">
        <v>58</v>
      </c>
      <c r="N1258" t="s">
        <v>87</v>
      </c>
      <c r="O1258" t="s">
        <v>73</v>
      </c>
    </row>
    <row r="1259" spans="1:15">
      <c r="A1259" t="s">
        <v>1356</v>
      </c>
      <c r="B1259" s="3">
        <v>45761</v>
      </c>
      <c r="C1259" t="s">
        <v>66</v>
      </c>
      <c r="D1259" t="s">
        <v>62</v>
      </c>
      <c r="E1259" t="s">
        <v>56</v>
      </c>
      <c r="F1259" t="s">
        <v>89</v>
      </c>
      <c r="G1259" s="6">
        <v>3</v>
      </c>
      <c r="H1259" s="4">
        <v>78.36</v>
      </c>
      <c r="I1259" s="4">
        <v>44.65</v>
      </c>
      <c r="J1259" s="5">
        <v>0.05</v>
      </c>
      <c r="K1259" s="6">
        <v>1</v>
      </c>
      <c r="L1259" s="6">
        <v>4</v>
      </c>
      <c r="M1259" t="s">
        <v>58</v>
      </c>
      <c r="N1259" t="s">
        <v>69</v>
      </c>
      <c r="O1259" t="s">
        <v>64</v>
      </c>
    </row>
    <row r="1260" spans="1:15">
      <c r="A1260" t="s">
        <v>1357</v>
      </c>
      <c r="B1260" s="3">
        <v>45753</v>
      </c>
      <c r="C1260" t="s">
        <v>82</v>
      </c>
      <c r="D1260" t="s">
        <v>62</v>
      </c>
      <c r="E1260" t="s">
        <v>67</v>
      </c>
      <c r="F1260" t="s">
        <v>94</v>
      </c>
      <c r="G1260" s="6">
        <v>1</v>
      </c>
      <c r="H1260" s="4">
        <v>35.15</v>
      </c>
      <c r="I1260" s="4">
        <v>16.79</v>
      </c>
      <c r="J1260" s="5">
        <v>0</v>
      </c>
      <c r="K1260" s="6">
        <v>1</v>
      </c>
      <c r="L1260" s="6">
        <v>4</v>
      </c>
      <c r="M1260" t="s">
        <v>58</v>
      </c>
      <c r="N1260" t="s">
        <v>69</v>
      </c>
      <c r="O1260" t="s">
        <v>64</v>
      </c>
    </row>
    <row r="1261" spans="1:15">
      <c r="A1261" t="s">
        <v>1358</v>
      </c>
      <c r="B1261" s="3">
        <v>45681</v>
      </c>
      <c r="C1261" t="s">
        <v>54</v>
      </c>
      <c r="D1261" t="s">
        <v>62</v>
      </c>
      <c r="E1261" t="s">
        <v>56</v>
      </c>
      <c r="F1261" t="s">
        <v>57</v>
      </c>
      <c r="G1261" s="6">
        <v>1</v>
      </c>
      <c r="H1261" s="4">
        <v>111.08</v>
      </c>
      <c r="I1261" s="4">
        <v>66.23</v>
      </c>
      <c r="J1261" s="5">
        <v>0</v>
      </c>
      <c r="K1261" s="6">
        <v>2</v>
      </c>
      <c r="L1261" s="6">
        <v>5</v>
      </c>
      <c r="M1261" t="s">
        <v>58</v>
      </c>
      <c r="N1261" t="s">
        <v>59</v>
      </c>
      <c r="O1261" t="s">
        <v>64</v>
      </c>
    </row>
    <row r="1262" spans="1:15">
      <c r="A1262" t="s">
        <v>1359</v>
      </c>
      <c r="B1262" s="3">
        <v>46015</v>
      </c>
      <c r="C1262" t="s">
        <v>78</v>
      </c>
      <c r="D1262" t="s">
        <v>62</v>
      </c>
      <c r="E1262" t="s">
        <v>79</v>
      </c>
      <c r="F1262" t="s">
        <v>80</v>
      </c>
      <c r="G1262" s="6">
        <v>1</v>
      </c>
      <c r="H1262" s="4">
        <v>77.489999999999995</v>
      </c>
      <c r="I1262" s="4">
        <v>44.74</v>
      </c>
      <c r="J1262" s="5">
        <v>0.15000000000000002</v>
      </c>
      <c r="K1262" s="6">
        <v>0</v>
      </c>
      <c r="L1262" s="6">
        <v>4</v>
      </c>
      <c r="M1262" t="s">
        <v>58</v>
      </c>
      <c r="N1262" t="s">
        <v>69</v>
      </c>
      <c r="O1262" t="s">
        <v>64</v>
      </c>
    </row>
    <row r="1263" spans="1:15">
      <c r="A1263" t="s">
        <v>1360</v>
      </c>
      <c r="B1263" s="3">
        <v>45845</v>
      </c>
      <c r="C1263" t="s">
        <v>66</v>
      </c>
      <c r="D1263" t="s">
        <v>55</v>
      </c>
      <c r="E1263" t="s">
        <v>79</v>
      </c>
      <c r="F1263" t="s">
        <v>92</v>
      </c>
      <c r="G1263" s="6">
        <v>1</v>
      </c>
      <c r="H1263" s="4">
        <v>48.8</v>
      </c>
      <c r="I1263" s="4">
        <v>25.88</v>
      </c>
      <c r="J1263" s="5">
        <v>0.1</v>
      </c>
      <c r="K1263" s="6">
        <v>1</v>
      </c>
      <c r="L1263" s="6">
        <v>4</v>
      </c>
      <c r="M1263" t="s">
        <v>58</v>
      </c>
      <c r="N1263" t="s">
        <v>69</v>
      </c>
      <c r="O1263" t="s">
        <v>64</v>
      </c>
    </row>
    <row r="1264" spans="1:15">
      <c r="A1264" t="s">
        <v>1361</v>
      </c>
      <c r="B1264" s="3">
        <v>45702</v>
      </c>
      <c r="C1264" t="s">
        <v>54</v>
      </c>
      <c r="D1264" t="s">
        <v>62</v>
      </c>
      <c r="E1264" t="s">
        <v>56</v>
      </c>
      <c r="F1264" t="s">
        <v>83</v>
      </c>
      <c r="G1264" s="6">
        <v>1</v>
      </c>
      <c r="H1264" s="4">
        <v>64.02</v>
      </c>
      <c r="I1264" s="4">
        <v>36.340000000000003</v>
      </c>
      <c r="J1264" s="5">
        <v>0</v>
      </c>
      <c r="K1264" s="6">
        <v>4</v>
      </c>
      <c r="L1264" s="6">
        <v>4</v>
      </c>
      <c r="M1264" t="s">
        <v>58</v>
      </c>
      <c r="N1264" t="s">
        <v>59</v>
      </c>
      <c r="O1264" t="s">
        <v>64</v>
      </c>
    </row>
    <row r="1265" spans="1:15">
      <c r="A1265" t="s">
        <v>1362</v>
      </c>
      <c r="B1265" s="3">
        <v>45864</v>
      </c>
      <c r="C1265" t="s">
        <v>78</v>
      </c>
      <c r="D1265" t="s">
        <v>62</v>
      </c>
      <c r="E1265" t="s">
        <v>79</v>
      </c>
      <c r="F1265" t="s">
        <v>115</v>
      </c>
      <c r="G1265" s="6">
        <v>1</v>
      </c>
      <c r="H1265" s="4">
        <v>59.51</v>
      </c>
      <c r="I1265" s="4">
        <v>34.159999999999997</v>
      </c>
      <c r="J1265" s="5">
        <v>0.1</v>
      </c>
      <c r="K1265" s="6">
        <v>4</v>
      </c>
      <c r="L1265" s="6">
        <v>4</v>
      </c>
      <c r="M1265" t="s">
        <v>58</v>
      </c>
      <c r="N1265" t="s">
        <v>59</v>
      </c>
      <c r="O1265" t="s">
        <v>64</v>
      </c>
    </row>
    <row r="1266" spans="1:15">
      <c r="A1266" t="s">
        <v>1363</v>
      </c>
      <c r="B1266" s="3">
        <v>45955</v>
      </c>
      <c r="C1266" t="s">
        <v>78</v>
      </c>
      <c r="D1266" t="s">
        <v>55</v>
      </c>
      <c r="E1266" t="s">
        <v>67</v>
      </c>
      <c r="F1266" t="s">
        <v>68</v>
      </c>
      <c r="G1266" s="6">
        <v>4</v>
      </c>
      <c r="H1266" s="4">
        <v>39.200000000000003</v>
      </c>
      <c r="I1266" s="4">
        <v>19.63</v>
      </c>
      <c r="J1266" s="5">
        <v>0</v>
      </c>
      <c r="K1266" s="6">
        <v>7</v>
      </c>
      <c r="L1266" s="6">
        <v>4</v>
      </c>
      <c r="M1266" t="s">
        <v>58</v>
      </c>
      <c r="N1266" t="s">
        <v>59</v>
      </c>
      <c r="O1266" t="s">
        <v>60</v>
      </c>
    </row>
    <row r="1267" spans="1:15">
      <c r="A1267" t="s">
        <v>1364</v>
      </c>
      <c r="B1267" s="3">
        <v>45752</v>
      </c>
      <c r="C1267" t="s">
        <v>66</v>
      </c>
      <c r="D1267" t="s">
        <v>62</v>
      </c>
      <c r="E1267" t="s">
        <v>56</v>
      </c>
      <c r="F1267" t="s">
        <v>63</v>
      </c>
      <c r="G1267" s="6">
        <v>1</v>
      </c>
      <c r="H1267" s="4">
        <v>38.979999999999997</v>
      </c>
      <c r="I1267" s="4">
        <v>19.97</v>
      </c>
      <c r="J1267" s="5">
        <v>0.1</v>
      </c>
      <c r="K1267" s="6">
        <v>5</v>
      </c>
      <c r="L1267" s="6">
        <v>4</v>
      </c>
      <c r="M1267" t="s">
        <v>58</v>
      </c>
      <c r="N1267" t="s">
        <v>59</v>
      </c>
      <c r="O1267" t="s">
        <v>60</v>
      </c>
    </row>
    <row r="1268" spans="1:15">
      <c r="A1268" t="s">
        <v>1365</v>
      </c>
      <c r="B1268" s="3">
        <v>46004</v>
      </c>
      <c r="C1268" t="s">
        <v>82</v>
      </c>
      <c r="D1268" t="s">
        <v>55</v>
      </c>
      <c r="E1268" t="s">
        <v>67</v>
      </c>
      <c r="F1268" t="s">
        <v>71</v>
      </c>
      <c r="G1268" s="6">
        <v>3</v>
      </c>
      <c r="H1268" s="4">
        <v>71.8</v>
      </c>
      <c r="I1268" s="4">
        <v>36.909999999999997</v>
      </c>
      <c r="J1268" s="5">
        <v>0.15000000000000002</v>
      </c>
      <c r="K1268" s="6">
        <v>7</v>
      </c>
      <c r="L1268" s="6">
        <v>3</v>
      </c>
      <c r="M1268" t="s">
        <v>58</v>
      </c>
      <c r="N1268" t="s">
        <v>59</v>
      </c>
      <c r="O1268" t="s">
        <v>73</v>
      </c>
    </row>
    <row r="1269" spans="1:15">
      <c r="A1269" t="s">
        <v>1366</v>
      </c>
      <c r="B1269" s="3">
        <v>45892</v>
      </c>
      <c r="C1269" t="s">
        <v>82</v>
      </c>
      <c r="D1269" t="s">
        <v>62</v>
      </c>
      <c r="E1269" t="s">
        <v>67</v>
      </c>
      <c r="F1269" t="s">
        <v>107</v>
      </c>
      <c r="G1269" s="6">
        <v>2</v>
      </c>
      <c r="H1269" s="4">
        <v>46.54</v>
      </c>
      <c r="I1269" s="4">
        <v>21.62</v>
      </c>
      <c r="J1269" s="5">
        <v>0.05</v>
      </c>
      <c r="K1269" s="6">
        <v>4</v>
      </c>
      <c r="L1269" s="6">
        <v>4</v>
      </c>
      <c r="M1269" t="s">
        <v>58</v>
      </c>
      <c r="N1269" t="s">
        <v>59</v>
      </c>
      <c r="O1269" t="s">
        <v>64</v>
      </c>
    </row>
    <row r="1270" spans="1:15">
      <c r="A1270" t="s">
        <v>1367</v>
      </c>
      <c r="B1270" s="3">
        <v>45705</v>
      </c>
      <c r="C1270" t="s">
        <v>82</v>
      </c>
      <c r="D1270" t="s">
        <v>62</v>
      </c>
      <c r="E1270" t="s">
        <v>67</v>
      </c>
      <c r="F1270" t="s">
        <v>68</v>
      </c>
      <c r="G1270" s="6">
        <v>1</v>
      </c>
      <c r="H1270" s="4">
        <v>41.04</v>
      </c>
      <c r="I1270" s="4">
        <v>19.34</v>
      </c>
      <c r="J1270" s="5">
        <v>0.1</v>
      </c>
      <c r="K1270" s="6">
        <v>4</v>
      </c>
      <c r="L1270" s="6">
        <v>4</v>
      </c>
      <c r="M1270" t="s">
        <v>58</v>
      </c>
      <c r="N1270" t="s">
        <v>59</v>
      </c>
      <c r="O1270" t="s">
        <v>64</v>
      </c>
    </row>
    <row r="1271" spans="1:15">
      <c r="A1271" t="s">
        <v>1368</v>
      </c>
      <c r="B1271" s="3">
        <v>45993</v>
      </c>
      <c r="C1271" t="s">
        <v>78</v>
      </c>
      <c r="D1271" t="s">
        <v>55</v>
      </c>
      <c r="E1271" t="s">
        <v>56</v>
      </c>
      <c r="F1271" t="s">
        <v>57</v>
      </c>
      <c r="G1271" s="6">
        <v>2</v>
      </c>
      <c r="H1271" s="4">
        <v>113.74</v>
      </c>
      <c r="I1271" s="4">
        <v>66.41</v>
      </c>
      <c r="J1271" s="5">
        <v>0.2</v>
      </c>
      <c r="K1271" s="6">
        <v>3</v>
      </c>
      <c r="L1271" s="6">
        <v>4</v>
      </c>
      <c r="M1271" t="s">
        <v>58</v>
      </c>
      <c r="N1271" t="s">
        <v>69</v>
      </c>
      <c r="O1271" t="s">
        <v>64</v>
      </c>
    </row>
    <row r="1272" spans="1:15">
      <c r="A1272" t="s">
        <v>1369</v>
      </c>
      <c r="B1272" s="3">
        <v>45903</v>
      </c>
      <c r="C1272" t="s">
        <v>82</v>
      </c>
      <c r="D1272" t="s">
        <v>129</v>
      </c>
      <c r="E1272" t="s">
        <v>56</v>
      </c>
      <c r="F1272" t="s">
        <v>63</v>
      </c>
      <c r="G1272" s="6">
        <v>10</v>
      </c>
      <c r="H1272" s="4">
        <v>41.29</v>
      </c>
      <c r="I1272" s="4">
        <v>20.97</v>
      </c>
      <c r="J1272" s="5">
        <v>0.05</v>
      </c>
      <c r="K1272" s="6">
        <v>0</v>
      </c>
      <c r="L1272" s="6">
        <v>4</v>
      </c>
      <c r="M1272" t="s">
        <v>58</v>
      </c>
      <c r="N1272" t="s">
        <v>69</v>
      </c>
      <c r="O1272" t="s">
        <v>64</v>
      </c>
    </row>
    <row r="1273" spans="1:15">
      <c r="A1273" t="s">
        <v>1370</v>
      </c>
      <c r="B1273" s="3">
        <v>45950</v>
      </c>
      <c r="C1273" t="s">
        <v>78</v>
      </c>
      <c r="D1273" t="s">
        <v>55</v>
      </c>
      <c r="E1273" t="s">
        <v>67</v>
      </c>
      <c r="F1273" t="s">
        <v>71</v>
      </c>
      <c r="G1273" s="6">
        <v>1</v>
      </c>
      <c r="H1273" s="4">
        <v>68.349999999999994</v>
      </c>
      <c r="I1273" s="4">
        <v>38.61</v>
      </c>
      <c r="J1273" s="5">
        <v>0.05</v>
      </c>
      <c r="K1273" s="6">
        <v>7</v>
      </c>
      <c r="L1273" s="6">
        <v>4</v>
      </c>
      <c r="M1273" t="s">
        <v>58</v>
      </c>
      <c r="N1273" t="s">
        <v>87</v>
      </c>
      <c r="O1273" t="s">
        <v>64</v>
      </c>
    </row>
    <row r="1274" spans="1:15">
      <c r="A1274" t="s">
        <v>1371</v>
      </c>
      <c r="B1274" s="3">
        <v>45999</v>
      </c>
      <c r="C1274" t="s">
        <v>78</v>
      </c>
      <c r="D1274" t="s">
        <v>62</v>
      </c>
      <c r="E1274" t="s">
        <v>79</v>
      </c>
      <c r="F1274" t="s">
        <v>80</v>
      </c>
      <c r="G1274" s="6">
        <v>1</v>
      </c>
      <c r="H1274" s="4">
        <v>76.239999999999995</v>
      </c>
      <c r="I1274" s="4">
        <v>43.12</v>
      </c>
      <c r="J1274" s="5">
        <v>0.05</v>
      </c>
      <c r="K1274" s="6">
        <v>3</v>
      </c>
      <c r="L1274" s="6">
        <v>4</v>
      </c>
      <c r="M1274" t="s">
        <v>58</v>
      </c>
      <c r="N1274" t="s">
        <v>59</v>
      </c>
      <c r="O1274" t="s">
        <v>60</v>
      </c>
    </row>
    <row r="1275" spans="1:15">
      <c r="A1275" t="s">
        <v>1372</v>
      </c>
      <c r="B1275" s="3">
        <v>45759</v>
      </c>
      <c r="C1275" t="s">
        <v>82</v>
      </c>
      <c r="D1275" t="s">
        <v>62</v>
      </c>
      <c r="E1275" t="s">
        <v>56</v>
      </c>
      <c r="F1275" t="s">
        <v>89</v>
      </c>
      <c r="G1275" s="6">
        <v>2</v>
      </c>
      <c r="H1275" s="4">
        <v>79.319999999999993</v>
      </c>
      <c r="I1275" s="4">
        <v>43.98</v>
      </c>
      <c r="J1275" s="5">
        <v>0</v>
      </c>
      <c r="K1275" s="6">
        <v>3</v>
      </c>
      <c r="L1275" s="6">
        <v>5</v>
      </c>
      <c r="M1275" t="s">
        <v>58</v>
      </c>
      <c r="N1275" t="s">
        <v>59</v>
      </c>
      <c r="O1275" t="s">
        <v>60</v>
      </c>
    </row>
    <row r="1276" spans="1:15">
      <c r="A1276" t="s">
        <v>1373</v>
      </c>
      <c r="B1276" s="3">
        <v>45893</v>
      </c>
      <c r="C1276" t="s">
        <v>82</v>
      </c>
      <c r="D1276" t="s">
        <v>62</v>
      </c>
      <c r="E1276" t="s">
        <v>56</v>
      </c>
      <c r="F1276" t="s">
        <v>89</v>
      </c>
      <c r="G1276" s="6">
        <v>2</v>
      </c>
      <c r="H1276" s="4">
        <v>78.8</v>
      </c>
      <c r="I1276" s="4">
        <v>46.9</v>
      </c>
      <c r="J1276" s="5">
        <v>0</v>
      </c>
      <c r="K1276" s="6">
        <v>5</v>
      </c>
      <c r="L1276" s="6">
        <v>4</v>
      </c>
      <c r="M1276" t="s">
        <v>58</v>
      </c>
      <c r="N1276" t="s">
        <v>59</v>
      </c>
      <c r="O1276" t="s">
        <v>64</v>
      </c>
    </row>
    <row r="1277" spans="1:15">
      <c r="A1277" t="s">
        <v>1374</v>
      </c>
      <c r="B1277" s="3">
        <v>45915</v>
      </c>
      <c r="C1277" t="s">
        <v>54</v>
      </c>
      <c r="D1277" t="s">
        <v>62</v>
      </c>
      <c r="E1277" t="s">
        <v>56</v>
      </c>
      <c r="F1277" t="s">
        <v>63</v>
      </c>
      <c r="G1277" s="6">
        <v>3</v>
      </c>
      <c r="H1277" s="4">
        <v>40.32</v>
      </c>
      <c r="I1277" s="4">
        <v>19.71</v>
      </c>
      <c r="J1277" s="5">
        <v>0.05</v>
      </c>
      <c r="K1277" s="6">
        <v>1</v>
      </c>
      <c r="L1277" s="6">
        <v>5</v>
      </c>
      <c r="M1277" t="s">
        <v>58</v>
      </c>
      <c r="N1277" t="s">
        <v>59</v>
      </c>
      <c r="O1277" t="s">
        <v>73</v>
      </c>
    </row>
    <row r="1278" spans="1:15">
      <c r="A1278" t="s">
        <v>1375</v>
      </c>
      <c r="B1278" s="3">
        <v>45846</v>
      </c>
      <c r="C1278" t="s">
        <v>66</v>
      </c>
      <c r="D1278" t="s">
        <v>55</v>
      </c>
      <c r="E1278" t="s">
        <v>75</v>
      </c>
      <c r="F1278" t="s">
        <v>97</v>
      </c>
      <c r="G1278" s="6">
        <v>5</v>
      </c>
      <c r="H1278" s="4">
        <v>92.76</v>
      </c>
      <c r="I1278" s="4">
        <v>53.71</v>
      </c>
      <c r="J1278" s="5">
        <v>0.1</v>
      </c>
      <c r="K1278" s="6">
        <v>6</v>
      </c>
      <c r="L1278" s="6">
        <v>4</v>
      </c>
      <c r="M1278" t="s">
        <v>58</v>
      </c>
      <c r="N1278" t="s">
        <v>59</v>
      </c>
      <c r="O1278" t="s">
        <v>60</v>
      </c>
    </row>
    <row r="1279" spans="1:15">
      <c r="A1279" t="s">
        <v>1376</v>
      </c>
      <c r="B1279" s="3">
        <v>45982</v>
      </c>
      <c r="C1279" t="s">
        <v>82</v>
      </c>
      <c r="D1279" t="s">
        <v>62</v>
      </c>
      <c r="E1279" t="s">
        <v>67</v>
      </c>
      <c r="F1279" t="s">
        <v>71</v>
      </c>
      <c r="G1279" s="6">
        <v>2</v>
      </c>
      <c r="H1279" s="4">
        <v>69.28</v>
      </c>
      <c r="I1279" s="4">
        <v>38.69</v>
      </c>
      <c r="J1279" s="5">
        <v>0.1</v>
      </c>
      <c r="K1279" s="6">
        <v>7</v>
      </c>
      <c r="L1279" s="6">
        <v>4</v>
      </c>
      <c r="M1279" t="s">
        <v>58</v>
      </c>
      <c r="N1279" t="s">
        <v>59</v>
      </c>
      <c r="O1279" t="s">
        <v>64</v>
      </c>
    </row>
    <row r="1280" spans="1:15">
      <c r="A1280" t="s">
        <v>1377</v>
      </c>
      <c r="B1280" s="3">
        <v>45877</v>
      </c>
      <c r="C1280" t="s">
        <v>82</v>
      </c>
      <c r="D1280" t="s">
        <v>55</v>
      </c>
      <c r="E1280" t="s">
        <v>79</v>
      </c>
      <c r="F1280" t="s">
        <v>80</v>
      </c>
      <c r="G1280" s="6">
        <v>5</v>
      </c>
      <c r="H1280" s="4">
        <v>74.739999999999995</v>
      </c>
      <c r="I1280" s="4">
        <v>43.96</v>
      </c>
      <c r="J1280" s="5">
        <v>0.1</v>
      </c>
      <c r="K1280" s="6">
        <v>3</v>
      </c>
      <c r="L1280" s="6">
        <v>4</v>
      </c>
      <c r="M1280" t="s">
        <v>58</v>
      </c>
      <c r="N1280" t="s">
        <v>59</v>
      </c>
      <c r="O1280" t="s">
        <v>64</v>
      </c>
    </row>
    <row r="1281" spans="1:15">
      <c r="A1281" t="s">
        <v>1378</v>
      </c>
      <c r="B1281" s="3">
        <v>45827</v>
      </c>
      <c r="C1281" t="s">
        <v>78</v>
      </c>
      <c r="D1281" t="s">
        <v>62</v>
      </c>
      <c r="E1281" t="s">
        <v>67</v>
      </c>
      <c r="F1281" t="s">
        <v>107</v>
      </c>
      <c r="G1281" s="6">
        <v>3</v>
      </c>
      <c r="H1281" s="4">
        <v>46.16</v>
      </c>
      <c r="I1281" s="4">
        <v>21.44</v>
      </c>
      <c r="J1281" s="5">
        <v>0.05</v>
      </c>
      <c r="K1281" s="6">
        <v>4</v>
      </c>
      <c r="L1281" s="6">
        <v>4</v>
      </c>
      <c r="M1281" t="s">
        <v>58</v>
      </c>
      <c r="N1281" t="s">
        <v>87</v>
      </c>
      <c r="O1281" t="s">
        <v>64</v>
      </c>
    </row>
    <row r="1282" spans="1:15">
      <c r="A1282" t="s">
        <v>1379</v>
      </c>
      <c r="B1282" s="3">
        <v>45973</v>
      </c>
      <c r="C1282" t="s">
        <v>54</v>
      </c>
      <c r="D1282" t="s">
        <v>62</v>
      </c>
      <c r="E1282" t="s">
        <v>79</v>
      </c>
      <c r="F1282" t="s">
        <v>115</v>
      </c>
      <c r="G1282" s="6">
        <v>2</v>
      </c>
      <c r="H1282" s="4">
        <v>62.31</v>
      </c>
      <c r="I1282" s="4">
        <v>35.11</v>
      </c>
      <c r="J1282" s="5">
        <v>0.1</v>
      </c>
      <c r="K1282" s="6">
        <v>0</v>
      </c>
      <c r="L1282" s="6">
        <v>5</v>
      </c>
      <c r="M1282" t="s">
        <v>58</v>
      </c>
      <c r="N1282" t="s">
        <v>69</v>
      </c>
      <c r="O1282" t="s">
        <v>73</v>
      </c>
    </row>
    <row r="1283" spans="1:15">
      <c r="A1283" t="s">
        <v>1380</v>
      </c>
      <c r="B1283" s="3">
        <v>45710</v>
      </c>
      <c r="C1283" t="s">
        <v>78</v>
      </c>
      <c r="D1283" t="s">
        <v>62</v>
      </c>
      <c r="E1283" t="s">
        <v>75</v>
      </c>
      <c r="F1283" t="s">
        <v>76</v>
      </c>
      <c r="G1283" s="6">
        <v>1</v>
      </c>
      <c r="H1283" s="4">
        <v>124.41</v>
      </c>
      <c r="I1283" s="4">
        <v>75.42</v>
      </c>
      <c r="J1283" s="5">
        <v>0</v>
      </c>
      <c r="K1283" s="6">
        <v>3</v>
      </c>
      <c r="L1283" s="6">
        <v>4</v>
      </c>
      <c r="M1283" t="s">
        <v>58</v>
      </c>
      <c r="N1283" t="s">
        <v>69</v>
      </c>
      <c r="O1283" t="s">
        <v>60</v>
      </c>
    </row>
    <row r="1284" spans="1:15">
      <c r="A1284" t="s">
        <v>1381</v>
      </c>
      <c r="B1284" s="3">
        <v>45978</v>
      </c>
      <c r="C1284" t="s">
        <v>78</v>
      </c>
      <c r="D1284" t="s">
        <v>62</v>
      </c>
      <c r="E1284" t="s">
        <v>56</v>
      </c>
      <c r="F1284" t="s">
        <v>83</v>
      </c>
      <c r="G1284" s="6">
        <v>3</v>
      </c>
      <c r="H1284" s="4">
        <v>66.819999999999993</v>
      </c>
      <c r="I1284" s="4">
        <v>36.24</v>
      </c>
      <c r="J1284" s="5">
        <v>0.1</v>
      </c>
      <c r="K1284" s="6">
        <v>3</v>
      </c>
      <c r="L1284" s="6">
        <v>4</v>
      </c>
      <c r="M1284" t="s">
        <v>58</v>
      </c>
      <c r="N1284" t="s">
        <v>87</v>
      </c>
      <c r="O1284" t="s">
        <v>64</v>
      </c>
    </row>
    <row r="1285" spans="1:15">
      <c r="A1285" t="s">
        <v>1382</v>
      </c>
      <c r="B1285" s="3">
        <v>45682</v>
      </c>
      <c r="C1285" t="s">
        <v>66</v>
      </c>
      <c r="D1285" t="s">
        <v>55</v>
      </c>
      <c r="E1285" t="s">
        <v>79</v>
      </c>
      <c r="F1285" t="s">
        <v>80</v>
      </c>
      <c r="G1285" s="6">
        <v>1</v>
      </c>
      <c r="H1285" s="4">
        <v>77.2</v>
      </c>
      <c r="I1285" s="4">
        <v>45.09</v>
      </c>
      <c r="J1285" s="5">
        <v>0.05</v>
      </c>
      <c r="K1285" s="6">
        <v>2</v>
      </c>
      <c r="L1285" s="6">
        <v>4</v>
      </c>
      <c r="M1285" t="s">
        <v>58</v>
      </c>
      <c r="N1285" t="s">
        <v>69</v>
      </c>
      <c r="O1285" t="s">
        <v>64</v>
      </c>
    </row>
    <row r="1286" spans="1:15">
      <c r="A1286" t="s">
        <v>1383</v>
      </c>
      <c r="B1286" s="3">
        <v>45855</v>
      </c>
      <c r="C1286" t="s">
        <v>66</v>
      </c>
      <c r="D1286" t="s">
        <v>62</v>
      </c>
      <c r="E1286" t="s">
        <v>79</v>
      </c>
      <c r="F1286" t="s">
        <v>92</v>
      </c>
      <c r="G1286" s="6">
        <v>1</v>
      </c>
      <c r="H1286" s="4">
        <v>50.34</v>
      </c>
      <c r="I1286" s="4">
        <v>27.08</v>
      </c>
      <c r="J1286" s="5">
        <v>0.1</v>
      </c>
      <c r="K1286" s="6">
        <v>3</v>
      </c>
      <c r="L1286" s="6">
        <v>5</v>
      </c>
      <c r="M1286" t="s">
        <v>58</v>
      </c>
      <c r="N1286" t="s">
        <v>59</v>
      </c>
      <c r="O1286" t="s">
        <v>60</v>
      </c>
    </row>
    <row r="1287" spans="1:15">
      <c r="A1287" t="s">
        <v>1384</v>
      </c>
      <c r="B1287" s="3">
        <v>45913</v>
      </c>
      <c r="C1287" t="s">
        <v>78</v>
      </c>
      <c r="D1287" t="s">
        <v>62</v>
      </c>
      <c r="E1287" t="s">
        <v>79</v>
      </c>
      <c r="F1287" t="s">
        <v>85</v>
      </c>
      <c r="G1287" s="6">
        <v>1</v>
      </c>
      <c r="H1287" s="4">
        <v>128.35</v>
      </c>
      <c r="I1287" s="4">
        <v>87.4</v>
      </c>
      <c r="J1287" s="5">
        <v>0</v>
      </c>
      <c r="K1287" s="6">
        <v>3</v>
      </c>
      <c r="L1287" s="6">
        <v>4</v>
      </c>
      <c r="M1287" t="s">
        <v>58</v>
      </c>
      <c r="N1287" t="s">
        <v>59</v>
      </c>
      <c r="O1287" t="s">
        <v>64</v>
      </c>
    </row>
    <row r="1288" spans="1:15">
      <c r="A1288" t="s">
        <v>1385</v>
      </c>
      <c r="B1288" s="3">
        <v>45837</v>
      </c>
      <c r="C1288" t="s">
        <v>78</v>
      </c>
      <c r="D1288" t="s">
        <v>62</v>
      </c>
      <c r="E1288" t="s">
        <v>56</v>
      </c>
      <c r="F1288" t="s">
        <v>89</v>
      </c>
      <c r="G1288" s="6">
        <v>4</v>
      </c>
      <c r="H1288" s="4">
        <v>83.15</v>
      </c>
      <c r="I1288" s="4">
        <v>46.74</v>
      </c>
      <c r="J1288" s="5">
        <v>0</v>
      </c>
      <c r="K1288" s="6">
        <v>3</v>
      </c>
      <c r="L1288" s="6">
        <v>5</v>
      </c>
      <c r="M1288" t="s">
        <v>58</v>
      </c>
      <c r="N1288" t="s">
        <v>87</v>
      </c>
      <c r="O1288" t="s">
        <v>64</v>
      </c>
    </row>
    <row r="1289" spans="1:15">
      <c r="A1289" t="s">
        <v>1386</v>
      </c>
      <c r="B1289" s="3">
        <v>45738</v>
      </c>
      <c r="C1289" t="s">
        <v>78</v>
      </c>
      <c r="D1289" t="s">
        <v>62</v>
      </c>
      <c r="E1289" t="s">
        <v>67</v>
      </c>
      <c r="F1289" t="s">
        <v>71</v>
      </c>
      <c r="G1289" s="6">
        <v>1</v>
      </c>
      <c r="H1289" s="4">
        <v>72.56</v>
      </c>
      <c r="I1289" s="4">
        <v>39.26</v>
      </c>
      <c r="J1289" s="5">
        <v>0.05</v>
      </c>
      <c r="K1289" s="6">
        <v>3</v>
      </c>
      <c r="L1289" s="6">
        <v>4</v>
      </c>
      <c r="M1289" t="s">
        <v>58</v>
      </c>
      <c r="N1289" t="s">
        <v>59</v>
      </c>
      <c r="O1289" t="s">
        <v>64</v>
      </c>
    </row>
    <row r="1290" spans="1:15">
      <c r="A1290" t="s">
        <v>1387</v>
      </c>
      <c r="B1290" s="3">
        <v>45686</v>
      </c>
      <c r="C1290" t="s">
        <v>54</v>
      </c>
      <c r="D1290" t="s">
        <v>62</v>
      </c>
      <c r="E1290" t="s">
        <v>75</v>
      </c>
      <c r="F1290" t="s">
        <v>97</v>
      </c>
      <c r="G1290" s="6">
        <v>1</v>
      </c>
      <c r="H1290" s="4">
        <v>91.92</v>
      </c>
      <c r="I1290" s="4">
        <v>54.39</v>
      </c>
      <c r="J1290" s="5">
        <v>0.05</v>
      </c>
      <c r="K1290" s="6">
        <v>0</v>
      </c>
      <c r="L1290" s="6">
        <v>4</v>
      </c>
      <c r="M1290" t="s">
        <v>58</v>
      </c>
      <c r="N1290" t="s">
        <v>69</v>
      </c>
      <c r="O1290" t="s">
        <v>64</v>
      </c>
    </row>
    <row r="1291" spans="1:15">
      <c r="A1291" t="s">
        <v>1388</v>
      </c>
      <c r="B1291" s="3">
        <v>45801</v>
      </c>
      <c r="C1291" t="s">
        <v>54</v>
      </c>
      <c r="D1291" t="s">
        <v>62</v>
      </c>
      <c r="E1291" t="s">
        <v>67</v>
      </c>
      <c r="F1291" t="s">
        <v>94</v>
      </c>
      <c r="G1291" s="6">
        <v>1</v>
      </c>
      <c r="H1291" s="4">
        <v>34.1</v>
      </c>
      <c r="I1291" s="4">
        <v>17.079999999999998</v>
      </c>
      <c r="J1291" s="5">
        <v>0.1</v>
      </c>
      <c r="K1291" s="6">
        <v>2</v>
      </c>
      <c r="L1291" s="6">
        <v>5</v>
      </c>
      <c r="M1291" t="s">
        <v>58</v>
      </c>
      <c r="N1291" t="s">
        <v>59</v>
      </c>
      <c r="O1291" t="s">
        <v>64</v>
      </c>
    </row>
    <row r="1292" spans="1:15">
      <c r="A1292" t="s">
        <v>1389</v>
      </c>
      <c r="B1292" s="3">
        <v>45765</v>
      </c>
      <c r="C1292" t="s">
        <v>54</v>
      </c>
      <c r="D1292" t="s">
        <v>62</v>
      </c>
      <c r="E1292" t="s">
        <v>79</v>
      </c>
      <c r="F1292" t="s">
        <v>85</v>
      </c>
      <c r="G1292" s="6">
        <v>1</v>
      </c>
      <c r="H1292" s="4">
        <v>134.02000000000001</v>
      </c>
      <c r="I1292" s="4">
        <v>81.540000000000006</v>
      </c>
      <c r="J1292" s="5">
        <v>0</v>
      </c>
      <c r="K1292" s="6">
        <v>2</v>
      </c>
      <c r="L1292" s="6">
        <v>4</v>
      </c>
      <c r="M1292" t="s">
        <v>58</v>
      </c>
      <c r="N1292" t="s">
        <v>59</v>
      </c>
      <c r="O1292" t="s">
        <v>64</v>
      </c>
    </row>
    <row r="1293" spans="1:15">
      <c r="A1293" t="s">
        <v>1390</v>
      </c>
      <c r="B1293" s="3">
        <v>46006</v>
      </c>
      <c r="C1293" t="s">
        <v>66</v>
      </c>
      <c r="D1293" t="s">
        <v>62</v>
      </c>
      <c r="E1293" t="s">
        <v>79</v>
      </c>
      <c r="F1293" t="s">
        <v>80</v>
      </c>
      <c r="G1293" s="6">
        <v>1</v>
      </c>
      <c r="H1293" s="4">
        <v>75.180000000000007</v>
      </c>
      <c r="I1293" s="4">
        <v>41.76</v>
      </c>
      <c r="J1293" s="5">
        <v>0</v>
      </c>
      <c r="K1293" s="6">
        <v>4</v>
      </c>
      <c r="L1293" s="6">
        <v>4</v>
      </c>
      <c r="M1293" t="s">
        <v>58</v>
      </c>
      <c r="N1293" t="s">
        <v>59</v>
      </c>
      <c r="O1293" t="s">
        <v>64</v>
      </c>
    </row>
    <row r="1294" spans="1:15">
      <c r="A1294" t="s">
        <v>1391</v>
      </c>
      <c r="B1294" s="3">
        <v>45690</v>
      </c>
      <c r="C1294" t="s">
        <v>82</v>
      </c>
      <c r="D1294" t="s">
        <v>55</v>
      </c>
      <c r="E1294" t="s">
        <v>79</v>
      </c>
      <c r="F1294" t="s">
        <v>115</v>
      </c>
      <c r="G1294" s="6">
        <v>3</v>
      </c>
      <c r="H1294" s="4">
        <v>61.88</v>
      </c>
      <c r="I1294" s="4">
        <v>34.82</v>
      </c>
      <c r="J1294" s="5">
        <v>0</v>
      </c>
      <c r="K1294" s="6">
        <v>4</v>
      </c>
      <c r="L1294" s="6">
        <v>4</v>
      </c>
      <c r="M1294" t="s">
        <v>58</v>
      </c>
      <c r="N1294" t="s">
        <v>59</v>
      </c>
      <c r="O1294" t="s">
        <v>60</v>
      </c>
    </row>
    <row r="1295" spans="1:15">
      <c r="A1295" t="s">
        <v>1392</v>
      </c>
      <c r="B1295" s="3">
        <v>45743</v>
      </c>
      <c r="C1295" t="s">
        <v>66</v>
      </c>
      <c r="D1295" t="s">
        <v>129</v>
      </c>
      <c r="E1295" t="s">
        <v>67</v>
      </c>
      <c r="F1295" t="s">
        <v>71</v>
      </c>
      <c r="G1295" s="6">
        <v>4</v>
      </c>
      <c r="H1295" s="4">
        <v>70.790000000000006</v>
      </c>
      <c r="I1295" s="4">
        <v>37.619999999999997</v>
      </c>
      <c r="J1295" s="5">
        <v>0.1</v>
      </c>
      <c r="K1295" s="6">
        <v>5</v>
      </c>
      <c r="L1295" s="6">
        <v>5</v>
      </c>
      <c r="M1295" t="s">
        <v>58</v>
      </c>
      <c r="N1295" t="s">
        <v>59</v>
      </c>
      <c r="O1295" t="s">
        <v>73</v>
      </c>
    </row>
    <row r="1296" spans="1:15">
      <c r="A1296" t="s">
        <v>1393</v>
      </c>
      <c r="B1296" s="3">
        <v>45915</v>
      </c>
      <c r="C1296" t="s">
        <v>66</v>
      </c>
      <c r="D1296" t="s">
        <v>62</v>
      </c>
      <c r="E1296" t="s">
        <v>67</v>
      </c>
      <c r="F1296" t="s">
        <v>107</v>
      </c>
      <c r="G1296" s="6">
        <v>1</v>
      </c>
      <c r="H1296" s="4">
        <v>44.28</v>
      </c>
      <c r="I1296" s="4">
        <v>20.48</v>
      </c>
      <c r="J1296" s="5">
        <v>0.15000000000000002</v>
      </c>
      <c r="K1296" s="6">
        <v>5</v>
      </c>
      <c r="L1296" s="6">
        <v>5</v>
      </c>
      <c r="M1296" t="s">
        <v>58</v>
      </c>
      <c r="N1296" t="s">
        <v>59</v>
      </c>
      <c r="O1296" t="s">
        <v>64</v>
      </c>
    </row>
    <row r="1297" spans="1:15">
      <c r="A1297" t="s">
        <v>1394</v>
      </c>
      <c r="B1297" s="3">
        <v>45876</v>
      </c>
      <c r="C1297" t="s">
        <v>66</v>
      </c>
      <c r="D1297" t="s">
        <v>62</v>
      </c>
      <c r="E1297" t="s">
        <v>79</v>
      </c>
      <c r="F1297" t="s">
        <v>85</v>
      </c>
      <c r="G1297" s="6">
        <v>3</v>
      </c>
      <c r="H1297" s="4">
        <v>132.69</v>
      </c>
      <c r="I1297" s="4">
        <v>83.17</v>
      </c>
      <c r="J1297" s="5">
        <v>0.1</v>
      </c>
      <c r="K1297" s="6">
        <v>3</v>
      </c>
      <c r="L1297" s="6">
        <v>4</v>
      </c>
      <c r="M1297" t="s">
        <v>58</v>
      </c>
      <c r="N1297" t="s">
        <v>87</v>
      </c>
      <c r="O1297" t="s">
        <v>64</v>
      </c>
    </row>
    <row r="1298" spans="1:15">
      <c r="A1298" t="s">
        <v>1395</v>
      </c>
      <c r="B1298" s="3">
        <v>45916</v>
      </c>
      <c r="C1298" t="s">
        <v>66</v>
      </c>
      <c r="D1298" t="s">
        <v>55</v>
      </c>
      <c r="E1298" t="s">
        <v>56</v>
      </c>
      <c r="F1298" t="s">
        <v>63</v>
      </c>
      <c r="G1298" s="6">
        <v>4</v>
      </c>
      <c r="H1298" s="4">
        <v>38.89</v>
      </c>
      <c r="I1298" s="4">
        <v>20.010000000000002</v>
      </c>
      <c r="J1298" s="5">
        <v>0.05</v>
      </c>
      <c r="K1298" s="6">
        <v>4</v>
      </c>
      <c r="L1298" s="6">
        <v>5</v>
      </c>
      <c r="M1298" t="s">
        <v>58</v>
      </c>
      <c r="N1298" t="s">
        <v>59</v>
      </c>
      <c r="O1298" t="s">
        <v>64</v>
      </c>
    </row>
    <row r="1299" spans="1:15">
      <c r="A1299" t="s">
        <v>1396</v>
      </c>
      <c r="B1299" s="3">
        <v>45993</v>
      </c>
      <c r="C1299" t="s">
        <v>82</v>
      </c>
      <c r="D1299" t="s">
        <v>62</v>
      </c>
      <c r="E1299" t="s">
        <v>75</v>
      </c>
      <c r="F1299" t="s">
        <v>76</v>
      </c>
      <c r="G1299" s="6">
        <v>1</v>
      </c>
      <c r="H1299" s="4">
        <v>121.54</v>
      </c>
      <c r="I1299" s="4">
        <v>72.11</v>
      </c>
      <c r="J1299" s="5">
        <v>0.05</v>
      </c>
      <c r="K1299" s="6">
        <v>6</v>
      </c>
      <c r="L1299" s="6">
        <v>4</v>
      </c>
      <c r="M1299" t="s">
        <v>58</v>
      </c>
      <c r="N1299" t="s">
        <v>59</v>
      </c>
      <c r="O1299" t="s">
        <v>64</v>
      </c>
    </row>
    <row r="1300" spans="1:15">
      <c r="A1300" t="s">
        <v>1397</v>
      </c>
      <c r="B1300" s="3">
        <v>46002</v>
      </c>
      <c r="C1300" t="s">
        <v>66</v>
      </c>
      <c r="D1300" t="s">
        <v>62</v>
      </c>
      <c r="E1300" t="s">
        <v>79</v>
      </c>
      <c r="F1300" t="s">
        <v>80</v>
      </c>
      <c r="G1300" s="6">
        <v>1</v>
      </c>
      <c r="H1300" s="4">
        <v>75.69</v>
      </c>
      <c r="I1300" s="4">
        <v>44.42</v>
      </c>
      <c r="J1300" s="5">
        <v>0.05</v>
      </c>
      <c r="K1300" s="6">
        <v>2</v>
      </c>
      <c r="L1300" s="6">
        <v>4</v>
      </c>
      <c r="M1300" t="s">
        <v>58</v>
      </c>
      <c r="N1300" t="s">
        <v>59</v>
      </c>
      <c r="O1300" t="s">
        <v>64</v>
      </c>
    </row>
    <row r="1301" spans="1:15">
      <c r="A1301" t="s">
        <v>1398</v>
      </c>
      <c r="B1301" s="3">
        <v>46002</v>
      </c>
      <c r="C1301" t="s">
        <v>82</v>
      </c>
      <c r="D1301" t="s">
        <v>129</v>
      </c>
      <c r="E1301" t="s">
        <v>67</v>
      </c>
      <c r="F1301" t="s">
        <v>94</v>
      </c>
      <c r="G1301" s="6">
        <v>3</v>
      </c>
      <c r="H1301" s="4">
        <v>34.99</v>
      </c>
      <c r="I1301" s="4">
        <v>17.7</v>
      </c>
      <c r="J1301" s="5">
        <v>0.15000000000000002</v>
      </c>
      <c r="K1301" s="6">
        <v>3</v>
      </c>
      <c r="L1301" s="6">
        <v>4</v>
      </c>
      <c r="M1301" t="s">
        <v>58</v>
      </c>
      <c r="N1301" t="s">
        <v>59</v>
      </c>
      <c r="O1301" t="s">
        <v>73</v>
      </c>
    </row>
    <row r="1302" spans="1:15">
      <c r="A1302" t="s">
        <v>1399</v>
      </c>
      <c r="B1302" s="3">
        <v>45905</v>
      </c>
      <c r="C1302" t="s">
        <v>78</v>
      </c>
      <c r="D1302" t="s">
        <v>62</v>
      </c>
      <c r="E1302" t="s">
        <v>75</v>
      </c>
      <c r="F1302" t="s">
        <v>97</v>
      </c>
      <c r="G1302" s="6">
        <v>1</v>
      </c>
      <c r="H1302" s="4">
        <v>92.19</v>
      </c>
      <c r="I1302" s="4">
        <v>56.58</v>
      </c>
      <c r="J1302" s="5">
        <v>0.1</v>
      </c>
      <c r="K1302" s="6">
        <v>6</v>
      </c>
      <c r="L1302" s="6">
        <v>3</v>
      </c>
      <c r="M1302" t="s">
        <v>58</v>
      </c>
      <c r="N1302" t="s">
        <v>59</v>
      </c>
      <c r="O1302" t="s">
        <v>64</v>
      </c>
    </row>
    <row r="1303" spans="1:15">
      <c r="A1303" t="s">
        <v>1400</v>
      </c>
      <c r="B1303" s="3">
        <v>45716</v>
      </c>
      <c r="C1303" t="s">
        <v>54</v>
      </c>
      <c r="D1303" t="s">
        <v>55</v>
      </c>
      <c r="E1303" t="s">
        <v>75</v>
      </c>
      <c r="F1303" t="s">
        <v>97</v>
      </c>
      <c r="G1303" s="6">
        <v>2</v>
      </c>
      <c r="H1303" s="4">
        <v>90.34</v>
      </c>
      <c r="I1303" s="4">
        <v>54.09</v>
      </c>
      <c r="J1303" s="5">
        <v>0</v>
      </c>
      <c r="K1303" s="6">
        <v>5</v>
      </c>
      <c r="L1303" s="6">
        <v>4</v>
      </c>
      <c r="M1303" t="s">
        <v>58</v>
      </c>
      <c r="N1303" t="s">
        <v>87</v>
      </c>
      <c r="O1303" t="s">
        <v>60</v>
      </c>
    </row>
    <row r="1304" spans="1:15">
      <c r="A1304" t="s">
        <v>1401</v>
      </c>
      <c r="B1304" s="3">
        <v>45898</v>
      </c>
      <c r="C1304" t="s">
        <v>66</v>
      </c>
      <c r="D1304" t="s">
        <v>62</v>
      </c>
      <c r="E1304" t="s">
        <v>67</v>
      </c>
      <c r="F1304" t="s">
        <v>94</v>
      </c>
      <c r="G1304" s="6">
        <v>1</v>
      </c>
      <c r="H1304" s="4">
        <v>35.03</v>
      </c>
      <c r="I1304" s="4">
        <v>16.73</v>
      </c>
      <c r="J1304" s="5">
        <v>0</v>
      </c>
      <c r="K1304" s="6">
        <v>6</v>
      </c>
      <c r="L1304" s="6">
        <v>4</v>
      </c>
      <c r="M1304" t="s">
        <v>58</v>
      </c>
      <c r="N1304" t="s">
        <v>59</v>
      </c>
      <c r="O1304" t="s">
        <v>73</v>
      </c>
    </row>
    <row r="1305" spans="1:15">
      <c r="A1305" t="s">
        <v>1402</v>
      </c>
      <c r="B1305" s="3">
        <v>45828</v>
      </c>
      <c r="C1305" t="s">
        <v>54</v>
      </c>
      <c r="D1305" t="s">
        <v>62</v>
      </c>
      <c r="E1305" t="s">
        <v>79</v>
      </c>
      <c r="F1305" t="s">
        <v>115</v>
      </c>
      <c r="G1305" s="6">
        <v>1</v>
      </c>
      <c r="H1305" s="4">
        <v>58.47</v>
      </c>
      <c r="I1305" s="4">
        <v>33.39</v>
      </c>
      <c r="J1305" s="5">
        <v>0</v>
      </c>
      <c r="K1305" s="6">
        <v>6</v>
      </c>
      <c r="L1305" s="6">
        <v>4</v>
      </c>
      <c r="M1305" t="s">
        <v>58</v>
      </c>
      <c r="N1305" t="s">
        <v>59</v>
      </c>
      <c r="O1305" t="s">
        <v>73</v>
      </c>
    </row>
    <row r="1306" spans="1:15">
      <c r="A1306" t="s">
        <v>1403</v>
      </c>
      <c r="B1306" s="3">
        <v>45717</v>
      </c>
      <c r="C1306" t="s">
        <v>82</v>
      </c>
      <c r="D1306" t="s">
        <v>129</v>
      </c>
      <c r="E1306" t="s">
        <v>67</v>
      </c>
      <c r="F1306" t="s">
        <v>107</v>
      </c>
      <c r="G1306" s="6">
        <v>4</v>
      </c>
      <c r="H1306" s="4">
        <v>45.93</v>
      </c>
      <c r="I1306" s="4">
        <v>20.81</v>
      </c>
      <c r="J1306" s="5">
        <v>0.05</v>
      </c>
      <c r="K1306" s="6">
        <v>6</v>
      </c>
      <c r="L1306" s="6">
        <v>4</v>
      </c>
      <c r="M1306" t="s">
        <v>58</v>
      </c>
      <c r="N1306" t="s">
        <v>59</v>
      </c>
      <c r="O1306" t="s">
        <v>64</v>
      </c>
    </row>
    <row r="1307" spans="1:15">
      <c r="A1307" t="s">
        <v>1404</v>
      </c>
      <c r="B1307" s="3">
        <v>45744</v>
      </c>
      <c r="C1307" t="s">
        <v>82</v>
      </c>
      <c r="D1307" t="s">
        <v>62</v>
      </c>
      <c r="E1307" t="s">
        <v>56</v>
      </c>
      <c r="F1307" t="s">
        <v>83</v>
      </c>
      <c r="G1307" s="6">
        <v>1</v>
      </c>
      <c r="H1307" s="4">
        <v>63.11</v>
      </c>
      <c r="I1307" s="4">
        <v>34.61</v>
      </c>
      <c r="J1307" s="5">
        <v>0</v>
      </c>
      <c r="K1307" s="6">
        <v>3</v>
      </c>
      <c r="L1307" s="6">
        <v>4</v>
      </c>
      <c r="M1307" t="s">
        <v>58</v>
      </c>
      <c r="N1307" t="s">
        <v>59</v>
      </c>
      <c r="O1307" t="s">
        <v>64</v>
      </c>
    </row>
    <row r="1308" spans="1:15">
      <c r="A1308" t="s">
        <v>1405</v>
      </c>
      <c r="B1308" s="3">
        <v>45679</v>
      </c>
      <c r="C1308" t="s">
        <v>78</v>
      </c>
      <c r="D1308" t="s">
        <v>62</v>
      </c>
      <c r="E1308" t="s">
        <v>79</v>
      </c>
      <c r="F1308" t="s">
        <v>115</v>
      </c>
      <c r="G1308" s="6">
        <v>1</v>
      </c>
      <c r="H1308" s="4">
        <v>60.55</v>
      </c>
      <c r="I1308" s="4">
        <v>35.18</v>
      </c>
      <c r="J1308" s="5">
        <v>0</v>
      </c>
      <c r="K1308" s="6">
        <v>6</v>
      </c>
      <c r="L1308" s="6">
        <v>4</v>
      </c>
      <c r="M1308" t="s">
        <v>58</v>
      </c>
      <c r="N1308" t="s">
        <v>59</v>
      </c>
      <c r="O1308" t="s">
        <v>64</v>
      </c>
    </row>
    <row r="1309" spans="1:15">
      <c r="A1309" t="s">
        <v>1406</v>
      </c>
      <c r="B1309" s="3">
        <v>45924</v>
      </c>
      <c r="C1309" t="s">
        <v>82</v>
      </c>
      <c r="D1309" t="s">
        <v>129</v>
      </c>
      <c r="E1309" t="s">
        <v>75</v>
      </c>
      <c r="F1309" t="s">
        <v>110</v>
      </c>
      <c r="G1309" s="6">
        <v>3</v>
      </c>
      <c r="H1309" s="4">
        <v>156.78</v>
      </c>
      <c r="I1309" s="4">
        <v>105.2</v>
      </c>
      <c r="J1309" s="5">
        <v>0.1</v>
      </c>
      <c r="K1309" s="6">
        <v>1</v>
      </c>
      <c r="L1309" s="6">
        <v>4</v>
      </c>
      <c r="M1309" t="s">
        <v>58</v>
      </c>
      <c r="N1309" t="s">
        <v>69</v>
      </c>
      <c r="O1309" t="s">
        <v>64</v>
      </c>
    </row>
    <row r="1310" spans="1:15">
      <c r="A1310" t="s">
        <v>1407</v>
      </c>
      <c r="B1310" s="3">
        <v>45786</v>
      </c>
      <c r="C1310" t="s">
        <v>78</v>
      </c>
      <c r="D1310" t="s">
        <v>62</v>
      </c>
      <c r="E1310" t="s">
        <v>67</v>
      </c>
      <c r="F1310" t="s">
        <v>94</v>
      </c>
      <c r="G1310" s="6">
        <v>2</v>
      </c>
      <c r="H1310" s="4">
        <v>34.659999999999997</v>
      </c>
      <c r="I1310" s="4">
        <v>16.73</v>
      </c>
      <c r="J1310" s="5">
        <v>0</v>
      </c>
      <c r="K1310" s="6">
        <v>4</v>
      </c>
      <c r="L1310" s="6">
        <v>3</v>
      </c>
      <c r="M1310" t="s">
        <v>126</v>
      </c>
      <c r="N1310" t="s">
        <v>59</v>
      </c>
      <c r="O1310" t="s">
        <v>60</v>
      </c>
    </row>
    <row r="1311" spans="1:15">
      <c r="A1311" t="s">
        <v>1408</v>
      </c>
      <c r="B1311" s="3">
        <v>45874</v>
      </c>
      <c r="C1311" t="s">
        <v>78</v>
      </c>
      <c r="D1311" t="s">
        <v>55</v>
      </c>
      <c r="E1311" t="s">
        <v>79</v>
      </c>
      <c r="F1311" t="s">
        <v>85</v>
      </c>
      <c r="G1311" s="6">
        <v>1</v>
      </c>
      <c r="H1311" s="4">
        <v>128.69</v>
      </c>
      <c r="I1311" s="4">
        <v>86.91</v>
      </c>
      <c r="J1311" s="5">
        <v>0</v>
      </c>
      <c r="K1311" s="6">
        <v>0</v>
      </c>
      <c r="L1311" s="6">
        <v>4</v>
      </c>
      <c r="M1311" t="s">
        <v>58</v>
      </c>
      <c r="N1311" t="s">
        <v>69</v>
      </c>
      <c r="O1311" t="s">
        <v>64</v>
      </c>
    </row>
    <row r="1312" spans="1:15">
      <c r="A1312" t="s">
        <v>1409</v>
      </c>
      <c r="B1312" s="3">
        <v>45934</v>
      </c>
      <c r="C1312" t="s">
        <v>54</v>
      </c>
      <c r="D1312" t="s">
        <v>55</v>
      </c>
      <c r="E1312" t="s">
        <v>75</v>
      </c>
      <c r="F1312" t="s">
        <v>110</v>
      </c>
      <c r="G1312" s="6">
        <v>3</v>
      </c>
      <c r="H1312" s="4">
        <v>162.19</v>
      </c>
      <c r="I1312" s="4">
        <v>101.7</v>
      </c>
      <c r="J1312" s="5">
        <v>0</v>
      </c>
      <c r="K1312" s="6">
        <v>4</v>
      </c>
      <c r="L1312" s="6">
        <v>3</v>
      </c>
      <c r="M1312" t="s">
        <v>126</v>
      </c>
      <c r="N1312" t="s">
        <v>87</v>
      </c>
      <c r="O1312" t="s">
        <v>64</v>
      </c>
    </row>
    <row r="1313" spans="1:15">
      <c r="A1313" t="s">
        <v>1410</v>
      </c>
      <c r="B1313" s="3">
        <v>45830</v>
      </c>
      <c r="C1313" t="s">
        <v>54</v>
      </c>
      <c r="D1313" t="s">
        <v>62</v>
      </c>
      <c r="E1313" t="s">
        <v>67</v>
      </c>
      <c r="F1313" t="s">
        <v>68</v>
      </c>
      <c r="G1313" s="6">
        <v>1</v>
      </c>
      <c r="H1313" s="4">
        <v>39.46</v>
      </c>
      <c r="I1313" s="4">
        <v>19.82</v>
      </c>
      <c r="J1313" s="5">
        <v>0</v>
      </c>
      <c r="K1313" s="6">
        <v>0</v>
      </c>
      <c r="L1313" s="6">
        <v>4</v>
      </c>
      <c r="M1313" t="s">
        <v>58</v>
      </c>
      <c r="N1313" t="s">
        <v>69</v>
      </c>
      <c r="O1313" t="s">
        <v>60</v>
      </c>
    </row>
    <row r="1314" spans="1:15">
      <c r="A1314" t="s">
        <v>1411</v>
      </c>
      <c r="B1314" s="3">
        <v>45817</v>
      </c>
      <c r="C1314" t="s">
        <v>82</v>
      </c>
      <c r="D1314" t="s">
        <v>62</v>
      </c>
      <c r="E1314" t="s">
        <v>75</v>
      </c>
      <c r="F1314" t="s">
        <v>146</v>
      </c>
      <c r="G1314" s="6">
        <v>1</v>
      </c>
      <c r="H1314" s="4">
        <v>184.11</v>
      </c>
      <c r="I1314" s="4">
        <v>112.91</v>
      </c>
      <c r="J1314" s="5">
        <v>0</v>
      </c>
      <c r="K1314" s="6">
        <v>4</v>
      </c>
      <c r="L1314" s="6">
        <v>5</v>
      </c>
      <c r="M1314" t="s">
        <v>58</v>
      </c>
      <c r="N1314" t="s">
        <v>87</v>
      </c>
      <c r="O1314" t="s">
        <v>64</v>
      </c>
    </row>
    <row r="1315" spans="1:15">
      <c r="A1315" t="s">
        <v>1412</v>
      </c>
      <c r="B1315" s="3">
        <v>45850</v>
      </c>
      <c r="C1315" t="s">
        <v>66</v>
      </c>
      <c r="D1315" t="s">
        <v>62</v>
      </c>
      <c r="E1315" t="s">
        <v>67</v>
      </c>
      <c r="F1315" t="s">
        <v>68</v>
      </c>
      <c r="G1315" s="6">
        <v>2</v>
      </c>
      <c r="H1315" s="4">
        <v>40.18</v>
      </c>
      <c r="I1315" s="4">
        <v>18.55</v>
      </c>
      <c r="J1315" s="5">
        <v>0.05</v>
      </c>
      <c r="K1315" s="6">
        <v>3</v>
      </c>
      <c r="L1315" s="6">
        <v>4</v>
      </c>
      <c r="M1315" t="s">
        <v>58</v>
      </c>
      <c r="N1315" t="s">
        <v>69</v>
      </c>
      <c r="O1315" t="s">
        <v>64</v>
      </c>
    </row>
    <row r="1316" spans="1:15">
      <c r="A1316" t="s">
        <v>1413</v>
      </c>
      <c r="B1316" s="3">
        <v>45742</v>
      </c>
      <c r="C1316" t="s">
        <v>66</v>
      </c>
      <c r="D1316" t="s">
        <v>62</v>
      </c>
      <c r="E1316" t="s">
        <v>75</v>
      </c>
      <c r="F1316" t="s">
        <v>97</v>
      </c>
      <c r="G1316" s="6">
        <v>1</v>
      </c>
      <c r="H1316" s="4">
        <v>93.48</v>
      </c>
      <c r="I1316" s="4">
        <v>53.12</v>
      </c>
      <c r="J1316" s="5">
        <v>0.1</v>
      </c>
      <c r="K1316" s="6">
        <v>2</v>
      </c>
      <c r="L1316" s="6">
        <v>4</v>
      </c>
      <c r="M1316" t="s">
        <v>58</v>
      </c>
      <c r="N1316" t="s">
        <v>69</v>
      </c>
      <c r="O1316" t="s">
        <v>64</v>
      </c>
    </row>
    <row r="1317" spans="1:15">
      <c r="A1317" t="s">
        <v>1414</v>
      </c>
      <c r="B1317" s="3">
        <v>45948</v>
      </c>
      <c r="C1317" t="s">
        <v>66</v>
      </c>
      <c r="D1317" t="s">
        <v>62</v>
      </c>
      <c r="E1317" t="s">
        <v>79</v>
      </c>
      <c r="F1317" t="s">
        <v>85</v>
      </c>
      <c r="G1317" s="6">
        <v>1</v>
      </c>
      <c r="H1317" s="4">
        <v>126.49</v>
      </c>
      <c r="I1317" s="4">
        <v>87.38</v>
      </c>
      <c r="J1317" s="5">
        <v>0.15000000000000002</v>
      </c>
      <c r="K1317" s="6">
        <v>1</v>
      </c>
      <c r="L1317" s="6">
        <v>4</v>
      </c>
      <c r="M1317" t="s">
        <v>58</v>
      </c>
      <c r="N1317" t="s">
        <v>69</v>
      </c>
      <c r="O1317" t="s">
        <v>64</v>
      </c>
    </row>
    <row r="1318" spans="1:15">
      <c r="A1318" t="s">
        <v>1415</v>
      </c>
      <c r="B1318" s="3">
        <v>45945</v>
      </c>
      <c r="C1318" t="s">
        <v>54</v>
      </c>
      <c r="D1318" t="s">
        <v>62</v>
      </c>
      <c r="E1318" t="s">
        <v>75</v>
      </c>
      <c r="F1318" t="s">
        <v>97</v>
      </c>
      <c r="G1318" s="6">
        <v>1</v>
      </c>
      <c r="H1318" s="4">
        <v>88.36</v>
      </c>
      <c r="I1318" s="4">
        <v>56.22</v>
      </c>
      <c r="J1318" s="5">
        <v>0.05</v>
      </c>
      <c r="K1318" s="6">
        <v>5</v>
      </c>
      <c r="L1318" s="6">
        <v>4</v>
      </c>
      <c r="M1318" t="s">
        <v>58</v>
      </c>
      <c r="N1318" t="s">
        <v>87</v>
      </c>
      <c r="O1318" t="s">
        <v>64</v>
      </c>
    </row>
    <row r="1319" spans="1:15">
      <c r="A1319" t="s">
        <v>1416</v>
      </c>
      <c r="B1319" s="3">
        <v>45959</v>
      </c>
      <c r="C1319" t="s">
        <v>78</v>
      </c>
      <c r="D1319" t="s">
        <v>55</v>
      </c>
      <c r="E1319" t="s">
        <v>79</v>
      </c>
      <c r="F1319" t="s">
        <v>115</v>
      </c>
      <c r="G1319" s="6">
        <v>3</v>
      </c>
      <c r="H1319" s="4">
        <v>59.7</v>
      </c>
      <c r="I1319" s="4">
        <v>35.6</v>
      </c>
      <c r="J1319" s="5">
        <v>0.05</v>
      </c>
      <c r="K1319" s="6">
        <v>4</v>
      </c>
      <c r="L1319" s="6">
        <v>4</v>
      </c>
      <c r="M1319" t="s">
        <v>58</v>
      </c>
      <c r="N1319" t="s">
        <v>69</v>
      </c>
      <c r="O1319" t="s">
        <v>60</v>
      </c>
    </row>
    <row r="1320" spans="1:15">
      <c r="A1320" t="s">
        <v>1417</v>
      </c>
      <c r="B1320" s="3">
        <v>45679</v>
      </c>
      <c r="C1320" t="s">
        <v>78</v>
      </c>
      <c r="D1320" t="s">
        <v>129</v>
      </c>
      <c r="E1320" t="s">
        <v>75</v>
      </c>
      <c r="F1320" t="s">
        <v>76</v>
      </c>
      <c r="G1320" s="6">
        <v>2</v>
      </c>
      <c r="H1320" s="4">
        <v>118.81</v>
      </c>
      <c r="I1320" s="4">
        <v>75.459999999999994</v>
      </c>
      <c r="J1320" s="5">
        <v>0.05</v>
      </c>
      <c r="K1320" s="6">
        <v>6</v>
      </c>
      <c r="L1320" s="6">
        <v>4</v>
      </c>
      <c r="M1320" t="s">
        <v>58</v>
      </c>
      <c r="N1320" t="s">
        <v>59</v>
      </c>
      <c r="O1320" t="s">
        <v>64</v>
      </c>
    </row>
    <row r="1321" spans="1:15">
      <c r="A1321" t="s">
        <v>1418</v>
      </c>
      <c r="B1321" s="3">
        <v>45837</v>
      </c>
      <c r="C1321" t="s">
        <v>54</v>
      </c>
      <c r="D1321" t="s">
        <v>62</v>
      </c>
      <c r="E1321" t="s">
        <v>75</v>
      </c>
      <c r="F1321" t="s">
        <v>97</v>
      </c>
      <c r="G1321" s="6">
        <v>2</v>
      </c>
      <c r="H1321" s="4">
        <v>91.15</v>
      </c>
      <c r="I1321" s="4">
        <v>53.54</v>
      </c>
      <c r="J1321" s="5">
        <v>0</v>
      </c>
      <c r="K1321" s="6">
        <v>6</v>
      </c>
      <c r="L1321" s="6">
        <v>4</v>
      </c>
      <c r="M1321" t="s">
        <v>58</v>
      </c>
      <c r="N1321" t="s">
        <v>69</v>
      </c>
      <c r="O1321" t="s">
        <v>64</v>
      </c>
    </row>
    <row r="1322" spans="1:15">
      <c r="A1322" t="s">
        <v>1419</v>
      </c>
      <c r="B1322" s="3">
        <v>45796</v>
      </c>
      <c r="C1322" t="s">
        <v>54</v>
      </c>
      <c r="D1322" t="s">
        <v>62</v>
      </c>
      <c r="E1322" t="s">
        <v>56</v>
      </c>
      <c r="F1322" t="s">
        <v>57</v>
      </c>
      <c r="G1322" s="6">
        <v>2</v>
      </c>
      <c r="H1322" s="4">
        <v>110.48</v>
      </c>
      <c r="I1322" s="4">
        <v>67.62</v>
      </c>
      <c r="J1322" s="5">
        <v>0</v>
      </c>
      <c r="K1322" s="6">
        <v>4</v>
      </c>
      <c r="L1322" s="6">
        <v>4</v>
      </c>
      <c r="M1322" t="s">
        <v>58</v>
      </c>
      <c r="N1322" t="s">
        <v>59</v>
      </c>
      <c r="O1322" t="s">
        <v>60</v>
      </c>
    </row>
    <row r="1323" spans="1:15">
      <c r="A1323" t="s">
        <v>1420</v>
      </c>
      <c r="B1323" s="3">
        <v>45820</v>
      </c>
      <c r="C1323" t="s">
        <v>54</v>
      </c>
      <c r="D1323" t="s">
        <v>55</v>
      </c>
      <c r="E1323" t="s">
        <v>67</v>
      </c>
      <c r="F1323" t="s">
        <v>107</v>
      </c>
      <c r="G1323" s="6">
        <v>1</v>
      </c>
      <c r="H1323" s="4">
        <v>44.34</v>
      </c>
      <c r="I1323" s="4">
        <v>21.21</v>
      </c>
      <c r="J1323" s="5">
        <v>0.1</v>
      </c>
      <c r="K1323" s="6">
        <v>4</v>
      </c>
      <c r="L1323" s="6">
        <v>5</v>
      </c>
      <c r="M1323" t="s">
        <v>58</v>
      </c>
      <c r="N1323" t="s">
        <v>87</v>
      </c>
      <c r="O1323" t="s">
        <v>60</v>
      </c>
    </row>
    <row r="1324" spans="1:15">
      <c r="A1324" t="s">
        <v>1421</v>
      </c>
      <c r="B1324" s="3">
        <v>45833</v>
      </c>
      <c r="C1324" t="s">
        <v>66</v>
      </c>
      <c r="D1324" t="s">
        <v>129</v>
      </c>
      <c r="E1324" t="s">
        <v>56</v>
      </c>
      <c r="F1324" t="s">
        <v>83</v>
      </c>
      <c r="G1324" s="6">
        <v>8</v>
      </c>
      <c r="H1324" s="4">
        <v>66.849999999999994</v>
      </c>
      <c r="I1324" s="4">
        <v>34.65</v>
      </c>
      <c r="J1324" s="5">
        <v>0.05</v>
      </c>
      <c r="K1324" s="6">
        <v>4</v>
      </c>
      <c r="L1324" s="6">
        <v>5</v>
      </c>
      <c r="M1324" t="s">
        <v>58</v>
      </c>
      <c r="N1324" t="s">
        <v>87</v>
      </c>
      <c r="O1324" t="s">
        <v>64</v>
      </c>
    </row>
    <row r="1325" spans="1:15">
      <c r="A1325" t="s">
        <v>1422</v>
      </c>
      <c r="B1325" s="3">
        <v>45701</v>
      </c>
      <c r="C1325" t="s">
        <v>82</v>
      </c>
      <c r="D1325" t="s">
        <v>62</v>
      </c>
      <c r="E1325" t="s">
        <v>67</v>
      </c>
      <c r="F1325" t="s">
        <v>94</v>
      </c>
      <c r="G1325" s="6">
        <v>3</v>
      </c>
      <c r="H1325" s="4">
        <v>35.04</v>
      </c>
      <c r="I1325" s="4">
        <v>16.64</v>
      </c>
      <c r="J1325" s="5">
        <v>0</v>
      </c>
      <c r="K1325" s="6">
        <v>1</v>
      </c>
      <c r="L1325" s="6">
        <v>5</v>
      </c>
      <c r="M1325" t="s">
        <v>58</v>
      </c>
      <c r="N1325" t="s">
        <v>69</v>
      </c>
      <c r="O1325" t="s">
        <v>60</v>
      </c>
    </row>
    <row r="1326" spans="1:15">
      <c r="A1326" t="s">
        <v>1423</v>
      </c>
      <c r="B1326" s="3">
        <v>45969</v>
      </c>
      <c r="C1326" t="s">
        <v>66</v>
      </c>
      <c r="D1326" t="s">
        <v>62</v>
      </c>
      <c r="E1326" t="s">
        <v>67</v>
      </c>
      <c r="F1326" t="s">
        <v>94</v>
      </c>
      <c r="G1326" s="6">
        <v>2</v>
      </c>
      <c r="H1326" s="4">
        <v>34.96</v>
      </c>
      <c r="I1326" s="4">
        <v>16.809999999999999</v>
      </c>
      <c r="J1326" s="5">
        <v>0.05</v>
      </c>
      <c r="K1326" s="6">
        <v>6</v>
      </c>
      <c r="L1326" s="6">
        <v>4</v>
      </c>
      <c r="M1326" t="s">
        <v>58</v>
      </c>
      <c r="N1326" t="s">
        <v>59</v>
      </c>
      <c r="O1326" t="s">
        <v>60</v>
      </c>
    </row>
    <row r="1327" spans="1:15">
      <c r="A1327" t="s">
        <v>1424</v>
      </c>
      <c r="B1327" s="3">
        <v>45823</v>
      </c>
      <c r="C1327" t="s">
        <v>82</v>
      </c>
      <c r="D1327" t="s">
        <v>62</v>
      </c>
      <c r="E1327" t="s">
        <v>67</v>
      </c>
      <c r="F1327" t="s">
        <v>68</v>
      </c>
      <c r="G1327" s="6">
        <v>1</v>
      </c>
      <c r="H1327" s="4">
        <v>39.28</v>
      </c>
      <c r="I1327" s="4">
        <v>19.45</v>
      </c>
      <c r="J1327" s="5">
        <v>0</v>
      </c>
      <c r="K1327" s="6">
        <v>3</v>
      </c>
      <c r="L1327" s="6">
        <v>4</v>
      </c>
      <c r="M1327" t="s">
        <v>58</v>
      </c>
      <c r="N1327" t="s">
        <v>59</v>
      </c>
      <c r="O1327" t="s">
        <v>64</v>
      </c>
    </row>
    <row r="1328" spans="1:15">
      <c r="A1328" t="s">
        <v>1425</v>
      </c>
      <c r="B1328" s="3">
        <v>45852</v>
      </c>
      <c r="C1328" t="s">
        <v>78</v>
      </c>
      <c r="D1328" t="s">
        <v>55</v>
      </c>
      <c r="E1328" t="s">
        <v>79</v>
      </c>
      <c r="F1328" t="s">
        <v>80</v>
      </c>
      <c r="G1328" s="6">
        <v>1</v>
      </c>
      <c r="H1328" s="4">
        <v>73.75</v>
      </c>
      <c r="I1328" s="4">
        <v>45.02</v>
      </c>
      <c r="J1328" s="5">
        <v>0</v>
      </c>
      <c r="K1328" s="6">
        <v>2</v>
      </c>
      <c r="L1328" s="6">
        <v>5</v>
      </c>
      <c r="M1328" t="s">
        <v>58</v>
      </c>
      <c r="N1328" t="s">
        <v>59</v>
      </c>
      <c r="O1328" t="s">
        <v>64</v>
      </c>
    </row>
    <row r="1329" spans="1:15">
      <c r="A1329" t="s">
        <v>1426</v>
      </c>
      <c r="B1329" s="3">
        <v>45690</v>
      </c>
      <c r="C1329" t="s">
        <v>66</v>
      </c>
      <c r="D1329" t="s">
        <v>62</v>
      </c>
      <c r="E1329" t="s">
        <v>56</v>
      </c>
      <c r="F1329" t="s">
        <v>63</v>
      </c>
      <c r="G1329" s="6">
        <v>1</v>
      </c>
      <c r="H1329" s="4">
        <v>39.380000000000003</v>
      </c>
      <c r="I1329" s="4">
        <v>20.97</v>
      </c>
      <c r="J1329" s="5">
        <v>0.1</v>
      </c>
      <c r="K1329" s="6">
        <v>1</v>
      </c>
      <c r="L1329" s="6">
        <v>3</v>
      </c>
      <c r="M1329" t="s">
        <v>126</v>
      </c>
      <c r="N1329" t="s">
        <v>59</v>
      </c>
      <c r="O1329" t="s">
        <v>64</v>
      </c>
    </row>
    <row r="1330" spans="1:15">
      <c r="A1330" t="s">
        <v>1427</v>
      </c>
      <c r="B1330" s="3">
        <v>45964</v>
      </c>
      <c r="C1330" t="s">
        <v>66</v>
      </c>
      <c r="D1330" t="s">
        <v>62</v>
      </c>
      <c r="E1330" t="s">
        <v>79</v>
      </c>
      <c r="F1330" t="s">
        <v>85</v>
      </c>
      <c r="G1330" s="6">
        <v>2</v>
      </c>
      <c r="H1330" s="4">
        <v>131.79</v>
      </c>
      <c r="I1330" s="4">
        <v>85.95</v>
      </c>
      <c r="J1330" s="5">
        <v>0.05</v>
      </c>
      <c r="K1330" s="6">
        <v>5</v>
      </c>
      <c r="L1330" s="6">
        <v>4</v>
      </c>
      <c r="M1330" t="s">
        <v>58</v>
      </c>
      <c r="N1330" t="s">
        <v>59</v>
      </c>
      <c r="O1330" t="s">
        <v>64</v>
      </c>
    </row>
    <row r="1331" spans="1:15">
      <c r="A1331" t="s">
        <v>1428</v>
      </c>
      <c r="B1331" s="3">
        <v>45743</v>
      </c>
      <c r="C1331" t="s">
        <v>82</v>
      </c>
      <c r="D1331" t="s">
        <v>62</v>
      </c>
      <c r="E1331" t="s">
        <v>75</v>
      </c>
      <c r="F1331" t="s">
        <v>76</v>
      </c>
      <c r="G1331" s="6">
        <v>3</v>
      </c>
      <c r="H1331" s="4">
        <v>121.9</v>
      </c>
      <c r="I1331" s="4">
        <v>72.95</v>
      </c>
      <c r="J1331" s="5">
        <v>0</v>
      </c>
      <c r="K1331" s="6">
        <v>4</v>
      </c>
      <c r="L1331" s="6">
        <v>4</v>
      </c>
      <c r="M1331" t="s">
        <v>58</v>
      </c>
      <c r="N1331" t="s">
        <v>59</v>
      </c>
      <c r="O1331" t="s">
        <v>64</v>
      </c>
    </row>
    <row r="1332" spans="1:15">
      <c r="A1332" t="s">
        <v>1429</v>
      </c>
      <c r="B1332" s="3">
        <v>45865</v>
      </c>
      <c r="C1332" t="s">
        <v>82</v>
      </c>
      <c r="D1332" t="s">
        <v>62</v>
      </c>
      <c r="E1332" t="s">
        <v>79</v>
      </c>
      <c r="F1332" t="s">
        <v>115</v>
      </c>
      <c r="G1332" s="6">
        <v>1</v>
      </c>
      <c r="H1332" s="4">
        <v>59.45</v>
      </c>
      <c r="I1332" s="4">
        <v>35.11</v>
      </c>
      <c r="J1332" s="5">
        <v>0.05</v>
      </c>
      <c r="K1332" s="6">
        <v>0</v>
      </c>
      <c r="L1332" s="6">
        <v>5</v>
      </c>
      <c r="M1332" t="s">
        <v>58</v>
      </c>
      <c r="N1332" t="s">
        <v>69</v>
      </c>
      <c r="O1332" t="s">
        <v>64</v>
      </c>
    </row>
    <row r="1333" spans="1:15">
      <c r="A1333" t="s">
        <v>1430</v>
      </c>
      <c r="B1333" s="3">
        <v>45942</v>
      </c>
      <c r="C1333" t="s">
        <v>78</v>
      </c>
      <c r="D1333" t="s">
        <v>62</v>
      </c>
      <c r="E1333" t="s">
        <v>79</v>
      </c>
      <c r="F1333" t="s">
        <v>80</v>
      </c>
      <c r="G1333" s="6">
        <v>1</v>
      </c>
      <c r="H1333" s="4">
        <v>77.72</v>
      </c>
      <c r="I1333" s="4">
        <v>42.83</v>
      </c>
      <c r="J1333" s="5">
        <v>0.05</v>
      </c>
      <c r="K1333" s="6">
        <v>3</v>
      </c>
      <c r="L1333" s="6">
        <v>5</v>
      </c>
      <c r="M1333" t="s">
        <v>58</v>
      </c>
      <c r="N1333" t="s">
        <v>59</v>
      </c>
      <c r="O1333" t="s">
        <v>64</v>
      </c>
    </row>
    <row r="1334" spans="1:15">
      <c r="A1334" t="s">
        <v>1431</v>
      </c>
      <c r="B1334" s="3">
        <v>46000</v>
      </c>
      <c r="C1334" t="s">
        <v>66</v>
      </c>
      <c r="D1334" t="s">
        <v>62</v>
      </c>
      <c r="E1334" t="s">
        <v>75</v>
      </c>
      <c r="F1334" t="s">
        <v>97</v>
      </c>
      <c r="G1334" s="6">
        <v>1</v>
      </c>
      <c r="H1334" s="4">
        <v>89.29</v>
      </c>
      <c r="I1334" s="4">
        <v>52.96</v>
      </c>
      <c r="J1334" s="5">
        <v>0.15000000000000002</v>
      </c>
      <c r="K1334" s="6">
        <v>8</v>
      </c>
      <c r="L1334" s="6">
        <v>4</v>
      </c>
      <c r="M1334" t="s">
        <v>58</v>
      </c>
      <c r="N1334" t="s">
        <v>59</v>
      </c>
      <c r="O1334" t="s">
        <v>64</v>
      </c>
    </row>
    <row r="1335" spans="1:15">
      <c r="A1335" t="s">
        <v>1432</v>
      </c>
      <c r="B1335" s="3">
        <v>46002</v>
      </c>
      <c r="C1335" t="s">
        <v>78</v>
      </c>
      <c r="D1335" t="s">
        <v>62</v>
      </c>
      <c r="E1335" t="s">
        <v>75</v>
      </c>
      <c r="F1335" t="s">
        <v>110</v>
      </c>
      <c r="G1335" s="6">
        <v>1</v>
      </c>
      <c r="H1335" s="4">
        <v>163.72</v>
      </c>
      <c r="I1335" s="4">
        <v>100.62</v>
      </c>
      <c r="J1335" s="5">
        <v>0.05</v>
      </c>
      <c r="K1335" s="6">
        <v>4</v>
      </c>
      <c r="L1335" s="6">
        <v>4</v>
      </c>
      <c r="M1335" t="s">
        <v>58</v>
      </c>
      <c r="N1335" t="s">
        <v>69</v>
      </c>
      <c r="O1335" t="s">
        <v>73</v>
      </c>
    </row>
    <row r="1336" spans="1:15">
      <c r="A1336" t="s">
        <v>1433</v>
      </c>
      <c r="B1336" s="3">
        <v>45753</v>
      </c>
      <c r="C1336" t="s">
        <v>82</v>
      </c>
      <c r="D1336" t="s">
        <v>55</v>
      </c>
      <c r="E1336" t="s">
        <v>67</v>
      </c>
      <c r="F1336" t="s">
        <v>71</v>
      </c>
      <c r="G1336" s="6">
        <v>3</v>
      </c>
      <c r="H1336" s="4">
        <v>69.39</v>
      </c>
      <c r="I1336" s="4">
        <v>39.58</v>
      </c>
      <c r="J1336" s="5">
        <v>0</v>
      </c>
      <c r="K1336" s="6">
        <v>3</v>
      </c>
      <c r="L1336" s="6">
        <v>5</v>
      </c>
      <c r="M1336" t="s">
        <v>58</v>
      </c>
      <c r="N1336" t="s">
        <v>87</v>
      </c>
      <c r="O1336" t="s">
        <v>64</v>
      </c>
    </row>
    <row r="1337" spans="1:15">
      <c r="A1337" t="s">
        <v>1434</v>
      </c>
      <c r="B1337" s="3">
        <v>45982</v>
      </c>
      <c r="C1337" t="s">
        <v>78</v>
      </c>
      <c r="D1337" t="s">
        <v>62</v>
      </c>
      <c r="E1337" t="s">
        <v>75</v>
      </c>
      <c r="F1337" t="s">
        <v>110</v>
      </c>
      <c r="G1337" s="6">
        <v>4</v>
      </c>
      <c r="H1337" s="4">
        <v>163.94</v>
      </c>
      <c r="I1337" s="4">
        <v>101.62</v>
      </c>
      <c r="J1337" s="5">
        <v>0.15000000000000002</v>
      </c>
      <c r="K1337" s="6">
        <v>6</v>
      </c>
      <c r="L1337" s="6">
        <v>4</v>
      </c>
      <c r="M1337" t="s">
        <v>58</v>
      </c>
      <c r="N1337" t="s">
        <v>59</v>
      </c>
      <c r="O1337" t="s">
        <v>64</v>
      </c>
    </row>
    <row r="1338" spans="1:15">
      <c r="A1338" t="s">
        <v>1435</v>
      </c>
      <c r="B1338" s="3">
        <v>45711</v>
      </c>
      <c r="C1338" t="s">
        <v>66</v>
      </c>
      <c r="D1338" t="s">
        <v>62</v>
      </c>
      <c r="E1338" t="s">
        <v>75</v>
      </c>
      <c r="F1338" t="s">
        <v>146</v>
      </c>
      <c r="G1338" s="6">
        <v>1</v>
      </c>
      <c r="H1338" s="4">
        <v>186.65</v>
      </c>
      <c r="I1338" s="4">
        <v>115.76</v>
      </c>
      <c r="J1338" s="5">
        <v>0.05</v>
      </c>
      <c r="K1338" s="6">
        <v>5</v>
      </c>
      <c r="L1338" s="6">
        <v>3</v>
      </c>
      <c r="M1338" t="s">
        <v>126</v>
      </c>
      <c r="N1338" t="s">
        <v>87</v>
      </c>
      <c r="O1338" t="s">
        <v>60</v>
      </c>
    </row>
    <row r="1339" spans="1:15">
      <c r="A1339" t="s">
        <v>1436</v>
      </c>
      <c r="B1339" s="3">
        <v>45785</v>
      </c>
      <c r="C1339" t="s">
        <v>82</v>
      </c>
      <c r="D1339" t="s">
        <v>62</v>
      </c>
      <c r="E1339" t="s">
        <v>79</v>
      </c>
      <c r="F1339" t="s">
        <v>115</v>
      </c>
      <c r="G1339" s="6">
        <v>1</v>
      </c>
      <c r="H1339" s="4">
        <v>61.98</v>
      </c>
      <c r="I1339" s="4">
        <v>35.6</v>
      </c>
      <c r="J1339" s="5">
        <v>0.1</v>
      </c>
      <c r="K1339" s="6">
        <v>0</v>
      </c>
      <c r="L1339" s="6">
        <v>4</v>
      </c>
      <c r="M1339" t="s">
        <v>58</v>
      </c>
      <c r="N1339" t="s">
        <v>69</v>
      </c>
      <c r="O1339" t="s">
        <v>64</v>
      </c>
    </row>
    <row r="1340" spans="1:15">
      <c r="A1340" t="s">
        <v>1437</v>
      </c>
      <c r="B1340" s="3">
        <v>45704</v>
      </c>
      <c r="C1340" t="s">
        <v>82</v>
      </c>
      <c r="D1340" t="s">
        <v>62</v>
      </c>
      <c r="E1340" t="s">
        <v>79</v>
      </c>
      <c r="F1340" t="s">
        <v>92</v>
      </c>
      <c r="G1340" s="6">
        <v>2</v>
      </c>
      <c r="H1340" s="4">
        <v>49.45</v>
      </c>
      <c r="I1340" s="4">
        <v>27.24</v>
      </c>
      <c r="J1340" s="5">
        <v>0</v>
      </c>
      <c r="K1340" s="6">
        <v>3</v>
      </c>
      <c r="L1340" s="6">
        <v>5</v>
      </c>
      <c r="M1340" t="s">
        <v>58</v>
      </c>
      <c r="N1340" t="s">
        <v>59</v>
      </c>
      <c r="O1340" t="s">
        <v>64</v>
      </c>
    </row>
    <row r="1341" spans="1:15">
      <c r="A1341" t="s">
        <v>1438</v>
      </c>
      <c r="B1341" s="3">
        <v>45762</v>
      </c>
      <c r="C1341" t="s">
        <v>78</v>
      </c>
      <c r="D1341" t="s">
        <v>62</v>
      </c>
      <c r="E1341" t="s">
        <v>67</v>
      </c>
      <c r="F1341" t="s">
        <v>107</v>
      </c>
      <c r="G1341" s="6">
        <v>1</v>
      </c>
      <c r="H1341" s="4">
        <v>43.84</v>
      </c>
      <c r="I1341" s="4">
        <v>21.07</v>
      </c>
      <c r="J1341" s="5">
        <v>0</v>
      </c>
      <c r="K1341" s="6">
        <v>4</v>
      </c>
      <c r="L1341" s="6">
        <v>4</v>
      </c>
      <c r="M1341" t="s">
        <v>58</v>
      </c>
      <c r="N1341" t="s">
        <v>59</v>
      </c>
      <c r="O1341" t="s">
        <v>64</v>
      </c>
    </row>
    <row r="1342" spans="1:15">
      <c r="A1342" t="s">
        <v>1439</v>
      </c>
      <c r="B1342" s="3">
        <v>45985</v>
      </c>
      <c r="C1342" t="s">
        <v>66</v>
      </c>
      <c r="D1342" t="s">
        <v>62</v>
      </c>
      <c r="E1342" t="s">
        <v>75</v>
      </c>
      <c r="F1342" t="s">
        <v>97</v>
      </c>
      <c r="G1342" s="6">
        <v>1</v>
      </c>
      <c r="H1342" s="4">
        <v>90.08</v>
      </c>
      <c r="I1342" s="4">
        <v>55.48</v>
      </c>
      <c r="J1342" s="5">
        <v>0.2</v>
      </c>
      <c r="K1342" s="6">
        <v>4</v>
      </c>
      <c r="L1342" s="6">
        <v>4</v>
      </c>
      <c r="M1342" t="s">
        <v>58</v>
      </c>
      <c r="N1342" t="s">
        <v>69</v>
      </c>
      <c r="O1342" t="s">
        <v>64</v>
      </c>
    </row>
    <row r="1343" spans="1:15">
      <c r="A1343" t="s">
        <v>1440</v>
      </c>
      <c r="B1343" s="3">
        <v>45958</v>
      </c>
      <c r="C1343" t="s">
        <v>78</v>
      </c>
      <c r="D1343" t="s">
        <v>129</v>
      </c>
      <c r="E1343" t="s">
        <v>56</v>
      </c>
      <c r="F1343" t="s">
        <v>83</v>
      </c>
      <c r="G1343" s="6">
        <v>8</v>
      </c>
      <c r="H1343" s="4">
        <v>66.650000000000006</v>
      </c>
      <c r="I1343" s="4">
        <v>36.53</v>
      </c>
      <c r="J1343" s="5">
        <v>0.15000000000000002</v>
      </c>
      <c r="K1343" s="6">
        <v>3</v>
      </c>
      <c r="L1343" s="6">
        <v>5</v>
      </c>
      <c r="M1343" t="s">
        <v>58</v>
      </c>
      <c r="N1343" t="s">
        <v>59</v>
      </c>
      <c r="O1343" t="s">
        <v>73</v>
      </c>
    </row>
    <row r="1344" spans="1:15">
      <c r="A1344" t="s">
        <v>1441</v>
      </c>
      <c r="B1344" s="3">
        <v>45719</v>
      </c>
      <c r="C1344" t="s">
        <v>54</v>
      </c>
      <c r="D1344" t="s">
        <v>62</v>
      </c>
      <c r="E1344" t="s">
        <v>79</v>
      </c>
      <c r="F1344" t="s">
        <v>80</v>
      </c>
      <c r="G1344" s="6">
        <v>1</v>
      </c>
      <c r="H1344" s="4">
        <v>76.38</v>
      </c>
      <c r="I1344" s="4">
        <v>44.06</v>
      </c>
      <c r="J1344" s="5">
        <v>0.05</v>
      </c>
      <c r="K1344" s="6">
        <v>0</v>
      </c>
      <c r="L1344" s="6">
        <v>5</v>
      </c>
      <c r="M1344" t="s">
        <v>58</v>
      </c>
      <c r="N1344" t="s">
        <v>69</v>
      </c>
      <c r="O1344" t="s">
        <v>64</v>
      </c>
    </row>
    <row r="1345" spans="1:15">
      <c r="A1345" t="s">
        <v>1442</v>
      </c>
      <c r="B1345" s="3">
        <v>45733</v>
      </c>
      <c r="C1345" t="s">
        <v>82</v>
      </c>
      <c r="D1345" t="s">
        <v>62</v>
      </c>
      <c r="E1345" t="s">
        <v>56</v>
      </c>
      <c r="F1345" t="s">
        <v>57</v>
      </c>
      <c r="G1345" s="6">
        <v>1</v>
      </c>
      <c r="H1345" s="4">
        <v>110.86</v>
      </c>
      <c r="I1345" s="4">
        <v>66.06</v>
      </c>
      <c r="J1345" s="5">
        <v>0</v>
      </c>
      <c r="K1345" s="6">
        <v>4</v>
      </c>
      <c r="L1345" s="6">
        <v>4</v>
      </c>
      <c r="M1345" t="s">
        <v>58</v>
      </c>
      <c r="N1345" t="s">
        <v>87</v>
      </c>
      <c r="O1345" t="s">
        <v>64</v>
      </c>
    </row>
    <row r="1346" spans="1:15">
      <c r="A1346" t="s">
        <v>1443</v>
      </c>
      <c r="B1346" s="3">
        <v>45909</v>
      </c>
      <c r="C1346" t="s">
        <v>82</v>
      </c>
      <c r="E1346" t="s">
        <v>67</v>
      </c>
      <c r="F1346" t="s">
        <v>71</v>
      </c>
      <c r="G1346" s="6">
        <v>1</v>
      </c>
      <c r="H1346" s="4">
        <v>71.239999999999995</v>
      </c>
      <c r="I1346" s="4">
        <v>39.1</v>
      </c>
      <c r="J1346" s="5">
        <v>0</v>
      </c>
      <c r="K1346" s="6">
        <v>0</v>
      </c>
      <c r="L1346" s="6">
        <v>4</v>
      </c>
      <c r="M1346" t="s">
        <v>58</v>
      </c>
      <c r="N1346" t="s">
        <v>69</v>
      </c>
      <c r="O1346" t="s">
        <v>60</v>
      </c>
    </row>
    <row r="1347" spans="1:15">
      <c r="A1347" t="s">
        <v>1444</v>
      </c>
      <c r="B1347" s="3">
        <v>45792</v>
      </c>
      <c r="C1347" t="s">
        <v>54</v>
      </c>
      <c r="D1347" t="s">
        <v>55</v>
      </c>
      <c r="E1347" t="s">
        <v>75</v>
      </c>
      <c r="F1347" t="s">
        <v>110</v>
      </c>
      <c r="G1347" s="6">
        <v>4</v>
      </c>
      <c r="H1347" s="4">
        <v>161.22</v>
      </c>
      <c r="I1347" s="4">
        <v>101.41</v>
      </c>
      <c r="J1347" s="5">
        <v>0</v>
      </c>
      <c r="K1347" s="6">
        <v>3</v>
      </c>
      <c r="L1347" s="6">
        <v>5</v>
      </c>
      <c r="M1347" t="s">
        <v>58</v>
      </c>
      <c r="N1347" t="s">
        <v>59</v>
      </c>
      <c r="O1347" t="s">
        <v>60</v>
      </c>
    </row>
    <row r="1348" spans="1:15">
      <c r="A1348" t="s">
        <v>1445</v>
      </c>
      <c r="B1348" s="3">
        <v>45915</v>
      </c>
      <c r="C1348" t="s">
        <v>78</v>
      </c>
      <c r="D1348" t="s">
        <v>62</v>
      </c>
      <c r="E1348" t="s">
        <v>75</v>
      </c>
      <c r="F1348" t="s">
        <v>110</v>
      </c>
      <c r="G1348" s="6">
        <v>1</v>
      </c>
      <c r="H1348" s="4">
        <v>160.36000000000001</v>
      </c>
      <c r="I1348" s="4">
        <v>104.55</v>
      </c>
      <c r="J1348" s="5">
        <v>0</v>
      </c>
      <c r="K1348" s="6">
        <v>8</v>
      </c>
      <c r="L1348" s="6">
        <v>4</v>
      </c>
      <c r="M1348" t="s">
        <v>58</v>
      </c>
      <c r="N1348" t="s">
        <v>87</v>
      </c>
      <c r="O1348" t="s">
        <v>73</v>
      </c>
    </row>
    <row r="1349" spans="1:15">
      <c r="A1349" t="s">
        <v>1446</v>
      </c>
      <c r="B1349" s="3">
        <v>45708</v>
      </c>
      <c r="C1349" t="s">
        <v>1447</v>
      </c>
      <c r="D1349" t="s">
        <v>62</v>
      </c>
      <c r="E1349" t="s">
        <v>67</v>
      </c>
      <c r="F1349" t="s">
        <v>71</v>
      </c>
      <c r="G1349" s="6">
        <v>3</v>
      </c>
      <c r="H1349" s="4">
        <v>72.44</v>
      </c>
      <c r="I1349" s="4">
        <v>39.880000000000003</v>
      </c>
      <c r="J1349" s="5">
        <v>0.05</v>
      </c>
      <c r="K1349" s="6">
        <v>0</v>
      </c>
      <c r="L1349" s="6">
        <v>5</v>
      </c>
      <c r="M1349" t="s">
        <v>58</v>
      </c>
      <c r="N1349" t="s">
        <v>69</v>
      </c>
      <c r="O1349" t="s">
        <v>73</v>
      </c>
    </row>
    <row r="1350" spans="1:15">
      <c r="A1350" t="s">
        <v>1448</v>
      </c>
      <c r="B1350" s="3">
        <v>45966</v>
      </c>
      <c r="C1350" t="s">
        <v>54</v>
      </c>
      <c r="D1350" t="s">
        <v>62</v>
      </c>
      <c r="E1350" t="s">
        <v>75</v>
      </c>
      <c r="F1350" t="s">
        <v>97</v>
      </c>
      <c r="G1350" s="6">
        <v>1</v>
      </c>
      <c r="H1350" s="4">
        <v>93.55</v>
      </c>
      <c r="I1350" s="4">
        <v>54.88</v>
      </c>
      <c r="J1350" s="5">
        <v>0.15000000000000002</v>
      </c>
      <c r="K1350" s="6">
        <v>5</v>
      </c>
      <c r="L1350" s="6">
        <v>5</v>
      </c>
      <c r="M1350" t="s">
        <v>58</v>
      </c>
      <c r="N1350" t="s">
        <v>59</v>
      </c>
      <c r="O1350" t="s">
        <v>73</v>
      </c>
    </row>
    <row r="1351" spans="1:15">
      <c r="A1351" t="s">
        <v>1446</v>
      </c>
      <c r="B1351" s="3">
        <v>45708</v>
      </c>
      <c r="C1351" t="s">
        <v>66</v>
      </c>
      <c r="D1351" t="s">
        <v>62</v>
      </c>
      <c r="E1351" t="s">
        <v>67</v>
      </c>
      <c r="F1351" t="s">
        <v>71</v>
      </c>
      <c r="G1351" s="6">
        <v>3</v>
      </c>
      <c r="H1351" s="4">
        <v>72.44</v>
      </c>
      <c r="I1351" s="4">
        <v>39.880000000000003</v>
      </c>
      <c r="J1351" s="5">
        <v>0.05</v>
      </c>
      <c r="K1351" s="6">
        <v>0</v>
      </c>
      <c r="L1351" s="6">
        <v>5</v>
      </c>
      <c r="M1351" t="s">
        <v>58</v>
      </c>
      <c r="N1351" t="s">
        <v>69</v>
      </c>
      <c r="O1351" t="s">
        <v>73</v>
      </c>
    </row>
    <row r="1352" spans="1:15">
      <c r="A1352" t="s">
        <v>1449</v>
      </c>
      <c r="B1352" s="3">
        <v>45970</v>
      </c>
      <c r="C1352" t="s">
        <v>66</v>
      </c>
      <c r="D1352" t="s">
        <v>62</v>
      </c>
      <c r="E1352" t="s">
        <v>67</v>
      </c>
      <c r="F1352" t="s">
        <v>107</v>
      </c>
      <c r="G1352" s="6">
        <v>1</v>
      </c>
      <c r="H1352" s="4">
        <v>45.68</v>
      </c>
      <c r="I1352" s="4">
        <v>21.11</v>
      </c>
      <c r="J1352" s="5">
        <v>0.15000000000000002</v>
      </c>
      <c r="K1352" s="6">
        <v>2</v>
      </c>
      <c r="L1352" s="6">
        <v>4</v>
      </c>
      <c r="M1352" t="s">
        <v>58</v>
      </c>
      <c r="N1352" t="s">
        <v>69</v>
      </c>
      <c r="O1352" t="s">
        <v>64</v>
      </c>
    </row>
    <row r="1353" spans="1:15">
      <c r="A1353" t="s">
        <v>1450</v>
      </c>
      <c r="B1353" s="3">
        <v>45971</v>
      </c>
      <c r="C1353" t="s">
        <v>54</v>
      </c>
      <c r="D1353" t="s">
        <v>62</v>
      </c>
      <c r="E1353" t="s">
        <v>56</v>
      </c>
      <c r="F1353" t="s">
        <v>89</v>
      </c>
      <c r="G1353" s="6">
        <v>2</v>
      </c>
      <c r="H1353" s="4">
        <v>81.93</v>
      </c>
      <c r="I1353" s="4">
        <v>44.46</v>
      </c>
      <c r="J1353" s="5">
        <v>0.05</v>
      </c>
      <c r="K1353" s="6">
        <v>0</v>
      </c>
      <c r="L1353" s="6">
        <v>4</v>
      </c>
      <c r="M1353" t="s">
        <v>58</v>
      </c>
      <c r="N1353" t="s">
        <v>69</v>
      </c>
      <c r="O1353" t="s">
        <v>64</v>
      </c>
    </row>
    <row r="1354" spans="1:15">
      <c r="A1354" t="s">
        <v>1451</v>
      </c>
      <c r="B1354" s="3">
        <v>45994</v>
      </c>
      <c r="C1354" t="s">
        <v>66</v>
      </c>
      <c r="D1354" t="s">
        <v>62</v>
      </c>
      <c r="E1354" t="s">
        <v>75</v>
      </c>
      <c r="F1354" t="s">
        <v>146</v>
      </c>
      <c r="G1354" s="6">
        <v>2</v>
      </c>
      <c r="H1354" s="4">
        <v>178.5</v>
      </c>
      <c r="I1354" s="4">
        <v>117.1</v>
      </c>
      <c r="J1354" s="5">
        <v>0.1</v>
      </c>
      <c r="K1354" s="6">
        <v>3</v>
      </c>
      <c r="L1354" s="6">
        <v>4</v>
      </c>
      <c r="M1354" t="s">
        <v>58</v>
      </c>
      <c r="N1354" t="s">
        <v>69</v>
      </c>
      <c r="O1354" t="s">
        <v>64</v>
      </c>
    </row>
    <row r="1355" spans="1:15">
      <c r="A1355" t="s">
        <v>1452</v>
      </c>
      <c r="B1355" s="3">
        <v>45736</v>
      </c>
      <c r="C1355" t="s">
        <v>82</v>
      </c>
      <c r="D1355" t="s">
        <v>62</v>
      </c>
      <c r="E1355" t="s">
        <v>75</v>
      </c>
      <c r="F1355" t="s">
        <v>146</v>
      </c>
      <c r="G1355" s="6">
        <v>2</v>
      </c>
      <c r="H1355" s="4">
        <v>179.98</v>
      </c>
      <c r="I1355" s="4">
        <v>120.49</v>
      </c>
      <c r="J1355" s="5">
        <v>0</v>
      </c>
      <c r="K1355" s="6">
        <v>7</v>
      </c>
      <c r="L1355" s="6">
        <v>4</v>
      </c>
      <c r="M1355" t="s">
        <v>58</v>
      </c>
      <c r="N1355" t="s">
        <v>87</v>
      </c>
      <c r="O1355" t="s">
        <v>64</v>
      </c>
    </row>
    <row r="1356" spans="1:15">
      <c r="A1356" t="s">
        <v>1453</v>
      </c>
      <c r="B1356" s="3">
        <v>45718</v>
      </c>
      <c r="C1356" t="s">
        <v>82</v>
      </c>
      <c r="D1356" t="s">
        <v>55</v>
      </c>
      <c r="E1356" t="s">
        <v>67</v>
      </c>
      <c r="F1356" t="s">
        <v>71</v>
      </c>
      <c r="G1356" s="6">
        <v>2</v>
      </c>
      <c r="H1356" s="4">
        <v>72.72</v>
      </c>
      <c r="I1356" s="4">
        <v>37.92</v>
      </c>
      <c r="J1356" s="5">
        <v>0.05</v>
      </c>
      <c r="K1356" s="6">
        <v>1</v>
      </c>
      <c r="L1356" s="6">
        <v>4</v>
      </c>
      <c r="M1356" t="s">
        <v>58</v>
      </c>
      <c r="N1356" t="s">
        <v>59</v>
      </c>
      <c r="O1356" t="s">
        <v>64</v>
      </c>
    </row>
    <row r="1357" spans="1:15">
      <c r="A1357" t="s">
        <v>1454</v>
      </c>
      <c r="B1357" s="3">
        <v>45729</v>
      </c>
      <c r="C1357" t="s">
        <v>78</v>
      </c>
      <c r="D1357" t="s">
        <v>55</v>
      </c>
      <c r="E1357" t="s">
        <v>75</v>
      </c>
      <c r="F1357" t="s">
        <v>146</v>
      </c>
      <c r="G1357" s="6">
        <v>1</v>
      </c>
      <c r="H1357" s="4">
        <v>179.23</v>
      </c>
      <c r="I1357" s="4">
        <v>114.52</v>
      </c>
      <c r="J1357" s="5">
        <v>0.05</v>
      </c>
      <c r="K1357" s="6">
        <v>6</v>
      </c>
      <c r="L1357" s="6">
        <v>4</v>
      </c>
      <c r="M1357" t="s">
        <v>58</v>
      </c>
      <c r="N1357" t="s">
        <v>59</v>
      </c>
      <c r="O1357" t="s">
        <v>64</v>
      </c>
    </row>
    <row r="1358" spans="1:15">
      <c r="A1358" t="s">
        <v>1455</v>
      </c>
      <c r="B1358" s="3">
        <v>45962</v>
      </c>
      <c r="C1358" t="s">
        <v>54</v>
      </c>
      <c r="D1358" t="s">
        <v>62</v>
      </c>
      <c r="E1358" t="s">
        <v>75</v>
      </c>
      <c r="F1358" t="s">
        <v>97</v>
      </c>
      <c r="G1358" s="6">
        <v>1</v>
      </c>
      <c r="H1358" s="4">
        <v>89.24</v>
      </c>
      <c r="I1358" s="4">
        <v>53.96</v>
      </c>
      <c r="J1358" s="5">
        <v>0.15000000000000002</v>
      </c>
      <c r="K1358" s="6">
        <v>4</v>
      </c>
      <c r="L1358" s="6"/>
      <c r="M1358" t="s">
        <v>58</v>
      </c>
      <c r="N1358" t="s">
        <v>59</v>
      </c>
      <c r="O1358" t="s">
        <v>64</v>
      </c>
    </row>
    <row r="1359" spans="1:15">
      <c r="A1359" t="s">
        <v>1456</v>
      </c>
      <c r="B1359" s="3">
        <v>45771</v>
      </c>
      <c r="C1359" t="s">
        <v>66</v>
      </c>
      <c r="D1359" t="s">
        <v>62</v>
      </c>
      <c r="E1359" t="s">
        <v>67</v>
      </c>
      <c r="F1359" t="s">
        <v>94</v>
      </c>
      <c r="G1359" s="6">
        <v>1</v>
      </c>
      <c r="H1359" s="4">
        <v>36.08</v>
      </c>
      <c r="I1359" s="4">
        <v>16.690000000000001</v>
      </c>
      <c r="J1359" s="5">
        <v>0.15000000000000002</v>
      </c>
      <c r="K1359" s="6">
        <v>1</v>
      </c>
      <c r="L1359" s="6">
        <v>5</v>
      </c>
      <c r="M1359" t="s">
        <v>58</v>
      </c>
      <c r="N1359" t="s">
        <v>69</v>
      </c>
      <c r="O1359" t="s">
        <v>64</v>
      </c>
    </row>
    <row r="1360" spans="1:15">
      <c r="A1360" t="s">
        <v>1457</v>
      </c>
      <c r="B1360" s="3">
        <v>45729</v>
      </c>
      <c r="C1360" t="s">
        <v>78</v>
      </c>
      <c r="D1360" t="s">
        <v>62</v>
      </c>
      <c r="E1360" t="s">
        <v>67</v>
      </c>
      <c r="F1360" t="s">
        <v>94</v>
      </c>
      <c r="G1360" s="6">
        <v>1</v>
      </c>
      <c r="H1360" s="4">
        <v>34.69</v>
      </c>
      <c r="I1360" s="4">
        <v>16.88</v>
      </c>
      <c r="J1360" s="5">
        <v>0</v>
      </c>
      <c r="K1360" s="6">
        <v>5</v>
      </c>
      <c r="L1360" s="6">
        <v>5</v>
      </c>
      <c r="M1360" t="s">
        <v>58</v>
      </c>
      <c r="N1360" t="s">
        <v>59</v>
      </c>
      <c r="O1360" t="s">
        <v>64</v>
      </c>
    </row>
    <row r="1361" spans="1:15">
      <c r="A1361" t="s">
        <v>1458</v>
      </c>
      <c r="B1361" s="3">
        <v>45925</v>
      </c>
      <c r="C1361" t="s">
        <v>54</v>
      </c>
      <c r="D1361" t="s">
        <v>55</v>
      </c>
      <c r="E1361" t="s">
        <v>79</v>
      </c>
      <c r="F1361" t="s">
        <v>85</v>
      </c>
      <c r="G1361" s="6">
        <v>2</v>
      </c>
      <c r="H1361" s="4">
        <v>134.21</v>
      </c>
      <c r="I1361" s="4">
        <v>86.79</v>
      </c>
      <c r="J1361" s="5">
        <v>0.05</v>
      </c>
      <c r="K1361" s="6">
        <v>2</v>
      </c>
      <c r="L1361" s="6">
        <v>4</v>
      </c>
      <c r="M1361" t="s">
        <v>58</v>
      </c>
      <c r="N1361" t="s">
        <v>87</v>
      </c>
      <c r="O1361" t="s">
        <v>73</v>
      </c>
    </row>
    <row r="1362" spans="1:15">
      <c r="A1362" t="s">
        <v>1459</v>
      </c>
      <c r="B1362" s="3">
        <v>45931</v>
      </c>
      <c r="C1362" t="s">
        <v>82</v>
      </c>
      <c r="D1362" t="s">
        <v>55</v>
      </c>
      <c r="E1362" t="s">
        <v>56</v>
      </c>
      <c r="F1362" t="s">
        <v>57</v>
      </c>
      <c r="G1362" s="6">
        <v>3</v>
      </c>
      <c r="H1362" s="4">
        <v>113</v>
      </c>
      <c r="I1362" s="4">
        <v>67.02</v>
      </c>
      <c r="J1362" s="5">
        <v>0</v>
      </c>
      <c r="K1362" s="6">
        <v>3</v>
      </c>
      <c r="L1362" s="6">
        <v>5</v>
      </c>
      <c r="M1362" t="s">
        <v>58</v>
      </c>
      <c r="N1362" t="s">
        <v>87</v>
      </c>
      <c r="O1362" t="s">
        <v>64</v>
      </c>
    </row>
    <row r="1363" spans="1:15">
      <c r="A1363" t="s">
        <v>1460</v>
      </c>
      <c r="B1363" s="3">
        <v>45735</v>
      </c>
      <c r="C1363" t="s">
        <v>54</v>
      </c>
      <c r="D1363" t="s">
        <v>62</v>
      </c>
      <c r="E1363" t="s">
        <v>75</v>
      </c>
      <c r="F1363" t="s">
        <v>110</v>
      </c>
      <c r="G1363" s="6">
        <v>4</v>
      </c>
      <c r="H1363" s="4">
        <v>164.44</v>
      </c>
      <c r="I1363" s="4">
        <v>101.69</v>
      </c>
      <c r="J1363" s="5">
        <v>0</v>
      </c>
      <c r="K1363" s="6">
        <v>1</v>
      </c>
      <c r="L1363" s="6">
        <v>5</v>
      </c>
      <c r="M1363" t="s">
        <v>58</v>
      </c>
      <c r="N1363" t="s">
        <v>69</v>
      </c>
      <c r="O1363" t="s">
        <v>60</v>
      </c>
    </row>
    <row r="1364" spans="1:15">
      <c r="A1364" t="s">
        <v>1461</v>
      </c>
      <c r="B1364" s="3">
        <v>45858</v>
      </c>
      <c r="C1364" t="s">
        <v>54</v>
      </c>
      <c r="D1364" t="s">
        <v>62</v>
      </c>
      <c r="E1364" t="s">
        <v>67</v>
      </c>
      <c r="F1364" t="s">
        <v>94</v>
      </c>
      <c r="G1364" s="6">
        <v>3</v>
      </c>
      <c r="H1364" s="4">
        <v>36.25</v>
      </c>
      <c r="I1364" s="4">
        <v>17.62</v>
      </c>
      <c r="J1364" s="5">
        <v>0.1</v>
      </c>
      <c r="K1364" s="6">
        <v>4</v>
      </c>
      <c r="L1364" s="6">
        <v>4</v>
      </c>
      <c r="M1364" t="s">
        <v>58</v>
      </c>
      <c r="N1364" t="s">
        <v>59</v>
      </c>
      <c r="O1364" t="s">
        <v>64</v>
      </c>
    </row>
    <row r="1365" spans="1:15">
      <c r="A1365" t="s">
        <v>1462</v>
      </c>
      <c r="B1365" s="3">
        <v>45797</v>
      </c>
      <c r="C1365" t="s">
        <v>78</v>
      </c>
      <c r="D1365" t="s">
        <v>62</v>
      </c>
      <c r="E1365" t="s">
        <v>79</v>
      </c>
      <c r="F1365" t="s">
        <v>92</v>
      </c>
      <c r="G1365" s="6">
        <v>1</v>
      </c>
      <c r="H1365" s="4">
        <v>48.99</v>
      </c>
      <c r="I1365" s="4">
        <v>26.07</v>
      </c>
      <c r="J1365" s="5">
        <v>0</v>
      </c>
      <c r="K1365" s="6">
        <v>3</v>
      </c>
      <c r="L1365" s="6">
        <v>4</v>
      </c>
      <c r="M1365" t="s">
        <v>58</v>
      </c>
      <c r="N1365" t="s">
        <v>59</v>
      </c>
      <c r="O1365" t="s">
        <v>60</v>
      </c>
    </row>
    <row r="1366" spans="1:15">
      <c r="A1366" t="s">
        <v>1463</v>
      </c>
      <c r="B1366" s="3">
        <v>45770</v>
      </c>
      <c r="C1366" t="s">
        <v>54</v>
      </c>
      <c r="D1366" t="s">
        <v>62</v>
      </c>
      <c r="E1366" t="s">
        <v>79</v>
      </c>
      <c r="F1366" t="s">
        <v>85</v>
      </c>
      <c r="G1366" s="6">
        <v>1</v>
      </c>
      <c r="H1366" s="4">
        <v>134.41</v>
      </c>
      <c r="I1366" s="4">
        <v>83.6</v>
      </c>
      <c r="J1366" s="5">
        <v>0.05</v>
      </c>
      <c r="K1366" s="6">
        <v>4</v>
      </c>
      <c r="L1366" s="6">
        <v>4</v>
      </c>
      <c r="M1366" t="s">
        <v>58</v>
      </c>
      <c r="N1366" t="s">
        <v>59</v>
      </c>
      <c r="O1366" t="s">
        <v>60</v>
      </c>
    </row>
    <row r="1367" spans="1:15">
      <c r="A1367" t="s">
        <v>1464</v>
      </c>
      <c r="B1367" s="3">
        <v>45673</v>
      </c>
      <c r="C1367" t="s">
        <v>82</v>
      </c>
      <c r="D1367" t="s">
        <v>62</v>
      </c>
      <c r="E1367" t="s">
        <v>75</v>
      </c>
      <c r="F1367" t="s">
        <v>110</v>
      </c>
      <c r="G1367" s="6">
        <v>1</v>
      </c>
      <c r="H1367" s="4">
        <v>165.12</v>
      </c>
      <c r="I1367" s="4">
        <v>103.99</v>
      </c>
      <c r="J1367" s="5">
        <v>0.1</v>
      </c>
      <c r="K1367" s="6">
        <v>4</v>
      </c>
      <c r="L1367" s="6">
        <v>4</v>
      </c>
      <c r="M1367" t="s">
        <v>58</v>
      </c>
      <c r="N1367" t="s">
        <v>59</v>
      </c>
      <c r="O1367" t="s">
        <v>73</v>
      </c>
    </row>
    <row r="1368" spans="1:15">
      <c r="A1368" t="s">
        <v>1465</v>
      </c>
      <c r="B1368" s="3">
        <v>45914</v>
      </c>
      <c r="C1368" t="s">
        <v>82</v>
      </c>
      <c r="D1368" t="s">
        <v>62</v>
      </c>
      <c r="E1368" t="s">
        <v>56</v>
      </c>
      <c r="F1368" t="s">
        <v>89</v>
      </c>
      <c r="G1368" s="6">
        <v>3</v>
      </c>
      <c r="H1368" s="4">
        <v>82.3</v>
      </c>
      <c r="I1368" s="4">
        <v>44.57</v>
      </c>
      <c r="J1368" s="5">
        <v>0</v>
      </c>
      <c r="K1368" s="6">
        <v>4</v>
      </c>
      <c r="L1368" s="6">
        <v>4</v>
      </c>
      <c r="M1368" t="s">
        <v>58</v>
      </c>
      <c r="N1368" t="s">
        <v>59</v>
      </c>
      <c r="O1368" t="s">
        <v>64</v>
      </c>
    </row>
    <row r="1369" spans="1:15">
      <c r="A1369" t="s">
        <v>1466</v>
      </c>
      <c r="B1369" s="3">
        <v>45812</v>
      </c>
      <c r="C1369" t="s">
        <v>78</v>
      </c>
      <c r="D1369" t="s">
        <v>62</v>
      </c>
      <c r="E1369" t="s">
        <v>56</v>
      </c>
      <c r="F1369" t="s">
        <v>89</v>
      </c>
      <c r="G1369" s="6">
        <v>1</v>
      </c>
      <c r="H1369" s="4">
        <v>80.55</v>
      </c>
      <c r="I1369" s="4">
        <v>45.45</v>
      </c>
      <c r="J1369" s="5">
        <v>0.05</v>
      </c>
      <c r="K1369" s="6">
        <v>4</v>
      </c>
      <c r="L1369" s="6">
        <v>5</v>
      </c>
      <c r="M1369" t="s">
        <v>58</v>
      </c>
      <c r="N1369" t="s">
        <v>59</v>
      </c>
      <c r="O1369" t="s">
        <v>64</v>
      </c>
    </row>
    <row r="1370" spans="1:15">
      <c r="A1370" t="s">
        <v>1467</v>
      </c>
      <c r="B1370" s="3">
        <v>45820</v>
      </c>
      <c r="C1370" t="s">
        <v>66</v>
      </c>
      <c r="D1370" t="s">
        <v>62</v>
      </c>
      <c r="E1370" t="s">
        <v>79</v>
      </c>
      <c r="F1370" t="s">
        <v>85</v>
      </c>
      <c r="G1370" s="6">
        <v>3</v>
      </c>
      <c r="H1370" s="4">
        <v>130.44999999999999</v>
      </c>
      <c r="I1370" s="4">
        <v>86.17</v>
      </c>
      <c r="J1370" s="5">
        <v>0</v>
      </c>
      <c r="K1370" s="6">
        <v>6</v>
      </c>
      <c r="L1370" s="6">
        <v>4</v>
      </c>
      <c r="M1370" t="s">
        <v>58</v>
      </c>
      <c r="N1370" t="s">
        <v>59</v>
      </c>
      <c r="O1370" t="s">
        <v>64</v>
      </c>
    </row>
    <row r="1371" spans="1:15">
      <c r="A1371" t="s">
        <v>1468</v>
      </c>
      <c r="B1371" s="3">
        <v>45897</v>
      </c>
      <c r="C1371" t="s">
        <v>78</v>
      </c>
      <c r="D1371" t="s">
        <v>55</v>
      </c>
      <c r="E1371" t="s">
        <v>79</v>
      </c>
      <c r="F1371" t="s">
        <v>92</v>
      </c>
      <c r="G1371" s="6">
        <v>2</v>
      </c>
      <c r="H1371" s="4">
        <v>51.53</v>
      </c>
      <c r="I1371" s="4">
        <v>27.26</v>
      </c>
      <c r="J1371" s="5">
        <v>0.1</v>
      </c>
      <c r="K1371" s="6">
        <v>0</v>
      </c>
      <c r="L1371" s="6">
        <v>5</v>
      </c>
      <c r="M1371" t="s">
        <v>58</v>
      </c>
      <c r="N1371" t="s">
        <v>69</v>
      </c>
      <c r="O1371" t="s">
        <v>60</v>
      </c>
    </row>
    <row r="1372" spans="1:15">
      <c r="A1372" t="s">
        <v>1469</v>
      </c>
      <c r="B1372" s="3">
        <v>45986</v>
      </c>
      <c r="C1372" t="s">
        <v>54</v>
      </c>
      <c r="D1372" t="s">
        <v>55</v>
      </c>
      <c r="E1372" t="s">
        <v>79</v>
      </c>
      <c r="F1372" t="s">
        <v>80</v>
      </c>
      <c r="G1372" s="6">
        <v>1</v>
      </c>
      <c r="H1372" s="4">
        <v>76.28</v>
      </c>
      <c r="I1372" s="4">
        <v>42.91</v>
      </c>
      <c r="J1372" s="5">
        <v>0.15000000000000002</v>
      </c>
      <c r="K1372" s="6">
        <v>3</v>
      </c>
      <c r="L1372" s="6">
        <v>5</v>
      </c>
      <c r="M1372" t="s">
        <v>58</v>
      </c>
      <c r="N1372" t="s">
        <v>59</v>
      </c>
      <c r="O1372" t="s">
        <v>64</v>
      </c>
    </row>
    <row r="1373" spans="1:15">
      <c r="A1373" t="s">
        <v>1470</v>
      </c>
      <c r="B1373" s="3">
        <v>45791</v>
      </c>
      <c r="C1373" t="s">
        <v>54</v>
      </c>
      <c r="D1373" t="s">
        <v>55</v>
      </c>
      <c r="E1373" t="s">
        <v>67</v>
      </c>
      <c r="F1373" t="s">
        <v>68</v>
      </c>
      <c r="G1373" s="6">
        <v>3</v>
      </c>
      <c r="H1373" s="4">
        <v>41.3</v>
      </c>
      <c r="I1373" s="4">
        <v>19.149999999999999</v>
      </c>
      <c r="J1373" s="5">
        <v>0.1</v>
      </c>
      <c r="K1373" s="6">
        <v>0</v>
      </c>
      <c r="L1373" s="6">
        <v>4</v>
      </c>
      <c r="M1373" t="s">
        <v>58</v>
      </c>
      <c r="N1373" t="s">
        <v>69</v>
      </c>
      <c r="O1373" t="s">
        <v>64</v>
      </c>
    </row>
    <row r="1374" spans="1:15">
      <c r="A1374" t="s">
        <v>936</v>
      </c>
      <c r="B1374" s="3">
        <v>46013</v>
      </c>
      <c r="C1374" t="s">
        <v>66</v>
      </c>
      <c r="D1374" t="s">
        <v>62</v>
      </c>
      <c r="E1374" t="s">
        <v>79</v>
      </c>
      <c r="F1374" t="s">
        <v>92</v>
      </c>
      <c r="G1374" s="6">
        <v>1</v>
      </c>
      <c r="H1374" s="4">
        <v>48.85</v>
      </c>
      <c r="I1374" s="4">
        <v>25.47</v>
      </c>
      <c r="J1374" s="5">
        <v>0.1</v>
      </c>
      <c r="K1374" s="6">
        <v>0</v>
      </c>
      <c r="L1374" s="6">
        <v>4</v>
      </c>
      <c r="M1374" t="s">
        <v>58</v>
      </c>
      <c r="N1374" t="s">
        <v>69</v>
      </c>
      <c r="O1374" t="s">
        <v>60</v>
      </c>
    </row>
    <row r="1375" spans="1:15">
      <c r="A1375" t="s">
        <v>1471</v>
      </c>
      <c r="B1375" s="3">
        <v>45921</v>
      </c>
      <c r="C1375" t="s">
        <v>78</v>
      </c>
      <c r="D1375" t="s">
        <v>55</v>
      </c>
      <c r="E1375" t="s">
        <v>79</v>
      </c>
      <c r="F1375" t="s">
        <v>92</v>
      </c>
      <c r="G1375" s="6">
        <v>2</v>
      </c>
      <c r="H1375" s="4">
        <v>48.57</v>
      </c>
      <c r="I1375" s="4">
        <v>25.88</v>
      </c>
      <c r="J1375" s="5">
        <v>0.05</v>
      </c>
      <c r="K1375" s="6">
        <v>0</v>
      </c>
      <c r="L1375" s="6">
        <v>4</v>
      </c>
      <c r="M1375" t="s">
        <v>58</v>
      </c>
      <c r="N1375" t="s">
        <v>69</v>
      </c>
      <c r="O1375" t="s">
        <v>60</v>
      </c>
    </row>
    <row r="1376" spans="1:15">
      <c r="A1376" t="s">
        <v>1472</v>
      </c>
      <c r="B1376" s="3">
        <v>45801</v>
      </c>
      <c r="C1376" t="s">
        <v>78</v>
      </c>
      <c r="D1376" t="s">
        <v>62</v>
      </c>
      <c r="E1376" t="s">
        <v>79</v>
      </c>
      <c r="F1376" t="s">
        <v>115</v>
      </c>
      <c r="G1376" s="6">
        <v>1</v>
      </c>
      <c r="H1376" s="4">
        <v>61.8</v>
      </c>
      <c r="I1376" s="4">
        <v>35.51</v>
      </c>
      <c r="J1376" s="5">
        <v>0.05</v>
      </c>
      <c r="K1376" s="6">
        <v>2</v>
      </c>
      <c r="L1376" s="6">
        <v>4</v>
      </c>
      <c r="M1376" t="s">
        <v>58</v>
      </c>
      <c r="N1376" t="s">
        <v>69</v>
      </c>
      <c r="O1376" t="s">
        <v>73</v>
      </c>
    </row>
    <row r="1377" spans="1:15">
      <c r="A1377" t="s">
        <v>1473</v>
      </c>
      <c r="B1377" s="3">
        <v>45897</v>
      </c>
      <c r="C1377" t="s">
        <v>66</v>
      </c>
      <c r="D1377" t="s">
        <v>62</v>
      </c>
      <c r="E1377" t="s">
        <v>79</v>
      </c>
      <c r="F1377" t="s">
        <v>80</v>
      </c>
      <c r="G1377" s="6">
        <v>3</v>
      </c>
      <c r="H1377" s="4">
        <v>73.27</v>
      </c>
      <c r="I1377" s="4">
        <v>44.48</v>
      </c>
      <c r="J1377" s="5">
        <v>0.05</v>
      </c>
      <c r="K1377" s="6">
        <v>5</v>
      </c>
      <c r="L1377" s="6">
        <v>4</v>
      </c>
      <c r="M1377" t="s">
        <v>58</v>
      </c>
      <c r="N1377" t="s">
        <v>59</v>
      </c>
      <c r="O1377" t="s">
        <v>60</v>
      </c>
    </row>
    <row r="1378" spans="1:15">
      <c r="A1378" t="s">
        <v>1474</v>
      </c>
      <c r="B1378" s="3">
        <v>45831</v>
      </c>
      <c r="C1378" t="s">
        <v>82</v>
      </c>
      <c r="D1378" t="s">
        <v>62</v>
      </c>
      <c r="E1378" t="s">
        <v>67</v>
      </c>
      <c r="F1378" t="s">
        <v>107</v>
      </c>
      <c r="G1378" s="6">
        <v>2</v>
      </c>
      <c r="H1378" s="4">
        <v>46.45</v>
      </c>
      <c r="I1378" s="4">
        <v>21.78</v>
      </c>
      <c r="J1378" s="5">
        <v>0</v>
      </c>
      <c r="K1378" s="6">
        <v>2</v>
      </c>
      <c r="L1378" s="6">
        <v>4</v>
      </c>
      <c r="M1378" t="s">
        <v>58</v>
      </c>
      <c r="N1378" t="s">
        <v>69</v>
      </c>
      <c r="O1378" t="s">
        <v>64</v>
      </c>
    </row>
    <row r="1379" spans="1:15">
      <c r="A1379" t="s">
        <v>1475</v>
      </c>
      <c r="B1379" s="3">
        <v>45815</v>
      </c>
      <c r="C1379" t="s">
        <v>82</v>
      </c>
      <c r="D1379" t="s">
        <v>62</v>
      </c>
      <c r="E1379" t="s">
        <v>75</v>
      </c>
      <c r="F1379" t="s">
        <v>146</v>
      </c>
      <c r="G1379" s="6">
        <v>1</v>
      </c>
      <c r="H1379" s="4">
        <v>179.54</v>
      </c>
      <c r="I1379" s="4">
        <v>111.64</v>
      </c>
      <c r="J1379" s="5">
        <v>0.1</v>
      </c>
      <c r="K1379" s="6">
        <v>4</v>
      </c>
      <c r="L1379" s="6">
        <v>4</v>
      </c>
      <c r="M1379" t="s">
        <v>58</v>
      </c>
      <c r="N1379" t="s">
        <v>59</v>
      </c>
      <c r="O1379" t="s">
        <v>73</v>
      </c>
    </row>
    <row r="1380" spans="1:15">
      <c r="A1380" t="s">
        <v>1476</v>
      </c>
      <c r="B1380" s="3">
        <v>45864</v>
      </c>
      <c r="C1380" t="s">
        <v>66</v>
      </c>
      <c r="D1380" t="s">
        <v>62</v>
      </c>
      <c r="E1380" t="s">
        <v>56</v>
      </c>
      <c r="F1380" t="s">
        <v>57</v>
      </c>
      <c r="G1380" s="6">
        <v>2</v>
      </c>
      <c r="H1380" s="4">
        <v>110.21</v>
      </c>
      <c r="I1380" s="4">
        <v>65.349999999999994</v>
      </c>
      <c r="J1380" s="5">
        <v>0</v>
      </c>
      <c r="K1380" s="6">
        <v>4</v>
      </c>
      <c r="L1380" s="6">
        <v>4</v>
      </c>
      <c r="M1380" t="s">
        <v>58</v>
      </c>
      <c r="N1380" t="s">
        <v>59</v>
      </c>
      <c r="O1380" t="s">
        <v>73</v>
      </c>
    </row>
    <row r="1381" spans="1:15">
      <c r="A1381" t="s">
        <v>1477</v>
      </c>
      <c r="B1381" s="3">
        <v>45963</v>
      </c>
      <c r="C1381" t="s">
        <v>66</v>
      </c>
      <c r="D1381" t="s">
        <v>55</v>
      </c>
      <c r="E1381" t="s">
        <v>75</v>
      </c>
      <c r="F1381" t="s">
        <v>146</v>
      </c>
      <c r="G1381" s="6">
        <v>1</v>
      </c>
      <c r="H1381" s="4">
        <v>174.74</v>
      </c>
      <c r="I1381" s="4">
        <v>117.05</v>
      </c>
      <c r="J1381" s="5">
        <v>0.05</v>
      </c>
      <c r="K1381" s="6">
        <v>5</v>
      </c>
      <c r="L1381" s="6">
        <v>4</v>
      </c>
      <c r="M1381" t="s">
        <v>58</v>
      </c>
      <c r="N1381" t="s">
        <v>69</v>
      </c>
      <c r="O1381" t="s">
        <v>60</v>
      </c>
    </row>
    <row r="1382" spans="1:15">
      <c r="A1382" t="s">
        <v>1478</v>
      </c>
      <c r="B1382" s="3">
        <v>46005</v>
      </c>
      <c r="C1382" t="s">
        <v>66</v>
      </c>
      <c r="D1382" t="s">
        <v>129</v>
      </c>
      <c r="E1382" t="s">
        <v>79</v>
      </c>
      <c r="F1382" t="s">
        <v>80</v>
      </c>
      <c r="G1382" s="6">
        <v>4</v>
      </c>
      <c r="H1382" s="4">
        <v>74.61</v>
      </c>
      <c r="I1382" s="4">
        <v>42.62</v>
      </c>
      <c r="J1382" s="5">
        <v>0.25</v>
      </c>
      <c r="K1382" s="6">
        <v>2</v>
      </c>
      <c r="L1382" s="6">
        <v>5</v>
      </c>
      <c r="M1382" t="s">
        <v>58</v>
      </c>
      <c r="N1382" t="s">
        <v>69</v>
      </c>
      <c r="O1382" t="s">
        <v>64</v>
      </c>
    </row>
    <row r="1383" spans="1:15">
      <c r="A1383" t="s">
        <v>1479</v>
      </c>
      <c r="B1383" s="3">
        <v>45658</v>
      </c>
      <c r="C1383" t="s">
        <v>78</v>
      </c>
      <c r="D1383" t="s">
        <v>55</v>
      </c>
      <c r="E1383" t="s">
        <v>79</v>
      </c>
      <c r="F1383" t="s">
        <v>115</v>
      </c>
      <c r="G1383" s="6">
        <v>6</v>
      </c>
      <c r="H1383" s="4">
        <v>61.97</v>
      </c>
      <c r="I1383" s="4">
        <v>33.549999999999997</v>
      </c>
      <c r="J1383" s="5">
        <v>0</v>
      </c>
      <c r="K1383" s="6">
        <v>2</v>
      </c>
      <c r="L1383" s="6">
        <v>4</v>
      </c>
      <c r="M1383" t="s">
        <v>58</v>
      </c>
      <c r="N1383" t="s">
        <v>59</v>
      </c>
      <c r="O1383" t="s">
        <v>64</v>
      </c>
    </row>
    <row r="1384" spans="1:15">
      <c r="A1384" t="s">
        <v>1480</v>
      </c>
      <c r="B1384" s="3">
        <v>45880</v>
      </c>
      <c r="C1384" t="s">
        <v>82</v>
      </c>
      <c r="D1384" t="s">
        <v>55</v>
      </c>
      <c r="E1384" t="s">
        <v>75</v>
      </c>
      <c r="F1384" t="s">
        <v>76</v>
      </c>
      <c r="G1384" s="6">
        <v>5</v>
      </c>
      <c r="H1384" s="4">
        <v>119.19</v>
      </c>
      <c r="I1384" s="4">
        <v>70.45</v>
      </c>
      <c r="J1384" s="5">
        <v>0</v>
      </c>
      <c r="K1384" s="6">
        <v>3</v>
      </c>
      <c r="L1384" s="6">
        <v>5</v>
      </c>
      <c r="M1384" t="s">
        <v>58</v>
      </c>
      <c r="N1384" t="s">
        <v>59</v>
      </c>
      <c r="O1384" t="s">
        <v>64</v>
      </c>
    </row>
    <row r="1385" spans="1:15">
      <c r="A1385" t="s">
        <v>1481</v>
      </c>
      <c r="B1385" s="3">
        <v>45883</v>
      </c>
      <c r="C1385" t="s">
        <v>78</v>
      </c>
      <c r="D1385" t="s">
        <v>62</v>
      </c>
      <c r="E1385" t="s">
        <v>67</v>
      </c>
      <c r="F1385" t="s">
        <v>94</v>
      </c>
      <c r="G1385" s="6">
        <v>1</v>
      </c>
      <c r="H1385" s="4">
        <v>35.89</v>
      </c>
      <c r="I1385" s="4">
        <v>17.670000000000002</v>
      </c>
      <c r="J1385" s="5">
        <v>0.05</v>
      </c>
      <c r="K1385" s="6">
        <v>0</v>
      </c>
      <c r="L1385" s="6">
        <v>5</v>
      </c>
      <c r="M1385" t="s">
        <v>58</v>
      </c>
      <c r="N1385" t="s">
        <v>69</v>
      </c>
      <c r="O1385" t="s">
        <v>73</v>
      </c>
    </row>
    <row r="1386" spans="1:15">
      <c r="A1386" t="s">
        <v>1482</v>
      </c>
      <c r="B1386" s="3">
        <v>45876</v>
      </c>
      <c r="C1386" t="s">
        <v>78</v>
      </c>
      <c r="D1386" t="s">
        <v>129</v>
      </c>
      <c r="E1386" t="s">
        <v>75</v>
      </c>
      <c r="F1386" t="s">
        <v>97</v>
      </c>
      <c r="G1386" s="6">
        <v>6</v>
      </c>
      <c r="H1386" s="4">
        <v>91.25</v>
      </c>
      <c r="I1386" s="4">
        <v>52.65</v>
      </c>
      <c r="J1386" s="5">
        <v>0.1</v>
      </c>
      <c r="K1386" s="6">
        <v>8</v>
      </c>
      <c r="L1386" s="6">
        <v>4</v>
      </c>
      <c r="M1386" t="s">
        <v>58</v>
      </c>
      <c r="N1386" t="s">
        <v>59</v>
      </c>
      <c r="O1386" t="s">
        <v>64</v>
      </c>
    </row>
    <row r="1387" spans="1:15">
      <c r="A1387" t="s">
        <v>1483</v>
      </c>
      <c r="B1387" s="3">
        <v>45814</v>
      </c>
      <c r="C1387" t="s">
        <v>78</v>
      </c>
      <c r="D1387" t="s">
        <v>62</v>
      </c>
      <c r="E1387" t="s">
        <v>79</v>
      </c>
      <c r="F1387" t="s">
        <v>92</v>
      </c>
      <c r="G1387" s="6">
        <v>3</v>
      </c>
      <c r="H1387" s="4">
        <v>48.99</v>
      </c>
      <c r="I1387" s="4">
        <v>25.59</v>
      </c>
      <c r="J1387" s="5">
        <v>0.05</v>
      </c>
      <c r="K1387" s="6">
        <v>2</v>
      </c>
      <c r="L1387" s="6">
        <v>4</v>
      </c>
      <c r="M1387" t="s">
        <v>58</v>
      </c>
      <c r="N1387" t="s">
        <v>87</v>
      </c>
      <c r="O1387" t="s">
        <v>73</v>
      </c>
    </row>
    <row r="1388" spans="1:15">
      <c r="A1388" t="s">
        <v>1484</v>
      </c>
      <c r="B1388" s="3">
        <v>46008</v>
      </c>
      <c r="C1388" t="s">
        <v>66</v>
      </c>
      <c r="D1388" t="s">
        <v>62</v>
      </c>
      <c r="E1388" t="s">
        <v>56</v>
      </c>
      <c r="F1388" t="s">
        <v>57</v>
      </c>
      <c r="G1388" s="6">
        <v>2</v>
      </c>
      <c r="H1388" s="4">
        <v>108.59</v>
      </c>
      <c r="I1388" s="4">
        <v>65.87</v>
      </c>
      <c r="J1388" s="5">
        <v>0.1</v>
      </c>
      <c r="K1388" s="6">
        <v>3</v>
      </c>
      <c r="L1388" s="6">
        <v>4</v>
      </c>
      <c r="M1388" t="s">
        <v>58</v>
      </c>
      <c r="N1388" t="s">
        <v>59</v>
      </c>
      <c r="O1388" t="s">
        <v>64</v>
      </c>
    </row>
    <row r="1389" spans="1:15">
      <c r="A1389" t="s">
        <v>1485</v>
      </c>
      <c r="B1389" s="3">
        <v>45955</v>
      </c>
      <c r="C1389" t="s">
        <v>78</v>
      </c>
      <c r="D1389" t="s">
        <v>62</v>
      </c>
      <c r="E1389" t="s">
        <v>67</v>
      </c>
      <c r="F1389" t="s">
        <v>94</v>
      </c>
      <c r="G1389" s="6">
        <v>4</v>
      </c>
      <c r="H1389" s="4">
        <v>33.99</v>
      </c>
      <c r="I1389" s="4">
        <v>17.05</v>
      </c>
      <c r="J1389" s="5">
        <v>0.05</v>
      </c>
      <c r="K1389" s="6">
        <v>3</v>
      </c>
      <c r="L1389" s="6">
        <v>5</v>
      </c>
      <c r="M1389" t="s">
        <v>58</v>
      </c>
      <c r="N1389" t="s">
        <v>59</v>
      </c>
      <c r="O1389" t="s">
        <v>64</v>
      </c>
    </row>
    <row r="1390" spans="1:15">
      <c r="A1390" t="s">
        <v>1486</v>
      </c>
      <c r="B1390" s="3">
        <v>45933</v>
      </c>
      <c r="C1390" t="s">
        <v>54</v>
      </c>
      <c r="D1390" t="s">
        <v>62</v>
      </c>
      <c r="E1390" t="s">
        <v>79</v>
      </c>
      <c r="F1390" t="s">
        <v>92</v>
      </c>
      <c r="G1390" s="6">
        <v>1</v>
      </c>
      <c r="H1390" s="4">
        <v>51.27</v>
      </c>
      <c r="I1390" s="4">
        <v>26.54</v>
      </c>
      <c r="J1390" s="5">
        <v>0</v>
      </c>
      <c r="K1390" s="6">
        <v>0</v>
      </c>
      <c r="L1390" s="6">
        <v>4</v>
      </c>
      <c r="M1390" t="s">
        <v>58</v>
      </c>
      <c r="N1390" t="s">
        <v>69</v>
      </c>
      <c r="O1390" t="s">
        <v>73</v>
      </c>
    </row>
    <row r="1391" spans="1:15">
      <c r="A1391" t="s">
        <v>1487</v>
      </c>
      <c r="B1391" s="3">
        <v>45943</v>
      </c>
      <c r="C1391" t="s">
        <v>78</v>
      </c>
      <c r="D1391" t="s">
        <v>62</v>
      </c>
      <c r="E1391" t="s">
        <v>67</v>
      </c>
      <c r="F1391" t="s">
        <v>94</v>
      </c>
      <c r="G1391" s="6">
        <v>1</v>
      </c>
      <c r="H1391" s="4">
        <v>35.49</v>
      </c>
      <c r="I1391" s="4">
        <v>17.45</v>
      </c>
      <c r="J1391" s="5">
        <v>0.05</v>
      </c>
      <c r="K1391" s="6">
        <v>2</v>
      </c>
      <c r="L1391" s="6">
        <v>5</v>
      </c>
      <c r="M1391" t="s">
        <v>58</v>
      </c>
      <c r="N1391" t="s">
        <v>69</v>
      </c>
      <c r="O1391" t="s">
        <v>64</v>
      </c>
    </row>
    <row r="1392" spans="1:15">
      <c r="A1392" t="s">
        <v>1488</v>
      </c>
      <c r="B1392" s="3">
        <v>45777</v>
      </c>
      <c r="C1392" t="s">
        <v>78</v>
      </c>
      <c r="D1392" t="s">
        <v>55</v>
      </c>
      <c r="E1392" t="s">
        <v>56</v>
      </c>
      <c r="F1392" t="s">
        <v>57</v>
      </c>
      <c r="G1392" s="6">
        <v>3</v>
      </c>
      <c r="H1392" s="4">
        <v>111.93</v>
      </c>
      <c r="I1392" s="4">
        <v>67.819999999999993</v>
      </c>
      <c r="J1392" s="5">
        <v>0.05</v>
      </c>
      <c r="K1392" s="6">
        <v>0</v>
      </c>
      <c r="L1392" s="6">
        <v>4</v>
      </c>
      <c r="M1392" t="s">
        <v>58</v>
      </c>
      <c r="N1392" t="s">
        <v>69</v>
      </c>
      <c r="O1392" t="s">
        <v>64</v>
      </c>
    </row>
    <row r="1393" spans="1:15">
      <c r="A1393" t="s">
        <v>1489</v>
      </c>
      <c r="B1393" s="3">
        <v>45789</v>
      </c>
      <c r="C1393" t="s">
        <v>78</v>
      </c>
      <c r="D1393" t="s">
        <v>62</v>
      </c>
      <c r="E1393" t="s">
        <v>79</v>
      </c>
      <c r="F1393" t="s">
        <v>115</v>
      </c>
      <c r="G1393" s="6">
        <v>2</v>
      </c>
      <c r="H1393" s="4">
        <v>58.48</v>
      </c>
      <c r="I1393" s="4">
        <v>34.81</v>
      </c>
      <c r="J1393" s="5">
        <v>0</v>
      </c>
      <c r="K1393" s="6">
        <v>3</v>
      </c>
      <c r="L1393" s="6">
        <v>5</v>
      </c>
      <c r="M1393" t="s">
        <v>58</v>
      </c>
      <c r="N1393" t="s">
        <v>59</v>
      </c>
      <c r="O1393" t="s">
        <v>64</v>
      </c>
    </row>
    <row r="1394" spans="1:15">
      <c r="A1394" t="s">
        <v>1490</v>
      </c>
      <c r="B1394" s="3">
        <v>45732</v>
      </c>
      <c r="C1394" t="s">
        <v>54</v>
      </c>
      <c r="D1394" t="s">
        <v>129</v>
      </c>
      <c r="E1394" t="s">
        <v>79</v>
      </c>
      <c r="F1394" t="s">
        <v>92</v>
      </c>
      <c r="G1394" s="6">
        <v>10</v>
      </c>
      <c r="H1394" s="4">
        <v>49.34</v>
      </c>
      <c r="I1394" s="4">
        <v>25.72</v>
      </c>
      <c r="J1394" s="5">
        <v>0.15000000000000002</v>
      </c>
      <c r="K1394" s="6">
        <v>6</v>
      </c>
      <c r="L1394" s="6">
        <v>4</v>
      </c>
      <c r="M1394" t="s">
        <v>58</v>
      </c>
      <c r="N1394" t="s">
        <v>59</v>
      </c>
      <c r="O1394" t="s">
        <v>64</v>
      </c>
    </row>
    <row r="1395" spans="1:15">
      <c r="A1395" t="s">
        <v>1491</v>
      </c>
      <c r="B1395" s="3">
        <v>45972</v>
      </c>
      <c r="C1395" t="s">
        <v>78</v>
      </c>
      <c r="D1395" t="s">
        <v>55</v>
      </c>
      <c r="E1395" t="s">
        <v>67</v>
      </c>
      <c r="F1395" t="s">
        <v>71</v>
      </c>
      <c r="G1395" s="6">
        <v>2</v>
      </c>
      <c r="H1395" s="4">
        <v>69.03</v>
      </c>
      <c r="I1395" s="4">
        <v>37.15</v>
      </c>
      <c r="J1395" s="5">
        <v>0.1</v>
      </c>
      <c r="K1395" s="6">
        <v>3</v>
      </c>
      <c r="L1395" s="6">
        <v>5</v>
      </c>
      <c r="M1395" t="s">
        <v>58</v>
      </c>
      <c r="N1395" t="s">
        <v>59</v>
      </c>
      <c r="O1395" t="s">
        <v>64</v>
      </c>
    </row>
    <row r="1396" spans="1:15">
      <c r="A1396" t="s">
        <v>1492</v>
      </c>
      <c r="B1396" s="3">
        <v>45938</v>
      </c>
      <c r="C1396" t="s">
        <v>54</v>
      </c>
      <c r="D1396" t="s">
        <v>62</v>
      </c>
      <c r="E1396" t="s">
        <v>67</v>
      </c>
      <c r="F1396" t="s">
        <v>94</v>
      </c>
      <c r="G1396" s="6">
        <v>1</v>
      </c>
      <c r="H1396" s="4">
        <v>35.24</v>
      </c>
      <c r="I1396" s="4">
        <v>17.28</v>
      </c>
      <c r="J1396" s="5">
        <v>0.05</v>
      </c>
      <c r="K1396" s="6">
        <v>3</v>
      </c>
      <c r="L1396" s="6">
        <v>5</v>
      </c>
      <c r="M1396" t="s">
        <v>58</v>
      </c>
      <c r="N1396" t="s">
        <v>59</v>
      </c>
      <c r="O1396" t="s">
        <v>64</v>
      </c>
    </row>
    <row r="1397" spans="1:15">
      <c r="A1397" t="s">
        <v>1493</v>
      </c>
      <c r="B1397" s="3">
        <v>45986</v>
      </c>
      <c r="C1397" t="s">
        <v>54</v>
      </c>
      <c r="D1397" t="s">
        <v>55</v>
      </c>
      <c r="E1397" t="s">
        <v>79</v>
      </c>
      <c r="F1397" t="s">
        <v>115</v>
      </c>
      <c r="G1397" s="6">
        <v>1</v>
      </c>
      <c r="H1397" s="4">
        <v>59.29</v>
      </c>
      <c r="I1397" s="4">
        <v>35.200000000000003</v>
      </c>
      <c r="J1397" s="5">
        <v>0.1</v>
      </c>
      <c r="K1397" s="6">
        <v>2</v>
      </c>
      <c r="L1397" s="6">
        <v>4</v>
      </c>
      <c r="M1397" t="s">
        <v>58</v>
      </c>
      <c r="N1397" t="s">
        <v>59</v>
      </c>
      <c r="O1397" t="s">
        <v>64</v>
      </c>
    </row>
    <row r="1398" spans="1:15">
      <c r="A1398" t="s">
        <v>1494</v>
      </c>
      <c r="B1398" s="3">
        <v>45941</v>
      </c>
      <c r="C1398" t="s">
        <v>82</v>
      </c>
      <c r="D1398" t="s">
        <v>62</v>
      </c>
      <c r="E1398" t="s">
        <v>56</v>
      </c>
      <c r="F1398" t="s">
        <v>57</v>
      </c>
      <c r="G1398" s="6">
        <v>1</v>
      </c>
      <c r="H1398" s="4">
        <v>109.39</v>
      </c>
      <c r="I1398" s="4">
        <v>66.94</v>
      </c>
      <c r="J1398" s="5">
        <v>0.05</v>
      </c>
      <c r="K1398" s="6">
        <v>3</v>
      </c>
      <c r="L1398" s="6">
        <v>4</v>
      </c>
      <c r="M1398" t="s">
        <v>58</v>
      </c>
      <c r="N1398" t="s">
        <v>69</v>
      </c>
      <c r="O1398" t="s">
        <v>64</v>
      </c>
    </row>
    <row r="1399" spans="1:15">
      <c r="A1399" t="s">
        <v>1495</v>
      </c>
      <c r="B1399" s="3">
        <v>45864</v>
      </c>
      <c r="C1399" t="s">
        <v>82</v>
      </c>
      <c r="D1399" t="s">
        <v>62</v>
      </c>
      <c r="E1399" t="s">
        <v>75</v>
      </c>
      <c r="F1399" t="s">
        <v>97</v>
      </c>
      <c r="G1399" s="6">
        <v>1</v>
      </c>
      <c r="H1399" s="4">
        <v>92.01</v>
      </c>
      <c r="I1399" s="4">
        <v>52.45</v>
      </c>
      <c r="J1399" s="5">
        <v>0</v>
      </c>
      <c r="K1399" s="6">
        <v>4</v>
      </c>
      <c r="L1399" s="6"/>
      <c r="M1399" t="s">
        <v>58</v>
      </c>
      <c r="N1399" t="s">
        <v>87</v>
      </c>
      <c r="O1399" t="s">
        <v>73</v>
      </c>
    </row>
    <row r="1400" spans="1:15">
      <c r="A1400" t="s">
        <v>1496</v>
      </c>
      <c r="B1400" s="3">
        <v>45841</v>
      </c>
      <c r="C1400" t="s">
        <v>66</v>
      </c>
      <c r="D1400" t="s">
        <v>62</v>
      </c>
      <c r="E1400" t="s">
        <v>56</v>
      </c>
      <c r="F1400" t="s">
        <v>83</v>
      </c>
      <c r="G1400" s="6">
        <v>1</v>
      </c>
      <c r="H1400" s="4">
        <v>63.25</v>
      </c>
      <c r="I1400" s="4">
        <v>36.119999999999997</v>
      </c>
      <c r="J1400" s="5">
        <v>0.1</v>
      </c>
      <c r="K1400" s="6">
        <v>2</v>
      </c>
      <c r="L1400" s="6">
        <v>4</v>
      </c>
      <c r="M1400" t="s">
        <v>58</v>
      </c>
      <c r="N1400" t="s">
        <v>69</v>
      </c>
      <c r="O1400" t="s">
        <v>64</v>
      </c>
    </row>
    <row r="1401" spans="1:15">
      <c r="A1401" t="s">
        <v>1497</v>
      </c>
      <c r="B1401" s="3">
        <v>45900</v>
      </c>
      <c r="C1401" t="s">
        <v>78</v>
      </c>
      <c r="D1401" t="s">
        <v>62</v>
      </c>
      <c r="E1401" t="s">
        <v>56</v>
      </c>
      <c r="F1401" t="s">
        <v>63</v>
      </c>
      <c r="G1401" s="6">
        <v>1</v>
      </c>
      <c r="H1401" s="4">
        <v>39.56</v>
      </c>
      <c r="I1401" s="4">
        <v>19.53</v>
      </c>
      <c r="J1401" s="5">
        <v>0.05</v>
      </c>
      <c r="K1401" s="6">
        <v>6</v>
      </c>
      <c r="L1401" s="6">
        <v>3</v>
      </c>
      <c r="M1401" t="s">
        <v>126</v>
      </c>
      <c r="N1401" t="s">
        <v>59</v>
      </c>
      <c r="O1401" t="s">
        <v>64</v>
      </c>
    </row>
    <row r="1402" spans="1:15">
      <c r="A1402" t="s">
        <v>1498</v>
      </c>
      <c r="B1402" s="3">
        <v>46018</v>
      </c>
      <c r="C1402" t="s">
        <v>82</v>
      </c>
      <c r="D1402" t="s">
        <v>55</v>
      </c>
      <c r="E1402" t="s">
        <v>79</v>
      </c>
      <c r="F1402" t="s">
        <v>115</v>
      </c>
      <c r="G1402" s="6">
        <v>4</v>
      </c>
      <c r="H1402" s="4">
        <v>59</v>
      </c>
      <c r="I1402" s="4">
        <v>33.200000000000003</v>
      </c>
      <c r="J1402" s="5">
        <v>0.15000000000000002</v>
      </c>
      <c r="K1402" s="6">
        <v>0</v>
      </c>
      <c r="L1402" s="6">
        <v>4</v>
      </c>
      <c r="M1402" t="s">
        <v>58</v>
      </c>
      <c r="N1402" t="s">
        <v>69</v>
      </c>
      <c r="O1402" t="s">
        <v>73</v>
      </c>
    </row>
    <row r="1403" spans="1:15">
      <c r="A1403" t="s">
        <v>1499</v>
      </c>
      <c r="B1403" s="3">
        <v>45765</v>
      </c>
      <c r="C1403" t="s">
        <v>54</v>
      </c>
      <c r="D1403" t="s">
        <v>62</v>
      </c>
      <c r="E1403" t="s">
        <v>79</v>
      </c>
      <c r="F1403" t="s">
        <v>92</v>
      </c>
      <c r="G1403" s="6">
        <v>1</v>
      </c>
      <c r="H1403" s="4">
        <v>49.99</v>
      </c>
      <c r="I1403" s="4">
        <v>26.78</v>
      </c>
      <c r="J1403" s="5">
        <v>0</v>
      </c>
      <c r="K1403" s="6">
        <v>4</v>
      </c>
      <c r="L1403" s="6">
        <v>4</v>
      </c>
      <c r="M1403" t="s">
        <v>58</v>
      </c>
      <c r="N1403" t="s">
        <v>59</v>
      </c>
      <c r="O1403" t="s">
        <v>60</v>
      </c>
    </row>
    <row r="1404" spans="1:15">
      <c r="A1404" t="s">
        <v>1500</v>
      </c>
      <c r="B1404" s="3">
        <v>45690</v>
      </c>
      <c r="C1404" t="s">
        <v>54</v>
      </c>
      <c r="D1404" t="s">
        <v>55</v>
      </c>
      <c r="E1404" t="s">
        <v>67</v>
      </c>
      <c r="F1404" t="s">
        <v>107</v>
      </c>
      <c r="G1404" s="6">
        <v>3</v>
      </c>
      <c r="H1404" s="4">
        <v>44.55</v>
      </c>
      <c r="I1404" s="4">
        <v>20.87</v>
      </c>
      <c r="J1404" s="5">
        <v>0</v>
      </c>
      <c r="K1404" s="6">
        <v>0</v>
      </c>
      <c r="L1404" s="6">
        <v>5</v>
      </c>
      <c r="M1404" t="s">
        <v>58</v>
      </c>
      <c r="N1404" t="s">
        <v>69</v>
      </c>
      <c r="O1404" t="s">
        <v>64</v>
      </c>
    </row>
    <row r="1405" spans="1:15">
      <c r="A1405" t="s">
        <v>1501</v>
      </c>
      <c r="B1405" s="3">
        <v>46007</v>
      </c>
      <c r="C1405" t="s">
        <v>78</v>
      </c>
      <c r="D1405" t="s">
        <v>62</v>
      </c>
      <c r="E1405" t="s">
        <v>79</v>
      </c>
      <c r="F1405" t="s">
        <v>85</v>
      </c>
      <c r="G1405" s="6">
        <v>1</v>
      </c>
      <c r="H1405" s="4">
        <v>130.28</v>
      </c>
      <c r="I1405" s="4">
        <v>85.86</v>
      </c>
      <c r="J1405" s="5">
        <v>0.05</v>
      </c>
      <c r="K1405" s="6">
        <v>2</v>
      </c>
      <c r="L1405" s="6">
        <v>3</v>
      </c>
      <c r="M1405" t="s">
        <v>126</v>
      </c>
      <c r="N1405" t="s">
        <v>59</v>
      </c>
      <c r="O1405" t="s">
        <v>73</v>
      </c>
    </row>
    <row r="1406" spans="1:15">
      <c r="A1406" t="s">
        <v>1502</v>
      </c>
      <c r="B1406" s="3">
        <v>46015</v>
      </c>
      <c r="C1406" t="s">
        <v>66</v>
      </c>
      <c r="D1406" t="s">
        <v>62</v>
      </c>
      <c r="E1406" t="s">
        <v>75</v>
      </c>
      <c r="F1406" t="s">
        <v>76</v>
      </c>
      <c r="G1406" s="6">
        <v>2</v>
      </c>
      <c r="H1406" s="4">
        <v>122.65</v>
      </c>
      <c r="I1406" s="4">
        <v>74.3</v>
      </c>
      <c r="J1406" s="5">
        <v>0.05</v>
      </c>
      <c r="K1406" s="6">
        <v>8</v>
      </c>
      <c r="L1406" s="6">
        <v>3</v>
      </c>
      <c r="M1406" t="s">
        <v>58</v>
      </c>
      <c r="N1406" t="s">
        <v>59</v>
      </c>
      <c r="O1406" t="s">
        <v>64</v>
      </c>
    </row>
    <row r="1407" spans="1:15">
      <c r="A1407" t="s">
        <v>1503</v>
      </c>
      <c r="B1407" s="3">
        <v>45688</v>
      </c>
      <c r="C1407" t="s">
        <v>54</v>
      </c>
      <c r="D1407" t="s">
        <v>62</v>
      </c>
      <c r="E1407" t="s">
        <v>56</v>
      </c>
      <c r="F1407" t="s">
        <v>63</v>
      </c>
      <c r="G1407" s="6">
        <v>4</v>
      </c>
      <c r="H1407" s="4">
        <v>41.48</v>
      </c>
      <c r="I1407" s="4">
        <v>21</v>
      </c>
      <c r="J1407" s="5">
        <v>0.1</v>
      </c>
      <c r="K1407" s="6">
        <v>3</v>
      </c>
      <c r="L1407" s="6">
        <v>5</v>
      </c>
      <c r="M1407" t="s">
        <v>58</v>
      </c>
      <c r="N1407" t="s">
        <v>87</v>
      </c>
      <c r="O1407" t="s">
        <v>73</v>
      </c>
    </row>
    <row r="1408" spans="1:15">
      <c r="A1408" t="s">
        <v>1504</v>
      </c>
      <c r="B1408" s="3">
        <v>45722</v>
      </c>
      <c r="C1408" t="s">
        <v>54</v>
      </c>
      <c r="D1408" t="s">
        <v>62</v>
      </c>
      <c r="E1408" t="s">
        <v>79</v>
      </c>
      <c r="F1408" t="s">
        <v>115</v>
      </c>
      <c r="G1408" s="6">
        <v>1</v>
      </c>
      <c r="H1408" s="4">
        <v>59.29</v>
      </c>
      <c r="I1408" s="4">
        <v>34.549999999999997</v>
      </c>
      <c r="J1408" s="5">
        <v>0.1</v>
      </c>
      <c r="K1408" s="6">
        <v>7</v>
      </c>
      <c r="L1408" s="6">
        <v>4</v>
      </c>
      <c r="M1408" t="s">
        <v>58</v>
      </c>
      <c r="N1408" t="s">
        <v>87</v>
      </c>
      <c r="O1408" t="s">
        <v>64</v>
      </c>
    </row>
    <row r="1409" spans="1:15">
      <c r="A1409" t="s">
        <v>1505</v>
      </c>
      <c r="B1409" s="3">
        <v>45966</v>
      </c>
      <c r="C1409" t="s">
        <v>54</v>
      </c>
      <c r="D1409" t="s">
        <v>62</v>
      </c>
      <c r="E1409" t="s">
        <v>67</v>
      </c>
      <c r="F1409" t="s">
        <v>68</v>
      </c>
      <c r="G1409" s="6">
        <v>1</v>
      </c>
      <c r="H1409" s="4">
        <v>40.74</v>
      </c>
      <c r="I1409" s="4">
        <v>18.57</v>
      </c>
      <c r="J1409" s="5">
        <v>0.1</v>
      </c>
      <c r="K1409" s="6">
        <v>2</v>
      </c>
      <c r="L1409" s="6">
        <v>5</v>
      </c>
      <c r="M1409" t="s">
        <v>58</v>
      </c>
      <c r="N1409" t="s">
        <v>69</v>
      </c>
      <c r="O1409" t="s">
        <v>64</v>
      </c>
    </row>
    <row r="1410" spans="1:15">
      <c r="A1410" t="s">
        <v>1506</v>
      </c>
      <c r="B1410" s="3">
        <v>45801</v>
      </c>
      <c r="C1410" t="s">
        <v>78</v>
      </c>
      <c r="D1410" t="s">
        <v>62</v>
      </c>
      <c r="E1410" t="s">
        <v>56</v>
      </c>
      <c r="F1410" t="s">
        <v>63</v>
      </c>
      <c r="G1410" s="6">
        <v>1</v>
      </c>
      <c r="H1410" s="4">
        <v>40.07</v>
      </c>
      <c r="I1410" s="4">
        <v>19.809999999999999</v>
      </c>
      <c r="J1410" s="5">
        <v>0.05</v>
      </c>
      <c r="K1410" s="6">
        <v>3</v>
      </c>
      <c r="L1410" s="6">
        <v>4</v>
      </c>
      <c r="M1410" t="s">
        <v>58</v>
      </c>
      <c r="N1410" t="s">
        <v>59</v>
      </c>
      <c r="O1410" t="s">
        <v>60</v>
      </c>
    </row>
    <row r="1411" spans="1:15">
      <c r="A1411" t="s">
        <v>1507</v>
      </c>
      <c r="B1411" s="3">
        <v>45985</v>
      </c>
      <c r="C1411" t="s">
        <v>54</v>
      </c>
      <c r="D1411" t="s">
        <v>62</v>
      </c>
      <c r="E1411" t="s">
        <v>75</v>
      </c>
      <c r="F1411" t="s">
        <v>76</v>
      </c>
      <c r="G1411" s="6">
        <v>2</v>
      </c>
      <c r="H1411" s="4">
        <v>118.34</v>
      </c>
      <c r="I1411" s="4">
        <v>74.22</v>
      </c>
      <c r="J1411" s="5">
        <v>0.05</v>
      </c>
      <c r="K1411" s="6">
        <v>7</v>
      </c>
      <c r="L1411" s="6">
        <v>4</v>
      </c>
      <c r="M1411" t="s">
        <v>58</v>
      </c>
      <c r="N1411" t="s">
        <v>59</v>
      </c>
      <c r="O1411" t="s">
        <v>64</v>
      </c>
    </row>
    <row r="1412" spans="1:15">
      <c r="A1412" t="s">
        <v>1508</v>
      </c>
      <c r="B1412" s="3">
        <v>45850</v>
      </c>
      <c r="C1412" t="s">
        <v>78</v>
      </c>
      <c r="D1412" t="s">
        <v>62</v>
      </c>
      <c r="E1412" t="s">
        <v>56</v>
      </c>
      <c r="F1412" t="s">
        <v>83</v>
      </c>
      <c r="G1412" s="6">
        <v>1</v>
      </c>
      <c r="H1412" s="4">
        <v>66.95</v>
      </c>
      <c r="I1412" s="4">
        <v>34.28</v>
      </c>
      <c r="J1412" s="5">
        <v>0.05</v>
      </c>
      <c r="K1412" s="6">
        <v>2</v>
      </c>
      <c r="L1412" s="6">
        <v>5</v>
      </c>
      <c r="M1412" t="s">
        <v>58</v>
      </c>
      <c r="N1412" t="s">
        <v>69</v>
      </c>
      <c r="O1412" t="s">
        <v>73</v>
      </c>
    </row>
    <row r="1413" spans="1:15">
      <c r="A1413" t="s">
        <v>1509</v>
      </c>
      <c r="B1413" s="3">
        <v>45819</v>
      </c>
      <c r="C1413" t="s">
        <v>78</v>
      </c>
      <c r="D1413" t="s">
        <v>62</v>
      </c>
      <c r="E1413" t="s">
        <v>79</v>
      </c>
      <c r="F1413" t="s">
        <v>80</v>
      </c>
      <c r="G1413" s="6">
        <v>1</v>
      </c>
      <c r="H1413" s="4">
        <v>77.12</v>
      </c>
      <c r="I1413" s="4">
        <v>44.66</v>
      </c>
      <c r="J1413" s="5">
        <v>0.05</v>
      </c>
      <c r="K1413" s="6">
        <v>5</v>
      </c>
      <c r="L1413" s="6">
        <v>4</v>
      </c>
      <c r="M1413" t="s">
        <v>58</v>
      </c>
      <c r="N1413" t="s">
        <v>59</v>
      </c>
      <c r="O1413" t="s">
        <v>64</v>
      </c>
    </row>
    <row r="1414" spans="1:15">
      <c r="A1414" t="s">
        <v>1510</v>
      </c>
      <c r="B1414" s="3">
        <v>45731</v>
      </c>
      <c r="C1414" t="s">
        <v>66</v>
      </c>
      <c r="D1414" t="s">
        <v>62</v>
      </c>
      <c r="E1414" t="s">
        <v>79</v>
      </c>
      <c r="F1414" t="s">
        <v>80</v>
      </c>
      <c r="G1414" s="6">
        <v>3</v>
      </c>
      <c r="H1414" s="4">
        <v>76.47</v>
      </c>
      <c r="I1414" s="4">
        <v>44.49</v>
      </c>
      <c r="J1414" s="5">
        <v>0.2</v>
      </c>
      <c r="K1414" s="6">
        <v>0</v>
      </c>
      <c r="L1414" s="6">
        <v>5</v>
      </c>
      <c r="M1414" t="s">
        <v>58</v>
      </c>
      <c r="N1414" t="s">
        <v>69</v>
      </c>
      <c r="O1414" t="s">
        <v>73</v>
      </c>
    </row>
    <row r="1415" spans="1:15">
      <c r="A1415" t="s">
        <v>1511</v>
      </c>
      <c r="B1415" s="3">
        <v>46021</v>
      </c>
      <c r="C1415" t="s">
        <v>54</v>
      </c>
      <c r="D1415" t="s">
        <v>62</v>
      </c>
      <c r="E1415" t="s">
        <v>75</v>
      </c>
      <c r="F1415" t="s">
        <v>146</v>
      </c>
      <c r="G1415" s="6">
        <v>1</v>
      </c>
      <c r="H1415" s="4">
        <v>175.94</v>
      </c>
      <c r="I1415" s="4">
        <v>114.66</v>
      </c>
      <c r="J1415" s="5">
        <v>0.15000000000000002</v>
      </c>
      <c r="K1415" s="6">
        <v>5</v>
      </c>
      <c r="L1415" s="6">
        <v>5</v>
      </c>
      <c r="M1415" t="s">
        <v>58</v>
      </c>
      <c r="N1415" t="s">
        <v>59</v>
      </c>
      <c r="O1415" t="s">
        <v>64</v>
      </c>
    </row>
    <row r="1416" spans="1:15">
      <c r="A1416" t="s">
        <v>1512</v>
      </c>
      <c r="B1416" s="3">
        <v>45928</v>
      </c>
      <c r="C1416" t="s">
        <v>78</v>
      </c>
      <c r="D1416" t="s">
        <v>62</v>
      </c>
      <c r="E1416" t="s">
        <v>79</v>
      </c>
      <c r="F1416" t="s">
        <v>115</v>
      </c>
      <c r="G1416" s="6">
        <v>1</v>
      </c>
      <c r="H1416" s="4">
        <v>58.62</v>
      </c>
      <c r="I1416" s="4">
        <v>33.700000000000003</v>
      </c>
      <c r="J1416" s="5">
        <v>0</v>
      </c>
      <c r="K1416" s="6">
        <v>5</v>
      </c>
      <c r="L1416" s="6">
        <v>5</v>
      </c>
      <c r="M1416" t="s">
        <v>58</v>
      </c>
      <c r="N1416" t="s">
        <v>69</v>
      </c>
      <c r="O1416" t="s">
        <v>64</v>
      </c>
    </row>
    <row r="1417" spans="1:15">
      <c r="A1417" t="s">
        <v>1513</v>
      </c>
      <c r="B1417" s="3">
        <v>45990</v>
      </c>
      <c r="C1417" t="s">
        <v>66</v>
      </c>
      <c r="D1417" t="s">
        <v>62</v>
      </c>
      <c r="E1417" t="s">
        <v>75</v>
      </c>
      <c r="F1417" t="s">
        <v>110</v>
      </c>
      <c r="G1417" s="6">
        <v>1</v>
      </c>
      <c r="H1417" s="4">
        <v>156.47999999999999</v>
      </c>
      <c r="I1417" s="4">
        <v>101.72</v>
      </c>
      <c r="J1417" s="5">
        <v>0.15000000000000002</v>
      </c>
      <c r="K1417" s="6">
        <v>6</v>
      </c>
      <c r="L1417" s="6">
        <v>3</v>
      </c>
      <c r="M1417" t="s">
        <v>58</v>
      </c>
      <c r="N1417" t="s">
        <v>59</v>
      </c>
      <c r="O1417" t="s">
        <v>73</v>
      </c>
    </row>
    <row r="1418" spans="1:15">
      <c r="A1418" t="s">
        <v>1514</v>
      </c>
      <c r="B1418" s="3">
        <v>45988</v>
      </c>
      <c r="C1418" t="s">
        <v>66</v>
      </c>
      <c r="D1418" t="s">
        <v>62</v>
      </c>
      <c r="E1418" t="s">
        <v>75</v>
      </c>
      <c r="F1418" t="s">
        <v>76</v>
      </c>
      <c r="G1418" s="6">
        <v>2</v>
      </c>
      <c r="H1418" s="4">
        <v>120.19</v>
      </c>
      <c r="I1418" s="4">
        <v>72.87</v>
      </c>
      <c r="J1418" s="5">
        <v>0.15000000000000002</v>
      </c>
      <c r="K1418" s="6">
        <v>8</v>
      </c>
      <c r="L1418" s="6">
        <v>3</v>
      </c>
      <c r="M1418" t="s">
        <v>58</v>
      </c>
      <c r="N1418" t="s">
        <v>59</v>
      </c>
      <c r="O1418" t="s">
        <v>64</v>
      </c>
    </row>
    <row r="1419" spans="1:15">
      <c r="A1419" t="s">
        <v>1515</v>
      </c>
      <c r="B1419" s="3">
        <v>45758</v>
      </c>
      <c r="C1419" t="s">
        <v>54</v>
      </c>
      <c r="D1419" t="s">
        <v>62</v>
      </c>
      <c r="E1419" t="s">
        <v>67</v>
      </c>
      <c r="F1419" t="s">
        <v>68</v>
      </c>
      <c r="G1419" s="6">
        <v>2</v>
      </c>
      <c r="H1419" s="4">
        <v>41.06</v>
      </c>
      <c r="I1419" s="4">
        <v>19.350000000000001</v>
      </c>
      <c r="J1419" s="5">
        <v>0.1</v>
      </c>
      <c r="K1419" s="6">
        <v>0</v>
      </c>
      <c r="L1419" s="6">
        <v>5</v>
      </c>
      <c r="M1419" t="s">
        <v>58</v>
      </c>
      <c r="N1419" t="s">
        <v>69</v>
      </c>
      <c r="O1419" t="s">
        <v>60</v>
      </c>
    </row>
    <row r="1420" spans="1:15">
      <c r="A1420" t="s">
        <v>1516</v>
      </c>
      <c r="B1420" s="3">
        <v>46015</v>
      </c>
      <c r="C1420" t="s">
        <v>66</v>
      </c>
      <c r="D1420" t="s">
        <v>62</v>
      </c>
      <c r="E1420" t="s">
        <v>79</v>
      </c>
      <c r="F1420" t="s">
        <v>92</v>
      </c>
      <c r="G1420" s="6">
        <v>3</v>
      </c>
      <c r="H1420" s="4">
        <v>49.17</v>
      </c>
      <c r="I1420" s="4">
        <v>25.76</v>
      </c>
      <c r="J1420" s="5">
        <v>0.15000000000000002</v>
      </c>
      <c r="K1420" s="6">
        <v>1</v>
      </c>
      <c r="L1420" s="6">
        <v>5</v>
      </c>
      <c r="M1420" t="s">
        <v>58</v>
      </c>
      <c r="N1420" t="s">
        <v>69</v>
      </c>
      <c r="O1420" t="s">
        <v>73</v>
      </c>
    </row>
    <row r="1421" spans="1:15">
      <c r="A1421" t="s">
        <v>1517</v>
      </c>
      <c r="B1421" s="3">
        <v>45792</v>
      </c>
      <c r="C1421" t="s">
        <v>82</v>
      </c>
      <c r="D1421" t="s">
        <v>62</v>
      </c>
      <c r="E1421" t="s">
        <v>56</v>
      </c>
      <c r="F1421" t="s">
        <v>57</v>
      </c>
      <c r="G1421" s="6">
        <v>1</v>
      </c>
      <c r="H1421" s="4">
        <v>110.31</v>
      </c>
      <c r="I1421" s="4">
        <v>66.790000000000006</v>
      </c>
      <c r="J1421" s="5">
        <v>0</v>
      </c>
      <c r="K1421" s="6">
        <v>0</v>
      </c>
      <c r="L1421" s="6">
        <v>4</v>
      </c>
      <c r="M1421" t="s">
        <v>58</v>
      </c>
      <c r="N1421" t="s">
        <v>69</v>
      </c>
      <c r="O1421" t="s">
        <v>64</v>
      </c>
    </row>
    <row r="1422" spans="1:15">
      <c r="A1422" t="s">
        <v>1518</v>
      </c>
      <c r="B1422" s="3">
        <v>45893</v>
      </c>
      <c r="C1422" t="s">
        <v>66</v>
      </c>
      <c r="D1422" t="s">
        <v>62</v>
      </c>
      <c r="E1422" t="s">
        <v>67</v>
      </c>
      <c r="F1422" t="s">
        <v>94</v>
      </c>
      <c r="G1422" s="6">
        <v>1</v>
      </c>
      <c r="H1422" s="4">
        <v>35.630000000000003</v>
      </c>
      <c r="I1422" s="4">
        <v>17.309999999999999</v>
      </c>
      <c r="J1422" s="5">
        <v>0.05</v>
      </c>
      <c r="K1422" s="6">
        <v>3</v>
      </c>
      <c r="L1422" s="6">
        <v>4</v>
      </c>
      <c r="M1422" t="s">
        <v>58</v>
      </c>
      <c r="N1422" t="s">
        <v>59</v>
      </c>
      <c r="O1422" t="s">
        <v>64</v>
      </c>
    </row>
    <row r="1423" spans="1:15">
      <c r="A1423" t="s">
        <v>1519</v>
      </c>
      <c r="B1423" s="3">
        <v>45697</v>
      </c>
      <c r="C1423" t="s">
        <v>78</v>
      </c>
      <c r="D1423" t="s">
        <v>55</v>
      </c>
      <c r="E1423" t="s">
        <v>79</v>
      </c>
      <c r="F1423" t="s">
        <v>80</v>
      </c>
      <c r="G1423" s="6">
        <v>4</v>
      </c>
      <c r="H1423" s="4">
        <v>76.930000000000007</v>
      </c>
      <c r="I1423" s="4">
        <v>44.04</v>
      </c>
      <c r="J1423" s="5">
        <v>0.05</v>
      </c>
      <c r="K1423" s="6">
        <v>6</v>
      </c>
      <c r="L1423" s="6">
        <v>4</v>
      </c>
      <c r="M1423" t="s">
        <v>58</v>
      </c>
      <c r="N1423" t="s">
        <v>59</v>
      </c>
      <c r="O1423" t="s">
        <v>60</v>
      </c>
    </row>
    <row r="1424" spans="1:15">
      <c r="A1424" t="s">
        <v>1520</v>
      </c>
      <c r="B1424" s="3">
        <v>45795</v>
      </c>
      <c r="C1424" t="s">
        <v>66</v>
      </c>
      <c r="D1424" t="s">
        <v>62</v>
      </c>
      <c r="E1424" t="s">
        <v>67</v>
      </c>
      <c r="F1424" t="s">
        <v>71</v>
      </c>
      <c r="G1424" s="6">
        <v>2</v>
      </c>
      <c r="H1424" s="4">
        <v>70.650000000000006</v>
      </c>
      <c r="I1424" s="4">
        <v>38.49</v>
      </c>
      <c r="J1424" s="5">
        <v>0.05</v>
      </c>
      <c r="K1424" s="6">
        <v>3</v>
      </c>
      <c r="L1424" s="6">
        <v>5</v>
      </c>
      <c r="M1424" t="s">
        <v>58</v>
      </c>
      <c r="N1424" t="s">
        <v>59</v>
      </c>
      <c r="O1424" t="s">
        <v>64</v>
      </c>
    </row>
    <row r="1425" spans="1:15">
      <c r="A1425" t="s">
        <v>1521</v>
      </c>
      <c r="B1425" s="3">
        <v>46000</v>
      </c>
      <c r="C1425" t="s">
        <v>82</v>
      </c>
      <c r="D1425" t="s">
        <v>62</v>
      </c>
      <c r="E1425" t="s">
        <v>79</v>
      </c>
      <c r="F1425" t="s">
        <v>92</v>
      </c>
      <c r="G1425" s="6">
        <v>2</v>
      </c>
      <c r="H1425" s="4">
        <v>49.24</v>
      </c>
      <c r="I1425" s="4">
        <v>26.24</v>
      </c>
      <c r="J1425" s="5">
        <v>0.05</v>
      </c>
      <c r="K1425" s="6">
        <v>2</v>
      </c>
      <c r="L1425" s="6">
        <v>4</v>
      </c>
      <c r="M1425" t="s">
        <v>58</v>
      </c>
      <c r="N1425" t="s">
        <v>87</v>
      </c>
      <c r="O1425" t="s">
        <v>64</v>
      </c>
    </row>
    <row r="1426" spans="1:15">
      <c r="A1426" t="s">
        <v>1522</v>
      </c>
      <c r="B1426" s="3">
        <v>45799</v>
      </c>
      <c r="C1426" t="s">
        <v>82</v>
      </c>
      <c r="D1426" t="s">
        <v>55</v>
      </c>
      <c r="E1426" t="s">
        <v>56</v>
      </c>
      <c r="F1426" t="s">
        <v>83</v>
      </c>
      <c r="G1426" s="6">
        <v>2</v>
      </c>
      <c r="H1426" s="4">
        <v>66.48</v>
      </c>
      <c r="I1426" s="4">
        <v>34.89</v>
      </c>
      <c r="J1426" s="5">
        <v>0.05</v>
      </c>
      <c r="K1426" s="6">
        <v>3</v>
      </c>
      <c r="L1426" s="6">
        <v>4</v>
      </c>
      <c r="M1426" t="s">
        <v>58</v>
      </c>
      <c r="N1426" t="s">
        <v>59</v>
      </c>
      <c r="O1426" t="s">
        <v>64</v>
      </c>
    </row>
    <row r="1427" spans="1:15">
      <c r="A1427" t="s">
        <v>1523</v>
      </c>
      <c r="B1427" s="3">
        <v>45784</v>
      </c>
      <c r="C1427" t="s">
        <v>66</v>
      </c>
      <c r="D1427" t="s">
        <v>62</v>
      </c>
      <c r="E1427" t="s">
        <v>79</v>
      </c>
      <c r="F1427" t="s">
        <v>80</v>
      </c>
      <c r="G1427" s="6">
        <v>1</v>
      </c>
      <c r="H1427" s="4">
        <v>73.69</v>
      </c>
      <c r="I1427" s="4">
        <v>41.99</v>
      </c>
      <c r="J1427" s="5">
        <v>0.05</v>
      </c>
      <c r="K1427" s="6">
        <v>4</v>
      </c>
      <c r="L1427" s="6">
        <v>5</v>
      </c>
      <c r="M1427" t="s">
        <v>58</v>
      </c>
      <c r="N1427" t="s">
        <v>59</v>
      </c>
      <c r="O1427" t="s">
        <v>64</v>
      </c>
    </row>
    <row r="1428" spans="1:15">
      <c r="A1428" t="s">
        <v>1524</v>
      </c>
      <c r="B1428" s="3">
        <v>45976</v>
      </c>
      <c r="C1428" t="s">
        <v>82</v>
      </c>
      <c r="D1428" t="s">
        <v>62</v>
      </c>
      <c r="E1428" t="s">
        <v>56</v>
      </c>
      <c r="F1428" t="s">
        <v>57</v>
      </c>
      <c r="G1428" s="6">
        <v>1</v>
      </c>
      <c r="H1428" s="4">
        <v>113.22</v>
      </c>
      <c r="I1428" s="4">
        <v>65.86</v>
      </c>
      <c r="J1428" s="5">
        <v>0.1</v>
      </c>
      <c r="K1428" s="6">
        <v>1</v>
      </c>
      <c r="L1428" s="6">
        <v>4</v>
      </c>
      <c r="M1428" t="s">
        <v>58</v>
      </c>
      <c r="N1428" t="s">
        <v>59</v>
      </c>
      <c r="O1428" t="s">
        <v>64</v>
      </c>
    </row>
    <row r="1429" spans="1:15">
      <c r="A1429" t="s">
        <v>1525</v>
      </c>
      <c r="B1429" s="3">
        <v>45710</v>
      </c>
      <c r="C1429" t="s">
        <v>54</v>
      </c>
      <c r="D1429" t="s">
        <v>55</v>
      </c>
      <c r="E1429" t="s">
        <v>79</v>
      </c>
      <c r="F1429" t="s">
        <v>92</v>
      </c>
      <c r="G1429" s="6">
        <v>4</v>
      </c>
      <c r="H1429" s="4">
        <v>50.02</v>
      </c>
      <c r="I1429" s="4">
        <v>27.08</v>
      </c>
      <c r="J1429" s="5">
        <v>0</v>
      </c>
      <c r="K1429" s="6">
        <v>0</v>
      </c>
      <c r="L1429" s="6">
        <v>4</v>
      </c>
      <c r="M1429" t="s">
        <v>58</v>
      </c>
      <c r="N1429" t="s">
        <v>69</v>
      </c>
      <c r="O1429" t="s">
        <v>64</v>
      </c>
    </row>
    <row r="1430" spans="1:15">
      <c r="A1430" t="s">
        <v>605</v>
      </c>
      <c r="B1430" s="3">
        <v>45677</v>
      </c>
      <c r="C1430" t="s">
        <v>66</v>
      </c>
      <c r="D1430" t="s">
        <v>62</v>
      </c>
      <c r="E1430" t="s">
        <v>67</v>
      </c>
      <c r="F1430" t="s">
        <v>107</v>
      </c>
      <c r="G1430" s="6">
        <v>1</v>
      </c>
      <c r="H1430" s="4">
        <v>46.42</v>
      </c>
      <c r="I1430" s="4">
        <v>21.82</v>
      </c>
      <c r="J1430" s="5">
        <v>0.15000000000000002</v>
      </c>
      <c r="K1430" s="6">
        <v>1</v>
      </c>
      <c r="L1430" s="6">
        <v>4</v>
      </c>
      <c r="M1430" t="s">
        <v>58</v>
      </c>
      <c r="N1430" t="s">
        <v>69</v>
      </c>
      <c r="O1430" t="s">
        <v>73</v>
      </c>
    </row>
    <row r="1431" spans="1:15">
      <c r="A1431" t="s">
        <v>1526</v>
      </c>
      <c r="B1431" s="3">
        <v>46003</v>
      </c>
      <c r="C1431" t="s">
        <v>66</v>
      </c>
      <c r="D1431" t="s">
        <v>62</v>
      </c>
      <c r="E1431" t="s">
        <v>56</v>
      </c>
      <c r="F1431" t="s">
        <v>63</v>
      </c>
      <c r="G1431" s="6">
        <v>2</v>
      </c>
      <c r="H1431" s="4">
        <v>40.5</v>
      </c>
      <c r="I1431" s="4">
        <v>20.45</v>
      </c>
      <c r="J1431" s="5">
        <v>0.25</v>
      </c>
      <c r="K1431" s="6">
        <v>4</v>
      </c>
      <c r="L1431" s="6">
        <v>4</v>
      </c>
      <c r="M1431" t="s">
        <v>58</v>
      </c>
      <c r="N1431" t="s">
        <v>59</v>
      </c>
      <c r="O1431" t="s">
        <v>64</v>
      </c>
    </row>
    <row r="1432" spans="1:15">
      <c r="A1432" t="s">
        <v>1527</v>
      </c>
      <c r="B1432" s="3">
        <v>45832</v>
      </c>
      <c r="C1432" t="s">
        <v>82</v>
      </c>
      <c r="D1432" t="s">
        <v>55</v>
      </c>
      <c r="E1432" t="s">
        <v>56</v>
      </c>
      <c r="F1432" t="s">
        <v>63</v>
      </c>
      <c r="G1432" s="6">
        <v>1</v>
      </c>
      <c r="H1432" s="4">
        <v>40.770000000000003</v>
      </c>
      <c r="I1432" s="4">
        <v>19.809999999999999</v>
      </c>
      <c r="J1432" s="5">
        <v>0</v>
      </c>
      <c r="K1432" s="6">
        <v>3</v>
      </c>
      <c r="L1432" s="6">
        <v>5</v>
      </c>
      <c r="M1432" t="s">
        <v>58</v>
      </c>
      <c r="N1432" t="s">
        <v>59</v>
      </c>
      <c r="O1432" t="s">
        <v>64</v>
      </c>
    </row>
    <row r="1433" spans="1:15">
      <c r="A1433" t="s">
        <v>1528</v>
      </c>
      <c r="B1433" s="3">
        <v>45719</v>
      </c>
      <c r="C1433" t="s">
        <v>66</v>
      </c>
      <c r="D1433" t="s">
        <v>62</v>
      </c>
      <c r="E1433" t="s">
        <v>56</v>
      </c>
      <c r="F1433" t="s">
        <v>57</v>
      </c>
      <c r="G1433" s="6">
        <v>3</v>
      </c>
      <c r="H1433" s="4">
        <v>111.49</v>
      </c>
      <c r="I1433" s="4">
        <v>69.78</v>
      </c>
      <c r="J1433" s="5">
        <v>0.15000000000000002</v>
      </c>
      <c r="K1433" s="6">
        <v>3</v>
      </c>
      <c r="L1433" s="6">
        <v>4</v>
      </c>
      <c r="M1433" t="s">
        <v>58</v>
      </c>
      <c r="N1433" t="s">
        <v>59</v>
      </c>
      <c r="O1433" t="s">
        <v>64</v>
      </c>
    </row>
    <row r="1434" spans="1:15">
      <c r="A1434" t="s">
        <v>1529</v>
      </c>
      <c r="B1434" s="3">
        <v>45857</v>
      </c>
      <c r="C1434" t="s">
        <v>54</v>
      </c>
      <c r="D1434" t="s">
        <v>62</v>
      </c>
      <c r="E1434" t="s">
        <v>67</v>
      </c>
      <c r="F1434" t="s">
        <v>68</v>
      </c>
      <c r="G1434" s="6">
        <v>2</v>
      </c>
      <c r="H1434" s="4">
        <v>38.799999999999997</v>
      </c>
      <c r="I1434" s="4">
        <v>19.78</v>
      </c>
      <c r="J1434" s="5">
        <v>0</v>
      </c>
      <c r="K1434" s="6">
        <v>0</v>
      </c>
      <c r="L1434" s="6">
        <v>5</v>
      </c>
      <c r="M1434" t="s">
        <v>58</v>
      </c>
      <c r="N1434" t="s">
        <v>69</v>
      </c>
      <c r="O1434" t="s">
        <v>64</v>
      </c>
    </row>
    <row r="1435" spans="1:15">
      <c r="A1435" t="s">
        <v>1530</v>
      </c>
      <c r="B1435" s="3">
        <v>45764</v>
      </c>
      <c r="C1435" t="s">
        <v>54</v>
      </c>
      <c r="D1435" t="s">
        <v>62</v>
      </c>
      <c r="E1435" t="s">
        <v>79</v>
      </c>
      <c r="F1435" t="s">
        <v>80</v>
      </c>
      <c r="G1435" s="6">
        <v>3</v>
      </c>
      <c r="H1435" s="4">
        <v>76.08</v>
      </c>
      <c r="I1435" s="4">
        <v>45.01</v>
      </c>
      <c r="J1435" s="5">
        <v>0</v>
      </c>
      <c r="K1435" s="6">
        <v>6</v>
      </c>
      <c r="L1435" s="6">
        <v>4</v>
      </c>
      <c r="M1435" t="s">
        <v>58</v>
      </c>
      <c r="N1435" t="s">
        <v>59</v>
      </c>
      <c r="O1435" t="s">
        <v>73</v>
      </c>
    </row>
    <row r="1436" spans="1:15">
      <c r="A1436" t="s">
        <v>1531</v>
      </c>
      <c r="B1436" s="3">
        <v>45697</v>
      </c>
      <c r="C1436" t="s">
        <v>82</v>
      </c>
      <c r="D1436" t="s">
        <v>55</v>
      </c>
      <c r="E1436" t="s">
        <v>75</v>
      </c>
      <c r="F1436" t="s">
        <v>76</v>
      </c>
      <c r="G1436" s="6">
        <v>3</v>
      </c>
      <c r="H1436" s="4">
        <v>120.58</v>
      </c>
      <c r="I1436" s="4">
        <v>74.430000000000007</v>
      </c>
      <c r="J1436" s="5">
        <v>0.05</v>
      </c>
      <c r="K1436" s="6">
        <v>2</v>
      </c>
      <c r="L1436" s="6">
        <v>4</v>
      </c>
      <c r="M1436" t="s">
        <v>58</v>
      </c>
      <c r="N1436" t="s">
        <v>69</v>
      </c>
      <c r="O1436" t="s">
        <v>64</v>
      </c>
    </row>
    <row r="1437" spans="1:15">
      <c r="A1437" t="s">
        <v>1532</v>
      </c>
      <c r="B1437" s="3">
        <v>45989</v>
      </c>
      <c r="C1437" t="s">
        <v>78</v>
      </c>
      <c r="D1437" t="s">
        <v>62</v>
      </c>
      <c r="E1437" t="s">
        <v>67</v>
      </c>
      <c r="F1437" t="s">
        <v>107</v>
      </c>
      <c r="G1437" s="6">
        <v>1</v>
      </c>
      <c r="H1437" s="4">
        <v>45.57</v>
      </c>
      <c r="I1437" s="4">
        <v>21.9</v>
      </c>
      <c r="J1437" s="5">
        <v>0.1</v>
      </c>
      <c r="K1437" s="6">
        <v>1</v>
      </c>
      <c r="L1437" s="6">
        <v>4</v>
      </c>
      <c r="M1437" t="s">
        <v>58</v>
      </c>
      <c r="N1437" t="s">
        <v>59</v>
      </c>
      <c r="O1437" t="s">
        <v>64</v>
      </c>
    </row>
    <row r="1438" spans="1:15">
      <c r="A1438" t="s">
        <v>1533</v>
      </c>
      <c r="B1438" s="3">
        <v>45998</v>
      </c>
      <c r="C1438" t="s">
        <v>78</v>
      </c>
      <c r="D1438" t="s">
        <v>62</v>
      </c>
      <c r="E1438" t="s">
        <v>67</v>
      </c>
      <c r="F1438" t="s">
        <v>68</v>
      </c>
      <c r="G1438" s="6">
        <v>1</v>
      </c>
      <c r="H1438" s="4">
        <v>41.18</v>
      </c>
      <c r="I1438" s="4">
        <v>18.89</v>
      </c>
      <c r="J1438" s="5">
        <v>0.05</v>
      </c>
      <c r="K1438" s="6">
        <v>4</v>
      </c>
      <c r="L1438" s="6">
        <v>3</v>
      </c>
      <c r="M1438" t="s">
        <v>126</v>
      </c>
      <c r="N1438" t="s">
        <v>69</v>
      </c>
      <c r="O1438" t="s">
        <v>60</v>
      </c>
    </row>
    <row r="1439" spans="1:15">
      <c r="A1439" t="s">
        <v>1534</v>
      </c>
      <c r="B1439" s="3">
        <v>46008</v>
      </c>
      <c r="C1439" t="s">
        <v>78</v>
      </c>
      <c r="D1439" t="s">
        <v>62</v>
      </c>
      <c r="E1439" t="s">
        <v>79</v>
      </c>
      <c r="F1439" t="s">
        <v>115</v>
      </c>
      <c r="G1439" s="6">
        <v>1</v>
      </c>
      <c r="H1439" s="4">
        <v>60.63</v>
      </c>
      <c r="I1439" s="4">
        <v>33.4</v>
      </c>
      <c r="J1439" s="5">
        <v>0.05</v>
      </c>
      <c r="K1439" s="6">
        <v>0</v>
      </c>
      <c r="L1439" s="6">
        <v>4</v>
      </c>
      <c r="M1439" t="s">
        <v>58</v>
      </c>
      <c r="N1439" t="s">
        <v>69</v>
      </c>
      <c r="O1439" t="s">
        <v>64</v>
      </c>
    </row>
    <row r="1440" spans="1:15">
      <c r="A1440" t="s">
        <v>1535</v>
      </c>
      <c r="B1440" s="3">
        <v>45935</v>
      </c>
      <c r="C1440" t="s">
        <v>82</v>
      </c>
      <c r="D1440" t="s">
        <v>62</v>
      </c>
      <c r="E1440" t="s">
        <v>79</v>
      </c>
      <c r="F1440" t="s">
        <v>115</v>
      </c>
      <c r="G1440" s="6">
        <v>1</v>
      </c>
      <c r="H1440" s="4">
        <v>60.57</v>
      </c>
      <c r="I1440" s="4">
        <v>34.03</v>
      </c>
      <c r="J1440" s="5">
        <v>0.05</v>
      </c>
      <c r="K1440" s="6">
        <v>6</v>
      </c>
      <c r="L1440" s="6">
        <v>3</v>
      </c>
      <c r="M1440" t="s">
        <v>58</v>
      </c>
      <c r="N1440" t="s">
        <v>59</v>
      </c>
      <c r="O1440" t="s">
        <v>60</v>
      </c>
    </row>
    <row r="1441" spans="1:15">
      <c r="A1441" t="s">
        <v>1536</v>
      </c>
      <c r="B1441" s="3">
        <v>46016</v>
      </c>
      <c r="C1441" t="s">
        <v>78</v>
      </c>
      <c r="D1441" t="s">
        <v>62</v>
      </c>
      <c r="E1441" t="s">
        <v>79</v>
      </c>
      <c r="F1441" t="s">
        <v>92</v>
      </c>
      <c r="G1441" s="6">
        <v>1</v>
      </c>
      <c r="H1441" s="4">
        <v>49.18</v>
      </c>
      <c r="I1441" s="4">
        <v>26.29</v>
      </c>
      <c r="J1441" s="5">
        <v>0.2</v>
      </c>
      <c r="K1441" s="6">
        <v>4</v>
      </c>
      <c r="L1441" s="6">
        <v>4</v>
      </c>
      <c r="M1441" t="s">
        <v>58</v>
      </c>
      <c r="N1441" t="s">
        <v>59</v>
      </c>
      <c r="O1441" t="s">
        <v>64</v>
      </c>
    </row>
    <row r="1442" spans="1:15">
      <c r="A1442" t="s">
        <v>1537</v>
      </c>
      <c r="B1442" s="3">
        <v>45756</v>
      </c>
      <c r="C1442" t="s">
        <v>78</v>
      </c>
      <c r="D1442" t="s">
        <v>62</v>
      </c>
      <c r="E1442" t="s">
        <v>75</v>
      </c>
      <c r="F1442" t="s">
        <v>110</v>
      </c>
      <c r="G1442" s="6">
        <v>1</v>
      </c>
      <c r="H1442" s="4">
        <v>155.71</v>
      </c>
      <c r="I1442" s="4">
        <v>101.32</v>
      </c>
      <c r="J1442" s="5">
        <v>0.05</v>
      </c>
      <c r="K1442" s="6">
        <v>2</v>
      </c>
      <c r="L1442" s="6">
        <v>4</v>
      </c>
      <c r="M1442" t="s">
        <v>58</v>
      </c>
      <c r="N1442" t="s">
        <v>69</v>
      </c>
      <c r="O1442" t="s">
        <v>60</v>
      </c>
    </row>
    <row r="1443" spans="1:15">
      <c r="A1443" t="s">
        <v>1538</v>
      </c>
      <c r="B1443" s="3">
        <v>45805</v>
      </c>
      <c r="C1443" t="s">
        <v>54</v>
      </c>
      <c r="D1443" t="s">
        <v>62</v>
      </c>
      <c r="E1443" t="s">
        <v>67</v>
      </c>
      <c r="F1443" t="s">
        <v>94</v>
      </c>
      <c r="G1443" s="6">
        <v>1</v>
      </c>
      <c r="H1443" s="4">
        <v>34.200000000000003</v>
      </c>
      <c r="I1443" s="4">
        <v>16.79</v>
      </c>
      <c r="J1443" s="5">
        <v>0.1</v>
      </c>
      <c r="K1443" s="6">
        <v>4</v>
      </c>
      <c r="L1443" s="6">
        <v>4</v>
      </c>
      <c r="M1443" t="s">
        <v>58</v>
      </c>
      <c r="N1443" t="s">
        <v>69</v>
      </c>
      <c r="O1443" t="s">
        <v>64</v>
      </c>
    </row>
    <row r="1444" spans="1:15">
      <c r="A1444" t="s">
        <v>1539</v>
      </c>
      <c r="B1444" s="3">
        <v>45987</v>
      </c>
      <c r="C1444" t="s">
        <v>78</v>
      </c>
      <c r="D1444" t="s">
        <v>55</v>
      </c>
      <c r="E1444" t="s">
        <v>67</v>
      </c>
      <c r="F1444" t="s">
        <v>94</v>
      </c>
      <c r="G1444" s="6">
        <v>2</v>
      </c>
      <c r="H1444" s="4">
        <v>35.5</v>
      </c>
      <c r="I1444" s="4">
        <v>16.97</v>
      </c>
      <c r="J1444" s="5">
        <v>0.05</v>
      </c>
      <c r="K1444" s="6">
        <v>3</v>
      </c>
      <c r="L1444" s="6">
        <v>5</v>
      </c>
      <c r="M1444" t="s">
        <v>58</v>
      </c>
      <c r="N1444" t="s">
        <v>59</v>
      </c>
      <c r="O1444" t="s">
        <v>60</v>
      </c>
    </row>
    <row r="1445" spans="1:15">
      <c r="A1445" t="s">
        <v>1540</v>
      </c>
      <c r="B1445" s="3">
        <v>45665</v>
      </c>
      <c r="C1445" t="s">
        <v>66</v>
      </c>
      <c r="D1445" t="s">
        <v>62</v>
      </c>
      <c r="E1445" t="s">
        <v>75</v>
      </c>
      <c r="F1445" t="s">
        <v>76</v>
      </c>
      <c r="G1445" s="6">
        <v>2</v>
      </c>
      <c r="H1445" s="4">
        <v>123.37</v>
      </c>
      <c r="I1445" s="4">
        <v>74.55</v>
      </c>
      <c r="J1445" s="5">
        <v>0.15000000000000002</v>
      </c>
      <c r="K1445" s="6">
        <v>6</v>
      </c>
      <c r="L1445" s="6">
        <v>4</v>
      </c>
      <c r="M1445" t="s">
        <v>58</v>
      </c>
      <c r="N1445" t="s">
        <v>69</v>
      </c>
      <c r="O1445" t="s">
        <v>60</v>
      </c>
    </row>
    <row r="1446" spans="1:15">
      <c r="A1446" t="s">
        <v>1541</v>
      </c>
      <c r="B1446" s="3">
        <v>45729</v>
      </c>
      <c r="C1446" t="s">
        <v>66</v>
      </c>
      <c r="D1446" t="s">
        <v>62</v>
      </c>
      <c r="E1446" t="s">
        <v>75</v>
      </c>
      <c r="F1446" t="s">
        <v>110</v>
      </c>
      <c r="G1446" s="6">
        <v>2</v>
      </c>
      <c r="H1446" s="4">
        <v>161.72999999999999</v>
      </c>
      <c r="I1446" s="4">
        <v>101.7</v>
      </c>
      <c r="J1446" s="5">
        <v>0.05</v>
      </c>
      <c r="K1446" s="6">
        <v>5</v>
      </c>
      <c r="L1446" s="6">
        <v>5</v>
      </c>
      <c r="M1446" t="s">
        <v>58</v>
      </c>
      <c r="N1446" t="s">
        <v>59</v>
      </c>
      <c r="O1446" t="s">
        <v>64</v>
      </c>
    </row>
    <row r="1447" spans="1:15">
      <c r="A1447" t="s">
        <v>1542</v>
      </c>
      <c r="B1447" s="3">
        <v>45952</v>
      </c>
      <c r="C1447" t="s">
        <v>66</v>
      </c>
      <c r="D1447" t="s">
        <v>62</v>
      </c>
      <c r="E1447" t="s">
        <v>75</v>
      </c>
      <c r="F1447" t="s">
        <v>97</v>
      </c>
      <c r="G1447" s="6">
        <v>2</v>
      </c>
      <c r="H1447" s="4">
        <v>88.2</v>
      </c>
      <c r="I1447" s="4">
        <v>54.56</v>
      </c>
      <c r="J1447" s="5">
        <v>0.05</v>
      </c>
      <c r="K1447" s="6">
        <v>7</v>
      </c>
      <c r="L1447" s="6">
        <v>4</v>
      </c>
      <c r="M1447" t="s">
        <v>58</v>
      </c>
      <c r="N1447" t="s">
        <v>59</v>
      </c>
      <c r="O1447" t="s">
        <v>60</v>
      </c>
    </row>
    <row r="1448" spans="1:15">
      <c r="A1448" t="s">
        <v>1543</v>
      </c>
      <c r="B1448" s="3">
        <v>45886</v>
      </c>
      <c r="C1448" t="s">
        <v>82</v>
      </c>
      <c r="D1448" t="s">
        <v>62</v>
      </c>
      <c r="E1448" t="s">
        <v>79</v>
      </c>
      <c r="F1448" t="s">
        <v>115</v>
      </c>
      <c r="G1448" s="6">
        <v>2</v>
      </c>
      <c r="H1448" s="4">
        <v>58.7</v>
      </c>
      <c r="I1448" s="4">
        <v>34.69</v>
      </c>
      <c r="J1448" s="5">
        <v>0.1</v>
      </c>
      <c r="K1448" s="6">
        <v>3</v>
      </c>
      <c r="L1448" s="6">
        <v>4</v>
      </c>
      <c r="M1448" t="s">
        <v>58</v>
      </c>
      <c r="N1448" t="s">
        <v>59</v>
      </c>
      <c r="O1448" t="s">
        <v>64</v>
      </c>
    </row>
    <row r="1449" spans="1:15">
      <c r="A1449" t="s">
        <v>1544</v>
      </c>
      <c r="B1449" s="3">
        <v>45823</v>
      </c>
      <c r="C1449" t="s">
        <v>78</v>
      </c>
      <c r="D1449" t="s">
        <v>129</v>
      </c>
      <c r="E1449" t="s">
        <v>75</v>
      </c>
      <c r="F1449" t="s">
        <v>76</v>
      </c>
      <c r="G1449" s="6">
        <v>4</v>
      </c>
      <c r="H1449" s="4">
        <v>121.64</v>
      </c>
      <c r="I1449" s="4">
        <v>73.78</v>
      </c>
      <c r="J1449" s="5">
        <v>0.15000000000000002</v>
      </c>
      <c r="K1449" s="6">
        <v>4</v>
      </c>
      <c r="L1449" s="6">
        <v>5</v>
      </c>
      <c r="M1449" t="s">
        <v>58</v>
      </c>
      <c r="N1449" t="s">
        <v>59</v>
      </c>
      <c r="O1449" t="s">
        <v>64</v>
      </c>
    </row>
    <row r="1450" spans="1:15">
      <c r="A1450" t="s">
        <v>1545</v>
      </c>
      <c r="B1450" s="3">
        <v>45821</v>
      </c>
      <c r="C1450" t="s">
        <v>54</v>
      </c>
      <c r="D1450" t="s">
        <v>55</v>
      </c>
      <c r="E1450" t="s">
        <v>79</v>
      </c>
      <c r="F1450" t="s">
        <v>115</v>
      </c>
      <c r="G1450" s="6">
        <v>5</v>
      </c>
      <c r="H1450" s="4">
        <v>61.29</v>
      </c>
      <c r="I1450" s="4">
        <v>34.53</v>
      </c>
      <c r="J1450" s="5">
        <v>0.05</v>
      </c>
      <c r="K1450" s="6">
        <v>1</v>
      </c>
      <c r="L1450" s="6">
        <v>4</v>
      </c>
      <c r="M1450" t="s">
        <v>58</v>
      </c>
      <c r="N1450" t="s">
        <v>69</v>
      </c>
      <c r="O1450" t="s">
        <v>64</v>
      </c>
    </row>
    <row r="1451" spans="1:15">
      <c r="A1451" t="s">
        <v>1546</v>
      </c>
      <c r="B1451" s="3">
        <v>45954</v>
      </c>
      <c r="C1451" t="s">
        <v>78</v>
      </c>
      <c r="D1451" t="s">
        <v>62</v>
      </c>
      <c r="E1451" t="s">
        <v>56</v>
      </c>
      <c r="F1451" t="s">
        <v>63</v>
      </c>
      <c r="G1451" s="6">
        <v>1</v>
      </c>
      <c r="H1451" s="4">
        <v>41.16</v>
      </c>
      <c r="I1451" s="4">
        <v>19.989999999999998</v>
      </c>
      <c r="J1451" s="5">
        <v>0.1</v>
      </c>
      <c r="K1451" s="6">
        <v>0</v>
      </c>
      <c r="L1451" s="6">
        <v>4</v>
      </c>
      <c r="M1451" t="s">
        <v>58</v>
      </c>
      <c r="N1451" t="s">
        <v>69</v>
      </c>
      <c r="O1451" t="s">
        <v>64</v>
      </c>
    </row>
    <row r="1452" spans="1:15">
      <c r="A1452" t="s">
        <v>1547</v>
      </c>
      <c r="B1452" s="3">
        <v>45917</v>
      </c>
      <c r="C1452" t="s">
        <v>78</v>
      </c>
      <c r="D1452" t="s">
        <v>62</v>
      </c>
      <c r="E1452" t="s">
        <v>67</v>
      </c>
      <c r="F1452" t="s">
        <v>71</v>
      </c>
      <c r="G1452" s="6">
        <v>1</v>
      </c>
      <c r="H1452" s="4">
        <v>68.5</v>
      </c>
      <c r="I1452" s="4">
        <v>38.549999999999997</v>
      </c>
      <c r="J1452" s="5">
        <v>0.1</v>
      </c>
      <c r="K1452" s="6">
        <v>1</v>
      </c>
      <c r="L1452" s="6">
        <v>5</v>
      </c>
      <c r="M1452" t="s">
        <v>58</v>
      </c>
      <c r="N1452" t="s">
        <v>69</v>
      </c>
      <c r="O1452" t="s">
        <v>64</v>
      </c>
    </row>
    <row r="1453" spans="1:15">
      <c r="A1453" t="s">
        <v>1548</v>
      </c>
      <c r="B1453" s="3">
        <v>45829</v>
      </c>
      <c r="C1453" t="s">
        <v>78</v>
      </c>
      <c r="D1453" t="s">
        <v>62</v>
      </c>
      <c r="E1453" t="s">
        <v>67</v>
      </c>
      <c r="F1453" t="s">
        <v>94</v>
      </c>
      <c r="G1453" s="6">
        <v>1</v>
      </c>
      <c r="H1453" s="4">
        <v>34.520000000000003</v>
      </c>
      <c r="I1453" s="4">
        <v>16.77</v>
      </c>
      <c r="J1453" s="5">
        <v>0</v>
      </c>
      <c r="K1453" s="6">
        <v>3</v>
      </c>
      <c r="L1453" s="6">
        <v>5</v>
      </c>
      <c r="M1453" t="s">
        <v>58</v>
      </c>
      <c r="N1453" t="s">
        <v>59</v>
      </c>
      <c r="O1453" t="s">
        <v>60</v>
      </c>
    </row>
    <row r="1454" spans="1:15">
      <c r="A1454" t="s">
        <v>1549</v>
      </c>
      <c r="B1454" s="3">
        <v>46020</v>
      </c>
      <c r="C1454" t="s">
        <v>54</v>
      </c>
      <c r="D1454" t="s">
        <v>62</v>
      </c>
      <c r="E1454" t="s">
        <v>67</v>
      </c>
      <c r="F1454" t="s">
        <v>94</v>
      </c>
      <c r="G1454" s="6">
        <v>2</v>
      </c>
      <c r="H1454" s="4">
        <v>35.049999999999997</v>
      </c>
      <c r="I1454" s="4">
        <v>17.79</v>
      </c>
      <c r="J1454" s="5">
        <v>0.15000000000000002</v>
      </c>
      <c r="K1454" s="6">
        <v>0</v>
      </c>
      <c r="L1454" s="6">
        <v>4</v>
      </c>
      <c r="M1454" t="s">
        <v>58</v>
      </c>
      <c r="N1454" t="s">
        <v>69</v>
      </c>
      <c r="O1454" t="s">
        <v>64</v>
      </c>
    </row>
    <row r="1455" spans="1:15">
      <c r="A1455" t="s">
        <v>1550</v>
      </c>
      <c r="B1455" s="3">
        <v>45973</v>
      </c>
      <c r="C1455" t="s">
        <v>66</v>
      </c>
      <c r="D1455" t="s">
        <v>62</v>
      </c>
      <c r="E1455" t="s">
        <v>67</v>
      </c>
      <c r="F1455" t="s">
        <v>94</v>
      </c>
      <c r="G1455" s="6">
        <v>1</v>
      </c>
      <c r="H1455" s="4">
        <v>35.14</v>
      </c>
      <c r="I1455" s="4">
        <v>17.440000000000001</v>
      </c>
      <c r="J1455" s="5">
        <v>0.1</v>
      </c>
      <c r="K1455" s="6">
        <v>5</v>
      </c>
      <c r="L1455" s="6">
        <v>5</v>
      </c>
      <c r="M1455" t="s">
        <v>58</v>
      </c>
      <c r="N1455" t="s">
        <v>69</v>
      </c>
      <c r="O1455" t="s">
        <v>64</v>
      </c>
    </row>
    <row r="1456" spans="1:15">
      <c r="A1456" t="s">
        <v>1551</v>
      </c>
      <c r="B1456" s="3">
        <v>45769</v>
      </c>
      <c r="C1456" t="s">
        <v>82</v>
      </c>
      <c r="D1456" t="s">
        <v>62</v>
      </c>
      <c r="E1456" t="s">
        <v>67</v>
      </c>
      <c r="F1456" t="s">
        <v>71</v>
      </c>
      <c r="G1456" s="6">
        <v>4</v>
      </c>
      <c r="H1456" s="4">
        <v>69.11</v>
      </c>
      <c r="I1456" s="4">
        <v>39.5</v>
      </c>
      <c r="J1456" s="5">
        <v>0.05</v>
      </c>
      <c r="K1456" s="6">
        <v>6</v>
      </c>
      <c r="L1456" s="6">
        <v>3</v>
      </c>
      <c r="M1456" t="s">
        <v>126</v>
      </c>
      <c r="N1456" t="s">
        <v>59</v>
      </c>
      <c r="O1456" t="s">
        <v>64</v>
      </c>
    </row>
    <row r="1457" spans="1:15">
      <c r="A1457" t="s">
        <v>1552</v>
      </c>
      <c r="B1457" s="3">
        <v>45935</v>
      </c>
      <c r="C1457" t="s">
        <v>66</v>
      </c>
      <c r="D1457" t="s">
        <v>62</v>
      </c>
      <c r="E1457" t="s">
        <v>67</v>
      </c>
      <c r="F1457" t="s">
        <v>71</v>
      </c>
      <c r="G1457" s="6">
        <v>1</v>
      </c>
      <c r="H1457" s="4">
        <v>69.83</v>
      </c>
      <c r="I1457" s="4">
        <v>39.49</v>
      </c>
      <c r="J1457" s="5">
        <v>0.2</v>
      </c>
      <c r="K1457" s="6">
        <v>0</v>
      </c>
      <c r="L1457" s="6">
        <v>5</v>
      </c>
      <c r="M1457" t="s">
        <v>58</v>
      </c>
      <c r="N1457" t="s">
        <v>69</v>
      </c>
      <c r="O1457" t="s">
        <v>73</v>
      </c>
    </row>
    <row r="1458" spans="1:15">
      <c r="A1458" t="s">
        <v>1553</v>
      </c>
      <c r="B1458" s="3">
        <v>45814</v>
      </c>
      <c r="C1458" t="s">
        <v>78</v>
      </c>
      <c r="D1458" t="s">
        <v>62</v>
      </c>
      <c r="E1458" t="s">
        <v>79</v>
      </c>
      <c r="F1458" t="s">
        <v>115</v>
      </c>
      <c r="G1458" s="6">
        <v>3</v>
      </c>
      <c r="H1458" s="4">
        <v>61.01</v>
      </c>
      <c r="I1458" s="4">
        <v>33.69</v>
      </c>
      <c r="J1458" s="5">
        <v>0</v>
      </c>
      <c r="K1458" s="6">
        <v>2</v>
      </c>
      <c r="L1458" s="6">
        <v>4</v>
      </c>
      <c r="M1458" t="s">
        <v>58</v>
      </c>
      <c r="N1458" t="s">
        <v>59</v>
      </c>
      <c r="O1458" t="s">
        <v>73</v>
      </c>
    </row>
    <row r="1459" spans="1:15">
      <c r="A1459" t="s">
        <v>1554</v>
      </c>
      <c r="B1459" s="3">
        <v>45883</v>
      </c>
      <c r="C1459" t="s">
        <v>78</v>
      </c>
      <c r="D1459" t="s">
        <v>55</v>
      </c>
      <c r="E1459" t="s">
        <v>79</v>
      </c>
      <c r="F1459" t="s">
        <v>85</v>
      </c>
      <c r="G1459" s="6">
        <v>2</v>
      </c>
      <c r="H1459" s="4">
        <v>134.76</v>
      </c>
      <c r="I1459" s="4">
        <v>87.46</v>
      </c>
      <c r="J1459" s="5">
        <v>0</v>
      </c>
      <c r="K1459" s="6">
        <v>4</v>
      </c>
      <c r="L1459" s="6">
        <v>4</v>
      </c>
      <c r="M1459" t="s">
        <v>58</v>
      </c>
      <c r="N1459" t="s">
        <v>59</v>
      </c>
      <c r="O1459" t="s">
        <v>64</v>
      </c>
    </row>
    <row r="1460" spans="1:15">
      <c r="A1460" t="s">
        <v>1555</v>
      </c>
      <c r="B1460" s="3">
        <v>45701</v>
      </c>
      <c r="C1460" t="s">
        <v>78</v>
      </c>
      <c r="D1460" t="s">
        <v>62</v>
      </c>
      <c r="E1460" t="s">
        <v>67</v>
      </c>
      <c r="F1460" t="s">
        <v>107</v>
      </c>
      <c r="G1460" s="6">
        <v>1</v>
      </c>
      <c r="H1460" s="4">
        <v>46.39</v>
      </c>
      <c r="I1460" s="4">
        <v>21.36</v>
      </c>
      <c r="J1460" s="5">
        <v>0</v>
      </c>
      <c r="K1460" s="6">
        <v>4</v>
      </c>
      <c r="L1460" s="6">
        <v>5</v>
      </c>
      <c r="M1460" t="s">
        <v>58</v>
      </c>
      <c r="N1460" t="s">
        <v>59</v>
      </c>
      <c r="O1460" t="s">
        <v>64</v>
      </c>
    </row>
    <row r="1461" spans="1:15">
      <c r="A1461" t="s">
        <v>1556</v>
      </c>
      <c r="B1461" s="3">
        <v>46010</v>
      </c>
      <c r="C1461" t="s">
        <v>54</v>
      </c>
      <c r="D1461" t="s">
        <v>129</v>
      </c>
      <c r="E1461" t="s">
        <v>56</v>
      </c>
      <c r="F1461" t="s">
        <v>89</v>
      </c>
      <c r="G1461" s="6">
        <v>5</v>
      </c>
      <c r="H1461" s="4">
        <v>81.37</v>
      </c>
      <c r="I1461" s="4">
        <v>45.63</v>
      </c>
      <c r="J1461" s="5">
        <v>0.05</v>
      </c>
      <c r="K1461" s="6">
        <v>3</v>
      </c>
      <c r="L1461" s="6">
        <v>5</v>
      </c>
      <c r="M1461" t="s">
        <v>58</v>
      </c>
      <c r="N1461" t="s">
        <v>69</v>
      </c>
      <c r="O1461" t="s">
        <v>60</v>
      </c>
    </row>
    <row r="1462" spans="1:15">
      <c r="A1462" t="s">
        <v>1557</v>
      </c>
      <c r="B1462" s="3">
        <v>45696</v>
      </c>
      <c r="C1462" t="s">
        <v>66</v>
      </c>
      <c r="D1462" t="s">
        <v>55</v>
      </c>
      <c r="E1462" t="s">
        <v>75</v>
      </c>
      <c r="F1462" t="s">
        <v>76</v>
      </c>
      <c r="G1462" s="6">
        <v>4</v>
      </c>
      <c r="H1462" s="4">
        <v>122.27</v>
      </c>
      <c r="I1462" s="4">
        <v>70.989999999999995</v>
      </c>
      <c r="J1462" s="5">
        <v>0.1</v>
      </c>
      <c r="K1462" s="6">
        <v>6</v>
      </c>
      <c r="L1462" s="6">
        <v>3</v>
      </c>
      <c r="M1462" t="s">
        <v>126</v>
      </c>
      <c r="N1462" t="s">
        <v>59</v>
      </c>
      <c r="O1462" t="s">
        <v>73</v>
      </c>
    </row>
    <row r="1463" spans="1:15">
      <c r="A1463" t="s">
        <v>1558</v>
      </c>
      <c r="B1463" s="3">
        <v>45848</v>
      </c>
      <c r="C1463" t="s">
        <v>78</v>
      </c>
      <c r="D1463" t="s">
        <v>62</v>
      </c>
      <c r="E1463" t="s">
        <v>67</v>
      </c>
      <c r="F1463" t="s">
        <v>94</v>
      </c>
      <c r="G1463" s="6">
        <v>1</v>
      </c>
      <c r="H1463" s="4">
        <v>35.92</v>
      </c>
      <c r="I1463" s="4">
        <v>17.73</v>
      </c>
      <c r="J1463" s="5">
        <v>0.1</v>
      </c>
      <c r="K1463" s="6">
        <v>5</v>
      </c>
      <c r="L1463" s="6">
        <v>4</v>
      </c>
      <c r="M1463" t="s">
        <v>58</v>
      </c>
      <c r="N1463" t="s">
        <v>59</v>
      </c>
      <c r="O1463" t="s">
        <v>73</v>
      </c>
    </row>
    <row r="1464" spans="1:15">
      <c r="A1464" t="s">
        <v>1559</v>
      </c>
      <c r="B1464" s="3">
        <v>45981</v>
      </c>
      <c r="C1464" t="s">
        <v>66</v>
      </c>
      <c r="D1464" t="s">
        <v>62</v>
      </c>
      <c r="E1464" t="s">
        <v>79</v>
      </c>
      <c r="F1464" t="s">
        <v>85</v>
      </c>
      <c r="G1464" s="6">
        <v>1</v>
      </c>
      <c r="H1464" s="4">
        <v>128.55000000000001</v>
      </c>
      <c r="I1464" s="4">
        <v>81.56</v>
      </c>
      <c r="J1464" s="5">
        <v>0.1</v>
      </c>
      <c r="K1464" s="6">
        <v>2</v>
      </c>
      <c r="L1464" s="6">
        <v>4</v>
      </c>
      <c r="M1464" t="s">
        <v>58</v>
      </c>
      <c r="N1464" t="s">
        <v>69</v>
      </c>
      <c r="O1464" t="s">
        <v>64</v>
      </c>
    </row>
    <row r="1465" spans="1:15">
      <c r="A1465" t="s">
        <v>1560</v>
      </c>
      <c r="B1465" s="3">
        <v>45890</v>
      </c>
      <c r="C1465" t="s">
        <v>54</v>
      </c>
      <c r="D1465" t="s">
        <v>62</v>
      </c>
      <c r="E1465" t="s">
        <v>56</v>
      </c>
      <c r="F1465" t="s">
        <v>83</v>
      </c>
      <c r="G1465" s="6">
        <v>1</v>
      </c>
      <c r="H1465" s="4">
        <v>63.05</v>
      </c>
      <c r="I1465" s="4">
        <v>36.44</v>
      </c>
      <c r="J1465" s="5">
        <v>0.05</v>
      </c>
      <c r="K1465" s="6">
        <v>4</v>
      </c>
      <c r="L1465" s="6">
        <v>4</v>
      </c>
      <c r="M1465" t="s">
        <v>58</v>
      </c>
      <c r="N1465" t="s">
        <v>59</v>
      </c>
      <c r="O1465" t="s">
        <v>64</v>
      </c>
    </row>
    <row r="1466" spans="1:15">
      <c r="A1466" t="s">
        <v>1561</v>
      </c>
      <c r="B1466" s="3">
        <v>45972</v>
      </c>
      <c r="C1466" t="s">
        <v>78</v>
      </c>
      <c r="E1466" t="s">
        <v>75</v>
      </c>
      <c r="F1466" t="s">
        <v>146</v>
      </c>
      <c r="G1466" s="6">
        <v>1</v>
      </c>
      <c r="H1466" s="4">
        <v>186.67</v>
      </c>
      <c r="I1466" s="4">
        <v>116.5</v>
      </c>
      <c r="J1466" s="5">
        <v>0.15000000000000002</v>
      </c>
      <c r="K1466" s="6">
        <v>6</v>
      </c>
      <c r="L1466" s="6">
        <v>4</v>
      </c>
      <c r="M1466" t="s">
        <v>58</v>
      </c>
      <c r="N1466" t="s">
        <v>59</v>
      </c>
      <c r="O1466" t="s">
        <v>73</v>
      </c>
    </row>
    <row r="1467" spans="1:15">
      <c r="A1467" t="s">
        <v>1562</v>
      </c>
      <c r="B1467" s="3">
        <v>45915</v>
      </c>
      <c r="C1467" t="s">
        <v>78</v>
      </c>
      <c r="D1467" t="s">
        <v>62</v>
      </c>
      <c r="E1467" t="s">
        <v>56</v>
      </c>
      <c r="F1467" t="s">
        <v>89</v>
      </c>
      <c r="G1467" s="6">
        <v>2</v>
      </c>
      <c r="H1467" s="4">
        <v>79.72</v>
      </c>
      <c r="I1467" s="4">
        <v>43.75</v>
      </c>
      <c r="J1467" s="5">
        <v>0</v>
      </c>
      <c r="K1467" s="6">
        <v>2</v>
      </c>
      <c r="L1467" s="6">
        <v>5</v>
      </c>
      <c r="M1467" t="s">
        <v>58</v>
      </c>
      <c r="N1467" t="s">
        <v>59</v>
      </c>
      <c r="O1467" t="s">
        <v>64</v>
      </c>
    </row>
    <row r="1468" spans="1:15">
      <c r="A1468" t="s">
        <v>1563</v>
      </c>
      <c r="B1468" s="3">
        <v>45672</v>
      </c>
      <c r="C1468" t="s">
        <v>66</v>
      </c>
      <c r="D1468" t="s">
        <v>62</v>
      </c>
      <c r="E1468" t="s">
        <v>75</v>
      </c>
      <c r="F1468" t="s">
        <v>110</v>
      </c>
      <c r="G1468" s="6">
        <v>1</v>
      </c>
      <c r="H1468" s="4">
        <v>164.67</v>
      </c>
      <c r="I1468" s="4">
        <v>103.71</v>
      </c>
      <c r="J1468" s="5">
        <v>0.05</v>
      </c>
      <c r="K1468" s="6">
        <v>5</v>
      </c>
      <c r="L1468" s="6">
        <v>4</v>
      </c>
      <c r="M1468" t="s">
        <v>58</v>
      </c>
      <c r="N1468" t="s">
        <v>59</v>
      </c>
      <c r="O1468" t="s">
        <v>64</v>
      </c>
    </row>
    <row r="1469" spans="1:15">
      <c r="A1469" t="s">
        <v>1564</v>
      </c>
      <c r="B1469" s="3">
        <v>45834</v>
      </c>
      <c r="C1469" t="s">
        <v>54</v>
      </c>
      <c r="D1469" t="s">
        <v>55</v>
      </c>
      <c r="E1469" t="s">
        <v>75</v>
      </c>
      <c r="F1469" t="s">
        <v>110</v>
      </c>
      <c r="G1469" s="6">
        <v>3</v>
      </c>
      <c r="H1469" s="4">
        <v>158.97</v>
      </c>
      <c r="I1469" s="4">
        <v>103.28</v>
      </c>
      <c r="J1469" s="5">
        <v>0</v>
      </c>
      <c r="K1469" s="6">
        <v>3</v>
      </c>
      <c r="L1469" s="6"/>
      <c r="M1469" t="s">
        <v>58</v>
      </c>
      <c r="N1469" t="s">
        <v>69</v>
      </c>
      <c r="O1469" t="s">
        <v>64</v>
      </c>
    </row>
    <row r="1470" spans="1:15">
      <c r="A1470" t="s">
        <v>1565</v>
      </c>
      <c r="B1470" s="3">
        <v>45919</v>
      </c>
      <c r="C1470" t="s">
        <v>78</v>
      </c>
      <c r="D1470" t="s">
        <v>62</v>
      </c>
      <c r="E1470" t="s">
        <v>56</v>
      </c>
      <c r="F1470" t="s">
        <v>89</v>
      </c>
      <c r="G1470" s="6">
        <v>1</v>
      </c>
      <c r="H1470" s="4">
        <v>81.47</v>
      </c>
      <c r="I1470" s="4">
        <v>45.64</v>
      </c>
      <c r="J1470" s="5">
        <v>0</v>
      </c>
      <c r="K1470" s="6">
        <v>0</v>
      </c>
      <c r="L1470" s="6">
        <v>5</v>
      </c>
      <c r="M1470" t="s">
        <v>58</v>
      </c>
      <c r="N1470" t="s">
        <v>69</v>
      </c>
      <c r="O1470" t="s">
        <v>64</v>
      </c>
    </row>
    <row r="1471" spans="1:15">
      <c r="A1471" t="s">
        <v>1566</v>
      </c>
      <c r="B1471" s="3">
        <v>45670</v>
      </c>
      <c r="C1471" t="s">
        <v>78</v>
      </c>
      <c r="D1471" t="s">
        <v>55</v>
      </c>
      <c r="E1471" t="s">
        <v>75</v>
      </c>
      <c r="F1471" t="s">
        <v>110</v>
      </c>
      <c r="G1471" s="6">
        <v>3</v>
      </c>
      <c r="H1471" s="4">
        <v>158.94</v>
      </c>
      <c r="I1471" s="4">
        <v>99.6</v>
      </c>
      <c r="J1471" s="5">
        <v>0.1</v>
      </c>
      <c r="K1471" s="6">
        <v>6</v>
      </c>
      <c r="L1471" s="6">
        <v>3</v>
      </c>
      <c r="M1471" t="s">
        <v>58</v>
      </c>
      <c r="N1471" t="s">
        <v>87</v>
      </c>
      <c r="O1471" t="s">
        <v>73</v>
      </c>
    </row>
    <row r="1472" spans="1:15">
      <c r="A1472" t="s">
        <v>1567</v>
      </c>
      <c r="B1472" s="3">
        <v>45962</v>
      </c>
      <c r="C1472" t="s">
        <v>66</v>
      </c>
      <c r="D1472" t="s">
        <v>55</v>
      </c>
      <c r="E1472" t="s">
        <v>56</v>
      </c>
      <c r="F1472" t="s">
        <v>57</v>
      </c>
      <c r="G1472" s="6">
        <v>2</v>
      </c>
      <c r="H1472" s="4">
        <v>110.99</v>
      </c>
      <c r="I1472" s="4">
        <v>69.78</v>
      </c>
      <c r="J1472" s="5">
        <v>0.05</v>
      </c>
      <c r="K1472" s="6">
        <v>5</v>
      </c>
      <c r="L1472" s="6">
        <v>5</v>
      </c>
      <c r="M1472" t="s">
        <v>58</v>
      </c>
      <c r="N1472" t="s">
        <v>59</v>
      </c>
      <c r="O1472" t="s">
        <v>64</v>
      </c>
    </row>
    <row r="1473" spans="1:15">
      <c r="A1473" t="s">
        <v>1568</v>
      </c>
      <c r="B1473" s="3">
        <v>45669</v>
      </c>
      <c r="C1473" t="s">
        <v>82</v>
      </c>
      <c r="D1473" t="s">
        <v>62</v>
      </c>
      <c r="E1473" t="s">
        <v>56</v>
      </c>
      <c r="F1473" t="s">
        <v>89</v>
      </c>
      <c r="G1473" s="6">
        <v>1</v>
      </c>
      <c r="H1473" s="4">
        <v>79.959999999999994</v>
      </c>
      <c r="I1473" s="4">
        <v>44.7</v>
      </c>
      <c r="J1473" s="5">
        <v>0</v>
      </c>
      <c r="K1473" s="6">
        <v>3</v>
      </c>
      <c r="L1473" s="6">
        <v>4</v>
      </c>
      <c r="M1473" t="s">
        <v>126</v>
      </c>
      <c r="N1473" t="s">
        <v>69</v>
      </c>
      <c r="O1473" t="s">
        <v>60</v>
      </c>
    </row>
    <row r="1474" spans="1:15">
      <c r="A1474" t="s">
        <v>1569</v>
      </c>
      <c r="B1474" s="3">
        <v>46016</v>
      </c>
      <c r="C1474" t="s">
        <v>82</v>
      </c>
      <c r="D1474" t="s">
        <v>62</v>
      </c>
      <c r="E1474" t="s">
        <v>75</v>
      </c>
      <c r="F1474" t="s">
        <v>76</v>
      </c>
      <c r="G1474" s="6">
        <v>1</v>
      </c>
      <c r="H1474" s="4">
        <v>117.92</v>
      </c>
      <c r="I1474" s="4">
        <v>72.16</v>
      </c>
      <c r="J1474" s="5">
        <v>0.1</v>
      </c>
      <c r="K1474" s="6">
        <v>7</v>
      </c>
      <c r="L1474" s="6">
        <v>3</v>
      </c>
      <c r="M1474" t="s">
        <v>58</v>
      </c>
      <c r="N1474" t="s">
        <v>69</v>
      </c>
      <c r="O1474" t="s">
        <v>64</v>
      </c>
    </row>
    <row r="1475" spans="1:15">
      <c r="A1475" t="s">
        <v>1570</v>
      </c>
      <c r="B1475" s="3">
        <v>45967</v>
      </c>
      <c r="C1475" t="s">
        <v>54</v>
      </c>
      <c r="D1475" t="s">
        <v>62</v>
      </c>
      <c r="E1475" t="s">
        <v>75</v>
      </c>
      <c r="F1475" t="s">
        <v>146</v>
      </c>
      <c r="G1475" s="6">
        <v>1</v>
      </c>
      <c r="H1475" s="4">
        <v>179.11</v>
      </c>
      <c r="I1475" s="4">
        <v>117.32</v>
      </c>
      <c r="J1475" s="5">
        <v>0.05</v>
      </c>
      <c r="K1475" s="6">
        <v>6</v>
      </c>
      <c r="L1475" s="6">
        <v>3</v>
      </c>
      <c r="M1475" t="s">
        <v>58</v>
      </c>
      <c r="N1475" t="s">
        <v>59</v>
      </c>
      <c r="O1475" t="s">
        <v>64</v>
      </c>
    </row>
    <row r="1476" spans="1:15">
      <c r="A1476" t="s">
        <v>1571</v>
      </c>
      <c r="B1476" s="3">
        <v>45876</v>
      </c>
      <c r="C1476" t="s">
        <v>66</v>
      </c>
      <c r="D1476" t="s">
        <v>55</v>
      </c>
      <c r="E1476" t="s">
        <v>79</v>
      </c>
      <c r="F1476" t="s">
        <v>80</v>
      </c>
      <c r="G1476" s="6">
        <v>4</v>
      </c>
      <c r="H1476" s="4">
        <v>73.209999999999994</v>
      </c>
      <c r="I1476" s="4">
        <v>42.56</v>
      </c>
      <c r="J1476" s="5">
        <v>0.05</v>
      </c>
      <c r="K1476" s="6">
        <v>7</v>
      </c>
      <c r="L1476" s="6">
        <v>4</v>
      </c>
      <c r="M1476" t="s">
        <v>58</v>
      </c>
      <c r="N1476" t="s">
        <v>87</v>
      </c>
      <c r="O1476" t="s">
        <v>73</v>
      </c>
    </row>
    <row r="1477" spans="1:15">
      <c r="A1477" t="s">
        <v>1572</v>
      </c>
      <c r="B1477" s="3">
        <v>46007</v>
      </c>
      <c r="C1477" t="s">
        <v>54</v>
      </c>
      <c r="D1477" t="s">
        <v>62</v>
      </c>
      <c r="E1477" t="s">
        <v>79</v>
      </c>
      <c r="F1477" t="s">
        <v>80</v>
      </c>
      <c r="G1477" s="6">
        <v>3</v>
      </c>
      <c r="H1477" s="4">
        <v>76.14</v>
      </c>
      <c r="I1477" s="4">
        <v>41.81</v>
      </c>
      <c r="J1477" s="5">
        <v>0.05</v>
      </c>
      <c r="K1477" s="6">
        <v>7</v>
      </c>
      <c r="L1477" s="6">
        <v>3</v>
      </c>
      <c r="M1477" t="s">
        <v>126</v>
      </c>
      <c r="N1477" t="s">
        <v>87</v>
      </c>
      <c r="O1477" t="s">
        <v>64</v>
      </c>
    </row>
    <row r="1478" spans="1:15">
      <c r="A1478" t="s">
        <v>1573</v>
      </c>
      <c r="B1478" s="3">
        <v>45975</v>
      </c>
      <c r="C1478" t="s">
        <v>78</v>
      </c>
      <c r="D1478" t="s">
        <v>55</v>
      </c>
      <c r="E1478" t="s">
        <v>75</v>
      </c>
      <c r="F1478" t="s">
        <v>146</v>
      </c>
      <c r="G1478" s="6">
        <v>3</v>
      </c>
      <c r="H1478" s="4">
        <v>176.73</v>
      </c>
      <c r="I1478" s="4">
        <v>117.42</v>
      </c>
      <c r="J1478" s="5">
        <v>0</v>
      </c>
      <c r="K1478" s="6">
        <v>8</v>
      </c>
      <c r="L1478" s="6">
        <v>2</v>
      </c>
      <c r="M1478" t="s">
        <v>126</v>
      </c>
      <c r="N1478" t="s">
        <v>59</v>
      </c>
      <c r="O1478" t="s">
        <v>64</v>
      </c>
    </row>
    <row r="1479" spans="1:15">
      <c r="A1479" t="s">
        <v>1574</v>
      </c>
      <c r="B1479" s="3">
        <v>45699</v>
      </c>
      <c r="C1479" t="s">
        <v>82</v>
      </c>
      <c r="D1479" t="s">
        <v>62</v>
      </c>
      <c r="E1479" t="s">
        <v>79</v>
      </c>
      <c r="F1479" t="s">
        <v>92</v>
      </c>
      <c r="G1479" s="6">
        <v>2</v>
      </c>
      <c r="H1479" s="4">
        <v>50.22</v>
      </c>
      <c r="I1479" s="4">
        <v>26.66</v>
      </c>
      <c r="J1479" s="5">
        <v>0</v>
      </c>
      <c r="K1479" s="6">
        <v>7</v>
      </c>
      <c r="L1479" s="6">
        <v>2</v>
      </c>
      <c r="M1479" t="s">
        <v>126</v>
      </c>
      <c r="N1479" t="s">
        <v>59</v>
      </c>
      <c r="O1479" t="s">
        <v>64</v>
      </c>
    </row>
    <row r="1480" spans="1:15">
      <c r="A1480" t="s">
        <v>1575</v>
      </c>
      <c r="B1480" s="3">
        <v>45778</v>
      </c>
      <c r="C1480" t="s">
        <v>78</v>
      </c>
      <c r="D1480" t="s">
        <v>129</v>
      </c>
      <c r="E1480" t="s">
        <v>75</v>
      </c>
      <c r="F1480" t="s">
        <v>76</v>
      </c>
      <c r="G1480" s="6">
        <v>6</v>
      </c>
      <c r="H1480" s="4">
        <v>117.04</v>
      </c>
      <c r="I1480" s="4">
        <v>71.989999999999995</v>
      </c>
      <c r="J1480" s="5">
        <v>0.1</v>
      </c>
      <c r="K1480" s="6">
        <v>5</v>
      </c>
      <c r="L1480" s="6">
        <v>4</v>
      </c>
      <c r="M1480" t="s">
        <v>58</v>
      </c>
      <c r="N1480" t="s">
        <v>69</v>
      </c>
      <c r="O1480" t="s">
        <v>73</v>
      </c>
    </row>
    <row r="1481" spans="1:15">
      <c r="A1481" t="s">
        <v>1576</v>
      </c>
      <c r="B1481" s="3">
        <v>46015</v>
      </c>
      <c r="C1481" t="s">
        <v>78</v>
      </c>
      <c r="D1481" t="s">
        <v>62</v>
      </c>
      <c r="E1481" t="s">
        <v>56</v>
      </c>
      <c r="F1481" t="s">
        <v>63</v>
      </c>
      <c r="G1481" s="6">
        <v>1</v>
      </c>
      <c r="H1481" s="4">
        <v>40.42</v>
      </c>
      <c r="I1481" s="4">
        <v>20.93</v>
      </c>
      <c r="J1481" s="5">
        <v>0.1</v>
      </c>
      <c r="K1481" s="6">
        <v>3</v>
      </c>
      <c r="L1481" s="6">
        <v>4</v>
      </c>
      <c r="M1481" t="s">
        <v>58</v>
      </c>
      <c r="N1481" t="s">
        <v>59</v>
      </c>
      <c r="O1481" t="s">
        <v>64</v>
      </c>
    </row>
    <row r="1482" spans="1:15">
      <c r="A1482" t="s">
        <v>1577</v>
      </c>
      <c r="B1482" s="3">
        <v>46011</v>
      </c>
      <c r="C1482" t="s">
        <v>66</v>
      </c>
      <c r="D1482" t="s">
        <v>62</v>
      </c>
      <c r="E1482" t="s">
        <v>79</v>
      </c>
      <c r="F1482" t="s">
        <v>115</v>
      </c>
      <c r="G1482" s="6">
        <v>1</v>
      </c>
      <c r="H1482" s="4">
        <v>60.26</v>
      </c>
      <c r="I1482" s="4">
        <v>34.479999999999997</v>
      </c>
      <c r="J1482" s="5">
        <v>0.1</v>
      </c>
      <c r="K1482" s="6">
        <v>2</v>
      </c>
      <c r="L1482" s="6">
        <v>3</v>
      </c>
      <c r="M1482" t="s">
        <v>126</v>
      </c>
      <c r="N1482" t="s">
        <v>87</v>
      </c>
      <c r="O1482" t="s">
        <v>64</v>
      </c>
    </row>
    <row r="1483" spans="1:15">
      <c r="A1483" t="s">
        <v>1578</v>
      </c>
      <c r="B1483" s="3">
        <v>45790</v>
      </c>
      <c r="C1483" t="s">
        <v>78</v>
      </c>
      <c r="D1483" t="s">
        <v>62</v>
      </c>
      <c r="E1483" t="s">
        <v>75</v>
      </c>
      <c r="F1483" t="s">
        <v>146</v>
      </c>
      <c r="G1483" s="6">
        <v>1</v>
      </c>
      <c r="H1483" s="4">
        <v>184.41</v>
      </c>
      <c r="I1483" s="4">
        <v>111.62</v>
      </c>
      <c r="J1483" s="5">
        <v>0.05</v>
      </c>
      <c r="K1483" s="6">
        <v>5</v>
      </c>
      <c r="L1483" s="6">
        <v>5</v>
      </c>
      <c r="M1483" t="s">
        <v>58</v>
      </c>
      <c r="N1483" t="s">
        <v>59</v>
      </c>
      <c r="O1483" t="s">
        <v>64</v>
      </c>
    </row>
    <row r="1484" spans="1:15">
      <c r="A1484" t="s">
        <v>1579</v>
      </c>
      <c r="B1484" s="3">
        <v>45988</v>
      </c>
      <c r="C1484" t="s">
        <v>1580</v>
      </c>
      <c r="D1484" t="s">
        <v>62</v>
      </c>
      <c r="E1484" t="s">
        <v>67</v>
      </c>
      <c r="F1484" t="s">
        <v>107</v>
      </c>
      <c r="G1484" s="6">
        <v>1</v>
      </c>
      <c r="H1484" s="4">
        <v>46.3</v>
      </c>
      <c r="I1484" s="4">
        <v>21.16</v>
      </c>
      <c r="J1484" s="5">
        <v>0.05</v>
      </c>
      <c r="K1484" s="6">
        <v>0</v>
      </c>
      <c r="L1484" s="6">
        <v>4</v>
      </c>
      <c r="M1484" t="s">
        <v>58</v>
      </c>
      <c r="N1484" t="s">
        <v>69</v>
      </c>
      <c r="O1484" t="s">
        <v>64</v>
      </c>
    </row>
    <row r="1485" spans="1:15">
      <c r="A1485" t="s">
        <v>1581</v>
      </c>
      <c r="B1485" s="3">
        <v>46007</v>
      </c>
      <c r="C1485" t="s">
        <v>82</v>
      </c>
      <c r="D1485" t="s">
        <v>55</v>
      </c>
      <c r="E1485" t="s">
        <v>56</v>
      </c>
      <c r="F1485" t="s">
        <v>57</v>
      </c>
      <c r="G1485" s="6">
        <v>4</v>
      </c>
      <c r="H1485" s="4">
        <v>113.87</v>
      </c>
      <c r="I1485" s="4">
        <v>67.77</v>
      </c>
      <c r="J1485" s="5">
        <v>0.05</v>
      </c>
      <c r="K1485" s="6">
        <v>0</v>
      </c>
      <c r="L1485" s="6">
        <v>4</v>
      </c>
      <c r="M1485" t="s">
        <v>58</v>
      </c>
      <c r="N1485" t="s">
        <v>69</v>
      </c>
      <c r="O1485" t="s">
        <v>60</v>
      </c>
    </row>
    <row r="1486" spans="1:15">
      <c r="A1486" t="s">
        <v>1582</v>
      </c>
      <c r="B1486" s="3">
        <v>45727</v>
      </c>
      <c r="C1486" t="s">
        <v>78</v>
      </c>
      <c r="D1486" t="s">
        <v>62</v>
      </c>
      <c r="E1486" t="s">
        <v>79</v>
      </c>
      <c r="F1486" t="s">
        <v>85</v>
      </c>
      <c r="G1486" s="6">
        <v>2</v>
      </c>
      <c r="H1486" s="4">
        <v>128.68</v>
      </c>
      <c r="I1486" s="4">
        <v>81.64</v>
      </c>
      <c r="J1486" s="5">
        <v>0</v>
      </c>
      <c r="K1486" s="6">
        <v>2</v>
      </c>
      <c r="L1486" s="6">
        <v>4</v>
      </c>
      <c r="M1486" t="s">
        <v>58</v>
      </c>
      <c r="N1486" t="s">
        <v>59</v>
      </c>
      <c r="O1486" t="s">
        <v>73</v>
      </c>
    </row>
    <row r="1487" spans="1:15">
      <c r="A1487" t="s">
        <v>1583</v>
      </c>
      <c r="B1487" s="3">
        <v>45937</v>
      </c>
      <c r="C1487" t="s">
        <v>66</v>
      </c>
      <c r="D1487" t="s">
        <v>55</v>
      </c>
      <c r="E1487" t="s">
        <v>75</v>
      </c>
      <c r="F1487" t="s">
        <v>97</v>
      </c>
      <c r="G1487" s="6">
        <v>1</v>
      </c>
      <c r="H1487" s="4">
        <v>91.07</v>
      </c>
      <c r="I1487" s="4">
        <v>54.84</v>
      </c>
      <c r="J1487" s="5">
        <v>0.05</v>
      </c>
      <c r="K1487" s="6">
        <v>8</v>
      </c>
      <c r="L1487" s="6">
        <v>4</v>
      </c>
      <c r="M1487" t="s">
        <v>58</v>
      </c>
      <c r="N1487" t="s">
        <v>59</v>
      </c>
      <c r="O1487" t="s">
        <v>60</v>
      </c>
    </row>
    <row r="1488" spans="1:15">
      <c r="A1488" t="s">
        <v>1584</v>
      </c>
      <c r="B1488" s="3">
        <v>45958</v>
      </c>
      <c r="C1488" t="s">
        <v>82</v>
      </c>
      <c r="D1488" t="s">
        <v>55</v>
      </c>
      <c r="E1488" t="s">
        <v>79</v>
      </c>
      <c r="F1488" t="s">
        <v>85</v>
      </c>
      <c r="G1488" s="6">
        <v>4</v>
      </c>
      <c r="H1488" s="4">
        <v>129</v>
      </c>
      <c r="I1488" s="4">
        <v>84.05</v>
      </c>
      <c r="J1488" s="5">
        <v>0</v>
      </c>
      <c r="K1488" s="6">
        <v>3</v>
      </c>
      <c r="L1488" s="6">
        <v>4</v>
      </c>
      <c r="M1488" t="s">
        <v>58</v>
      </c>
      <c r="N1488" t="s">
        <v>59</v>
      </c>
      <c r="O1488" t="s">
        <v>73</v>
      </c>
    </row>
    <row r="1489" spans="1:15">
      <c r="A1489" t="s">
        <v>1585</v>
      </c>
      <c r="B1489" s="3">
        <v>45935</v>
      </c>
      <c r="C1489" t="s">
        <v>82</v>
      </c>
      <c r="D1489" t="s">
        <v>62</v>
      </c>
      <c r="E1489" t="s">
        <v>56</v>
      </c>
      <c r="F1489" t="s">
        <v>89</v>
      </c>
      <c r="G1489" s="6">
        <v>1</v>
      </c>
      <c r="H1489" s="4">
        <v>77.62</v>
      </c>
      <c r="I1489" s="4">
        <v>43.99</v>
      </c>
      <c r="J1489" s="5">
        <v>0.05</v>
      </c>
      <c r="K1489" s="6">
        <v>3</v>
      </c>
      <c r="L1489" s="6">
        <v>5</v>
      </c>
      <c r="M1489" t="s">
        <v>58</v>
      </c>
      <c r="N1489" t="s">
        <v>59</v>
      </c>
      <c r="O1489" t="s">
        <v>64</v>
      </c>
    </row>
    <row r="1490" spans="1:15">
      <c r="A1490" t="s">
        <v>1586</v>
      </c>
      <c r="B1490" s="3">
        <v>45789</v>
      </c>
      <c r="C1490" t="s">
        <v>78</v>
      </c>
      <c r="D1490" t="s">
        <v>62</v>
      </c>
      <c r="E1490" t="s">
        <v>67</v>
      </c>
      <c r="F1490" t="s">
        <v>107</v>
      </c>
      <c r="G1490" s="6">
        <v>1</v>
      </c>
      <c r="H1490" s="4">
        <v>44.59</v>
      </c>
      <c r="I1490" s="4">
        <v>20.91</v>
      </c>
      <c r="J1490" s="5">
        <v>0</v>
      </c>
      <c r="K1490" s="6">
        <v>3</v>
      </c>
      <c r="L1490" s="6">
        <v>4</v>
      </c>
      <c r="M1490" t="s">
        <v>58</v>
      </c>
      <c r="N1490" t="s">
        <v>59</v>
      </c>
      <c r="O1490" t="s">
        <v>73</v>
      </c>
    </row>
    <row r="1491" spans="1:15">
      <c r="A1491" t="s">
        <v>1587</v>
      </c>
      <c r="B1491" s="3" t="s">
        <v>1588</v>
      </c>
      <c r="C1491" t="s">
        <v>82</v>
      </c>
      <c r="D1491" t="s">
        <v>62</v>
      </c>
      <c r="E1491" t="s">
        <v>67</v>
      </c>
      <c r="F1491" t="s">
        <v>68</v>
      </c>
      <c r="G1491" s="6">
        <v>1</v>
      </c>
      <c r="H1491" s="4">
        <v>41.28</v>
      </c>
      <c r="I1491" s="4">
        <v>18.5</v>
      </c>
      <c r="J1491" s="5">
        <v>0.1</v>
      </c>
      <c r="K1491" s="6">
        <v>4</v>
      </c>
      <c r="L1491" s="6">
        <v>4</v>
      </c>
      <c r="M1491" t="s">
        <v>58</v>
      </c>
      <c r="N1491" t="s">
        <v>59</v>
      </c>
      <c r="O1491" t="s">
        <v>64</v>
      </c>
    </row>
    <row r="1492" spans="1:15">
      <c r="A1492" t="s">
        <v>1589</v>
      </c>
      <c r="B1492" s="3">
        <v>45773</v>
      </c>
      <c r="C1492" t="s">
        <v>78</v>
      </c>
      <c r="D1492" t="s">
        <v>62</v>
      </c>
      <c r="E1492" t="s">
        <v>79</v>
      </c>
      <c r="F1492" t="s">
        <v>92</v>
      </c>
      <c r="G1492" s="6">
        <v>1</v>
      </c>
      <c r="H1492" s="4">
        <v>51.32</v>
      </c>
      <c r="I1492" s="4">
        <v>25.55</v>
      </c>
      <c r="J1492" s="5">
        <v>0.1</v>
      </c>
      <c r="K1492" s="6">
        <v>0</v>
      </c>
      <c r="L1492" s="6">
        <v>4</v>
      </c>
      <c r="M1492" t="s">
        <v>58</v>
      </c>
      <c r="N1492" t="s">
        <v>69</v>
      </c>
      <c r="O1492" t="s">
        <v>64</v>
      </c>
    </row>
    <row r="1493" spans="1:15">
      <c r="A1493" t="s">
        <v>1590</v>
      </c>
      <c r="B1493" s="3">
        <v>45965</v>
      </c>
      <c r="C1493" t="s">
        <v>66</v>
      </c>
      <c r="D1493" t="s">
        <v>62</v>
      </c>
      <c r="E1493" t="s">
        <v>56</v>
      </c>
      <c r="F1493" t="s">
        <v>57</v>
      </c>
      <c r="G1493" s="6">
        <v>2</v>
      </c>
      <c r="H1493" s="4">
        <v>111.38</v>
      </c>
      <c r="I1493" s="4">
        <v>68.52</v>
      </c>
      <c r="J1493" s="5">
        <v>0.25</v>
      </c>
      <c r="K1493" s="6">
        <v>5</v>
      </c>
      <c r="L1493" s="6">
        <v>4</v>
      </c>
      <c r="M1493" t="s">
        <v>58</v>
      </c>
      <c r="N1493" t="s">
        <v>59</v>
      </c>
      <c r="O1493" t="s">
        <v>64</v>
      </c>
    </row>
    <row r="1494" spans="1:15">
      <c r="A1494" t="s">
        <v>1591</v>
      </c>
      <c r="B1494" s="3">
        <v>45764</v>
      </c>
      <c r="C1494" t="s">
        <v>66</v>
      </c>
      <c r="D1494" t="s">
        <v>55</v>
      </c>
      <c r="E1494" t="s">
        <v>75</v>
      </c>
      <c r="F1494" t="s">
        <v>146</v>
      </c>
      <c r="G1494" s="6">
        <v>2</v>
      </c>
      <c r="H1494" s="4">
        <v>179.23</v>
      </c>
      <c r="I1494" s="4">
        <v>118.65</v>
      </c>
      <c r="J1494" s="5">
        <v>0.05</v>
      </c>
      <c r="K1494" s="6">
        <v>0</v>
      </c>
      <c r="L1494" s="6">
        <v>3</v>
      </c>
      <c r="M1494" t="s">
        <v>126</v>
      </c>
      <c r="N1494" t="s">
        <v>69</v>
      </c>
      <c r="O1494" t="s">
        <v>64</v>
      </c>
    </row>
    <row r="1495" spans="1:15">
      <c r="A1495" t="s">
        <v>1592</v>
      </c>
      <c r="B1495" s="3">
        <v>45929</v>
      </c>
      <c r="C1495" t="s">
        <v>78</v>
      </c>
      <c r="D1495" t="s">
        <v>62</v>
      </c>
      <c r="E1495" t="s">
        <v>67</v>
      </c>
      <c r="F1495" t="s">
        <v>71</v>
      </c>
      <c r="G1495" s="6">
        <v>3</v>
      </c>
      <c r="H1495" s="4">
        <v>72.11</v>
      </c>
      <c r="I1495" s="4">
        <v>39.619999999999997</v>
      </c>
      <c r="J1495" s="5">
        <v>0.1</v>
      </c>
      <c r="K1495" s="6">
        <v>5</v>
      </c>
      <c r="L1495" s="6">
        <v>5</v>
      </c>
      <c r="M1495" t="s">
        <v>58</v>
      </c>
      <c r="N1495" t="s">
        <v>59</v>
      </c>
      <c r="O1495" t="s">
        <v>64</v>
      </c>
    </row>
    <row r="1496" spans="1:15">
      <c r="A1496" t="s">
        <v>1593</v>
      </c>
      <c r="B1496" s="3">
        <v>45789</v>
      </c>
      <c r="C1496" t="s">
        <v>66</v>
      </c>
      <c r="D1496" t="s">
        <v>62</v>
      </c>
      <c r="E1496" t="s">
        <v>99</v>
      </c>
      <c r="F1496" t="s">
        <v>83</v>
      </c>
      <c r="G1496" s="6">
        <v>1</v>
      </c>
      <c r="H1496" s="4">
        <v>65.23</v>
      </c>
      <c r="I1496" s="4">
        <v>34.64</v>
      </c>
      <c r="J1496" s="5">
        <v>0.05</v>
      </c>
      <c r="K1496" s="6">
        <v>3</v>
      </c>
      <c r="L1496" s="6">
        <v>4</v>
      </c>
      <c r="M1496" t="s">
        <v>58</v>
      </c>
      <c r="N1496" t="s">
        <v>59</v>
      </c>
      <c r="O1496" t="s">
        <v>64</v>
      </c>
    </row>
    <row r="1497" spans="1:15">
      <c r="A1497" t="s">
        <v>1594</v>
      </c>
      <c r="B1497" s="3" t="s">
        <v>1595</v>
      </c>
      <c r="C1497" t="s">
        <v>66</v>
      </c>
      <c r="D1497" t="s">
        <v>62</v>
      </c>
      <c r="E1497" t="s">
        <v>67</v>
      </c>
      <c r="F1497" t="s">
        <v>107</v>
      </c>
      <c r="G1497" s="6">
        <v>1</v>
      </c>
      <c r="H1497" s="4">
        <v>44.69</v>
      </c>
      <c r="I1497" s="4">
        <v>20.95</v>
      </c>
      <c r="J1497" s="5">
        <v>0.05</v>
      </c>
      <c r="K1497" s="6">
        <v>3</v>
      </c>
      <c r="L1497" s="6">
        <v>5</v>
      </c>
      <c r="M1497" t="s">
        <v>58</v>
      </c>
      <c r="N1497" t="s">
        <v>59</v>
      </c>
      <c r="O1497" t="s">
        <v>60</v>
      </c>
    </row>
    <row r="1498" spans="1:15">
      <c r="A1498" t="s">
        <v>1596</v>
      </c>
      <c r="B1498" s="3">
        <v>45869</v>
      </c>
      <c r="C1498" t="s">
        <v>78</v>
      </c>
      <c r="D1498" t="s">
        <v>62</v>
      </c>
      <c r="E1498" t="s">
        <v>56</v>
      </c>
      <c r="F1498" t="s">
        <v>83</v>
      </c>
      <c r="G1498" s="6">
        <v>1</v>
      </c>
      <c r="H1498" s="4">
        <v>63.71</v>
      </c>
      <c r="I1498" s="4">
        <v>35.729999999999997</v>
      </c>
      <c r="J1498" s="5">
        <v>0.05</v>
      </c>
      <c r="K1498" s="6">
        <v>5</v>
      </c>
      <c r="L1498" s="6">
        <v>5</v>
      </c>
      <c r="M1498" t="s">
        <v>58</v>
      </c>
      <c r="N1498" t="s">
        <v>87</v>
      </c>
      <c r="O1498" t="s">
        <v>64</v>
      </c>
    </row>
    <row r="1499" spans="1:15">
      <c r="A1499" t="s">
        <v>1597</v>
      </c>
      <c r="B1499" s="3">
        <v>45977</v>
      </c>
      <c r="C1499" t="s">
        <v>54</v>
      </c>
      <c r="D1499" t="s">
        <v>55</v>
      </c>
      <c r="E1499" t="s">
        <v>56</v>
      </c>
      <c r="F1499" t="s">
        <v>83</v>
      </c>
      <c r="G1499" s="6">
        <v>3</v>
      </c>
      <c r="H1499" s="4">
        <v>65.900000000000006</v>
      </c>
      <c r="I1499" s="4">
        <v>34</v>
      </c>
      <c r="J1499" s="5">
        <v>0.1</v>
      </c>
      <c r="K1499" s="6">
        <v>1</v>
      </c>
      <c r="L1499" s="6">
        <v>4</v>
      </c>
      <c r="M1499" t="s">
        <v>58</v>
      </c>
      <c r="N1499" t="s">
        <v>69</v>
      </c>
      <c r="O1499" t="s">
        <v>64</v>
      </c>
    </row>
    <row r="1500" spans="1:15">
      <c r="A1500" t="s">
        <v>1598</v>
      </c>
      <c r="B1500" s="3">
        <v>45663</v>
      </c>
      <c r="C1500" t="s">
        <v>66</v>
      </c>
      <c r="E1500" t="s">
        <v>56</v>
      </c>
      <c r="F1500" t="s">
        <v>83</v>
      </c>
      <c r="G1500" s="6">
        <v>1</v>
      </c>
      <c r="H1500" s="4">
        <v>67.540000000000006</v>
      </c>
      <c r="I1500" s="4">
        <v>35.97</v>
      </c>
      <c r="J1500" s="5">
        <v>0.15000000000000002</v>
      </c>
      <c r="K1500" s="6">
        <v>3</v>
      </c>
      <c r="L1500" s="6">
        <v>4</v>
      </c>
      <c r="M1500" t="s">
        <v>58</v>
      </c>
      <c r="N1500" t="s">
        <v>87</v>
      </c>
      <c r="O1500" t="s">
        <v>60</v>
      </c>
    </row>
    <row r="1501" spans="1:15">
      <c r="A1501" t="s">
        <v>1599</v>
      </c>
      <c r="B1501" s="3">
        <v>45953</v>
      </c>
      <c r="C1501" t="s">
        <v>78</v>
      </c>
      <c r="D1501" t="s">
        <v>55</v>
      </c>
      <c r="E1501" t="s">
        <v>67</v>
      </c>
      <c r="F1501" t="s">
        <v>71</v>
      </c>
      <c r="G1501" s="6">
        <v>3</v>
      </c>
      <c r="H1501" s="4">
        <v>70.959999999999994</v>
      </c>
      <c r="I1501" s="4">
        <v>38.630000000000003</v>
      </c>
      <c r="J1501" s="5">
        <v>0</v>
      </c>
      <c r="K1501" s="6">
        <v>4</v>
      </c>
      <c r="L1501" s="6">
        <v>5</v>
      </c>
      <c r="M1501" t="s">
        <v>58</v>
      </c>
      <c r="N1501" t="s">
        <v>59</v>
      </c>
      <c r="O1501" t="s">
        <v>64</v>
      </c>
    </row>
    <row r="1502" spans="1:15">
      <c r="A1502" t="s">
        <v>1600</v>
      </c>
      <c r="B1502" s="3">
        <v>45978</v>
      </c>
      <c r="C1502" t="s">
        <v>66</v>
      </c>
      <c r="D1502" t="s">
        <v>129</v>
      </c>
      <c r="E1502" t="s">
        <v>79</v>
      </c>
      <c r="F1502" t="s">
        <v>85</v>
      </c>
      <c r="G1502" s="6">
        <v>6</v>
      </c>
      <c r="H1502" s="4">
        <v>134.91999999999999</v>
      </c>
      <c r="I1502" s="4">
        <v>86.78</v>
      </c>
      <c r="J1502" s="5">
        <v>0.15000000000000002</v>
      </c>
      <c r="K1502" s="6">
        <v>0</v>
      </c>
      <c r="L1502" s="6">
        <v>3</v>
      </c>
      <c r="M1502" t="s">
        <v>126</v>
      </c>
      <c r="N1502" t="s">
        <v>69</v>
      </c>
      <c r="O1502" t="s">
        <v>64</v>
      </c>
    </row>
    <row r="1503" spans="1:15">
      <c r="A1503" t="s">
        <v>1601</v>
      </c>
      <c r="B1503" s="3">
        <v>45685</v>
      </c>
      <c r="C1503" t="s">
        <v>66</v>
      </c>
      <c r="D1503" t="s">
        <v>55</v>
      </c>
      <c r="E1503" t="s">
        <v>67</v>
      </c>
      <c r="F1503" t="s">
        <v>94</v>
      </c>
      <c r="G1503" s="6">
        <v>4</v>
      </c>
      <c r="H1503" s="4">
        <v>35.700000000000003</v>
      </c>
      <c r="I1503" s="4">
        <v>17.149999999999999</v>
      </c>
      <c r="J1503" s="5">
        <v>0.2</v>
      </c>
      <c r="K1503" s="6">
        <v>8</v>
      </c>
      <c r="L1503" s="6">
        <v>3</v>
      </c>
      <c r="M1503" t="s">
        <v>58</v>
      </c>
      <c r="N1503" t="s">
        <v>59</v>
      </c>
      <c r="O1503" t="s">
        <v>64</v>
      </c>
    </row>
    <row r="1504" spans="1:15">
      <c r="A1504" t="s">
        <v>1602</v>
      </c>
      <c r="B1504" s="3">
        <v>46014</v>
      </c>
      <c r="C1504" t="s">
        <v>54</v>
      </c>
      <c r="D1504" t="s">
        <v>55</v>
      </c>
      <c r="E1504" t="s">
        <v>79</v>
      </c>
      <c r="F1504" t="s">
        <v>85</v>
      </c>
      <c r="G1504" s="6">
        <v>1</v>
      </c>
      <c r="H1504" s="4">
        <v>135.12</v>
      </c>
      <c r="I1504" s="4">
        <v>85.04</v>
      </c>
      <c r="J1504" s="5">
        <v>0.05</v>
      </c>
      <c r="K1504" s="6">
        <v>2</v>
      </c>
      <c r="L1504" s="6">
        <v>4</v>
      </c>
      <c r="M1504" t="s">
        <v>58</v>
      </c>
      <c r="N1504" t="s">
        <v>59</v>
      </c>
      <c r="O1504" t="s">
        <v>60</v>
      </c>
    </row>
    <row r="1505" spans="1:15">
      <c r="A1505" t="s">
        <v>1603</v>
      </c>
      <c r="B1505" s="3">
        <v>45988</v>
      </c>
      <c r="C1505" t="s">
        <v>78</v>
      </c>
      <c r="D1505" t="s">
        <v>62</v>
      </c>
      <c r="E1505" t="s">
        <v>75</v>
      </c>
      <c r="F1505" t="s">
        <v>97</v>
      </c>
      <c r="G1505" s="6">
        <v>2</v>
      </c>
      <c r="H1505" s="4">
        <v>90.4</v>
      </c>
      <c r="I1505" s="4">
        <v>55.86</v>
      </c>
      <c r="J1505" s="5">
        <v>0</v>
      </c>
      <c r="K1505" s="6">
        <v>3</v>
      </c>
      <c r="L1505" s="6">
        <v>4</v>
      </c>
      <c r="M1505" t="s">
        <v>58</v>
      </c>
      <c r="N1505" t="s">
        <v>69</v>
      </c>
      <c r="O1505" t="s">
        <v>60</v>
      </c>
    </row>
    <row r="1506" spans="1:15">
      <c r="A1506" t="s">
        <v>1604</v>
      </c>
      <c r="B1506" s="3">
        <v>45807</v>
      </c>
      <c r="C1506" t="s">
        <v>54</v>
      </c>
      <c r="D1506" t="s">
        <v>62</v>
      </c>
      <c r="E1506" t="s">
        <v>79</v>
      </c>
      <c r="F1506" t="s">
        <v>115</v>
      </c>
      <c r="G1506" s="6">
        <v>1</v>
      </c>
      <c r="H1506" s="4">
        <v>58.47</v>
      </c>
      <c r="I1506" s="4">
        <v>33.159999999999997</v>
      </c>
      <c r="J1506" s="5">
        <v>0</v>
      </c>
      <c r="K1506" s="6">
        <v>3</v>
      </c>
      <c r="L1506" s="6">
        <v>4</v>
      </c>
      <c r="M1506" t="s">
        <v>58</v>
      </c>
      <c r="N1506" t="s">
        <v>59</v>
      </c>
      <c r="O1506" t="s">
        <v>60</v>
      </c>
    </row>
    <row r="1507" spans="1:15">
      <c r="A1507" t="s">
        <v>1605</v>
      </c>
      <c r="B1507" s="3">
        <v>45901</v>
      </c>
      <c r="C1507" t="s">
        <v>78</v>
      </c>
      <c r="D1507" t="s">
        <v>62</v>
      </c>
      <c r="E1507" t="s">
        <v>79</v>
      </c>
      <c r="F1507" t="s">
        <v>85</v>
      </c>
      <c r="G1507" s="6">
        <v>1</v>
      </c>
      <c r="H1507" s="4">
        <v>128.41</v>
      </c>
      <c r="I1507" s="4">
        <v>81.900000000000006</v>
      </c>
      <c r="J1507" s="5">
        <v>0.05</v>
      </c>
      <c r="K1507" s="6">
        <v>5</v>
      </c>
      <c r="L1507" s="6">
        <v>4</v>
      </c>
      <c r="M1507" t="s">
        <v>58</v>
      </c>
      <c r="N1507" t="s">
        <v>59</v>
      </c>
      <c r="O1507" t="s">
        <v>60</v>
      </c>
    </row>
    <row r="1508" spans="1:15">
      <c r="A1508" t="s">
        <v>1606</v>
      </c>
      <c r="B1508" s="3">
        <v>45663</v>
      </c>
      <c r="C1508" t="s">
        <v>66</v>
      </c>
      <c r="D1508" t="s">
        <v>62</v>
      </c>
      <c r="E1508" t="s">
        <v>56</v>
      </c>
      <c r="F1508" t="s">
        <v>83</v>
      </c>
      <c r="G1508" s="6">
        <v>1</v>
      </c>
      <c r="H1508" s="4">
        <v>64.14</v>
      </c>
      <c r="I1508" s="4">
        <v>34.96</v>
      </c>
      <c r="J1508" s="5">
        <v>0.1</v>
      </c>
      <c r="K1508" s="6">
        <v>3</v>
      </c>
      <c r="L1508" s="6">
        <v>4</v>
      </c>
      <c r="M1508" t="s">
        <v>58</v>
      </c>
      <c r="N1508" t="s">
        <v>69</v>
      </c>
      <c r="O1508" t="s">
        <v>64</v>
      </c>
    </row>
    <row r="1509" spans="1:15">
      <c r="A1509" t="s">
        <v>1607</v>
      </c>
      <c r="B1509" s="3">
        <v>45996</v>
      </c>
      <c r="C1509" t="s">
        <v>54</v>
      </c>
      <c r="D1509" t="s">
        <v>62</v>
      </c>
      <c r="E1509" t="s">
        <v>79</v>
      </c>
      <c r="F1509" t="s">
        <v>85</v>
      </c>
      <c r="G1509" s="6">
        <v>1</v>
      </c>
      <c r="H1509" s="4">
        <v>128.71</v>
      </c>
      <c r="I1509" s="4">
        <v>85.85</v>
      </c>
      <c r="J1509" s="5">
        <v>0.1</v>
      </c>
      <c r="K1509" s="6">
        <v>3</v>
      </c>
      <c r="L1509" s="6">
        <v>4</v>
      </c>
      <c r="M1509" t="s">
        <v>58</v>
      </c>
      <c r="N1509" t="s">
        <v>87</v>
      </c>
      <c r="O1509" t="s">
        <v>64</v>
      </c>
    </row>
    <row r="1510" spans="1:15">
      <c r="A1510" t="s">
        <v>1608</v>
      </c>
      <c r="B1510" s="3">
        <v>45860</v>
      </c>
      <c r="C1510" t="s">
        <v>66</v>
      </c>
      <c r="D1510" t="s">
        <v>62</v>
      </c>
      <c r="E1510" t="s">
        <v>79</v>
      </c>
      <c r="F1510" t="s">
        <v>80</v>
      </c>
      <c r="G1510" s="6">
        <v>3</v>
      </c>
      <c r="H1510" s="4">
        <v>75.03</v>
      </c>
      <c r="I1510" s="4">
        <v>43.63</v>
      </c>
      <c r="J1510" s="5">
        <v>0.1</v>
      </c>
      <c r="K1510" s="6">
        <v>0</v>
      </c>
      <c r="L1510" s="6">
        <v>5</v>
      </c>
      <c r="M1510" t="s">
        <v>58</v>
      </c>
      <c r="N1510" t="s">
        <v>69</v>
      </c>
      <c r="O1510" t="s">
        <v>64</v>
      </c>
    </row>
    <row r="1511" spans="1:15">
      <c r="A1511" t="s">
        <v>1609</v>
      </c>
      <c r="B1511" s="3">
        <v>45723</v>
      </c>
      <c r="C1511" t="s">
        <v>66</v>
      </c>
      <c r="D1511" t="s">
        <v>55</v>
      </c>
      <c r="E1511" t="s">
        <v>79</v>
      </c>
      <c r="F1511" t="s">
        <v>85</v>
      </c>
      <c r="G1511" s="6">
        <v>3</v>
      </c>
      <c r="H1511" s="4">
        <v>133.11000000000001</v>
      </c>
      <c r="I1511" s="4">
        <v>87.33</v>
      </c>
      <c r="J1511" s="5">
        <v>0</v>
      </c>
      <c r="K1511" s="6">
        <v>4</v>
      </c>
      <c r="L1511" s="6">
        <v>4</v>
      </c>
      <c r="M1511" t="s">
        <v>58</v>
      </c>
      <c r="N1511" t="s">
        <v>59</v>
      </c>
      <c r="O1511" t="s">
        <v>64</v>
      </c>
    </row>
    <row r="1512" spans="1:15">
      <c r="A1512" t="s">
        <v>1610</v>
      </c>
      <c r="B1512" s="3">
        <v>45891</v>
      </c>
      <c r="C1512" t="s">
        <v>78</v>
      </c>
      <c r="D1512" t="s">
        <v>55</v>
      </c>
      <c r="E1512" t="s">
        <v>56</v>
      </c>
      <c r="F1512" t="s">
        <v>89</v>
      </c>
      <c r="G1512" s="6">
        <v>1</v>
      </c>
      <c r="H1512" s="4">
        <v>80.86</v>
      </c>
      <c r="I1512" s="4">
        <v>46.36</v>
      </c>
      <c r="J1512" s="5">
        <v>0.05</v>
      </c>
      <c r="K1512" s="6">
        <v>0</v>
      </c>
      <c r="L1512" s="6">
        <v>4</v>
      </c>
      <c r="M1512" t="s">
        <v>58</v>
      </c>
      <c r="N1512" t="s">
        <v>69</v>
      </c>
      <c r="O1512" t="s">
        <v>64</v>
      </c>
    </row>
    <row r="1513" spans="1:15">
      <c r="A1513" t="s">
        <v>1611</v>
      </c>
      <c r="B1513" s="3">
        <v>46007</v>
      </c>
      <c r="C1513" t="s">
        <v>54</v>
      </c>
      <c r="D1513" t="s">
        <v>62</v>
      </c>
      <c r="E1513" t="s">
        <v>56</v>
      </c>
      <c r="F1513" t="s">
        <v>89</v>
      </c>
      <c r="G1513" s="6">
        <v>2</v>
      </c>
      <c r="H1513" s="4">
        <v>82.81</v>
      </c>
      <c r="I1513" s="4">
        <v>46.63</v>
      </c>
      <c r="J1513" s="5">
        <v>0.05</v>
      </c>
      <c r="K1513" s="6">
        <v>6</v>
      </c>
      <c r="L1513" s="6">
        <v>4</v>
      </c>
      <c r="M1513" t="s">
        <v>58</v>
      </c>
      <c r="N1513" t="s">
        <v>59</v>
      </c>
      <c r="O1513" t="s">
        <v>64</v>
      </c>
    </row>
    <row r="1514" spans="1:15">
      <c r="A1514" t="s">
        <v>1612</v>
      </c>
      <c r="B1514" s="3">
        <v>45782</v>
      </c>
      <c r="C1514" t="s">
        <v>82</v>
      </c>
      <c r="D1514" t="s">
        <v>62</v>
      </c>
      <c r="E1514" t="s">
        <v>79</v>
      </c>
      <c r="F1514" t="s">
        <v>80</v>
      </c>
      <c r="G1514" s="6">
        <v>1</v>
      </c>
      <c r="H1514" s="4">
        <v>73.86</v>
      </c>
      <c r="I1514" s="4">
        <v>45.01</v>
      </c>
      <c r="J1514" s="5">
        <v>0</v>
      </c>
      <c r="K1514" s="6">
        <v>3</v>
      </c>
      <c r="L1514" s="6">
        <v>5</v>
      </c>
      <c r="M1514" t="s">
        <v>58</v>
      </c>
      <c r="N1514" t="s">
        <v>59</v>
      </c>
      <c r="O1514" t="s">
        <v>60</v>
      </c>
    </row>
    <row r="1515" spans="1:15">
      <c r="A1515" t="s">
        <v>1613</v>
      </c>
      <c r="B1515" s="3">
        <v>45994</v>
      </c>
      <c r="C1515" t="s">
        <v>54</v>
      </c>
      <c r="D1515" t="s">
        <v>62</v>
      </c>
      <c r="E1515" t="s">
        <v>79</v>
      </c>
      <c r="F1515" t="s">
        <v>115</v>
      </c>
      <c r="G1515" s="6">
        <v>1</v>
      </c>
      <c r="H1515" s="4">
        <v>59.78</v>
      </c>
      <c r="I1515" s="4">
        <v>33</v>
      </c>
      <c r="J1515" s="5">
        <v>0.1</v>
      </c>
      <c r="K1515" s="6">
        <v>2</v>
      </c>
      <c r="L1515" s="6">
        <v>4</v>
      </c>
      <c r="M1515" t="s">
        <v>58</v>
      </c>
      <c r="N1515" t="s">
        <v>59</v>
      </c>
      <c r="O1515" t="s">
        <v>73</v>
      </c>
    </row>
    <row r="1516" spans="1:15">
      <c r="A1516" t="s">
        <v>1614</v>
      </c>
      <c r="B1516" s="3">
        <v>45993</v>
      </c>
      <c r="C1516" t="s">
        <v>66</v>
      </c>
      <c r="D1516" t="s">
        <v>62</v>
      </c>
      <c r="E1516" t="s">
        <v>67</v>
      </c>
      <c r="F1516" t="s">
        <v>107</v>
      </c>
      <c r="G1516" s="6">
        <v>1</v>
      </c>
      <c r="H1516" s="4">
        <v>45.59</v>
      </c>
      <c r="I1516" s="4">
        <v>21.71</v>
      </c>
      <c r="J1516" s="5">
        <v>0</v>
      </c>
      <c r="K1516" s="6">
        <v>3</v>
      </c>
      <c r="L1516" s="6">
        <v>5</v>
      </c>
      <c r="M1516" t="s">
        <v>58</v>
      </c>
      <c r="N1516" t="s">
        <v>59</v>
      </c>
      <c r="O1516" t="s">
        <v>64</v>
      </c>
    </row>
    <row r="1517" spans="1:15">
      <c r="A1517" t="s">
        <v>1615</v>
      </c>
      <c r="B1517" s="3">
        <v>45904</v>
      </c>
      <c r="C1517" t="s">
        <v>54</v>
      </c>
      <c r="D1517" t="s">
        <v>55</v>
      </c>
      <c r="E1517" t="s">
        <v>56</v>
      </c>
      <c r="F1517" t="s">
        <v>57</v>
      </c>
      <c r="G1517" s="6">
        <v>4</v>
      </c>
      <c r="H1517" s="4">
        <v>113.49</v>
      </c>
      <c r="I1517" s="4">
        <v>66.09</v>
      </c>
      <c r="J1517" s="5">
        <v>0</v>
      </c>
      <c r="K1517" s="6">
        <v>0</v>
      </c>
      <c r="L1517" s="6">
        <v>4</v>
      </c>
      <c r="M1517" t="s">
        <v>58</v>
      </c>
      <c r="N1517" t="s">
        <v>69</v>
      </c>
      <c r="O1517" t="s">
        <v>64</v>
      </c>
    </row>
    <row r="1518" spans="1:15">
      <c r="A1518" t="s">
        <v>1616</v>
      </c>
      <c r="B1518" s="3">
        <v>45967</v>
      </c>
      <c r="C1518" t="s">
        <v>66</v>
      </c>
      <c r="D1518" t="s">
        <v>129</v>
      </c>
      <c r="E1518" t="s">
        <v>75</v>
      </c>
      <c r="F1518" t="s">
        <v>76</v>
      </c>
      <c r="G1518" s="6">
        <v>5</v>
      </c>
      <c r="H1518" s="4">
        <v>124.76</v>
      </c>
      <c r="I1518" s="4">
        <v>74.650000000000006</v>
      </c>
      <c r="J1518" s="5">
        <v>0.1</v>
      </c>
      <c r="K1518" s="6">
        <v>9</v>
      </c>
      <c r="L1518" s="6">
        <v>3</v>
      </c>
      <c r="M1518" t="s">
        <v>58</v>
      </c>
      <c r="N1518" t="s">
        <v>87</v>
      </c>
      <c r="O1518" t="s">
        <v>73</v>
      </c>
    </row>
    <row r="1519" spans="1:15">
      <c r="A1519" t="s">
        <v>1617</v>
      </c>
      <c r="B1519" s="3">
        <v>45680</v>
      </c>
      <c r="C1519" t="s">
        <v>54</v>
      </c>
      <c r="D1519" t="s">
        <v>62</v>
      </c>
      <c r="E1519" t="s">
        <v>79</v>
      </c>
      <c r="F1519" t="s">
        <v>80</v>
      </c>
      <c r="G1519" s="6">
        <v>1</v>
      </c>
      <c r="H1519" s="4">
        <v>77.87</v>
      </c>
      <c r="I1519" s="4">
        <v>43.23</v>
      </c>
      <c r="J1519" s="5">
        <v>0.05</v>
      </c>
      <c r="K1519" s="6">
        <v>4</v>
      </c>
      <c r="L1519" s="6">
        <v>5</v>
      </c>
      <c r="M1519" t="s">
        <v>58</v>
      </c>
      <c r="N1519" t="s">
        <v>87</v>
      </c>
      <c r="O1519" t="s">
        <v>64</v>
      </c>
    </row>
    <row r="1520" spans="1:15">
      <c r="A1520" t="s">
        <v>1618</v>
      </c>
      <c r="B1520" s="3">
        <v>45965</v>
      </c>
      <c r="C1520" t="s">
        <v>66</v>
      </c>
      <c r="D1520" t="s">
        <v>62</v>
      </c>
      <c r="E1520" t="s">
        <v>56</v>
      </c>
      <c r="F1520" t="s">
        <v>57</v>
      </c>
      <c r="G1520" s="6">
        <v>1</v>
      </c>
      <c r="H1520" s="4">
        <v>112.44</v>
      </c>
      <c r="I1520" s="4">
        <v>68.52</v>
      </c>
      <c r="J1520" s="5">
        <v>0.15000000000000002</v>
      </c>
      <c r="K1520" s="6">
        <v>2</v>
      </c>
      <c r="L1520" s="6">
        <v>5</v>
      </c>
      <c r="M1520" t="s">
        <v>58</v>
      </c>
      <c r="N1520" t="s">
        <v>69</v>
      </c>
      <c r="O1520" t="s">
        <v>64</v>
      </c>
    </row>
    <row r="1521" spans="1:15">
      <c r="A1521" t="s">
        <v>1619</v>
      </c>
      <c r="B1521" s="3">
        <v>45751</v>
      </c>
      <c r="C1521" t="s">
        <v>78</v>
      </c>
      <c r="D1521" t="s">
        <v>62</v>
      </c>
      <c r="E1521" t="s">
        <v>75</v>
      </c>
      <c r="F1521" t="s">
        <v>146</v>
      </c>
      <c r="G1521" s="6">
        <v>1</v>
      </c>
      <c r="H1521" s="4">
        <v>181.86</v>
      </c>
      <c r="I1521" s="4">
        <v>119.93</v>
      </c>
      <c r="J1521" s="5">
        <v>0</v>
      </c>
      <c r="K1521" s="6">
        <v>7</v>
      </c>
      <c r="L1521" s="6">
        <v>4</v>
      </c>
      <c r="M1521" t="s">
        <v>58</v>
      </c>
      <c r="N1521" t="s">
        <v>59</v>
      </c>
      <c r="O1521" t="s">
        <v>64</v>
      </c>
    </row>
    <row r="1522" spans="1:15">
      <c r="A1522" t="s">
        <v>1620</v>
      </c>
      <c r="B1522" s="3">
        <v>45699</v>
      </c>
      <c r="C1522" t="s">
        <v>78</v>
      </c>
      <c r="D1522" t="s">
        <v>55</v>
      </c>
      <c r="E1522" t="s">
        <v>79</v>
      </c>
      <c r="F1522" t="s">
        <v>85</v>
      </c>
      <c r="G1522" s="6">
        <v>3</v>
      </c>
      <c r="H1522" s="4">
        <v>135.06</v>
      </c>
      <c r="I1522" s="4">
        <v>84.74</v>
      </c>
      <c r="J1522" s="5">
        <v>0</v>
      </c>
      <c r="K1522" s="6">
        <v>4</v>
      </c>
      <c r="L1522" s="6">
        <v>4</v>
      </c>
      <c r="M1522" t="s">
        <v>58</v>
      </c>
      <c r="N1522" t="s">
        <v>59</v>
      </c>
      <c r="O1522" t="s">
        <v>60</v>
      </c>
    </row>
    <row r="1523" spans="1:15">
      <c r="A1523" t="s">
        <v>1621</v>
      </c>
      <c r="B1523" s="3">
        <v>45691</v>
      </c>
      <c r="C1523" t="s">
        <v>54</v>
      </c>
      <c r="D1523" t="s">
        <v>62</v>
      </c>
      <c r="E1523" t="s">
        <v>56</v>
      </c>
      <c r="F1523" t="s">
        <v>57</v>
      </c>
      <c r="G1523" s="6">
        <v>1</v>
      </c>
      <c r="H1523" s="4">
        <v>112.42</v>
      </c>
      <c r="I1523" s="4">
        <v>68.28</v>
      </c>
      <c r="J1523" s="5">
        <v>0</v>
      </c>
      <c r="K1523" s="6">
        <v>5</v>
      </c>
      <c r="L1523" s="6">
        <v>5</v>
      </c>
      <c r="M1523" t="s">
        <v>58</v>
      </c>
      <c r="N1523" t="s">
        <v>59</v>
      </c>
      <c r="O1523" t="s">
        <v>73</v>
      </c>
    </row>
    <row r="1524" spans="1:15">
      <c r="A1524" t="s">
        <v>1622</v>
      </c>
      <c r="B1524" s="3">
        <v>45961</v>
      </c>
      <c r="C1524" t="s">
        <v>54</v>
      </c>
      <c r="D1524" t="s">
        <v>62</v>
      </c>
      <c r="E1524" t="s">
        <v>79</v>
      </c>
      <c r="F1524" t="s">
        <v>92</v>
      </c>
      <c r="G1524" s="6">
        <v>3</v>
      </c>
      <c r="H1524" s="4">
        <v>51.52</v>
      </c>
      <c r="I1524" s="4">
        <v>26.37</v>
      </c>
      <c r="J1524" s="5">
        <v>0.05</v>
      </c>
      <c r="K1524" s="6">
        <v>5</v>
      </c>
      <c r="L1524" s="6">
        <v>4</v>
      </c>
      <c r="M1524" t="s">
        <v>58</v>
      </c>
      <c r="N1524" t="s">
        <v>59</v>
      </c>
      <c r="O1524" t="s">
        <v>60</v>
      </c>
    </row>
    <row r="1525" spans="1:15">
      <c r="A1525" t="s">
        <v>1623</v>
      </c>
      <c r="B1525" s="3">
        <v>46004</v>
      </c>
      <c r="C1525" t="s">
        <v>54</v>
      </c>
      <c r="D1525" t="s">
        <v>62</v>
      </c>
      <c r="E1525" t="s">
        <v>56</v>
      </c>
      <c r="F1525" t="s">
        <v>83</v>
      </c>
      <c r="G1525" s="6">
        <v>1</v>
      </c>
      <c r="H1525" s="4">
        <v>64.34</v>
      </c>
      <c r="I1525" s="4">
        <v>36.36</v>
      </c>
      <c r="J1525" s="5">
        <v>0.15000000000000002</v>
      </c>
      <c r="K1525" s="6">
        <v>0</v>
      </c>
      <c r="L1525" s="6">
        <v>5</v>
      </c>
      <c r="M1525" t="s">
        <v>58</v>
      </c>
      <c r="N1525" t="s">
        <v>69</v>
      </c>
      <c r="O1525" t="s">
        <v>64</v>
      </c>
    </row>
    <row r="1526" spans="1:15">
      <c r="A1526" t="s">
        <v>1624</v>
      </c>
      <c r="B1526" s="3">
        <v>45974</v>
      </c>
      <c r="C1526" t="s">
        <v>66</v>
      </c>
      <c r="D1526" t="s">
        <v>62</v>
      </c>
      <c r="E1526" t="s">
        <v>67</v>
      </c>
      <c r="F1526" t="s">
        <v>68</v>
      </c>
      <c r="G1526" s="6">
        <v>1</v>
      </c>
      <c r="H1526" s="4">
        <v>40.56</v>
      </c>
      <c r="I1526" s="4">
        <v>19.940000000000001</v>
      </c>
      <c r="J1526" s="5">
        <v>0.15000000000000002</v>
      </c>
      <c r="K1526" s="6">
        <v>4</v>
      </c>
      <c r="L1526" s="6">
        <v>3</v>
      </c>
      <c r="M1526" t="s">
        <v>126</v>
      </c>
      <c r="N1526" t="s">
        <v>59</v>
      </c>
      <c r="O1526" t="s">
        <v>60</v>
      </c>
    </row>
    <row r="1527" spans="1:15">
      <c r="A1527" t="s">
        <v>1625</v>
      </c>
      <c r="B1527" s="3">
        <v>45901</v>
      </c>
      <c r="C1527" t="s">
        <v>54</v>
      </c>
      <c r="D1527" t="s">
        <v>62</v>
      </c>
      <c r="E1527" t="s">
        <v>79</v>
      </c>
      <c r="F1527" t="s">
        <v>85</v>
      </c>
      <c r="G1527" s="6">
        <v>2</v>
      </c>
      <c r="H1527" s="4">
        <v>126.35</v>
      </c>
      <c r="I1527" s="4">
        <v>82.84</v>
      </c>
      <c r="J1527" s="5">
        <v>0.1</v>
      </c>
      <c r="K1527" s="6">
        <v>4</v>
      </c>
      <c r="L1527" s="6">
        <v>4</v>
      </c>
      <c r="M1527" t="s">
        <v>58</v>
      </c>
      <c r="N1527" t="s">
        <v>69</v>
      </c>
      <c r="O1527" t="s">
        <v>64</v>
      </c>
    </row>
    <row r="1528" spans="1:15">
      <c r="A1528" t="s">
        <v>1626</v>
      </c>
      <c r="B1528" s="3">
        <v>46011</v>
      </c>
      <c r="C1528" t="s">
        <v>78</v>
      </c>
      <c r="D1528" t="s">
        <v>55</v>
      </c>
      <c r="E1528" t="s">
        <v>67</v>
      </c>
      <c r="F1528" t="s">
        <v>68</v>
      </c>
      <c r="G1528" s="6">
        <v>4</v>
      </c>
      <c r="H1528" s="4">
        <v>40.4</v>
      </c>
      <c r="I1528" s="4">
        <v>18.899999999999999</v>
      </c>
      <c r="J1528" s="5">
        <v>0.2</v>
      </c>
      <c r="K1528" s="6">
        <v>0</v>
      </c>
      <c r="L1528" s="6">
        <v>4</v>
      </c>
      <c r="M1528" t="s">
        <v>58</v>
      </c>
      <c r="N1528" t="s">
        <v>69</v>
      </c>
      <c r="O1528" t="s">
        <v>64</v>
      </c>
    </row>
    <row r="1529" spans="1:15">
      <c r="A1529" t="s">
        <v>1627</v>
      </c>
      <c r="B1529" s="3">
        <v>46010</v>
      </c>
      <c r="C1529" t="s">
        <v>66</v>
      </c>
      <c r="D1529" t="s">
        <v>129</v>
      </c>
      <c r="E1529" t="s">
        <v>79</v>
      </c>
      <c r="F1529" t="s">
        <v>115</v>
      </c>
      <c r="G1529" s="6">
        <v>4</v>
      </c>
      <c r="H1529" s="4">
        <v>58.92</v>
      </c>
      <c r="I1529" s="4">
        <v>34.28</v>
      </c>
      <c r="J1529" s="5">
        <v>0.15000000000000002</v>
      </c>
      <c r="K1529" s="6">
        <v>3</v>
      </c>
      <c r="L1529" s="6">
        <v>5</v>
      </c>
      <c r="M1529" t="s">
        <v>58</v>
      </c>
      <c r="N1529" t="s">
        <v>87</v>
      </c>
      <c r="O1529" t="s">
        <v>60</v>
      </c>
    </row>
    <row r="1530" spans="1:15">
      <c r="A1530" t="s">
        <v>1628</v>
      </c>
      <c r="B1530" s="3">
        <v>45951</v>
      </c>
      <c r="C1530" t="s">
        <v>66</v>
      </c>
      <c r="D1530" t="s">
        <v>62</v>
      </c>
      <c r="E1530" t="s">
        <v>67</v>
      </c>
      <c r="F1530" t="s">
        <v>107</v>
      </c>
      <c r="G1530" s="6">
        <v>4</v>
      </c>
      <c r="H1530" s="4">
        <v>45.87</v>
      </c>
      <c r="I1530" s="4">
        <v>21.06</v>
      </c>
      <c r="J1530" s="5">
        <v>0.05</v>
      </c>
      <c r="K1530" s="6">
        <v>4</v>
      </c>
      <c r="L1530" s="6">
        <v>5</v>
      </c>
      <c r="M1530" t="s">
        <v>58</v>
      </c>
      <c r="N1530" t="s">
        <v>59</v>
      </c>
      <c r="O1530" t="s">
        <v>73</v>
      </c>
    </row>
    <row r="1531" spans="1:15">
      <c r="A1531" t="s">
        <v>1629</v>
      </c>
      <c r="B1531" s="3">
        <v>45990</v>
      </c>
      <c r="C1531" t="s">
        <v>78</v>
      </c>
      <c r="D1531" t="s">
        <v>62</v>
      </c>
      <c r="E1531" t="s">
        <v>79</v>
      </c>
      <c r="F1531" t="s">
        <v>85</v>
      </c>
      <c r="G1531" s="6">
        <v>1</v>
      </c>
      <c r="H1531" s="4">
        <v>128.78</v>
      </c>
      <c r="I1531" s="4">
        <v>87.17</v>
      </c>
      <c r="J1531" s="5">
        <v>0.15000000000000002</v>
      </c>
      <c r="K1531" s="6">
        <v>4</v>
      </c>
      <c r="L1531" s="6">
        <v>4</v>
      </c>
      <c r="M1531" t="s">
        <v>58</v>
      </c>
      <c r="N1531" t="s">
        <v>59</v>
      </c>
      <c r="O1531" t="s">
        <v>60</v>
      </c>
    </row>
    <row r="1532" spans="1:15">
      <c r="A1532" t="s">
        <v>1630</v>
      </c>
      <c r="B1532" s="3">
        <v>45956</v>
      </c>
      <c r="C1532" t="s">
        <v>66</v>
      </c>
      <c r="D1532" t="s">
        <v>62</v>
      </c>
      <c r="E1532" t="s">
        <v>56</v>
      </c>
      <c r="F1532" t="s">
        <v>63</v>
      </c>
      <c r="G1532" s="6">
        <v>1</v>
      </c>
      <c r="H1532" s="4">
        <v>41.39</v>
      </c>
      <c r="I1532" s="4">
        <v>20.46</v>
      </c>
      <c r="J1532" s="5">
        <v>0.1</v>
      </c>
      <c r="K1532" s="6">
        <v>4</v>
      </c>
      <c r="L1532" s="6">
        <v>5</v>
      </c>
      <c r="M1532" t="s">
        <v>58</v>
      </c>
      <c r="N1532" t="s">
        <v>59</v>
      </c>
      <c r="O1532" t="s">
        <v>60</v>
      </c>
    </row>
    <row r="1533" spans="1:15">
      <c r="A1533" t="s">
        <v>1631</v>
      </c>
      <c r="B1533" s="3">
        <v>45978</v>
      </c>
      <c r="C1533" t="s">
        <v>66</v>
      </c>
      <c r="D1533" t="s">
        <v>62</v>
      </c>
      <c r="E1533" t="s">
        <v>75</v>
      </c>
      <c r="F1533" t="s">
        <v>76</v>
      </c>
      <c r="G1533" s="6">
        <v>2</v>
      </c>
      <c r="H1533" s="4">
        <v>116.75</v>
      </c>
      <c r="I1533" s="4">
        <v>75.41</v>
      </c>
      <c r="J1533" s="5">
        <v>0.15000000000000002</v>
      </c>
      <c r="K1533" s="6">
        <v>8</v>
      </c>
      <c r="L1533" s="6">
        <v>3</v>
      </c>
      <c r="M1533" t="s">
        <v>58</v>
      </c>
      <c r="N1533" t="s">
        <v>59</v>
      </c>
      <c r="O1533" t="s">
        <v>60</v>
      </c>
    </row>
    <row r="1534" spans="1:15">
      <c r="A1534" t="s">
        <v>1632</v>
      </c>
      <c r="B1534" s="3">
        <v>45749</v>
      </c>
      <c r="C1534" t="s">
        <v>54</v>
      </c>
      <c r="D1534" t="s">
        <v>62</v>
      </c>
      <c r="E1534" t="s">
        <v>67</v>
      </c>
      <c r="F1534" t="s">
        <v>71</v>
      </c>
      <c r="G1534" s="6">
        <v>1</v>
      </c>
      <c r="H1534" s="4">
        <v>71.489999999999995</v>
      </c>
      <c r="I1534" s="4">
        <v>39.630000000000003</v>
      </c>
      <c r="J1534" s="5">
        <v>0.05</v>
      </c>
      <c r="K1534" s="6">
        <v>1</v>
      </c>
      <c r="L1534" s="6">
        <v>4</v>
      </c>
      <c r="M1534" t="s">
        <v>58</v>
      </c>
      <c r="N1534" t="s">
        <v>69</v>
      </c>
      <c r="O1534" t="s">
        <v>64</v>
      </c>
    </row>
    <row r="1535" spans="1:15">
      <c r="A1535" t="s">
        <v>1633</v>
      </c>
      <c r="B1535" s="3">
        <v>45761</v>
      </c>
      <c r="C1535" t="s">
        <v>82</v>
      </c>
      <c r="D1535" t="s">
        <v>62</v>
      </c>
      <c r="E1535" t="s">
        <v>67</v>
      </c>
      <c r="F1535" t="s">
        <v>71</v>
      </c>
      <c r="G1535" s="6">
        <v>1</v>
      </c>
      <c r="H1535" s="4">
        <v>69.069999999999993</v>
      </c>
      <c r="I1535" s="4">
        <v>39.22</v>
      </c>
      <c r="J1535" s="5">
        <v>0.05</v>
      </c>
      <c r="K1535" s="6">
        <v>4</v>
      </c>
      <c r="L1535" s="6">
        <v>4</v>
      </c>
      <c r="M1535" t="s">
        <v>58</v>
      </c>
      <c r="N1535" t="s">
        <v>87</v>
      </c>
      <c r="O1535" t="s">
        <v>64</v>
      </c>
    </row>
    <row r="1536" spans="1:15">
      <c r="A1536" t="s">
        <v>1634</v>
      </c>
      <c r="B1536" s="3">
        <v>45734</v>
      </c>
      <c r="C1536" t="s">
        <v>82</v>
      </c>
      <c r="D1536" t="s">
        <v>62</v>
      </c>
      <c r="E1536" t="s">
        <v>79</v>
      </c>
      <c r="F1536" t="s">
        <v>92</v>
      </c>
      <c r="G1536" s="6">
        <v>2</v>
      </c>
      <c r="H1536" s="4">
        <v>50.47</v>
      </c>
      <c r="I1536" s="4">
        <v>25.61</v>
      </c>
      <c r="J1536" s="5">
        <v>0.05</v>
      </c>
      <c r="K1536" s="6">
        <v>4</v>
      </c>
      <c r="L1536" s="6">
        <v>5</v>
      </c>
      <c r="M1536" t="s">
        <v>58</v>
      </c>
      <c r="N1536" t="s">
        <v>59</v>
      </c>
      <c r="O1536" t="s">
        <v>64</v>
      </c>
    </row>
    <row r="1537" spans="1:15">
      <c r="A1537" t="s">
        <v>1635</v>
      </c>
      <c r="B1537" s="3">
        <v>45909</v>
      </c>
      <c r="C1537" t="s">
        <v>78</v>
      </c>
      <c r="D1537" t="s">
        <v>62</v>
      </c>
      <c r="E1537" t="s">
        <v>75</v>
      </c>
      <c r="F1537" t="s">
        <v>110</v>
      </c>
      <c r="G1537" s="6">
        <v>2</v>
      </c>
      <c r="H1537" s="4">
        <v>155.46</v>
      </c>
      <c r="I1537" s="4">
        <v>104.87</v>
      </c>
      <c r="J1537" s="5">
        <v>0</v>
      </c>
      <c r="K1537" s="6">
        <v>7</v>
      </c>
      <c r="L1537" s="6">
        <v>4</v>
      </c>
      <c r="M1537" t="s">
        <v>58</v>
      </c>
      <c r="N1537" t="s">
        <v>59</v>
      </c>
      <c r="O1537" t="s">
        <v>64</v>
      </c>
    </row>
    <row r="1538" spans="1:15">
      <c r="A1538" t="s">
        <v>1636</v>
      </c>
      <c r="B1538" s="3">
        <v>45982</v>
      </c>
      <c r="C1538" t="s">
        <v>78</v>
      </c>
      <c r="D1538" t="s">
        <v>55</v>
      </c>
      <c r="E1538" t="s">
        <v>79</v>
      </c>
      <c r="F1538" t="s">
        <v>85</v>
      </c>
      <c r="G1538" s="6">
        <v>2</v>
      </c>
      <c r="H1538" s="4">
        <v>129.97</v>
      </c>
      <c r="I1538" s="4">
        <v>84.14</v>
      </c>
      <c r="J1538" s="5">
        <v>0.1</v>
      </c>
      <c r="K1538" s="6">
        <v>4</v>
      </c>
      <c r="L1538" s="6">
        <v>2</v>
      </c>
      <c r="M1538" t="s">
        <v>126</v>
      </c>
      <c r="N1538" t="s">
        <v>59</v>
      </c>
      <c r="O1538" t="s">
        <v>60</v>
      </c>
    </row>
    <row r="1539" spans="1:15">
      <c r="A1539" t="s">
        <v>1637</v>
      </c>
      <c r="B1539" s="3">
        <v>45693</v>
      </c>
      <c r="C1539" t="s">
        <v>78</v>
      </c>
      <c r="D1539" t="s">
        <v>55</v>
      </c>
      <c r="E1539" t="s">
        <v>56</v>
      </c>
      <c r="F1539" t="s">
        <v>89</v>
      </c>
      <c r="G1539" s="6">
        <v>1</v>
      </c>
      <c r="H1539" s="4">
        <v>80.680000000000007</v>
      </c>
      <c r="I1539" s="4">
        <v>46.24</v>
      </c>
      <c r="J1539" s="5">
        <v>0</v>
      </c>
      <c r="K1539" s="6">
        <v>7</v>
      </c>
      <c r="L1539" s="6">
        <v>4</v>
      </c>
      <c r="M1539" t="s">
        <v>58</v>
      </c>
      <c r="N1539" t="s">
        <v>87</v>
      </c>
      <c r="O1539" t="s">
        <v>60</v>
      </c>
    </row>
    <row r="1540" spans="1:15">
      <c r="A1540" t="s">
        <v>1638</v>
      </c>
      <c r="B1540" s="3">
        <v>45884</v>
      </c>
      <c r="C1540" t="s">
        <v>66</v>
      </c>
      <c r="D1540" t="s">
        <v>62</v>
      </c>
      <c r="E1540" t="s">
        <v>79</v>
      </c>
      <c r="F1540" t="s">
        <v>115</v>
      </c>
      <c r="G1540" s="6">
        <v>1</v>
      </c>
      <c r="H1540" s="4">
        <v>60.75</v>
      </c>
      <c r="I1540" s="4">
        <v>33.07</v>
      </c>
      <c r="J1540" s="5">
        <v>0.1</v>
      </c>
      <c r="K1540" s="6">
        <v>7</v>
      </c>
      <c r="L1540" s="6">
        <v>3</v>
      </c>
      <c r="M1540" t="s">
        <v>58</v>
      </c>
      <c r="N1540" t="s">
        <v>59</v>
      </c>
      <c r="O1540" t="s">
        <v>60</v>
      </c>
    </row>
    <row r="1541" spans="1:15">
      <c r="A1541" t="s">
        <v>1639</v>
      </c>
      <c r="B1541" s="3">
        <v>45699</v>
      </c>
      <c r="C1541" t="s">
        <v>66</v>
      </c>
      <c r="D1541" t="s">
        <v>62</v>
      </c>
      <c r="E1541" t="s">
        <v>56</v>
      </c>
      <c r="F1541" t="s">
        <v>83</v>
      </c>
      <c r="G1541" s="6">
        <v>4</v>
      </c>
      <c r="H1541" s="4">
        <v>63.24</v>
      </c>
      <c r="I1541" s="4">
        <v>35.03</v>
      </c>
      <c r="J1541" s="5">
        <v>0.1</v>
      </c>
      <c r="K1541" s="6">
        <v>4</v>
      </c>
      <c r="L1541" s="6">
        <v>4</v>
      </c>
      <c r="M1541" t="s">
        <v>58</v>
      </c>
      <c r="N1541" t="s">
        <v>59</v>
      </c>
      <c r="O1541" t="s">
        <v>60</v>
      </c>
    </row>
    <row r="1542" spans="1:15">
      <c r="A1542" t="s">
        <v>1640</v>
      </c>
      <c r="B1542" s="3">
        <v>45887</v>
      </c>
      <c r="C1542" t="s">
        <v>78</v>
      </c>
      <c r="D1542" t="s">
        <v>62</v>
      </c>
      <c r="E1542" t="s">
        <v>67</v>
      </c>
      <c r="F1542" t="s">
        <v>107</v>
      </c>
      <c r="G1542" s="6">
        <v>1</v>
      </c>
      <c r="H1542" s="4">
        <v>44.13</v>
      </c>
      <c r="I1542" s="4">
        <v>21.38</v>
      </c>
      <c r="J1542" s="5">
        <v>0.05</v>
      </c>
      <c r="K1542" s="6">
        <v>0</v>
      </c>
      <c r="L1542" s="6">
        <v>5</v>
      </c>
      <c r="M1542" t="s">
        <v>58</v>
      </c>
      <c r="N1542" t="s">
        <v>69</v>
      </c>
      <c r="O1542" t="s">
        <v>73</v>
      </c>
    </row>
    <row r="1543" spans="1:15">
      <c r="A1543" t="s">
        <v>1641</v>
      </c>
      <c r="B1543" s="3">
        <v>46015</v>
      </c>
      <c r="C1543" t="s">
        <v>54</v>
      </c>
      <c r="D1543" t="s">
        <v>55</v>
      </c>
      <c r="E1543" t="s">
        <v>75</v>
      </c>
      <c r="F1543" t="s">
        <v>97</v>
      </c>
      <c r="G1543" s="6">
        <v>4</v>
      </c>
      <c r="H1543" s="4">
        <v>92.99</v>
      </c>
      <c r="I1543" s="4">
        <v>54.18</v>
      </c>
      <c r="J1543" s="5">
        <v>0.05</v>
      </c>
      <c r="K1543" s="6">
        <v>2</v>
      </c>
      <c r="L1543" s="6">
        <v>4</v>
      </c>
      <c r="M1543" t="s">
        <v>58</v>
      </c>
      <c r="N1543" t="s">
        <v>69</v>
      </c>
      <c r="O1543" t="s">
        <v>64</v>
      </c>
    </row>
    <row r="1544" spans="1:15">
      <c r="A1544" t="s">
        <v>1642</v>
      </c>
      <c r="B1544" s="3">
        <v>45867</v>
      </c>
      <c r="C1544" t="s">
        <v>78</v>
      </c>
      <c r="D1544" t="s">
        <v>55</v>
      </c>
      <c r="E1544" t="s">
        <v>67</v>
      </c>
      <c r="F1544" t="s">
        <v>107</v>
      </c>
      <c r="G1544" s="6">
        <v>3</v>
      </c>
      <c r="H1544" s="4">
        <v>46.06</v>
      </c>
      <c r="I1544" s="4">
        <v>20.62</v>
      </c>
      <c r="J1544" s="5">
        <v>0.1</v>
      </c>
      <c r="K1544" s="6">
        <v>0</v>
      </c>
      <c r="L1544" s="6">
        <v>4</v>
      </c>
      <c r="M1544" t="s">
        <v>58</v>
      </c>
      <c r="N1544" t="s">
        <v>69</v>
      </c>
      <c r="O1544" t="s">
        <v>60</v>
      </c>
    </row>
    <row r="1545" spans="1:15">
      <c r="A1545" t="s">
        <v>1643</v>
      </c>
      <c r="B1545" s="3">
        <v>45672</v>
      </c>
      <c r="C1545" t="s">
        <v>82</v>
      </c>
      <c r="D1545" t="s">
        <v>55</v>
      </c>
      <c r="E1545" t="s">
        <v>67</v>
      </c>
      <c r="F1545" t="s">
        <v>94</v>
      </c>
      <c r="G1545" s="6">
        <v>3</v>
      </c>
      <c r="H1545" s="4">
        <v>36.36</v>
      </c>
      <c r="I1545" s="4">
        <v>17.809999999999999</v>
      </c>
      <c r="J1545" s="5">
        <v>0</v>
      </c>
      <c r="K1545" s="6">
        <v>3</v>
      </c>
      <c r="L1545" s="6">
        <v>5</v>
      </c>
      <c r="M1545" t="s">
        <v>58</v>
      </c>
      <c r="N1545" t="s">
        <v>59</v>
      </c>
      <c r="O1545" t="s">
        <v>64</v>
      </c>
    </row>
    <row r="1546" spans="1:15">
      <c r="A1546" t="s">
        <v>1644</v>
      </c>
      <c r="B1546" s="3">
        <v>45808</v>
      </c>
      <c r="C1546" t="s">
        <v>78</v>
      </c>
      <c r="D1546" t="s">
        <v>62</v>
      </c>
      <c r="E1546" t="s">
        <v>67</v>
      </c>
      <c r="F1546" t="s">
        <v>94</v>
      </c>
      <c r="G1546" s="6">
        <v>1</v>
      </c>
      <c r="H1546" s="4">
        <v>34.700000000000003</v>
      </c>
      <c r="I1546" s="4">
        <v>17.48</v>
      </c>
      <c r="J1546" s="5">
        <v>0</v>
      </c>
      <c r="K1546" s="6">
        <v>3</v>
      </c>
      <c r="L1546" s="6">
        <v>4</v>
      </c>
      <c r="M1546" t="s">
        <v>58</v>
      </c>
      <c r="N1546" t="s">
        <v>87</v>
      </c>
      <c r="O1546" t="s">
        <v>60</v>
      </c>
    </row>
    <row r="1547" spans="1:15">
      <c r="A1547" t="s">
        <v>1645</v>
      </c>
      <c r="B1547" s="3">
        <v>45726</v>
      </c>
      <c r="C1547" t="s">
        <v>54</v>
      </c>
      <c r="D1547" t="s">
        <v>62</v>
      </c>
      <c r="E1547" t="s">
        <v>75</v>
      </c>
      <c r="F1547" t="s">
        <v>110</v>
      </c>
      <c r="G1547" s="6">
        <v>1</v>
      </c>
      <c r="H1547" s="4">
        <v>157.93</v>
      </c>
      <c r="I1547" s="4">
        <v>103.89</v>
      </c>
      <c r="J1547" s="5">
        <v>0</v>
      </c>
      <c r="K1547" s="6">
        <v>2</v>
      </c>
      <c r="L1547" s="6">
        <v>4</v>
      </c>
      <c r="M1547" t="s">
        <v>58</v>
      </c>
      <c r="N1547" t="s">
        <v>69</v>
      </c>
      <c r="O1547" t="s">
        <v>60</v>
      </c>
    </row>
    <row r="1548" spans="1:15">
      <c r="A1548" t="s">
        <v>1646</v>
      </c>
      <c r="B1548" s="3">
        <v>45761</v>
      </c>
      <c r="C1548" t="s">
        <v>66</v>
      </c>
      <c r="D1548" t="s">
        <v>62</v>
      </c>
      <c r="E1548" t="s">
        <v>56</v>
      </c>
      <c r="F1548" t="s">
        <v>63</v>
      </c>
      <c r="G1548" s="6">
        <v>1</v>
      </c>
      <c r="H1548" s="4">
        <v>40.4</v>
      </c>
      <c r="I1548" s="4">
        <v>19.98</v>
      </c>
      <c r="J1548" s="5">
        <v>0.15000000000000002</v>
      </c>
      <c r="K1548" s="6">
        <v>3</v>
      </c>
      <c r="L1548" s="6">
        <v>5</v>
      </c>
      <c r="M1548" t="s">
        <v>58</v>
      </c>
      <c r="N1548" t="s">
        <v>59</v>
      </c>
      <c r="O1548" t="s">
        <v>64</v>
      </c>
    </row>
    <row r="1549" spans="1:15">
      <c r="A1549" t="s">
        <v>1647</v>
      </c>
      <c r="B1549" s="3">
        <v>45938</v>
      </c>
      <c r="C1549" t="s">
        <v>78</v>
      </c>
      <c r="D1549" t="s">
        <v>55</v>
      </c>
      <c r="E1549" t="s">
        <v>79</v>
      </c>
      <c r="F1549" t="s">
        <v>92</v>
      </c>
      <c r="G1549" s="6">
        <v>2</v>
      </c>
      <c r="H1549" s="4">
        <v>48.7</v>
      </c>
      <c r="I1549" s="4">
        <v>25.47</v>
      </c>
      <c r="J1549" s="5">
        <v>0</v>
      </c>
      <c r="K1549" s="6">
        <v>0</v>
      </c>
      <c r="L1549" s="6">
        <v>4</v>
      </c>
      <c r="M1549" t="s">
        <v>58</v>
      </c>
      <c r="N1549" t="s">
        <v>69</v>
      </c>
      <c r="O1549" t="s">
        <v>64</v>
      </c>
    </row>
    <row r="1550" spans="1:15">
      <c r="A1550" t="s">
        <v>1648</v>
      </c>
      <c r="B1550" s="3">
        <v>45822</v>
      </c>
      <c r="C1550" t="s">
        <v>66</v>
      </c>
      <c r="D1550" t="s">
        <v>62</v>
      </c>
      <c r="E1550" t="s">
        <v>79</v>
      </c>
      <c r="F1550" t="s">
        <v>92</v>
      </c>
      <c r="G1550" s="6">
        <v>2</v>
      </c>
      <c r="H1550" s="4">
        <v>48.95</v>
      </c>
      <c r="I1550" s="4">
        <v>26.18</v>
      </c>
      <c r="J1550" s="5">
        <v>0.05</v>
      </c>
      <c r="K1550" s="6">
        <v>0</v>
      </c>
      <c r="L1550" s="6">
        <v>4</v>
      </c>
      <c r="M1550" t="s">
        <v>58</v>
      </c>
      <c r="N1550" t="s">
        <v>69</v>
      </c>
      <c r="O1550" t="s">
        <v>64</v>
      </c>
    </row>
    <row r="1551" spans="1:15">
      <c r="A1551" t="s">
        <v>1649</v>
      </c>
      <c r="B1551" s="3">
        <v>45996</v>
      </c>
      <c r="C1551" t="s">
        <v>82</v>
      </c>
      <c r="D1551" t="s">
        <v>55</v>
      </c>
      <c r="E1551" t="s">
        <v>75</v>
      </c>
      <c r="F1551" t="s">
        <v>110</v>
      </c>
      <c r="G1551" s="6">
        <v>3</v>
      </c>
      <c r="H1551" s="4">
        <v>163.44</v>
      </c>
      <c r="I1551" s="4">
        <v>101.78</v>
      </c>
      <c r="J1551" s="5">
        <v>0.1</v>
      </c>
      <c r="K1551" s="6">
        <v>3</v>
      </c>
      <c r="L1551" s="6">
        <v>4</v>
      </c>
      <c r="M1551" t="s">
        <v>58</v>
      </c>
      <c r="N1551" t="s">
        <v>59</v>
      </c>
      <c r="O1551" t="s">
        <v>60</v>
      </c>
    </row>
    <row r="1552" spans="1:15">
      <c r="A1552" t="s">
        <v>1650</v>
      </c>
      <c r="B1552" s="3">
        <v>45869</v>
      </c>
      <c r="C1552" t="s">
        <v>54</v>
      </c>
      <c r="D1552" t="s">
        <v>62</v>
      </c>
      <c r="E1552" t="s">
        <v>56</v>
      </c>
      <c r="F1552" t="s">
        <v>83</v>
      </c>
      <c r="G1552" s="6">
        <v>1</v>
      </c>
      <c r="H1552" s="4">
        <v>67.17</v>
      </c>
      <c r="I1552" s="4">
        <v>34.69</v>
      </c>
      <c r="J1552" s="5">
        <v>0</v>
      </c>
      <c r="K1552" s="6">
        <v>2</v>
      </c>
      <c r="L1552" s="6">
        <v>4</v>
      </c>
      <c r="M1552" t="s">
        <v>58</v>
      </c>
      <c r="N1552" t="s">
        <v>59</v>
      </c>
      <c r="O1552" t="s">
        <v>64</v>
      </c>
    </row>
    <row r="1553" spans="1:15">
      <c r="A1553" t="s">
        <v>1651</v>
      </c>
      <c r="B1553" s="3">
        <v>45706</v>
      </c>
      <c r="C1553" t="s">
        <v>66</v>
      </c>
      <c r="D1553" t="s">
        <v>55</v>
      </c>
      <c r="E1553" t="s">
        <v>79</v>
      </c>
      <c r="F1553" t="s">
        <v>92</v>
      </c>
      <c r="G1553" s="6">
        <v>2</v>
      </c>
      <c r="H1553" s="4">
        <v>50.26</v>
      </c>
      <c r="I1553" s="4">
        <v>25.52</v>
      </c>
      <c r="J1553" s="5">
        <v>0.05</v>
      </c>
      <c r="K1553" s="6">
        <v>2</v>
      </c>
      <c r="L1553" s="6">
        <v>4</v>
      </c>
      <c r="M1553" t="s">
        <v>58</v>
      </c>
      <c r="N1553" t="s">
        <v>59</v>
      </c>
      <c r="O1553" t="s">
        <v>73</v>
      </c>
    </row>
    <row r="1554" spans="1:15">
      <c r="A1554" t="s">
        <v>1652</v>
      </c>
      <c r="B1554" s="3">
        <v>45823</v>
      </c>
      <c r="C1554" t="s">
        <v>54</v>
      </c>
      <c r="D1554" t="s">
        <v>62</v>
      </c>
      <c r="E1554" t="s">
        <v>56</v>
      </c>
      <c r="F1554" t="s">
        <v>89</v>
      </c>
      <c r="G1554" s="6">
        <v>1</v>
      </c>
      <c r="H1554" s="4">
        <v>78.95</v>
      </c>
      <c r="I1554" s="4">
        <v>46.46</v>
      </c>
      <c r="J1554" s="5">
        <v>0.1</v>
      </c>
      <c r="K1554" s="6">
        <v>2</v>
      </c>
      <c r="L1554" s="6">
        <v>5</v>
      </c>
      <c r="M1554" t="s">
        <v>58</v>
      </c>
      <c r="N1554" t="s">
        <v>59</v>
      </c>
      <c r="O1554" t="s">
        <v>60</v>
      </c>
    </row>
    <row r="1555" spans="1:15">
      <c r="A1555" t="s">
        <v>1653</v>
      </c>
      <c r="B1555" s="3">
        <v>45862</v>
      </c>
      <c r="C1555" t="s">
        <v>54</v>
      </c>
      <c r="D1555" t="s">
        <v>62</v>
      </c>
      <c r="E1555" t="s">
        <v>79</v>
      </c>
      <c r="F1555" t="s">
        <v>80</v>
      </c>
      <c r="G1555" s="6">
        <v>1</v>
      </c>
      <c r="H1555" s="4">
        <v>73.03</v>
      </c>
      <c r="I1555" s="4">
        <v>42.05</v>
      </c>
      <c r="J1555" s="5">
        <v>0</v>
      </c>
      <c r="K1555" s="6">
        <v>3</v>
      </c>
      <c r="L1555" s="6">
        <v>4</v>
      </c>
      <c r="M1555" t="s">
        <v>58</v>
      </c>
      <c r="N1555" t="s">
        <v>87</v>
      </c>
      <c r="O1555" t="s">
        <v>60</v>
      </c>
    </row>
    <row r="1556" spans="1:15">
      <c r="A1556" t="s">
        <v>1654</v>
      </c>
      <c r="B1556" s="3">
        <v>45830</v>
      </c>
      <c r="C1556" t="s">
        <v>82</v>
      </c>
      <c r="D1556" t="s">
        <v>62</v>
      </c>
      <c r="E1556" t="s">
        <v>56</v>
      </c>
      <c r="F1556" t="s">
        <v>89</v>
      </c>
      <c r="G1556" s="6">
        <v>1</v>
      </c>
      <c r="H1556" s="4">
        <v>82.4</v>
      </c>
      <c r="I1556" s="4">
        <v>44.53</v>
      </c>
      <c r="J1556" s="5">
        <v>0.05</v>
      </c>
      <c r="K1556" s="6">
        <v>0</v>
      </c>
      <c r="L1556" s="6">
        <v>4</v>
      </c>
      <c r="M1556" t="s">
        <v>58</v>
      </c>
      <c r="N1556" t="s">
        <v>69</v>
      </c>
      <c r="O1556" t="s">
        <v>64</v>
      </c>
    </row>
    <row r="1557" spans="1:15">
      <c r="A1557" t="s">
        <v>1655</v>
      </c>
      <c r="B1557" s="3">
        <v>45828</v>
      </c>
      <c r="C1557" t="s">
        <v>54</v>
      </c>
      <c r="D1557" t="s">
        <v>62</v>
      </c>
      <c r="E1557" t="s">
        <v>79</v>
      </c>
      <c r="F1557" t="s">
        <v>92</v>
      </c>
      <c r="G1557" s="6">
        <v>2</v>
      </c>
      <c r="H1557" s="4">
        <v>50.52</v>
      </c>
      <c r="I1557" s="4">
        <v>25.32</v>
      </c>
      <c r="J1557" s="5">
        <v>0</v>
      </c>
      <c r="K1557" s="6">
        <v>3</v>
      </c>
      <c r="L1557" s="6">
        <v>4</v>
      </c>
      <c r="M1557" t="s">
        <v>58</v>
      </c>
      <c r="N1557" t="s">
        <v>69</v>
      </c>
      <c r="O1557" t="s">
        <v>64</v>
      </c>
    </row>
    <row r="1558" spans="1:15">
      <c r="A1558" t="s">
        <v>1656</v>
      </c>
      <c r="B1558" s="3">
        <v>45659</v>
      </c>
      <c r="C1558" t="s">
        <v>54</v>
      </c>
      <c r="D1558" t="s">
        <v>55</v>
      </c>
      <c r="E1558" t="s">
        <v>79</v>
      </c>
      <c r="F1558" t="s">
        <v>85</v>
      </c>
      <c r="G1558" s="6">
        <v>1</v>
      </c>
      <c r="H1558" s="4">
        <v>129.35</v>
      </c>
      <c r="I1558" s="4">
        <v>81.77</v>
      </c>
      <c r="J1558" s="5">
        <v>0</v>
      </c>
      <c r="K1558" s="6">
        <v>2</v>
      </c>
      <c r="L1558" s="6">
        <v>4</v>
      </c>
      <c r="M1558" t="s">
        <v>58</v>
      </c>
      <c r="N1558" t="s">
        <v>69</v>
      </c>
      <c r="O1558" t="s">
        <v>60</v>
      </c>
    </row>
    <row r="1559" spans="1:15">
      <c r="A1559" t="s">
        <v>1657</v>
      </c>
      <c r="B1559" s="3">
        <v>45892</v>
      </c>
      <c r="C1559" t="s">
        <v>54</v>
      </c>
      <c r="D1559" t="s">
        <v>55</v>
      </c>
      <c r="E1559" t="s">
        <v>56</v>
      </c>
      <c r="F1559" t="s">
        <v>89</v>
      </c>
      <c r="G1559" s="6">
        <v>4</v>
      </c>
      <c r="H1559" s="4">
        <v>80.23</v>
      </c>
      <c r="I1559" s="4">
        <v>45.13</v>
      </c>
      <c r="J1559" s="5">
        <v>0</v>
      </c>
      <c r="K1559" s="6">
        <v>3</v>
      </c>
      <c r="L1559" s="6">
        <v>4</v>
      </c>
      <c r="M1559" t="s">
        <v>58</v>
      </c>
      <c r="N1559" t="s">
        <v>59</v>
      </c>
      <c r="O1559" t="s">
        <v>64</v>
      </c>
    </row>
    <row r="1560" spans="1:15">
      <c r="A1560" t="s">
        <v>1658</v>
      </c>
      <c r="B1560" s="3">
        <v>45866</v>
      </c>
      <c r="C1560" t="s">
        <v>66</v>
      </c>
      <c r="D1560" t="s">
        <v>55</v>
      </c>
      <c r="E1560" t="s">
        <v>79</v>
      </c>
      <c r="F1560" t="s">
        <v>85</v>
      </c>
      <c r="G1560" s="6">
        <v>3</v>
      </c>
      <c r="H1560" s="4">
        <v>132.44</v>
      </c>
      <c r="I1560" s="4">
        <v>82.26</v>
      </c>
      <c r="J1560" s="5">
        <v>0.15000000000000002</v>
      </c>
      <c r="K1560" s="6">
        <v>2</v>
      </c>
      <c r="L1560" s="6">
        <v>4</v>
      </c>
      <c r="M1560" t="s">
        <v>58</v>
      </c>
      <c r="N1560" t="s">
        <v>59</v>
      </c>
      <c r="O1560" t="s">
        <v>73</v>
      </c>
    </row>
    <row r="1561" spans="1:15">
      <c r="A1561" t="s">
        <v>1659</v>
      </c>
      <c r="B1561" s="3">
        <v>45872</v>
      </c>
      <c r="C1561" t="s">
        <v>82</v>
      </c>
      <c r="D1561" t="s">
        <v>62</v>
      </c>
      <c r="E1561" t="s">
        <v>67</v>
      </c>
      <c r="F1561" t="s">
        <v>68</v>
      </c>
      <c r="G1561" s="6">
        <v>3</v>
      </c>
      <c r="H1561" s="4">
        <v>39.840000000000003</v>
      </c>
      <c r="I1561" s="4">
        <v>18.739999999999998</v>
      </c>
      <c r="J1561" s="5">
        <v>0</v>
      </c>
      <c r="K1561" s="6">
        <v>5</v>
      </c>
      <c r="L1561" s="6">
        <v>4</v>
      </c>
      <c r="M1561" t="s">
        <v>58</v>
      </c>
      <c r="N1561" t="s">
        <v>59</v>
      </c>
      <c r="O1561" t="s">
        <v>73</v>
      </c>
    </row>
    <row r="1562" spans="1:15">
      <c r="A1562" t="s">
        <v>1660</v>
      </c>
      <c r="B1562" s="3">
        <v>45857</v>
      </c>
      <c r="C1562" t="s">
        <v>54</v>
      </c>
      <c r="D1562" t="s">
        <v>62</v>
      </c>
      <c r="E1562" t="s">
        <v>56</v>
      </c>
      <c r="F1562" t="s">
        <v>83</v>
      </c>
      <c r="G1562" s="6">
        <v>1</v>
      </c>
      <c r="H1562" s="4">
        <v>65.25</v>
      </c>
      <c r="I1562" s="4">
        <v>34.42</v>
      </c>
      <c r="J1562" s="5">
        <v>0</v>
      </c>
      <c r="K1562" s="6">
        <v>0</v>
      </c>
      <c r="L1562" s="6">
        <v>5</v>
      </c>
      <c r="M1562" t="s">
        <v>58</v>
      </c>
      <c r="N1562" t="s">
        <v>69</v>
      </c>
      <c r="O1562" t="s">
        <v>64</v>
      </c>
    </row>
    <row r="1563" spans="1:15">
      <c r="A1563" t="s">
        <v>1661</v>
      </c>
      <c r="B1563" s="3">
        <v>45699</v>
      </c>
      <c r="C1563" t="s">
        <v>78</v>
      </c>
      <c r="D1563" t="s">
        <v>62</v>
      </c>
      <c r="E1563" t="s">
        <v>56</v>
      </c>
      <c r="F1563" t="s">
        <v>63</v>
      </c>
      <c r="G1563" s="6">
        <v>1</v>
      </c>
      <c r="H1563" s="4">
        <v>40.83</v>
      </c>
      <c r="I1563" s="4">
        <v>20.87</v>
      </c>
      <c r="J1563" s="5">
        <v>0</v>
      </c>
      <c r="K1563" s="6">
        <v>1</v>
      </c>
      <c r="L1563" s="6">
        <v>4</v>
      </c>
      <c r="M1563" t="s">
        <v>58</v>
      </c>
      <c r="N1563" t="s">
        <v>69</v>
      </c>
      <c r="O1563" t="s">
        <v>73</v>
      </c>
    </row>
    <row r="1564" spans="1:15">
      <c r="A1564" t="s">
        <v>1662</v>
      </c>
      <c r="B1564" s="3">
        <v>46021</v>
      </c>
      <c r="C1564" t="s">
        <v>1447</v>
      </c>
      <c r="D1564" t="s">
        <v>62</v>
      </c>
      <c r="E1564" t="s">
        <v>75</v>
      </c>
      <c r="F1564" t="s">
        <v>97</v>
      </c>
      <c r="G1564" s="6">
        <v>1</v>
      </c>
      <c r="H1564" s="4">
        <v>92.66</v>
      </c>
      <c r="I1564" s="4">
        <v>54.06</v>
      </c>
      <c r="J1564" s="5">
        <v>0</v>
      </c>
      <c r="K1564" s="6">
        <v>7</v>
      </c>
      <c r="L1564" s="6">
        <v>4</v>
      </c>
      <c r="M1564" t="s">
        <v>58</v>
      </c>
      <c r="N1564" t="s">
        <v>59</v>
      </c>
      <c r="O1564" t="s">
        <v>64</v>
      </c>
    </row>
    <row r="1565" spans="1:15">
      <c r="A1565" t="s">
        <v>1663</v>
      </c>
      <c r="B1565" s="3">
        <v>45932</v>
      </c>
      <c r="C1565" t="s">
        <v>54</v>
      </c>
      <c r="D1565" t="s">
        <v>62</v>
      </c>
      <c r="E1565" t="s">
        <v>67</v>
      </c>
      <c r="F1565" t="s">
        <v>71</v>
      </c>
      <c r="G1565" s="6">
        <v>1</v>
      </c>
      <c r="H1565" s="4">
        <v>70.48</v>
      </c>
      <c r="I1565" s="4">
        <v>38.54</v>
      </c>
      <c r="J1565" s="5">
        <v>0.1</v>
      </c>
      <c r="K1565" s="6">
        <v>4</v>
      </c>
      <c r="L1565" s="6">
        <v>5</v>
      </c>
      <c r="M1565" t="s">
        <v>58</v>
      </c>
      <c r="N1565" t="s">
        <v>87</v>
      </c>
      <c r="O1565" t="s">
        <v>64</v>
      </c>
    </row>
    <row r="1566" spans="1:15">
      <c r="A1566" t="s">
        <v>1664</v>
      </c>
      <c r="B1566" s="3">
        <v>46017</v>
      </c>
      <c r="C1566" t="s">
        <v>78</v>
      </c>
      <c r="D1566" t="s">
        <v>62</v>
      </c>
      <c r="E1566" t="s">
        <v>79</v>
      </c>
      <c r="F1566" t="s">
        <v>80</v>
      </c>
      <c r="G1566" s="6">
        <v>3</v>
      </c>
      <c r="H1566" s="4">
        <v>77.95</v>
      </c>
      <c r="I1566" s="4">
        <v>42.4</v>
      </c>
      <c r="J1566" s="5">
        <v>0.05</v>
      </c>
      <c r="K1566" s="6">
        <v>2</v>
      </c>
      <c r="L1566" s="6">
        <v>5</v>
      </c>
      <c r="M1566" t="s">
        <v>58</v>
      </c>
      <c r="N1566" t="s">
        <v>59</v>
      </c>
      <c r="O1566" t="s">
        <v>73</v>
      </c>
    </row>
    <row r="1567" spans="1:15">
      <c r="A1567" t="s">
        <v>1665</v>
      </c>
      <c r="B1567" s="3">
        <v>45924</v>
      </c>
      <c r="C1567" t="s">
        <v>78</v>
      </c>
      <c r="D1567" t="s">
        <v>129</v>
      </c>
      <c r="E1567" t="s">
        <v>79</v>
      </c>
      <c r="F1567" t="s">
        <v>85</v>
      </c>
      <c r="G1567" s="6">
        <v>8</v>
      </c>
      <c r="H1567" s="4">
        <v>129.94999999999999</v>
      </c>
      <c r="I1567" s="4">
        <v>86.91</v>
      </c>
      <c r="J1567" s="5">
        <v>0.05</v>
      </c>
      <c r="K1567" s="6">
        <v>4</v>
      </c>
      <c r="L1567" s="6">
        <v>4</v>
      </c>
      <c r="M1567" t="s">
        <v>58</v>
      </c>
      <c r="N1567" t="s">
        <v>59</v>
      </c>
      <c r="O1567" t="s">
        <v>64</v>
      </c>
    </row>
    <row r="1568" spans="1:15">
      <c r="A1568" t="s">
        <v>1666</v>
      </c>
      <c r="B1568" s="3">
        <v>45774</v>
      </c>
      <c r="C1568" t="s">
        <v>82</v>
      </c>
      <c r="D1568" t="s">
        <v>129</v>
      </c>
      <c r="E1568" t="s">
        <v>67</v>
      </c>
      <c r="F1568" t="s">
        <v>68</v>
      </c>
      <c r="G1568" s="6">
        <v>4</v>
      </c>
      <c r="H1568" s="4">
        <v>39.270000000000003</v>
      </c>
      <c r="I1568" s="4">
        <v>18.62</v>
      </c>
      <c r="J1568" s="5">
        <v>0.05</v>
      </c>
      <c r="K1568" s="6">
        <v>2</v>
      </c>
      <c r="L1568" s="6"/>
      <c r="M1568" t="s">
        <v>58</v>
      </c>
      <c r="N1568" t="s">
        <v>69</v>
      </c>
      <c r="O1568" t="s">
        <v>73</v>
      </c>
    </row>
    <row r="1569" spans="1:15">
      <c r="A1569" t="s">
        <v>1667</v>
      </c>
      <c r="B1569" s="3">
        <v>45756</v>
      </c>
      <c r="C1569" t="s">
        <v>66</v>
      </c>
      <c r="D1569" t="s">
        <v>62</v>
      </c>
      <c r="E1569" t="s">
        <v>67</v>
      </c>
      <c r="F1569" t="s">
        <v>107</v>
      </c>
      <c r="G1569" s="6">
        <v>1</v>
      </c>
      <c r="H1569" s="4">
        <v>43.99</v>
      </c>
      <c r="I1569" s="4">
        <v>20.69</v>
      </c>
      <c r="J1569" s="5">
        <v>0.1</v>
      </c>
      <c r="K1569" s="6">
        <v>4</v>
      </c>
      <c r="L1569" s="6">
        <v>5</v>
      </c>
      <c r="M1569" t="s">
        <v>58</v>
      </c>
      <c r="N1569" t="s">
        <v>59</v>
      </c>
      <c r="O1569" t="s">
        <v>64</v>
      </c>
    </row>
    <row r="1570" spans="1:15">
      <c r="A1570" t="s">
        <v>1668</v>
      </c>
      <c r="B1570" s="3">
        <v>45967</v>
      </c>
      <c r="C1570" t="s">
        <v>54</v>
      </c>
      <c r="D1570" t="s">
        <v>129</v>
      </c>
      <c r="E1570" t="s">
        <v>56</v>
      </c>
      <c r="F1570" t="s">
        <v>83</v>
      </c>
      <c r="G1570" s="6">
        <v>4</v>
      </c>
      <c r="H1570" s="4">
        <v>67.53</v>
      </c>
      <c r="I1570" s="4">
        <v>35.82</v>
      </c>
      <c r="J1570" s="5">
        <v>0.1</v>
      </c>
      <c r="K1570" s="6">
        <v>3</v>
      </c>
      <c r="L1570" s="6">
        <v>5</v>
      </c>
      <c r="M1570" t="s">
        <v>58</v>
      </c>
      <c r="N1570" t="s">
        <v>59</v>
      </c>
      <c r="O1570" t="s">
        <v>64</v>
      </c>
    </row>
    <row r="1571" spans="1:15">
      <c r="A1571" t="s">
        <v>1669</v>
      </c>
      <c r="B1571" s="3">
        <v>45877</v>
      </c>
      <c r="C1571" t="s">
        <v>78</v>
      </c>
      <c r="D1571" t="s">
        <v>62</v>
      </c>
      <c r="E1571" t="s">
        <v>75</v>
      </c>
      <c r="F1571" t="s">
        <v>146</v>
      </c>
      <c r="G1571" s="6">
        <v>1</v>
      </c>
      <c r="H1571" s="4">
        <v>177.89</v>
      </c>
      <c r="I1571" s="4">
        <v>116.11</v>
      </c>
      <c r="J1571" s="5">
        <v>0.05</v>
      </c>
      <c r="K1571" s="6">
        <v>5</v>
      </c>
      <c r="L1571" s="6"/>
      <c r="M1571" t="s">
        <v>126</v>
      </c>
      <c r="N1571" t="s">
        <v>59</v>
      </c>
      <c r="O1571" t="s">
        <v>73</v>
      </c>
    </row>
    <row r="1572" spans="1:15">
      <c r="A1572" t="s">
        <v>1670</v>
      </c>
      <c r="B1572" s="3">
        <v>46009</v>
      </c>
      <c r="C1572" t="s">
        <v>78</v>
      </c>
      <c r="D1572" t="s">
        <v>62</v>
      </c>
      <c r="E1572" t="s">
        <v>79</v>
      </c>
      <c r="F1572" t="s">
        <v>115</v>
      </c>
      <c r="G1572" s="6">
        <v>2</v>
      </c>
      <c r="H1572" s="4">
        <v>58.71</v>
      </c>
      <c r="I1572" s="4">
        <v>33.130000000000003</v>
      </c>
      <c r="J1572" s="5">
        <v>0.05</v>
      </c>
      <c r="K1572" s="6">
        <v>5</v>
      </c>
      <c r="L1572" s="6">
        <v>4</v>
      </c>
      <c r="M1572" t="s">
        <v>58</v>
      </c>
      <c r="N1572" t="s">
        <v>59</v>
      </c>
      <c r="O1572" t="s">
        <v>64</v>
      </c>
    </row>
    <row r="1573" spans="1:15">
      <c r="A1573" t="s">
        <v>1671</v>
      </c>
      <c r="B1573" s="3">
        <v>45910</v>
      </c>
      <c r="C1573" t="s">
        <v>54</v>
      </c>
      <c r="D1573" t="s">
        <v>62</v>
      </c>
      <c r="E1573" t="s">
        <v>79</v>
      </c>
      <c r="F1573" t="s">
        <v>80</v>
      </c>
      <c r="G1573" s="6">
        <v>1</v>
      </c>
      <c r="H1573" s="4">
        <v>73.78</v>
      </c>
      <c r="I1573" s="4">
        <v>42.8</v>
      </c>
      <c r="J1573" s="5">
        <v>0.1</v>
      </c>
      <c r="K1573" s="6">
        <v>3</v>
      </c>
      <c r="L1573" s="6">
        <v>5</v>
      </c>
      <c r="M1573" t="s">
        <v>58</v>
      </c>
      <c r="N1573" t="s">
        <v>59</v>
      </c>
      <c r="O1573" t="s">
        <v>64</v>
      </c>
    </row>
    <row r="1574" spans="1:15">
      <c r="A1574" t="s">
        <v>1672</v>
      </c>
      <c r="B1574" s="3">
        <v>45964</v>
      </c>
      <c r="C1574" t="s">
        <v>54</v>
      </c>
      <c r="D1574" t="s">
        <v>55</v>
      </c>
      <c r="E1574" t="s">
        <v>79</v>
      </c>
      <c r="F1574" t="s">
        <v>80</v>
      </c>
      <c r="G1574" s="6">
        <v>1</v>
      </c>
      <c r="H1574" s="4">
        <v>73.48</v>
      </c>
      <c r="I1574" s="4">
        <v>43.15</v>
      </c>
      <c r="J1574" s="5">
        <v>0</v>
      </c>
      <c r="K1574" s="6">
        <v>5</v>
      </c>
      <c r="L1574" s="6">
        <v>4</v>
      </c>
      <c r="M1574" t="s">
        <v>58</v>
      </c>
      <c r="N1574" t="s">
        <v>59</v>
      </c>
      <c r="O1574" t="s">
        <v>64</v>
      </c>
    </row>
    <row r="1575" spans="1:15">
      <c r="A1575" t="s">
        <v>1673</v>
      </c>
      <c r="B1575" s="3">
        <v>45827</v>
      </c>
      <c r="C1575" t="s">
        <v>78</v>
      </c>
      <c r="D1575" t="s">
        <v>62</v>
      </c>
      <c r="E1575" t="s">
        <v>79</v>
      </c>
      <c r="F1575" t="s">
        <v>92</v>
      </c>
      <c r="G1575" s="6">
        <v>2</v>
      </c>
      <c r="H1575" s="4">
        <v>51.84</v>
      </c>
      <c r="I1575" s="4">
        <v>25.81</v>
      </c>
      <c r="J1575" s="5">
        <v>0</v>
      </c>
      <c r="K1575" s="6">
        <v>1</v>
      </c>
      <c r="L1575" s="6">
        <v>5</v>
      </c>
      <c r="M1575" t="s">
        <v>58</v>
      </c>
      <c r="N1575" t="s">
        <v>69</v>
      </c>
      <c r="O1575" t="s">
        <v>64</v>
      </c>
    </row>
    <row r="1576" spans="1:15">
      <c r="A1576" t="s">
        <v>1674</v>
      </c>
      <c r="B1576" s="3">
        <v>45707</v>
      </c>
      <c r="C1576" t="s">
        <v>54</v>
      </c>
      <c r="D1576" t="s">
        <v>129</v>
      </c>
      <c r="E1576" t="s">
        <v>56</v>
      </c>
      <c r="F1576" t="s">
        <v>57</v>
      </c>
      <c r="G1576" s="6">
        <v>10</v>
      </c>
      <c r="H1576" s="4">
        <v>113.99</v>
      </c>
      <c r="I1576" s="4">
        <v>65.400000000000006</v>
      </c>
      <c r="J1576" s="5">
        <v>0.1</v>
      </c>
      <c r="K1576" s="6">
        <v>2</v>
      </c>
      <c r="L1576" s="6">
        <v>5</v>
      </c>
      <c r="M1576" t="s">
        <v>58</v>
      </c>
      <c r="N1576" t="s">
        <v>69</v>
      </c>
      <c r="O1576" t="s">
        <v>60</v>
      </c>
    </row>
    <row r="1577" spans="1:15">
      <c r="A1577" t="s">
        <v>1675</v>
      </c>
      <c r="B1577" s="3">
        <v>45768</v>
      </c>
      <c r="C1577" t="s">
        <v>54</v>
      </c>
      <c r="D1577" t="s">
        <v>62</v>
      </c>
      <c r="E1577" t="s">
        <v>67</v>
      </c>
      <c r="F1577" t="s">
        <v>71</v>
      </c>
      <c r="G1577" s="6">
        <v>1</v>
      </c>
      <c r="H1577" s="4">
        <v>69.540000000000006</v>
      </c>
      <c r="I1577" s="4">
        <v>38.880000000000003</v>
      </c>
      <c r="J1577" s="5">
        <v>0</v>
      </c>
      <c r="K1577" s="6">
        <v>4</v>
      </c>
      <c r="L1577" s="6">
        <v>4</v>
      </c>
      <c r="M1577" t="s">
        <v>126</v>
      </c>
      <c r="N1577" t="s">
        <v>59</v>
      </c>
      <c r="O1577" t="s">
        <v>73</v>
      </c>
    </row>
    <row r="1578" spans="1:15">
      <c r="A1578" t="s">
        <v>1676</v>
      </c>
      <c r="B1578" s="3">
        <v>45984</v>
      </c>
      <c r="C1578" t="s">
        <v>82</v>
      </c>
      <c r="D1578" t="s">
        <v>62</v>
      </c>
      <c r="E1578" t="s">
        <v>75</v>
      </c>
      <c r="F1578" t="s">
        <v>76</v>
      </c>
      <c r="G1578" s="6">
        <v>1</v>
      </c>
      <c r="H1578" s="4">
        <v>121.47</v>
      </c>
      <c r="I1578" s="4">
        <v>74.98</v>
      </c>
      <c r="J1578" s="5">
        <v>0.05</v>
      </c>
      <c r="K1578" s="6">
        <v>2</v>
      </c>
      <c r="L1578" s="6">
        <v>4</v>
      </c>
      <c r="M1578" t="s">
        <v>58</v>
      </c>
      <c r="N1578" t="s">
        <v>69</v>
      </c>
      <c r="O1578" t="s">
        <v>60</v>
      </c>
    </row>
    <row r="1579" spans="1:15">
      <c r="A1579" t="s">
        <v>1677</v>
      </c>
      <c r="B1579" s="3">
        <v>45744</v>
      </c>
      <c r="C1579" t="s">
        <v>78</v>
      </c>
      <c r="D1579" t="s">
        <v>55</v>
      </c>
      <c r="E1579" t="s">
        <v>79</v>
      </c>
      <c r="F1579" t="s">
        <v>80</v>
      </c>
      <c r="G1579" s="6">
        <v>2</v>
      </c>
      <c r="H1579" s="4">
        <v>77.849999999999994</v>
      </c>
      <c r="I1579" s="4">
        <v>43.98</v>
      </c>
      <c r="J1579" s="5">
        <v>0.05</v>
      </c>
      <c r="K1579" s="6">
        <v>1</v>
      </c>
      <c r="L1579" s="6">
        <v>3</v>
      </c>
      <c r="M1579" t="s">
        <v>126</v>
      </c>
      <c r="N1579" t="s">
        <v>69</v>
      </c>
      <c r="O1579" t="s">
        <v>64</v>
      </c>
    </row>
    <row r="1580" spans="1:15">
      <c r="A1580" t="s">
        <v>1678</v>
      </c>
      <c r="B1580" s="3">
        <v>45822</v>
      </c>
      <c r="C1580" t="s">
        <v>82</v>
      </c>
      <c r="D1580" t="s">
        <v>62</v>
      </c>
      <c r="E1580" t="s">
        <v>56</v>
      </c>
      <c r="F1580" t="s">
        <v>83</v>
      </c>
      <c r="G1580" s="6">
        <v>2</v>
      </c>
      <c r="H1580" s="4">
        <v>64.38</v>
      </c>
      <c r="I1580" s="4">
        <v>34.409999999999997</v>
      </c>
      <c r="J1580" s="5">
        <v>0.1</v>
      </c>
      <c r="K1580" s="6">
        <v>4</v>
      </c>
      <c r="L1580" s="6">
        <v>5</v>
      </c>
      <c r="M1580" t="s">
        <v>58</v>
      </c>
      <c r="N1580" t="s">
        <v>59</v>
      </c>
      <c r="O1580" t="s">
        <v>64</v>
      </c>
    </row>
    <row r="1581" spans="1:15">
      <c r="A1581" t="s">
        <v>1679</v>
      </c>
      <c r="B1581" s="3">
        <v>45916</v>
      </c>
      <c r="C1581" t="s">
        <v>66</v>
      </c>
      <c r="D1581" t="s">
        <v>62</v>
      </c>
      <c r="E1581" t="s">
        <v>75</v>
      </c>
      <c r="F1581" t="s">
        <v>110</v>
      </c>
      <c r="G1581" s="6">
        <v>3</v>
      </c>
      <c r="H1581" s="4">
        <v>156.32</v>
      </c>
      <c r="I1581" s="4">
        <v>98.66</v>
      </c>
      <c r="J1581" s="5">
        <v>0.1</v>
      </c>
      <c r="K1581" s="6">
        <v>6</v>
      </c>
      <c r="L1581" s="6">
        <v>4</v>
      </c>
      <c r="M1581" t="s">
        <v>58</v>
      </c>
      <c r="N1581" t="s">
        <v>59</v>
      </c>
      <c r="O1581" t="s">
        <v>64</v>
      </c>
    </row>
    <row r="1582" spans="1:15">
      <c r="A1582" t="s">
        <v>1680</v>
      </c>
      <c r="B1582" s="3">
        <v>45793</v>
      </c>
      <c r="C1582" t="s">
        <v>54</v>
      </c>
      <c r="D1582" t="s">
        <v>129</v>
      </c>
      <c r="E1582" t="s">
        <v>79</v>
      </c>
      <c r="F1582" t="s">
        <v>92</v>
      </c>
      <c r="G1582" s="6">
        <v>5</v>
      </c>
      <c r="H1582" s="4">
        <v>49.68</v>
      </c>
      <c r="I1582" s="4">
        <v>25.49</v>
      </c>
      <c r="J1582" s="5">
        <v>0.1</v>
      </c>
      <c r="K1582" s="6">
        <v>3</v>
      </c>
      <c r="L1582" s="6">
        <v>5</v>
      </c>
      <c r="M1582" t="s">
        <v>58</v>
      </c>
      <c r="N1582" t="s">
        <v>59</v>
      </c>
      <c r="O1582" t="s">
        <v>64</v>
      </c>
    </row>
    <row r="1583" spans="1:15">
      <c r="A1583" t="s">
        <v>1681</v>
      </c>
      <c r="B1583" s="3">
        <v>45684</v>
      </c>
      <c r="C1583" t="s">
        <v>78</v>
      </c>
      <c r="D1583" t="s">
        <v>55</v>
      </c>
      <c r="E1583" t="s">
        <v>67</v>
      </c>
      <c r="F1583" t="s">
        <v>94</v>
      </c>
      <c r="G1583" s="6">
        <v>2</v>
      </c>
      <c r="H1583" s="4">
        <v>35.6</v>
      </c>
      <c r="I1583" s="4">
        <v>16.649999999999999</v>
      </c>
      <c r="J1583" s="5">
        <v>0.05</v>
      </c>
      <c r="K1583" s="6">
        <v>4</v>
      </c>
      <c r="L1583" s="6">
        <v>5</v>
      </c>
      <c r="M1583" t="s">
        <v>58</v>
      </c>
      <c r="N1583" t="s">
        <v>59</v>
      </c>
      <c r="O1583" t="s">
        <v>73</v>
      </c>
    </row>
    <row r="1584" spans="1:15">
      <c r="A1584" t="s">
        <v>1682</v>
      </c>
      <c r="B1584" s="3">
        <v>45809</v>
      </c>
      <c r="C1584" t="s">
        <v>66</v>
      </c>
      <c r="D1584" t="s">
        <v>62</v>
      </c>
      <c r="E1584" t="s">
        <v>75</v>
      </c>
      <c r="F1584" t="s">
        <v>110</v>
      </c>
      <c r="G1584" s="6">
        <v>4</v>
      </c>
      <c r="H1584" s="4">
        <v>159</v>
      </c>
      <c r="I1584" s="4">
        <v>103.13</v>
      </c>
      <c r="J1584" s="5">
        <v>0</v>
      </c>
      <c r="K1584" s="6">
        <v>2</v>
      </c>
      <c r="L1584" s="6">
        <v>5</v>
      </c>
      <c r="M1584" t="s">
        <v>58</v>
      </c>
      <c r="N1584" t="s">
        <v>69</v>
      </c>
      <c r="O1584" t="s">
        <v>64</v>
      </c>
    </row>
    <row r="1585" spans="1:15">
      <c r="A1585" t="s">
        <v>1683</v>
      </c>
      <c r="B1585" s="3">
        <v>45964</v>
      </c>
      <c r="C1585" t="s">
        <v>54</v>
      </c>
      <c r="D1585" t="s">
        <v>62</v>
      </c>
      <c r="E1585" t="s">
        <v>75</v>
      </c>
      <c r="F1585" t="s">
        <v>110</v>
      </c>
      <c r="G1585" s="6">
        <v>1</v>
      </c>
      <c r="H1585" s="4">
        <v>161.65</v>
      </c>
      <c r="I1585" s="4">
        <v>101.16</v>
      </c>
      <c r="J1585" s="5">
        <v>0.05</v>
      </c>
      <c r="K1585" s="6">
        <v>3</v>
      </c>
      <c r="L1585" s="6">
        <v>4</v>
      </c>
      <c r="M1585" t="s">
        <v>58</v>
      </c>
      <c r="N1585" t="s">
        <v>59</v>
      </c>
      <c r="O1585" t="s">
        <v>64</v>
      </c>
    </row>
    <row r="1586" spans="1:15">
      <c r="A1586" t="s">
        <v>1684</v>
      </c>
      <c r="B1586" s="3">
        <v>45969</v>
      </c>
      <c r="C1586" t="s">
        <v>78</v>
      </c>
      <c r="D1586" t="s">
        <v>62</v>
      </c>
      <c r="E1586" t="s">
        <v>67</v>
      </c>
      <c r="F1586" t="s">
        <v>68</v>
      </c>
      <c r="G1586" s="6">
        <v>2</v>
      </c>
      <c r="H1586" s="4">
        <v>40.479999999999997</v>
      </c>
      <c r="I1586" s="4">
        <v>19.52</v>
      </c>
      <c r="J1586" s="5">
        <v>0.1</v>
      </c>
      <c r="K1586" s="6">
        <v>3</v>
      </c>
      <c r="L1586" s="6">
        <v>4</v>
      </c>
      <c r="M1586" t="s">
        <v>58</v>
      </c>
      <c r="N1586" t="s">
        <v>59</v>
      </c>
      <c r="O1586" t="s">
        <v>64</v>
      </c>
    </row>
    <row r="1587" spans="1:15">
      <c r="A1587" t="s">
        <v>1685</v>
      </c>
      <c r="B1587" s="3">
        <v>45951</v>
      </c>
      <c r="C1587" t="s">
        <v>82</v>
      </c>
      <c r="D1587" t="s">
        <v>62</v>
      </c>
      <c r="E1587" t="s">
        <v>79</v>
      </c>
      <c r="F1587" t="s">
        <v>85</v>
      </c>
      <c r="G1587" s="6">
        <v>3</v>
      </c>
      <c r="H1587" s="4">
        <v>133.96</v>
      </c>
      <c r="I1587" s="4">
        <v>85.9</v>
      </c>
      <c r="J1587" s="5">
        <v>0.05</v>
      </c>
      <c r="K1587" s="6">
        <v>0</v>
      </c>
      <c r="L1587" s="6">
        <v>3</v>
      </c>
      <c r="M1587" t="s">
        <v>126</v>
      </c>
      <c r="N1587" t="s">
        <v>69</v>
      </c>
      <c r="O1587" t="s">
        <v>73</v>
      </c>
    </row>
    <row r="1588" spans="1:15">
      <c r="A1588" t="s">
        <v>1686</v>
      </c>
      <c r="B1588" s="3">
        <v>45787</v>
      </c>
      <c r="C1588" t="s">
        <v>82</v>
      </c>
      <c r="D1588" t="s">
        <v>62</v>
      </c>
      <c r="E1588" t="s">
        <v>56</v>
      </c>
      <c r="F1588" t="s">
        <v>57</v>
      </c>
      <c r="G1588" s="6">
        <v>1</v>
      </c>
      <c r="H1588" s="4">
        <v>106.7</v>
      </c>
      <c r="I1588" s="4">
        <v>65.040000000000006</v>
      </c>
      <c r="J1588" s="5">
        <v>0.05</v>
      </c>
      <c r="K1588" s="6">
        <v>2</v>
      </c>
      <c r="L1588" s="6">
        <v>4</v>
      </c>
      <c r="M1588" t="s">
        <v>58</v>
      </c>
      <c r="N1588" t="s">
        <v>59</v>
      </c>
      <c r="O1588" t="s">
        <v>64</v>
      </c>
    </row>
    <row r="1589" spans="1:15">
      <c r="A1589" t="s">
        <v>1687</v>
      </c>
      <c r="B1589" s="3">
        <v>45973</v>
      </c>
      <c r="C1589" t="s">
        <v>54</v>
      </c>
      <c r="D1589" t="s">
        <v>62</v>
      </c>
      <c r="E1589" t="s">
        <v>79</v>
      </c>
      <c r="F1589" t="s">
        <v>85</v>
      </c>
      <c r="G1589" s="6">
        <v>2</v>
      </c>
      <c r="H1589" s="4">
        <v>129.27000000000001</v>
      </c>
      <c r="I1589" s="4">
        <v>86.75</v>
      </c>
      <c r="J1589" s="5">
        <v>0.15000000000000002</v>
      </c>
      <c r="K1589" s="6">
        <v>1</v>
      </c>
      <c r="L1589" s="6">
        <v>4</v>
      </c>
      <c r="M1589" t="s">
        <v>58</v>
      </c>
      <c r="N1589" t="s">
        <v>69</v>
      </c>
      <c r="O1589" t="s">
        <v>64</v>
      </c>
    </row>
    <row r="1590" spans="1:15">
      <c r="A1590" t="s">
        <v>1688</v>
      </c>
      <c r="B1590" s="3">
        <v>45713</v>
      </c>
      <c r="C1590" t="s">
        <v>54</v>
      </c>
      <c r="D1590" t="s">
        <v>62</v>
      </c>
      <c r="E1590" t="s">
        <v>67</v>
      </c>
      <c r="F1590" t="s">
        <v>107</v>
      </c>
      <c r="G1590" s="6">
        <v>2</v>
      </c>
      <c r="H1590" s="4">
        <v>46.67</v>
      </c>
      <c r="I1590" s="4">
        <v>22.02</v>
      </c>
      <c r="J1590" s="5">
        <v>0</v>
      </c>
      <c r="K1590" s="6">
        <v>3</v>
      </c>
      <c r="L1590" s="6">
        <v>5</v>
      </c>
      <c r="M1590" t="s">
        <v>58</v>
      </c>
      <c r="N1590" t="s">
        <v>69</v>
      </c>
      <c r="O1590" t="s">
        <v>64</v>
      </c>
    </row>
    <row r="1591" spans="1:15">
      <c r="A1591" t="s">
        <v>1689</v>
      </c>
      <c r="B1591" s="3" t="s">
        <v>1690</v>
      </c>
      <c r="C1591" t="s">
        <v>82</v>
      </c>
      <c r="D1591" t="s">
        <v>62</v>
      </c>
      <c r="E1591" t="s">
        <v>79</v>
      </c>
      <c r="F1591" t="s">
        <v>115</v>
      </c>
      <c r="G1591" s="6">
        <v>3</v>
      </c>
      <c r="H1591" s="4">
        <v>62.07</v>
      </c>
      <c r="I1591" s="4">
        <v>34.82</v>
      </c>
      <c r="J1591" s="5">
        <v>0.15000000000000002</v>
      </c>
      <c r="K1591" s="6">
        <v>2</v>
      </c>
      <c r="L1591" s="6">
        <v>5</v>
      </c>
      <c r="M1591" t="s">
        <v>58</v>
      </c>
      <c r="N1591" t="s">
        <v>69</v>
      </c>
      <c r="O1591" t="s">
        <v>64</v>
      </c>
    </row>
    <row r="1592" spans="1:15">
      <c r="A1592" t="s">
        <v>1691</v>
      </c>
      <c r="B1592" s="3">
        <v>45812</v>
      </c>
      <c r="C1592" t="s">
        <v>78</v>
      </c>
      <c r="D1592" t="s">
        <v>55</v>
      </c>
      <c r="E1592" t="s">
        <v>56</v>
      </c>
      <c r="F1592" t="s">
        <v>57</v>
      </c>
      <c r="G1592" s="6">
        <v>2</v>
      </c>
      <c r="H1592" s="4">
        <v>109.71</v>
      </c>
      <c r="I1592" s="4">
        <v>68.86</v>
      </c>
      <c r="J1592" s="5">
        <v>0.05</v>
      </c>
      <c r="K1592" s="6">
        <v>3</v>
      </c>
      <c r="L1592" s="6">
        <v>5</v>
      </c>
      <c r="M1592" t="s">
        <v>58</v>
      </c>
      <c r="N1592" t="s">
        <v>59</v>
      </c>
      <c r="O1592" t="s">
        <v>60</v>
      </c>
    </row>
    <row r="1593" spans="1:15">
      <c r="A1593" t="s">
        <v>1692</v>
      </c>
      <c r="B1593" s="3">
        <v>46020</v>
      </c>
      <c r="C1593" t="s">
        <v>54</v>
      </c>
      <c r="D1593" t="s">
        <v>55</v>
      </c>
      <c r="E1593" t="s">
        <v>56</v>
      </c>
      <c r="F1593" t="s">
        <v>89</v>
      </c>
      <c r="G1593" s="6">
        <v>1</v>
      </c>
      <c r="H1593" s="4">
        <v>78.58</v>
      </c>
      <c r="I1593" s="4">
        <v>46.5</v>
      </c>
      <c r="J1593" s="5">
        <v>0.1</v>
      </c>
      <c r="K1593" s="6">
        <v>3</v>
      </c>
      <c r="L1593" s="6">
        <v>5</v>
      </c>
      <c r="M1593" t="s">
        <v>58</v>
      </c>
      <c r="N1593" t="s">
        <v>69</v>
      </c>
      <c r="O1593" t="s">
        <v>64</v>
      </c>
    </row>
    <row r="1594" spans="1:15">
      <c r="A1594" t="s">
        <v>1693</v>
      </c>
      <c r="B1594" s="3">
        <v>45886</v>
      </c>
      <c r="C1594" t="s">
        <v>82</v>
      </c>
      <c r="D1594" t="s">
        <v>55</v>
      </c>
      <c r="E1594" t="s">
        <v>56</v>
      </c>
      <c r="F1594" t="s">
        <v>89</v>
      </c>
      <c r="G1594" s="6">
        <v>3</v>
      </c>
      <c r="H1594" s="4">
        <v>80.53</v>
      </c>
      <c r="I1594" s="4">
        <v>46.4</v>
      </c>
      <c r="J1594" s="5">
        <v>0.05</v>
      </c>
      <c r="K1594" s="6">
        <v>4</v>
      </c>
      <c r="L1594" s="6">
        <v>5</v>
      </c>
      <c r="M1594" t="s">
        <v>58</v>
      </c>
      <c r="N1594" t="s">
        <v>59</v>
      </c>
      <c r="O1594" t="s">
        <v>60</v>
      </c>
    </row>
    <row r="1595" spans="1:15">
      <c r="A1595" t="s">
        <v>1694</v>
      </c>
      <c r="B1595" s="3">
        <v>45726</v>
      </c>
      <c r="C1595" t="s">
        <v>54</v>
      </c>
      <c r="D1595" t="s">
        <v>55</v>
      </c>
      <c r="E1595" t="s">
        <v>56</v>
      </c>
      <c r="F1595" t="s">
        <v>83</v>
      </c>
      <c r="G1595" s="6">
        <v>2</v>
      </c>
      <c r="H1595" s="4">
        <v>64.680000000000007</v>
      </c>
      <c r="I1595" s="4">
        <v>35.97</v>
      </c>
      <c r="J1595" s="5">
        <v>0.05</v>
      </c>
      <c r="K1595" s="6">
        <v>0</v>
      </c>
      <c r="L1595" s="6">
        <v>5</v>
      </c>
      <c r="M1595" t="s">
        <v>58</v>
      </c>
      <c r="N1595" t="s">
        <v>69</v>
      </c>
      <c r="O1595" t="s">
        <v>64</v>
      </c>
    </row>
    <row r="1596" spans="1:15">
      <c r="A1596" t="s">
        <v>1695</v>
      </c>
      <c r="B1596" s="3">
        <v>45828</v>
      </c>
      <c r="C1596" t="s">
        <v>82</v>
      </c>
      <c r="D1596" t="s">
        <v>62</v>
      </c>
      <c r="E1596" t="s">
        <v>67</v>
      </c>
      <c r="F1596" t="s">
        <v>68</v>
      </c>
      <c r="G1596" s="6">
        <v>1</v>
      </c>
      <c r="H1596" s="4">
        <v>39.520000000000003</v>
      </c>
      <c r="I1596" s="4">
        <v>19.52</v>
      </c>
      <c r="J1596" s="5">
        <v>0.05</v>
      </c>
      <c r="K1596" s="6">
        <v>6</v>
      </c>
      <c r="L1596" s="6">
        <v>2</v>
      </c>
      <c r="M1596" t="s">
        <v>126</v>
      </c>
      <c r="N1596" t="s">
        <v>59</v>
      </c>
      <c r="O1596" t="s">
        <v>64</v>
      </c>
    </row>
    <row r="1597" spans="1:15">
      <c r="A1597" t="s">
        <v>1696</v>
      </c>
      <c r="B1597" s="3">
        <v>45902</v>
      </c>
      <c r="C1597" t="s">
        <v>66</v>
      </c>
      <c r="D1597" t="s">
        <v>62</v>
      </c>
      <c r="E1597" t="s">
        <v>56</v>
      </c>
      <c r="F1597" t="s">
        <v>63</v>
      </c>
      <c r="G1597" s="6">
        <v>1</v>
      </c>
      <c r="H1597" s="4">
        <v>40.06</v>
      </c>
      <c r="I1597" s="4">
        <v>20.9</v>
      </c>
      <c r="J1597" s="5">
        <v>0.05</v>
      </c>
      <c r="K1597" s="6">
        <v>3</v>
      </c>
      <c r="L1597" s="6">
        <v>4</v>
      </c>
      <c r="M1597" t="s">
        <v>58</v>
      </c>
      <c r="N1597" t="s">
        <v>59</v>
      </c>
      <c r="O1597" t="s">
        <v>60</v>
      </c>
    </row>
    <row r="1598" spans="1:15">
      <c r="A1598" t="s">
        <v>1697</v>
      </c>
      <c r="B1598" s="3">
        <v>45928</v>
      </c>
      <c r="C1598" t="s">
        <v>66</v>
      </c>
      <c r="D1598" t="s">
        <v>62</v>
      </c>
      <c r="E1598" t="s">
        <v>79</v>
      </c>
      <c r="F1598" t="s">
        <v>80</v>
      </c>
      <c r="G1598" s="6">
        <v>1</v>
      </c>
      <c r="H1598" s="4">
        <v>77.19</v>
      </c>
      <c r="I1598" s="4">
        <v>42.92</v>
      </c>
      <c r="J1598" s="5">
        <v>0.2</v>
      </c>
      <c r="K1598" s="6">
        <v>4</v>
      </c>
      <c r="L1598" s="6">
        <v>4</v>
      </c>
      <c r="M1598" t="s">
        <v>58</v>
      </c>
      <c r="N1598" t="s">
        <v>59</v>
      </c>
      <c r="O1598" t="s">
        <v>60</v>
      </c>
    </row>
    <row r="1599" spans="1:15">
      <c r="A1599" t="s">
        <v>1698</v>
      </c>
      <c r="B1599" s="3">
        <v>45704</v>
      </c>
      <c r="C1599" t="s">
        <v>66</v>
      </c>
      <c r="D1599" t="s">
        <v>129</v>
      </c>
      <c r="E1599" t="s">
        <v>67</v>
      </c>
      <c r="F1599" t="s">
        <v>107</v>
      </c>
      <c r="G1599" s="6">
        <v>5</v>
      </c>
      <c r="H1599" s="4">
        <v>46.74</v>
      </c>
      <c r="I1599" s="4">
        <v>20.63</v>
      </c>
      <c r="J1599" s="5">
        <v>0.2</v>
      </c>
      <c r="K1599" s="6">
        <v>7</v>
      </c>
      <c r="L1599" s="6">
        <v>4</v>
      </c>
      <c r="M1599" t="s">
        <v>58</v>
      </c>
      <c r="N1599" t="s">
        <v>59</v>
      </c>
      <c r="O1599" t="s">
        <v>64</v>
      </c>
    </row>
    <row r="1600" spans="1:15">
      <c r="A1600" t="s">
        <v>1699</v>
      </c>
      <c r="B1600" s="3">
        <v>45843</v>
      </c>
      <c r="C1600" t="s">
        <v>305</v>
      </c>
      <c r="D1600" t="s">
        <v>62</v>
      </c>
      <c r="E1600" t="s">
        <v>75</v>
      </c>
      <c r="F1600" t="s">
        <v>76</v>
      </c>
      <c r="G1600" s="6">
        <v>1</v>
      </c>
      <c r="H1600" s="4">
        <v>121.92</v>
      </c>
      <c r="I1600" s="4">
        <v>74.430000000000007</v>
      </c>
      <c r="J1600" s="5">
        <v>0.05</v>
      </c>
      <c r="K1600" s="6">
        <v>8</v>
      </c>
      <c r="L1600" s="6">
        <v>4</v>
      </c>
      <c r="M1600" t="s">
        <v>58</v>
      </c>
      <c r="N1600" t="s">
        <v>59</v>
      </c>
      <c r="O1600" t="s">
        <v>60</v>
      </c>
    </row>
    <row r="1601" spans="1:15">
      <c r="A1601" t="s">
        <v>1700</v>
      </c>
      <c r="B1601" s="3">
        <v>45687</v>
      </c>
      <c r="C1601" t="s">
        <v>82</v>
      </c>
      <c r="D1601" t="s">
        <v>62</v>
      </c>
      <c r="E1601" t="s">
        <v>79</v>
      </c>
      <c r="F1601" t="s">
        <v>92</v>
      </c>
      <c r="G1601" s="6">
        <v>1</v>
      </c>
      <c r="H1601" s="4">
        <v>50.86</v>
      </c>
      <c r="I1601" s="4">
        <v>26.93</v>
      </c>
      <c r="J1601" s="5">
        <v>0</v>
      </c>
      <c r="K1601" s="6">
        <v>0</v>
      </c>
      <c r="L1601" s="6">
        <v>5</v>
      </c>
      <c r="M1601" t="s">
        <v>58</v>
      </c>
      <c r="N1601" t="s">
        <v>69</v>
      </c>
      <c r="O1601" t="s">
        <v>64</v>
      </c>
    </row>
    <row r="1602" spans="1:15">
      <c r="A1602" t="s">
        <v>1701</v>
      </c>
      <c r="B1602" s="3">
        <v>45677</v>
      </c>
      <c r="C1602" t="s">
        <v>66</v>
      </c>
      <c r="D1602" t="s">
        <v>129</v>
      </c>
      <c r="E1602" t="s">
        <v>67</v>
      </c>
      <c r="F1602" t="s">
        <v>71</v>
      </c>
      <c r="G1602" s="6">
        <v>4</v>
      </c>
      <c r="H1602" s="4">
        <v>69.569999999999993</v>
      </c>
      <c r="I1602" s="4">
        <v>38.14</v>
      </c>
      <c r="J1602" s="5">
        <v>0.2</v>
      </c>
      <c r="K1602" s="6">
        <v>3</v>
      </c>
      <c r="L1602" s="6">
        <v>4</v>
      </c>
      <c r="M1602" t="s">
        <v>58</v>
      </c>
      <c r="N1602" t="s">
        <v>69</v>
      </c>
      <c r="O1602" t="s">
        <v>64</v>
      </c>
    </row>
    <row r="1603" spans="1:15">
      <c r="A1603" t="s">
        <v>1702</v>
      </c>
      <c r="B1603" s="3">
        <v>45947</v>
      </c>
      <c r="C1603" t="s">
        <v>78</v>
      </c>
      <c r="D1603" t="s">
        <v>62</v>
      </c>
      <c r="E1603" t="s">
        <v>56</v>
      </c>
      <c r="F1603" t="s">
        <v>83</v>
      </c>
      <c r="G1603" s="6">
        <v>3</v>
      </c>
      <c r="H1603" s="4">
        <v>64.14</v>
      </c>
      <c r="I1603" s="4">
        <v>35.85</v>
      </c>
      <c r="J1603" s="5">
        <v>0</v>
      </c>
      <c r="K1603" s="6">
        <v>0</v>
      </c>
      <c r="L1603" s="6">
        <v>5</v>
      </c>
      <c r="M1603" t="s">
        <v>58</v>
      </c>
      <c r="N1603" t="s">
        <v>69</v>
      </c>
      <c r="O1603" t="s">
        <v>64</v>
      </c>
    </row>
    <row r="1604" spans="1:15">
      <c r="A1604" t="s">
        <v>1703</v>
      </c>
      <c r="B1604" s="3">
        <v>46016</v>
      </c>
      <c r="C1604" t="s">
        <v>66</v>
      </c>
      <c r="D1604" t="s">
        <v>62</v>
      </c>
      <c r="E1604" t="s">
        <v>67</v>
      </c>
      <c r="F1604" t="s">
        <v>94</v>
      </c>
      <c r="G1604" s="6">
        <v>2</v>
      </c>
      <c r="H1604" s="4">
        <v>35.5</v>
      </c>
      <c r="I1604" s="4">
        <v>17.09</v>
      </c>
      <c r="J1604" s="5">
        <v>0.15000000000000002</v>
      </c>
      <c r="K1604" s="6">
        <v>3</v>
      </c>
      <c r="L1604" s="6">
        <v>4</v>
      </c>
      <c r="M1604" t="s">
        <v>58</v>
      </c>
      <c r="N1604" t="s">
        <v>69</v>
      </c>
      <c r="O1604" t="s">
        <v>60</v>
      </c>
    </row>
    <row r="1605" spans="1:15">
      <c r="A1605" t="s">
        <v>1704</v>
      </c>
      <c r="B1605" s="3">
        <v>45917</v>
      </c>
      <c r="C1605" t="s">
        <v>78</v>
      </c>
      <c r="D1605" t="s">
        <v>62</v>
      </c>
      <c r="E1605" t="s">
        <v>67</v>
      </c>
      <c r="F1605" t="s">
        <v>71</v>
      </c>
      <c r="G1605" s="6">
        <v>1</v>
      </c>
      <c r="H1605" s="4">
        <v>68.709999999999994</v>
      </c>
      <c r="I1605" s="4">
        <v>39.08</v>
      </c>
      <c r="J1605" s="5">
        <v>0</v>
      </c>
      <c r="K1605" s="6">
        <v>0</v>
      </c>
      <c r="L1605" s="6">
        <v>4</v>
      </c>
      <c r="M1605" t="s">
        <v>58</v>
      </c>
      <c r="N1605" t="s">
        <v>69</v>
      </c>
      <c r="O1605" t="s">
        <v>73</v>
      </c>
    </row>
    <row r="1606" spans="1:15">
      <c r="A1606" t="s">
        <v>1705</v>
      </c>
      <c r="B1606" s="3">
        <v>45930</v>
      </c>
      <c r="C1606" t="s">
        <v>82</v>
      </c>
      <c r="D1606" t="s">
        <v>62</v>
      </c>
      <c r="E1606" t="s">
        <v>75</v>
      </c>
      <c r="F1606" t="s">
        <v>146</v>
      </c>
      <c r="G1606" s="6">
        <v>1</v>
      </c>
      <c r="H1606" s="4">
        <v>181.06</v>
      </c>
      <c r="I1606" s="4">
        <v>117.05</v>
      </c>
      <c r="J1606" s="5">
        <v>0</v>
      </c>
      <c r="K1606" s="6">
        <v>3</v>
      </c>
      <c r="L1606" s="6">
        <v>4</v>
      </c>
      <c r="M1606" t="s">
        <v>58</v>
      </c>
      <c r="N1606" t="s">
        <v>59</v>
      </c>
      <c r="O1606" t="s">
        <v>73</v>
      </c>
    </row>
    <row r="1607" spans="1:15">
      <c r="A1607" t="s">
        <v>1706</v>
      </c>
      <c r="B1607" s="3">
        <v>45824</v>
      </c>
      <c r="C1607" t="s">
        <v>66</v>
      </c>
      <c r="D1607" t="s">
        <v>129</v>
      </c>
      <c r="E1607" t="s">
        <v>67</v>
      </c>
      <c r="F1607" t="s">
        <v>68</v>
      </c>
      <c r="G1607" s="6">
        <v>6</v>
      </c>
      <c r="H1607" s="4">
        <v>41.03</v>
      </c>
      <c r="I1607" s="4">
        <v>18.899999999999999</v>
      </c>
      <c r="J1607" s="5">
        <v>0.1</v>
      </c>
      <c r="K1607" s="6">
        <v>1</v>
      </c>
      <c r="L1607" s="6">
        <v>4</v>
      </c>
      <c r="M1607" t="s">
        <v>58</v>
      </c>
      <c r="N1607" t="s">
        <v>69</v>
      </c>
      <c r="O1607" t="s">
        <v>60</v>
      </c>
    </row>
    <row r="1608" spans="1:15">
      <c r="A1608" t="s">
        <v>1707</v>
      </c>
      <c r="B1608" s="3">
        <v>45939</v>
      </c>
      <c r="C1608" t="s">
        <v>82</v>
      </c>
      <c r="D1608" t="s">
        <v>62</v>
      </c>
      <c r="E1608" t="s">
        <v>56</v>
      </c>
      <c r="F1608" t="s">
        <v>89</v>
      </c>
      <c r="G1608" s="6">
        <v>3</v>
      </c>
      <c r="H1608" s="4">
        <v>77.66</v>
      </c>
      <c r="I1608" s="4">
        <v>45.59</v>
      </c>
      <c r="J1608" s="5">
        <v>0</v>
      </c>
      <c r="K1608" s="6">
        <v>3</v>
      </c>
      <c r="L1608" s="6">
        <v>4</v>
      </c>
      <c r="M1608" t="s">
        <v>58</v>
      </c>
      <c r="N1608" t="s">
        <v>87</v>
      </c>
      <c r="O1608" t="s">
        <v>64</v>
      </c>
    </row>
    <row r="1609" spans="1:15">
      <c r="A1609" t="s">
        <v>1708</v>
      </c>
      <c r="B1609" s="3">
        <v>45950</v>
      </c>
      <c r="C1609" t="s">
        <v>66</v>
      </c>
      <c r="D1609" t="s">
        <v>62</v>
      </c>
      <c r="E1609" t="s">
        <v>56</v>
      </c>
      <c r="F1609" t="s">
        <v>57</v>
      </c>
      <c r="G1609" s="6">
        <v>1</v>
      </c>
      <c r="H1609" s="4">
        <v>112.74</v>
      </c>
      <c r="I1609" s="4">
        <v>65.28</v>
      </c>
      <c r="J1609" s="5">
        <v>0.1</v>
      </c>
      <c r="K1609" s="6">
        <v>3</v>
      </c>
      <c r="L1609" s="6">
        <v>4</v>
      </c>
      <c r="M1609" t="s">
        <v>58</v>
      </c>
      <c r="N1609" t="s">
        <v>59</v>
      </c>
      <c r="O1609" t="s">
        <v>64</v>
      </c>
    </row>
    <row r="1610" spans="1:15">
      <c r="A1610" t="s">
        <v>1709</v>
      </c>
      <c r="B1610" s="3">
        <v>45772</v>
      </c>
      <c r="C1610" t="s">
        <v>78</v>
      </c>
      <c r="D1610" t="s">
        <v>62</v>
      </c>
      <c r="E1610" t="s">
        <v>75</v>
      </c>
      <c r="F1610" t="s">
        <v>76</v>
      </c>
      <c r="G1610" s="6">
        <v>1</v>
      </c>
      <c r="H1610" s="4">
        <v>119.77</v>
      </c>
      <c r="I1610" s="4">
        <v>72.819999999999993</v>
      </c>
      <c r="J1610" s="5">
        <v>0.05</v>
      </c>
      <c r="K1610" s="6">
        <v>4</v>
      </c>
      <c r="L1610" s="6">
        <v>4</v>
      </c>
      <c r="M1610" t="s">
        <v>58</v>
      </c>
      <c r="N1610" t="s">
        <v>69</v>
      </c>
      <c r="O1610" t="s">
        <v>64</v>
      </c>
    </row>
    <row r="1611" spans="1:15">
      <c r="A1611" t="s">
        <v>1710</v>
      </c>
      <c r="B1611" s="3">
        <v>45784</v>
      </c>
      <c r="C1611" t="s">
        <v>66</v>
      </c>
      <c r="D1611" t="s">
        <v>55</v>
      </c>
      <c r="E1611" t="s">
        <v>67</v>
      </c>
      <c r="F1611" t="s">
        <v>107</v>
      </c>
      <c r="G1611" s="6">
        <v>3</v>
      </c>
      <c r="H1611" s="4">
        <v>46.48</v>
      </c>
      <c r="I1611" s="4">
        <v>21.56</v>
      </c>
      <c r="J1611" s="5">
        <v>0.1</v>
      </c>
      <c r="K1611" s="6">
        <v>1</v>
      </c>
      <c r="L1611" s="6">
        <v>4</v>
      </c>
      <c r="M1611" t="s">
        <v>58</v>
      </c>
      <c r="N1611" t="s">
        <v>69</v>
      </c>
      <c r="O1611" t="s">
        <v>60</v>
      </c>
    </row>
    <row r="1612" spans="1:15">
      <c r="A1612" t="s">
        <v>1711</v>
      </c>
      <c r="B1612" s="3">
        <v>45992</v>
      </c>
      <c r="C1612" t="s">
        <v>82</v>
      </c>
      <c r="D1612" t="s">
        <v>62</v>
      </c>
      <c r="E1612" t="s">
        <v>75</v>
      </c>
      <c r="F1612" t="s">
        <v>146</v>
      </c>
      <c r="G1612" s="6">
        <v>2</v>
      </c>
      <c r="H1612" s="4">
        <v>179.21</v>
      </c>
      <c r="I1612" s="4">
        <v>120.24</v>
      </c>
      <c r="J1612" s="5">
        <v>0.05</v>
      </c>
      <c r="K1612" s="6">
        <v>4</v>
      </c>
      <c r="L1612" s="6">
        <v>4</v>
      </c>
      <c r="M1612" t="s">
        <v>58</v>
      </c>
      <c r="N1612" t="s">
        <v>59</v>
      </c>
      <c r="O1612" t="s">
        <v>73</v>
      </c>
    </row>
    <row r="1613" spans="1:15">
      <c r="A1613" t="s">
        <v>1712</v>
      </c>
      <c r="B1613" s="3">
        <v>45966</v>
      </c>
      <c r="C1613" t="s">
        <v>78</v>
      </c>
      <c r="D1613" t="s">
        <v>55</v>
      </c>
      <c r="E1613" t="s">
        <v>75</v>
      </c>
      <c r="F1613" t="s">
        <v>146</v>
      </c>
      <c r="G1613" s="6">
        <v>6</v>
      </c>
      <c r="H1613" s="4">
        <v>179.72</v>
      </c>
      <c r="I1613" s="4">
        <v>111.74</v>
      </c>
      <c r="J1613" s="5">
        <v>0.1</v>
      </c>
      <c r="K1613" s="6">
        <v>2</v>
      </c>
      <c r="L1613" s="6">
        <v>4</v>
      </c>
      <c r="M1613" t="s">
        <v>58</v>
      </c>
      <c r="N1613" t="s">
        <v>69</v>
      </c>
      <c r="O1613" t="s">
        <v>64</v>
      </c>
    </row>
    <row r="1614" spans="1:15">
      <c r="A1614" t="s">
        <v>1713</v>
      </c>
      <c r="B1614" s="3">
        <v>45777</v>
      </c>
      <c r="C1614" t="s">
        <v>78</v>
      </c>
      <c r="D1614" t="s">
        <v>62</v>
      </c>
      <c r="E1614" t="s">
        <v>75</v>
      </c>
      <c r="F1614" t="s">
        <v>97</v>
      </c>
      <c r="G1614" s="6">
        <v>2</v>
      </c>
      <c r="H1614" s="4">
        <v>91.8</v>
      </c>
      <c r="I1614" s="4">
        <v>54.8</v>
      </c>
      <c r="J1614" s="5">
        <v>0.05</v>
      </c>
      <c r="K1614" s="6">
        <v>3</v>
      </c>
      <c r="L1614" s="6">
        <v>5</v>
      </c>
      <c r="M1614" t="s">
        <v>58</v>
      </c>
      <c r="N1614" t="s">
        <v>59</v>
      </c>
      <c r="O1614" t="s">
        <v>64</v>
      </c>
    </row>
    <row r="1615" spans="1:15">
      <c r="A1615" t="s">
        <v>1714</v>
      </c>
      <c r="B1615" s="3">
        <v>45891</v>
      </c>
      <c r="C1615" t="s">
        <v>82</v>
      </c>
      <c r="D1615" t="s">
        <v>62</v>
      </c>
      <c r="E1615" t="s">
        <v>56</v>
      </c>
      <c r="F1615" t="s">
        <v>57</v>
      </c>
      <c r="G1615" s="6">
        <v>3</v>
      </c>
      <c r="H1615" s="4">
        <v>113.53</v>
      </c>
      <c r="I1615" s="4">
        <v>68.45</v>
      </c>
      <c r="J1615" s="5">
        <v>0.1</v>
      </c>
      <c r="K1615" s="6">
        <v>4</v>
      </c>
      <c r="L1615" s="6">
        <v>3</v>
      </c>
      <c r="M1615" t="s">
        <v>126</v>
      </c>
      <c r="N1615" t="s">
        <v>59</v>
      </c>
      <c r="O1615" t="s">
        <v>64</v>
      </c>
    </row>
    <row r="1616" spans="1:15">
      <c r="A1616" t="s">
        <v>1715</v>
      </c>
      <c r="B1616" s="3">
        <v>45988</v>
      </c>
      <c r="C1616" t="s">
        <v>66</v>
      </c>
      <c r="D1616" t="s">
        <v>62</v>
      </c>
      <c r="E1616" t="s">
        <v>79</v>
      </c>
      <c r="F1616" t="s">
        <v>80</v>
      </c>
      <c r="G1616" s="6">
        <v>2</v>
      </c>
      <c r="H1616" s="4">
        <v>74.959999999999994</v>
      </c>
      <c r="I1616" s="4">
        <v>41.74</v>
      </c>
      <c r="J1616" s="5">
        <v>0</v>
      </c>
      <c r="K1616" s="6">
        <v>1</v>
      </c>
      <c r="L1616" s="6">
        <v>5</v>
      </c>
      <c r="M1616" t="s">
        <v>58</v>
      </c>
      <c r="N1616" t="s">
        <v>69</v>
      </c>
      <c r="O1616" t="s">
        <v>64</v>
      </c>
    </row>
    <row r="1617" spans="1:15">
      <c r="A1617" t="s">
        <v>1716</v>
      </c>
      <c r="B1617" s="3">
        <v>45671</v>
      </c>
      <c r="C1617" t="s">
        <v>82</v>
      </c>
      <c r="D1617" t="s">
        <v>62</v>
      </c>
      <c r="E1617" t="s">
        <v>56</v>
      </c>
      <c r="F1617" t="s">
        <v>89</v>
      </c>
      <c r="G1617" s="6">
        <v>3</v>
      </c>
      <c r="H1617" s="4">
        <v>79.400000000000006</v>
      </c>
      <c r="I1617" s="4">
        <v>44.63</v>
      </c>
      <c r="J1617" s="5">
        <v>0</v>
      </c>
      <c r="K1617" s="6">
        <v>0</v>
      </c>
      <c r="L1617" s="6">
        <v>4</v>
      </c>
      <c r="M1617" t="s">
        <v>58</v>
      </c>
      <c r="N1617" t="s">
        <v>69</v>
      </c>
      <c r="O1617" t="s">
        <v>73</v>
      </c>
    </row>
    <row r="1618" spans="1:15">
      <c r="A1618" t="s">
        <v>1717</v>
      </c>
      <c r="B1618" s="3">
        <v>45899</v>
      </c>
      <c r="C1618" t="s">
        <v>78</v>
      </c>
      <c r="D1618" t="s">
        <v>62</v>
      </c>
      <c r="E1618" t="s">
        <v>56</v>
      </c>
      <c r="F1618" t="s">
        <v>63</v>
      </c>
      <c r="G1618" s="6">
        <v>2</v>
      </c>
      <c r="H1618" s="4">
        <v>40.549999999999997</v>
      </c>
      <c r="I1618" s="4">
        <v>20.32</v>
      </c>
      <c r="J1618" s="5">
        <v>0</v>
      </c>
      <c r="K1618" s="6">
        <v>4</v>
      </c>
      <c r="L1618" s="6">
        <v>5</v>
      </c>
      <c r="M1618" t="s">
        <v>58</v>
      </c>
      <c r="N1618" t="s">
        <v>59</v>
      </c>
      <c r="O1618" t="s">
        <v>64</v>
      </c>
    </row>
    <row r="1619" spans="1:15">
      <c r="A1619" t="s">
        <v>1718</v>
      </c>
      <c r="B1619" s="3">
        <v>45954</v>
      </c>
      <c r="C1619" t="s">
        <v>54</v>
      </c>
      <c r="D1619" t="s">
        <v>62</v>
      </c>
      <c r="E1619" t="s">
        <v>79</v>
      </c>
      <c r="F1619" t="s">
        <v>80</v>
      </c>
      <c r="G1619" s="6">
        <v>1</v>
      </c>
      <c r="H1619" s="4">
        <v>76.88</v>
      </c>
      <c r="I1619" s="4">
        <v>42.21</v>
      </c>
      <c r="J1619" s="5">
        <v>0</v>
      </c>
      <c r="K1619" s="6">
        <v>3</v>
      </c>
      <c r="L1619" s="6">
        <v>4</v>
      </c>
      <c r="M1619" t="s">
        <v>58</v>
      </c>
      <c r="N1619" t="s">
        <v>87</v>
      </c>
      <c r="O1619" t="s">
        <v>60</v>
      </c>
    </row>
    <row r="1620" spans="1:15">
      <c r="A1620" t="s">
        <v>1719</v>
      </c>
      <c r="B1620" s="3">
        <v>45898</v>
      </c>
      <c r="C1620" t="s">
        <v>66</v>
      </c>
      <c r="D1620" t="s">
        <v>62</v>
      </c>
      <c r="E1620" t="s">
        <v>79</v>
      </c>
      <c r="F1620" t="s">
        <v>85</v>
      </c>
      <c r="G1620" s="6">
        <v>1</v>
      </c>
      <c r="H1620" s="4">
        <v>134.5</v>
      </c>
      <c r="I1620" s="4">
        <v>84.4</v>
      </c>
      <c r="J1620" s="5">
        <v>0.05</v>
      </c>
      <c r="K1620" s="6">
        <v>3</v>
      </c>
      <c r="L1620" s="6">
        <v>3</v>
      </c>
      <c r="M1620" t="s">
        <v>126</v>
      </c>
      <c r="N1620" t="s">
        <v>59</v>
      </c>
      <c r="O1620" t="s">
        <v>64</v>
      </c>
    </row>
    <row r="1621" spans="1:15">
      <c r="A1621" t="s">
        <v>1720</v>
      </c>
      <c r="B1621" s="3">
        <v>45956</v>
      </c>
      <c r="C1621" t="s">
        <v>82</v>
      </c>
      <c r="D1621" t="s">
        <v>55</v>
      </c>
      <c r="E1621" t="s">
        <v>56</v>
      </c>
      <c r="F1621" t="s">
        <v>57</v>
      </c>
      <c r="G1621" s="6">
        <v>2</v>
      </c>
      <c r="H1621" s="4">
        <v>112.11</v>
      </c>
      <c r="I1621" s="4">
        <v>69.06</v>
      </c>
      <c r="J1621" s="5">
        <v>0</v>
      </c>
      <c r="K1621" s="6">
        <v>1</v>
      </c>
      <c r="L1621" s="6">
        <v>5</v>
      </c>
      <c r="M1621" t="s">
        <v>58</v>
      </c>
      <c r="N1621" t="s">
        <v>69</v>
      </c>
      <c r="O1621" t="s">
        <v>64</v>
      </c>
    </row>
    <row r="1622" spans="1:15">
      <c r="A1622" t="s">
        <v>1721</v>
      </c>
      <c r="B1622" s="3">
        <v>45867</v>
      </c>
      <c r="C1622" t="s">
        <v>78</v>
      </c>
      <c r="D1622" t="s">
        <v>62</v>
      </c>
      <c r="E1622" t="s">
        <v>67</v>
      </c>
      <c r="F1622" t="s">
        <v>107</v>
      </c>
      <c r="G1622" s="6">
        <v>1</v>
      </c>
      <c r="H1622" s="4">
        <v>44.41</v>
      </c>
      <c r="I1622" s="4">
        <v>20.95</v>
      </c>
      <c r="J1622" s="5">
        <v>0</v>
      </c>
      <c r="K1622" s="6">
        <v>1</v>
      </c>
      <c r="L1622" s="6">
        <v>5</v>
      </c>
      <c r="M1622" t="s">
        <v>58</v>
      </c>
      <c r="N1622" t="s">
        <v>69</v>
      </c>
      <c r="O1622" t="s">
        <v>60</v>
      </c>
    </row>
    <row r="1623" spans="1:15">
      <c r="A1623" t="s">
        <v>1722</v>
      </c>
      <c r="B1623" s="3">
        <v>46020</v>
      </c>
      <c r="C1623" t="s">
        <v>66</v>
      </c>
      <c r="D1623" t="s">
        <v>129</v>
      </c>
      <c r="E1623" t="s">
        <v>67</v>
      </c>
      <c r="F1623" t="s">
        <v>68</v>
      </c>
      <c r="G1623" s="6">
        <v>5</v>
      </c>
      <c r="H1623" s="4">
        <v>40.4</v>
      </c>
      <c r="I1623" s="4">
        <v>19</v>
      </c>
      <c r="J1623" s="5">
        <v>0.2</v>
      </c>
      <c r="K1623" s="6">
        <v>3</v>
      </c>
      <c r="L1623" s="6">
        <v>5</v>
      </c>
      <c r="M1623" t="s">
        <v>58</v>
      </c>
      <c r="N1623" t="s">
        <v>59</v>
      </c>
      <c r="O1623" t="s">
        <v>64</v>
      </c>
    </row>
    <row r="1624" spans="1:15">
      <c r="A1624" t="s">
        <v>1723</v>
      </c>
      <c r="B1624" s="3">
        <v>45769</v>
      </c>
      <c r="C1624" t="s">
        <v>78</v>
      </c>
      <c r="D1624" t="s">
        <v>55</v>
      </c>
      <c r="E1624" t="s">
        <v>79</v>
      </c>
      <c r="F1624" t="s">
        <v>92</v>
      </c>
      <c r="G1624" s="6">
        <v>2</v>
      </c>
      <c r="H1624" s="4">
        <v>49.99</v>
      </c>
      <c r="I1624" s="4">
        <v>26.61</v>
      </c>
      <c r="J1624" s="5">
        <v>0</v>
      </c>
      <c r="K1624" s="6">
        <v>4</v>
      </c>
      <c r="L1624" s="6">
        <v>5</v>
      </c>
      <c r="M1624" t="s">
        <v>58</v>
      </c>
      <c r="N1624" t="s">
        <v>59</v>
      </c>
      <c r="O1624" t="s">
        <v>73</v>
      </c>
    </row>
    <row r="1625" spans="1:15">
      <c r="A1625" t="s">
        <v>1724</v>
      </c>
      <c r="B1625" s="3">
        <v>45785</v>
      </c>
      <c r="C1625" t="s">
        <v>78</v>
      </c>
      <c r="D1625" t="s">
        <v>129</v>
      </c>
      <c r="E1625" t="s">
        <v>75</v>
      </c>
      <c r="F1625" t="s">
        <v>146</v>
      </c>
      <c r="G1625" s="6">
        <v>5</v>
      </c>
      <c r="H1625" s="4">
        <v>178.04</v>
      </c>
      <c r="I1625" s="4">
        <v>118.12</v>
      </c>
      <c r="J1625" s="5">
        <v>0.05</v>
      </c>
      <c r="K1625" s="6">
        <v>3</v>
      </c>
      <c r="L1625" s="6">
        <v>5</v>
      </c>
      <c r="M1625" t="s">
        <v>58</v>
      </c>
      <c r="N1625" t="s">
        <v>69</v>
      </c>
      <c r="O1625" t="s">
        <v>73</v>
      </c>
    </row>
    <row r="1626" spans="1:15">
      <c r="A1626" t="s">
        <v>1725</v>
      </c>
      <c r="B1626" s="3">
        <v>45810</v>
      </c>
      <c r="C1626" t="s">
        <v>66</v>
      </c>
      <c r="D1626" t="s">
        <v>55</v>
      </c>
      <c r="E1626" t="s">
        <v>56</v>
      </c>
      <c r="F1626" t="s">
        <v>83</v>
      </c>
      <c r="G1626" s="6">
        <v>3</v>
      </c>
      <c r="H1626" s="4">
        <v>64.819999999999993</v>
      </c>
      <c r="I1626" s="4">
        <v>34.520000000000003</v>
      </c>
      <c r="J1626" s="5">
        <v>0.05</v>
      </c>
      <c r="K1626" s="6">
        <v>5</v>
      </c>
      <c r="L1626" s="6">
        <v>4</v>
      </c>
      <c r="M1626" t="s">
        <v>58</v>
      </c>
      <c r="N1626" t="s">
        <v>59</v>
      </c>
      <c r="O1626" t="s">
        <v>60</v>
      </c>
    </row>
    <row r="1627" spans="1:15">
      <c r="A1627" t="s">
        <v>1726</v>
      </c>
      <c r="B1627" s="3">
        <v>46000</v>
      </c>
      <c r="C1627" t="s">
        <v>54</v>
      </c>
      <c r="D1627" t="s">
        <v>62</v>
      </c>
      <c r="E1627" t="s">
        <v>56</v>
      </c>
      <c r="F1627" t="s">
        <v>57</v>
      </c>
      <c r="G1627" s="6">
        <v>1</v>
      </c>
      <c r="H1627" s="4">
        <v>108.72</v>
      </c>
      <c r="I1627" s="4">
        <v>69.34</v>
      </c>
      <c r="J1627" s="5">
        <v>0.05</v>
      </c>
      <c r="K1627" s="6">
        <v>3</v>
      </c>
      <c r="L1627" s="6">
        <v>4</v>
      </c>
      <c r="M1627" t="s">
        <v>58</v>
      </c>
      <c r="N1627" t="s">
        <v>59</v>
      </c>
      <c r="O1627" t="s">
        <v>73</v>
      </c>
    </row>
    <row r="1628" spans="1:15">
      <c r="A1628" t="s">
        <v>1727</v>
      </c>
      <c r="B1628" s="3">
        <v>46011</v>
      </c>
      <c r="C1628" t="s">
        <v>66</v>
      </c>
      <c r="D1628" t="s">
        <v>55</v>
      </c>
      <c r="E1628" t="s">
        <v>79</v>
      </c>
      <c r="F1628" t="s">
        <v>92</v>
      </c>
      <c r="G1628" s="6">
        <v>2</v>
      </c>
      <c r="H1628" s="4">
        <v>51.65</v>
      </c>
      <c r="I1628" s="4">
        <v>25.83</v>
      </c>
      <c r="J1628" s="5">
        <v>0.05</v>
      </c>
      <c r="K1628" s="6">
        <v>0</v>
      </c>
      <c r="L1628" s="6">
        <v>4</v>
      </c>
      <c r="M1628" t="s">
        <v>58</v>
      </c>
      <c r="N1628" t="s">
        <v>69</v>
      </c>
      <c r="O1628" t="s">
        <v>64</v>
      </c>
    </row>
    <row r="1629" spans="1:15">
      <c r="A1629" t="s">
        <v>1728</v>
      </c>
      <c r="B1629" s="3">
        <v>45917</v>
      </c>
      <c r="C1629" t="s">
        <v>78</v>
      </c>
      <c r="D1629" t="s">
        <v>129</v>
      </c>
      <c r="E1629" t="s">
        <v>67</v>
      </c>
      <c r="F1629" t="s">
        <v>71</v>
      </c>
      <c r="G1629" s="6">
        <v>4</v>
      </c>
      <c r="H1629" s="4">
        <v>70.540000000000006</v>
      </c>
      <c r="I1629" s="4">
        <v>38.15</v>
      </c>
      <c r="J1629" s="5">
        <v>0.05</v>
      </c>
      <c r="K1629" s="6">
        <v>0</v>
      </c>
      <c r="L1629" s="6">
        <v>4</v>
      </c>
      <c r="M1629" t="s">
        <v>58</v>
      </c>
      <c r="N1629" t="s">
        <v>69</v>
      </c>
      <c r="O1629" t="s">
        <v>64</v>
      </c>
    </row>
    <row r="1630" spans="1:15">
      <c r="A1630" t="s">
        <v>1729</v>
      </c>
      <c r="B1630" s="3">
        <v>45760</v>
      </c>
      <c r="C1630" t="s">
        <v>78</v>
      </c>
      <c r="D1630" t="s">
        <v>62</v>
      </c>
      <c r="E1630" t="s">
        <v>79</v>
      </c>
      <c r="F1630" t="s">
        <v>115</v>
      </c>
      <c r="G1630" s="6">
        <v>1</v>
      </c>
      <c r="H1630" s="4">
        <v>59.63</v>
      </c>
      <c r="I1630" s="4">
        <v>35.42</v>
      </c>
      <c r="J1630" s="5">
        <v>0</v>
      </c>
      <c r="K1630" s="6">
        <v>2</v>
      </c>
      <c r="L1630" s="6">
        <v>4</v>
      </c>
      <c r="M1630" t="s">
        <v>58</v>
      </c>
      <c r="N1630" t="s">
        <v>59</v>
      </c>
      <c r="O1630" t="s">
        <v>64</v>
      </c>
    </row>
    <row r="1631" spans="1:15">
      <c r="A1631" t="s">
        <v>1730</v>
      </c>
      <c r="B1631" s="3">
        <v>45986</v>
      </c>
      <c r="C1631" t="s">
        <v>54</v>
      </c>
      <c r="D1631" t="s">
        <v>62</v>
      </c>
      <c r="E1631" t="s">
        <v>56</v>
      </c>
      <c r="F1631" t="s">
        <v>57</v>
      </c>
      <c r="G1631" s="6">
        <v>2</v>
      </c>
      <c r="H1631" s="4">
        <v>110.64</v>
      </c>
      <c r="I1631" s="4">
        <v>67.569999999999993</v>
      </c>
      <c r="J1631" s="5">
        <v>0.05</v>
      </c>
      <c r="K1631" s="6">
        <v>5</v>
      </c>
      <c r="L1631" s="6">
        <v>4</v>
      </c>
      <c r="M1631" t="s">
        <v>58</v>
      </c>
      <c r="N1631" t="s">
        <v>59</v>
      </c>
      <c r="O1631" t="s">
        <v>64</v>
      </c>
    </row>
    <row r="1632" spans="1:15">
      <c r="A1632" t="s">
        <v>1731</v>
      </c>
      <c r="B1632" s="3">
        <v>45989</v>
      </c>
      <c r="C1632" t="s">
        <v>66</v>
      </c>
      <c r="D1632" t="s">
        <v>55</v>
      </c>
      <c r="E1632" t="s">
        <v>67</v>
      </c>
      <c r="F1632" t="s">
        <v>107</v>
      </c>
      <c r="G1632" s="6">
        <v>3</v>
      </c>
      <c r="H1632" s="4">
        <v>45.03</v>
      </c>
      <c r="I1632" s="4">
        <v>21.17</v>
      </c>
      <c r="J1632" s="5">
        <v>0.05</v>
      </c>
      <c r="K1632" s="6">
        <v>4</v>
      </c>
      <c r="L1632" s="6">
        <v>4</v>
      </c>
      <c r="M1632" t="s">
        <v>58</v>
      </c>
      <c r="N1632" t="s">
        <v>59</v>
      </c>
      <c r="O1632" t="s">
        <v>64</v>
      </c>
    </row>
    <row r="1633" spans="1:15">
      <c r="A1633" t="s">
        <v>1732</v>
      </c>
      <c r="B1633" s="3">
        <v>45836</v>
      </c>
      <c r="C1633" t="s">
        <v>54</v>
      </c>
      <c r="D1633" t="s">
        <v>62</v>
      </c>
      <c r="E1633" t="s">
        <v>56</v>
      </c>
      <c r="F1633" t="s">
        <v>57</v>
      </c>
      <c r="G1633" s="6">
        <v>2</v>
      </c>
      <c r="H1633" s="4">
        <v>111.15</v>
      </c>
      <c r="I1633" s="4">
        <v>65.08</v>
      </c>
      <c r="J1633" s="5">
        <v>0.1</v>
      </c>
      <c r="K1633" s="6">
        <v>0</v>
      </c>
      <c r="L1633" s="6">
        <v>4</v>
      </c>
      <c r="M1633" t="s">
        <v>58</v>
      </c>
      <c r="N1633" t="s">
        <v>69</v>
      </c>
      <c r="O1633" t="s">
        <v>64</v>
      </c>
    </row>
    <row r="1634" spans="1:15">
      <c r="A1634" t="s">
        <v>1733</v>
      </c>
      <c r="B1634" s="3">
        <v>45885</v>
      </c>
      <c r="C1634" t="s">
        <v>82</v>
      </c>
      <c r="D1634" t="s">
        <v>62</v>
      </c>
      <c r="E1634" t="s">
        <v>67</v>
      </c>
      <c r="F1634" t="s">
        <v>107</v>
      </c>
      <c r="G1634" s="6">
        <v>2</v>
      </c>
      <c r="H1634" s="4">
        <v>44.33</v>
      </c>
      <c r="I1634" s="4">
        <v>21.63</v>
      </c>
      <c r="J1634" s="5">
        <v>0</v>
      </c>
      <c r="K1634" s="6">
        <v>1</v>
      </c>
      <c r="L1634" s="6">
        <v>5</v>
      </c>
      <c r="M1634" t="s">
        <v>58</v>
      </c>
      <c r="N1634" t="s">
        <v>59</v>
      </c>
      <c r="O1634" t="s">
        <v>60</v>
      </c>
    </row>
    <row r="1635" spans="1:15">
      <c r="A1635" t="s">
        <v>1734</v>
      </c>
      <c r="B1635" s="3">
        <v>45704</v>
      </c>
      <c r="C1635" t="s">
        <v>54</v>
      </c>
      <c r="D1635" t="s">
        <v>55</v>
      </c>
      <c r="E1635" t="s">
        <v>79</v>
      </c>
      <c r="F1635" t="s">
        <v>92</v>
      </c>
      <c r="G1635" s="6">
        <v>3</v>
      </c>
      <c r="H1635" s="4">
        <v>49.22</v>
      </c>
      <c r="I1635" s="4">
        <v>25.89</v>
      </c>
      <c r="J1635" s="5">
        <v>0</v>
      </c>
      <c r="K1635" s="6">
        <v>0</v>
      </c>
      <c r="L1635" s="6">
        <v>5</v>
      </c>
      <c r="M1635" t="s">
        <v>58</v>
      </c>
      <c r="N1635" t="s">
        <v>69</v>
      </c>
      <c r="O1635" t="s">
        <v>73</v>
      </c>
    </row>
    <row r="1636" spans="1:15">
      <c r="A1636" t="s">
        <v>1735</v>
      </c>
      <c r="B1636" s="3">
        <v>45864</v>
      </c>
      <c r="C1636" t="s">
        <v>78</v>
      </c>
      <c r="D1636" t="s">
        <v>62</v>
      </c>
      <c r="E1636" t="s">
        <v>75</v>
      </c>
      <c r="F1636" t="s">
        <v>110</v>
      </c>
      <c r="G1636" s="6">
        <v>3</v>
      </c>
      <c r="H1636" s="4">
        <v>157.59</v>
      </c>
      <c r="I1636" s="4">
        <v>104.2</v>
      </c>
      <c r="J1636" s="5">
        <v>0</v>
      </c>
      <c r="K1636" s="6">
        <v>4</v>
      </c>
      <c r="L1636" s="6">
        <v>5</v>
      </c>
      <c r="M1636" t="s">
        <v>58</v>
      </c>
      <c r="N1636" t="s">
        <v>59</v>
      </c>
      <c r="O1636" t="s">
        <v>60</v>
      </c>
    </row>
    <row r="1637" spans="1:15">
      <c r="A1637" t="s">
        <v>1736</v>
      </c>
      <c r="B1637" s="3">
        <v>45678</v>
      </c>
      <c r="C1637" t="s">
        <v>54</v>
      </c>
      <c r="D1637" t="s">
        <v>62</v>
      </c>
      <c r="E1637" t="s">
        <v>79</v>
      </c>
      <c r="F1637" t="s">
        <v>80</v>
      </c>
      <c r="G1637" s="6">
        <v>2</v>
      </c>
      <c r="H1637" s="4">
        <v>76.2</v>
      </c>
      <c r="I1637" s="4">
        <v>42.91</v>
      </c>
      <c r="J1637" s="5">
        <v>0</v>
      </c>
      <c r="K1637" s="6">
        <v>0</v>
      </c>
      <c r="L1637" s="6">
        <v>5</v>
      </c>
      <c r="M1637" t="s">
        <v>58</v>
      </c>
      <c r="N1637" t="s">
        <v>69</v>
      </c>
      <c r="O1637" t="s">
        <v>64</v>
      </c>
    </row>
    <row r="1638" spans="1:15">
      <c r="A1638" t="s">
        <v>1737</v>
      </c>
      <c r="B1638" s="3">
        <v>46002</v>
      </c>
      <c r="C1638" t="s">
        <v>54</v>
      </c>
      <c r="D1638" t="s">
        <v>62</v>
      </c>
      <c r="E1638" t="s">
        <v>67</v>
      </c>
      <c r="F1638" t="s">
        <v>94</v>
      </c>
      <c r="G1638" s="6">
        <v>1</v>
      </c>
      <c r="H1638" s="4">
        <v>33.97</v>
      </c>
      <c r="I1638" s="4">
        <v>17.75</v>
      </c>
      <c r="J1638" s="5">
        <v>0.1</v>
      </c>
      <c r="K1638" s="6">
        <v>1</v>
      </c>
      <c r="L1638" s="6">
        <v>4</v>
      </c>
      <c r="M1638" t="s">
        <v>58</v>
      </c>
      <c r="N1638" t="s">
        <v>59</v>
      </c>
      <c r="O1638" t="s">
        <v>64</v>
      </c>
    </row>
    <row r="1639" spans="1:15">
      <c r="A1639" t="s">
        <v>1738</v>
      </c>
      <c r="B1639" s="3">
        <v>45712</v>
      </c>
      <c r="C1639" t="s">
        <v>78</v>
      </c>
      <c r="D1639" t="s">
        <v>62</v>
      </c>
      <c r="E1639" t="s">
        <v>75</v>
      </c>
      <c r="F1639" t="s">
        <v>76</v>
      </c>
      <c r="G1639" s="6">
        <v>3</v>
      </c>
      <c r="H1639" s="4">
        <v>116.45</v>
      </c>
      <c r="I1639" s="4">
        <v>70.33</v>
      </c>
      <c r="J1639" s="5">
        <v>0.05</v>
      </c>
      <c r="K1639" s="6">
        <v>2</v>
      </c>
      <c r="L1639" s="6">
        <v>4</v>
      </c>
      <c r="M1639" t="s">
        <v>58</v>
      </c>
      <c r="N1639" t="s">
        <v>69</v>
      </c>
      <c r="O1639" t="s">
        <v>73</v>
      </c>
    </row>
    <row r="1640" spans="1:15">
      <c r="A1640" t="s">
        <v>1739</v>
      </c>
      <c r="B1640" s="3">
        <v>45807</v>
      </c>
      <c r="C1640" t="s">
        <v>82</v>
      </c>
      <c r="D1640" t="s">
        <v>62</v>
      </c>
      <c r="E1640" t="s">
        <v>56</v>
      </c>
      <c r="F1640" t="s">
        <v>57</v>
      </c>
      <c r="G1640" s="6">
        <v>2</v>
      </c>
      <c r="H1640" s="4">
        <v>111.84</v>
      </c>
      <c r="I1640" s="4">
        <v>68.86</v>
      </c>
      <c r="J1640" s="5">
        <v>0.05</v>
      </c>
      <c r="K1640" s="6">
        <v>4</v>
      </c>
      <c r="L1640" s="6">
        <v>5</v>
      </c>
      <c r="M1640" t="s">
        <v>58</v>
      </c>
      <c r="N1640" t="s">
        <v>59</v>
      </c>
      <c r="O1640" t="s">
        <v>73</v>
      </c>
    </row>
    <row r="1641" spans="1:15">
      <c r="A1641" t="s">
        <v>1740</v>
      </c>
      <c r="B1641" s="3">
        <v>46012</v>
      </c>
      <c r="C1641" t="s">
        <v>54</v>
      </c>
      <c r="D1641" t="s">
        <v>62</v>
      </c>
      <c r="E1641" t="s">
        <v>67</v>
      </c>
      <c r="F1641" t="s">
        <v>71</v>
      </c>
      <c r="G1641" s="6">
        <v>1</v>
      </c>
      <c r="H1641" s="4">
        <v>68.989999999999995</v>
      </c>
      <c r="I1641" s="4">
        <v>37.79</v>
      </c>
      <c r="J1641" s="5">
        <v>0.1</v>
      </c>
      <c r="K1641" s="6">
        <v>0</v>
      </c>
      <c r="L1641" s="6">
        <v>4</v>
      </c>
      <c r="M1641" t="s">
        <v>58</v>
      </c>
      <c r="N1641" t="s">
        <v>69</v>
      </c>
      <c r="O1641" t="s">
        <v>64</v>
      </c>
    </row>
    <row r="1642" spans="1:15">
      <c r="A1642" t="s">
        <v>1741</v>
      </c>
      <c r="B1642" s="3">
        <v>45701</v>
      </c>
      <c r="C1642" t="s">
        <v>66</v>
      </c>
      <c r="D1642" t="s">
        <v>55</v>
      </c>
      <c r="E1642" t="s">
        <v>75</v>
      </c>
      <c r="F1642" t="s">
        <v>146</v>
      </c>
      <c r="G1642" s="6">
        <v>2</v>
      </c>
      <c r="H1642" s="4">
        <v>185.68</v>
      </c>
      <c r="I1642" s="4">
        <v>119.29</v>
      </c>
      <c r="J1642" s="5">
        <v>0.05</v>
      </c>
      <c r="K1642" s="6">
        <v>6</v>
      </c>
      <c r="L1642" s="6">
        <v>4</v>
      </c>
      <c r="M1642" t="s">
        <v>58</v>
      </c>
      <c r="N1642" t="s">
        <v>87</v>
      </c>
      <c r="O1642" t="s">
        <v>64</v>
      </c>
    </row>
    <row r="1643" spans="1:15">
      <c r="A1643" t="s">
        <v>1742</v>
      </c>
      <c r="B1643" s="3">
        <v>45810</v>
      </c>
      <c r="C1643" t="s">
        <v>66</v>
      </c>
      <c r="D1643" t="s">
        <v>62</v>
      </c>
      <c r="E1643" t="s">
        <v>79</v>
      </c>
      <c r="F1643" t="s">
        <v>80</v>
      </c>
      <c r="G1643" s="6">
        <v>1</v>
      </c>
      <c r="H1643" s="4">
        <v>74.489999999999995</v>
      </c>
      <c r="I1643" s="4">
        <v>44.93</v>
      </c>
      <c r="J1643" s="5">
        <v>0.15000000000000002</v>
      </c>
      <c r="K1643" s="6">
        <v>5</v>
      </c>
      <c r="L1643" s="6">
        <v>5</v>
      </c>
      <c r="M1643" t="s">
        <v>58</v>
      </c>
      <c r="N1643" t="s">
        <v>59</v>
      </c>
      <c r="O1643" t="s">
        <v>60</v>
      </c>
    </row>
    <row r="1644" spans="1:15">
      <c r="A1644" t="s">
        <v>1743</v>
      </c>
      <c r="B1644" s="3">
        <v>45962</v>
      </c>
      <c r="C1644" t="s">
        <v>78</v>
      </c>
      <c r="D1644" t="s">
        <v>129</v>
      </c>
      <c r="E1644" t="s">
        <v>75</v>
      </c>
      <c r="F1644" t="s">
        <v>97</v>
      </c>
      <c r="G1644" s="6">
        <v>4</v>
      </c>
      <c r="H1644" s="4">
        <v>88.95</v>
      </c>
      <c r="I1644" s="4">
        <v>54.95</v>
      </c>
      <c r="J1644" s="5">
        <v>0.2</v>
      </c>
      <c r="K1644" s="6">
        <v>5</v>
      </c>
      <c r="L1644" s="6">
        <v>4</v>
      </c>
      <c r="M1644" t="s">
        <v>58</v>
      </c>
      <c r="N1644" t="s">
        <v>59</v>
      </c>
      <c r="O1644" t="s">
        <v>64</v>
      </c>
    </row>
    <row r="1645" spans="1:15">
      <c r="A1645" t="s">
        <v>1744</v>
      </c>
      <c r="B1645" s="3">
        <v>45962</v>
      </c>
      <c r="C1645" t="s">
        <v>78</v>
      </c>
      <c r="D1645" t="s">
        <v>55</v>
      </c>
      <c r="E1645" t="s">
        <v>56</v>
      </c>
      <c r="F1645" t="s">
        <v>57</v>
      </c>
      <c r="G1645" s="6">
        <v>2</v>
      </c>
      <c r="H1645" s="4">
        <v>113.85</v>
      </c>
      <c r="I1645" s="4">
        <v>68.180000000000007</v>
      </c>
      <c r="J1645" s="5">
        <v>0</v>
      </c>
      <c r="K1645" s="6">
        <v>2</v>
      </c>
      <c r="L1645" s="6">
        <v>4</v>
      </c>
      <c r="M1645" t="s">
        <v>58</v>
      </c>
      <c r="N1645" t="s">
        <v>59</v>
      </c>
      <c r="O1645" t="s">
        <v>73</v>
      </c>
    </row>
    <row r="1646" spans="1:15">
      <c r="A1646" t="s">
        <v>1745</v>
      </c>
      <c r="B1646" s="3">
        <v>45979</v>
      </c>
      <c r="C1646" t="s">
        <v>66</v>
      </c>
      <c r="D1646" t="s">
        <v>55</v>
      </c>
      <c r="E1646" t="s">
        <v>67</v>
      </c>
      <c r="F1646" t="s">
        <v>68</v>
      </c>
      <c r="G1646" s="6">
        <v>1</v>
      </c>
      <c r="H1646" s="4">
        <v>41.03</v>
      </c>
      <c r="I1646" s="4">
        <v>19.170000000000002</v>
      </c>
      <c r="J1646" s="5">
        <v>0.2</v>
      </c>
      <c r="K1646" s="6">
        <v>4</v>
      </c>
      <c r="L1646" s="6">
        <v>3</v>
      </c>
      <c r="M1646" t="s">
        <v>126</v>
      </c>
      <c r="N1646" t="s">
        <v>69</v>
      </c>
      <c r="O1646" t="s">
        <v>64</v>
      </c>
    </row>
    <row r="1647" spans="1:15">
      <c r="A1647" t="s">
        <v>1746</v>
      </c>
      <c r="B1647" s="3">
        <v>46014</v>
      </c>
      <c r="C1647" t="s">
        <v>82</v>
      </c>
      <c r="D1647" t="s">
        <v>55</v>
      </c>
      <c r="E1647" t="s">
        <v>79</v>
      </c>
      <c r="F1647" t="s">
        <v>80</v>
      </c>
      <c r="G1647" s="6">
        <v>2</v>
      </c>
      <c r="H1647" s="4">
        <v>74</v>
      </c>
      <c r="I1647" s="4">
        <v>44.64</v>
      </c>
      <c r="J1647" s="5">
        <v>0.1</v>
      </c>
      <c r="K1647" s="6">
        <v>3</v>
      </c>
      <c r="L1647" s="6">
        <v>4</v>
      </c>
      <c r="M1647" t="s">
        <v>58</v>
      </c>
      <c r="N1647" t="s">
        <v>59</v>
      </c>
      <c r="O1647" t="s">
        <v>64</v>
      </c>
    </row>
    <row r="1648" spans="1:15">
      <c r="A1648" t="s">
        <v>1747</v>
      </c>
      <c r="B1648" s="3">
        <v>46005</v>
      </c>
      <c r="C1648" t="s">
        <v>54</v>
      </c>
      <c r="D1648" t="s">
        <v>55</v>
      </c>
      <c r="E1648" t="s">
        <v>56</v>
      </c>
      <c r="F1648" t="s">
        <v>57</v>
      </c>
      <c r="G1648" s="6">
        <v>1</v>
      </c>
      <c r="H1648" s="4">
        <v>108.23</v>
      </c>
      <c r="I1648" s="4">
        <v>66.739999999999995</v>
      </c>
      <c r="J1648" s="5">
        <v>0.1</v>
      </c>
      <c r="K1648" s="6">
        <v>1</v>
      </c>
      <c r="L1648" s="6">
        <v>4</v>
      </c>
      <c r="M1648" t="s">
        <v>58</v>
      </c>
      <c r="N1648" t="s">
        <v>59</v>
      </c>
      <c r="O1648" t="s">
        <v>64</v>
      </c>
    </row>
    <row r="1649" spans="1:15">
      <c r="A1649" t="s">
        <v>1748</v>
      </c>
      <c r="B1649" s="3">
        <v>45929</v>
      </c>
      <c r="C1649" t="s">
        <v>54</v>
      </c>
      <c r="D1649" t="s">
        <v>62</v>
      </c>
      <c r="E1649" t="s">
        <v>67</v>
      </c>
      <c r="F1649" t="s">
        <v>71</v>
      </c>
      <c r="G1649" s="6">
        <v>1</v>
      </c>
      <c r="H1649" s="4">
        <v>68.41</v>
      </c>
      <c r="I1649" s="4">
        <v>38.159999999999997</v>
      </c>
      <c r="J1649" s="5">
        <v>0.05</v>
      </c>
      <c r="K1649" s="6">
        <v>1</v>
      </c>
      <c r="L1649" s="6">
        <v>4</v>
      </c>
      <c r="M1649" t="s">
        <v>58</v>
      </c>
      <c r="N1649" t="s">
        <v>69</v>
      </c>
      <c r="O1649" t="s">
        <v>64</v>
      </c>
    </row>
    <row r="1650" spans="1:15">
      <c r="A1650" t="s">
        <v>1749</v>
      </c>
      <c r="B1650" s="3">
        <v>45961</v>
      </c>
      <c r="C1650" t="s">
        <v>78</v>
      </c>
      <c r="D1650" t="s">
        <v>55</v>
      </c>
      <c r="E1650" t="s">
        <v>79</v>
      </c>
      <c r="F1650" t="s">
        <v>92</v>
      </c>
      <c r="G1650" s="6">
        <v>3</v>
      </c>
      <c r="H1650" s="4">
        <v>49.81</v>
      </c>
      <c r="I1650" s="4">
        <v>26.51</v>
      </c>
      <c r="J1650" s="5">
        <v>0</v>
      </c>
      <c r="K1650" s="6">
        <v>2</v>
      </c>
      <c r="L1650" s="6">
        <v>4</v>
      </c>
      <c r="M1650" t="s">
        <v>58</v>
      </c>
      <c r="N1650" t="s">
        <v>69</v>
      </c>
      <c r="O1650" t="s">
        <v>60</v>
      </c>
    </row>
    <row r="1651" spans="1:15">
      <c r="A1651" t="s">
        <v>1750</v>
      </c>
      <c r="B1651" s="3">
        <v>45930</v>
      </c>
      <c r="C1651" t="s">
        <v>82</v>
      </c>
      <c r="D1651" t="s">
        <v>55</v>
      </c>
      <c r="E1651" t="s">
        <v>56</v>
      </c>
      <c r="F1651" t="s">
        <v>83</v>
      </c>
      <c r="G1651" s="6">
        <v>2</v>
      </c>
      <c r="H1651" s="4">
        <v>65.72</v>
      </c>
      <c r="I1651" s="4">
        <v>34.549999999999997</v>
      </c>
      <c r="J1651" s="5">
        <v>0.05</v>
      </c>
      <c r="K1651" s="6">
        <v>3</v>
      </c>
      <c r="L1651" s="6">
        <v>5</v>
      </c>
      <c r="M1651" t="s">
        <v>58</v>
      </c>
      <c r="N1651" t="s">
        <v>59</v>
      </c>
      <c r="O1651" t="s">
        <v>64</v>
      </c>
    </row>
    <row r="1652" spans="1:15">
      <c r="A1652" t="s">
        <v>1751</v>
      </c>
      <c r="B1652" s="3">
        <v>45832</v>
      </c>
      <c r="C1652" t="s">
        <v>54</v>
      </c>
      <c r="D1652" t="s">
        <v>55</v>
      </c>
      <c r="E1652" t="s">
        <v>79</v>
      </c>
      <c r="F1652" t="s">
        <v>80</v>
      </c>
      <c r="G1652" s="6">
        <v>6</v>
      </c>
      <c r="H1652" s="4">
        <v>77.44</v>
      </c>
      <c r="I1652" s="4">
        <v>42.41</v>
      </c>
      <c r="J1652" s="5">
        <v>0.1</v>
      </c>
      <c r="K1652" s="6">
        <v>4</v>
      </c>
      <c r="L1652" s="6">
        <v>4</v>
      </c>
      <c r="M1652" t="s">
        <v>58</v>
      </c>
      <c r="N1652" t="s">
        <v>59</v>
      </c>
      <c r="O1652" t="s">
        <v>73</v>
      </c>
    </row>
    <row r="1653" spans="1:15">
      <c r="A1653" t="s">
        <v>1752</v>
      </c>
      <c r="B1653" s="3">
        <v>45660</v>
      </c>
      <c r="C1653" t="s">
        <v>66</v>
      </c>
      <c r="D1653" t="s">
        <v>62</v>
      </c>
      <c r="E1653" t="s">
        <v>56</v>
      </c>
      <c r="F1653" t="s">
        <v>89</v>
      </c>
      <c r="G1653" s="6">
        <v>2</v>
      </c>
      <c r="H1653" s="4">
        <v>79.31</v>
      </c>
      <c r="I1653" s="4">
        <v>46.85</v>
      </c>
      <c r="J1653" s="5">
        <v>0.15000000000000002</v>
      </c>
      <c r="K1653" s="6">
        <v>4</v>
      </c>
      <c r="L1653" s="6">
        <v>4</v>
      </c>
      <c r="M1653" t="s">
        <v>58</v>
      </c>
      <c r="N1653" t="s">
        <v>87</v>
      </c>
      <c r="O1653" t="s">
        <v>64</v>
      </c>
    </row>
    <row r="1654" spans="1:15">
      <c r="A1654" t="s">
        <v>1753</v>
      </c>
      <c r="B1654" s="3">
        <v>45765</v>
      </c>
      <c r="C1654" t="s">
        <v>82</v>
      </c>
      <c r="D1654" t="s">
        <v>62</v>
      </c>
      <c r="E1654" t="s">
        <v>67</v>
      </c>
      <c r="F1654" t="s">
        <v>68</v>
      </c>
      <c r="G1654" s="6">
        <v>1</v>
      </c>
      <c r="H1654" s="4">
        <v>40.159999999999997</v>
      </c>
      <c r="I1654" s="4">
        <v>18.649999999999999</v>
      </c>
      <c r="J1654" s="5">
        <v>0.05</v>
      </c>
      <c r="K1654" s="6">
        <v>0</v>
      </c>
      <c r="L1654" s="6">
        <v>4</v>
      </c>
      <c r="M1654" t="s">
        <v>58</v>
      </c>
      <c r="N1654" t="s">
        <v>69</v>
      </c>
      <c r="O1654" t="s">
        <v>64</v>
      </c>
    </row>
    <row r="1655" spans="1:15">
      <c r="A1655" t="s">
        <v>1754</v>
      </c>
      <c r="B1655" s="3">
        <v>45719</v>
      </c>
      <c r="C1655" t="s">
        <v>66</v>
      </c>
      <c r="D1655" t="s">
        <v>62</v>
      </c>
      <c r="E1655" t="s">
        <v>67</v>
      </c>
      <c r="F1655" t="s">
        <v>71</v>
      </c>
      <c r="G1655" s="6">
        <v>1</v>
      </c>
      <c r="H1655" s="4">
        <v>67.989999999999995</v>
      </c>
      <c r="I1655" s="4">
        <v>38.909999999999997</v>
      </c>
      <c r="J1655" s="5">
        <v>0</v>
      </c>
      <c r="K1655" s="6">
        <v>2</v>
      </c>
      <c r="L1655" s="6">
        <v>4</v>
      </c>
      <c r="M1655" t="s">
        <v>58</v>
      </c>
      <c r="N1655" t="s">
        <v>69</v>
      </c>
      <c r="O1655" t="s">
        <v>64</v>
      </c>
    </row>
    <row r="1656" spans="1:15">
      <c r="A1656" t="s">
        <v>1755</v>
      </c>
      <c r="B1656" s="3">
        <v>45848</v>
      </c>
      <c r="C1656" t="s">
        <v>78</v>
      </c>
      <c r="D1656" t="s">
        <v>55</v>
      </c>
      <c r="E1656" t="s">
        <v>79</v>
      </c>
      <c r="F1656" t="s">
        <v>85</v>
      </c>
      <c r="G1656" s="6">
        <v>3</v>
      </c>
      <c r="H1656" s="4">
        <v>126.37</v>
      </c>
      <c r="I1656" s="4">
        <v>85.55</v>
      </c>
      <c r="J1656" s="5">
        <v>0.1</v>
      </c>
      <c r="K1656" s="6">
        <v>0</v>
      </c>
      <c r="L1656" s="6">
        <v>3</v>
      </c>
      <c r="M1656" t="s">
        <v>126</v>
      </c>
      <c r="N1656" t="s">
        <v>69</v>
      </c>
      <c r="O1656" t="s">
        <v>60</v>
      </c>
    </row>
    <row r="1657" spans="1:15">
      <c r="A1657" t="s">
        <v>1756</v>
      </c>
      <c r="B1657" s="3">
        <v>45675</v>
      </c>
      <c r="C1657" t="s">
        <v>66</v>
      </c>
      <c r="D1657" t="s">
        <v>55</v>
      </c>
      <c r="E1657" t="s">
        <v>75</v>
      </c>
      <c r="F1657" t="s">
        <v>97</v>
      </c>
      <c r="G1657" s="6">
        <v>2</v>
      </c>
      <c r="H1657" s="4">
        <v>90.99</v>
      </c>
      <c r="I1657" s="4">
        <v>55</v>
      </c>
      <c r="J1657" s="5">
        <v>0.1</v>
      </c>
      <c r="K1657" s="6">
        <v>1</v>
      </c>
      <c r="L1657" s="6">
        <v>5</v>
      </c>
      <c r="M1657" t="s">
        <v>58</v>
      </c>
      <c r="N1657" t="s">
        <v>69</v>
      </c>
      <c r="O1657" t="s">
        <v>73</v>
      </c>
    </row>
    <row r="1658" spans="1:15">
      <c r="A1658" t="s">
        <v>1757</v>
      </c>
      <c r="B1658" s="3">
        <v>45977</v>
      </c>
      <c r="C1658" t="s">
        <v>66</v>
      </c>
      <c r="D1658" t="s">
        <v>62</v>
      </c>
      <c r="E1658" t="s">
        <v>56</v>
      </c>
      <c r="F1658" t="s">
        <v>57</v>
      </c>
      <c r="G1658" s="6">
        <v>2</v>
      </c>
      <c r="H1658" s="4">
        <v>110.78</v>
      </c>
      <c r="I1658" s="4">
        <v>65.81</v>
      </c>
      <c r="J1658" s="5">
        <v>0.15000000000000002</v>
      </c>
      <c r="K1658" s="6">
        <v>8</v>
      </c>
      <c r="L1658" s="6">
        <v>3</v>
      </c>
      <c r="M1658" t="s">
        <v>58</v>
      </c>
      <c r="N1658" t="s">
        <v>59</v>
      </c>
      <c r="O1658" t="s">
        <v>64</v>
      </c>
    </row>
    <row r="1659" spans="1:15">
      <c r="A1659" t="s">
        <v>1758</v>
      </c>
      <c r="B1659" s="3">
        <v>45659</v>
      </c>
      <c r="C1659" t="s">
        <v>78</v>
      </c>
      <c r="D1659" t="s">
        <v>62</v>
      </c>
      <c r="E1659" t="s">
        <v>75</v>
      </c>
      <c r="F1659" t="s">
        <v>97</v>
      </c>
      <c r="G1659" s="6">
        <v>1</v>
      </c>
      <c r="H1659" s="4">
        <v>91.68</v>
      </c>
      <c r="I1659" s="4">
        <v>54.41</v>
      </c>
      <c r="J1659" s="5">
        <v>0.05</v>
      </c>
      <c r="K1659" s="6">
        <v>3</v>
      </c>
      <c r="L1659" s="6">
        <v>4</v>
      </c>
      <c r="M1659" t="s">
        <v>58</v>
      </c>
      <c r="N1659" t="s">
        <v>69</v>
      </c>
      <c r="O1659" t="s">
        <v>64</v>
      </c>
    </row>
    <row r="1660" spans="1:15">
      <c r="A1660" t="s">
        <v>1759</v>
      </c>
      <c r="B1660" s="3">
        <v>45988</v>
      </c>
      <c r="C1660" t="s">
        <v>82</v>
      </c>
      <c r="D1660" t="s">
        <v>62</v>
      </c>
      <c r="E1660" t="s">
        <v>67</v>
      </c>
      <c r="F1660" t="s">
        <v>107</v>
      </c>
      <c r="G1660" s="6">
        <v>2</v>
      </c>
      <c r="H1660" s="4">
        <v>46.02</v>
      </c>
      <c r="I1660" s="4">
        <v>20.97</v>
      </c>
      <c r="J1660" s="5">
        <v>0.1</v>
      </c>
      <c r="K1660" s="6">
        <v>4</v>
      </c>
      <c r="L1660" s="6">
        <v>4</v>
      </c>
      <c r="M1660" t="s">
        <v>58</v>
      </c>
      <c r="N1660" t="s">
        <v>87</v>
      </c>
      <c r="O1660" t="s">
        <v>64</v>
      </c>
    </row>
    <row r="1661" spans="1:15">
      <c r="A1661" t="s">
        <v>1760</v>
      </c>
      <c r="B1661" s="3">
        <v>45699</v>
      </c>
      <c r="C1661" t="s">
        <v>78</v>
      </c>
      <c r="D1661" t="s">
        <v>55</v>
      </c>
      <c r="E1661" t="s">
        <v>56</v>
      </c>
      <c r="F1661" t="s">
        <v>63</v>
      </c>
      <c r="G1661" s="6">
        <v>5</v>
      </c>
      <c r="H1661" s="4">
        <v>40.98</v>
      </c>
      <c r="I1661" s="4">
        <v>19.760000000000002</v>
      </c>
      <c r="J1661" s="5">
        <v>0</v>
      </c>
      <c r="K1661" s="6">
        <v>5</v>
      </c>
      <c r="L1661" s="6">
        <v>4</v>
      </c>
      <c r="M1661" t="s">
        <v>58</v>
      </c>
      <c r="N1661" t="s">
        <v>59</v>
      </c>
      <c r="O1661" t="s">
        <v>64</v>
      </c>
    </row>
    <row r="1662" spans="1:15">
      <c r="A1662" t="s">
        <v>1761</v>
      </c>
      <c r="B1662" s="3">
        <v>45996</v>
      </c>
      <c r="C1662" t="s">
        <v>54</v>
      </c>
      <c r="D1662" t="s">
        <v>62</v>
      </c>
      <c r="E1662" t="s">
        <v>56</v>
      </c>
      <c r="F1662" t="s">
        <v>83</v>
      </c>
      <c r="G1662" s="6">
        <v>4</v>
      </c>
      <c r="H1662" s="4">
        <v>63.25</v>
      </c>
      <c r="I1662" s="4">
        <v>36.67</v>
      </c>
      <c r="J1662" s="5">
        <v>0.2</v>
      </c>
      <c r="K1662" s="6">
        <v>2</v>
      </c>
      <c r="L1662" s="6">
        <v>5</v>
      </c>
      <c r="M1662" t="s">
        <v>58</v>
      </c>
      <c r="N1662" t="s">
        <v>59</v>
      </c>
      <c r="O1662" t="s">
        <v>64</v>
      </c>
    </row>
    <row r="1663" spans="1:15">
      <c r="A1663" t="s">
        <v>1762</v>
      </c>
      <c r="B1663" s="3">
        <v>45902</v>
      </c>
      <c r="C1663" t="s">
        <v>78</v>
      </c>
      <c r="D1663" t="s">
        <v>62</v>
      </c>
      <c r="E1663" t="s">
        <v>67</v>
      </c>
      <c r="F1663" t="s">
        <v>107</v>
      </c>
      <c r="G1663" s="6">
        <v>1</v>
      </c>
      <c r="H1663" s="4">
        <v>43.74</v>
      </c>
      <c r="I1663" s="4">
        <v>21.65</v>
      </c>
      <c r="J1663" s="5">
        <v>0</v>
      </c>
      <c r="K1663" s="6">
        <v>2</v>
      </c>
      <c r="L1663" s="6">
        <v>4</v>
      </c>
      <c r="M1663" t="s">
        <v>58</v>
      </c>
      <c r="N1663" t="s">
        <v>69</v>
      </c>
      <c r="O1663" t="s">
        <v>73</v>
      </c>
    </row>
    <row r="1664" spans="1:15">
      <c r="A1664" t="s">
        <v>1763</v>
      </c>
      <c r="B1664" s="3">
        <v>45827</v>
      </c>
      <c r="C1664" t="s">
        <v>78</v>
      </c>
      <c r="D1664" t="s">
        <v>62</v>
      </c>
      <c r="E1664" t="s">
        <v>79</v>
      </c>
      <c r="F1664" t="s">
        <v>85</v>
      </c>
      <c r="G1664" s="6">
        <v>3</v>
      </c>
      <c r="H1664" s="4">
        <v>126.51</v>
      </c>
      <c r="I1664" s="4">
        <v>84.2</v>
      </c>
      <c r="J1664" s="5">
        <v>0.05</v>
      </c>
      <c r="K1664" s="6">
        <v>1</v>
      </c>
      <c r="L1664" s="6">
        <v>4</v>
      </c>
      <c r="M1664" t="s">
        <v>58</v>
      </c>
      <c r="N1664" t="s">
        <v>59</v>
      </c>
      <c r="O1664" t="s">
        <v>64</v>
      </c>
    </row>
    <row r="1665" spans="1:15">
      <c r="A1665" t="s">
        <v>1764</v>
      </c>
      <c r="B1665" s="3">
        <v>45790</v>
      </c>
      <c r="C1665" t="s">
        <v>78</v>
      </c>
      <c r="D1665" t="s">
        <v>62</v>
      </c>
      <c r="E1665" t="s">
        <v>79</v>
      </c>
      <c r="F1665" t="s">
        <v>80</v>
      </c>
      <c r="G1665" s="6">
        <v>1</v>
      </c>
      <c r="H1665" s="4">
        <v>77.69</v>
      </c>
      <c r="I1665" s="4">
        <v>42.21</v>
      </c>
      <c r="J1665" s="5">
        <v>0</v>
      </c>
      <c r="K1665" s="6">
        <v>4</v>
      </c>
      <c r="L1665" s="6">
        <v>4</v>
      </c>
      <c r="M1665" t="s">
        <v>58</v>
      </c>
      <c r="N1665" t="s">
        <v>59</v>
      </c>
      <c r="O1665" t="s">
        <v>60</v>
      </c>
    </row>
    <row r="1666" spans="1:15">
      <c r="A1666" t="s">
        <v>1765</v>
      </c>
      <c r="B1666" s="3">
        <v>45843</v>
      </c>
      <c r="C1666" t="s">
        <v>54</v>
      </c>
      <c r="D1666" t="s">
        <v>62</v>
      </c>
      <c r="E1666" t="s">
        <v>79</v>
      </c>
      <c r="F1666" t="s">
        <v>85</v>
      </c>
      <c r="G1666" s="6">
        <v>2</v>
      </c>
      <c r="H1666" s="4">
        <v>128.59</v>
      </c>
      <c r="I1666" s="4">
        <v>84.89</v>
      </c>
      <c r="J1666" s="5">
        <v>0</v>
      </c>
      <c r="K1666" s="6">
        <v>3</v>
      </c>
      <c r="L1666" s="6">
        <v>4</v>
      </c>
      <c r="M1666" t="s">
        <v>58</v>
      </c>
      <c r="N1666" t="s">
        <v>59</v>
      </c>
      <c r="O1666" t="s">
        <v>64</v>
      </c>
    </row>
    <row r="1667" spans="1:15">
      <c r="A1667" t="s">
        <v>1766</v>
      </c>
      <c r="B1667" s="3">
        <v>45795</v>
      </c>
      <c r="C1667" t="s">
        <v>82</v>
      </c>
      <c r="D1667" t="s">
        <v>62</v>
      </c>
      <c r="E1667" t="s">
        <v>56</v>
      </c>
      <c r="F1667" t="s">
        <v>83</v>
      </c>
      <c r="G1667" s="6">
        <v>2</v>
      </c>
      <c r="H1667" s="4">
        <v>66.989999999999995</v>
      </c>
      <c r="I1667" s="4">
        <v>36.700000000000003</v>
      </c>
      <c r="J1667" s="5">
        <v>0</v>
      </c>
      <c r="K1667" s="6">
        <v>1</v>
      </c>
      <c r="L1667" s="6">
        <v>5</v>
      </c>
      <c r="M1667" t="s">
        <v>58</v>
      </c>
      <c r="N1667" t="s">
        <v>69</v>
      </c>
      <c r="O1667" t="s">
        <v>64</v>
      </c>
    </row>
    <row r="1668" spans="1:15">
      <c r="A1668" t="s">
        <v>1767</v>
      </c>
      <c r="B1668" s="3">
        <v>45856</v>
      </c>
      <c r="C1668" t="s">
        <v>78</v>
      </c>
      <c r="D1668" t="s">
        <v>62</v>
      </c>
      <c r="E1668" t="s">
        <v>79</v>
      </c>
      <c r="F1668" t="s">
        <v>115</v>
      </c>
      <c r="G1668" s="6">
        <v>1</v>
      </c>
      <c r="H1668" s="4">
        <v>61.92</v>
      </c>
      <c r="I1668" s="4">
        <v>34.83</v>
      </c>
      <c r="J1668" s="5">
        <v>0</v>
      </c>
      <c r="K1668" s="6">
        <v>0</v>
      </c>
      <c r="L1668" s="6">
        <v>5</v>
      </c>
      <c r="M1668" t="s">
        <v>58</v>
      </c>
      <c r="N1668" t="s">
        <v>69</v>
      </c>
      <c r="O1668" t="s">
        <v>64</v>
      </c>
    </row>
    <row r="1669" spans="1:15">
      <c r="A1669" t="s">
        <v>1768</v>
      </c>
      <c r="B1669" s="3">
        <v>45719</v>
      </c>
      <c r="C1669" t="s">
        <v>66</v>
      </c>
      <c r="D1669" t="s">
        <v>62</v>
      </c>
      <c r="E1669" t="s">
        <v>67</v>
      </c>
      <c r="F1669" t="s">
        <v>107</v>
      </c>
      <c r="G1669" s="6">
        <v>2</v>
      </c>
      <c r="H1669" s="4">
        <v>45.23</v>
      </c>
      <c r="I1669" s="4">
        <v>21.58</v>
      </c>
      <c r="J1669" s="5">
        <v>0.05</v>
      </c>
      <c r="K1669" s="6">
        <v>2</v>
      </c>
      <c r="L1669" s="6">
        <v>4</v>
      </c>
      <c r="M1669" t="s">
        <v>58</v>
      </c>
      <c r="N1669" t="s">
        <v>69</v>
      </c>
      <c r="O1669" t="s">
        <v>64</v>
      </c>
    </row>
    <row r="1670" spans="1:15">
      <c r="A1670" t="s">
        <v>1769</v>
      </c>
      <c r="B1670" s="3">
        <v>45826</v>
      </c>
      <c r="C1670" t="s">
        <v>82</v>
      </c>
      <c r="D1670" t="s">
        <v>62</v>
      </c>
      <c r="E1670" t="s">
        <v>67</v>
      </c>
      <c r="F1670" t="s">
        <v>107</v>
      </c>
      <c r="G1670" s="6">
        <v>2</v>
      </c>
      <c r="H1670" s="4">
        <v>45.75</v>
      </c>
      <c r="I1670" s="4">
        <v>21.53</v>
      </c>
      <c r="J1670" s="5">
        <v>0</v>
      </c>
      <c r="K1670" s="6">
        <v>3</v>
      </c>
      <c r="L1670" s="6">
        <v>5</v>
      </c>
      <c r="M1670" t="s">
        <v>58</v>
      </c>
      <c r="N1670" t="s">
        <v>59</v>
      </c>
      <c r="O1670" t="s">
        <v>64</v>
      </c>
    </row>
    <row r="1671" spans="1:15">
      <c r="A1671" t="s">
        <v>1770</v>
      </c>
      <c r="B1671" s="3">
        <v>45815</v>
      </c>
      <c r="C1671" t="s">
        <v>78</v>
      </c>
      <c r="D1671" t="s">
        <v>62</v>
      </c>
      <c r="E1671" t="s">
        <v>67</v>
      </c>
      <c r="F1671" t="s">
        <v>71</v>
      </c>
      <c r="G1671" s="6">
        <v>1</v>
      </c>
      <c r="H1671" s="4">
        <v>72.09</v>
      </c>
      <c r="I1671" s="4">
        <v>37.67</v>
      </c>
      <c r="J1671" s="5">
        <v>0.05</v>
      </c>
      <c r="K1671" s="6">
        <v>6</v>
      </c>
      <c r="L1671" s="6">
        <v>4</v>
      </c>
      <c r="M1671" t="s">
        <v>58</v>
      </c>
      <c r="N1671" t="s">
        <v>59</v>
      </c>
      <c r="O1671" t="s">
        <v>64</v>
      </c>
    </row>
    <row r="1672" spans="1:15">
      <c r="A1672" t="s">
        <v>1771</v>
      </c>
      <c r="B1672" s="3">
        <v>45721</v>
      </c>
      <c r="C1672" t="s">
        <v>66</v>
      </c>
      <c r="D1672" t="s">
        <v>62</v>
      </c>
      <c r="E1672" t="s">
        <v>79</v>
      </c>
      <c r="F1672" t="s">
        <v>85</v>
      </c>
      <c r="G1672" s="6">
        <v>1</v>
      </c>
      <c r="H1672" s="4">
        <v>131.36000000000001</v>
      </c>
      <c r="I1672" s="4">
        <v>84.15</v>
      </c>
      <c r="J1672" s="5">
        <v>0</v>
      </c>
      <c r="K1672" s="6">
        <v>6</v>
      </c>
      <c r="L1672" s="6">
        <v>3</v>
      </c>
      <c r="M1672" t="s">
        <v>58</v>
      </c>
      <c r="N1672" t="s">
        <v>59</v>
      </c>
      <c r="O1672" t="s">
        <v>60</v>
      </c>
    </row>
    <row r="1673" spans="1:15">
      <c r="A1673" t="s">
        <v>1772</v>
      </c>
      <c r="B1673" s="3">
        <v>45671</v>
      </c>
      <c r="C1673" t="s">
        <v>82</v>
      </c>
      <c r="D1673" t="s">
        <v>62</v>
      </c>
      <c r="E1673" t="s">
        <v>75</v>
      </c>
      <c r="F1673" t="s">
        <v>76</v>
      </c>
      <c r="G1673" s="6">
        <v>1</v>
      </c>
      <c r="H1673" s="4">
        <v>120.19</v>
      </c>
      <c r="I1673" s="4">
        <v>70.209999999999994</v>
      </c>
      <c r="J1673" s="5">
        <v>0.05</v>
      </c>
      <c r="K1673" s="6">
        <v>4</v>
      </c>
      <c r="L1673" s="6">
        <v>4</v>
      </c>
      <c r="M1673" t="s">
        <v>58</v>
      </c>
      <c r="N1673" t="s">
        <v>69</v>
      </c>
      <c r="O1673" t="s">
        <v>73</v>
      </c>
    </row>
    <row r="1674" spans="1:15">
      <c r="A1674" t="s">
        <v>1773</v>
      </c>
      <c r="B1674" s="3">
        <v>46005</v>
      </c>
      <c r="C1674" t="s">
        <v>54</v>
      </c>
      <c r="D1674" t="s">
        <v>129</v>
      </c>
      <c r="E1674" t="s">
        <v>79</v>
      </c>
      <c r="F1674" t="s">
        <v>92</v>
      </c>
      <c r="G1674" s="6">
        <v>4</v>
      </c>
      <c r="H1674" s="4">
        <v>49.89</v>
      </c>
      <c r="I1674" s="4">
        <v>27.2</v>
      </c>
      <c r="J1674" s="5">
        <v>0.1</v>
      </c>
      <c r="K1674" s="6">
        <v>0</v>
      </c>
      <c r="L1674" s="6">
        <v>4</v>
      </c>
      <c r="M1674" t="s">
        <v>58</v>
      </c>
      <c r="N1674" t="s">
        <v>69</v>
      </c>
      <c r="O1674" t="s">
        <v>64</v>
      </c>
    </row>
    <row r="1675" spans="1:15">
      <c r="A1675" t="s">
        <v>1774</v>
      </c>
      <c r="B1675" s="3">
        <v>45846</v>
      </c>
      <c r="C1675" t="s">
        <v>66</v>
      </c>
      <c r="D1675" t="s">
        <v>55</v>
      </c>
      <c r="E1675" t="s">
        <v>79</v>
      </c>
      <c r="F1675" t="s">
        <v>80</v>
      </c>
      <c r="G1675" s="6">
        <v>3</v>
      </c>
      <c r="H1675" s="4">
        <v>75.45</v>
      </c>
      <c r="I1675" s="4">
        <v>42.2</v>
      </c>
      <c r="J1675" s="5">
        <v>0.1</v>
      </c>
      <c r="K1675" s="6">
        <v>7</v>
      </c>
      <c r="L1675" s="6">
        <v>4</v>
      </c>
      <c r="M1675" t="s">
        <v>58</v>
      </c>
      <c r="N1675" t="s">
        <v>59</v>
      </c>
      <c r="O1675" t="s">
        <v>73</v>
      </c>
    </row>
    <row r="1676" spans="1:15">
      <c r="A1676" t="s">
        <v>1775</v>
      </c>
      <c r="B1676" s="3">
        <v>45813</v>
      </c>
      <c r="C1676" t="s">
        <v>54</v>
      </c>
      <c r="D1676" t="s">
        <v>62</v>
      </c>
      <c r="E1676" t="s">
        <v>56</v>
      </c>
      <c r="F1676" t="s">
        <v>63</v>
      </c>
      <c r="G1676" s="6">
        <v>1</v>
      </c>
      <c r="H1676" s="4">
        <v>40.32</v>
      </c>
      <c r="I1676" s="4">
        <v>20.010000000000002</v>
      </c>
      <c r="J1676" s="5">
        <v>0</v>
      </c>
      <c r="K1676" s="6">
        <v>0</v>
      </c>
      <c r="L1676" s="6">
        <v>3</v>
      </c>
      <c r="M1676" t="s">
        <v>126</v>
      </c>
      <c r="N1676" t="s">
        <v>69</v>
      </c>
      <c r="O1676" t="s">
        <v>64</v>
      </c>
    </row>
    <row r="1677" spans="1:15">
      <c r="A1677" t="s">
        <v>1776</v>
      </c>
      <c r="B1677" s="3">
        <v>45960</v>
      </c>
      <c r="C1677" t="s">
        <v>54</v>
      </c>
      <c r="D1677" t="s">
        <v>62</v>
      </c>
      <c r="E1677" t="s">
        <v>1777</v>
      </c>
      <c r="F1677" t="s">
        <v>63</v>
      </c>
      <c r="G1677" s="6">
        <v>1</v>
      </c>
      <c r="H1677" s="4">
        <v>40.229999999999997</v>
      </c>
      <c r="I1677" s="4">
        <v>20.3</v>
      </c>
      <c r="J1677" s="5">
        <v>0</v>
      </c>
      <c r="K1677" s="6">
        <v>1</v>
      </c>
      <c r="L1677" s="6">
        <v>5</v>
      </c>
      <c r="M1677" t="s">
        <v>58</v>
      </c>
      <c r="N1677" t="s">
        <v>87</v>
      </c>
      <c r="O1677" t="s">
        <v>60</v>
      </c>
    </row>
    <row r="1678" spans="1:15">
      <c r="A1678" t="s">
        <v>1778</v>
      </c>
      <c r="B1678" s="3">
        <v>45909</v>
      </c>
      <c r="C1678" t="s">
        <v>82</v>
      </c>
      <c r="D1678" t="s">
        <v>62</v>
      </c>
      <c r="E1678" t="s">
        <v>75</v>
      </c>
      <c r="F1678" t="s">
        <v>146</v>
      </c>
      <c r="G1678" s="6">
        <v>1</v>
      </c>
      <c r="H1678" s="4">
        <v>185.66</v>
      </c>
      <c r="I1678" s="4">
        <v>115.21</v>
      </c>
      <c r="J1678" s="5">
        <v>0</v>
      </c>
      <c r="K1678" s="6">
        <v>6</v>
      </c>
      <c r="L1678" s="6">
        <v>4</v>
      </c>
      <c r="M1678" t="s">
        <v>58</v>
      </c>
      <c r="N1678" t="s">
        <v>59</v>
      </c>
      <c r="O1678" t="s">
        <v>60</v>
      </c>
    </row>
    <row r="1679" spans="1:15">
      <c r="A1679" t="s">
        <v>1779</v>
      </c>
      <c r="B1679" s="3">
        <v>45803</v>
      </c>
      <c r="C1679" t="s">
        <v>66</v>
      </c>
      <c r="D1679" t="s">
        <v>55</v>
      </c>
      <c r="E1679" t="s">
        <v>79</v>
      </c>
      <c r="F1679" t="s">
        <v>80</v>
      </c>
      <c r="G1679" s="6">
        <v>6</v>
      </c>
      <c r="H1679" s="4">
        <v>74.849999999999994</v>
      </c>
      <c r="I1679" s="4">
        <v>42.59</v>
      </c>
      <c r="J1679" s="5">
        <v>0.1</v>
      </c>
      <c r="K1679" s="6">
        <v>3</v>
      </c>
      <c r="L1679" s="6">
        <v>4</v>
      </c>
      <c r="M1679" t="s">
        <v>58</v>
      </c>
      <c r="N1679" t="s">
        <v>69</v>
      </c>
      <c r="O1679" t="s">
        <v>73</v>
      </c>
    </row>
    <row r="1680" spans="1:15">
      <c r="A1680" t="s">
        <v>1780</v>
      </c>
      <c r="B1680" s="3">
        <v>45732</v>
      </c>
      <c r="C1680" t="s">
        <v>78</v>
      </c>
      <c r="D1680" t="s">
        <v>62</v>
      </c>
      <c r="E1680" t="s">
        <v>67</v>
      </c>
      <c r="F1680" t="s">
        <v>68</v>
      </c>
      <c r="G1680" s="6">
        <v>3</v>
      </c>
      <c r="H1680" s="4">
        <v>39.119999999999997</v>
      </c>
      <c r="I1680" s="4">
        <v>18.73</v>
      </c>
      <c r="J1680" s="5">
        <v>0.05</v>
      </c>
      <c r="K1680" s="6">
        <v>4</v>
      </c>
      <c r="L1680" s="6">
        <v>3</v>
      </c>
      <c r="M1680" t="s">
        <v>126</v>
      </c>
      <c r="N1680" t="s">
        <v>59</v>
      </c>
      <c r="O1680" t="s">
        <v>64</v>
      </c>
    </row>
    <row r="1681" spans="1:15">
      <c r="A1681" t="s">
        <v>1781</v>
      </c>
      <c r="B1681" s="3">
        <v>45945</v>
      </c>
      <c r="C1681" t="s">
        <v>54</v>
      </c>
      <c r="D1681" t="s">
        <v>62</v>
      </c>
      <c r="E1681" t="s">
        <v>79</v>
      </c>
      <c r="F1681" t="s">
        <v>115</v>
      </c>
      <c r="G1681" s="6">
        <v>1</v>
      </c>
      <c r="H1681" s="4">
        <v>60.04</v>
      </c>
      <c r="I1681" s="4">
        <v>33.11</v>
      </c>
      <c r="J1681" s="5">
        <v>0.05</v>
      </c>
      <c r="K1681" s="6">
        <v>4</v>
      </c>
      <c r="L1681" s="6"/>
      <c r="M1681" t="s">
        <v>58</v>
      </c>
      <c r="N1681" t="s">
        <v>87</v>
      </c>
      <c r="O1681" t="s">
        <v>60</v>
      </c>
    </row>
    <row r="1682" spans="1:15">
      <c r="A1682" t="s">
        <v>1782</v>
      </c>
      <c r="B1682" s="3">
        <v>45983</v>
      </c>
      <c r="C1682" t="s">
        <v>66</v>
      </c>
      <c r="D1682" t="s">
        <v>62</v>
      </c>
      <c r="E1682" t="s">
        <v>79</v>
      </c>
      <c r="F1682" t="s">
        <v>85</v>
      </c>
      <c r="G1682" s="6">
        <v>1</v>
      </c>
      <c r="H1682" s="4">
        <v>131.06</v>
      </c>
      <c r="I1682" s="4">
        <v>82.62</v>
      </c>
      <c r="J1682" s="5">
        <v>0.15000000000000002</v>
      </c>
      <c r="K1682" s="6">
        <v>0</v>
      </c>
      <c r="L1682" s="6">
        <v>4</v>
      </c>
      <c r="M1682" t="s">
        <v>58</v>
      </c>
      <c r="N1682" t="s">
        <v>69</v>
      </c>
      <c r="O1682" t="s">
        <v>64</v>
      </c>
    </row>
    <row r="1683" spans="1:15">
      <c r="A1683" t="s">
        <v>1783</v>
      </c>
      <c r="B1683" s="3">
        <v>45818</v>
      </c>
      <c r="C1683" t="s">
        <v>82</v>
      </c>
      <c r="D1683" t="s">
        <v>62</v>
      </c>
      <c r="E1683" t="s">
        <v>79</v>
      </c>
      <c r="F1683" t="s">
        <v>80</v>
      </c>
      <c r="G1683" s="6">
        <v>2</v>
      </c>
      <c r="H1683" s="4">
        <v>74.239999999999995</v>
      </c>
      <c r="I1683" s="4">
        <v>42.04</v>
      </c>
      <c r="J1683" s="5">
        <v>0.05</v>
      </c>
      <c r="K1683" s="6">
        <v>2</v>
      </c>
      <c r="L1683" s="6">
        <v>4</v>
      </c>
      <c r="M1683" t="s">
        <v>58</v>
      </c>
      <c r="N1683" t="s">
        <v>59</v>
      </c>
      <c r="O1683" t="s">
        <v>64</v>
      </c>
    </row>
    <row r="1684" spans="1:15">
      <c r="A1684" t="s">
        <v>1784</v>
      </c>
      <c r="B1684" s="3">
        <v>45904</v>
      </c>
      <c r="C1684" t="s">
        <v>78</v>
      </c>
      <c r="D1684" t="s">
        <v>62</v>
      </c>
      <c r="E1684" t="s">
        <v>67</v>
      </c>
      <c r="F1684" t="s">
        <v>68</v>
      </c>
      <c r="G1684" s="6">
        <v>3</v>
      </c>
      <c r="H1684" s="4">
        <v>40.35</v>
      </c>
      <c r="I1684" s="4">
        <v>19.04</v>
      </c>
      <c r="J1684" s="5">
        <v>0.05</v>
      </c>
      <c r="K1684" s="6">
        <v>2</v>
      </c>
      <c r="L1684" s="6">
        <v>3</v>
      </c>
      <c r="M1684" t="s">
        <v>126</v>
      </c>
      <c r="N1684" t="s">
        <v>59</v>
      </c>
      <c r="O1684" t="s">
        <v>64</v>
      </c>
    </row>
    <row r="1685" spans="1:15">
      <c r="A1685" t="s">
        <v>1785</v>
      </c>
      <c r="B1685" s="3">
        <v>45966</v>
      </c>
      <c r="C1685" t="s">
        <v>66</v>
      </c>
      <c r="D1685" t="s">
        <v>62</v>
      </c>
      <c r="E1685" t="s">
        <v>79</v>
      </c>
      <c r="F1685" t="s">
        <v>80</v>
      </c>
      <c r="G1685" s="6">
        <v>1</v>
      </c>
      <c r="H1685" s="4">
        <v>76.31</v>
      </c>
      <c r="I1685" s="4">
        <v>42.63</v>
      </c>
      <c r="J1685" s="5">
        <v>0.15000000000000002</v>
      </c>
      <c r="K1685" s="6">
        <v>1</v>
      </c>
      <c r="L1685" s="6">
        <v>5</v>
      </c>
      <c r="M1685" t="s">
        <v>58</v>
      </c>
      <c r="N1685" t="s">
        <v>69</v>
      </c>
      <c r="O1685" t="s">
        <v>64</v>
      </c>
    </row>
    <row r="1686" spans="1:15">
      <c r="A1686" t="s">
        <v>1786</v>
      </c>
      <c r="B1686" s="3">
        <v>45779</v>
      </c>
      <c r="C1686" t="s">
        <v>66</v>
      </c>
      <c r="D1686" t="s">
        <v>55</v>
      </c>
      <c r="E1686" t="s">
        <v>67</v>
      </c>
      <c r="F1686" t="s">
        <v>94</v>
      </c>
      <c r="G1686" s="6">
        <v>2</v>
      </c>
      <c r="H1686" s="4">
        <v>35.65</v>
      </c>
      <c r="I1686" s="4">
        <v>16.63</v>
      </c>
      <c r="J1686" s="5">
        <v>0</v>
      </c>
      <c r="K1686" s="6">
        <v>4</v>
      </c>
      <c r="L1686" s="6">
        <v>5</v>
      </c>
      <c r="M1686" t="s">
        <v>58</v>
      </c>
      <c r="N1686" t="s">
        <v>59</v>
      </c>
      <c r="O1686" t="s">
        <v>60</v>
      </c>
    </row>
    <row r="1687" spans="1:15">
      <c r="A1687" t="s">
        <v>1787</v>
      </c>
      <c r="B1687" s="3">
        <v>45937</v>
      </c>
      <c r="C1687" t="s">
        <v>54</v>
      </c>
      <c r="D1687" t="s">
        <v>55</v>
      </c>
      <c r="E1687" t="s">
        <v>67</v>
      </c>
      <c r="F1687" t="s">
        <v>68</v>
      </c>
      <c r="G1687" s="6">
        <v>3</v>
      </c>
      <c r="H1687" s="4">
        <v>40.25</v>
      </c>
      <c r="I1687" s="4">
        <v>18.84</v>
      </c>
      <c r="J1687" s="5">
        <v>0</v>
      </c>
      <c r="K1687" s="6">
        <v>6</v>
      </c>
      <c r="L1687" s="6">
        <v>4</v>
      </c>
      <c r="M1687" t="s">
        <v>58</v>
      </c>
      <c r="N1687" t="s">
        <v>87</v>
      </c>
      <c r="O1687" t="s">
        <v>60</v>
      </c>
    </row>
    <row r="1688" spans="1:15">
      <c r="A1688" t="s">
        <v>1788</v>
      </c>
      <c r="B1688" s="3">
        <v>45789</v>
      </c>
      <c r="C1688" t="s">
        <v>82</v>
      </c>
      <c r="D1688" t="s">
        <v>62</v>
      </c>
      <c r="E1688" t="s">
        <v>79</v>
      </c>
      <c r="F1688" t="s">
        <v>115</v>
      </c>
      <c r="G1688" s="6">
        <v>3</v>
      </c>
      <c r="H1688" s="4">
        <v>60.17</v>
      </c>
      <c r="I1688" s="4">
        <v>34.29</v>
      </c>
      <c r="J1688" s="5">
        <v>0.1</v>
      </c>
      <c r="K1688" s="6">
        <v>4</v>
      </c>
      <c r="L1688" s="6">
        <v>4</v>
      </c>
      <c r="M1688" t="s">
        <v>58</v>
      </c>
      <c r="N1688" t="s">
        <v>59</v>
      </c>
      <c r="O1688" t="s">
        <v>73</v>
      </c>
    </row>
    <row r="1689" spans="1:15">
      <c r="A1689" t="s">
        <v>1789</v>
      </c>
      <c r="B1689" s="3">
        <v>45818</v>
      </c>
      <c r="C1689" t="s">
        <v>82</v>
      </c>
      <c r="D1689" t="s">
        <v>62</v>
      </c>
      <c r="E1689" t="s">
        <v>56</v>
      </c>
      <c r="F1689" t="s">
        <v>63</v>
      </c>
      <c r="G1689" s="6">
        <v>2</v>
      </c>
      <c r="H1689" s="4">
        <v>39.51</v>
      </c>
      <c r="I1689" s="4">
        <v>19.72</v>
      </c>
      <c r="J1689" s="5">
        <v>0.05</v>
      </c>
      <c r="K1689" s="6">
        <v>6</v>
      </c>
      <c r="L1689" s="6">
        <v>4</v>
      </c>
      <c r="M1689" t="s">
        <v>58</v>
      </c>
      <c r="N1689" t="s">
        <v>59</v>
      </c>
      <c r="O1689" t="s">
        <v>64</v>
      </c>
    </row>
    <row r="1690" spans="1:15">
      <c r="A1690" t="s">
        <v>1790</v>
      </c>
      <c r="B1690" s="3">
        <v>45972</v>
      </c>
      <c r="C1690" t="s">
        <v>82</v>
      </c>
      <c r="D1690" t="s">
        <v>62</v>
      </c>
      <c r="E1690" t="s">
        <v>67</v>
      </c>
      <c r="F1690" t="s">
        <v>94</v>
      </c>
      <c r="G1690" s="6">
        <v>2</v>
      </c>
      <c r="H1690" s="4">
        <v>36.17</v>
      </c>
      <c r="I1690" s="4">
        <v>16.79</v>
      </c>
      <c r="J1690" s="5">
        <v>0.05</v>
      </c>
      <c r="K1690" s="6">
        <v>3</v>
      </c>
      <c r="L1690" s="6">
        <v>5</v>
      </c>
      <c r="M1690" t="s">
        <v>58</v>
      </c>
      <c r="N1690" t="s">
        <v>59</v>
      </c>
      <c r="O1690" t="s">
        <v>64</v>
      </c>
    </row>
    <row r="1691" spans="1:15">
      <c r="A1691" t="s">
        <v>1791</v>
      </c>
      <c r="B1691" s="3">
        <v>45883</v>
      </c>
      <c r="C1691" t="s">
        <v>66</v>
      </c>
      <c r="D1691" t="s">
        <v>62</v>
      </c>
      <c r="E1691" t="s">
        <v>79</v>
      </c>
      <c r="F1691" t="s">
        <v>92</v>
      </c>
      <c r="G1691" s="6">
        <v>3</v>
      </c>
      <c r="H1691" s="4">
        <v>48.56</v>
      </c>
      <c r="I1691" s="4">
        <v>25.43</v>
      </c>
      <c r="J1691" s="5">
        <v>0</v>
      </c>
      <c r="K1691" s="6">
        <v>5</v>
      </c>
      <c r="L1691" s="6">
        <v>4</v>
      </c>
      <c r="M1691" t="s">
        <v>58</v>
      </c>
      <c r="N1691" t="s">
        <v>59</v>
      </c>
      <c r="O1691" t="s">
        <v>64</v>
      </c>
    </row>
    <row r="1692" spans="1:15">
      <c r="A1692" t="s">
        <v>1792</v>
      </c>
      <c r="B1692" s="3">
        <v>45816</v>
      </c>
      <c r="C1692" t="s">
        <v>54</v>
      </c>
      <c r="D1692" t="s">
        <v>62</v>
      </c>
      <c r="E1692" t="s">
        <v>56</v>
      </c>
      <c r="F1692" t="s">
        <v>57</v>
      </c>
      <c r="G1692" s="6">
        <v>2</v>
      </c>
      <c r="H1692" s="4">
        <v>108.27</v>
      </c>
      <c r="I1692" s="4">
        <v>68.010000000000005</v>
      </c>
      <c r="J1692" s="5">
        <v>0</v>
      </c>
      <c r="K1692" s="6">
        <v>6</v>
      </c>
      <c r="L1692" s="6">
        <v>4</v>
      </c>
      <c r="M1692" t="s">
        <v>58</v>
      </c>
      <c r="N1692" t="s">
        <v>59</v>
      </c>
      <c r="O1692" t="s">
        <v>64</v>
      </c>
    </row>
    <row r="1693" spans="1:15">
      <c r="A1693" t="s">
        <v>1793</v>
      </c>
      <c r="B1693" s="3">
        <v>45938</v>
      </c>
      <c r="C1693" t="s">
        <v>54</v>
      </c>
      <c r="D1693" t="s">
        <v>62</v>
      </c>
      <c r="E1693" t="s">
        <v>79</v>
      </c>
      <c r="F1693" t="s">
        <v>85</v>
      </c>
      <c r="G1693" s="6">
        <v>2</v>
      </c>
      <c r="H1693" s="4">
        <v>127.68</v>
      </c>
      <c r="I1693" s="4">
        <v>87</v>
      </c>
      <c r="J1693" s="5">
        <v>0</v>
      </c>
      <c r="K1693" s="6">
        <v>0</v>
      </c>
      <c r="L1693" s="6">
        <v>4</v>
      </c>
      <c r="M1693" t="s">
        <v>58</v>
      </c>
      <c r="N1693" t="s">
        <v>69</v>
      </c>
      <c r="O1693" t="s">
        <v>64</v>
      </c>
    </row>
    <row r="1694" spans="1:15">
      <c r="A1694" t="s">
        <v>1794</v>
      </c>
      <c r="B1694" s="3">
        <v>45792</v>
      </c>
      <c r="C1694" t="s">
        <v>54</v>
      </c>
      <c r="D1694" t="s">
        <v>62</v>
      </c>
      <c r="E1694" t="s">
        <v>56</v>
      </c>
      <c r="F1694" t="s">
        <v>57</v>
      </c>
      <c r="G1694" s="6">
        <v>1</v>
      </c>
      <c r="H1694" s="4">
        <v>110.01</v>
      </c>
      <c r="I1694" s="4">
        <v>67.11</v>
      </c>
      <c r="J1694" s="5">
        <v>0</v>
      </c>
      <c r="K1694" s="6">
        <v>0</v>
      </c>
      <c r="L1694" s="6">
        <v>3</v>
      </c>
      <c r="M1694" t="s">
        <v>126</v>
      </c>
      <c r="N1694" t="s">
        <v>69</v>
      </c>
      <c r="O1694" t="s">
        <v>60</v>
      </c>
    </row>
    <row r="1695" spans="1:15">
      <c r="A1695" t="s">
        <v>1795</v>
      </c>
      <c r="B1695" s="3">
        <v>45675</v>
      </c>
      <c r="C1695" t="s">
        <v>54</v>
      </c>
      <c r="D1695" t="s">
        <v>62</v>
      </c>
      <c r="E1695" t="s">
        <v>75</v>
      </c>
      <c r="F1695" t="s">
        <v>146</v>
      </c>
      <c r="G1695" s="6">
        <v>1</v>
      </c>
      <c r="H1695" s="4">
        <v>182.59</v>
      </c>
      <c r="I1695" s="4">
        <v>114.5</v>
      </c>
      <c r="J1695" s="5">
        <v>0.1</v>
      </c>
      <c r="K1695" s="6">
        <v>3</v>
      </c>
      <c r="L1695" s="6">
        <v>4</v>
      </c>
      <c r="M1695" t="s">
        <v>58</v>
      </c>
      <c r="N1695" t="s">
        <v>69</v>
      </c>
      <c r="O1695" t="s">
        <v>73</v>
      </c>
    </row>
    <row r="1696" spans="1:15">
      <c r="A1696" t="s">
        <v>1796</v>
      </c>
      <c r="B1696" s="3">
        <v>45860</v>
      </c>
      <c r="C1696" t="s">
        <v>82</v>
      </c>
      <c r="D1696" t="s">
        <v>62</v>
      </c>
      <c r="E1696" t="s">
        <v>67</v>
      </c>
      <c r="F1696" t="s">
        <v>107</v>
      </c>
      <c r="G1696" s="6">
        <v>1</v>
      </c>
      <c r="H1696" s="4">
        <v>44.5</v>
      </c>
      <c r="I1696" s="4">
        <v>20.72</v>
      </c>
      <c r="J1696" s="5">
        <v>0.05</v>
      </c>
      <c r="K1696" s="6">
        <v>0</v>
      </c>
      <c r="L1696" s="6">
        <v>5</v>
      </c>
      <c r="M1696" t="s">
        <v>58</v>
      </c>
      <c r="N1696" t="s">
        <v>69</v>
      </c>
      <c r="O1696" t="s">
        <v>73</v>
      </c>
    </row>
    <row r="1697" spans="1:15">
      <c r="A1697" t="s">
        <v>1797</v>
      </c>
      <c r="B1697" s="3">
        <v>45756</v>
      </c>
      <c r="C1697" t="s">
        <v>78</v>
      </c>
      <c r="D1697" t="s">
        <v>62</v>
      </c>
      <c r="E1697" t="s">
        <v>75</v>
      </c>
      <c r="F1697" t="s">
        <v>76</v>
      </c>
      <c r="G1697" s="6">
        <v>2</v>
      </c>
      <c r="H1697" s="4">
        <v>116.55</v>
      </c>
      <c r="I1697" s="4">
        <v>73.28</v>
      </c>
      <c r="J1697" s="5">
        <v>0</v>
      </c>
      <c r="K1697" s="6">
        <v>7</v>
      </c>
      <c r="L1697" s="6">
        <v>4</v>
      </c>
      <c r="M1697" t="s">
        <v>58</v>
      </c>
      <c r="N1697" t="s">
        <v>59</v>
      </c>
      <c r="O1697" t="s">
        <v>60</v>
      </c>
    </row>
    <row r="1698" spans="1:15">
      <c r="A1698" t="s">
        <v>1798</v>
      </c>
      <c r="B1698" s="3">
        <v>45785</v>
      </c>
      <c r="C1698" t="s">
        <v>78</v>
      </c>
      <c r="D1698" t="s">
        <v>129</v>
      </c>
      <c r="E1698" t="s">
        <v>56</v>
      </c>
      <c r="F1698" t="s">
        <v>63</v>
      </c>
      <c r="G1698" s="6">
        <v>2</v>
      </c>
      <c r="H1698" s="4">
        <v>40.92</v>
      </c>
      <c r="I1698" s="4">
        <v>20.45</v>
      </c>
      <c r="J1698" s="5">
        <v>0.05</v>
      </c>
      <c r="K1698" s="6">
        <v>2</v>
      </c>
      <c r="L1698" s="6">
        <v>4</v>
      </c>
      <c r="M1698" t="s">
        <v>58</v>
      </c>
      <c r="N1698" t="s">
        <v>69</v>
      </c>
      <c r="O1698" t="s">
        <v>64</v>
      </c>
    </row>
    <row r="1699" spans="1:15">
      <c r="A1699" t="s">
        <v>1799</v>
      </c>
      <c r="B1699" s="3">
        <v>46003</v>
      </c>
      <c r="C1699" t="s">
        <v>54</v>
      </c>
      <c r="D1699" t="s">
        <v>62</v>
      </c>
      <c r="E1699" t="s">
        <v>75</v>
      </c>
      <c r="F1699" t="s">
        <v>146</v>
      </c>
      <c r="G1699" s="6">
        <v>2</v>
      </c>
      <c r="H1699" s="4">
        <v>186.19</v>
      </c>
      <c r="I1699" s="4">
        <v>116.07</v>
      </c>
      <c r="J1699" s="5">
        <v>0.2</v>
      </c>
      <c r="K1699" s="6">
        <v>4</v>
      </c>
      <c r="L1699" s="6">
        <v>4</v>
      </c>
      <c r="M1699" t="s">
        <v>58</v>
      </c>
      <c r="N1699" t="s">
        <v>59</v>
      </c>
      <c r="O1699" t="s">
        <v>64</v>
      </c>
    </row>
    <row r="1700" spans="1:15">
      <c r="A1700" t="s">
        <v>1800</v>
      </c>
      <c r="B1700" s="3">
        <v>45931</v>
      </c>
      <c r="C1700" t="s">
        <v>54</v>
      </c>
      <c r="D1700" t="s">
        <v>55</v>
      </c>
      <c r="E1700" t="s">
        <v>79</v>
      </c>
      <c r="F1700" t="s">
        <v>80</v>
      </c>
      <c r="G1700" s="6">
        <v>4</v>
      </c>
      <c r="H1700" s="4">
        <v>75.95</v>
      </c>
      <c r="I1700" s="4">
        <v>43.78</v>
      </c>
      <c r="J1700" s="5">
        <v>0.05</v>
      </c>
      <c r="K1700" s="6">
        <v>3</v>
      </c>
      <c r="L1700" s="6">
        <v>5</v>
      </c>
      <c r="M1700" t="s">
        <v>58</v>
      </c>
      <c r="N1700" t="s">
        <v>59</v>
      </c>
      <c r="O1700" t="s">
        <v>60</v>
      </c>
    </row>
    <row r="1701" spans="1:15">
      <c r="A1701" t="s">
        <v>1801</v>
      </c>
      <c r="B1701" s="3">
        <v>45795</v>
      </c>
      <c r="C1701" t="s">
        <v>82</v>
      </c>
      <c r="D1701" t="s">
        <v>62</v>
      </c>
      <c r="E1701" t="s">
        <v>56</v>
      </c>
      <c r="F1701" t="s">
        <v>57</v>
      </c>
      <c r="G1701" s="6">
        <v>1</v>
      </c>
      <c r="H1701" s="4">
        <v>112.61</v>
      </c>
      <c r="I1701" s="4">
        <v>68.91</v>
      </c>
      <c r="J1701" s="5">
        <v>0.05</v>
      </c>
      <c r="K1701" s="6">
        <v>2</v>
      </c>
      <c r="L1701" s="6">
        <v>5</v>
      </c>
      <c r="M1701" t="s">
        <v>58</v>
      </c>
      <c r="N1701" t="s">
        <v>69</v>
      </c>
      <c r="O1701" t="s">
        <v>64</v>
      </c>
    </row>
    <row r="1702" spans="1:15">
      <c r="A1702" t="s">
        <v>1802</v>
      </c>
      <c r="B1702" s="3">
        <v>45981</v>
      </c>
      <c r="C1702" t="s">
        <v>66</v>
      </c>
      <c r="D1702" t="s">
        <v>62</v>
      </c>
      <c r="E1702" t="s">
        <v>67</v>
      </c>
      <c r="F1702" t="s">
        <v>94</v>
      </c>
      <c r="G1702" s="6">
        <v>1</v>
      </c>
      <c r="H1702" s="4">
        <v>35.24</v>
      </c>
      <c r="I1702" s="4">
        <v>17.649999999999999</v>
      </c>
      <c r="J1702" s="5">
        <v>0.15000000000000002</v>
      </c>
      <c r="K1702" s="6">
        <v>1</v>
      </c>
      <c r="L1702" s="6">
        <v>4</v>
      </c>
      <c r="M1702" t="s">
        <v>58</v>
      </c>
      <c r="N1702" t="s">
        <v>69</v>
      </c>
      <c r="O1702" t="s">
        <v>73</v>
      </c>
    </row>
    <row r="1703" spans="1:15">
      <c r="A1703" t="s">
        <v>1803</v>
      </c>
      <c r="B1703" s="3">
        <v>45761</v>
      </c>
      <c r="C1703" t="s">
        <v>82</v>
      </c>
      <c r="D1703" t="s">
        <v>62</v>
      </c>
      <c r="E1703" t="s">
        <v>75</v>
      </c>
      <c r="F1703" t="s">
        <v>110</v>
      </c>
      <c r="G1703" s="6">
        <v>2</v>
      </c>
      <c r="H1703" s="4">
        <v>162.86000000000001</v>
      </c>
      <c r="I1703" s="4">
        <v>100.3</v>
      </c>
      <c r="J1703" s="5">
        <v>0</v>
      </c>
      <c r="K1703" s="6">
        <v>5</v>
      </c>
      <c r="L1703" s="6">
        <v>4</v>
      </c>
      <c r="M1703" t="s">
        <v>58</v>
      </c>
      <c r="N1703" t="s">
        <v>59</v>
      </c>
      <c r="O1703" t="s">
        <v>64</v>
      </c>
    </row>
    <row r="1704" spans="1:15">
      <c r="A1704" t="s">
        <v>1804</v>
      </c>
      <c r="B1704" s="3">
        <v>45760</v>
      </c>
      <c r="C1704" t="s">
        <v>82</v>
      </c>
      <c r="D1704" t="s">
        <v>55</v>
      </c>
      <c r="E1704" t="s">
        <v>79</v>
      </c>
      <c r="F1704" t="s">
        <v>85</v>
      </c>
      <c r="G1704" s="6">
        <v>4</v>
      </c>
      <c r="H1704" s="4">
        <v>131</v>
      </c>
      <c r="I1704" s="4">
        <v>83.05</v>
      </c>
      <c r="J1704" s="5">
        <v>0.1</v>
      </c>
      <c r="K1704" s="6">
        <v>3</v>
      </c>
      <c r="L1704" s="6">
        <v>4</v>
      </c>
      <c r="M1704" t="s">
        <v>58</v>
      </c>
      <c r="N1704" t="s">
        <v>59</v>
      </c>
      <c r="O1704" t="s">
        <v>73</v>
      </c>
    </row>
    <row r="1705" spans="1:15">
      <c r="A1705" t="s">
        <v>1805</v>
      </c>
      <c r="B1705" s="3">
        <v>46022</v>
      </c>
      <c r="C1705" t="s">
        <v>78</v>
      </c>
      <c r="D1705" t="s">
        <v>55</v>
      </c>
      <c r="E1705" t="s">
        <v>67</v>
      </c>
      <c r="F1705" t="s">
        <v>68</v>
      </c>
      <c r="G1705" s="6">
        <v>1</v>
      </c>
      <c r="H1705" s="4">
        <v>39.590000000000003</v>
      </c>
      <c r="I1705" s="4">
        <v>19.5</v>
      </c>
      <c r="J1705" s="5">
        <v>0</v>
      </c>
      <c r="K1705" s="6">
        <v>0</v>
      </c>
      <c r="L1705" s="6">
        <v>5</v>
      </c>
      <c r="M1705" t="s">
        <v>58</v>
      </c>
      <c r="N1705" t="s">
        <v>69</v>
      </c>
      <c r="O1705" t="s">
        <v>60</v>
      </c>
    </row>
    <row r="1706" spans="1:15">
      <c r="A1706" t="s">
        <v>1806</v>
      </c>
      <c r="B1706" s="3">
        <v>45864</v>
      </c>
      <c r="C1706" t="s">
        <v>82</v>
      </c>
      <c r="D1706" t="s">
        <v>129</v>
      </c>
      <c r="E1706" t="s">
        <v>79</v>
      </c>
      <c r="F1706" t="s">
        <v>80</v>
      </c>
      <c r="G1706" s="6">
        <v>6</v>
      </c>
      <c r="H1706" s="4">
        <v>73.44</v>
      </c>
      <c r="I1706" s="4">
        <v>42.34</v>
      </c>
      <c r="J1706" s="5">
        <v>0.1</v>
      </c>
      <c r="K1706" s="6">
        <v>5</v>
      </c>
      <c r="L1706" s="6">
        <v>3</v>
      </c>
      <c r="M1706" t="s">
        <v>126</v>
      </c>
      <c r="N1706" t="s">
        <v>59</v>
      </c>
      <c r="O1706" t="s">
        <v>64</v>
      </c>
    </row>
    <row r="1707" spans="1:15">
      <c r="A1707" t="s">
        <v>1807</v>
      </c>
      <c r="B1707" s="3">
        <v>45749</v>
      </c>
      <c r="C1707" t="s">
        <v>66</v>
      </c>
      <c r="D1707" t="s">
        <v>62</v>
      </c>
      <c r="E1707" t="s">
        <v>75</v>
      </c>
      <c r="F1707" t="s">
        <v>110</v>
      </c>
      <c r="G1707" s="6">
        <v>2</v>
      </c>
      <c r="H1707" s="4">
        <v>157.36000000000001</v>
      </c>
      <c r="I1707" s="4">
        <v>103.98</v>
      </c>
      <c r="J1707" s="5">
        <v>0.1</v>
      </c>
      <c r="K1707" s="6">
        <v>5</v>
      </c>
      <c r="L1707" s="6">
        <v>5</v>
      </c>
      <c r="M1707" t="s">
        <v>58</v>
      </c>
      <c r="N1707" t="s">
        <v>69</v>
      </c>
      <c r="O1707" t="s">
        <v>73</v>
      </c>
    </row>
    <row r="1708" spans="1:15">
      <c r="A1708" t="s">
        <v>1808</v>
      </c>
      <c r="B1708" s="3">
        <v>45794</v>
      </c>
      <c r="C1708" t="s">
        <v>66</v>
      </c>
      <c r="D1708" t="s">
        <v>62</v>
      </c>
      <c r="E1708" t="s">
        <v>79</v>
      </c>
      <c r="F1708" t="s">
        <v>115</v>
      </c>
      <c r="G1708" s="6">
        <v>2</v>
      </c>
      <c r="H1708" s="4">
        <v>59.55</v>
      </c>
      <c r="I1708" s="4">
        <v>33.090000000000003</v>
      </c>
      <c r="J1708" s="5">
        <v>0.15000000000000002</v>
      </c>
      <c r="K1708" s="6">
        <v>4</v>
      </c>
      <c r="L1708" s="6">
        <v>5</v>
      </c>
      <c r="M1708" t="s">
        <v>58</v>
      </c>
      <c r="N1708" t="s">
        <v>69</v>
      </c>
      <c r="O1708" t="s">
        <v>60</v>
      </c>
    </row>
    <row r="1709" spans="1:15">
      <c r="A1709" t="s">
        <v>1809</v>
      </c>
      <c r="B1709" s="3">
        <v>45686</v>
      </c>
      <c r="C1709" t="s">
        <v>66</v>
      </c>
      <c r="D1709" t="s">
        <v>62</v>
      </c>
      <c r="E1709" t="s">
        <v>79</v>
      </c>
      <c r="F1709" t="s">
        <v>80</v>
      </c>
      <c r="G1709" s="6">
        <v>3</v>
      </c>
      <c r="H1709" s="4">
        <v>75.92</v>
      </c>
      <c r="I1709" s="4">
        <v>43.58</v>
      </c>
      <c r="J1709" s="5">
        <v>0.05</v>
      </c>
      <c r="K1709" s="6">
        <v>4</v>
      </c>
      <c r="L1709" s="6">
        <v>5</v>
      </c>
      <c r="M1709" t="s">
        <v>58</v>
      </c>
      <c r="N1709" t="s">
        <v>87</v>
      </c>
      <c r="O1709" t="s">
        <v>64</v>
      </c>
    </row>
    <row r="1710" spans="1:15">
      <c r="A1710" t="s">
        <v>1810</v>
      </c>
      <c r="B1710" s="3">
        <v>45756</v>
      </c>
      <c r="C1710" t="s">
        <v>82</v>
      </c>
      <c r="D1710" t="s">
        <v>62</v>
      </c>
      <c r="E1710" t="s">
        <v>56</v>
      </c>
      <c r="F1710" t="s">
        <v>57</v>
      </c>
      <c r="G1710" s="6">
        <v>1</v>
      </c>
      <c r="H1710" s="4">
        <v>109.2</v>
      </c>
      <c r="I1710" s="4">
        <v>65.180000000000007</v>
      </c>
      <c r="J1710" s="5">
        <v>0</v>
      </c>
      <c r="K1710" s="6">
        <v>3</v>
      </c>
      <c r="L1710" s="6">
        <v>4</v>
      </c>
      <c r="M1710" t="s">
        <v>58</v>
      </c>
      <c r="N1710" t="s">
        <v>87</v>
      </c>
      <c r="O1710" t="s">
        <v>73</v>
      </c>
    </row>
    <row r="1711" spans="1:15">
      <c r="A1711" t="s">
        <v>1811</v>
      </c>
      <c r="B1711" s="3">
        <v>45928</v>
      </c>
      <c r="C1711" t="s">
        <v>82</v>
      </c>
      <c r="D1711" t="s">
        <v>62</v>
      </c>
      <c r="E1711" t="s">
        <v>56</v>
      </c>
      <c r="F1711" t="s">
        <v>57</v>
      </c>
      <c r="G1711" s="6">
        <v>1</v>
      </c>
      <c r="H1711" s="4">
        <v>109.12</v>
      </c>
      <c r="I1711" s="4">
        <v>65</v>
      </c>
      <c r="J1711" s="5">
        <v>0.05</v>
      </c>
      <c r="K1711" s="6">
        <v>3</v>
      </c>
      <c r="L1711" s="6">
        <v>4</v>
      </c>
      <c r="M1711" t="s">
        <v>58</v>
      </c>
      <c r="N1711" t="s">
        <v>87</v>
      </c>
      <c r="O1711" t="s">
        <v>73</v>
      </c>
    </row>
    <row r="1712" spans="1:15">
      <c r="A1712" t="s">
        <v>1812</v>
      </c>
      <c r="B1712" s="3">
        <v>45995</v>
      </c>
      <c r="C1712" t="s">
        <v>209</v>
      </c>
      <c r="D1712" t="s">
        <v>129</v>
      </c>
      <c r="E1712" t="s">
        <v>67</v>
      </c>
      <c r="F1712" t="s">
        <v>71</v>
      </c>
      <c r="G1712" s="6">
        <v>6</v>
      </c>
      <c r="H1712" s="4">
        <v>70.209999999999994</v>
      </c>
      <c r="I1712" s="4">
        <v>39.299999999999997</v>
      </c>
      <c r="J1712" s="5">
        <v>0.1</v>
      </c>
      <c r="K1712" s="6">
        <v>0</v>
      </c>
      <c r="L1712" s="6">
        <v>3</v>
      </c>
      <c r="M1712" t="s">
        <v>126</v>
      </c>
      <c r="N1712" t="s">
        <v>69</v>
      </c>
      <c r="O1712" t="s">
        <v>64</v>
      </c>
    </row>
    <row r="1713" spans="1:15">
      <c r="A1713" t="s">
        <v>1813</v>
      </c>
      <c r="B1713" s="3">
        <v>45995</v>
      </c>
      <c r="C1713" t="s">
        <v>82</v>
      </c>
      <c r="D1713" t="s">
        <v>62</v>
      </c>
      <c r="E1713" t="s">
        <v>79</v>
      </c>
      <c r="F1713" t="s">
        <v>80</v>
      </c>
      <c r="G1713" s="6">
        <v>1</v>
      </c>
      <c r="H1713" s="4">
        <v>74.650000000000006</v>
      </c>
      <c r="I1713" s="4">
        <v>44.64</v>
      </c>
      <c r="J1713" s="5">
        <v>0.05</v>
      </c>
      <c r="K1713" s="6">
        <v>3</v>
      </c>
      <c r="L1713" s="6">
        <v>4</v>
      </c>
      <c r="M1713" t="s">
        <v>58</v>
      </c>
      <c r="N1713" t="s">
        <v>59</v>
      </c>
      <c r="O1713" t="s">
        <v>64</v>
      </c>
    </row>
    <row r="1714" spans="1:15">
      <c r="A1714" t="s">
        <v>1814</v>
      </c>
      <c r="B1714" s="3">
        <v>45991</v>
      </c>
      <c r="C1714" t="s">
        <v>78</v>
      </c>
      <c r="D1714" t="s">
        <v>55</v>
      </c>
      <c r="E1714" t="s">
        <v>79</v>
      </c>
      <c r="F1714" t="s">
        <v>85</v>
      </c>
      <c r="G1714" s="6">
        <v>2</v>
      </c>
      <c r="H1714" s="4">
        <v>126.65</v>
      </c>
      <c r="I1714" s="4">
        <v>83</v>
      </c>
      <c r="J1714" s="5">
        <v>0.05</v>
      </c>
      <c r="K1714" s="6">
        <v>2</v>
      </c>
      <c r="L1714" s="6">
        <v>4</v>
      </c>
      <c r="M1714" t="s">
        <v>58</v>
      </c>
      <c r="N1714" t="s">
        <v>69</v>
      </c>
      <c r="O1714" t="s">
        <v>60</v>
      </c>
    </row>
    <row r="1715" spans="1:15">
      <c r="A1715" t="s">
        <v>1815</v>
      </c>
      <c r="B1715" s="3">
        <v>45746</v>
      </c>
      <c r="C1715" t="s">
        <v>66</v>
      </c>
      <c r="D1715" t="s">
        <v>62</v>
      </c>
      <c r="E1715" t="s">
        <v>75</v>
      </c>
      <c r="F1715" t="s">
        <v>110</v>
      </c>
      <c r="G1715" s="6">
        <v>1</v>
      </c>
      <c r="H1715" s="4">
        <v>161.9</v>
      </c>
      <c r="I1715" s="4">
        <v>98.29</v>
      </c>
      <c r="J1715" s="5">
        <v>0.15000000000000002</v>
      </c>
      <c r="K1715" s="6">
        <v>3</v>
      </c>
      <c r="L1715" s="6">
        <v>5</v>
      </c>
      <c r="M1715" t="s">
        <v>58</v>
      </c>
      <c r="N1715" t="s">
        <v>69</v>
      </c>
      <c r="O1715" t="s">
        <v>64</v>
      </c>
    </row>
    <row r="1716" spans="1:15">
      <c r="A1716" t="s">
        <v>1816</v>
      </c>
      <c r="B1716" s="3">
        <v>45756</v>
      </c>
      <c r="C1716" t="s">
        <v>78</v>
      </c>
      <c r="D1716" t="s">
        <v>55</v>
      </c>
      <c r="E1716" t="s">
        <v>79</v>
      </c>
      <c r="F1716" t="s">
        <v>92</v>
      </c>
      <c r="G1716" s="6">
        <v>4</v>
      </c>
      <c r="H1716" s="4">
        <v>51.65</v>
      </c>
      <c r="I1716" s="4">
        <v>26.99</v>
      </c>
      <c r="J1716" s="5">
        <v>0</v>
      </c>
      <c r="K1716" s="6">
        <v>1</v>
      </c>
      <c r="L1716" s="6">
        <v>3</v>
      </c>
      <c r="M1716" t="s">
        <v>126</v>
      </c>
      <c r="N1716" t="s">
        <v>69</v>
      </c>
      <c r="O1716" t="s">
        <v>64</v>
      </c>
    </row>
    <row r="1717" spans="1:15">
      <c r="A1717" t="s">
        <v>1817</v>
      </c>
      <c r="B1717" s="3">
        <v>46008</v>
      </c>
      <c r="C1717" t="s">
        <v>82</v>
      </c>
      <c r="D1717" t="s">
        <v>55</v>
      </c>
      <c r="E1717" t="s">
        <v>79</v>
      </c>
      <c r="F1717" t="s">
        <v>115</v>
      </c>
      <c r="G1717" s="6">
        <v>4</v>
      </c>
      <c r="H1717" s="4">
        <v>58.38</v>
      </c>
      <c r="I1717" s="4">
        <v>33.68</v>
      </c>
      <c r="J1717" s="5">
        <v>0.15000000000000002</v>
      </c>
      <c r="K1717" s="6">
        <v>5</v>
      </c>
      <c r="L1717" s="6">
        <v>4</v>
      </c>
      <c r="M1717" t="s">
        <v>58</v>
      </c>
      <c r="N1717" t="s">
        <v>59</v>
      </c>
      <c r="O1717" t="s">
        <v>64</v>
      </c>
    </row>
    <row r="1718" spans="1:15">
      <c r="A1718" t="s">
        <v>1818</v>
      </c>
      <c r="B1718" s="3">
        <v>45859</v>
      </c>
      <c r="C1718" t="s">
        <v>54</v>
      </c>
      <c r="D1718" t="s">
        <v>55</v>
      </c>
      <c r="E1718" t="s">
        <v>75</v>
      </c>
      <c r="F1718" t="s">
        <v>97</v>
      </c>
      <c r="G1718" s="6">
        <v>4</v>
      </c>
      <c r="H1718" s="4">
        <v>91.58</v>
      </c>
      <c r="I1718" s="4">
        <v>53.93</v>
      </c>
      <c r="J1718" s="5">
        <v>0.05</v>
      </c>
      <c r="K1718" s="6">
        <v>5</v>
      </c>
      <c r="L1718" s="6">
        <v>4</v>
      </c>
      <c r="M1718" t="s">
        <v>58</v>
      </c>
      <c r="N1718" t="s">
        <v>69</v>
      </c>
      <c r="O1718" t="s">
        <v>64</v>
      </c>
    </row>
    <row r="1719" spans="1:15">
      <c r="A1719" t="s">
        <v>1819</v>
      </c>
      <c r="B1719" s="3">
        <v>45722</v>
      </c>
      <c r="C1719" t="s">
        <v>78</v>
      </c>
      <c r="D1719" t="s">
        <v>62</v>
      </c>
      <c r="E1719" t="s">
        <v>79</v>
      </c>
      <c r="F1719" t="s">
        <v>115</v>
      </c>
      <c r="G1719" s="6">
        <v>1</v>
      </c>
      <c r="H1719" s="4">
        <v>61.8</v>
      </c>
      <c r="I1719" s="4">
        <v>33.590000000000003</v>
      </c>
      <c r="J1719" s="5">
        <v>0.1</v>
      </c>
      <c r="K1719" s="6">
        <v>5</v>
      </c>
      <c r="L1719" s="6">
        <v>5</v>
      </c>
      <c r="M1719" t="s">
        <v>58</v>
      </c>
      <c r="N1719" t="s">
        <v>59</v>
      </c>
      <c r="O1719" t="s">
        <v>60</v>
      </c>
    </row>
    <row r="1720" spans="1:15">
      <c r="A1720" t="s">
        <v>1820</v>
      </c>
      <c r="B1720" s="3">
        <v>45711</v>
      </c>
      <c r="C1720" t="s">
        <v>66</v>
      </c>
      <c r="D1720" t="s">
        <v>62</v>
      </c>
      <c r="E1720" t="s">
        <v>56</v>
      </c>
      <c r="F1720" t="s">
        <v>57</v>
      </c>
      <c r="G1720" s="6">
        <v>1</v>
      </c>
      <c r="H1720" s="4">
        <v>108.51</v>
      </c>
      <c r="I1720" s="4">
        <v>65.92</v>
      </c>
      <c r="J1720" s="5">
        <v>0.05</v>
      </c>
      <c r="K1720" s="6">
        <v>6</v>
      </c>
      <c r="L1720" s="6">
        <v>3</v>
      </c>
      <c r="M1720" t="s">
        <v>58</v>
      </c>
      <c r="N1720" t="s">
        <v>59</v>
      </c>
      <c r="O1720" t="s">
        <v>64</v>
      </c>
    </row>
    <row r="1721" spans="1:15">
      <c r="A1721" t="s">
        <v>1821</v>
      </c>
      <c r="B1721" s="3">
        <v>45866</v>
      </c>
      <c r="C1721" t="s">
        <v>78</v>
      </c>
      <c r="D1721" t="s">
        <v>55</v>
      </c>
      <c r="E1721" t="s">
        <v>56</v>
      </c>
      <c r="F1721" t="s">
        <v>83</v>
      </c>
      <c r="G1721" s="6">
        <v>6</v>
      </c>
      <c r="H1721" s="4">
        <v>66.099999999999994</v>
      </c>
      <c r="I1721" s="4">
        <v>36.53</v>
      </c>
      <c r="J1721" s="5">
        <v>0.1</v>
      </c>
      <c r="K1721" s="6">
        <v>3</v>
      </c>
      <c r="L1721" s="6">
        <v>5</v>
      </c>
      <c r="M1721" t="s">
        <v>58</v>
      </c>
      <c r="N1721" t="s">
        <v>69</v>
      </c>
      <c r="O1721" t="s">
        <v>64</v>
      </c>
    </row>
    <row r="1722" spans="1:15">
      <c r="A1722" t="s">
        <v>1822</v>
      </c>
      <c r="B1722" s="3">
        <v>46009</v>
      </c>
      <c r="C1722" t="s">
        <v>66</v>
      </c>
      <c r="D1722" t="s">
        <v>62</v>
      </c>
      <c r="E1722" t="s">
        <v>79</v>
      </c>
      <c r="F1722" t="s">
        <v>85</v>
      </c>
      <c r="G1722" s="6">
        <v>4</v>
      </c>
      <c r="H1722" s="4">
        <v>134.78</v>
      </c>
      <c r="I1722" s="4">
        <v>87.33</v>
      </c>
      <c r="J1722" s="5">
        <v>0.15000000000000002</v>
      </c>
      <c r="K1722" s="6">
        <v>4</v>
      </c>
      <c r="L1722" s="6">
        <v>4</v>
      </c>
      <c r="M1722" t="s">
        <v>58</v>
      </c>
      <c r="N1722" t="s">
        <v>59</v>
      </c>
      <c r="O1722" t="s">
        <v>60</v>
      </c>
    </row>
    <row r="1723" spans="1:15">
      <c r="A1723" t="s">
        <v>1823</v>
      </c>
      <c r="B1723" s="3">
        <v>46014</v>
      </c>
      <c r="C1723" t="s">
        <v>82</v>
      </c>
      <c r="D1723" t="s">
        <v>62</v>
      </c>
      <c r="E1723" t="s">
        <v>67</v>
      </c>
      <c r="F1723" t="s">
        <v>71</v>
      </c>
      <c r="G1723" s="6">
        <v>2</v>
      </c>
      <c r="H1723" s="4">
        <v>69.88</v>
      </c>
      <c r="I1723" s="4">
        <v>37.450000000000003</v>
      </c>
      <c r="J1723" s="5">
        <v>0.05</v>
      </c>
      <c r="K1723" s="6">
        <v>7</v>
      </c>
      <c r="L1723" s="6">
        <v>3</v>
      </c>
      <c r="M1723" t="s">
        <v>58</v>
      </c>
      <c r="N1723" t="s">
        <v>59</v>
      </c>
      <c r="O1723" t="s">
        <v>60</v>
      </c>
    </row>
    <row r="1724" spans="1:15">
      <c r="A1724" t="s">
        <v>1824</v>
      </c>
      <c r="B1724" s="3">
        <v>45674</v>
      </c>
      <c r="C1724" t="s">
        <v>54</v>
      </c>
      <c r="D1724" t="s">
        <v>62</v>
      </c>
      <c r="E1724" t="s">
        <v>67</v>
      </c>
      <c r="F1724" t="s">
        <v>94</v>
      </c>
      <c r="G1724" s="6">
        <v>1</v>
      </c>
      <c r="H1724" s="4">
        <v>35.56</v>
      </c>
      <c r="I1724" s="4">
        <v>17.61</v>
      </c>
      <c r="J1724" s="5">
        <v>0.1</v>
      </c>
      <c r="K1724" s="6">
        <v>1</v>
      </c>
      <c r="L1724" s="6">
        <v>5</v>
      </c>
      <c r="M1724" t="s">
        <v>58</v>
      </c>
      <c r="N1724" t="s">
        <v>59</v>
      </c>
      <c r="O1724" t="s">
        <v>64</v>
      </c>
    </row>
    <row r="1725" spans="1:15">
      <c r="A1725" t="s">
        <v>1825</v>
      </c>
      <c r="B1725" s="3">
        <v>45684</v>
      </c>
      <c r="C1725" t="s">
        <v>78</v>
      </c>
      <c r="D1725" t="s">
        <v>62</v>
      </c>
      <c r="E1725" t="s">
        <v>79</v>
      </c>
      <c r="F1725" t="s">
        <v>92</v>
      </c>
      <c r="G1725" s="6">
        <v>2</v>
      </c>
      <c r="H1725" s="4">
        <v>50.16</v>
      </c>
      <c r="I1725" s="4">
        <v>26.94</v>
      </c>
      <c r="J1725" s="5">
        <v>0</v>
      </c>
      <c r="K1725" s="6">
        <v>6</v>
      </c>
      <c r="L1725" s="6">
        <v>4</v>
      </c>
      <c r="M1725" t="s">
        <v>58</v>
      </c>
      <c r="N1725" t="s">
        <v>59</v>
      </c>
      <c r="O1725" t="s">
        <v>64</v>
      </c>
    </row>
    <row r="1726" spans="1:15">
      <c r="A1726" t="s">
        <v>1826</v>
      </c>
      <c r="B1726" s="3">
        <v>45768</v>
      </c>
      <c r="C1726" t="s">
        <v>78</v>
      </c>
      <c r="D1726" t="s">
        <v>62</v>
      </c>
      <c r="E1726" t="s">
        <v>56</v>
      </c>
      <c r="F1726" t="s">
        <v>83</v>
      </c>
      <c r="G1726" s="6">
        <v>1</v>
      </c>
      <c r="H1726" s="4">
        <v>64.55</v>
      </c>
      <c r="I1726" s="4">
        <v>36.090000000000003</v>
      </c>
      <c r="J1726" s="5">
        <v>0.1</v>
      </c>
      <c r="K1726" s="6">
        <v>3</v>
      </c>
      <c r="L1726" s="6">
        <v>4</v>
      </c>
      <c r="M1726" t="s">
        <v>58</v>
      </c>
      <c r="N1726" t="s">
        <v>69</v>
      </c>
      <c r="O1726" t="s">
        <v>64</v>
      </c>
    </row>
    <row r="1727" spans="1:15">
      <c r="A1727" t="s">
        <v>1827</v>
      </c>
      <c r="B1727" s="3">
        <v>45916</v>
      </c>
      <c r="C1727" t="s">
        <v>66</v>
      </c>
      <c r="D1727" t="s">
        <v>55</v>
      </c>
      <c r="E1727" t="s">
        <v>75</v>
      </c>
      <c r="F1727" t="s">
        <v>146</v>
      </c>
      <c r="G1727" s="6">
        <v>2</v>
      </c>
      <c r="H1727" s="4">
        <v>180.05</v>
      </c>
      <c r="I1727" s="4">
        <v>116.18</v>
      </c>
      <c r="J1727" s="5">
        <v>0.05</v>
      </c>
      <c r="K1727" s="6">
        <v>4</v>
      </c>
      <c r="L1727" s="6">
        <v>4</v>
      </c>
      <c r="M1727" t="s">
        <v>58</v>
      </c>
      <c r="N1727" t="s">
        <v>69</v>
      </c>
      <c r="O1727" t="s">
        <v>60</v>
      </c>
    </row>
    <row r="1728" spans="1:15">
      <c r="A1728" t="s">
        <v>1828</v>
      </c>
      <c r="B1728" s="3">
        <v>45877</v>
      </c>
      <c r="C1728" t="s">
        <v>78</v>
      </c>
      <c r="D1728" t="s">
        <v>62</v>
      </c>
      <c r="E1728" t="s">
        <v>79</v>
      </c>
      <c r="F1728" t="s">
        <v>115</v>
      </c>
      <c r="G1728" s="6">
        <v>1</v>
      </c>
      <c r="H1728" s="4">
        <v>61.93</v>
      </c>
      <c r="I1728" s="4">
        <v>34.6</v>
      </c>
      <c r="J1728" s="5">
        <v>0</v>
      </c>
      <c r="K1728" s="6">
        <v>1</v>
      </c>
      <c r="L1728" s="6">
        <v>4</v>
      </c>
      <c r="M1728" t="s">
        <v>58</v>
      </c>
      <c r="N1728" t="s">
        <v>69</v>
      </c>
      <c r="O1728" t="s">
        <v>73</v>
      </c>
    </row>
    <row r="1729" spans="1:15">
      <c r="A1729" t="s">
        <v>1829</v>
      </c>
      <c r="B1729" s="3">
        <v>45675</v>
      </c>
      <c r="C1729" t="s">
        <v>78</v>
      </c>
      <c r="D1729" t="s">
        <v>62</v>
      </c>
      <c r="E1729" t="s">
        <v>67</v>
      </c>
      <c r="F1729" t="s">
        <v>94</v>
      </c>
      <c r="G1729" s="6">
        <v>2</v>
      </c>
      <c r="H1729" s="4">
        <v>35.270000000000003</v>
      </c>
      <c r="I1729" s="4">
        <v>16.510000000000002</v>
      </c>
      <c r="J1729" s="5">
        <v>0</v>
      </c>
      <c r="K1729" s="6">
        <v>3</v>
      </c>
      <c r="L1729" s="6">
        <v>5</v>
      </c>
      <c r="M1729" t="s">
        <v>58</v>
      </c>
      <c r="N1729" t="s">
        <v>59</v>
      </c>
      <c r="O1729" t="s">
        <v>64</v>
      </c>
    </row>
    <row r="1730" spans="1:15">
      <c r="A1730" t="s">
        <v>1830</v>
      </c>
      <c r="B1730" s="3">
        <v>45830</v>
      </c>
      <c r="C1730" t="s">
        <v>78</v>
      </c>
      <c r="D1730" t="s">
        <v>62</v>
      </c>
      <c r="E1730" t="s">
        <v>79</v>
      </c>
      <c r="F1730" t="s">
        <v>80</v>
      </c>
      <c r="G1730" s="6">
        <v>1</v>
      </c>
      <c r="H1730" s="4">
        <v>75.72</v>
      </c>
      <c r="I1730" s="4">
        <v>41.91</v>
      </c>
      <c r="J1730" s="5">
        <v>0</v>
      </c>
      <c r="K1730" s="6">
        <v>0</v>
      </c>
      <c r="L1730" s="6">
        <v>4</v>
      </c>
      <c r="M1730" t="s">
        <v>58</v>
      </c>
      <c r="N1730" t="s">
        <v>69</v>
      </c>
      <c r="O1730" t="s">
        <v>60</v>
      </c>
    </row>
    <row r="1731" spans="1:15">
      <c r="A1731" t="s">
        <v>1831</v>
      </c>
      <c r="B1731" s="3">
        <v>45905</v>
      </c>
      <c r="C1731" t="s">
        <v>66</v>
      </c>
      <c r="D1731" t="s">
        <v>62</v>
      </c>
      <c r="E1731" t="s">
        <v>75</v>
      </c>
      <c r="F1731" t="s">
        <v>76</v>
      </c>
      <c r="G1731" s="6">
        <v>3</v>
      </c>
      <c r="H1731" s="4">
        <v>122.85</v>
      </c>
      <c r="I1731" s="4">
        <v>73.400000000000006</v>
      </c>
      <c r="J1731" s="5">
        <v>0.2</v>
      </c>
      <c r="K1731" s="6">
        <v>6</v>
      </c>
      <c r="L1731" s="6">
        <v>3</v>
      </c>
      <c r="M1731" t="s">
        <v>58</v>
      </c>
      <c r="N1731" t="s">
        <v>69</v>
      </c>
      <c r="O1731" t="s">
        <v>73</v>
      </c>
    </row>
    <row r="1732" spans="1:15">
      <c r="A1732" t="s">
        <v>1832</v>
      </c>
      <c r="B1732" s="3">
        <v>45835</v>
      </c>
      <c r="C1732" t="s">
        <v>78</v>
      </c>
      <c r="D1732" t="s">
        <v>62</v>
      </c>
      <c r="E1732" t="s">
        <v>56</v>
      </c>
      <c r="F1732" t="s">
        <v>83</v>
      </c>
      <c r="G1732" s="6">
        <v>2</v>
      </c>
      <c r="H1732" s="4">
        <v>64.239999999999995</v>
      </c>
      <c r="I1732" s="4">
        <v>34.909999999999997</v>
      </c>
      <c r="J1732" s="5">
        <v>0.05</v>
      </c>
      <c r="K1732" s="6">
        <v>0</v>
      </c>
      <c r="L1732" s="6">
        <v>4</v>
      </c>
      <c r="M1732" t="s">
        <v>58</v>
      </c>
      <c r="N1732" t="s">
        <v>69</v>
      </c>
      <c r="O1732" t="s">
        <v>64</v>
      </c>
    </row>
    <row r="1733" spans="1:15">
      <c r="A1733" t="s">
        <v>1833</v>
      </c>
      <c r="B1733" s="3">
        <v>45830</v>
      </c>
      <c r="C1733" t="s">
        <v>78</v>
      </c>
      <c r="D1733" t="s">
        <v>62</v>
      </c>
      <c r="E1733" t="s">
        <v>79</v>
      </c>
      <c r="F1733" t="s">
        <v>115</v>
      </c>
      <c r="G1733" s="6">
        <v>2</v>
      </c>
      <c r="H1733" s="4">
        <v>59.7</v>
      </c>
      <c r="I1733" s="4">
        <v>34.049999999999997</v>
      </c>
      <c r="J1733" s="5">
        <v>0</v>
      </c>
      <c r="K1733" s="6">
        <v>3</v>
      </c>
      <c r="L1733" s="6">
        <v>4</v>
      </c>
      <c r="M1733" t="s">
        <v>58</v>
      </c>
      <c r="N1733" t="s">
        <v>87</v>
      </c>
      <c r="O1733" t="s">
        <v>60</v>
      </c>
    </row>
    <row r="1734" spans="1:15">
      <c r="A1734" t="s">
        <v>1834</v>
      </c>
      <c r="B1734" s="3">
        <v>45864</v>
      </c>
      <c r="C1734" t="s">
        <v>54</v>
      </c>
      <c r="D1734" t="s">
        <v>62</v>
      </c>
      <c r="E1734" t="s">
        <v>75</v>
      </c>
      <c r="F1734" t="s">
        <v>146</v>
      </c>
      <c r="G1734" s="6">
        <v>2</v>
      </c>
      <c r="H1734" s="4">
        <v>179.76</v>
      </c>
      <c r="I1734" s="4">
        <v>111.82</v>
      </c>
      <c r="J1734" s="5">
        <v>0.05</v>
      </c>
      <c r="K1734" s="6">
        <v>8</v>
      </c>
      <c r="L1734" s="6">
        <v>2</v>
      </c>
      <c r="M1734" t="s">
        <v>126</v>
      </c>
      <c r="N1734" t="s">
        <v>59</v>
      </c>
      <c r="O1734" t="s">
        <v>64</v>
      </c>
    </row>
    <row r="1735" spans="1:15">
      <c r="A1735" t="s">
        <v>1835</v>
      </c>
      <c r="B1735" s="3">
        <v>45750</v>
      </c>
      <c r="C1735" t="s">
        <v>82</v>
      </c>
      <c r="D1735" t="s">
        <v>62</v>
      </c>
      <c r="E1735" t="s">
        <v>79</v>
      </c>
      <c r="F1735" t="s">
        <v>80</v>
      </c>
      <c r="G1735" s="6">
        <v>1</v>
      </c>
      <c r="H1735" s="4">
        <v>75.16</v>
      </c>
      <c r="I1735" s="4">
        <v>44.63</v>
      </c>
      <c r="J1735" s="5">
        <v>0.05</v>
      </c>
      <c r="K1735" s="6">
        <v>6</v>
      </c>
      <c r="L1735" s="6">
        <v>3</v>
      </c>
      <c r="M1735" t="s">
        <v>58</v>
      </c>
      <c r="N1735" t="s">
        <v>59</v>
      </c>
      <c r="O1735" t="s">
        <v>64</v>
      </c>
    </row>
    <row r="1736" spans="1:15">
      <c r="A1736" t="s">
        <v>1836</v>
      </c>
      <c r="B1736" s="3">
        <v>45881</v>
      </c>
      <c r="C1736" t="s">
        <v>82</v>
      </c>
      <c r="D1736" t="s">
        <v>62</v>
      </c>
      <c r="E1736" t="s">
        <v>79</v>
      </c>
      <c r="F1736" t="s">
        <v>115</v>
      </c>
      <c r="G1736" s="6">
        <v>2</v>
      </c>
      <c r="H1736" s="4">
        <v>62.19</v>
      </c>
      <c r="I1736" s="4">
        <v>33.9</v>
      </c>
      <c r="J1736" s="5">
        <v>0.05</v>
      </c>
      <c r="K1736" s="6">
        <v>1</v>
      </c>
      <c r="L1736" s="6">
        <v>5</v>
      </c>
      <c r="M1736" t="s">
        <v>58</v>
      </c>
      <c r="N1736" t="s">
        <v>59</v>
      </c>
      <c r="O1736" t="s">
        <v>64</v>
      </c>
    </row>
    <row r="1737" spans="1:15">
      <c r="A1737" t="s">
        <v>1837</v>
      </c>
      <c r="B1737" s="3">
        <v>45756</v>
      </c>
      <c r="C1737" t="s">
        <v>54</v>
      </c>
      <c r="D1737" t="s">
        <v>62</v>
      </c>
      <c r="E1737" t="s">
        <v>56</v>
      </c>
      <c r="F1737" t="s">
        <v>83</v>
      </c>
      <c r="G1737" s="6">
        <v>3</v>
      </c>
      <c r="H1737" s="4">
        <v>63.58</v>
      </c>
      <c r="I1737" s="4">
        <v>35.619999999999997</v>
      </c>
      <c r="J1737" s="5">
        <v>0.05</v>
      </c>
      <c r="K1737" s="6">
        <v>6</v>
      </c>
      <c r="L1737" s="6">
        <v>4</v>
      </c>
      <c r="M1737" t="s">
        <v>58</v>
      </c>
      <c r="N1737" t="s">
        <v>59</v>
      </c>
      <c r="O1737" t="s">
        <v>60</v>
      </c>
    </row>
    <row r="1738" spans="1:15">
      <c r="A1738" t="s">
        <v>1838</v>
      </c>
      <c r="B1738" s="3">
        <v>45933</v>
      </c>
      <c r="C1738" t="s">
        <v>82</v>
      </c>
      <c r="D1738" t="s">
        <v>129</v>
      </c>
      <c r="E1738" t="s">
        <v>56</v>
      </c>
      <c r="F1738" t="s">
        <v>83</v>
      </c>
      <c r="G1738" s="6">
        <v>10</v>
      </c>
      <c r="H1738" s="4">
        <v>65.52</v>
      </c>
      <c r="I1738" s="4">
        <v>34.26</v>
      </c>
      <c r="J1738" s="5">
        <v>0.05</v>
      </c>
      <c r="K1738" s="6">
        <v>3</v>
      </c>
      <c r="L1738" s="6">
        <v>4</v>
      </c>
      <c r="M1738" t="s">
        <v>58</v>
      </c>
      <c r="N1738" t="s">
        <v>69</v>
      </c>
      <c r="O1738" t="s">
        <v>64</v>
      </c>
    </row>
    <row r="1739" spans="1:15">
      <c r="A1739" t="s">
        <v>410</v>
      </c>
      <c r="B1739" s="3">
        <v>46012</v>
      </c>
      <c r="C1739" t="s">
        <v>78</v>
      </c>
      <c r="D1739" t="s">
        <v>62</v>
      </c>
      <c r="E1739" t="s">
        <v>79</v>
      </c>
      <c r="F1739" t="s">
        <v>80</v>
      </c>
      <c r="G1739" s="6">
        <v>1</v>
      </c>
      <c r="H1739" s="4">
        <v>73.349999999999994</v>
      </c>
      <c r="I1739" s="4">
        <v>44.73</v>
      </c>
      <c r="J1739" s="5">
        <v>0.05</v>
      </c>
      <c r="K1739" s="6">
        <v>1</v>
      </c>
      <c r="L1739" s="6">
        <v>5</v>
      </c>
      <c r="M1739" t="s">
        <v>58</v>
      </c>
      <c r="N1739" t="s">
        <v>69</v>
      </c>
      <c r="O1739" t="s">
        <v>64</v>
      </c>
    </row>
    <row r="1740" spans="1:15">
      <c r="A1740" t="s">
        <v>1839</v>
      </c>
      <c r="B1740" s="3">
        <v>45928</v>
      </c>
      <c r="C1740" t="s">
        <v>78</v>
      </c>
      <c r="D1740" t="s">
        <v>62</v>
      </c>
      <c r="E1740" t="s">
        <v>56</v>
      </c>
      <c r="F1740" t="s">
        <v>57</v>
      </c>
      <c r="G1740" s="6">
        <v>1</v>
      </c>
      <c r="H1740" s="4">
        <v>111.12</v>
      </c>
      <c r="I1740" s="4">
        <v>68.569999999999993</v>
      </c>
      <c r="J1740" s="5">
        <v>0.1</v>
      </c>
      <c r="K1740" s="6">
        <v>4</v>
      </c>
      <c r="L1740" s="6">
        <v>4</v>
      </c>
      <c r="M1740" t="s">
        <v>58</v>
      </c>
      <c r="N1740" t="s">
        <v>59</v>
      </c>
      <c r="O1740" t="s">
        <v>60</v>
      </c>
    </row>
    <row r="1741" spans="1:15">
      <c r="A1741" t="s">
        <v>1840</v>
      </c>
      <c r="B1741" s="3">
        <v>45882</v>
      </c>
      <c r="C1741" t="s">
        <v>78</v>
      </c>
      <c r="D1741" t="s">
        <v>62</v>
      </c>
      <c r="E1741" t="s">
        <v>56</v>
      </c>
      <c r="F1741" t="s">
        <v>83</v>
      </c>
      <c r="G1741" s="6">
        <v>1</v>
      </c>
      <c r="H1741" s="4">
        <v>63.72</v>
      </c>
      <c r="I1741" s="4">
        <v>36.58</v>
      </c>
      <c r="J1741" s="5">
        <v>0</v>
      </c>
      <c r="K1741" s="6">
        <v>1</v>
      </c>
      <c r="L1741" s="6">
        <v>4</v>
      </c>
      <c r="M1741" t="s">
        <v>58</v>
      </c>
      <c r="N1741" t="s">
        <v>69</v>
      </c>
      <c r="O1741" t="s">
        <v>64</v>
      </c>
    </row>
    <row r="1742" spans="1:15">
      <c r="A1742" t="s">
        <v>1841</v>
      </c>
      <c r="B1742" s="3">
        <v>45722</v>
      </c>
      <c r="C1742" t="s">
        <v>82</v>
      </c>
      <c r="D1742" t="s">
        <v>62</v>
      </c>
      <c r="E1742" t="s">
        <v>79</v>
      </c>
      <c r="F1742" t="s">
        <v>80</v>
      </c>
      <c r="G1742" s="6">
        <v>1</v>
      </c>
      <c r="H1742" s="4">
        <v>76.41</v>
      </c>
      <c r="I1742" s="4">
        <v>42.92</v>
      </c>
      <c r="J1742" s="5">
        <v>0.05</v>
      </c>
      <c r="K1742" s="6">
        <v>4</v>
      </c>
      <c r="L1742" s="6">
        <v>4</v>
      </c>
      <c r="M1742" t="s">
        <v>58</v>
      </c>
      <c r="N1742" t="s">
        <v>87</v>
      </c>
      <c r="O1742" t="s">
        <v>64</v>
      </c>
    </row>
    <row r="1743" spans="1:15">
      <c r="A1743" t="s">
        <v>1842</v>
      </c>
      <c r="B1743" s="3">
        <v>45765</v>
      </c>
      <c r="C1743" t="s">
        <v>82</v>
      </c>
      <c r="D1743" t="s">
        <v>62</v>
      </c>
      <c r="E1743" t="s">
        <v>75</v>
      </c>
      <c r="F1743" t="s">
        <v>76</v>
      </c>
      <c r="G1743" s="6">
        <v>1</v>
      </c>
      <c r="H1743" s="4">
        <v>119.49</v>
      </c>
      <c r="I1743" s="4">
        <v>73.099999999999994</v>
      </c>
      <c r="J1743" s="5">
        <v>0</v>
      </c>
      <c r="K1743" s="6">
        <v>7</v>
      </c>
      <c r="L1743" s="6">
        <v>3</v>
      </c>
      <c r="M1743" t="s">
        <v>58</v>
      </c>
      <c r="N1743" t="s">
        <v>59</v>
      </c>
      <c r="O1743" t="s">
        <v>64</v>
      </c>
    </row>
    <row r="1744" spans="1:15">
      <c r="A1744" t="s">
        <v>1843</v>
      </c>
      <c r="B1744" s="3">
        <v>45768</v>
      </c>
      <c r="C1744" t="s">
        <v>78</v>
      </c>
      <c r="D1744" t="s">
        <v>62</v>
      </c>
      <c r="E1744" t="s">
        <v>67</v>
      </c>
      <c r="F1744" t="s">
        <v>94</v>
      </c>
      <c r="G1744" s="6">
        <v>1</v>
      </c>
      <c r="H1744" s="4">
        <v>34.43</v>
      </c>
      <c r="I1744" s="4">
        <v>17.739999999999998</v>
      </c>
      <c r="J1744" s="5">
        <v>0.05</v>
      </c>
      <c r="K1744" s="6">
        <v>1</v>
      </c>
      <c r="L1744" s="6">
        <v>4</v>
      </c>
      <c r="M1744" t="s">
        <v>58</v>
      </c>
      <c r="N1744" t="s">
        <v>69</v>
      </c>
      <c r="O1744" t="s">
        <v>64</v>
      </c>
    </row>
    <row r="1745" spans="1:15">
      <c r="A1745" t="s">
        <v>1844</v>
      </c>
      <c r="B1745" s="3">
        <v>45725</v>
      </c>
      <c r="C1745" t="s">
        <v>78</v>
      </c>
      <c r="D1745" t="s">
        <v>129</v>
      </c>
      <c r="E1745" t="s">
        <v>75</v>
      </c>
      <c r="F1745" t="s">
        <v>97</v>
      </c>
      <c r="G1745" s="6">
        <v>3</v>
      </c>
      <c r="H1745" s="4">
        <v>92.23</v>
      </c>
      <c r="I1745" s="4">
        <v>56.2</v>
      </c>
      <c r="J1745" s="5">
        <v>0.1</v>
      </c>
      <c r="K1745" s="6">
        <v>6</v>
      </c>
      <c r="L1745" s="6">
        <v>4</v>
      </c>
      <c r="M1745" t="s">
        <v>58</v>
      </c>
      <c r="N1745" t="s">
        <v>59</v>
      </c>
      <c r="O1745" t="s">
        <v>60</v>
      </c>
    </row>
    <row r="1746" spans="1:15">
      <c r="A1746" t="s">
        <v>1845</v>
      </c>
      <c r="B1746" s="3">
        <v>45868</v>
      </c>
      <c r="C1746" t="s">
        <v>54</v>
      </c>
      <c r="D1746" t="s">
        <v>129</v>
      </c>
      <c r="E1746" t="s">
        <v>67</v>
      </c>
      <c r="F1746" t="s">
        <v>107</v>
      </c>
      <c r="G1746" s="6">
        <v>10</v>
      </c>
      <c r="H1746" s="4">
        <v>45.3</v>
      </c>
      <c r="I1746" s="4">
        <v>21.23</v>
      </c>
      <c r="J1746" s="5">
        <v>0.05</v>
      </c>
      <c r="K1746" s="6">
        <v>0</v>
      </c>
      <c r="L1746" s="6">
        <v>4</v>
      </c>
      <c r="M1746" t="s">
        <v>58</v>
      </c>
      <c r="N1746" t="s">
        <v>69</v>
      </c>
      <c r="O1746" t="s">
        <v>64</v>
      </c>
    </row>
    <row r="1747" spans="1:15">
      <c r="A1747" t="s">
        <v>1846</v>
      </c>
      <c r="B1747" s="3">
        <v>46010</v>
      </c>
      <c r="C1747" t="s">
        <v>82</v>
      </c>
      <c r="D1747" t="s">
        <v>62</v>
      </c>
      <c r="E1747" t="s">
        <v>56</v>
      </c>
      <c r="F1747" t="s">
        <v>57</v>
      </c>
      <c r="G1747" s="6">
        <v>1</v>
      </c>
      <c r="H1747" s="4">
        <v>109.26</v>
      </c>
      <c r="I1747" s="4">
        <v>65.94</v>
      </c>
      <c r="J1747" s="5">
        <v>0.1</v>
      </c>
      <c r="K1747" s="6">
        <v>4</v>
      </c>
      <c r="L1747" s="6">
        <v>4</v>
      </c>
      <c r="M1747" t="s">
        <v>58</v>
      </c>
      <c r="N1747" t="s">
        <v>59</v>
      </c>
      <c r="O1747" t="s">
        <v>73</v>
      </c>
    </row>
    <row r="1748" spans="1:15">
      <c r="A1748" t="s">
        <v>1847</v>
      </c>
      <c r="B1748" s="3">
        <v>45693</v>
      </c>
      <c r="C1748" t="s">
        <v>54</v>
      </c>
      <c r="D1748" t="s">
        <v>62</v>
      </c>
      <c r="E1748" t="s">
        <v>75</v>
      </c>
      <c r="F1748" t="s">
        <v>146</v>
      </c>
      <c r="G1748" s="6">
        <v>1</v>
      </c>
      <c r="H1748" s="4">
        <v>179.59</v>
      </c>
      <c r="I1748" s="4">
        <v>115.75</v>
      </c>
      <c r="J1748" s="5">
        <v>0</v>
      </c>
      <c r="K1748" s="6">
        <v>3</v>
      </c>
      <c r="L1748" s="6">
        <v>4</v>
      </c>
      <c r="M1748" t="s">
        <v>58</v>
      </c>
      <c r="N1748" t="s">
        <v>59</v>
      </c>
      <c r="O1748" t="s">
        <v>60</v>
      </c>
    </row>
    <row r="1749" spans="1:15">
      <c r="A1749" t="s">
        <v>1848</v>
      </c>
      <c r="B1749" s="3">
        <v>45693</v>
      </c>
      <c r="C1749" t="s">
        <v>78</v>
      </c>
      <c r="D1749" t="s">
        <v>55</v>
      </c>
      <c r="E1749" t="s">
        <v>56</v>
      </c>
      <c r="F1749" t="s">
        <v>57</v>
      </c>
      <c r="G1749" s="6">
        <v>1</v>
      </c>
      <c r="H1749" s="4">
        <v>108.4</v>
      </c>
      <c r="I1749" s="4">
        <v>65.12</v>
      </c>
      <c r="J1749" s="5">
        <v>0</v>
      </c>
      <c r="K1749" s="6">
        <v>0</v>
      </c>
      <c r="L1749" s="6">
        <v>4</v>
      </c>
      <c r="M1749" t="s">
        <v>58</v>
      </c>
      <c r="N1749" t="s">
        <v>69</v>
      </c>
      <c r="O1749" t="s">
        <v>64</v>
      </c>
    </row>
    <row r="1750" spans="1:15">
      <c r="A1750" t="s">
        <v>1849</v>
      </c>
      <c r="B1750" s="3">
        <v>45961</v>
      </c>
      <c r="C1750" t="s">
        <v>78</v>
      </c>
      <c r="D1750" t="s">
        <v>55</v>
      </c>
      <c r="E1750" t="s">
        <v>67</v>
      </c>
      <c r="F1750" t="s">
        <v>68</v>
      </c>
      <c r="G1750" s="6">
        <v>4</v>
      </c>
      <c r="H1750" s="4">
        <v>40.770000000000003</v>
      </c>
      <c r="I1750" s="4">
        <v>19.11</v>
      </c>
      <c r="J1750" s="5">
        <v>0.1</v>
      </c>
      <c r="K1750" s="6">
        <v>0</v>
      </c>
      <c r="L1750" s="6">
        <v>4</v>
      </c>
      <c r="M1750" t="s">
        <v>58</v>
      </c>
      <c r="N1750" t="s">
        <v>69</v>
      </c>
      <c r="O1750" t="s">
        <v>64</v>
      </c>
    </row>
    <row r="1751" spans="1:15">
      <c r="A1751" t="s">
        <v>1850</v>
      </c>
      <c r="B1751" s="3">
        <v>45787</v>
      </c>
      <c r="C1751" t="s">
        <v>82</v>
      </c>
      <c r="D1751" t="s">
        <v>62</v>
      </c>
      <c r="E1751" t="s">
        <v>67</v>
      </c>
      <c r="F1751" t="s">
        <v>68</v>
      </c>
      <c r="G1751" s="6">
        <v>1</v>
      </c>
      <c r="H1751" s="4">
        <v>39.43</v>
      </c>
      <c r="I1751" s="4">
        <v>19.63</v>
      </c>
      <c r="J1751" s="5">
        <v>0</v>
      </c>
      <c r="K1751" s="6">
        <v>2</v>
      </c>
      <c r="L1751" s="6">
        <v>5</v>
      </c>
      <c r="M1751" t="s">
        <v>58</v>
      </c>
      <c r="N1751" t="s">
        <v>69</v>
      </c>
      <c r="O1751" t="s">
        <v>64</v>
      </c>
    </row>
    <row r="1752" spans="1:15">
      <c r="A1752" t="s">
        <v>1851</v>
      </c>
      <c r="B1752" s="3">
        <v>45783</v>
      </c>
      <c r="C1752" t="s">
        <v>54</v>
      </c>
      <c r="D1752" t="s">
        <v>62</v>
      </c>
      <c r="E1752" t="s">
        <v>56</v>
      </c>
      <c r="F1752" t="s">
        <v>57</v>
      </c>
      <c r="G1752" s="6">
        <v>2</v>
      </c>
      <c r="H1752" s="4">
        <v>107.76</v>
      </c>
      <c r="I1752" s="4">
        <v>70.09</v>
      </c>
      <c r="J1752" s="5">
        <v>0.1</v>
      </c>
      <c r="K1752" s="6">
        <v>3</v>
      </c>
      <c r="L1752" s="6">
        <v>4</v>
      </c>
      <c r="M1752" t="s">
        <v>58</v>
      </c>
      <c r="N1752" t="s">
        <v>59</v>
      </c>
      <c r="O1752" t="s">
        <v>73</v>
      </c>
    </row>
    <row r="1753" spans="1:15">
      <c r="A1753" t="s">
        <v>1852</v>
      </c>
      <c r="B1753" s="3">
        <v>46016</v>
      </c>
      <c r="C1753" t="s">
        <v>78</v>
      </c>
      <c r="D1753" t="s">
        <v>62</v>
      </c>
      <c r="E1753" t="s">
        <v>56</v>
      </c>
      <c r="F1753" t="s">
        <v>63</v>
      </c>
      <c r="G1753" s="6">
        <v>2</v>
      </c>
      <c r="H1753" s="4">
        <v>39.28</v>
      </c>
      <c r="I1753" s="4">
        <v>20.72</v>
      </c>
      <c r="J1753" s="5">
        <v>0.1</v>
      </c>
      <c r="K1753" s="6">
        <v>6</v>
      </c>
      <c r="L1753" s="6">
        <v>4</v>
      </c>
      <c r="M1753" t="s">
        <v>58</v>
      </c>
      <c r="N1753" t="s">
        <v>59</v>
      </c>
      <c r="O1753" t="s">
        <v>64</v>
      </c>
    </row>
    <row r="1754" spans="1:15">
      <c r="A1754" t="s">
        <v>1853</v>
      </c>
      <c r="B1754" s="3">
        <v>45663</v>
      </c>
      <c r="C1754" t="s">
        <v>66</v>
      </c>
      <c r="D1754" t="s">
        <v>55</v>
      </c>
      <c r="E1754" t="s">
        <v>67</v>
      </c>
      <c r="F1754" t="s">
        <v>107</v>
      </c>
      <c r="G1754" s="6">
        <v>3</v>
      </c>
      <c r="H1754" s="4">
        <v>44.26</v>
      </c>
      <c r="I1754" s="4">
        <v>21.68</v>
      </c>
      <c r="J1754" s="5">
        <v>0.05</v>
      </c>
      <c r="K1754" s="6">
        <v>4</v>
      </c>
      <c r="L1754" s="6">
        <v>4</v>
      </c>
      <c r="M1754" t="s">
        <v>58</v>
      </c>
      <c r="N1754" t="s">
        <v>59</v>
      </c>
      <c r="O1754" t="s">
        <v>73</v>
      </c>
    </row>
    <row r="1755" spans="1:15">
      <c r="A1755" t="s">
        <v>1854</v>
      </c>
      <c r="B1755" s="3">
        <v>45970</v>
      </c>
      <c r="C1755" t="s">
        <v>82</v>
      </c>
      <c r="D1755" t="s">
        <v>62</v>
      </c>
      <c r="E1755" t="s">
        <v>79</v>
      </c>
      <c r="F1755" t="s">
        <v>115</v>
      </c>
      <c r="G1755" s="6">
        <v>3</v>
      </c>
      <c r="H1755" s="4">
        <v>61.39</v>
      </c>
      <c r="I1755" s="4">
        <v>33.31</v>
      </c>
      <c r="J1755" s="5">
        <v>0.05</v>
      </c>
      <c r="K1755" s="6">
        <v>0</v>
      </c>
      <c r="L1755" s="6">
        <v>5</v>
      </c>
      <c r="M1755" t="s">
        <v>58</v>
      </c>
      <c r="N1755" t="s">
        <v>69</v>
      </c>
      <c r="O1755" t="s">
        <v>60</v>
      </c>
    </row>
    <row r="1756" spans="1:15">
      <c r="A1756" t="s">
        <v>1855</v>
      </c>
      <c r="B1756" s="3">
        <v>45815</v>
      </c>
      <c r="C1756" t="s">
        <v>66</v>
      </c>
      <c r="D1756" t="s">
        <v>62</v>
      </c>
      <c r="E1756" t="s">
        <v>79</v>
      </c>
      <c r="F1756" t="s">
        <v>80</v>
      </c>
      <c r="G1756" s="6">
        <v>1</v>
      </c>
      <c r="H1756" s="4">
        <v>74.459999999999994</v>
      </c>
      <c r="I1756" s="4">
        <v>42.16</v>
      </c>
      <c r="J1756" s="5">
        <v>0.15000000000000002</v>
      </c>
      <c r="K1756" s="6">
        <v>6</v>
      </c>
      <c r="L1756" s="6">
        <v>2</v>
      </c>
      <c r="M1756" t="s">
        <v>126</v>
      </c>
      <c r="N1756" t="s">
        <v>59</v>
      </c>
      <c r="O1756" t="s">
        <v>64</v>
      </c>
    </row>
    <row r="1757" spans="1:15">
      <c r="A1757" t="s">
        <v>1856</v>
      </c>
      <c r="B1757" s="3">
        <v>45728</v>
      </c>
      <c r="C1757" t="s">
        <v>66</v>
      </c>
      <c r="D1757" t="s">
        <v>62</v>
      </c>
      <c r="E1757" t="s">
        <v>79</v>
      </c>
      <c r="F1757" t="s">
        <v>80</v>
      </c>
      <c r="G1757" s="6">
        <v>1</v>
      </c>
      <c r="H1757" s="4">
        <v>74.02</v>
      </c>
      <c r="I1757" s="4">
        <v>44.32</v>
      </c>
      <c r="J1757" s="5">
        <v>0</v>
      </c>
      <c r="K1757" s="6">
        <v>8</v>
      </c>
      <c r="L1757" s="6">
        <v>3</v>
      </c>
      <c r="M1757" t="s">
        <v>58</v>
      </c>
      <c r="N1757" t="s">
        <v>87</v>
      </c>
      <c r="O1757" t="s">
        <v>73</v>
      </c>
    </row>
    <row r="1758" spans="1:15">
      <c r="A1758" t="s">
        <v>1857</v>
      </c>
      <c r="B1758" s="3">
        <v>45891</v>
      </c>
      <c r="C1758" t="s">
        <v>66</v>
      </c>
      <c r="D1758" t="s">
        <v>62</v>
      </c>
      <c r="E1758" t="s">
        <v>75</v>
      </c>
      <c r="F1758" t="s">
        <v>146</v>
      </c>
      <c r="G1758" s="6">
        <v>2</v>
      </c>
      <c r="H1758" s="4">
        <v>179.9</v>
      </c>
      <c r="I1758" s="4">
        <v>113.38</v>
      </c>
      <c r="J1758" s="5">
        <v>0.15000000000000002</v>
      </c>
      <c r="K1758" s="6">
        <v>6</v>
      </c>
      <c r="L1758" s="6">
        <v>4</v>
      </c>
      <c r="M1758" t="s">
        <v>58</v>
      </c>
      <c r="N1758" t="s">
        <v>59</v>
      </c>
      <c r="O1758" t="s">
        <v>64</v>
      </c>
    </row>
    <row r="1759" spans="1:15">
      <c r="A1759" t="s">
        <v>1858</v>
      </c>
      <c r="B1759" s="3">
        <v>45811</v>
      </c>
      <c r="C1759" t="s">
        <v>78</v>
      </c>
      <c r="D1759" t="s">
        <v>62</v>
      </c>
      <c r="E1759" t="s">
        <v>67</v>
      </c>
      <c r="F1759" t="s">
        <v>107</v>
      </c>
      <c r="G1759" s="6">
        <v>2</v>
      </c>
      <c r="H1759" s="4">
        <v>43.83</v>
      </c>
      <c r="I1759" s="4">
        <v>20.88</v>
      </c>
      <c r="J1759" s="5">
        <v>0</v>
      </c>
      <c r="K1759" s="6">
        <v>1</v>
      </c>
      <c r="L1759" s="6">
        <v>5</v>
      </c>
      <c r="M1759" t="s">
        <v>58</v>
      </c>
      <c r="N1759" t="s">
        <v>69</v>
      </c>
      <c r="O1759" t="s">
        <v>64</v>
      </c>
    </row>
    <row r="1760" spans="1:15">
      <c r="A1760" t="s">
        <v>1859</v>
      </c>
      <c r="B1760" s="3">
        <v>45881</v>
      </c>
      <c r="C1760" t="s">
        <v>66</v>
      </c>
      <c r="D1760" t="s">
        <v>62</v>
      </c>
      <c r="E1760" t="s">
        <v>75</v>
      </c>
      <c r="F1760" t="s">
        <v>76</v>
      </c>
      <c r="G1760" s="6">
        <v>1</v>
      </c>
      <c r="H1760" s="4">
        <v>119.09</v>
      </c>
      <c r="I1760" s="4">
        <v>74.349999999999994</v>
      </c>
      <c r="J1760" s="5">
        <v>0.05</v>
      </c>
      <c r="K1760" s="6">
        <v>7</v>
      </c>
      <c r="L1760" s="6">
        <v>4</v>
      </c>
      <c r="M1760" t="s">
        <v>58</v>
      </c>
      <c r="N1760" t="s">
        <v>69</v>
      </c>
      <c r="O1760" t="s">
        <v>64</v>
      </c>
    </row>
    <row r="1761" spans="1:15">
      <c r="A1761" t="s">
        <v>1860</v>
      </c>
      <c r="B1761" s="3">
        <v>45952</v>
      </c>
      <c r="C1761" t="s">
        <v>78</v>
      </c>
      <c r="D1761" t="s">
        <v>62</v>
      </c>
      <c r="E1761" t="s">
        <v>79</v>
      </c>
      <c r="F1761" t="s">
        <v>80</v>
      </c>
      <c r="G1761" s="6">
        <v>2</v>
      </c>
      <c r="H1761" s="4">
        <v>75.52</v>
      </c>
      <c r="I1761" s="4">
        <v>42.02</v>
      </c>
      <c r="J1761" s="5">
        <v>0.05</v>
      </c>
      <c r="K1761" s="6">
        <v>5</v>
      </c>
      <c r="L1761" s="6">
        <v>5</v>
      </c>
      <c r="M1761" t="s">
        <v>58</v>
      </c>
      <c r="N1761" t="s">
        <v>59</v>
      </c>
      <c r="O1761" t="s">
        <v>64</v>
      </c>
    </row>
    <row r="1762" spans="1:15">
      <c r="A1762" t="s">
        <v>1861</v>
      </c>
      <c r="B1762" s="3">
        <v>45792</v>
      </c>
      <c r="C1762" t="s">
        <v>78</v>
      </c>
      <c r="D1762" t="s">
        <v>62</v>
      </c>
      <c r="E1762" t="s">
        <v>67</v>
      </c>
      <c r="F1762" t="s">
        <v>71</v>
      </c>
      <c r="G1762" s="6">
        <v>1</v>
      </c>
      <c r="H1762" s="4">
        <v>72.52</v>
      </c>
      <c r="I1762" s="4">
        <v>39.58</v>
      </c>
      <c r="J1762" s="5">
        <v>0.05</v>
      </c>
      <c r="K1762" s="6">
        <v>5</v>
      </c>
      <c r="L1762" s="6">
        <v>4</v>
      </c>
      <c r="M1762" t="s">
        <v>58</v>
      </c>
      <c r="N1762" t="s">
        <v>59</v>
      </c>
      <c r="O1762" t="s">
        <v>64</v>
      </c>
    </row>
    <row r="1763" spans="1:15">
      <c r="A1763" t="s">
        <v>1862</v>
      </c>
      <c r="B1763" s="3">
        <v>45819</v>
      </c>
      <c r="C1763" t="s">
        <v>78</v>
      </c>
      <c r="D1763" t="s">
        <v>129</v>
      </c>
      <c r="E1763" t="s">
        <v>79</v>
      </c>
      <c r="F1763" t="s">
        <v>80</v>
      </c>
      <c r="G1763" s="6">
        <v>5</v>
      </c>
      <c r="H1763" s="4">
        <v>76.59</v>
      </c>
      <c r="I1763" s="4">
        <v>43.71</v>
      </c>
      <c r="J1763" s="5">
        <v>0.1</v>
      </c>
      <c r="K1763" s="6">
        <v>1</v>
      </c>
      <c r="L1763" s="6">
        <v>4</v>
      </c>
      <c r="M1763" t="s">
        <v>58</v>
      </c>
      <c r="N1763" t="s">
        <v>59</v>
      </c>
      <c r="O1763" t="s">
        <v>60</v>
      </c>
    </row>
    <row r="1764" spans="1:15">
      <c r="A1764" t="s">
        <v>1863</v>
      </c>
      <c r="B1764" s="3">
        <v>45853</v>
      </c>
      <c r="C1764" t="s">
        <v>82</v>
      </c>
      <c r="D1764" t="s">
        <v>62</v>
      </c>
      <c r="E1764" t="s">
        <v>56</v>
      </c>
      <c r="F1764" t="s">
        <v>63</v>
      </c>
      <c r="G1764" s="6">
        <v>1</v>
      </c>
      <c r="H1764" s="4">
        <v>40.630000000000003</v>
      </c>
      <c r="I1764" s="4">
        <v>20.5</v>
      </c>
      <c r="J1764" s="5">
        <v>0</v>
      </c>
      <c r="K1764" s="6">
        <v>2</v>
      </c>
      <c r="L1764" s="6">
        <v>4</v>
      </c>
      <c r="M1764" t="s">
        <v>58</v>
      </c>
      <c r="N1764" t="s">
        <v>59</v>
      </c>
      <c r="O1764" t="s">
        <v>64</v>
      </c>
    </row>
    <row r="1765" spans="1:15">
      <c r="A1765" t="s">
        <v>1864</v>
      </c>
      <c r="B1765" s="3">
        <v>45777</v>
      </c>
      <c r="C1765" t="s">
        <v>82</v>
      </c>
      <c r="D1765" t="s">
        <v>55</v>
      </c>
      <c r="E1765" t="s">
        <v>75</v>
      </c>
      <c r="F1765" t="s">
        <v>76</v>
      </c>
      <c r="G1765" s="6">
        <v>2</v>
      </c>
      <c r="H1765" s="4">
        <v>118.37</v>
      </c>
      <c r="I1765" s="4">
        <v>72.959999999999994</v>
      </c>
      <c r="J1765" s="5">
        <v>0.1</v>
      </c>
      <c r="K1765" s="6">
        <v>4</v>
      </c>
      <c r="L1765" s="6">
        <v>4</v>
      </c>
      <c r="M1765" t="s">
        <v>58</v>
      </c>
      <c r="N1765" t="s">
        <v>59</v>
      </c>
      <c r="O1765" t="s">
        <v>64</v>
      </c>
    </row>
    <row r="1766" spans="1:15">
      <c r="A1766" t="s">
        <v>925</v>
      </c>
      <c r="B1766" s="3">
        <v>45866</v>
      </c>
      <c r="C1766" t="s">
        <v>78</v>
      </c>
      <c r="D1766" t="s">
        <v>55</v>
      </c>
      <c r="E1766" t="s">
        <v>75</v>
      </c>
      <c r="F1766" t="s">
        <v>97</v>
      </c>
      <c r="G1766" s="6">
        <v>4</v>
      </c>
      <c r="H1766" s="4">
        <v>89.22</v>
      </c>
      <c r="I1766" s="4">
        <v>55.9</v>
      </c>
      <c r="J1766" s="5">
        <v>0.1</v>
      </c>
      <c r="K1766" s="6">
        <v>3</v>
      </c>
      <c r="L1766" s="6">
        <v>5</v>
      </c>
      <c r="M1766" t="s">
        <v>58</v>
      </c>
      <c r="N1766" t="s">
        <v>69</v>
      </c>
      <c r="O1766" t="s">
        <v>64</v>
      </c>
    </row>
    <row r="1767" spans="1:15">
      <c r="A1767" t="s">
        <v>1865</v>
      </c>
      <c r="B1767" s="3">
        <v>45841</v>
      </c>
      <c r="C1767" t="s">
        <v>54</v>
      </c>
      <c r="D1767" t="s">
        <v>62</v>
      </c>
      <c r="E1767" t="s">
        <v>79</v>
      </c>
      <c r="F1767" t="s">
        <v>80</v>
      </c>
      <c r="G1767" s="6">
        <v>1</v>
      </c>
      <c r="H1767" s="4">
        <v>74.400000000000006</v>
      </c>
      <c r="I1767" s="4">
        <v>43.91</v>
      </c>
      <c r="J1767" s="5">
        <v>0.05</v>
      </c>
      <c r="K1767" s="6">
        <v>3</v>
      </c>
      <c r="L1767" s="6">
        <v>5</v>
      </c>
      <c r="M1767" t="s">
        <v>58</v>
      </c>
      <c r="N1767" t="s">
        <v>59</v>
      </c>
      <c r="O1767" t="s">
        <v>64</v>
      </c>
    </row>
    <row r="1768" spans="1:15">
      <c r="A1768" t="s">
        <v>1866</v>
      </c>
      <c r="B1768" s="3">
        <v>45663</v>
      </c>
      <c r="C1768" t="s">
        <v>82</v>
      </c>
      <c r="D1768" t="s">
        <v>62</v>
      </c>
      <c r="E1768" t="s">
        <v>79</v>
      </c>
      <c r="F1768" t="s">
        <v>115</v>
      </c>
      <c r="G1768" s="6">
        <v>2</v>
      </c>
      <c r="H1768" s="4">
        <v>60.75</v>
      </c>
      <c r="I1768" s="4">
        <v>35.299999999999997</v>
      </c>
      <c r="J1768" s="5">
        <v>0.05</v>
      </c>
      <c r="K1768" s="6">
        <v>4</v>
      </c>
      <c r="L1768" s="6">
        <v>4</v>
      </c>
      <c r="M1768" t="s">
        <v>58</v>
      </c>
      <c r="N1768" t="s">
        <v>59</v>
      </c>
      <c r="O1768" t="s">
        <v>64</v>
      </c>
    </row>
    <row r="1769" spans="1:15">
      <c r="A1769" t="s">
        <v>1867</v>
      </c>
      <c r="B1769" s="3">
        <v>45672</v>
      </c>
      <c r="C1769" t="s">
        <v>82</v>
      </c>
      <c r="D1769" t="s">
        <v>55</v>
      </c>
      <c r="E1769" t="s">
        <v>79</v>
      </c>
      <c r="F1769" t="s">
        <v>115</v>
      </c>
      <c r="G1769" s="6">
        <v>2</v>
      </c>
      <c r="H1769" s="4">
        <v>59.95</v>
      </c>
      <c r="I1769" s="4">
        <v>34.479999999999997</v>
      </c>
      <c r="J1769" s="5">
        <v>0</v>
      </c>
      <c r="K1769" s="6">
        <v>4</v>
      </c>
      <c r="L1769" s="6">
        <v>5</v>
      </c>
      <c r="M1769" t="s">
        <v>58</v>
      </c>
      <c r="N1769" t="s">
        <v>59</v>
      </c>
      <c r="O1769" t="s">
        <v>73</v>
      </c>
    </row>
    <row r="1770" spans="1:15">
      <c r="A1770" t="s">
        <v>1868</v>
      </c>
      <c r="B1770" s="3">
        <v>45799</v>
      </c>
      <c r="C1770" t="s">
        <v>54</v>
      </c>
      <c r="D1770" t="s">
        <v>62</v>
      </c>
      <c r="E1770" t="s">
        <v>56</v>
      </c>
      <c r="F1770" t="s">
        <v>63</v>
      </c>
      <c r="G1770" s="6">
        <v>2</v>
      </c>
      <c r="H1770" s="4">
        <v>39.61</v>
      </c>
      <c r="I1770" s="4">
        <v>19.57</v>
      </c>
      <c r="J1770" s="5">
        <v>0.05</v>
      </c>
      <c r="K1770" s="6">
        <v>2</v>
      </c>
      <c r="L1770" s="6">
        <v>4</v>
      </c>
      <c r="M1770" t="s">
        <v>58</v>
      </c>
      <c r="N1770" t="s">
        <v>59</v>
      </c>
      <c r="O1770" t="s">
        <v>60</v>
      </c>
    </row>
    <row r="1771" spans="1:15">
      <c r="A1771" t="s">
        <v>1869</v>
      </c>
      <c r="B1771" s="3">
        <v>45741</v>
      </c>
      <c r="C1771" t="s">
        <v>78</v>
      </c>
      <c r="D1771" t="s">
        <v>129</v>
      </c>
      <c r="E1771" t="s">
        <v>67</v>
      </c>
      <c r="F1771" t="s">
        <v>107</v>
      </c>
      <c r="G1771" s="6">
        <v>4</v>
      </c>
      <c r="H1771" s="4">
        <v>45.19</v>
      </c>
      <c r="I1771" s="4">
        <v>21.42</v>
      </c>
      <c r="J1771" s="5">
        <v>0.05</v>
      </c>
      <c r="K1771" s="6">
        <v>3</v>
      </c>
      <c r="L1771" s="6">
        <v>5</v>
      </c>
      <c r="M1771" t="s">
        <v>58</v>
      </c>
      <c r="N1771" t="s">
        <v>59</v>
      </c>
      <c r="O1771" t="s">
        <v>64</v>
      </c>
    </row>
    <row r="1772" spans="1:15">
      <c r="A1772" t="s">
        <v>1870</v>
      </c>
      <c r="B1772" s="3">
        <v>45998</v>
      </c>
      <c r="C1772" t="s">
        <v>78</v>
      </c>
      <c r="D1772" t="s">
        <v>62</v>
      </c>
      <c r="E1772" t="s">
        <v>67</v>
      </c>
      <c r="F1772" t="s">
        <v>107</v>
      </c>
      <c r="G1772" s="6">
        <v>2</v>
      </c>
      <c r="H1772" s="4">
        <v>44.78</v>
      </c>
      <c r="I1772" s="4">
        <v>20.72</v>
      </c>
      <c r="J1772" s="5">
        <v>0</v>
      </c>
      <c r="K1772" s="6">
        <v>0</v>
      </c>
      <c r="L1772" s="6">
        <v>4</v>
      </c>
      <c r="M1772" t="s">
        <v>58</v>
      </c>
      <c r="N1772" t="s">
        <v>69</v>
      </c>
      <c r="O1772" t="s">
        <v>64</v>
      </c>
    </row>
    <row r="1773" spans="1:15">
      <c r="A1773" t="s">
        <v>1871</v>
      </c>
      <c r="B1773" s="3">
        <v>45932</v>
      </c>
      <c r="C1773" t="s">
        <v>66</v>
      </c>
      <c r="D1773" t="s">
        <v>62</v>
      </c>
      <c r="E1773" t="s">
        <v>75</v>
      </c>
      <c r="F1773" t="s">
        <v>97</v>
      </c>
      <c r="G1773" s="6">
        <v>2</v>
      </c>
      <c r="H1773" s="4">
        <v>92.43</v>
      </c>
      <c r="I1773" s="4">
        <v>53.95</v>
      </c>
      <c r="J1773" s="5">
        <v>0.05</v>
      </c>
      <c r="K1773" s="6">
        <v>7</v>
      </c>
      <c r="L1773" s="6">
        <v>4</v>
      </c>
      <c r="M1773" t="s">
        <v>58</v>
      </c>
      <c r="N1773" t="s">
        <v>59</v>
      </c>
      <c r="O1773" t="s">
        <v>64</v>
      </c>
    </row>
    <row r="1774" spans="1:15">
      <c r="A1774" t="s">
        <v>1872</v>
      </c>
      <c r="B1774" s="3">
        <v>45786</v>
      </c>
      <c r="C1774" t="s">
        <v>66</v>
      </c>
      <c r="D1774" t="s">
        <v>55</v>
      </c>
      <c r="E1774" t="s">
        <v>79</v>
      </c>
      <c r="F1774" t="s">
        <v>92</v>
      </c>
      <c r="G1774" s="6">
        <v>5</v>
      </c>
      <c r="H1774" s="4">
        <v>49.62</v>
      </c>
      <c r="I1774" s="4">
        <v>26.04</v>
      </c>
      <c r="J1774" s="5">
        <v>0.05</v>
      </c>
      <c r="K1774" s="6">
        <v>5</v>
      </c>
      <c r="L1774" s="6">
        <v>4</v>
      </c>
      <c r="M1774" t="s">
        <v>58</v>
      </c>
      <c r="N1774" t="s">
        <v>59</v>
      </c>
      <c r="O1774" t="s">
        <v>60</v>
      </c>
    </row>
    <row r="1775" spans="1:15">
      <c r="A1775" t="s">
        <v>1873</v>
      </c>
      <c r="B1775" s="3">
        <v>45896</v>
      </c>
      <c r="C1775" t="s">
        <v>78</v>
      </c>
      <c r="D1775" t="s">
        <v>129</v>
      </c>
      <c r="E1775" t="s">
        <v>56</v>
      </c>
      <c r="F1775" t="s">
        <v>83</v>
      </c>
      <c r="G1775" s="6">
        <v>5</v>
      </c>
      <c r="H1775" s="4">
        <v>64.489999999999995</v>
      </c>
      <c r="I1775" s="4">
        <v>35.700000000000003</v>
      </c>
      <c r="J1775" s="5">
        <v>0.1</v>
      </c>
      <c r="K1775" s="6">
        <v>2</v>
      </c>
      <c r="L1775" s="6">
        <v>4</v>
      </c>
      <c r="M1775" t="s">
        <v>58</v>
      </c>
      <c r="N1775" t="s">
        <v>59</v>
      </c>
      <c r="O1775" t="s">
        <v>64</v>
      </c>
    </row>
    <row r="1776" spans="1:15">
      <c r="A1776" t="s">
        <v>1874</v>
      </c>
      <c r="B1776" s="3">
        <v>45984</v>
      </c>
      <c r="C1776" t="s">
        <v>66</v>
      </c>
      <c r="D1776" t="s">
        <v>129</v>
      </c>
      <c r="E1776" t="s">
        <v>56</v>
      </c>
      <c r="F1776" t="s">
        <v>83</v>
      </c>
      <c r="G1776" s="6">
        <v>5</v>
      </c>
      <c r="H1776" s="4">
        <v>65</v>
      </c>
      <c r="I1776" s="4">
        <v>34.99</v>
      </c>
      <c r="J1776" s="5">
        <v>0.2</v>
      </c>
      <c r="K1776" s="6">
        <v>1</v>
      </c>
      <c r="L1776" s="6">
        <v>4</v>
      </c>
      <c r="M1776" t="s">
        <v>58</v>
      </c>
      <c r="N1776" t="s">
        <v>69</v>
      </c>
      <c r="O1776" t="s">
        <v>64</v>
      </c>
    </row>
    <row r="1777" spans="1:15">
      <c r="A1777" t="s">
        <v>1875</v>
      </c>
      <c r="B1777" s="3">
        <v>45831</v>
      </c>
      <c r="C1777" t="s">
        <v>54</v>
      </c>
      <c r="D1777" t="s">
        <v>62</v>
      </c>
      <c r="E1777" t="s">
        <v>67</v>
      </c>
      <c r="F1777" t="s">
        <v>107</v>
      </c>
      <c r="G1777" s="6">
        <v>1</v>
      </c>
      <c r="H1777" s="4">
        <v>44.02</v>
      </c>
      <c r="I1777" s="4">
        <v>21.18</v>
      </c>
      <c r="J1777" s="5">
        <v>0.05</v>
      </c>
      <c r="K1777" s="6">
        <v>3</v>
      </c>
      <c r="L1777" s="6">
        <v>4</v>
      </c>
      <c r="M1777" t="s">
        <v>58</v>
      </c>
      <c r="N1777" t="s">
        <v>59</v>
      </c>
      <c r="O1777" t="s">
        <v>73</v>
      </c>
    </row>
    <row r="1778" spans="1:15">
      <c r="A1778" t="s">
        <v>1876</v>
      </c>
      <c r="B1778" s="3">
        <v>45967</v>
      </c>
      <c r="C1778" t="s">
        <v>82</v>
      </c>
      <c r="D1778" t="s">
        <v>62</v>
      </c>
      <c r="E1778" t="s">
        <v>67</v>
      </c>
      <c r="F1778" t="s">
        <v>107</v>
      </c>
      <c r="G1778" s="6">
        <v>1</v>
      </c>
      <c r="H1778" s="4">
        <v>45.67</v>
      </c>
      <c r="I1778" s="4">
        <v>20.91</v>
      </c>
      <c r="J1778" s="5">
        <v>0.05</v>
      </c>
      <c r="K1778" s="6">
        <v>3</v>
      </c>
      <c r="L1778" s="6">
        <v>5</v>
      </c>
      <c r="M1778" t="s">
        <v>58</v>
      </c>
      <c r="N1778" t="s">
        <v>59</v>
      </c>
      <c r="O1778" t="s">
        <v>73</v>
      </c>
    </row>
    <row r="1779" spans="1:15">
      <c r="A1779" t="s">
        <v>1877</v>
      </c>
      <c r="B1779" s="3">
        <v>45812</v>
      </c>
      <c r="C1779" t="s">
        <v>78</v>
      </c>
      <c r="D1779" t="s">
        <v>62</v>
      </c>
      <c r="E1779" t="s">
        <v>56</v>
      </c>
      <c r="F1779" t="s">
        <v>83</v>
      </c>
      <c r="G1779" s="6">
        <v>1</v>
      </c>
      <c r="H1779" s="4">
        <v>65.2</v>
      </c>
      <c r="I1779" s="4">
        <v>35.78</v>
      </c>
      <c r="J1779" s="5">
        <v>0.05</v>
      </c>
      <c r="K1779" s="6">
        <v>3</v>
      </c>
      <c r="L1779" s="6">
        <v>4</v>
      </c>
      <c r="M1779" t="s">
        <v>58</v>
      </c>
      <c r="N1779" t="s">
        <v>69</v>
      </c>
      <c r="O1779" t="s">
        <v>64</v>
      </c>
    </row>
    <row r="1780" spans="1:15">
      <c r="A1780" t="s">
        <v>1878</v>
      </c>
      <c r="B1780" s="3">
        <v>45791</v>
      </c>
      <c r="C1780" t="s">
        <v>66</v>
      </c>
      <c r="D1780" t="s">
        <v>62</v>
      </c>
      <c r="E1780" t="s">
        <v>67</v>
      </c>
      <c r="F1780" t="s">
        <v>107</v>
      </c>
      <c r="G1780" s="6">
        <v>1</v>
      </c>
      <c r="H1780" s="4">
        <v>45.93</v>
      </c>
      <c r="I1780" s="4">
        <v>21.86</v>
      </c>
      <c r="J1780" s="5">
        <v>0.05</v>
      </c>
      <c r="K1780" s="6">
        <v>1</v>
      </c>
      <c r="L1780" s="6">
        <v>4</v>
      </c>
      <c r="M1780" t="s">
        <v>58</v>
      </c>
      <c r="N1780" t="s">
        <v>87</v>
      </c>
      <c r="O1780" t="s">
        <v>64</v>
      </c>
    </row>
    <row r="1781" spans="1:15">
      <c r="A1781" t="s">
        <v>1879</v>
      </c>
      <c r="B1781" s="3">
        <v>45947</v>
      </c>
      <c r="C1781" t="s">
        <v>78</v>
      </c>
      <c r="D1781" t="s">
        <v>62</v>
      </c>
      <c r="E1781" t="s">
        <v>67</v>
      </c>
      <c r="F1781" t="s">
        <v>71</v>
      </c>
      <c r="G1781" s="6">
        <v>1</v>
      </c>
      <c r="H1781" s="4">
        <v>68.87</v>
      </c>
      <c r="I1781" s="4">
        <v>37.979999999999997</v>
      </c>
      <c r="J1781" s="5">
        <v>0.05</v>
      </c>
      <c r="K1781" s="6">
        <v>6</v>
      </c>
      <c r="L1781" s="6">
        <v>4</v>
      </c>
      <c r="M1781" t="s">
        <v>58</v>
      </c>
      <c r="N1781" t="s">
        <v>59</v>
      </c>
      <c r="O1781" t="s">
        <v>60</v>
      </c>
    </row>
    <row r="1782" spans="1:15">
      <c r="A1782" t="s">
        <v>1880</v>
      </c>
      <c r="B1782" s="3">
        <v>45661</v>
      </c>
      <c r="C1782" t="s">
        <v>78</v>
      </c>
      <c r="D1782" t="s">
        <v>62</v>
      </c>
      <c r="E1782" t="s">
        <v>75</v>
      </c>
      <c r="F1782" t="s">
        <v>97</v>
      </c>
      <c r="G1782" s="6">
        <v>1</v>
      </c>
      <c r="H1782" s="4">
        <v>90.91</v>
      </c>
      <c r="I1782" s="4">
        <v>55.69</v>
      </c>
      <c r="J1782" s="5">
        <v>0</v>
      </c>
      <c r="K1782" s="6">
        <v>6</v>
      </c>
      <c r="L1782" s="6">
        <v>4</v>
      </c>
      <c r="M1782" t="s">
        <v>58</v>
      </c>
      <c r="N1782" t="s">
        <v>87</v>
      </c>
      <c r="O1782" t="s">
        <v>64</v>
      </c>
    </row>
    <row r="1783" spans="1:15">
      <c r="A1783" t="s">
        <v>1881</v>
      </c>
      <c r="B1783" s="3">
        <v>45851</v>
      </c>
      <c r="C1783" t="s">
        <v>66</v>
      </c>
      <c r="D1783" t="s">
        <v>62</v>
      </c>
      <c r="E1783" t="s">
        <v>79</v>
      </c>
      <c r="F1783" t="s">
        <v>115</v>
      </c>
      <c r="G1783" s="6">
        <v>2</v>
      </c>
      <c r="H1783" s="4">
        <v>61.04</v>
      </c>
      <c r="I1783" s="4">
        <v>35.159999999999997</v>
      </c>
      <c r="J1783" s="5">
        <v>0.1</v>
      </c>
      <c r="K1783" s="6">
        <v>7</v>
      </c>
      <c r="L1783" s="6">
        <v>4</v>
      </c>
      <c r="M1783" t="s">
        <v>58</v>
      </c>
      <c r="N1783" t="s">
        <v>59</v>
      </c>
      <c r="O1783" t="s">
        <v>64</v>
      </c>
    </row>
    <row r="1784" spans="1:15">
      <c r="A1784" t="s">
        <v>1882</v>
      </c>
      <c r="B1784" s="3">
        <v>45755</v>
      </c>
      <c r="C1784" t="s">
        <v>78</v>
      </c>
      <c r="D1784" t="s">
        <v>62</v>
      </c>
      <c r="E1784" t="s">
        <v>67</v>
      </c>
      <c r="F1784" t="s">
        <v>94</v>
      </c>
      <c r="G1784" s="6">
        <v>2</v>
      </c>
      <c r="H1784" s="4">
        <v>35.68</v>
      </c>
      <c r="I1784" s="4">
        <v>16.62</v>
      </c>
      <c r="J1784" s="5">
        <v>0.05</v>
      </c>
      <c r="K1784" s="6">
        <v>3</v>
      </c>
      <c r="L1784" s="6">
        <v>5</v>
      </c>
      <c r="M1784" t="s">
        <v>58</v>
      </c>
      <c r="N1784" t="s">
        <v>59</v>
      </c>
      <c r="O1784" t="s">
        <v>64</v>
      </c>
    </row>
    <row r="1785" spans="1:15">
      <c r="A1785" t="s">
        <v>1883</v>
      </c>
      <c r="B1785" s="3">
        <v>45735</v>
      </c>
      <c r="C1785" t="s">
        <v>78</v>
      </c>
      <c r="D1785" t="s">
        <v>62</v>
      </c>
      <c r="E1785" t="s">
        <v>75</v>
      </c>
      <c r="F1785" t="s">
        <v>146</v>
      </c>
      <c r="G1785" s="6">
        <v>1</v>
      </c>
      <c r="H1785" s="4">
        <v>177.83</v>
      </c>
      <c r="I1785" s="4">
        <v>115.56</v>
      </c>
      <c r="J1785" s="5">
        <v>0</v>
      </c>
      <c r="K1785" s="6">
        <v>5</v>
      </c>
      <c r="L1785" s="6">
        <v>4</v>
      </c>
      <c r="M1785" t="s">
        <v>58</v>
      </c>
      <c r="N1785" t="s">
        <v>59</v>
      </c>
      <c r="O1785" t="s">
        <v>73</v>
      </c>
    </row>
    <row r="1786" spans="1:15">
      <c r="A1786" t="s">
        <v>1884</v>
      </c>
      <c r="B1786" s="3" t="s">
        <v>1885</v>
      </c>
      <c r="C1786" t="s">
        <v>54</v>
      </c>
      <c r="D1786" t="s">
        <v>55</v>
      </c>
      <c r="E1786" t="s">
        <v>79</v>
      </c>
      <c r="F1786" t="s">
        <v>85</v>
      </c>
      <c r="G1786" s="6">
        <v>3</v>
      </c>
      <c r="H1786" s="4">
        <v>129.4</v>
      </c>
      <c r="I1786" s="4">
        <v>81.94</v>
      </c>
      <c r="J1786" s="5">
        <v>0.1</v>
      </c>
      <c r="K1786" s="6">
        <v>2</v>
      </c>
      <c r="L1786" s="6">
        <v>4</v>
      </c>
      <c r="M1786" t="s">
        <v>58</v>
      </c>
      <c r="N1786" t="s">
        <v>59</v>
      </c>
      <c r="O1786" t="s">
        <v>64</v>
      </c>
    </row>
    <row r="1787" spans="1:15">
      <c r="A1787" t="s">
        <v>1886</v>
      </c>
      <c r="B1787" s="3">
        <v>45734</v>
      </c>
      <c r="C1787" t="s">
        <v>78</v>
      </c>
      <c r="D1787" t="s">
        <v>62</v>
      </c>
      <c r="E1787" t="s">
        <v>67</v>
      </c>
      <c r="F1787" t="s">
        <v>107</v>
      </c>
      <c r="G1787" s="6">
        <v>1</v>
      </c>
      <c r="H1787" s="4">
        <v>45.45</v>
      </c>
      <c r="I1787" s="4">
        <v>20.86</v>
      </c>
      <c r="J1787" s="5">
        <v>0</v>
      </c>
      <c r="K1787" s="6">
        <v>0</v>
      </c>
      <c r="L1787" s="6">
        <v>4</v>
      </c>
      <c r="M1787" t="s">
        <v>58</v>
      </c>
      <c r="N1787" t="s">
        <v>69</v>
      </c>
      <c r="O1787" t="s">
        <v>73</v>
      </c>
    </row>
    <row r="1788" spans="1:15">
      <c r="A1788" t="s">
        <v>1887</v>
      </c>
      <c r="B1788" s="3">
        <v>45973</v>
      </c>
      <c r="C1788" t="s">
        <v>78</v>
      </c>
      <c r="D1788" t="s">
        <v>62</v>
      </c>
      <c r="E1788" t="s">
        <v>67</v>
      </c>
      <c r="F1788" t="s">
        <v>107</v>
      </c>
      <c r="G1788" s="6">
        <v>3</v>
      </c>
      <c r="H1788" s="4">
        <v>46.21</v>
      </c>
      <c r="I1788" s="4">
        <v>20.59</v>
      </c>
      <c r="J1788" s="5">
        <v>0.05</v>
      </c>
      <c r="K1788" s="6">
        <v>0</v>
      </c>
      <c r="L1788" s="6">
        <v>5</v>
      </c>
      <c r="M1788" t="s">
        <v>58</v>
      </c>
      <c r="N1788" t="s">
        <v>69</v>
      </c>
      <c r="O1788" t="s">
        <v>64</v>
      </c>
    </row>
    <row r="1789" spans="1:15">
      <c r="A1789" t="s">
        <v>1888</v>
      </c>
      <c r="B1789" s="3">
        <v>45916</v>
      </c>
      <c r="C1789" t="s">
        <v>78</v>
      </c>
      <c r="D1789" t="s">
        <v>62</v>
      </c>
      <c r="E1789" t="s">
        <v>79</v>
      </c>
      <c r="F1789" t="s">
        <v>85</v>
      </c>
      <c r="G1789" s="6">
        <v>4</v>
      </c>
      <c r="H1789" s="4">
        <v>133.85</v>
      </c>
      <c r="I1789" s="4">
        <v>85.2</v>
      </c>
      <c r="J1789" s="5">
        <v>0</v>
      </c>
      <c r="K1789" s="6">
        <v>2</v>
      </c>
      <c r="L1789" s="6">
        <v>4</v>
      </c>
      <c r="M1789" t="s">
        <v>58</v>
      </c>
      <c r="N1789" t="s">
        <v>59</v>
      </c>
      <c r="O1789" t="s">
        <v>64</v>
      </c>
    </row>
    <row r="1790" spans="1:15">
      <c r="A1790" t="s">
        <v>1889</v>
      </c>
      <c r="B1790" s="3">
        <v>45943</v>
      </c>
      <c r="C1790" t="s">
        <v>82</v>
      </c>
      <c r="D1790" t="s">
        <v>62</v>
      </c>
      <c r="E1790" t="s">
        <v>79</v>
      </c>
      <c r="F1790" t="s">
        <v>80</v>
      </c>
      <c r="G1790" s="6">
        <v>1</v>
      </c>
      <c r="H1790" s="4">
        <v>73.69</v>
      </c>
      <c r="I1790" s="4">
        <v>42.96</v>
      </c>
      <c r="J1790" s="5">
        <v>0</v>
      </c>
      <c r="K1790" s="6">
        <v>6</v>
      </c>
      <c r="L1790" s="6">
        <v>3</v>
      </c>
      <c r="M1790" t="s">
        <v>126</v>
      </c>
      <c r="N1790" t="s">
        <v>87</v>
      </c>
      <c r="O1790" t="s">
        <v>64</v>
      </c>
    </row>
    <row r="1791" spans="1:15">
      <c r="A1791" t="s">
        <v>1890</v>
      </c>
      <c r="B1791" s="3">
        <v>45787</v>
      </c>
      <c r="C1791" t="s">
        <v>66</v>
      </c>
      <c r="D1791" t="s">
        <v>129</v>
      </c>
      <c r="E1791" t="s">
        <v>67</v>
      </c>
      <c r="F1791" t="s">
        <v>71</v>
      </c>
      <c r="G1791" s="6">
        <v>8</v>
      </c>
      <c r="H1791" s="4">
        <v>72.33</v>
      </c>
      <c r="I1791" s="4">
        <v>38.729999999999997</v>
      </c>
      <c r="J1791" s="5">
        <v>0.1</v>
      </c>
      <c r="K1791" s="6">
        <v>2</v>
      </c>
      <c r="L1791" s="6">
        <v>4</v>
      </c>
      <c r="M1791" t="s">
        <v>58</v>
      </c>
      <c r="N1791" t="s">
        <v>69</v>
      </c>
      <c r="O1791" t="s">
        <v>60</v>
      </c>
    </row>
    <row r="1792" spans="1:15">
      <c r="A1792" t="s">
        <v>1891</v>
      </c>
      <c r="B1792" s="3">
        <v>45837</v>
      </c>
      <c r="C1792" t="s">
        <v>66</v>
      </c>
      <c r="D1792" t="s">
        <v>62</v>
      </c>
      <c r="E1792" t="s">
        <v>67</v>
      </c>
      <c r="F1792" t="s">
        <v>94</v>
      </c>
      <c r="G1792" s="6">
        <v>1</v>
      </c>
      <c r="H1792" s="4">
        <v>34.29</v>
      </c>
      <c r="I1792" s="4">
        <v>16.96</v>
      </c>
      <c r="J1792" s="5">
        <v>0.05</v>
      </c>
      <c r="K1792" s="6">
        <v>3</v>
      </c>
      <c r="L1792" s="6">
        <v>4</v>
      </c>
      <c r="M1792" t="s">
        <v>58</v>
      </c>
      <c r="N1792" t="s">
        <v>59</v>
      </c>
      <c r="O1792" t="s">
        <v>64</v>
      </c>
    </row>
    <row r="1793" spans="1:15">
      <c r="A1793" t="s">
        <v>1892</v>
      </c>
      <c r="B1793" s="3">
        <v>45804</v>
      </c>
      <c r="C1793" t="s">
        <v>82</v>
      </c>
      <c r="D1793" t="s">
        <v>62</v>
      </c>
      <c r="E1793" t="s">
        <v>56</v>
      </c>
      <c r="F1793" t="s">
        <v>89</v>
      </c>
      <c r="G1793" s="6">
        <v>1</v>
      </c>
      <c r="H1793" s="4">
        <v>80.31</v>
      </c>
      <c r="I1793" s="4">
        <v>44.99</v>
      </c>
      <c r="J1793" s="5">
        <v>0</v>
      </c>
      <c r="K1793" s="6">
        <v>0</v>
      </c>
      <c r="L1793" s="6">
        <v>4</v>
      </c>
      <c r="M1793" t="s">
        <v>58</v>
      </c>
      <c r="N1793" t="s">
        <v>69</v>
      </c>
      <c r="O1793" t="s">
        <v>64</v>
      </c>
    </row>
    <row r="1794" spans="1:15">
      <c r="A1794" t="s">
        <v>1893</v>
      </c>
      <c r="B1794" s="3" t="s">
        <v>1894</v>
      </c>
      <c r="C1794" t="s">
        <v>54</v>
      </c>
      <c r="D1794" t="s">
        <v>62</v>
      </c>
      <c r="E1794" t="s">
        <v>79</v>
      </c>
      <c r="F1794" t="s">
        <v>80</v>
      </c>
      <c r="G1794" s="6">
        <v>2</v>
      </c>
      <c r="H1794" s="4">
        <v>74.349999999999994</v>
      </c>
      <c r="I1794" s="4">
        <v>43.44</v>
      </c>
      <c r="J1794" s="5">
        <v>0.05</v>
      </c>
      <c r="K1794" s="6">
        <v>6</v>
      </c>
      <c r="L1794" s="6">
        <v>3</v>
      </c>
      <c r="M1794" t="s">
        <v>58</v>
      </c>
      <c r="N1794" t="s">
        <v>59</v>
      </c>
      <c r="O1794" t="s">
        <v>64</v>
      </c>
    </row>
    <row r="1795" spans="1:15">
      <c r="A1795" t="s">
        <v>1895</v>
      </c>
      <c r="B1795" s="3">
        <v>45731</v>
      </c>
      <c r="C1795" t="s">
        <v>82</v>
      </c>
      <c r="D1795" t="s">
        <v>55</v>
      </c>
      <c r="E1795" t="s">
        <v>56</v>
      </c>
      <c r="F1795" t="s">
        <v>57</v>
      </c>
      <c r="G1795" s="6">
        <v>3</v>
      </c>
      <c r="H1795" s="4">
        <v>110.79</v>
      </c>
      <c r="I1795" s="4">
        <v>66.540000000000006</v>
      </c>
      <c r="J1795" s="5">
        <v>0</v>
      </c>
      <c r="K1795" s="6">
        <v>3</v>
      </c>
      <c r="L1795" s="6">
        <v>4</v>
      </c>
      <c r="M1795" t="s">
        <v>58</v>
      </c>
      <c r="N1795" t="s">
        <v>59</v>
      </c>
      <c r="O1795" t="s">
        <v>64</v>
      </c>
    </row>
    <row r="1796" spans="1:15">
      <c r="A1796" t="s">
        <v>1896</v>
      </c>
      <c r="B1796" s="3">
        <v>45810</v>
      </c>
      <c r="C1796" t="s">
        <v>54</v>
      </c>
      <c r="D1796" t="s">
        <v>62</v>
      </c>
      <c r="E1796" t="s">
        <v>67</v>
      </c>
      <c r="F1796" t="s">
        <v>71</v>
      </c>
      <c r="G1796" s="6">
        <v>1</v>
      </c>
      <c r="H1796" s="4">
        <v>71.849999999999994</v>
      </c>
      <c r="I1796" s="4">
        <v>38.47</v>
      </c>
      <c r="J1796" s="5">
        <v>0</v>
      </c>
      <c r="K1796" s="6">
        <v>3</v>
      </c>
      <c r="L1796" s="6">
        <v>4</v>
      </c>
      <c r="M1796" t="s">
        <v>126</v>
      </c>
      <c r="N1796" t="s">
        <v>59</v>
      </c>
      <c r="O1796" t="s">
        <v>64</v>
      </c>
    </row>
    <row r="1797" spans="1:15">
      <c r="A1797" t="s">
        <v>1897</v>
      </c>
      <c r="B1797" s="3">
        <v>45694</v>
      </c>
      <c r="C1797" t="s">
        <v>78</v>
      </c>
      <c r="D1797" t="s">
        <v>129</v>
      </c>
      <c r="E1797" t="s">
        <v>56</v>
      </c>
      <c r="F1797" t="s">
        <v>83</v>
      </c>
      <c r="G1797" s="6">
        <v>6</v>
      </c>
      <c r="H1797" s="4">
        <v>65.290000000000006</v>
      </c>
      <c r="I1797" s="4">
        <v>34.1</v>
      </c>
      <c r="J1797" s="5">
        <v>0.05</v>
      </c>
      <c r="K1797" s="6">
        <v>2</v>
      </c>
      <c r="L1797" s="6">
        <v>4</v>
      </c>
      <c r="M1797" t="s">
        <v>58</v>
      </c>
      <c r="N1797" t="s">
        <v>69</v>
      </c>
      <c r="O1797" t="s">
        <v>64</v>
      </c>
    </row>
    <row r="1798" spans="1:15">
      <c r="A1798" t="s">
        <v>1898</v>
      </c>
      <c r="B1798" s="3">
        <v>45774</v>
      </c>
      <c r="C1798" t="s">
        <v>78</v>
      </c>
      <c r="D1798" t="s">
        <v>62</v>
      </c>
      <c r="E1798" t="s">
        <v>56</v>
      </c>
      <c r="F1798" t="s">
        <v>57</v>
      </c>
      <c r="G1798" s="6">
        <v>1</v>
      </c>
      <c r="H1798" s="4">
        <v>111.5</v>
      </c>
      <c r="I1798" s="4">
        <v>65.959999999999994</v>
      </c>
      <c r="J1798" s="5">
        <v>0.1</v>
      </c>
      <c r="K1798" s="6">
        <v>2</v>
      </c>
      <c r="L1798" s="6">
        <v>4</v>
      </c>
      <c r="M1798" t="s">
        <v>58</v>
      </c>
      <c r="N1798" t="s">
        <v>59</v>
      </c>
      <c r="O1798" t="s">
        <v>64</v>
      </c>
    </row>
    <row r="1799" spans="1:15">
      <c r="A1799" t="s">
        <v>1899</v>
      </c>
      <c r="B1799" s="3">
        <v>45953</v>
      </c>
      <c r="C1799" t="s">
        <v>78</v>
      </c>
      <c r="D1799" t="s">
        <v>55</v>
      </c>
      <c r="E1799" t="s">
        <v>79</v>
      </c>
      <c r="F1799" t="s">
        <v>92</v>
      </c>
      <c r="G1799" s="6">
        <v>4</v>
      </c>
      <c r="H1799" s="4">
        <v>51.58</v>
      </c>
      <c r="I1799" s="4">
        <v>27.15</v>
      </c>
      <c r="J1799" s="5">
        <v>0.1</v>
      </c>
      <c r="K1799" s="6">
        <v>0</v>
      </c>
      <c r="L1799" s="6">
        <v>4</v>
      </c>
      <c r="M1799" t="s">
        <v>58</v>
      </c>
      <c r="N1799" t="s">
        <v>69</v>
      </c>
      <c r="O1799" t="s">
        <v>64</v>
      </c>
    </row>
    <row r="1800" spans="1:15">
      <c r="A1800" t="s">
        <v>1900</v>
      </c>
      <c r="B1800" s="3">
        <v>45750</v>
      </c>
      <c r="C1800" t="s">
        <v>78</v>
      </c>
      <c r="D1800" t="s">
        <v>62</v>
      </c>
      <c r="E1800" t="s">
        <v>56</v>
      </c>
      <c r="F1800" t="s">
        <v>57</v>
      </c>
      <c r="G1800" s="6">
        <v>3</v>
      </c>
      <c r="H1800" s="4">
        <v>111.44</v>
      </c>
      <c r="I1800" s="4">
        <v>70.2</v>
      </c>
      <c r="J1800" s="5">
        <v>0.05</v>
      </c>
      <c r="K1800" s="6">
        <v>3</v>
      </c>
      <c r="L1800" s="6">
        <v>5</v>
      </c>
      <c r="M1800" t="s">
        <v>58</v>
      </c>
      <c r="N1800" t="s">
        <v>59</v>
      </c>
      <c r="O1800" t="s">
        <v>64</v>
      </c>
    </row>
    <row r="1801" spans="1:15">
      <c r="A1801" t="s">
        <v>1901</v>
      </c>
      <c r="B1801" s="3">
        <v>45900</v>
      </c>
      <c r="C1801" t="s">
        <v>54</v>
      </c>
      <c r="D1801" t="s">
        <v>62</v>
      </c>
      <c r="E1801" t="s">
        <v>67</v>
      </c>
      <c r="F1801" t="s">
        <v>94</v>
      </c>
      <c r="G1801" s="6">
        <v>1</v>
      </c>
      <c r="H1801" s="4">
        <v>34.67</v>
      </c>
      <c r="I1801" s="4">
        <v>17.309999999999999</v>
      </c>
      <c r="J1801" s="5">
        <v>0.05</v>
      </c>
      <c r="K1801" s="6">
        <v>2</v>
      </c>
      <c r="L1801" s="6">
        <v>5</v>
      </c>
      <c r="M1801" t="s">
        <v>58</v>
      </c>
      <c r="N1801" t="s">
        <v>59</v>
      </c>
      <c r="O1801" t="s">
        <v>60</v>
      </c>
    </row>
    <row r="1802" spans="1:15">
      <c r="A1802" t="s">
        <v>1902</v>
      </c>
      <c r="B1802" s="3">
        <v>45886</v>
      </c>
      <c r="C1802" t="s">
        <v>82</v>
      </c>
      <c r="D1802" t="s">
        <v>62</v>
      </c>
      <c r="E1802" t="s">
        <v>67</v>
      </c>
      <c r="F1802" t="s">
        <v>107</v>
      </c>
      <c r="G1802" s="6">
        <v>3</v>
      </c>
      <c r="H1802" s="4">
        <v>45.81</v>
      </c>
      <c r="I1802" s="4">
        <v>20.440000000000001</v>
      </c>
      <c r="J1802" s="5">
        <v>0.05</v>
      </c>
      <c r="K1802" s="6">
        <v>1</v>
      </c>
      <c r="L1802" s="6">
        <v>4</v>
      </c>
      <c r="M1802" t="s">
        <v>58</v>
      </c>
      <c r="N1802" t="s">
        <v>87</v>
      </c>
      <c r="O1802" t="s">
        <v>64</v>
      </c>
    </row>
    <row r="1803" spans="1:15">
      <c r="A1803" t="s">
        <v>1903</v>
      </c>
      <c r="B1803" s="3">
        <v>45796</v>
      </c>
      <c r="C1803" t="s">
        <v>66</v>
      </c>
      <c r="D1803" t="s">
        <v>62</v>
      </c>
      <c r="E1803" t="s">
        <v>79</v>
      </c>
      <c r="F1803" t="s">
        <v>92</v>
      </c>
      <c r="G1803" s="6">
        <v>1</v>
      </c>
      <c r="H1803" s="4">
        <v>51.31</v>
      </c>
      <c r="I1803" s="4">
        <v>26.25</v>
      </c>
      <c r="J1803" s="5">
        <v>0.1</v>
      </c>
      <c r="K1803" s="6">
        <v>5</v>
      </c>
      <c r="L1803" s="6">
        <v>5</v>
      </c>
      <c r="M1803" t="s">
        <v>58</v>
      </c>
      <c r="N1803" t="s">
        <v>59</v>
      </c>
      <c r="O1803" t="s">
        <v>73</v>
      </c>
    </row>
    <row r="1804" spans="1:15">
      <c r="A1804" t="s">
        <v>1904</v>
      </c>
      <c r="B1804" s="3">
        <v>45898</v>
      </c>
      <c r="C1804" t="s">
        <v>66</v>
      </c>
      <c r="D1804" t="s">
        <v>55</v>
      </c>
      <c r="E1804" t="s">
        <v>56</v>
      </c>
      <c r="F1804" t="s">
        <v>63</v>
      </c>
      <c r="G1804" s="6">
        <v>2</v>
      </c>
      <c r="H1804" s="4">
        <v>40.06</v>
      </c>
      <c r="I1804" s="4">
        <v>20.34</v>
      </c>
      <c r="J1804" s="5">
        <v>0.1</v>
      </c>
      <c r="K1804" s="6">
        <v>0</v>
      </c>
      <c r="L1804" s="6">
        <v>5</v>
      </c>
      <c r="M1804" t="s">
        <v>58</v>
      </c>
      <c r="N1804" t="s">
        <v>69</v>
      </c>
      <c r="O1804" t="s">
        <v>64</v>
      </c>
    </row>
    <row r="1805" spans="1:15">
      <c r="A1805" t="s">
        <v>1905</v>
      </c>
      <c r="B1805" s="3">
        <v>45966</v>
      </c>
      <c r="C1805" t="s">
        <v>78</v>
      </c>
      <c r="D1805" t="s">
        <v>62</v>
      </c>
      <c r="E1805" t="s">
        <v>79</v>
      </c>
      <c r="F1805" t="s">
        <v>92</v>
      </c>
      <c r="G1805" s="6">
        <v>1</v>
      </c>
      <c r="H1805" s="4">
        <v>51.55</v>
      </c>
      <c r="I1805" s="4">
        <v>25.8</v>
      </c>
      <c r="J1805" s="5">
        <v>0.05</v>
      </c>
      <c r="K1805" s="6">
        <v>2</v>
      </c>
      <c r="L1805" s="6">
        <v>5</v>
      </c>
      <c r="M1805" t="s">
        <v>58</v>
      </c>
      <c r="N1805" t="s">
        <v>87</v>
      </c>
      <c r="O1805" t="s">
        <v>64</v>
      </c>
    </row>
    <row r="1806" spans="1:15">
      <c r="A1806" t="s">
        <v>1906</v>
      </c>
      <c r="B1806" s="3">
        <v>45968</v>
      </c>
      <c r="C1806" t="s">
        <v>82</v>
      </c>
      <c r="D1806" t="s">
        <v>55</v>
      </c>
      <c r="E1806" t="s">
        <v>75</v>
      </c>
      <c r="F1806" t="s">
        <v>110</v>
      </c>
      <c r="G1806" s="6">
        <v>1</v>
      </c>
      <c r="H1806" s="4">
        <v>157.16</v>
      </c>
      <c r="I1806" s="4">
        <v>103.29</v>
      </c>
      <c r="J1806" s="5">
        <v>0</v>
      </c>
      <c r="K1806" s="6">
        <v>5</v>
      </c>
      <c r="L1806" s="6">
        <v>4</v>
      </c>
      <c r="M1806" t="s">
        <v>58</v>
      </c>
      <c r="N1806" t="s">
        <v>59</v>
      </c>
      <c r="O1806" t="s">
        <v>64</v>
      </c>
    </row>
    <row r="1807" spans="1:15">
      <c r="A1807" t="s">
        <v>1907</v>
      </c>
      <c r="B1807" s="3">
        <v>45732</v>
      </c>
      <c r="C1807" t="s">
        <v>78</v>
      </c>
      <c r="D1807" t="s">
        <v>62</v>
      </c>
      <c r="E1807" t="s">
        <v>79</v>
      </c>
      <c r="F1807" t="s">
        <v>85</v>
      </c>
      <c r="G1807" s="6">
        <v>1</v>
      </c>
      <c r="H1807" s="4">
        <v>134.62</v>
      </c>
      <c r="I1807" s="4">
        <v>83.59</v>
      </c>
      <c r="J1807" s="5">
        <v>0</v>
      </c>
      <c r="K1807" s="6">
        <v>3</v>
      </c>
      <c r="L1807" s="6">
        <v>3</v>
      </c>
      <c r="M1807" t="s">
        <v>126</v>
      </c>
      <c r="N1807" t="s">
        <v>59</v>
      </c>
      <c r="O1807" t="s">
        <v>64</v>
      </c>
    </row>
    <row r="1808" spans="1:15">
      <c r="A1808" t="s">
        <v>1908</v>
      </c>
      <c r="B1808" s="3">
        <v>45685</v>
      </c>
      <c r="C1808" t="s">
        <v>78</v>
      </c>
      <c r="D1808" t="s">
        <v>62</v>
      </c>
      <c r="E1808" t="s">
        <v>79</v>
      </c>
      <c r="F1808" t="s">
        <v>85</v>
      </c>
      <c r="G1808" s="6">
        <v>1</v>
      </c>
      <c r="H1808" s="4">
        <v>129.44999999999999</v>
      </c>
      <c r="I1808" s="4">
        <v>87.43</v>
      </c>
      <c r="J1808" s="5">
        <v>0.1</v>
      </c>
      <c r="K1808" s="6">
        <v>3</v>
      </c>
      <c r="L1808" s="6">
        <v>4</v>
      </c>
      <c r="M1808" t="s">
        <v>58</v>
      </c>
      <c r="N1808" t="s">
        <v>59</v>
      </c>
      <c r="O1808" t="s">
        <v>64</v>
      </c>
    </row>
    <row r="1809" spans="1:15">
      <c r="A1809" t="s">
        <v>1909</v>
      </c>
      <c r="B1809" s="3">
        <v>46017</v>
      </c>
      <c r="C1809" t="s">
        <v>54</v>
      </c>
      <c r="D1809" t="s">
        <v>62</v>
      </c>
      <c r="E1809" t="s">
        <v>56</v>
      </c>
      <c r="F1809" t="s">
        <v>89</v>
      </c>
      <c r="G1809" s="6">
        <v>1</v>
      </c>
      <c r="H1809" s="4">
        <v>80.27</v>
      </c>
      <c r="I1809" s="4">
        <v>45.49</v>
      </c>
      <c r="J1809" s="5">
        <v>0.1</v>
      </c>
      <c r="K1809" s="6">
        <v>4</v>
      </c>
      <c r="L1809" s="6">
        <v>3</v>
      </c>
      <c r="M1809" t="s">
        <v>126</v>
      </c>
      <c r="N1809" t="s">
        <v>59</v>
      </c>
      <c r="O1809" t="s">
        <v>64</v>
      </c>
    </row>
    <row r="1810" spans="1:15">
      <c r="A1810" t="s">
        <v>1910</v>
      </c>
      <c r="B1810" s="3">
        <v>45942</v>
      </c>
      <c r="C1810" t="s">
        <v>78</v>
      </c>
      <c r="D1810" t="s">
        <v>62</v>
      </c>
      <c r="E1810" t="s">
        <v>67</v>
      </c>
      <c r="F1810" t="s">
        <v>107</v>
      </c>
      <c r="G1810" s="6">
        <v>1</v>
      </c>
      <c r="H1810" s="4">
        <v>44.62</v>
      </c>
      <c r="I1810" s="4">
        <v>20.71</v>
      </c>
      <c r="J1810" s="5">
        <v>0.1</v>
      </c>
      <c r="K1810" s="6">
        <v>4</v>
      </c>
      <c r="L1810" s="6">
        <v>5</v>
      </c>
      <c r="M1810" t="s">
        <v>58</v>
      </c>
      <c r="N1810" t="s">
        <v>59</v>
      </c>
      <c r="O1810" t="s">
        <v>64</v>
      </c>
    </row>
    <row r="1811" spans="1:15">
      <c r="A1811" t="s">
        <v>1911</v>
      </c>
      <c r="B1811" s="3">
        <v>45835</v>
      </c>
      <c r="C1811" t="s">
        <v>78</v>
      </c>
      <c r="D1811" t="s">
        <v>62</v>
      </c>
      <c r="E1811" t="s">
        <v>75</v>
      </c>
      <c r="F1811" t="s">
        <v>97</v>
      </c>
      <c r="G1811" s="6">
        <v>1</v>
      </c>
      <c r="H1811" s="4">
        <v>87.8</v>
      </c>
      <c r="I1811" s="4">
        <v>55.17</v>
      </c>
      <c r="J1811" s="5">
        <v>0.05</v>
      </c>
      <c r="K1811" s="6">
        <v>5</v>
      </c>
      <c r="L1811" s="6">
        <v>4</v>
      </c>
      <c r="M1811" t="s">
        <v>58</v>
      </c>
      <c r="N1811" t="s">
        <v>69</v>
      </c>
      <c r="O1811" t="s">
        <v>60</v>
      </c>
    </row>
    <row r="1812" spans="1:15">
      <c r="A1812" t="s">
        <v>1912</v>
      </c>
      <c r="B1812" s="3">
        <v>45796</v>
      </c>
      <c r="C1812" t="s">
        <v>66</v>
      </c>
      <c r="D1812" t="s">
        <v>62</v>
      </c>
      <c r="E1812" t="s">
        <v>67</v>
      </c>
      <c r="F1812" t="s">
        <v>68</v>
      </c>
      <c r="G1812" s="6">
        <v>1</v>
      </c>
      <c r="H1812" s="4">
        <v>38.99</v>
      </c>
      <c r="I1812" s="4">
        <v>19.78</v>
      </c>
      <c r="J1812" s="5">
        <v>0.15000000000000002</v>
      </c>
      <c r="K1812" s="6">
        <v>4</v>
      </c>
      <c r="L1812" s="6">
        <v>4</v>
      </c>
      <c r="M1812" t="s">
        <v>58</v>
      </c>
      <c r="N1812" t="s">
        <v>59</v>
      </c>
      <c r="O1812" t="s">
        <v>64</v>
      </c>
    </row>
    <row r="1813" spans="1:15">
      <c r="A1813" t="s">
        <v>1913</v>
      </c>
      <c r="B1813" s="3">
        <v>46005</v>
      </c>
      <c r="C1813" t="s">
        <v>66</v>
      </c>
      <c r="D1813" t="s">
        <v>129</v>
      </c>
      <c r="E1813" t="s">
        <v>67</v>
      </c>
      <c r="F1813" t="s">
        <v>68</v>
      </c>
      <c r="G1813" s="6">
        <v>4</v>
      </c>
      <c r="H1813" s="4">
        <v>40.770000000000003</v>
      </c>
      <c r="I1813" s="4">
        <v>18.97</v>
      </c>
      <c r="J1813" s="5">
        <v>0.2</v>
      </c>
      <c r="K1813" s="6">
        <v>4</v>
      </c>
      <c r="L1813" s="6">
        <v>4</v>
      </c>
      <c r="M1813" t="s">
        <v>58</v>
      </c>
      <c r="N1813" t="s">
        <v>59</v>
      </c>
      <c r="O1813" t="s">
        <v>64</v>
      </c>
    </row>
    <row r="1814" spans="1:15">
      <c r="A1814" t="s">
        <v>1914</v>
      </c>
      <c r="B1814" s="3">
        <v>45861</v>
      </c>
      <c r="C1814" t="s">
        <v>82</v>
      </c>
      <c r="D1814" t="s">
        <v>55</v>
      </c>
      <c r="E1814" t="s">
        <v>56</v>
      </c>
      <c r="F1814" t="s">
        <v>89</v>
      </c>
      <c r="G1814" s="6">
        <v>3</v>
      </c>
      <c r="H1814" s="4">
        <v>81.180000000000007</v>
      </c>
      <c r="I1814" s="4">
        <v>44.91</v>
      </c>
      <c r="J1814" s="5">
        <v>0.05</v>
      </c>
      <c r="K1814" s="6">
        <v>0</v>
      </c>
      <c r="L1814" s="6">
        <v>5</v>
      </c>
      <c r="M1814" t="s">
        <v>58</v>
      </c>
      <c r="N1814" t="s">
        <v>69</v>
      </c>
      <c r="O1814" t="s">
        <v>64</v>
      </c>
    </row>
    <row r="1815" spans="1:15">
      <c r="A1815" t="s">
        <v>1915</v>
      </c>
      <c r="B1815" s="3">
        <v>45993</v>
      </c>
      <c r="C1815" t="s">
        <v>78</v>
      </c>
      <c r="D1815" t="s">
        <v>62</v>
      </c>
      <c r="E1815" t="s">
        <v>56</v>
      </c>
      <c r="F1815" t="s">
        <v>57</v>
      </c>
      <c r="G1815" s="6">
        <v>1</v>
      </c>
      <c r="H1815" s="4">
        <v>111.14</v>
      </c>
      <c r="I1815" s="4">
        <v>66.19</v>
      </c>
      <c r="J1815" s="5">
        <v>0.1</v>
      </c>
      <c r="K1815" s="6">
        <v>3</v>
      </c>
      <c r="L1815" s="6">
        <v>4</v>
      </c>
      <c r="M1815" t="s">
        <v>58</v>
      </c>
      <c r="N1815" t="s">
        <v>59</v>
      </c>
      <c r="O1815" t="s">
        <v>64</v>
      </c>
    </row>
    <row r="1816" spans="1:15">
      <c r="A1816" t="s">
        <v>1916</v>
      </c>
      <c r="B1816" s="3">
        <v>45782</v>
      </c>
      <c r="C1816" t="s">
        <v>66</v>
      </c>
      <c r="D1816" t="s">
        <v>62</v>
      </c>
      <c r="E1816" t="s">
        <v>56</v>
      </c>
      <c r="F1816" t="s">
        <v>89</v>
      </c>
      <c r="G1816" s="6">
        <v>3</v>
      </c>
      <c r="H1816" s="4">
        <v>81.11</v>
      </c>
      <c r="I1816" s="4">
        <v>44.5</v>
      </c>
      <c r="J1816" s="5">
        <v>0</v>
      </c>
      <c r="K1816" s="6">
        <v>8</v>
      </c>
      <c r="L1816" s="6">
        <v>3</v>
      </c>
      <c r="M1816" t="s">
        <v>58</v>
      </c>
      <c r="N1816" t="s">
        <v>87</v>
      </c>
      <c r="O1816" t="s">
        <v>64</v>
      </c>
    </row>
    <row r="1817" spans="1:15">
      <c r="A1817" t="s">
        <v>1917</v>
      </c>
      <c r="B1817" s="3">
        <v>45978</v>
      </c>
      <c r="C1817" t="s">
        <v>66</v>
      </c>
      <c r="D1817" t="s">
        <v>55</v>
      </c>
      <c r="E1817" t="s">
        <v>67</v>
      </c>
      <c r="F1817" t="s">
        <v>71</v>
      </c>
      <c r="G1817" s="6">
        <v>6</v>
      </c>
      <c r="H1817" s="4">
        <v>70.67</v>
      </c>
      <c r="I1817" s="4">
        <v>39.18</v>
      </c>
      <c r="J1817" s="5">
        <v>0.1</v>
      </c>
      <c r="K1817" s="6">
        <v>3</v>
      </c>
      <c r="L1817" s="6">
        <v>5</v>
      </c>
      <c r="M1817" t="s">
        <v>58</v>
      </c>
      <c r="N1817" t="s">
        <v>87</v>
      </c>
      <c r="O1817" t="s">
        <v>64</v>
      </c>
    </row>
    <row r="1818" spans="1:15">
      <c r="A1818" t="s">
        <v>1918</v>
      </c>
      <c r="B1818" s="3">
        <v>45981</v>
      </c>
      <c r="C1818" t="s">
        <v>66</v>
      </c>
      <c r="D1818" t="s">
        <v>62</v>
      </c>
      <c r="E1818" t="s">
        <v>67</v>
      </c>
      <c r="F1818" t="s">
        <v>107</v>
      </c>
      <c r="G1818" s="6">
        <v>1</v>
      </c>
      <c r="H1818" s="4">
        <v>45.16</v>
      </c>
      <c r="I1818" s="4">
        <v>20.69</v>
      </c>
      <c r="J1818" s="5">
        <v>0.15000000000000002</v>
      </c>
      <c r="K1818" s="6">
        <v>3</v>
      </c>
      <c r="L1818" s="6">
        <v>5</v>
      </c>
      <c r="M1818" t="s">
        <v>58</v>
      </c>
      <c r="N1818" t="s">
        <v>59</v>
      </c>
      <c r="O1818" t="s">
        <v>73</v>
      </c>
    </row>
    <row r="1819" spans="1:15">
      <c r="A1819" t="s">
        <v>1919</v>
      </c>
      <c r="B1819" s="3">
        <v>45681</v>
      </c>
      <c r="C1819" t="s">
        <v>54</v>
      </c>
      <c r="D1819" t="s">
        <v>62</v>
      </c>
      <c r="E1819" t="s">
        <v>79</v>
      </c>
      <c r="F1819" t="s">
        <v>92</v>
      </c>
      <c r="G1819" s="6">
        <v>3</v>
      </c>
      <c r="H1819" s="4">
        <v>50.32</v>
      </c>
      <c r="I1819" s="4">
        <v>26.16</v>
      </c>
      <c r="J1819" s="5">
        <v>0.1</v>
      </c>
      <c r="K1819" s="6">
        <v>2</v>
      </c>
      <c r="L1819" s="6">
        <v>4</v>
      </c>
      <c r="M1819" t="s">
        <v>126</v>
      </c>
      <c r="N1819" t="s">
        <v>59</v>
      </c>
      <c r="O1819" t="s">
        <v>64</v>
      </c>
    </row>
    <row r="1820" spans="1:15">
      <c r="A1820" t="s">
        <v>1920</v>
      </c>
      <c r="B1820" s="3">
        <v>45908</v>
      </c>
      <c r="C1820" t="s">
        <v>66</v>
      </c>
      <c r="D1820" t="s">
        <v>55</v>
      </c>
      <c r="E1820" t="s">
        <v>56</v>
      </c>
      <c r="F1820" t="s">
        <v>83</v>
      </c>
      <c r="G1820" s="6">
        <v>2</v>
      </c>
      <c r="H1820" s="4">
        <v>63.07</v>
      </c>
      <c r="I1820" s="4">
        <v>36.43</v>
      </c>
      <c r="J1820" s="5">
        <v>0.1</v>
      </c>
      <c r="K1820" s="6">
        <v>1</v>
      </c>
      <c r="L1820" s="6">
        <v>5</v>
      </c>
      <c r="M1820" t="s">
        <v>58</v>
      </c>
      <c r="N1820" t="s">
        <v>69</v>
      </c>
      <c r="O1820" t="s">
        <v>73</v>
      </c>
    </row>
    <row r="1821" spans="1:15">
      <c r="A1821" t="s">
        <v>1921</v>
      </c>
      <c r="B1821" s="3">
        <v>45887</v>
      </c>
      <c r="C1821" t="s">
        <v>54</v>
      </c>
      <c r="D1821" t="s">
        <v>62</v>
      </c>
      <c r="E1821" t="s">
        <v>56</v>
      </c>
      <c r="F1821" t="s">
        <v>89</v>
      </c>
      <c r="G1821" s="6">
        <v>4</v>
      </c>
      <c r="H1821" s="4">
        <v>82.1</v>
      </c>
      <c r="I1821" s="4">
        <v>45.95</v>
      </c>
      <c r="J1821" s="5">
        <v>0</v>
      </c>
      <c r="K1821" s="6">
        <v>4</v>
      </c>
      <c r="L1821" s="6">
        <v>4</v>
      </c>
      <c r="M1821" t="s">
        <v>58</v>
      </c>
      <c r="N1821" t="s">
        <v>87</v>
      </c>
      <c r="O1821" t="s">
        <v>64</v>
      </c>
    </row>
    <row r="1822" spans="1:15">
      <c r="A1822" t="s">
        <v>1922</v>
      </c>
      <c r="B1822" s="3">
        <v>45712</v>
      </c>
      <c r="C1822" t="s">
        <v>82</v>
      </c>
      <c r="D1822" t="s">
        <v>62</v>
      </c>
      <c r="E1822" t="s">
        <v>67</v>
      </c>
      <c r="F1822" t="s">
        <v>107</v>
      </c>
      <c r="G1822" s="6">
        <v>1</v>
      </c>
      <c r="H1822" s="4">
        <v>44.13</v>
      </c>
      <c r="I1822" s="4">
        <v>21.25</v>
      </c>
      <c r="J1822" s="5">
        <v>0.05</v>
      </c>
      <c r="K1822" s="6">
        <v>0</v>
      </c>
      <c r="L1822" s="6">
        <v>4</v>
      </c>
      <c r="M1822" t="s">
        <v>58</v>
      </c>
      <c r="N1822" t="s">
        <v>69</v>
      </c>
      <c r="O1822" t="s">
        <v>73</v>
      </c>
    </row>
    <row r="1823" spans="1:15">
      <c r="A1823" t="s">
        <v>1923</v>
      </c>
      <c r="B1823" s="3">
        <v>45909</v>
      </c>
      <c r="C1823" t="s">
        <v>66</v>
      </c>
      <c r="D1823" t="s">
        <v>62</v>
      </c>
      <c r="E1823" t="s">
        <v>79</v>
      </c>
      <c r="F1823" t="s">
        <v>92</v>
      </c>
      <c r="G1823" s="6">
        <v>1</v>
      </c>
      <c r="H1823" s="4">
        <v>49.54</v>
      </c>
      <c r="I1823" s="4">
        <v>26.55</v>
      </c>
      <c r="J1823" s="5">
        <v>0.05</v>
      </c>
      <c r="K1823" s="6">
        <v>0</v>
      </c>
      <c r="L1823" s="6">
        <v>3</v>
      </c>
      <c r="M1823" t="s">
        <v>126</v>
      </c>
      <c r="N1823" t="s">
        <v>69</v>
      </c>
      <c r="O1823" t="s">
        <v>64</v>
      </c>
    </row>
    <row r="1824" spans="1:15">
      <c r="A1824" t="s">
        <v>1924</v>
      </c>
      <c r="B1824" s="3">
        <v>45827</v>
      </c>
      <c r="C1824" t="s">
        <v>78</v>
      </c>
      <c r="D1824" t="s">
        <v>62</v>
      </c>
      <c r="E1824" t="s">
        <v>56</v>
      </c>
      <c r="F1824" t="s">
        <v>83</v>
      </c>
      <c r="G1824" s="6">
        <v>3</v>
      </c>
      <c r="H1824" s="4">
        <v>67.52</v>
      </c>
      <c r="I1824" s="4">
        <v>34.479999999999997</v>
      </c>
      <c r="J1824" s="5">
        <v>0</v>
      </c>
      <c r="K1824" s="6">
        <v>1</v>
      </c>
      <c r="L1824" s="6">
        <v>5</v>
      </c>
      <c r="M1824" t="s">
        <v>58</v>
      </c>
      <c r="N1824" t="s">
        <v>87</v>
      </c>
      <c r="O1824" t="s">
        <v>64</v>
      </c>
    </row>
    <row r="1825" spans="1:15">
      <c r="A1825" t="s">
        <v>1925</v>
      </c>
      <c r="B1825" s="3">
        <v>45826</v>
      </c>
      <c r="C1825" t="s">
        <v>82</v>
      </c>
      <c r="D1825" t="s">
        <v>62</v>
      </c>
      <c r="E1825" t="s">
        <v>56</v>
      </c>
      <c r="F1825" t="s">
        <v>83</v>
      </c>
      <c r="G1825" s="6">
        <v>2</v>
      </c>
      <c r="H1825" s="4">
        <v>64.97</v>
      </c>
      <c r="I1825" s="4">
        <v>36.36</v>
      </c>
      <c r="J1825" s="5">
        <v>0</v>
      </c>
      <c r="K1825" s="6">
        <v>4</v>
      </c>
      <c r="L1825" s="6">
        <v>4</v>
      </c>
      <c r="M1825" t="s">
        <v>58</v>
      </c>
      <c r="N1825" t="s">
        <v>69</v>
      </c>
      <c r="O1825" t="s">
        <v>73</v>
      </c>
    </row>
    <row r="1826" spans="1:15">
      <c r="A1826" t="s">
        <v>1926</v>
      </c>
      <c r="B1826" s="3">
        <v>45806</v>
      </c>
      <c r="C1826" t="s">
        <v>66</v>
      </c>
      <c r="D1826" t="s">
        <v>62</v>
      </c>
      <c r="E1826" t="s">
        <v>56</v>
      </c>
      <c r="F1826" t="s">
        <v>63</v>
      </c>
      <c r="G1826" s="6">
        <v>1</v>
      </c>
      <c r="H1826" s="4">
        <v>41.03</v>
      </c>
      <c r="I1826" s="4">
        <v>20.71</v>
      </c>
      <c r="J1826" s="5">
        <v>0.1</v>
      </c>
      <c r="K1826" s="6">
        <v>0</v>
      </c>
      <c r="L1826" s="6">
        <v>4</v>
      </c>
      <c r="M1826" t="s">
        <v>58</v>
      </c>
      <c r="N1826" t="s">
        <v>69</v>
      </c>
      <c r="O1826" t="s">
        <v>64</v>
      </c>
    </row>
    <row r="1827" spans="1:15">
      <c r="A1827" t="s">
        <v>1927</v>
      </c>
      <c r="B1827" s="3">
        <v>45998</v>
      </c>
      <c r="C1827" t="s">
        <v>66</v>
      </c>
      <c r="D1827" t="s">
        <v>55</v>
      </c>
      <c r="E1827" t="s">
        <v>56</v>
      </c>
      <c r="F1827" t="s">
        <v>63</v>
      </c>
      <c r="G1827" s="6">
        <v>2</v>
      </c>
      <c r="H1827" s="4">
        <v>38.94</v>
      </c>
      <c r="I1827" s="4">
        <v>19.47</v>
      </c>
      <c r="J1827" s="5">
        <v>0.15000000000000002</v>
      </c>
      <c r="K1827" s="6">
        <v>4</v>
      </c>
      <c r="L1827" s="6">
        <v>5</v>
      </c>
      <c r="M1827" t="s">
        <v>58</v>
      </c>
      <c r="N1827" t="s">
        <v>59</v>
      </c>
      <c r="O1827" t="s">
        <v>60</v>
      </c>
    </row>
    <row r="1828" spans="1:15">
      <c r="A1828" t="s">
        <v>1928</v>
      </c>
      <c r="B1828" s="3">
        <v>45979</v>
      </c>
      <c r="C1828" t="s">
        <v>82</v>
      </c>
      <c r="D1828" t="s">
        <v>62</v>
      </c>
      <c r="E1828" t="s">
        <v>67</v>
      </c>
      <c r="F1828" t="s">
        <v>94</v>
      </c>
      <c r="G1828" s="6">
        <v>1</v>
      </c>
      <c r="H1828" s="4">
        <v>36.03</v>
      </c>
      <c r="I1828" s="4">
        <v>16.59</v>
      </c>
      <c r="J1828" s="5">
        <v>0.1</v>
      </c>
      <c r="K1828" s="6">
        <v>2</v>
      </c>
      <c r="L1828" s="6">
        <v>4</v>
      </c>
      <c r="M1828" t="s">
        <v>58</v>
      </c>
      <c r="N1828" t="s">
        <v>87</v>
      </c>
      <c r="O1828" t="s">
        <v>64</v>
      </c>
    </row>
    <row r="1829" spans="1:15">
      <c r="A1829" t="s">
        <v>1929</v>
      </c>
      <c r="B1829" s="3">
        <v>45795</v>
      </c>
      <c r="C1829" t="s">
        <v>66</v>
      </c>
      <c r="D1829" t="s">
        <v>129</v>
      </c>
      <c r="E1829" t="s">
        <v>56</v>
      </c>
      <c r="F1829" t="s">
        <v>63</v>
      </c>
      <c r="G1829" s="6">
        <v>3</v>
      </c>
      <c r="H1829" s="4">
        <v>41.44</v>
      </c>
      <c r="I1829" s="4">
        <v>20.89</v>
      </c>
      <c r="J1829" s="5">
        <v>0.15000000000000002</v>
      </c>
      <c r="K1829" s="6">
        <v>4</v>
      </c>
      <c r="L1829" s="6">
        <v>4</v>
      </c>
      <c r="M1829" t="s">
        <v>58</v>
      </c>
      <c r="N1829" t="s">
        <v>59</v>
      </c>
      <c r="O1829" t="s">
        <v>64</v>
      </c>
    </row>
    <row r="1830" spans="1:15">
      <c r="A1830" t="s">
        <v>1930</v>
      </c>
      <c r="B1830" s="3">
        <v>45738</v>
      </c>
      <c r="C1830" t="s">
        <v>54</v>
      </c>
      <c r="D1830" t="s">
        <v>62</v>
      </c>
      <c r="E1830" t="s">
        <v>75</v>
      </c>
      <c r="F1830" t="s">
        <v>97</v>
      </c>
      <c r="G1830" s="6">
        <v>1</v>
      </c>
      <c r="H1830" s="4">
        <v>90.55</v>
      </c>
      <c r="I1830" s="4">
        <v>55.86</v>
      </c>
      <c r="J1830" s="5">
        <v>0.05</v>
      </c>
      <c r="K1830" s="6">
        <v>4</v>
      </c>
      <c r="L1830" s="6">
        <v>4</v>
      </c>
      <c r="M1830" t="s">
        <v>58</v>
      </c>
      <c r="N1830" t="s">
        <v>59</v>
      </c>
      <c r="O1830" t="s">
        <v>64</v>
      </c>
    </row>
    <row r="1831" spans="1:15">
      <c r="A1831" t="s">
        <v>1931</v>
      </c>
      <c r="B1831" s="3">
        <v>46000</v>
      </c>
      <c r="C1831" t="s">
        <v>54</v>
      </c>
      <c r="D1831" t="s">
        <v>62</v>
      </c>
      <c r="E1831" t="s">
        <v>79</v>
      </c>
      <c r="F1831" t="s">
        <v>115</v>
      </c>
      <c r="G1831" s="6">
        <v>3</v>
      </c>
      <c r="H1831" s="4">
        <v>61.5</v>
      </c>
      <c r="I1831" s="4">
        <v>35.06</v>
      </c>
      <c r="J1831" s="5">
        <v>0.1</v>
      </c>
      <c r="K1831" s="6">
        <v>3</v>
      </c>
      <c r="L1831" s="6">
        <v>5</v>
      </c>
      <c r="M1831" t="s">
        <v>58</v>
      </c>
      <c r="N1831" t="s">
        <v>69</v>
      </c>
      <c r="O1831" t="s">
        <v>73</v>
      </c>
    </row>
    <row r="1832" spans="1:15">
      <c r="A1832" t="s">
        <v>1932</v>
      </c>
      <c r="B1832" s="3">
        <v>45775</v>
      </c>
      <c r="C1832" t="s">
        <v>78</v>
      </c>
      <c r="D1832" t="s">
        <v>62</v>
      </c>
      <c r="E1832" t="s">
        <v>67</v>
      </c>
      <c r="F1832" t="s">
        <v>94</v>
      </c>
      <c r="G1832" s="6">
        <v>1</v>
      </c>
      <c r="H1832" s="4">
        <v>34.99</v>
      </c>
      <c r="I1832" s="4">
        <v>16.5</v>
      </c>
      <c r="J1832" s="5">
        <v>0.05</v>
      </c>
      <c r="K1832" s="6">
        <v>4</v>
      </c>
      <c r="L1832" s="6">
        <v>4</v>
      </c>
      <c r="M1832" t="s">
        <v>58</v>
      </c>
      <c r="N1832" t="s">
        <v>59</v>
      </c>
      <c r="O1832" t="s">
        <v>60</v>
      </c>
    </row>
    <row r="1833" spans="1:15">
      <c r="A1833" t="s">
        <v>1933</v>
      </c>
      <c r="B1833" s="3">
        <v>45856</v>
      </c>
      <c r="C1833" t="s">
        <v>82</v>
      </c>
      <c r="D1833" t="s">
        <v>62</v>
      </c>
      <c r="E1833" t="s">
        <v>56</v>
      </c>
      <c r="F1833" t="s">
        <v>83</v>
      </c>
      <c r="G1833" s="6">
        <v>1</v>
      </c>
      <c r="H1833" s="4">
        <v>66.2</v>
      </c>
      <c r="I1833" s="4">
        <v>34.409999999999997</v>
      </c>
      <c r="J1833" s="5">
        <v>0.05</v>
      </c>
      <c r="K1833" s="6">
        <v>3</v>
      </c>
      <c r="L1833" s="6">
        <v>4</v>
      </c>
      <c r="M1833" t="s">
        <v>58</v>
      </c>
      <c r="N1833" t="s">
        <v>59</v>
      </c>
      <c r="O1833" t="s">
        <v>64</v>
      </c>
    </row>
    <row r="1834" spans="1:15">
      <c r="A1834" t="s">
        <v>1934</v>
      </c>
      <c r="B1834" s="3">
        <v>45976</v>
      </c>
      <c r="C1834" t="s">
        <v>54</v>
      </c>
      <c r="D1834" t="s">
        <v>129</v>
      </c>
      <c r="E1834" t="s">
        <v>67</v>
      </c>
      <c r="F1834" t="s">
        <v>107</v>
      </c>
      <c r="G1834" s="6">
        <v>5</v>
      </c>
      <c r="H1834" s="4">
        <v>43.81</v>
      </c>
      <c r="I1834" s="4">
        <v>20.7</v>
      </c>
      <c r="J1834" s="5">
        <v>0.2</v>
      </c>
      <c r="K1834" s="6">
        <v>3</v>
      </c>
      <c r="L1834" s="6">
        <v>3</v>
      </c>
      <c r="M1834" t="s">
        <v>126</v>
      </c>
      <c r="N1834" t="s">
        <v>59</v>
      </c>
      <c r="O1834" t="s">
        <v>73</v>
      </c>
    </row>
    <row r="1835" spans="1:15">
      <c r="A1835" t="s">
        <v>1935</v>
      </c>
      <c r="B1835" s="3">
        <v>45995</v>
      </c>
      <c r="C1835" t="s">
        <v>54</v>
      </c>
      <c r="D1835" t="s">
        <v>55</v>
      </c>
      <c r="E1835" t="s">
        <v>75</v>
      </c>
      <c r="F1835" t="s">
        <v>146</v>
      </c>
      <c r="G1835" s="6">
        <v>2</v>
      </c>
      <c r="H1835" s="4">
        <v>187</v>
      </c>
      <c r="I1835" s="4">
        <v>113.45</v>
      </c>
      <c r="J1835" s="5">
        <v>0.05</v>
      </c>
      <c r="K1835" s="6">
        <v>4</v>
      </c>
      <c r="L1835" s="6">
        <v>5</v>
      </c>
      <c r="M1835" t="s">
        <v>58</v>
      </c>
      <c r="N1835" t="s">
        <v>59</v>
      </c>
      <c r="O1835" t="s">
        <v>64</v>
      </c>
    </row>
    <row r="1836" spans="1:15">
      <c r="A1836" t="s">
        <v>1936</v>
      </c>
      <c r="B1836" s="3">
        <v>45919</v>
      </c>
      <c r="C1836" t="s">
        <v>78</v>
      </c>
      <c r="D1836" t="s">
        <v>129</v>
      </c>
      <c r="E1836" t="s">
        <v>79</v>
      </c>
      <c r="F1836" t="s">
        <v>115</v>
      </c>
      <c r="G1836" s="6">
        <v>3</v>
      </c>
      <c r="H1836" s="4">
        <v>58.49</v>
      </c>
      <c r="I1836" s="4">
        <v>34.74</v>
      </c>
      <c r="J1836" s="5">
        <v>0.05</v>
      </c>
      <c r="K1836" s="6">
        <v>2</v>
      </c>
      <c r="L1836" s="6">
        <v>5</v>
      </c>
      <c r="M1836" t="s">
        <v>58</v>
      </c>
      <c r="N1836" t="s">
        <v>59</v>
      </c>
      <c r="O1836" t="s">
        <v>64</v>
      </c>
    </row>
    <row r="1837" spans="1:15">
      <c r="A1837" t="s">
        <v>1937</v>
      </c>
      <c r="B1837" s="3">
        <v>46004</v>
      </c>
      <c r="C1837" t="s">
        <v>78</v>
      </c>
      <c r="D1837" t="s">
        <v>62</v>
      </c>
      <c r="E1837" t="s">
        <v>56</v>
      </c>
      <c r="F1837" t="s">
        <v>89</v>
      </c>
      <c r="G1837" s="6">
        <v>1</v>
      </c>
      <c r="H1837" s="4">
        <v>81.150000000000006</v>
      </c>
      <c r="I1837" s="4">
        <v>45.75</v>
      </c>
      <c r="J1837" s="5">
        <v>0.05</v>
      </c>
      <c r="K1837" s="6">
        <v>4</v>
      </c>
      <c r="L1837" s="6">
        <v>5</v>
      </c>
      <c r="M1837" t="s">
        <v>58</v>
      </c>
      <c r="N1837" t="s">
        <v>59</v>
      </c>
      <c r="O1837" t="s">
        <v>60</v>
      </c>
    </row>
    <row r="1838" spans="1:15">
      <c r="A1838" t="s">
        <v>1938</v>
      </c>
      <c r="B1838" s="3">
        <v>46017</v>
      </c>
      <c r="C1838" t="s">
        <v>78</v>
      </c>
      <c r="D1838" t="s">
        <v>62</v>
      </c>
      <c r="E1838" t="s">
        <v>56</v>
      </c>
      <c r="F1838" t="s">
        <v>83</v>
      </c>
      <c r="G1838" s="6">
        <v>2</v>
      </c>
      <c r="H1838" s="4">
        <v>64.77</v>
      </c>
      <c r="I1838" s="4">
        <v>35.01</v>
      </c>
      <c r="J1838" s="5">
        <v>0.2</v>
      </c>
      <c r="K1838" s="6">
        <v>5</v>
      </c>
      <c r="L1838" s="6">
        <v>5</v>
      </c>
      <c r="M1838" t="s">
        <v>58</v>
      </c>
      <c r="N1838" t="s">
        <v>59</v>
      </c>
      <c r="O1838" t="s">
        <v>60</v>
      </c>
    </row>
    <row r="1839" spans="1:15">
      <c r="A1839" t="s">
        <v>1939</v>
      </c>
      <c r="B1839" s="3">
        <v>45790</v>
      </c>
      <c r="C1839" t="s">
        <v>54</v>
      </c>
      <c r="D1839" t="s">
        <v>62</v>
      </c>
      <c r="E1839" t="s">
        <v>56</v>
      </c>
      <c r="F1839" t="s">
        <v>63</v>
      </c>
      <c r="G1839" s="6">
        <v>1</v>
      </c>
      <c r="H1839" s="4">
        <v>39.81</v>
      </c>
      <c r="I1839" s="4">
        <v>20.7</v>
      </c>
      <c r="J1839" s="5">
        <v>0.05</v>
      </c>
      <c r="K1839" s="6">
        <v>5</v>
      </c>
      <c r="L1839" s="6">
        <v>5</v>
      </c>
      <c r="M1839" t="s">
        <v>58</v>
      </c>
      <c r="N1839" t="s">
        <v>59</v>
      </c>
      <c r="O1839" t="s">
        <v>64</v>
      </c>
    </row>
    <row r="1840" spans="1:15">
      <c r="A1840" t="s">
        <v>1940</v>
      </c>
      <c r="B1840" s="3">
        <v>45694</v>
      </c>
      <c r="C1840" t="s">
        <v>78</v>
      </c>
      <c r="D1840" t="s">
        <v>62</v>
      </c>
      <c r="E1840" t="s">
        <v>79</v>
      </c>
      <c r="F1840" t="s">
        <v>80</v>
      </c>
      <c r="G1840" s="6">
        <v>2</v>
      </c>
      <c r="H1840" s="4">
        <v>76.489999999999995</v>
      </c>
      <c r="I1840" s="4">
        <v>43.96</v>
      </c>
      <c r="J1840" s="5">
        <v>0</v>
      </c>
      <c r="K1840" s="6">
        <v>2</v>
      </c>
      <c r="L1840" s="6">
        <v>4</v>
      </c>
      <c r="M1840" t="s">
        <v>58</v>
      </c>
      <c r="N1840" t="s">
        <v>59</v>
      </c>
      <c r="O1840" t="s">
        <v>64</v>
      </c>
    </row>
    <row r="1841" spans="1:15">
      <c r="A1841" t="s">
        <v>1941</v>
      </c>
      <c r="B1841" s="3">
        <v>46009</v>
      </c>
      <c r="C1841" t="s">
        <v>78</v>
      </c>
      <c r="D1841" t="s">
        <v>62</v>
      </c>
      <c r="E1841" t="s">
        <v>56</v>
      </c>
      <c r="F1841" t="s">
        <v>57</v>
      </c>
      <c r="G1841" s="6">
        <v>3</v>
      </c>
      <c r="H1841" s="4">
        <v>111.56</v>
      </c>
      <c r="I1841" s="4">
        <v>65.97</v>
      </c>
      <c r="J1841" s="5">
        <v>0.1</v>
      </c>
      <c r="K1841" s="6">
        <v>5</v>
      </c>
      <c r="L1841" s="6">
        <v>5</v>
      </c>
      <c r="M1841" t="s">
        <v>58</v>
      </c>
      <c r="N1841" t="s">
        <v>59</v>
      </c>
      <c r="O1841" t="s">
        <v>64</v>
      </c>
    </row>
    <row r="1842" spans="1:15">
      <c r="A1842" t="s">
        <v>1942</v>
      </c>
      <c r="B1842" s="3">
        <v>45678</v>
      </c>
      <c r="C1842" t="s">
        <v>78</v>
      </c>
      <c r="D1842" t="s">
        <v>62</v>
      </c>
      <c r="E1842" t="s">
        <v>79</v>
      </c>
      <c r="F1842" t="s">
        <v>80</v>
      </c>
      <c r="G1842" s="6">
        <v>1</v>
      </c>
      <c r="H1842" s="4">
        <v>75.650000000000006</v>
      </c>
      <c r="I1842" s="4">
        <v>45</v>
      </c>
      <c r="J1842" s="5">
        <v>0.05</v>
      </c>
      <c r="K1842" s="6">
        <v>3</v>
      </c>
      <c r="L1842" s="6">
        <v>4</v>
      </c>
      <c r="M1842" t="s">
        <v>58</v>
      </c>
      <c r="N1842" t="s">
        <v>59</v>
      </c>
      <c r="O1842" t="s">
        <v>64</v>
      </c>
    </row>
    <row r="1843" spans="1:15">
      <c r="A1843" t="s">
        <v>1943</v>
      </c>
      <c r="B1843" s="3">
        <v>46012</v>
      </c>
      <c r="C1843" t="s">
        <v>78</v>
      </c>
      <c r="D1843" t="s">
        <v>55</v>
      </c>
      <c r="E1843" t="s">
        <v>56</v>
      </c>
      <c r="F1843" t="s">
        <v>83</v>
      </c>
      <c r="G1843" s="6">
        <v>3</v>
      </c>
      <c r="H1843" s="4">
        <v>64.849999999999994</v>
      </c>
      <c r="I1843" s="4">
        <v>36.25</v>
      </c>
      <c r="J1843" s="5">
        <v>0.1</v>
      </c>
      <c r="K1843" s="6">
        <v>0</v>
      </c>
      <c r="L1843" s="6">
        <v>4</v>
      </c>
      <c r="M1843" t="s">
        <v>58</v>
      </c>
      <c r="N1843" t="s">
        <v>69</v>
      </c>
      <c r="O1843" t="s">
        <v>60</v>
      </c>
    </row>
    <row r="1844" spans="1:15">
      <c r="A1844" t="s">
        <v>1944</v>
      </c>
      <c r="B1844" s="3">
        <v>45924</v>
      </c>
      <c r="C1844" t="s">
        <v>82</v>
      </c>
      <c r="D1844" t="s">
        <v>55</v>
      </c>
      <c r="E1844" t="s">
        <v>79</v>
      </c>
      <c r="F1844" t="s">
        <v>115</v>
      </c>
      <c r="G1844" s="6">
        <v>3</v>
      </c>
      <c r="H1844" s="4">
        <v>60.17</v>
      </c>
      <c r="I1844" s="4">
        <v>34.340000000000003</v>
      </c>
      <c r="J1844" s="5">
        <v>0.1</v>
      </c>
      <c r="K1844" s="6">
        <v>2</v>
      </c>
      <c r="L1844" s="6">
        <v>4</v>
      </c>
      <c r="M1844" t="s">
        <v>58</v>
      </c>
      <c r="N1844" t="s">
        <v>69</v>
      </c>
      <c r="O1844" t="s">
        <v>64</v>
      </c>
    </row>
    <row r="1845" spans="1:15">
      <c r="A1845" t="s">
        <v>1945</v>
      </c>
      <c r="B1845" s="3">
        <v>45864</v>
      </c>
      <c r="C1845" t="s">
        <v>54</v>
      </c>
      <c r="D1845" t="s">
        <v>62</v>
      </c>
      <c r="E1845" t="s">
        <v>79</v>
      </c>
      <c r="F1845" t="s">
        <v>115</v>
      </c>
      <c r="G1845" s="6">
        <v>1</v>
      </c>
      <c r="H1845" s="4">
        <v>59.85</v>
      </c>
      <c r="I1845" s="4">
        <v>33.880000000000003</v>
      </c>
      <c r="J1845" s="5">
        <v>0.05</v>
      </c>
      <c r="K1845" s="6">
        <v>2</v>
      </c>
      <c r="L1845" s="6">
        <v>5</v>
      </c>
      <c r="M1845" t="s">
        <v>58</v>
      </c>
      <c r="N1845" t="s">
        <v>59</v>
      </c>
      <c r="O1845" t="s">
        <v>64</v>
      </c>
    </row>
    <row r="1846" spans="1:15">
      <c r="A1846" t="s">
        <v>1946</v>
      </c>
      <c r="B1846" s="3">
        <v>45795</v>
      </c>
      <c r="C1846" t="s">
        <v>54</v>
      </c>
      <c r="D1846" t="s">
        <v>62</v>
      </c>
      <c r="E1846" t="s">
        <v>79</v>
      </c>
      <c r="F1846" t="s">
        <v>80</v>
      </c>
      <c r="G1846" s="6">
        <v>1</v>
      </c>
      <c r="H1846" s="4">
        <v>72.94</v>
      </c>
      <c r="I1846" s="4">
        <v>43.26</v>
      </c>
      <c r="J1846" s="5">
        <v>0.05</v>
      </c>
      <c r="K1846" s="6">
        <v>5</v>
      </c>
      <c r="L1846" s="6">
        <v>4</v>
      </c>
      <c r="M1846" t="s">
        <v>58</v>
      </c>
      <c r="N1846" t="s">
        <v>59</v>
      </c>
      <c r="O1846" t="s">
        <v>60</v>
      </c>
    </row>
    <row r="1847" spans="1:15">
      <c r="A1847" t="s">
        <v>1947</v>
      </c>
      <c r="B1847" s="3">
        <v>45740</v>
      </c>
      <c r="C1847" t="s">
        <v>54</v>
      </c>
      <c r="D1847" t="s">
        <v>62</v>
      </c>
      <c r="E1847" t="s">
        <v>67</v>
      </c>
      <c r="F1847" t="s">
        <v>94</v>
      </c>
      <c r="G1847" s="6">
        <v>2</v>
      </c>
      <c r="H1847" s="4">
        <v>35.6</v>
      </c>
      <c r="I1847" s="4">
        <v>17.670000000000002</v>
      </c>
      <c r="J1847" s="5">
        <v>0.1</v>
      </c>
      <c r="K1847" s="6">
        <v>3</v>
      </c>
      <c r="L1847" s="6">
        <v>4</v>
      </c>
      <c r="M1847" t="s">
        <v>58</v>
      </c>
      <c r="N1847" t="s">
        <v>59</v>
      </c>
      <c r="O1847" t="s">
        <v>73</v>
      </c>
    </row>
    <row r="1848" spans="1:15">
      <c r="A1848" t="s">
        <v>1948</v>
      </c>
      <c r="B1848" s="3">
        <v>45802</v>
      </c>
      <c r="C1848" t="s">
        <v>66</v>
      </c>
      <c r="D1848" t="s">
        <v>62</v>
      </c>
      <c r="E1848" t="s">
        <v>75</v>
      </c>
      <c r="F1848" t="s">
        <v>146</v>
      </c>
      <c r="G1848" s="6">
        <v>2</v>
      </c>
      <c r="H1848" s="4">
        <v>181.44</v>
      </c>
      <c r="I1848" s="4">
        <v>114.4</v>
      </c>
      <c r="J1848" s="5">
        <v>0.1</v>
      </c>
      <c r="K1848" s="6">
        <v>3</v>
      </c>
      <c r="L1848" s="6">
        <v>4</v>
      </c>
      <c r="M1848" t="s">
        <v>58</v>
      </c>
      <c r="N1848" t="s">
        <v>59</v>
      </c>
      <c r="O1848" t="s">
        <v>73</v>
      </c>
    </row>
    <row r="1849" spans="1:15">
      <c r="A1849" t="s">
        <v>1949</v>
      </c>
      <c r="B1849" s="3">
        <v>45754</v>
      </c>
      <c r="C1849" t="s">
        <v>54</v>
      </c>
      <c r="D1849" t="s">
        <v>62</v>
      </c>
      <c r="E1849" t="s">
        <v>75</v>
      </c>
      <c r="F1849" t="s">
        <v>146</v>
      </c>
      <c r="G1849" s="6">
        <v>1</v>
      </c>
      <c r="H1849" s="4">
        <v>176.68</v>
      </c>
      <c r="I1849" s="4">
        <v>118.72</v>
      </c>
      <c r="J1849" s="5">
        <v>0.05</v>
      </c>
      <c r="K1849" s="6">
        <v>0</v>
      </c>
      <c r="L1849" s="6">
        <v>4</v>
      </c>
      <c r="M1849" t="s">
        <v>58</v>
      </c>
      <c r="N1849" t="s">
        <v>69</v>
      </c>
      <c r="O1849" t="s">
        <v>64</v>
      </c>
    </row>
    <row r="1850" spans="1:15">
      <c r="A1850" t="s">
        <v>1950</v>
      </c>
      <c r="B1850" s="3">
        <v>45760</v>
      </c>
      <c r="C1850" t="s">
        <v>66</v>
      </c>
      <c r="D1850" t="s">
        <v>62</v>
      </c>
      <c r="E1850" t="s">
        <v>79</v>
      </c>
      <c r="F1850" t="s">
        <v>80</v>
      </c>
      <c r="G1850" s="6">
        <v>1</v>
      </c>
      <c r="H1850" s="4">
        <v>75.510000000000005</v>
      </c>
      <c r="I1850" s="4">
        <v>44.82</v>
      </c>
      <c r="J1850" s="5">
        <v>0.1</v>
      </c>
      <c r="K1850" s="6">
        <v>0</v>
      </c>
      <c r="L1850" s="6">
        <v>4</v>
      </c>
      <c r="M1850" t="s">
        <v>58</v>
      </c>
      <c r="N1850" t="s">
        <v>69</v>
      </c>
      <c r="O1850" t="s">
        <v>64</v>
      </c>
    </row>
    <row r="1851" spans="1:15">
      <c r="A1851" t="s">
        <v>1951</v>
      </c>
      <c r="B1851" s="3">
        <v>46000</v>
      </c>
      <c r="C1851" t="s">
        <v>78</v>
      </c>
      <c r="D1851" t="s">
        <v>62</v>
      </c>
      <c r="E1851" t="s">
        <v>56</v>
      </c>
      <c r="F1851" t="s">
        <v>89</v>
      </c>
      <c r="G1851" s="6">
        <v>1</v>
      </c>
      <c r="H1851" s="4">
        <v>79.41</v>
      </c>
      <c r="I1851" s="4">
        <v>46.99</v>
      </c>
      <c r="J1851" s="5">
        <v>0.15000000000000002</v>
      </c>
      <c r="K1851" s="6">
        <v>4</v>
      </c>
      <c r="L1851" s="6">
        <v>5</v>
      </c>
      <c r="M1851" t="s">
        <v>58</v>
      </c>
      <c r="N1851" t="s">
        <v>59</v>
      </c>
      <c r="O1851" t="s">
        <v>60</v>
      </c>
    </row>
    <row r="1852" spans="1:15">
      <c r="A1852" t="s">
        <v>1952</v>
      </c>
      <c r="B1852" s="3">
        <v>45901</v>
      </c>
      <c r="C1852" t="s">
        <v>78</v>
      </c>
      <c r="D1852" t="s">
        <v>62</v>
      </c>
      <c r="E1852" t="s">
        <v>75</v>
      </c>
      <c r="F1852" t="s">
        <v>97</v>
      </c>
      <c r="G1852" s="6">
        <v>1</v>
      </c>
      <c r="H1852" s="4">
        <v>89.26</v>
      </c>
      <c r="I1852" s="4">
        <v>55.87</v>
      </c>
      <c r="J1852" s="5">
        <v>0</v>
      </c>
      <c r="K1852" s="6">
        <v>5</v>
      </c>
      <c r="L1852" s="6">
        <v>5</v>
      </c>
      <c r="M1852" t="s">
        <v>58</v>
      </c>
      <c r="N1852" t="s">
        <v>59</v>
      </c>
      <c r="O1852" t="s">
        <v>64</v>
      </c>
    </row>
    <row r="1853" spans="1:15">
      <c r="A1853" t="s">
        <v>1953</v>
      </c>
      <c r="B1853" s="3">
        <v>45943</v>
      </c>
      <c r="C1853" t="s">
        <v>78</v>
      </c>
      <c r="D1853" t="s">
        <v>55</v>
      </c>
      <c r="E1853" t="s">
        <v>75</v>
      </c>
      <c r="F1853" t="s">
        <v>110</v>
      </c>
      <c r="G1853" s="6">
        <v>3</v>
      </c>
      <c r="H1853" s="4">
        <v>164.31</v>
      </c>
      <c r="I1853" s="4">
        <v>104.69</v>
      </c>
      <c r="J1853" s="5">
        <v>0</v>
      </c>
      <c r="K1853" s="6">
        <v>6</v>
      </c>
      <c r="L1853" s="6">
        <v>4</v>
      </c>
      <c r="M1853" t="s">
        <v>58</v>
      </c>
      <c r="N1853" t="s">
        <v>59</v>
      </c>
      <c r="O1853" t="s">
        <v>60</v>
      </c>
    </row>
    <row r="1854" spans="1:15">
      <c r="A1854" t="s">
        <v>1954</v>
      </c>
      <c r="B1854" s="3">
        <v>45912</v>
      </c>
      <c r="C1854" t="s">
        <v>54</v>
      </c>
      <c r="D1854" t="s">
        <v>62</v>
      </c>
      <c r="E1854" t="s">
        <v>79</v>
      </c>
      <c r="F1854" t="s">
        <v>80</v>
      </c>
      <c r="G1854" s="6">
        <v>2</v>
      </c>
      <c r="H1854" s="4">
        <v>72.91</v>
      </c>
      <c r="I1854" s="4">
        <v>42.95</v>
      </c>
      <c r="J1854" s="5">
        <v>0.05</v>
      </c>
      <c r="K1854" s="6">
        <v>2</v>
      </c>
      <c r="L1854" s="6">
        <v>4</v>
      </c>
      <c r="M1854" t="s">
        <v>58</v>
      </c>
      <c r="N1854" t="s">
        <v>59</v>
      </c>
      <c r="O1854" t="s">
        <v>73</v>
      </c>
    </row>
    <row r="1855" spans="1:15">
      <c r="A1855" t="s">
        <v>1955</v>
      </c>
      <c r="B1855" s="3">
        <v>45740</v>
      </c>
      <c r="C1855" t="s">
        <v>54</v>
      </c>
      <c r="D1855" t="s">
        <v>62</v>
      </c>
      <c r="E1855" t="s">
        <v>67</v>
      </c>
      <c r="F1855" t="s">
        <v>71</v>
      </c>
      <c r="G1855" s="6">
        <v>2</v>
      </c>
      <c r="H1855" s="4">
        <v>69.209999999999994</v>
      </c>
      <c r="I1855" s="4">
        <v>38.01</v>
      </c>
      <c r="J1855" s="5">
        <v>0.05</v>
      </c>
      <c r="K1855" s="6">
        <v>3</v>
      </c>
      <c r="L1855" s="6">
        <v>4</v>
      </c>
      <c r="M1855" t="s">
        <v>58</v>
      </c>
      <c r="N1855" t="s">
        <v>59</v>
      </c>
      <c r="O1855" t="s">
        <v>64</v>
      </c>
    </row>
    <row r="1856" spans="1:15">
      <c r="A1856" t="s">
        <v>1956</v>
      </c>
      <c r="B1856" s="3">
        <v>46015</v>
      </c>
      <c r="C1856" t="s">
        <v>78</v>
      </c>
      <c r="D1856" t="s">
        <v>62</v>
      </c>
      <c r="E1856" t="s">
        <v>79</v>
      </c>
      <c r="F1856" t="s">
        <v>92</v>
      </c>
      <c r="G1856" s="6">
        <v>1</v>
      </c>
      <c r="H1856" s="4">
        <v>48.9</v>
      </c>
      <c r="I1856" s="4">
        <v>26.27</v>
      </c>
      <c r="J1856" s="5">
        <v>0.05</v>
      </c>
      <c r="K1856" s="6">
        <v>6</v>
      </c>
      <c r="L1856" s="6">
        <v>3</v>
      </c>
      <c r="M1856" t="s">
        <v>58</v>
      </c>
      <c r="N1856" t="s">
        <v>59</v>
      </c>
      <c r="O1856" t="s">
        <v>64</v>
      </c>
    </row>
    <row r="1857" spans="1:15">
      <c r="A1857" t="s">
        <v>1957</v>
      </c>
      <c r="B1857" s="3">
        <v>46021</v>
      </c>
      <c r="C1857" t="s">
        <v>54</v>
      </c>
      <c r="D1857" t="s">
        <v>62</v>
      </c>
      <c r="E1857" t="s">
        <v>56</v>
      </c>
      <c r="F1857" t="s">
        <v>63</v>
      </c>
      <c r="G1857" s="6">
        <v>1</v>
      </c>
      <c r="H1857" s="4">
        <v>40.36</v>
      </c>
      <c r="I1857" s="4">
        <v>20.09</v>
      </c>
      <c r="J1857" s="5">
        <v>0.15000000000000002</v>
      </c>
      <c r="K1857" s="6">
        <v>2</v>
      </c>
      <c r="L1857" s="6">
        <v>5</v>
      </c>
      <c r="M1857" t="s">
        <v>58</v>
      </c>
      <c r="N1857" t="s">
        <v>69</v>
      </c>
      <c r="O1857" t="s">
        <v>73</v>
      </c>
    </row>
    <row r="1858" spans="1:15">
      <c r="A1858" t="s">
        <v>1958</v>
      </c>
      <c r="B1858" s="3">
        <v>45916</v>
      </c>
      <c r="C1858" t="s">
        <v>78</v>
      </c>
      <c r="D1858" t="s">
        <v>62</v>
      </c>
      <c r="E1858" t="s">
        <v>56</v>
      </c>
      <c r="F1858" t="s">
        <v>63</v>
      </c>
      <c r="G1858" s="6">
        <v>1</v>
      </c>
      <c r="H1858" s="4">
        <v>39.35</v>
      </c>
      <c r="I1858" s="4">
        <v>19.489999999999998</v>
      </c>
      <c r="J1858" s="5">
        <v>0.1</v>
      </c>
      <c r="K1858" s="6">
        <v>1</v>
      </c>
      <c r="L1858" s="6">
        <v>4</v>
      </c>
      <c r="M1858" t="s">
        <v>58</v>
      </c>
      <c r="N1858" t="s">
        <v>69</v>
      </c>
      <c r="O1858" t="s">
        <v>64</v>
      </c>
    </row>
    <row r="1859" spans="1:15">
      <c r="A1859" t="s">
        <v>1959</v>
      </c>
      <c r="B1859" s="3">
        <v>45666</v>
      </c>
      <c r="C1859" t="s">
        <v>54</v>
      </c>
      <c r="D1859" t="s">
        <v>55</v>
      </c>
      <c r="E1859" t="s">
        <v>67</v>
      </c>
      <c r="F1859" t="s">
        <v>68</v>
      </c>
      <c r="G1859" s="6">
        <v>4</v>
      </c>
      <c r="H1859" s="4">
        <v>40.39</v>
      </c>
      <c r="I1859" s="4">
        <v>19.309999999999999</v>
      </c>
      <c r="J1859" s="5">
        <v>0</v>
      </c>
      <c r="K1859" s="6">
        <v>5</v>
      </c>
      <c r="L1859" s="6">
        <v>5</v>
      </c>
      <c r="M1859" t="s">
        <v>58</v>
      </c>
      <c r="N1859" t="s">
        <v>59</v>
      </c>
      <c r="O1859" t="s">
        <v>60</v>
      </c>
    </row>
    <row r="1860" spans="1:15">
      <c r="A1860" t="s">
        <v>1960</v>
      </c>
      <c r="B1860" s="3">
        <v>45702</v>
      </c>
      <c r="C1860" t="s">
        <v>66</v>
      </c>
      <c r="D1860" t="s">
        <v>55</v>
      </c>
      <c r="E1860" t="s">
        <v>56</v>
      </c>
      <c r="F1860" t="s">
        <v>57</v>
      </c>
      <c r="G1860" s="6">
        <v>2</v>
      </c>
      <c r="H1860" s="4">
        <v>110.45</v>
      </c>
      <c r="I1860" s="4">
        <v>69.25</v>
      </c>
      <c r="J1860" s="5">
        <v>0</v>
      </c>
      <c r="K1860" s="6">
        <v>6</v>
      </c>
      <c r="L1860" s="6">
        <v>4</v>
      </c>
      <c r="M1860" t="s">
        <v>58</v>
      </c>
      <c r="N1860" t="s">
        <v>87</v>
      </c>
      <c r="O1860" t="s">
        <v>64</v>
      </c>
    </row>
    <row r="1861" spans="1:15">
      <c r="A1861" t="s">
        <v>1961</v>
      </c>
      <c r="B1861" s="3">
        <v>45864</v>
      </c>
      <c r="C1861" t="s">
        <v>78</v>
      </c>
      <c r="D1861" t="s">
        <v>62</v>
      </c>
      <c r="E1861" t="s">
        <v>75</v>
      </c>
      <c r="F1861" t="s">
        <v>76</v>
      </c>
      <c r="G1861" s="6">
        <v>1</v>
      </c>
      <c r="H1861" s="4">
        <v>124.01</v>
      </c>
      <c r="I1861" s="4">
        <v>70.760000000000005</v>
      </c>
      <c r="J1861" s="5">
        <v>0.1</v>
      </c>
      <c r="K1861" s="6">
        <v>6</v>
      </c>
      <c r="L1861" s="6">
        <v>4</v>
      </c>
      <c r="M1861" t="s">
        <v>58</v>
      </c>
      <c r="N1861" t="s">
        <v>59</v>
      </c>
      <c r="O1861" t="s">
        <v>64</v>
      </c>
    </row>
    <row r="1862" spans="1:15">
      <c r="A1862" t="s">
        <v>1962</v>
      </c>
      <c r="B1862" s="3">
        <v>45870</v>
      </c>
      <c r="C1862" t="s">
        <v>54</v>
      </c>
      <c r="D1862" t="s">
        <v>55</v>
      </c>
      <c r="E1862" t="s">
        <v>67</v>
      </c>
      <c r="F1862" t="s">
        <v>68</v>
      </c>
      <c r="G1862" s="6">
        <v>3</v>
      </c>
      <c r="H1862" s="4">
        <v>39.85</v>
      </c>
      <c r="I1862" s="4">
        <v>19.25</v>
      </c>
      <c r="J1862" s="5">
        <v>0</v>
      </c>
      <c r="K1862" s="6">
        <v>2</v>
      </c>
      <c r="L1862" s="6">
        <v>4</v>
      </c>
      <c r="M1862" t="s">
        <v>58</v>
      </c>
      <c r="N1862" t="s">
        <v>59</v>
      </c>
      <c r="O1862" t="s">
        <v>64</v>
      </c>
    </row>
    <row r="1863" spans="1:15">
      <c r="A1863" t="s">
        <v>1963</v>
      </c>
      <c r="B1863" s="3">
        <v>45920</v>
      </c>
      <c r="C1863" t="s">
        <v>54</v>
      </c>
      <c r="D1863" t="s">
        <v>55</v>
      </c>
      <c r="E1863" t="s">
        <v>79</v>
      </c>
      <c r="F1863" t="s">
        <v>115</v>
      </c>
      <c r="G1863" s="6">
        <v>5</v>
      </c>
      <c r="H1863" s="4">
        <v>59.26</v>
      </c>
      <c r="I1863" s="4">
        <v>34.799999999999997</v>
      </c>
      <c r="J1863" s="5">
        <v>0.1</v>
      </c>
      <c r="K1863" s="6">
        <v>0</v>
      </c>
      <c r="L1863" s="6"/>
      <c r="M1863" t="s">
        <v>58</v>
      </c>
      <c r="N1863" t="s">
        <v>69</v>
      </c>
      <c r="O1863" t="s">
        <v>64</v>
      </c>
    </row>
    <row r="1864" spans="1:15">
      <c r="A1864" t="s">
        <v>1964</v>
      </c>
      <c r="B1864" s="3">
        <v>45665</v>
      </c>
      <c r="C1864" t="s">
        <v>82</v>
      </c>
      <c r="D1864" t="s">
        <v>62</v>
      </c>
      <c r="E1864" t="s">
        <v>56</v>
      </c>
      <c r="F1864" t="s">
        <v>63</v>
      </c>
      <c r="G1864" s="6">
        <v>1</v>
      </c>
      <c r="H1864" s="4">
        <v>40.56</v>
      </c>
      <c r="I1864" s="4">
        <v>20.85</v>
      </c>
      <c r="J1864" s="5">
        <v>0.05</v>
      </c>
      <c r="K1864" s="6">
        <v>5</v>
      </c>
      <c r="L1864" s="6">
        <v>4</v>
      </c>
      <c r="M1864" t="s">
        <v>58</v>
      </c>
      <c r="N1864" t="s">
        <v>87</v>
      </c>
      <c r="O1864" t="s">
        <v>64</v>
      </c>
    </row>
    <row r="1865" spans="1:15">
      <c r="A1865" t="s">
        <v>1965</v>
      </c>
      <c r="B1865" s="3">
        <v>45790</v>
      </c>
      <c r="C1865" t="s">
        <v>66</v>
      </c>
      <c r="D1865" t="s">
        <v>55</v>
      </c>
      <c r="E1865" t="s">
        <v>75</v>
      </c>
      <c r="F1865" t="s">
        <v>146</v>
      </c>
      <c r="G1865" s="6">
        <v>3</v>
      </c>
      <c r="H1865" s="4">
        <v>175.64</v>
      </c>
      <c r="I1865" s="4">
        <v>117.07</v>
      </c>
      <c r="J1865" s="5">
        <v>0.15000000000000002</v>
      </c>
      <c r="K1865" s="6">
        <v>6</v>
      </c>
      <c r="L1865" s="6">
        <v>4</v>
      </c>
      <c r="M1865" t="s">
        <v>58</v>
      </c>
      <c r="N1865" t="s">
        <v>59</v>
      </c>
      <c r="O1865" t="s">
        <v>73</v>
      </c>
    </row>
    <row r="1866" spans="1:15">
      <c r="A1866" t="s">
        <v>1966</v>
      </c>
      <c r="B1866" s="3">
        <v>45903</v>
      </c>
      <c r="C1866" t="s">
        <v>66</v>
      </c>
      <c r="D1866" t="s">
        <v>55</v>
      </c>
      <c r="E1866" t="s">
        <v>79</v>
      </c>
      <c r="F1866" t="s">
        <v>92</v>
      </c>
      <c r="G1866" s="6">
        <v>1</v>
      </c>
      <c r="H1866" s="4">
        <v>51.33</v>
      </c>
      <c r="I1866" s="4">
        <v>26.54</v>
      </c>
      <c r="J1866" s="5">
        <v>0</v>
      </c>
      <c r="K1866" s="6">
        <v>5</v>
      </c>
      <c r="L1866" s="6">
        <v>5</v>
      </c>
      <c r="M1866" t="s">
        <v>58</v>
      </c>
      <c r="N1866" t="s">
        <v>59</v>
      </c>
      <c r="O1866" t="s">
        <v>60</v>
      </c>
    </row>
    <row r="1867" spans="1:15">
      <c r="A1867" t="s">
        <v>1967</v>
      </c>
      <c r="B1867" s="3">
        <v>46018</v>
      </c>
      <c r="C1867" t="s">
        <v>78</v>
      </c>
      <c r="D1867" t="s">
        <v>55</v>
      </c>
      <c r="E1867" t="s">
        <v>67</v>
      </c>
      <c r="F1867" t="s">
        <v>68</v>
      </c>
      <c r="G1867" s="6">
        <v>3</v>
      </c>
      <c r="H1867" s="4">
        <v>40.92</v>
      </c>
      <c r="I1867" s="4">
        <v>19.829999999999998</v>
      </c>
      <c r="J1867" s="5">
        <v>0.1</v>
      </c>
      <c r="K1867" s="6">
        <v>2</v>
      </c>
      <c r="L1867" s="6">
        <v>4</v>
      </c>
      <c r="M1867" t="s">
        <v>58</v>
      </c>
      <c r="N1867" t="s">
        <v>59</v>
      </c>
      <c r="O1867" t="s">
        <v>64</v>
      </c>
    </row>
    <row r="1868" spans="1:15">
      <c r="A1868" t="s">
        <v>1968</v>
      </c>
      <c r="B1868" s="3">
        <v>45754</v>
      </c>
      <c r="C1868" t="s">
        <v>54</v>
      </c>
      <c r="D1868" t="s">
        <v>55</v>
      </c>
      <c r="E1868" t="s">
        <v>56</v>
      </c>
      <c r="F1868" t="s">
        <v>63</v>
      </c>
      <c r="G1868" s="6">
        <v>3</v>
      </c>
      <c r="H1868" s="4">
        <v>39.56</v>
      </c>
      <c r="I1868" s="4">
        <v>19.79</v>
      </c>
      <c r="J1868" s="5">
        <v>0.1</v>
      </c>
      <c r="K1868" s="6">
        <v>0</v>
      </c>
      <c r="L1868" s="6">
        <v>4</v>
      </c>
      <c r="M1868" t="s">
        <v>58</v>
      </c>
      <c r="N1868" t="s">
        <v>69</v>
      </c>
      <c r="O1868" t="s">
        <v>60</v>
      </c>
    </row>
    <row r="1869" spans="1:15">
      <c r="A1869" t="s">
        <v>1969</v>
      </c>
      <c r="B1869" s="3">
        <v>45994</v>
      </c>
      <c r="C1869" t="s">
        <v>66</v>
      </c>
      <c r="D1869" t="s">
        <v>55</v>
      </c>
      <c r="E1869" t="s">
        <v>75</v>
      </c>
      <c r="F1869" t="s">
        <v>110</v>
      </c>
      <c r="G1869" s="6">
        <v>1</v>
      </c>
      <c r="H1869" s="4">
        <v>157.9</v>
      </c>
      <c r="I1869" s="4">
        <v>104.11</v>
      </c>
      <c r="J1869" s="5">
        <v>0.1</v>
      </c>
      <c r="K1869" s="6">
        <v>7</v>
      </c>
      <c r="L1869" s="6">
        <v>3</v>
      </c>
      <c r="M1869" t="s">
        <v>58</v>
      </c>
      <c r="N1869" t="s">
        <v>59</v>
      </c>
      <c r="O1869" t="s">
        <v>64</v>
      </c>
    </row>
    <row r="1870" spans="1:15">
      <c r="A1870" t="s">
        <v>1970</v>
      </c>
      <c r="B1870" s="3">
        <v>45955</v>
      </c>
      <c r="C1870" t="s">
        <v>66</v>
      </c>
      <c r="D1870" t="s">
        <v>129</v>
      </c>
      <c r="E1870" t="s">
        <v>67</v>
      </c>
      <c r="F1870" t="s">
        <v>94</v>
      </c>
      <c r="G1870" s="6">
        <v>5</v>
      </c>
      <c r="H1870" s="4">
        <v>34.6</v>
      </c>
      <c r="I1870" s="4">
        <v>17.739999999999998</v>
      </c>
      <c r="J1870" s="5">
        <v>0.15000000000000002</v>
      </c>
      <c r="K1870" s="6">
        <v>5</v>
      </c>
      <c r="L1870" s="6">
        <v>4</v>
      </c>
      <c r="M1870" t="s">
        <v>58</v>
      </c>
      <c r="N1870" t="s">
        <v>87</v>
      </c>
      <c r="O1870" t="s">
        <v>60</v>
      </c>
    </row>
    <row r="1871" spans="1:15">
      <c r="A1871" t="s">
        <v>1971</v>
      </c>
      <c r="B1871" s="3">
        <v>46009</v>
      </c>
      <c r="C1871" t="s">
        <v>66</v>
      </c>
      <c r="D1871" t="s">
        <v>62</v>
      </c>
      <c r="E1871" t="s">
        <v>79</v>
      </c>
      <c r="F1871" t="s">
        <v>92</v>
      </c>
      <c r="G1871" s="6">
        <v>1</v>
      </c>
      <c r="H1871" s="4">
        <v>51.11</v>
      </c>
      <c r="I1871" s="4">
        <v>25.45</v>
      </c>
      <c r="J1871" s="5">
        <v>0.25</v>
      </c>
      <c r="K1871" s="6">
        <v>1</v>
      </c>
      <c r="L1871" s="6">
        <v>4</v>
      </c>
      <c r="M1871" t="s">
        <v>58</v>
      </c>
      <c r="N1871" t="s">
        <v>59</v>
      </c>
      <c r="O1871" t="s">
        <v>60</v>
      </c>
    </row>
    <row r="1872" spans="1:15">
      <c r="A1872" t="s">
        <v>1972</v>
      </c>
      <c r="B1872" s="3">
        <v>45802</v>
      </c>
      <c r="C1872" t="s">
        <v>82</v>
      </c>
      <c r="D1872" t="s">
        <v>55</v>
      </c>
      <c r="E1872" t="s">
        <v>79</v>
      </c>
      <c r="F1872" t="s">
        <v>80</v>
      </c>
      <c r="G1872" s="6">
        <v>2</v>
      </c>
      <c r="H1872" s="4">
        <v>77.150000000000006</v>
      </c>
      <c r="I1872" s="4">
        <v>42.02</v>
      </c>
      <c r="J1872" s="5">
        <v>0</v>
      </c>
      <c r="K1872" s="6">
        <v>7</v>
      </c>
      <c r="L1872" s="6">
        <v>3</v>
      </c>
      <c r="M1872" t="s">
        <v>126</v>
      </c>
      <c r="N1872" t="s">
        <v>59</v>
      </c>
      <c r="O1872" t="s">
        <v>64</v>
      </c>
    </row>
    <row r="1873" spans="1:15">
      <c r="A1873" t="s">
        <v>1973</v>
      </c>
      <c r="B1873" s="3">
        <v>46018</v>
      </c>
      <c r="C1873" t="s">
        <v>54</v>
      </c>
      <c r="D1873" t="s">
        <v>62</v>
      </c>
      <c r="E1873" t="s">
        <v>56</v>
      </c>
      <c r="F1873" t="s">
        <v>89</v>
      </c>
      <c r="G1873" s="6">
        <v>1</v>
      </c>
      <c r="H1873" s="4">
        <v>81.2</v>
      </c>
      <c r="I1873" s="4">
        <v>44.73</v>
      </c>
      <c r="J1873" s="5">
        <v>0.1</v>
      </c>
      <c r="K1873" s="6">
        <v>4</v>
      </c>
      <c r="L1873" s="6">
        <v>3</v>
      </c>
      <c r="M1873" t="s">
        <v>126</v>
      </c>
      <c r="N1873" t="s">
        <v>59</v>
      </c>
      <c r="O1873" t="s">
        <v>64</v>
      </c>
    </row>
    <row r="1874" spans="1:15">
      <c r="A1874" t="s">
        <v>1974</v>
      </c>
      <c r="B1874" s="3">
        <v>45681</v>
      </c>
      <c r="C1874" t="s">
        <v>78</v>
      </c>
      <c r="D1874" t="s">
        <v>62</v>
      </c>
      <c r="E1874" t="s">
        <v>75</v>
      </c>
      <c r="F1874" t="s">
        <v>146</v>
      </c>
      <c r="G1874" s="6">
        <v>2</v>
      </c>
      <c r="H1874" s="4">
        <v>180.14</v>
      </c>
      <c r="I1874" s="4">
        <v>118.4</v>
      </c>
      <c r="J1874" s="5">
        <v>0</v>
      </c>
      <c r="K1874" s="6">
        <v>6</v>
      </c>
      <c r="L1874" s="6">
        <v>3</v>
      </c>
      <c r="M1874" t="s">
        <v>58</v>
      </c>
      <c r="N1874" t="s">
        <v>59</v>
      </c>
      <c r="O1874" t="s">
        <v>60</v>
      </c>
    </row>
    <row r="1875" spans="1:15">
      <c r="A1875" t="s">
        <v>1975</v>
      </c>
      <c r="B1875" s="3">
        <v>45730</v>
      </c>
      <c r="C1875" t="s">
        <v>78</v>
      </c>
      <c r="D1875" t="s">
        <v>55</v>
      </c>
      <c r="E1875" t="s">
        <v>56</v>
      </c>
      <c r="F1875" t="s">
        <v>57</v>
      </c>
      <c r="G1875" s="6">
        <v>3</v>
      </c>
      <c r="H1875" s="4">
        <v>112.96</v>
      </c>
      <c r="I1875" s="4">
        <v>67.23</v>
      </c>
      <c r="J1875" s="5">
        <v>0.05</v>
      </c>
      <c r="K1875" s="6">
        <v>4</v>
      </c>
      <c r="L1875" s="6">
        <v>5</v>
      </c>
      <c r="M1875" t="s">
        <v>58</v>
      </c>
      <c r="N1875" t="s">
        <v>59</v>
      </c>
      <c r="O1875" t="s">
        <v>73</v>
      </c>
    </row>
    <row r="1876" spans="1:15">
      <c r="A1876" t="s">
        <v>1976</v>
      </c>
      <c r="B1876" s="3">
        <v>45958</v>
      </c>
      <c r="C1876" t="s">
        <v>82</v>
      </c>
      <c r="D1876" t="s">
        <v>129</v>
      </c>
      <c r="E1876" t="s">
        <v>79</v>
      </c>
      <c r="F1876" t="s">
        <v>115</v>
      </c>
      <c r="G1876" s="6">
        <v>2</v>
      </c>
      <c r="H1876" s="4">
        <v>58.88</v>
      </c>
      <c r="I1876" s="4">
        <v>34.409999999999997</v>
      </c>
      <c r="J1876" s="5">
        <v>0.1</v>
      </c>
      <c r="K1876" s="6">
        <v>4</v>
      </c>
      <c r="L1876" s="6">
        <v>5</v>
      </c>
      <c r="M1876" t="s">
        <v>58</v>
      </c>
      <c r="N1876" t="s">
        <v>59</v>
      </c>
      <c r="O1876" t="s">
        <v>64</v>
      </c>
    </row>
    <row r="1877" spans="1:15">
      <c r="A1877" t="s">
        <v>1977</v>
      </c>
      <c r="B1877" s="3">
        <v>45740</v>
      </c>
      <c r="C1877" t="s">
        <v>54</v>
      </c>
      <c r="D1877" t="s">
        <v>62</v>
      </c>
      <c r="E1877" t="s">
        <v>79</v>
      </c>
      <c r="F1877" t="s">
        <v>80</v>
      </c>
      <c r="G1877" s="6">
        <v>3</v>
      </c>
      <c r="H1877" s="4">
        <v>73.010000000000005</v>
      </c>
      <c r="I1877" s="4">
        <v>42.06</v>
      </c>
      <c r="J1877" s="5">
        <v>0</v>
      </c>
      <c r="K1877" s="6">
        <v>3</v>
      </c>
      <c r="L1877" s="6">
        <v>4</v>
      </c>
      <c r="M1877" t="s">
        <v>58</v>
      </c>
      <c r="N1877" t="s">
        <v>69</v>
      </c>
      <c r="O1877" t="s">
        <v>64</v>
      </c>
    </row>
    <row r="1878" spans="1:15">
      <c r="A1878" t="s">
        <v>1978</v>
      </c>
      <c r="B1878" s="3">
        <v>45679</v>
      </c>
      <c r="C1878" t="s">
        <v>54</v>
      </c>
      <c r="D1878" t="s">
        <v>62</v>
      </c>
      <c r="E1878" t="s">
        <v>67</v>
      </c>
      <c r="F1878" t="s">
        <v>68</v>
      </c>
      <c r="G1878" s="6">
        <v>3</v>
      </c>
      <c r="H1878" s="4">
        <v>40.72</v>
      </c>
      <c r="I1878" s="4">
        <v>18.63</v>
      </c>
      <c r="J1878" s="5">
        <v>0</v>
      </c>
      <c r="K1878" s="6">
        <v>4</v>
      </c>
      <c r="L1878" s="6">
        <v>3</v>
      </c>
      <c r="M1878" t="s">
        <v>126</v>
      </c>
      <c r="N1878" t="s">
        <v>59</v>
      </c>
      <c r="O1878" t="s">
        <v>64</v>
      </c>
    </row>
    <row r="1879" spans="1:15">
      <c r="A1879" t="s">
        <v>1979</v>
      </c>
      <c r="B1879" s="3">
        <v>45918</v>
      </c>
      <c r="C1879" t="s">
        <v>78</v>
      </c>
      <c r="D1879" t="s">
        <v>62</v>
      </c>
      <c r="E1879" t="s">
        <v>75</v>
      </c>
      <c r="F1879" t="s">
        <v>146</v>
      </c>
      <c r="G1879" s="6">
        <v>4</v>
      </c>
      <c r="H1879" s="4">
        <v>181.64</v>
      </c>
      <c r="I1879" s="4">
        <v>113.29</v>
      </c>
      <c r="J1879" s="5">
        <v>0</v>
      </c>
      <c r="K1879" s="6">
        <v>6</v>
      </c>
      <c r="L1879" s="6">
        <v>4</v>
      </c>
      <c r="M1879" t="s">
        <v>58</v>
      </c>
      <c r="N1879" t="s">
        <v>87</v>
      </c>
      <c r="O1879" t="s">
        <v>64</v>
      </c>
    </row>
    <row r="1880" spans="1:15">
      <c r="A1880" t="s">
        <v>1980</v>
      </c>
      <c r="B1880" s="3">
        <v>45968</v>
      </c>
      <c r="C1880" t="s">
        <v>78</v>
      </c>
      <c r="D1880" t="s">
        <v>62</v>
      </c>
      <c r="E1880" t="s">
        <v>79</v>
      </c>
      <c r="F1880" t="s">
        <v>85</v>
      </c>
      <c r="G1880" s="6">
        <v>1</v>
      </c>
      <c r="H1880" s="4">
        <v>129.66</v>
      </c>
      <c r="I1880" s="4">
        <v>87.53</v>
      </c>
      <c r="J1880" s="5">
        <v>0.1</v>
      </c>
      <c r="K1880" s="6">
        <v>6</v>
      </c>
      <c r="L1880" s="6">
        <v>2</v>
      </c>
      <c r="M1880" t="s">
        <v>126</v>
      </c>
      <c r="N1880" t="s">
        <v>87</v>
      </c>
      <c r="O1880" t="s">
        <v>64</v>
      </c>
    </row>
    <row r="1881" spans="1:15">
      <c r="A1881" t="s">
        <v>1981</v>
      </c>
      <c r="B1881" s="3">
        <v>45884</v>
      </c>
      <c r="C1881" t="s">
        <v>78</v>
      </c>
      <c r="D1881" t="s">
        <v>62</v>
      </c>
      <c r="E1881" t="s">
        <v>67</v>
      </c>
      <c r="F1881" t="s">
        <v>68</v>
      </c>
      <c r="G1881" s="6">
        <v>2</v>
      </c>
      <c r="H1881" s="4">
        <v>38.99</v>
      </c>
      <c r="I1881" s="4">
        <v>18.579999999999998</v>
      </c>
      <c r="J1881" s="5">
        <v>0</v>
      </c>
      <c r="K1881" s="6">
        <v>4</v>
      </c>
      <c r="L1881" s="6">
        <v>5</v>
      </c>
      <c r="M1881" t="s">
        <v>58</v>
      </c>
      <c r="N1881" t="s">
        <v>59</v>
      </c>
      <c r="O1881" t="s">
        <v>64</v>
      </c>
    </row>
    <row r="1882" spans="1:15">
      <c r="A1882" t="s">
        <v>1210</v>
      </c>
      <c r="B1882" s="3">
        <v>45830</v>
      </c>
      <c r="C1882" t="s">
        <v>78</v>
      </c>
      <c r="D1882" t="s">
        <v>62</v>
      </c>
      <c r="E1882" t="s">
        <v>79</v>
      </c>
      <c r="F1882" t="s">
        <v>92</v>
      </c>
      <c r="G1882" s="6">
        <v>1</v>
      </c>
      <c r="H1882" s="4">
        <v>50.55</v>
      </c>
      <c r="I1882" s="4">
        <v>26.43</v>
      </c>
      <c r="J1882" s="5">
        <v>0.05</v>
      </c>
      <c r="K1882" s="6">
        <v>3</v>
      </c>
      <c r="L1882" s="6">
        <v>4</v>
      </c>
      <c r="M1882" t="s">
        <v>58</v>
      </c>
      <c r="N1882" t="s">
        <v>59</v>
      </c>
      <c r="O1882" t="s">
        <v>64</v>
      </c>
    </row>
    <row r="1883" spans="1:15">
      <c r="A1883" t="s">
        <v>1497</v>
      </c>
      <c r="B1883" s="3">
        <v>45900</v>
      </c>
      <c r="C1883" t="s">
        <v>78</v>
      </c>
      <c r="D1883" t="s">
        <v>62</v>
      </c>
      <c r="E1883" t="s">
        <v>56</v>
      </c>
      <c r="F1883" t="s">
        <v>63</v>
      </c>
      <c r="G1883" s="6">
        <v>1</v>
      </c>
      <c r="H1883" s="4">
        <v>39.56</v>
      </c>
      <c r="I1883" s="4">
        <v>19.53</v>
      </c>
      <c r="J1883" s="5">
        <v>0.05</v>
      </c>
      <c r="K1883" s="6">
        <v>6</v>
      </c>
      <c r="L1883" s="6">
        <v>3</v>
      </c>
      <c r="M1883" t="s">
        <v>126</v>
      </c>
      <c r="N1883" t="s">
        <v>59</v>
      </c>
      <c r="O1883" t="s">
        <v>64</v>
      </c>
    </row>
    <row r="1884" spans="1:15">
      <c r="A1884" t="s">
        <v>1982</v>
      </c>
      <c r="B1884" s="3">
        <v>45719</v>
      </c>
      <c r="C1884" t="s">
        <v>54</v>
      </c>
      <c r="D1884" t="s">
        <v>62</v>
      </c>
      <c r="E1884" t="s">
        <v>79</v>
      </c>
      <c r="F1884" t="s">
        <v>115</v>
      </c>
      <c r="G1884" s="6">
        <v>1</v>
      </c>
      <c r="H1884" s="4">
        <v>60.81</v>
      </c>
      <c r="I1884" s="4">
        <v>35.08</v>
      </c>
      <c r="J1884" s="5">
        <v>0</v>
      </c>
      <c r="K1884" s="6">
        <v>0</v>
      </c>
      <c r="L1884" s="6">
        <v>4</v>
      </c>
      <c r="M1884" t="s">
        <v>58</v>
      </c>
      <c r="N1884" t="s">
        <v>69</v>
      </c>
      <c r="O1884" t="s">
        <v>64</v>
      </c>
    </row>
    <row r="1885" spans="1:15">
      <c r="A1885" t="s">
        <v>1983</v>
      </c>
      <c r="B1885" s="3">
        <v>46003</v>
      </c>
      <c r="C1885" t="s">
        <v>82</v>
      </c>
      <c r="D1885" t="s">
        <v>62</v>
      </c>
      <c r="E1885" t="s">
        <v>67</v>
      </c>
      <c r="F1885" t="s">
        <v>107</v>
      </c>
      <c r="G1885" s="6">
        <v>2</v>
      </c>
      <c r="H1885" s="4">
        <v>43.72</v>
      </c>
      <c r="I1885" s="4">
        <v>20.94</v>
      </c>
      <c r="J1885" s="5">
        <v>0.1</v>
      </c>
      <c r="K1885" s="6">
        <v>2</v>
      </c>
      <c r="L1885" s="6">
        <v>4</v>
      </c>
      <c r="M1885" t="s">
        <v>58</v>
      </c>
      <c r="N1885" t="s">
        <v>87</v>
      </c>
      <c r="O1885" t="s">
        <v>64</v>
      </c>
    </row>
    <row r="1886" spans="1:15">
      <c r="A1886" t="s">
        <v>1984</v>
      </c>
      <c r="B1886" s="3">
        <v>45678</v>
      </c>
      <c r="C1886" t="s">
        <v>78</v>
      </c>
      <c r="D1886" t="s">
        <v>62</v>
      </c>
      <c r="E1886" t="s">
        <v>56</v>
      </c>
      <c r="F1886" t="s">
        <v>83</v>
      </c>
      <c r="G1886" s="6">
        <v>2</v>
      </c>
      <c r="H1886" s="4">
        <v>66.45</v>
      </c>
      <c r="I1886" s="4">
        <v>35.020000000000003</v>
      </c>
      <c r="J1886" s="5">
        <v>0.1</v>
      </c>
      <c r="K1886" s="6">
        <v>4</v>
      </c>
      <c r="L1886" s="6">
        <v>5</v>
      </c>
      <c r="M1886" t="s">
        <v>58</v>
      </c>
      <c r="N1886" t="s">
        <v>59</v>
      </c>
      <c r="O1886" t="s">
        <v>64</v>
      </c>
    </row>
    <row r="1887" spans="1:15">
      <c r="A1887" t="s">
        <v>1985</v>
      </c>
      <c r="B1887" s="3">
        <v>45922</v>
      </c>
      <c r="C1887" t="s">
        <v>78</v>
      </c>
      <c r="D1887" t="s">
        <v>55</v>
      </c>
      <c r="E1887" t="s">
        <v>75</v>
      </c>
      <c r="F1887" t="s">
        <v>110</v>
      </c>
      <c r="G1887" s="6">
        <v>5</v>
      </c>
      <c r="H1887" s="4">
        <v>156.35</v>
      </c>
      <c r="I1887" s="4">
        <v>100.47</v>
      </c>
      <c r="J1887" s="5">
        <v>0.1</v>
      </c>
      <c r="K1887" s="6">
        <v>8</v>
      </c>
      <c r="L1887" s="6">
        <v>3</v>
      </c>
      <c r="M1887" t="s">
        <v>58</v>
      </c>
      <c r="N1887" t="s">
        <v>59</v>
      </c>
      <c r="O1887" t="s">
        <v>64</v>
      </c>
    </row>
    <row r="1888" spans="1:15">
      <c r="A1888" t="s">
        <v>1986</v>
      </c>
      <c r="B1888" s="3">
        <v>46007</v>
      </c>
      <c r="C1888" t="s">
        <v>82</v>
      </c>
      <c r="D1888" t="s">
        <v>62</v>
      </c>
      <c r="E1888" t="s">
        <v>67</v>
      </c>
      <c r="F1888" t="s">
        <v>107</v>
      </c>
      <c r="G1888" s="6">
        <v>1</v>
      </c>
      <c r="H1888" s="4">
        <v>46.78</v>
      </c>
      <c r="I1888" s="4">
        <v>21.53</v>
      </c>
      <c r="J1888" s="5">
        <v>0.1</v>
      </c>
      <c r="K1888" s="6">
        <v>3</v>
      </c>
      <c r="L1888" s="6">
        <v>4</v>
      </c>
      <c r="M1888" t="s">
        <v>58</v>
      </c>
      <c r="N1888" t="s">
        <v>59</v>
      </c>
      <c r="O1888" t="s">
        <v>64</v>
      </c>
    </row>
    <row r="1889" spans="1:15">
      <c r="A1889" t="s">
        <v>1987</v>
      </c>
      <c r="B1889" s="3">
        <v>45700</v>
      </c>
      <c r="C1889" t="s">
        <v>54</v>
      </c>
      <c r="D1889" t="s">
        <v>62</v>
      </c>
      <c r="E1889" t="s">
        <v>56</v>
      </c>
      <c r="F1889" t="s">
        <v>89</v>
      </c>
      <c r="G1889" s="6">
        <v>3</v>
      </c>
      <c r="H1889" s="4">
        <v>82.93</v>
      </c>
      <c r="I1889" s="4">
        <v>46.09</v>
      </c>
      <c r="J1889" s="5">
        <v>0.05</v>
      </c>
      <c r="K1889" s="6">
        <v>0</v>
      </c>
      <c r="L1889" s="6">
        <v>4</v>
      </c>
      <c r="M1889" t="s">
        <v>58</v>
      </c>
      <c r="N1889" t="s">
        <v>69</v>
      </c>
      <c r="O1889" t="s">
        <v>64</v>
      </c>
    </row>
    <row r="1890" spans="1:15">
      <c r="A1890" t="s">
        <v>1988</v>
      </c>
      <c r="B1890" s="3">
        <v>45874</v>
      </c>
      <c r="C1890" t="s">
        <v>66</v>
      </c>
      <c r="D1890" t="s">
        <v>62</v>
      </c>
      <c r="E1890" t="s">
        <v>75</v>
      </c>
      <c r="F1890" t="s">
        <v>97</v>
      </c>
      <c r="G1890" s="6">
        <v>2</v>
      </c>
      <c r="H1890" s="4">
        <v>90.13</v>
      </c>
      <c r="I1890" s="4">
        <v>53.57</v>
      </c>
      <c r="J1890" s="5">
        <v>0.15000000000000002</v>
      </c>
      <c r="K1890" s="6">
        <v>8</v>
      </c>
      <c r="L1890" s="6">
        <v>4</v>
      </c>
      <c r="M1890" t="s">
        <v>58</v>
      </c>
      <c r="N1890" t="s">
        <v>59</v>
      </c>
      <c r="O1890" t="s">
        <v>64</v>
      </c>
    </row>
    <row r="1891" spans="1:15">
      <c r="A1891" t="s">
        <v>1989</v>
      </c>
      <c r="B1891" s="3">
        <v>45724</v>
      </c>
      <c r="C1891" t="s">
        <v>82</v>
      </c>
      <c r="D1891" t="s">
        <v>62</v>
      </c>
      <c r="E1891" t="s">
        <v>79</v>
      </c>
      <c r="F1891" t="s">
        <v>80</v>
      </c>
      <c r="G1891" s="6">
        <v>1</v>
      </c>
      <c r="H1891" s="4">
        <v>75.290000000000006</v>
      </c>
      <c r="I1891" s="4">
        <v>43.07</v>
      </c>
      <c r="J1891" s="5">
        <v>0</v>
      </c>
      <c r="K1891" s="6">
        <v>2</v>
      </c>
      <c r="L1891" s="6">
        <v>4</v>
      </c>
      <c r="M1891" t="s">
        <v>58</v>
      </c>
      <c r="N1891" t="s">
        <v>87</v>
      </c>
      <c r="O1891" t="s">
        <v>73</v>
      </c>
    </row>
    <row r="1892" spans="1:15">
      <c r="A1892" t="s">
        <v>1990</v>
      </c>
      <c r="B1892" s="3">
        <v>45839</v>
      </c>
      <c r="C1892" t="s">
        <v>82</v>
      </c>
      <c r="D1892" t="s">
        <v>62</v>
      </c>
      <c r="E1892" t="s">
        <v>67</v>
      </c>
      <c r="F1892" t="s">
        <v>94</v>
      </c>
      <c r="G1892" s="6">
        <v>1</v>
      </c>
      <c r="H1892" s="4">
        <v>34.119999999999997</v>
      </c>
      <c r="I1892" s="4">
        <v>16.98</v>
      </c>
      <c r="J1892" s="5">
        <v>0</v>
      </c>
      <c r="K1892" s="6">
        <v>1</v>
      </c>
      <c r="L1892" s="6">
        <v>4</v>
      </c>
      <c r="M1892" t="s">
        <v>58</v>
      </c>
      <c r="N1892" t="s">
        <v>69</v>
      </c>
      <c r="O1892" t="s">
        <v>64</v>
      </c>
    </row>
    <row r="1893" spans="1:15">
      <c r="A1893" t="s">
        <v>1991</v>
      </c>
      <c r="B1893" s="3">
        <v>45832</v>
      </c>
      <c r="C1893" t="s">
        <v>66</v>
      </c>
      <c r="D1893" t="s">
        <v>62</v>
      </c>
      <c r="E1893" t="s">
        <v>56</v>
      </c>
      <c r="F1893" t="s">
        <v>89</v>
      </c>
      <c r="G1893" s="6">
        <v>1</v>
      </c>
      <c r="H1893" s="4">
        <v>81.93</v>
      </c>
      <c r="I1893" s="4">
        <v>45.34</v>
      </c>
      <c r="J1893" s="5">
        <v>0.05</v>
      </c>
      <c r="K1893" s="6">
        <v>6</v>
      </c>
      <c r="L1893" s="6">
        <v>3</v>
      </c>
      <c r="M1893" t="s">
        <v>58</v>
      </c>
      <c r="N1893" t="s">
        <v>59</v>
      </c>
      <c r="O1893" t="s">
        <v>60</v>
      </c>
    </row>
    <row r="1894" spans="1:15">
      <c r="A1894" t="s">
        <v>1992</v>
      </c>
      <c r="B1894" s="3">
        <v>45680</v>
      </c>
      <c r="C1894" t="s">
        <v>54</v>
      </c>
      <c r="D1894" t="s">
        <v>55</v>
      </c>
      <c r="E1894" t="s">
        <v>56</v>
      </c>
      <c r="F1894" t="s">
        <v>57</v>
      </c>
      <c r="G1894" s="6">
        <v>1</v>
      </c>
      <c r="H1894" s="4">
        <v>113.03</v>
      </c>
      <c r="I1894" s="4">
        <v>68.38</v>
      </c>
      <c r="J1894" s="5">
        <v>0</v>
      </c>
      <c r="K1894" s="6">
        <v>0</v>
      </c>
      <c r="L1894" s="6">
        <v>4</v>
      </c>
      <c r="M1894" t="s">
        <v>58</v>
      </c>
      <c r="N1894" t="s">
        <v>69</v>
      </c>
      <c r="O1894" t="s">
        <v>60</v>
      </c>
    </row>
    <row r="1895" spans="1:15">
      <c r="A1895" t="s">
        <v>1993</v>
      </c>
      <c r="B1895" s="3">
        <v>45732</v>
      </c>
      <c r="C1895" t="s">
        <v>82</v>
      </c>
      <c r="D1895" t="s">
        <v>62</v>
      </c>
      <c r="E1895" t="s">
        <v>67</v>
      </c>
      <c r="F1895" t="s">
        <v>107</v>
      </c>
      <c r="G1895" s="6">
        <v>1</v>
      </c>
      <c r="H1895" s="4">
        <v>44.23</v>
      </c>
      <c r="I1895" s="4">
        <v>21.38</v>
      </c>
      <c r="J1895" s="5">
        <v>0</v>
      </c>
      <c r="K1895" s="6">
        <v>2</v>
      </c>
      <c r="L1895" s="6">
        <v>4</v>
      </c>
      <c r="M1895" t="s">
        <v>126</v>
      </c>
      <c r="N1895" t="s">
        <v>59</v>
      </c>
      <c r="O1895" t="s">
        <v>64</v>
      </c>
    </row>
    <row r="1896" spans="1:15">
      <c r="A1896" t="s">
        <v>1994</v>
      </c>
      <c r="B1896" s="3">
        <v>45998</v>
      </c>
      <c r="C1896" t="s">
        <v>54</v>
      </c>
      <c r="D1896" t="s">
        <v>55</v>
      </c>
      <c r="E1896" t="s">
        <v>79</v>
      </c>
      <c r="F1896" t="s">
        <v>85</v>
      </c>
      <c r="G1896" s="6">
        <v>3</v>
      </c>
      <c r="H1896" s="4">
        <v>129.05000000000001</v>
      </c>
      <c r="I1896" s="4">
        <v>88.19</v>
      </c>
      <c r="J1896" s="5">
        <v>0.05</v>
      </c>
      <c r="K1896" s="6">
        <v>3</v>
      </c>
      <c r="L1896" s="6">
        <v>4</v>
      </c>
      <c r="M1896" t="s">
        <v>58</v>
      </c>
      <c r="N1896" t="s">
        <v>59</v>
      </c>
      <c r="O1896" t="s">
        <v>60</v>
      </c>
    </row>
    <row r="1897" spans="1:15">
      <c r="A1897" t="s">
        <v>1995</v>
      </c>
      <c r="B1897" s="3">
        <v>45989</v>
      </c>
      <c r="C1897" t="s">
        <v>66</v>
      </c>
      <c r="D1897" t="s">
        <v>62</v>
      </c>
      <c r="E1897" t="s">
        <v>56</v>
      </c>
      <c r="F1897" t="s">
        <v>89</v>
      </c>
      <c r="G1897" s="6">
        <v>1</v>
      </c>
      <c r="H1897" s="4">
        <v>80.62</v>
      </c>
      <c r="I1897" s="4">
        <v>43.85</v>
      </c>
      <c r="J1897" s="5">
        <v>0.2</v>
      </c>
      <c r="K1897" s="6">
        <v>4</v>
      </c>
      <c r="L1897" s="6">
        <v>4</v>
      </c>
      <c r="M1897" t="s">
        <v>58</v>
      </c>
      <c r="N1897" t="s">
        <v>59</v>
      </c>
      <c r="O1897" t="s">
        <v>60</v>
      </c>
    </row>
    <row r="1898" spans="1:15">
      <c r="A1898" t="s">
        <v>1996</v>
      </c>
      <c r="B1898" s="3">
        <v>45893</v>
      </c>
      <c r="C1898" t="s">
        <v>54</v>
      </c>
      <c r="D1898" t="s">
        <v>129</v>
      </c>
      <c r="E1898" t="s">
        <v>56</v>
      </c>
      <c r="F1898" t="s">
        <v>63</v>
      </c>
      <c r="G1898" s="6">
        <v>8</v>
      </c>
      <c r="H1898" s="4">
        <v>40.53</v>
      </c>
      <c r="I1898" s="4">
        <v>20.72</v>
      </c>
      <c r="J1898" s="5">
        <v>0.05</v>
      </c>
      <c r="K1898" s="6">
        <v>2</v>
      </c>
      <c r="L1898" s="6">
        <v>4</v>
      </c>
      <c r="M1898" t="s">
        <v>58</v>
      </c>
      <c r="N1898" t="s">
        <v>69</v>
      </c>
      <c r="O1898" t="s">
        <v>64</v>
      </c>
    </row>
    <row r="1899" spans="1:15">
      <c r="A1899" t="s">
        <v>1997</v>
      </c>
      <c r="B1899" s="3">
        <v>45728</v>
      </c>
      <c r="C1899" t="s">
        <v>54</v>
      </c>
      <c r="D1899" t="s">
        <v>62</v>
      </c>
      <c r="E1899" t="s">
        <v>67</v>
      </c>
      <c r="F1899" t="s">
        <v>107</v>
      </c>
      <c r="G1899" s="6">
        <v>2</v>
      </c>
      <c r="H1899" s="4">
        <v>46.38</v>
      </c>
      <c r="I1899" s="4">
        <v>21.25</v>
      </c>
      <c r="J1899" s="5">
        <v>0</v>
      </c>
      <c r="K1899" s="6">
        <v>3</v>
      </c>
      <c r="L1899" s="6">
        <v>4</v>
      </c>
      <c r="M1899" t="s">
        <v>58</v>
      </c>
      <c r="N1899" t="s">
        <v>59</v>
      </c>
      <c r="O1899" t="s">
        <v>64</v>
      </c>
    </row>
    <row r="1900" spans="1:15">
      <c r="A1900" t="s">
        <v>1998</v>
      </c>
      <c r="B1900" s="3">
        <v>45733</v>
      </c>
      <c r="C1900" t="s">
        <v>82</v>
      </c>
      <c r="D1900" t="s">
        <v>62</v>
      </c>
      <c r="E1900" t="s">
        <v>67</v>
      </c>
      <c r="F1900" t="s">
        <v>107</v>
      </c>
      <c r="G1900" s="6">
        <v>2</v>
      </c>
      <c r="H1900" s="4">
        <v>46.09</v>
      </c>
      <c r="I1900" s="4">
        <v>20.53</v>
      </c>
      <c r="J1900" s="5">
        <v>0</v>
      </c>
      <c r="K1900" s="6">
        <v>2</v>
      </c>
      <c r="L1900" s="6">
        <v>4</v>
      </c>
      <c r="M1900" t="s">
        <v>58</v>
      </c>
      <c r="N1900" t="s">
        <v>69</v>
      </c>
      <c r="O1900" t="s">
        <v>73</v>
      </c>
    </row>
    <row r="1901" spans="1:15">
      <c r="A1901" t="s">
        <v>1999</v>
      </c>
      <c r="B1901" s="3">
        <v>45869</v>
      </c>
      <c r="C1901" t="s">
        <v>78</v>
      </c>
      <c r="D1901" t="s">
        <v>62</v>
      </c>
      <c r="E1901" t="s">
        <v>56</v>
      </c>
      <c r="F1901" t="s">
        <v>89</v>
      </c>
      <c r="G1901" s="6">
        <v>1</v>
      </c>
      <c r="H1901" s="4">
        <v>78.900000000000006</v>
      </c>
      <c r="I1901" s="4">
        <v>44.79</v>
      </c>
      <c r="J1901" s="5">
        <v>0</v>
      </c>
      <c r="K1901" s="6">
        <v>1</v>
      </c>
      <c r="L1901" s="6">
        <v>4</v>
      </c>
      <c r="M1901" t="s">
        <v>58</v>
      </c>
      <c r="N1901" t="s">
        <v>59</v>
      </c>
      <c r="O1901" t="s">
        <v>64</v>
      </c>
    </row>
    <row r="1902" spans="1:15">
      <c r="A1902" t="s">
        <v>2000</v>
      </c>
      <c r="B1902" s="3">
        <v>45983</v>
      </c>
      <c r="C1902" t="s">
        <v>66</v>
      </c>
      <c r="D1902" t="s">
        <v>62</v>
      </c>
      <c r="E1902" t="s">
        <v>79</v>
      </c>
      <c r="F1902" t="s">
        <v>85</v>
      </c>
      <c r="G1902" s="6">
        <v>1</v>
      </c>
      <c r="H1902" s="4">
        <v>133.27000000000001</v>
      </c>
      <c r="I1902" s="4">
        <v>86.41</v>
      </c>
      <c r="J1902" s="5">
        <v>0.1</v>
      </c>
      <c r="K1902" s="6">
        <v>2</v>
      </c>
      <c r="L1902" s="6">
        <v>4</v>
      </c>
      <c r="M1902" t="s">
        <v>58</v>
      </c>
      <c r="N1902" t="s">
        <v>59</v>
      </c>
      <c r="O1902" t="s">
        <v>64</v>
      </c>
    </row>
    <row r="1903" spans="1:15">
      <c r="A1903" t="s">
        <v>2001</v>
      </c>
      <c r="B1903" s="3">
        <v>45876</v>
      </c>
      <c r="C1903" t="s">
        <v>54</v>
      </c>
      <c r="D1903" t="s">
        <v>62</v>
      </c>
      <c r="E1903" t="s">
        <v>75</v>
      </c>
      <c r="F1903" t="s">
        <v>146</v>
      </c>
      <c r="G1903" s="6">
        <v>2</v>
      </c>
      <c r="H1903" s="4">
        <v>183.58</v>
      </c>
      <c r="I1903" s="4">
        <v>115.11</v>
      </c>
      <c r="J1903" s="5">
        <v>0.05</v>
      </c>
      <c r="K1903" s="6">
        <v>2</v>
      </c>
      <c r="L1903" s="6">
        <v>4</v>
      </c>
      <c r="M1903" t="s">
        <v>58</v>
      </c>
      <c r="N1903" t="s">
        <v>69</v>
      </c>
      <c r="O1903" t="s">
        <v>64</v>
      </c>
    </row>
    <row r="1904" spans="1:15">
      <c r="A1904" t="s">
        <v>2002</v>
      </c>
      <c r="B1904" s="3">
        <v>45814</v>
      </c>
      <c r="C1904" t="s">
        <v>82</v>
      </c>
      <c r="D1904" t="s">
        <v>62</v>
      </c>
      <c r="E1904" t="s">
        <v>67</v>
      </c>
      <c r="F1904" t="s">
        <v>107</v>
      </c>
      <c r="G1904" s="6">
        <v>1</v>
      </c>
      <c r="H1904" s="4">
        <v>43.72</v>
      </c>
      <c r="I1904" s="4">
        <v>20.94</v>
      </c>
      <c r="J1904" s="5">
        <v>0</v>
      </c>
      <c r="K1904" s="6">
        <v>2</v>
      </c>
      <c r="L1904" s="6">
        <v>5</v>
      </c>
      <c r="M1904" t="s">
        <v>58</v>
      </c>
      <c r="N1904" t="s">
        <v>59</v>
      </c>
      <c r="O1904" t="s">
        <v>64</v>
      </c>
    </row>
    <row r="1905" spans="1:15">
      <c r="A1905" t="s">
        <v>2003</v>
      </c>
      <c r="B1905" s="3">
        <v>46013</v>
      </c>
      <c r="C1905" t="s">
        <v>82</v>
      </c>
      <c r="D1905" t="s">
        <v>55</v>
      </c>
      <c r="E1905" t="s">
        <v>75</v>
      </c>
      <c r="F1905" t="s">
        <v>110</v>
      </c>
      <c r="G1905" s="6">
        <v>2</v>
      </c>
      <c r="H1905" s="4">
        <v>161.44999999999999</v>
      </c>
      <c r="I1905" s="4">
        <v>105.88</v>
      </c>
      <c r="J1905" s="5">
        <v>0.1</v>
      </c>
      <c r="K1905" s="6">
        <v>0</v>
      </c>
      <c r="L1905" s="6">
        <v>4</v>
      </c>
      <c r="M1905" t="s">
        <v>58</v>
      </c>
      <c r="N1905" t="s">
        <v>69</v>
      </c>
      <c r="O1905" t="s">
        <v>64</v>
      </c>
    </row>
    <row r="1906" spans="1:15">
      <c r="A1906" t="s">
        <v>2004</v>
      </c>
      <c r="B1906" s="3">
        <v>45846</v>
      </c>
      <c r="C1906" t="s">
        <v>66</v>
      </c>
      <c r="D1906" t="s">
        <v>62</v>
      </c>
      <c r="E1906" t="s">
        <v>75</v>
      </c>
      <c r="F1906" t="s">
        <v>76</v>
      </c>
      <c r="G1906" s="6">
        <v>2</v>
      </c>
      <c r="H1906" s="4">
        <v>117.41</v>
      </c>
      <c r="I1906" s="4">
        <v>70.39</v>
      </c>
      <c r="J1906" s="5">
        <v>0.1</v>
      </c>
      <c r="K1906" s="6">
        <v>3</v>
      </c>
      <c r="L1906" s="6">
        <v>4</v>
      </c>
      <c r="M1906" t="s">
        <v>58</v>
      </c>
      <c r="N1906" t="s">
        <v>59</v>
      </c>
      <c r="O1906" t="s">
        <v>64</v>
      </c>
    </row>
    <row r="1907" spans="1:15">
      <c r="A1907" t="s">
        <v>2005</v>
      </c>
      <c r="B1907" s="3">
        <v>46013</v>
      </c>
      <c r="C1907" t="s">
        <v>78</v>
      </c>
      <c r="D1907" t="s">
        <v>55</v>
      </c>
      <c r="E1907" t="s">
        <v>67</v>
      </c>
      <c r="F1907" t="s">
        <v>68</v>
      </c>
      <c r="G1907" s="6">
        <v>3</v>
      </c>
      <c r="H1907" s="4">
        <v>40.39</v>
      </c>
      <c r="I1907" s="4">
        <v>19.52</v>
      </c>
      <c r="J1907" s="5">
        <v>0.15000000000000002</v>
      </c>
      <c r="K1907" s="6">
        <v>5</v>
      </c>
      <c r="L1907" s="6">
        <v>5</v>
      </c>
      <c r="M1907" t="s">
        <v>58</v>
      </c>
      <c r="N1907" t="s">
        <v>59</v>
      </c>
      <c r="O1907" t="s">
        <v>73</v>
      </c>
    </row>
    <row r="1908" spans="1:15">
      <c r="A1908" t="s">
        <v>2006</v>
      </c>
      <c r="B1908" s="3">
        <v>45828</v>
      </c>
      <c r="C1908" t="s">
        <v>54</v>
      </c>
      <c r="D1908" t="s">
        <v>55</v>
      </c>
      <c r="E1908" t="s">
        <v>79</v>
      </c>
      <c r="F1908" t="s">
        <v>80</v>
      </c>
      <c r="G1908" s="6">
        <v>2</v>
      </c>
      <c r="H1908" s="4">
        <v>74.03</v>
      </c>
      <c r="I1908" s="4">
        <v>44.01</v>
      </c>
      <c r="J1908" s="5">
        <v>0</v>
      </c>
      <c r="K1908" s="6">
        <v>0</v>
      </c>
      <c r="L1908" s="6">
        <v>5</v>
      </c>
      <c r="M1908" t="s">
        <v>58</v>
      </c>
      <c r="N1908" t="s">
        <v>69</v>
      </c>
      <c r="O1908" t="s">
        <v>64</v>
      </c>
    </row>
    <row r="1909" spans="1:15">
      <c r="A1909" t="s">
        <v>2007</v>
      </c>
      <c r="B1909" s="3">
        <v>45801</v>
      </c>
      <c r="C1909" t="s">
        <v>78</v>
      </c>
      <c r="D1909" t="s">
        <v>55</v>
      </c>
      <c r="E1909" t="s">
        <v>56</v>
      </c>
      <c r="F1909" t="s">
        <v>83</v>
      </c>
      <c r="G1909" s="6">
        <v>3</v>
      </c>
      <c r="H1909" s="4">
        <v>65.5</v>
      </c>
      <c r="I1909" s="4">
        <v>35.28</v>
      </c>
      <c r="J1909" s="5">
        <v>0</v>
      </c>
      <c r="K1909" s="6">
        <v>7</v>
      </c>
      <c r="L1909" s="6">
        <v>4</v>
      </c>
      <c r="M1909" t="s">
        <v>58</v>
      </c>
      <c r="N1909" t="s">
        <v>59</v>
      </c>
      <c r="O1909" t="s">
        <v>60</v>
      </c>
    </row>
    <row r="1910" spans="1:15">
      <c r="A1910" t="s">
        <v>2008</v>
      </c>
      <c r="B1910" s="3">
        <v>45896</v>
      </c>
      <c r="C1910" t="s">
        <v>66</v>
      </c>
      <c r="D1910" t="s">
        <v>62</v>
      </c>
      <c r="E1910" t="s">
        <v>79</v>
      </c>
      <c r="F1910" t="s">
        <v>80</v>
      </c>
      <c r="G1910" s="6">
        <v>3</v>
      </c>
      <c r="H1910" s="4">
        <v>73.39</v>
      </c>
      <c r="I1910" s="4">
        <v>43.11</v>
      </c>
      <c r="J1910" s="5">
        <v>0.1</v>
      </c>
      <c r="K1910" s="6">
        <v>3</v>
      </c>
      <c r="L1910" s="6">
        <v>4</v>
      </c>
      <c r="M1910" t="s">
        <v>126</v>
      </c>
      <c r="N1910" t="s">
        <v>59</v>
      </c>
      <c r="O1910" t="s">
        <v>64</v>
      </c>
    </row>
    <row r="1911" spans="1:15">
      <c r="A1911" t="s">
        <v>2009</v>
      </c>
      <c r="B1911" s="3">
        <v>45810</v>
      </c>
      <c r="C1911" t="s">
        <v>66</v>
      </c>
      <c r="D1911" t="s">
        <v>55</v>
      </c>
      <c r="E1911" t="s">
        <v>79</v>
      </c>
      <c r="F1911" t="s">
        <v>80</v>
      </c>
      <c r="G1911" s="6">
        <v>5</v>
      </c>
      <c r="H1911" s="4">
        <v>77.84</v>
      </c>
      <c r="I1911" s="4">
        <v>44.1</v>
      </c>
      <c r="J1911" s="5">
        <v>0.15000000000000002</v>
      </c>
      <c r="K1911" s="6">
        <v>0</v>
      </c>
      <c r="L1911" s="6">
        <v>4</v>
      </c>
      <c r="M1911" t="s">
        <v>58</v>
      </c>
      <c r="N1911" t="s">
        <v>69</v>
      </c>
      <c r="O1911" t="s">
        <v>64</v>
      </c>
    </row>
    <row r="1912" spans="1:15">
      <c r="A1912" t="s">
        <v>2010</v>
      </c>
      <c r="B1912" s="3">
        <v>46007</v>
      </c>
      <c r="C1912" t="s">
        <v>78</v>
      </c>
      <c r="D1912" t="s">
        <v>62</v>
      </c>
      <c r="E1912" t="s">
        <v>56</v>
      </c>
      <c r="F1912" t="s">
        <v>57</v>
      </c>
      <c r="G1912" s="6">
        <v>1</v>
      </c>
      <c r="H1912" s="4">
        <v>109.81</v>
      </c>
      <c r="I1912" s="4">
        <v>67.13</v>
      </c>
      <c r="J1912" s="5">
        <v>0.05</v>
      </c>
      <c r="K1912" s="6">
        <v>2</v>
      </c>
      <c r="L1912" s="6">
        <v>5</v>
      </c>
      <c r="M1912" t="s">
        <v>58</v>
      </c>
      <c r="N1912" t="s">
        <v>59</v>
      </c>
      <c r="O1912" t="s">
        <v>64</v>
      </c>
    </row>
    <row r="1913" spans="1:15">
      <c r="A1913" t="s">
        <v>2011</v>
      </c>
      <c r="B1913" s="3">
        <v>45677</v>
      </c>
      <c r="C1913" t="s">
        <v>78</v>
      </c>
      <c r="D1913" t="s">
        <v>62</v>
      </c>
      <c r="E1913" t="s">
        <v>79</v>
      </c>
      <c r="F1913" t="s">
        <v>115</v>
      </c>
      <c r="G1913" s="6">
        <v>3</v>
      </c>
      <c r="H1913" s="4">
        <v>59.94</v>
      </c>
      <c r="I1913" s="4">
        <v>33.74</v>
      </c>
      <c r="J1913" s="5">
        <v>0.1</v>
      </c>
      <c r="K1913" s="6">
        <v>5</v>
      </c>
      <c r="L1913" s="6">
        <v>4</v>
      </c>
      <c r="M1913" t="s">
        <v>58</v>
      </c>
      <c r="N1913" t="s">
        <v>59</v>
      </c>
      <c r="O1913" t="s">
        <v>64</v>
      </c>
    </row>
    <row r="1914" spans="1:15">
      <c r="A1914" t="s">
        <v>2012</v>
      </c>
      <c r="B1914" s="3">
        <v>45980</v>
      </c>
      <c r="C1914" t="s">
        <v>82</v>
      </c>
      <c r="D1914" t="s">
        <v>55</v>
      </c>
      <c r="E1914" t="s">
        <v>56</v>
      </c>
      <c r="F1914" t="s">
        <v>63</v>
      </c>
      <c r="G1914" s="6">
        <v>3</v>
      </c>
      <c r="H1914" s="4">
        <v>39.380000000000003</v>
      </c>
      <c r="I1914" s="4">
        <v>19.579999999999998</v>
      </c>
      <c r="J1914" s="5">
        <v>0.05</v>
      </c>
      <c r="K1914" s="6">
        <v>4</v>
      </c>
      <c r="L1914" s="6">
        <v>4</v>
      </c>
      <c r="M1914" t="s">
        <v>58</v>
      </c>
      <c r="N1914" t="s">
        <v>59</v>
      </c>
      <c r="O1914" t="s">
        <v>60</v>
      </c>
    </row>
    <row r="1915" spans="1:15">
      <c r="A1915" t="s">
        <v>2013</v>
      </c>
      <c r="B1915" s="3">
        <v>45902</v>
      </c>
      <c r="C1915" t="s">
        <v>66</v>
      </c>
      <c r="D1915" t="s">
        <v>62</v>
      </c>
      <c r="E1915" t="s">
        <v>75</v>
      </c>
      <c r="F1915" t="s">
        <v>76</v>
      </c>
      <c r="G1915" s="6">
        <v>2</v>
      </c>
      <c r="H1915" s="4">
        <v>121.59</v>
      </c>
      <c r="I1915" s="4">
        <v>70.45</v>
      </c>
      <c r="J1915" s="5">
        <v>0.1</v>
      </c>
      <c r="K1915" s="6">
        <v>5</v>
      </c>
      <c r="L1915" s="6">
        <v>4</v>
      </c>
      <c r="M1915" t="s">
        <v>58</v>
      </c>
      <c r="N1915" t="s">
        <v>69</v>
      </c>
      <c r="O1915" t="s">
        <v>73</v>
      </c>
    </row>
    <row r="1916" spans="1:15">
      <c r="A1916" t="s">
        <v>2014</v>
      </c>
      <c r="B1916" s="3">
        <v>46000</v>
      </c>
      <c r="C1916" t="s">
        <v>78</v>
      </c>
      <c r="D1916" t="s">
        <v>62</v>
      </c>
      <c r="E1916" t="s">
        <v>75</v>
      </c>
      <c r="F1916" t="s">
        <v>110</v>
      </c>
      <c r="G1916" s="6">
        <v>2</v>
      </c>
      <c r="H1916" s="4">
        <v>164.28</v>
      </c>
      <c r="I1916" s="4">
        <v>103.46</v>
      </c>
      <c r="J1916" s="5">
        <v>0.05</v>
      </c>
      <c r="K1916" s="6">
        <v>4</v>
      </c>
      <c r="L1916" s="6">
        <v>4</v>
      </c>
      <c r="M1916" t="s">
        <v>58</v>
      </c>
      <c r="N1916" t="s">
        <v>59</v>
      </c>
      <c r="O1916" t="s">
        <v>64</v>
      </c>
    </row>
    <row r="1917" spans="1:15">
      <c r="A1917" t="s">
        <v>2015</v>
      </c>
      <c r="B1917" s="3">
        <v>45699</v>
      </c>
      <c r="C1917" t="s">
        <v>82</v>
      </c>
      <c r="D1917" t="s">
        <v>62</v>
      </c>
      <c r="E1917" t="s">
        <v>79</v>
      </c>
      <c r="F1917" t="s">
        <v>80</v>
      </c>
      <c r="G1917" s="6">
        <v>1</v>
      </c>
      <c r="H1917" s="4">
        <v>74.31</v>
      </c>
      <c r="I1917" s="4">
        <v>42.48</v>
      </c>
      <c r="J1917" s="5">
        <v>0.05</v>
      </c>
      <c r="K1917" s="6">
        <v>4</v>
      </c>
      <c r="L1917" s="6">
        <v>5</v>
      </c>
      <c r="M1917" t="s">
        <v>58</v>
      </c>
      <c r="N1917" t="s">
        <v>59</v>
      </c>
      <c r="O1917" t="s">
        <v>64</v>
      </c>
    </row>
    <row r="1918" spans="1:15">
      <c r="A1918" t="s">
        <v>2016</v>
      </c>
      <c r="B1918" s="3">
        <v>45832</v>
      </c>
      <c r="C1918" t="s">
        <v>54</v>
      </c>
      <c r="D1918" t="s">
        <v>55</v>
      </c>
      <c r="E1918" t="s">
        <v>75</v>
      </c>
      <c r="F1918" t="s">
        <v>110</v>
      </c>
      <c r="G1918" s="6">
        <v>3</v>
      </c>
      <c r="H1918" s="4">
        <v>162.96</v>
      </c>
      <c r="I1918" s="4">
        <v>98.37</v>
      </c>
      <c r="J1918" s="5">
        <v>0.05</v>
      </c>
      <c r="K1918" s="6">
        <v>10</v>
      </c>
      <c r="L1918" s="6">
        <v>3</v>
      </c>
      <c r="M1918" t="s">
        <v>58</v>
      </c>
      <c r="N1918" t="s">
        <v>59</v>
      </c>
      <c r="O1918" t="s">
        <v>60</v>
      </c>
    </row>
    <row r="1919" spans="1:15">
      <c r="A1919" t="s">
        <v>2017</v>
      </c>
      <c r="B1919" s="3">
        <v>45934</v>
      </c>
      <c r="C1919" t="s">
        <v>54</v>
      </c>
      <c r="D1919" t="s">
        <v>62</v>
      </c>
      <c r="E1919" t="s">
        <v>79</v>
      </c>
      <c r="F1919" t="s">
        <v>92</v>
      </c>
      <c r="G1919" s="6">
        <v>2</v>
      </c>
      <c r="H1919" s="4">
        <v>50.47</v>
      </c>
      <c r="I1919" s="4">
        <v>26.56</v>
      </c>
      <c r="J1919" s="5">
        <v>0.05</v>
      </c>
      <c r="K1919" s="6">
        <v>2</v>
      </c>
      <c r="L1919" s="6">
        <v>5</v>
      </c>
      <c r="M1919" t="s">
        <v>58</v>
      </c>
      <c r="N1919" t="s">
        <v>59</v>
      </c>
      <c r="O1919" t="s">
        <v>64</v>
      </c>
    </row>
    <row r="1920" spans="1:15">
      <c r="A1920" t="s">
        <v>2018</v>
      </c>
      <c r="B1920" s="3">
        <v>45996</v>
      </c>
      <c r="C1920" t="s">
        <v>54</v>
      </c>
      <c r="D1920" t="s">
        <v>55</v>
      </c>
      <c r="E1920" t="s">
        <v>79</v>
      </c>
      <c r="F1920" t="s">
        <v>85</v>
      </c>
      <c r="G1920" s="6">
        <v>2</v>
      </c>
      <c r="H1920" s="4">
        <v>131.82</v>
      </c>
      <c r="I1920" s="4">
        <v>85.13</v>
      </c>
      <c r="J1920" s="5">
        <v>0.05</v>
      </c>
      <c r="K1920" s="6">
        <v>3</v>
      </c>
      <c r="L1920" s="6">
        <v>4</v>
      </c>
      <c r="M1920" t="s">
        <v>58</v>
      </c>
      <c r="N1920" t="s">
        <v>59</v>
      </c>
      <c r="O1920" t="s">
        <v>64</v>
      </c>
    </row>
    <row r="1921" spans="1:15">
      <c r="A1921" t="s">
        <v>2019</v>
      </c>
      <c r="B1921" s="3">
        <v>46015</v>
      </c>
      <c r="C1921" t="s">
        <v>54</v>
      </c>
      <c r="D1921" t="s">
        <v>62</v>
      </c>
      <c r="E1921" t="s">
        <v>56</v>
      </c>
      <c r="F1921" t="s">
        <v>89</v>
      </c>
      <c r="G1921" s="6">
        <v>3</v>
      </c>
      <c r="H1921" s="4">
        <v>79.239999999999995</v>
      </c>
      <c r="I1921" s="4">
        <v>45.2</v>
      </c>
      <c r="J1921" s="5">
        <v>0.15000000000000002</v>
      </c>
      <c r="K1921" s="6">
        <v>4</v>
      </c>
      <c r="L1921" s="6">
        <v>5</v>
      </c>
      <c r="M1921" t="s">
        <v>58</v>
      </c>
      <c r="N1921" t="s">
        <v>69</v>
      </c>
      <c r="O1921" t="s">
        <v>60</v>
      </c>
    </row>
    <row r="1922" spans="1:15">
      <c r="A1922" t="s">
        <v>2020</v>
      </c>
      <c r="B1922" s="3">
        <v>45886</v>
      </c>
      <c r="C1922" t="s">
        <v>82</v>
      </c>
      <c r="D1922" t="s">
        <v>62</v>
      </c>
      <c r="E1922" t="s">
        <v>56</v>
      </c>
      <c r="F1922" t="s">
        <v>57</v>
      </c>
      <c r="G1922" s="6">
        <v>2</v>
      </c>
      <c r="H1922" s="4">
        <v>110.97</v>
      </c>
      <c r="I1922" s="4">
        <v>66.709999999999994</v>
      </c>
      <c r="J1922" s="5">
        <v>0.1</v>
      </c>
      <c r="K1922" s="6">
        <v>1</v>
      </c>
      <c r="L1922" s="6">
        <v>4</v>
      </c>
      <c r="M1922" t="s">
        <v>58</v>
      </c>
      <c r="N1922" t="s">
        <v>69</v>
      </c>
      <c r="O1922" t="s">
        <v>73</v>
      </c>
    </row>
    <row r="1923" spans="1:15">
      <c r="A1923" t="s">
        <v>2021</v>
      </c>
      <c r="B1923" s="3">
        <v>45720</v>
      </c>
      <c r="C1923" t="s">
        <v>82</v>
      </c>
      <c r="D1923" t="s">
        <v>62</v>
      </c>
      <c r="E1923" t="s">
        <v>75</v>
      </c>
      <c r="F1923" t="s">
        <v>76</v>
      </c>
      <c r="G1923" s="6">
        <v>1</v>
      </c>
      <c r="H1923" s="4">
        <v>121.64</v>
      </c>
      <c r="I1923" s="4">
        <v>70.73</v>
      </c>
      <c r="J1923" s="5">
        <v>0.05</v>
      </c>
      <c r="K1923" s="6">
        <v>1</v>
      </c>
      <c r="L1923" s="6">
        <v>4</v>
      </c>
      <c r="M1923" t="s">
        <v>58</v>
      </c>
      <c r="N1923" t="s">
        <v>69</v>
      </c>
      <c r="O1923" t="s">
        <v>73</v>
      </c>
    </row>
    <row r="1924" spans="1:15">
      <c r="A1924" t="s">
        <v>2022</v>
      </c>
      <c r="B1924" s="3">
        <v>45965</v>
      </c>
      <c r="C1924" t="s">
        <v>78</v>
      </c>
      <c r="D1924" t="s">
        <v>55</v>
      </c>
      <c r="E1924" t="s">
        <v>67</v>
      </c>
      <c r="F1924" t="s">
        <v>71</v>
      </c>
      <c r="G1924" s="6">
        <v>2</v>
      </c>
      <c r="H1924" s="4">
        <v>69.41</v>
      </c>
      <c r="I1924" s="4">
        <v>37.74</v>
      </c>
      <c r="J1924" s="5">
        <v>0</v>
      </c>
      <c r="K1924" s="6">
        <v>0</v>
      </c>
      <c r="L1924" s="6">
        <v>4</v>
      </c>
      <c r="M1924" t="s">
        <v>58</v>
      </c>
      <c r="N1924" t="s">
        <v>69</v>
      </c>
      <c r="O1924" t="s">
        <v>64</v>
      </c>
    </row>
    <row r="1925" spans="1:15">
      <c r="A1925" t="s">
        <v>2023</v>
      </c>
      <c r="B1925" s="3">
        <v>45841</v>
      </c>
      <c r="C1925" t="s">
        <v>82</v>
      </c>
      <c r="D1925" t="s">
        <v>62</v>
      </c>
      <c r="E1925" t="s">
        <v>56</v>
      </c>
      <c r="F1925" t="s">
        <v>83</v>
      </c>
      <c r="G1925" s="6">
        <v>1</v>
      </c>
      <c r="H1925" s="4">
        <v>63.81</v>
      </c>
      <c r="I1925" s="4">
        <v>35.39</v>
      </c>
      <c r="J1925" s="5">
        <v>0.05</v>
      </c>
      <c r="K1925" s="6">
        <v>3</v>
      </c>
      <c r="L1925" s="6">
        <v>4</v>
      </c>
      <c r="M1925" t="s">
        <v>58</v>
      </c>
      <c r="N1925" t="s">
        <v>59</v>
      </c>
      <c r="O1925" t="s">
        <v>64</v>
      </c>
    </row>
    <row r="1926" spans="1:15">
      <c r="A1926" t="s">
        <v>2024</v>
      </c>
      <c r="B1926" s="3">
        <v>46017</v>
      </c>
      <c r="C1926" t="s">
        <v>66</v>
      </c>
      <c r="D1926" t="s">
        <v>62</v>
      </c>
      <c r="E1926" t="s">
        <v>75</v>
      </c>
      <c r="F1926" t="s">
        <v>110</v>
      </c>
      <c r="G1926" s="6">
        <v>1</v>
      </c>
      <c r="H1926" s="4">
        <v>161.22999999999999</v>
      </c>
      <c r="I1926" s="4">
        <v>100.83</v>
      </c>
      <c r="J1926" s="5">
        <v>0.15000000000000002</v>
      </c>
      <c r="K1926" s="6">
        <v>4</v>
      </c>
      <c r="L1926" s="6">
        <v>4</v>
      </c>
      <c r="M1926" t="s">
        <v>58</v>
      </c>
      <c r="N1926" t="s">
        <v>59</v>
      </c>
      <c r="O1926" t="s">
        <v>73</v>
      </c>
    </row>
    <row r="1927" spans="1:15">
      <c r="A1927" t="s">
        <v>2025</v>
      </c>
      <c r="B1927" s="3">
        <v>45961</v>
      </c>
      <c r="C1927" t="s">
        <v>82</v>
      </c>
      <c r="D1927" t="s">
        <v>62</v>
      </c>
      <c r="E1927" t="s">
        <v>79</v>
      </c>
      <c r="F1927" t="s">
        <v>85</v>
      </c>
      <c r="G1927" s="6">
        <v>1</v>
      </c>
      <c r="H1927" s="4">
        <v>131.28</v>
      </c>
      <c r="I1927" s="4">
        <v>84.31</v>
      </c>
      <c r="J1927" s="5">
        <v>0</v>
      </c>
      <c r="K1927" s="6">
        <v>2</v>
      </c>
      <c r="L1927" s="6"/>
      <c r="M1927" t="s">
        <v>126</v>
      </c>
      <c r="N1927" t="s">
        <v>59</v>
      </c>
      <c r="O1927" t="s">
        <v>73</v>
      </c>
    </row>
    <row r="1928" spans="1:15">
      <c r="A1928" t="s">
        <v>2026</v>
      </c>
      <c r="B1928" s="3">
        <v>45766</v>
      </c>
      <c r="C1928" t="s">
        <v>66</v>
      </c>
      <c r="D1928" t="s">
        <v>62</v>
      </c>
      <c r="E1928" t="s">
        <v>56</v>
      </c>
      <c r="F1928" t="s">
        <v>57</v>
      </c>
      <c r="G1928" s="6">
        <v>1</v>
      </c>
      <c r="H1928" s="4">
        <v>110.03</v>
      </c>
      <c r="I1928" s="4">
        <v>66.02</v>
      </c>
      <c r="J1928" s="5">
        <v>0.05</v>
      </c>
      <c r="K1928" s="6">
        <v>1</v>
      </c>
      <c r="L1928" s="6">
        <v>5</v>
      </c>
      <c r="M1928" t="s">
        <v>58</v>
      </c>
      <c r="N1928" t="s">
        <v>69</v>
      </c>
      <c r="O1928" t="s">
        <v>64</v>
      </c>
    </row>
    <row r="1929" spans="1:15">
      <c r="A1929" t="s">
        <v>2027</v>
      </c>
      <c r="B1929" s="3">
        <v>45989</v>
      </c>
      <c r="C1929" t="s">
        <v>78</v>
      </c>
      <c r="D1929" t="s">
        <v>62</v>
      </c>
      <c r="E1929" t="s">
        <v>75</v>
      </c>
      <c r="F1929" t="s">
        <v>97</v>
      </c>
      <c r="G1929" s="6">
        <v>2</v>
      </c>
      <c r="H1929" s="4">
        <v>88.07</v>
      </c>
      <c r="I1929" s="4">
        <v>54.96</v>
      </c>
      <c r="J1929" s="5">
        <v>0.05</v>
      </c>
      <c r="K1929" s="6">
        <v>8</v>
      </c>
      <c r="L1929" s="6">
        <v>4</v>
      </c>
      <c r="M1929" t="s">
        <v>58</v>
      </c>
      <c r="N1929" t="s">
        <v>59</v>
      </c>
      <c r="O1929" t="s">
        <v>64</v>
      </c>
    </row>
    <row r="1930" spans="1:15">
      <c r="A1930" t="s">
        <v>2028</v>
      </c>
      <c r="B1930" s="3">
        <v>45858</v>
      </c>
      <c r="C1930" t="s">
        <v>66</v>
      </c>
      <c r="D1930" t="s">
        <v>62</v>
      </c>
      <c r="E1930" t="s">
        <v>75</v>
      </c>
      <c r="F1930" t="s">
        <v>97</v>
      </c>
      <c r="G1930" s="6">
        <v>2</v>
      </c>
      <c r="H1930" s="4">
        <v>87.76</v>
      </c>
      <c r="I1930" s="4">
        <v>56.16</v>
      </c>
      <c r="J1930" s="5">
        <v>0.05</v>
      </c>
      <c r="K1930" s="6">
        <v>4</v>
      </c>
      <c r="L1930" s="6">
        <v>4</v>
      </c>
      <c r="M1930" t="s">
        <v>58</v>
      </c>
      <c r="N1930" t="s">
        <v>69</v>
      </c>
      <c r="O1930" t="s">
        <v>64</v>
      </c>
    </row>
    <row r="1931" spans="1:15">
      <c r="A1931" t="s">
        <v>2029</v>
      </c>
      <c r="B1931" s="3">
        <v>45704</v>
      </c>
      <c r="C1931" t="s">
        <v>82</v>
      </c>
      <c r="D1931" t="s">
        <v>62</v>
      </c>
      <c r="E1931" t="s">
        <v>75</v>
      </c>
      <c r="F1931" t="s">
        <v>97</v>
      </c>
      <c r="G1931" s="6">
        <v>1</v>
      </c>
      <c r="H1931" s="4">
        <v>91.62</v>
      </c>
      <c r="I1931" s="4">
        <v>52.66</v>
      </c>
      <c r="J1931" s="5">
        <v>0.1</v>
      </c>
      <c r="K1931" s="6">
        <v>6</v>
      </c>
      <c r="L1931" s="6">
        <v>4</v>
      </c>
      <c r="M1931" t="s">
        <v>58</v>
      </c>
      <c r="N1931" t="s">
        <v>59</v>
      </c>
      <c r="O1931" t="s">
        <v>64</v>
      </c>
    </row>
    <row r="1932" spans="1:15">
      <c r="A1932" t="s">
        <v>2030</v>
      </c>
      <c r="B1932" s="3">
        <v>45842</v>
      </c>
      <c r="C1932" t="s">
        <v>66</v>
      </c>
      <c r="D1932" t="s">
        <v>129</v>
      </c>
      <c r="E1932" t="s">
        <v>56</v>
      </c>
      <c r="F1932" t="s">
        <v>57</v>
      </c>
      <c r="G1932" s="6">
        <v>4</v>
      </c>
      <c r="H1932" s="4">
        <v>107.96</v>
      </c>
      <c r="I1932" s="4">
        <v>68.209999999999994</v>
      </c>
      <c r="J1932" s="5">
        <v>0.05</v>
      </c>
      <c r="K1932" s="6">
        <v>9</v>
      </c>
      <c r="L1932" s="6">
        <v>3</v>
      </c>
      <c r="M1932" t="s">
        <v>58</v>
      </c>
      <c r="N1932" t="s">
        <v>59</v>
      </c>
      <c r="O1932" t="s">
        <v>64</v>
      </c>
    </row>
    <row r="1933" spans="1:15">
      <c r="A1933" t="s">
        <v>2031</v>
      </c>
      <c r="B1933" s="3">
        <v>46020</v>
      </c>
      <c r="C1933" t="s">
        <v>66</v>
      </c>
      <c r="D1933" t="s">
        <v>62</v>
      </c>
      <c r="E1933" t="s">
        <v>79</v>
      </c>
      <c r="F1933" t="s">
        <v>85</v>
      </c>
      <c r="G1933" s="6">
        <v>1</v>
      </c>
      <c r="H1933" s="4">
        <v>134.41999999999999</v>
      </c>
      <c r="I1933" s="4">
        <v>87.27</v>
      </c>
      <c r="J1933" s="5">
        <v>0.15000000000000002</v>
      </c>
      <c r="K1933" s="6">
        <v>3</v>
      </c>
      <c r="L1933" s="6">
        <v>4</v>
      </c>
      <c r="M1933" t="s">
        <v>58</v>
      </c>
      <c r="N1933" t="s">
        <v>59</v>
      </c>
      <c r="O1933" t="s">
        <v>73</v>
      </c>
    </row>
    <row r="1934" spans="1:15">
      <c r="A1934" t="s">
        <v>2032</v>
      </c>
      <c r="B1934" s="3">
        <v>45824</v>
      </c>
      <c r="C1934" t="s">
        <v>54</v>
      </c>
      <c r="D1934" t="s">
        <v>62</v>
      </c>
      <c r="E1934" t="s">
        <v>67</v>
      </c>
      <c r="F1934" t="s">
        <v>71</v>
      </c>
      <c r="G1934" s="6">
        <v>4</v>
      </c>
      <c r="H1934" s="4">
        <v>68.36</v>
      </c>
      <c r="I1934" s="4">
        <v>38.340000000000003</v>
      </c>
      <c r="J1934" s="5">
        <v>0</v>
      </c>
      <c r="K1934" s="6">
        <v>2</v>
      </c>
      <c r="L1934" s="6">
        <v>4</v>
      </c>
      <c r="M1934" t="s">
        <v>58</v>
      </c>
      <c r="N1934" t="s">
        <v>59</v>
      </c>
      <c r="O1934" t="s">
        <v>73</v>
      </c>
    </row>
    <row r="1935" spans="1:15">
      <c r="A1935" t="s">
        <v>2033</v>
      </c>
      <c r="B1935" s="3" t="s">
        <v>2034</v>
      </c>
      <c r="C1935" t="s">
        <v>54</v>
      </c>
      <c r="D1935" t="s">
        <v>129</v>
      </c>
      <c r="E1935" t="s">
        <v>75</v>
      </c>
      <c r="F1935" t="s">
        <v>110</v>
      </c>
      <c r="G1935" s="6">
        <v>10</v>
      </c>
      <c r="H1935" s="4">
        <v>158.30000000000001</v>
      </c>
      <c r="I1935" s="4">
        <v>105.94</v>
      </c>
      <c r="J1935" s="5">
        <v>0.05</v>
      </c>
      <c r="K1935" s="6">
        <v>5</v>
      </c>
      <c r="L1935" s="6">
        <v>4</v>
      </c>
      <c r="M1935" t="s">
        <v>58</v>
      </c>
      <c r="N1935" t="s">
        <v>59</v>
      </c>
      <c r="O1935" t="s">
        <v>64</v>
      </c>
    </row>
    <row r="1936" spans="1:15">
      <c r="A1936" t="s">
        <v>2035</v>
      </c>
      <c r="B1936" s="3">
        <v>46013</v>
      </c>
      <c r="C1936" t="s">
        <v>66</v>
      </c>
      <c r="D1936" t="s">
        <v>62</v>
      </c>
      <c r="E1936" t="s">
        <v>79</v>
      </c>
      <c r="F1936" t="s">
        <v>115</v>
      </c>
      <c r="G1936" s="6">
        <v>1</v>
      </c>
      <c r="H1936" s="4">
        <v>61.61</v>
      </c>
      <c r="I1936" s="4">
        <v>33.57</v>
      </c>
      <c r="J1936" s="5">
        <v>0.1</v>
      </c>
      <c r="K1936" s="6">
        <v>3</v>
      </c>
      <c r="L1936" s="6">
        <v>3</v>
      </c>
      <c r="M1936" t="s">
        <v>126</v>
      </c>
      <c r="N1936" t="s">
        <v>69</v>
      </c>
      <c r="O1936" t="s">
        <v>64</v>
      </c>
    </row>
    <row r="1937" spans="1:15">
      <c r="A1937" t="s">
        <v>2036</v>
      </c>
      <c r="B1937" s="3">
        <v>45782</v>
      </c>
      <c r="C1937" t="s">
        <v>82</v>
      </c>
      <c r="D1937" t="s">
        <v>62</v>
      </c>
      <c r="E1937" t="s">
        <v>56</v>
      </c>
      <c r="F1937" t="s">
        <v>63</v>
      </c>
      <c r="G1937" s="6">
        <v>1</v>
      </c>
      <c r="H1937" s="4">
        <v>41.56</v>
      </c>
      <c r="I1937" s="4">
        <v>19.87</v>
      </c>
      <c r="J1937" s="5">
        <v>0</v>
      </c>
      <c r="K1937" s="6">
        <v>2</v>
      </c>
      <c r="L1937" s="6">
        <v>4</v>
      </c>
      <c r="M1937" t="s">
        <v>58</v>
      </c>
      <c r="N1937" t="s">
        <v>59</v>
      </c>
      <c r="O1937" t="s">
        <v>60</v>
      </c>
    </row>
    <row r="1938" spans="1:15">
      <c r="A1938" t="s">
        <v>2037</v>
      </c>
      <c r="B1938" s="3">
        <v>45829</v>
      </c>
      <c r="C1938" t="s">
        <v>78</v>
      </c>
      <c r="D1938" t="s">
        <v>62</v>
      </c>
      <c r="E1938" t="s">
        <v>56</v>
      </c>
      <c r="F1938" t="s">
        <v>89</v>
      </c>
      <c r="G1938" s="6">
        <v>1</v>
      </c>
      <c r="H1938" s="4">
        <v>78.849999999999994</v>
      </c>
      <c r="I1938" s="4">
        <v>44.63</v>
      </c>
      <c r="J1938" s="5">
        <v>0</v>
      </c>
      <c r="K1938" s="6">
        <v>1</v>
      </c>
      <c r="L1938" s="6">
        <v>4</v>
      </c>
      <c r="M1938" t="s">
        <v>58</v>
      </c>
      <c r="N1938" t="s">
        <v>69</v>
      </c>
      <c r="O1938" t="s">
        <v>60</v>
      </c>
    </row>
    <row r="1939" spans="1:15">
      <c r="A1939" t="s">
        <v>2038</v>
      </c>
      <c r="B1939" s="3">
        <v>46010</v>
      </c>
      <c r="C1939" t="s">
        <v>82</v>
      </c>
      <c r="D1939" t="s">
        <v>62</v>
      </c>
      <c r="E1939" t="s">
        <v>79</v>
      </c>
      <c r="F1939" t="s">
        <v>80</v>
      </c>
      <c r="G1939" s="6">
        <v>3</v>
      </c>
      <c r="H1939" s="4">
        <v>77.39</v>
      </c>
      <c r="I1939" s="4">
        <v>44.36</v>
      </c>
      <c r="J1939" s="5">
        <v>0.15000000000000002</v>
      </c>
      <c r="K1939" s="6">
        <v>1</v>
      </c>
      <c r="L1939" s="6">
        <v>5</v>
      </c>
      <c r="M1939" t="s">
        <v>58</v>
      </c>
      <c r="N1939" t="s">
        <v>69</v>
      </c>
      <c r="O1939" t="s">
        <v>64</v>
      </c>
    </row>
    <row r="1940" spans="1:15">
      <c r="A1940" t="s">
        <v>2039</v>
      </c>
      <c r="B1940" s="3">
        <v>46005</v>
      </c>
      <c r="C1940" t="s">
        <v>82</v>
      </c>
      <c r="D1940" t="s">
        <v>62</v>
      </c>
      <c r="E1940" t="s">
        <v>67</v>
      </c>
      <c r="F1940" t="s">
        <v>68</v>
      </c>
      <c r="G1940" s="6">
        <v>2</v>
      </c>
      <c r="H1940" s="4">
        <v>41.56</v>
      </c>
      <c r="I1940" s="4">
        <v>19.57</v>
      </c>
      <c r="J1940" s="5">
        <v>0.1</v>
      </c>
      <c r="K1940" s="6">
        <v>0</v>
      </c>
      <c r="L1940" s="6">
        <v>4</v>
      </c>
      <c r="M1940" t="s">
        <v>58</v>
      </c>
      <c r="N1940" t="s">
        <v>69</v>
      </c>
      <c r="O1940" t="s">
        <v>64</v>
      </c>
    </row>
    <row r="1941" spans="1:15">
      <c r="A1941" t="s">
        <v>2040</v>
      </c>
      <c r="B1941" s="3">
        <v>45792</v>
      </c>
      <c r="C1941" t="s">
        <v>78</v>
      </c>
      <c r="D1941" t="s">
        <v>62</v>
      </c>
      <c r="E1941" t="s">
        <v>75</v>
      </c>
      <c r="F1941" t="s">
        <v>97</v>
      </c>
      <c r="G1941" s="6">
        <v>3</v>
      </c>
      <c r="H1941" s="4">
        <v>90.53</v>
      </c>
      <c r="I1941" s="4">
        <v>52.95</v>
      </c>
      <c r="J1941" s="5">
        <v>0.1</v>
      </c>
      <c r="K1941" s="6">
        <v>3</v>
      </c>
      <c r="L1941" s="6">
        <v>4</v>
      </c>
      <c r="M1941" t="s">
        <v>58</v>
      </c>
      <c r="N1941" t="s">
        <v>59</v>
      </c>
      <c r="O1941" t="s">
        <v>64</v>
      </c>
    </row>
    <row r="1942" spans="1:15">
      <c r="A1942" t="s">
        <v>2041</v>
      </c>
      <c r="B1942" s="3">
        <v>45673</v>
      </c>
      <c r="C1942" t="s">
        <v>78</v>
      </c>
      <c r="D1942" t="s">
        <v>62</v>
      </c>
      <c r="E1942" t="s">
        <v>75</v>
      </c>
      <c r="F1942" t="s">
        <v>97</v>
      </c>
      <c r="G1942" s="6">
        <v>1</v>
      </c>
      <c r="H1942" s="4">
        <v>90.13</v>
      </c>
      <c r="I1942" s="4">
        <v>53</v>
      </c>
      <c r="J1942" s="5">
        <v>0.1</v>
      </c>
      <c r="K1942" s="6">
        <v>8</v>
      </c>
      <c r="L1942" s="6"/>
      <c r="M1942" t="s">
        <v>58</v>
      </c>
      <c r="N1942" t="s">
        <v>59</v>
      </c>
      <c r="O1942" t="s">
        <v>64</v>
      </c>
    </row>
    <row r="1943" spans="1:15">
      <c r="A1943" t="s">
        <v>2042</v>
      </c>
      <c r="B1943" s="3">
        <v>46016</v>
      </c>
      <c r="C1943" t="s">
        <v>66</v>
      </c>
      <c r="D1943" t="s">
        <v>62</v>
      </c>
      <c r="E1943" t="s">
        <v>67</v>
      </c>
      <c r="F1943" t="s">
        <v>68</v>
      </c>
      <c r="G1943" s="6">
        <v>1</v>
      </c>
      <c r="H1943" s="4">
        <v>38.880000000000003</v>
      </c>
      <c r="I1943" s="4">
        <v>18.79</v>
      </c>
      <c r="J1943" s="5">
        <v>0.2</v>
      </c>
      <c r="K1943" s="6">
        <v>0</v>
      </c>
      <c r="L1943" s="6">
        <v>5</v>
      </c>
      <c r="M1943" t="s">
        <v>58</v>
      </c>
      <c r="N1943" t="s">
        <v>69</v>
      </c>
      <c r="O1943" t="s">
        <v>64</v>
      </c>
    </row>
    <row r="1944" spans="1:15">
      <c r="A1944" t="s">
        <v>2043</v>
      </c>
      <c r="B1944" s="3">
        <v>45795</v>
      </c>
      <c r="C1944" t="s">
        <v>66</v>
      </c>
      <c r="D1944" t="s">
        <v>62</v>
      </c>
      <c r="E1944" t="s">
        <v>56</v>
      </c>
      <c r="F1944" t="s">
        <v>89</v>
      </c>
      <c r="G1944" s="6">
        <v>1</v>
      </c>
      <c r="H1944" s="4">
        <v>77.81</v>
      </c>
      <c r="I1944" s="4">
        <v>47.22</v>
      </c>
      <c r="J1944" s="5">
        <v>0</v>
      </c>
      <c r="K1944" s="6">
        <v>4</v>
      </c>
      <c r="L1944" s="6">
        <v>4</v>
      </c>
      <c r="M1944" t="s">
        <v>58</v>
      </c>
      <c r="N1944" t="s">
        <v>69</v>
      </c>
      <c r="O1944" t="s">
        <v>73</v>
      </c>
    </row>
    <row r="1945" spans="1:15">
      <c r="A1945" t="s">
        <v>2044</v>
      </c>
      <c r="B1945" s="3">
        <v>45867</v>
      </c>
      <c r="C1945" t="s">
        <v>78</v>
      </c>
      <c r="D1945" t="s">
        <v>62</v>
      </c>
      <c r="E1945" t="s">
        <v>56</v>
      </c>
      <c r="F1945" t="s">
        <v>89</v>
      </c>
      <c r="G1945" s="6">
        <v>1</v>
      </c>
      <c r="H1945" s="4">
        <v>78.56</v>
      </c>
      <c r="I1945" s="4">
        <v>45.71</v>
      </c>
      <c r="J1945" s="5">
        <v>0</v>
      </c>
      <c r="K1945" s="6">
        <v>4</v>
      </c>
      <c r="L1945" s="6">
        <v>4</v>
      </c>
      <c r="M1945" t="s">
        <v>58</v>
      </c>
      <c r="N1945" t="s">
        <v>59</v>
      </c>
      <c r="O1945" t="s">
        <v>64</v>
      </c>
    </row>
    <row r="1946" spans="1:15">
      <c r="A1946" t="s">
        <v>2045</v>
      </c>
      <c r="B1946" s="3">
        <v>45989</v>
      </c>
      <c r="C1946" t="s">
        <v>66</v>
      </c>
      <c r="D1946" t="s">
        <v>62</v>
      </c>
      <c r="E1946" t="s">
        <v>67</v>
      </c>
      <c r="F1946" t="s">
        <v>68</v>
      </c>
      <c r="G1946" s="6">
        <v>1</v>
      </c>
      <c r="H1946" s="4">
        <v>41.42</v>
      </c>
      <c r="I1946" s="4">
        <v>19.04</v>
      </c>
      <c r="J1946" s="5">
        <v>0.25</v>
      </c>
      <c r="K1946" s="6">
        <v>2</v>
      </c>
      <c r="L1946" s="6">
        <v>5</v>
      </c>
      <c r="M1946" t="s">
        <v>58</v>
      </c>
      <c r="N1946" t="s">
        <v>59</v>
      </c>
      <c r="O1946" t="s">
        <v>64</v>
      </c>
    </row>
    <row r="1947" spans="1:15">
      <c r="A1947" t="s">
        <v>2046</v>
      </c>
      <c r="B1947" s="3">
        <v>45834</v>
      </c>
      <c r="C1947" t="s">
        <v>66</v>
      </c>
      <c r="D1947" t="s">
        <v>62</v>
      </c>
      <c r="E1947" t="s">
        <v>56</v>
      </c>
      <c r="F1947" t="s">
        <v>57</v>
      </c>
      <c r="G1947" s="6">
        <v>1</v>
      </c>
      <c r="H1947" s="4">
        <v>114.25</v>
      </c>
      <c r="I1947" s="4">
        <v>67.540000000000006</v>
      </c>
      <c r="J1947" s="5">
        <v>0.1</v>
      </c>
      <c r="K1947" s="6">
        <v>2</v>
      </c>
      <c r="L1947" s="6">
        <v>4</v>
      </c>
      <c r="M1947" t="s">
        <v>58</v>
      </c>
      <c r="N1947" t="s">
        <v>59</v>
      </c>
      <c r="O1947" t="s">
        <v>60</v>
      </c>
    </row>
    <row r="1948" spans="1:15">
      <c r="A1948" t="s">
        <v>2047</v>
      </c>
      <c r="B1948" s="3">
        <v>45957</v>
      </c>
      <c r="C1948" t="s">
        <v>82</v>
      </c>
      <c r="D1948" t="s">
        <v>62</v>
      </c>
      <c r="E1948" t="s">
        <v>79</v>
      </c>
      <c r="F1948" t="s">
        <v>80</v>
      </c>
      <c r="G1948" s="6">
        <v>1</v>
      </c>
      <c r="H1948" s="4">
        <v>76.67</v>
      </c>
      <c r="I1948" s="4">
        <v>43.41</v>
      </c>
      <c r="J1948" s="5">
        <v>0</v>
      </c>
      <c r="K1948" s="6">
        <v>2</v>
      </c>
      <c r="L1948" s="6">
        <v>4</v>
      </c>
      <c r="M1948" t="s">
        <v>58</v>
      </c>
      <c r="N1948" t="s">
        <v>59</v>
      </c>
      <c r="O1948" t="s">
        <v>60</v>
      </c>
    </row>
    <row r="1949" spans="1:15">
      <c r="A1949" t="s">
        <v>2048</v>
      </c>
      <c r="B1949" s="3">
        <v>45771</v>
      </c>
      <c r="C1949" t="s">
        <v>78</v>
      </c>
      <c r="D1949" t="s">
        <v>62</v>
      </c>
      <c r="E1949" t="s">
        <v>79</v>
      </c>
      <c r="F1949" t="s">
        <v>80</v>
      </c>
      <c r="G1949" s="6">
        <v>2</v>
      </c>
      <c r="H1949" s="4">
        <v>75.23</v>
      </c>
      <c r="I1949" s="4">
        <v>41.84</v>
      </c>
      <c r="J1949" s="5">
        <v>0</v>
      </c>
      <c r="K1949" s="6">
        <v>3</v>
      </c>
      <c r="L1949" s="6">
        <v>4</v>
      </c>
      <c r="M1949" t="s">
        <v>58</v>
      </c>
      <c r="N1949" t="s">
        <v>87</v>
      </c>
      <c r="O1949" t="s">
        <v>60</v>
      </c>
    </row>
    <row r="1950" spans="1:15">
      <c r="A1950" t="s">
        <v>2049</v>
      </c>
      <c r="B1950" s="3">
        <v>46016</v>
      </c>
      <c r="C1950" t="s">
        <v>78</v>
      </c>
      <c r="D1950" t="s">
        <v>62</v>
      </c>
      <c r="E1950" t="s">
        <v>79</v>
      </c>
      <c r="F1950" t="s">
        <v>115</v>
      </c>
      <c r="G1950" s="6">
        <v>1</v>
      </c>
      <c r="H1950" s="4">
        <v>59.57</v>
      </c>
      <c r="I1950" s="4">
        <v>35.229999999999997</v>
      </c>
      <c r="J1950" s="5">
        <v>0.1</v>
      </c>
      <c r="K1950" s="6">
        <v>2</v>
      </c>
      <c r="L1950" s="6">
        <v>3</v>
      </c>
      <c r="M1950" t="s">
        <v>126</v>
      </c>
      <c r="N1950" t="s">
        <v>87</v>
      </c>
      <c r="O1950" t="s">
        <v>64</v>
      </c>
    </row>
    <row r="1951" spans="1:15">
      <c r="A1951" t="s">
        <v>2050</v>
      </c>
      <c r="B1951" s="3">
        <v>45935</v>
      </c>
      <c r="C1951" t="s">
        <v>66</v>
      </c>
      <c r="D1951" t="s">
        <v>62</v>
      </c>
      <c r="E1951" t="s">
        <v>75</v>
      </c>
      <c r="F1951" t="s">
        <v>97</v>
      </c>
      <c r="G1951" s="6">
        <v>1</v>
      </c>
      <c r="H1951" s="4">
        <v>91.71</v>
      </c>
      <c r="I1951" s="4">
        <v>55.59</v>
      </c>
      <c r="J1951" s="5">
        <v>0.1</v>
      </c>
      <c r="K1951" s="6">
        <v>2</v>
      </c>
      <c r="L1951" s="6">
        <v>5</v>
      </c>
      <c r="M1951" t="s">
        <v>58</v>
      </c>
      <c r="N1951" t="s">
        <v>69</v>
      </c>
      <c r="O1951" t="s">
        <v>64</v>
      </c>
    </row>
    <row r="1952" spans="1:15">
      <c r="A1952" t="s">
        <v>2051</v>
      </c>
      <c r="B1952" s="3">
        <v>45922</v>
      </c>
      <c r="C1952" t="s">
        <v>66</v>
      </c>
      <c r="D1952" t="s">
        <v>62</v>
      </c>
      <c r="E1952" t="s">
        <v>56</v>
      </c>
      <c r="F1952" t="s">
        <v>63</v>
      </c>
      <c r="G1952" s="6">
        <v>3</v>
      </c>
      <c r="H1952" s="4">
        <v>39.880000000000003</v>
      </c>
      <c r="I1952" s="4">
        <v>19.63</v>
      </c>
      <c r="J1952" s="5">
        <v>0.05</v>
      </c>
      <c r="K1952" s="6">
        <v>4</v>
      </c>
      <c r="L1952" s="6">
        <v>4</v>
      </c>
      <c r="M1952" t="s">
        <v>58</v>
      </c>
      <c r="N1952" t="s">
        <v>69</v>
      </c>
      <c r="O1952" t="s">
        <v>64</v>
      </c>
    </row>
    <row r="1953" spans="1:15">
      <c r="A1953" t="s">
        <v>2052</v>
      </c>
      <c r="B1953" s="3">
        <v>45968</v>
      </c>
      <c r="C1953" t="s">
        <v>66</v>
      </c>
      <c r="D1953" t="s">
        <v>62</v>
      </c>
      <c r="E1953" t="s">
        <v>56</v>
      </c>
      <c r="F1953" t="s">
        <v>89</v>
      </c>
      <c r="G1953" s="6">
        <v>1</v>
      </c>
      <c r="H1953" s="4">
        <v>81.459999999999994</v>
      </c>
      <c r="I1953" s="4">
        <v>43.66</v>
      </c>
      <c r="J1953" s="5">
        <v>0.2</v>
      </c>
      <c r="K1953" s="6">
        <v>0</v>
      </c>
      <c r="L1953" s="6">
        <v>5</v>
      </c>
      <c r="M1953" t="s">
        <v>58</v>
      </c>
      <c r="N1953" t="s">
        <v>69</v>
      </c>
      <c r="O1953" t="s">
        <v>64</v>
      </c>
    </row>
    <row r="1954" spans="1:15">
      <c r="A1954" t="s">
        <v>2053</v>
      </c>
      <c r="B1954" s="3">
        <v>45837</v>
      </c>
      <c r="C1954" t="s">
        <v>82</v>
      </c>
      <c r="D1954" t="s">
        <v>62</v>
      </c>
      <c r="E1954" t="s">
        <v>67</v>
      </c>
      <c r="F1954" t="s">
        <v>68</v>
      </c>
      <c r="G1954" s="6">
        <v>2</v>
      </c>
      <c r="H1954" s="4">
        <v>41.57</v>
      </c>
      <c r="I1954" s="4">
        <v>19.440000000000001</v>
      </c>
      <c r="J1954" s="5">
        <v>0</v>
      </c>
      <c r="K1954" s="6">
        <v>0</v>
      </c>
      <c r="L1954" s="6">
        <v>4</v>
      </c>
      <c r="M1954" t="s">
        <v>58</v>
      </c>
      <c r="N1954" t="s">
        <v>69</v>
      </c>
      <c r="O1954" t="s">
        <v>64</v>
      </c>
    </row>
    <row r="1955" spans="1:15">
      <c r="A1955" t="s">
        <v>2054</v>
      </c>
      <c r="B1955" s="3">
        <v>45819</v>
      </c>
      <c r="C1955" t="s">
        <v>82</v>
      </c>
      <c r="D1955" t="s">
        <v>129</v>
      </c>
      <c r="E1955" t="s">
        <v>75</v>
      </c>
      <c r="F1955" t="s">
        <v>76</v>
      </c>
      <c r="G1955" s="6">
        <v>3</v>
      </c>
      <c r="H1955" s="4">
        <v>118.27</v>
      </c>
      <c r="I1955" s="4">
        <v>72.92</v>
      </c>
      <c r="J1955" s="5">
        <v>0.1</v>
      </c>
      <c r="K1955" s="6">
        <v>5</v>
      </c>
      <c r="L1955" s="6">
        <v>4</v>
      </c>
      <c r="M1955" t="s">
        <v>58</v>
      </c>
      <c r="N1955" t="s">
        <v>59</v>
      </c>
      <c r="O1955" t="s">
        <v>64</v>
      </c>
    </row>
    <row r="1956" spans="1:15">
      <c r="A1956" t="s">
        <v>2055</v>
      </c>
      <c r="B1956" s="3">
        <v>45676</v>
      </c>
      <c r="C1956" t="s">
        <v>82</v>
      </c>
      <c r="D1956" t="s">
        <v>55</v>
      </c>
      <c r="E1956" t="s">
        <v>79</v>
      </c>
      <c r="F1956" t="s">
        <v>92</v>
      </c>
      <c r="G1956" s="6">
        <v>5</v>
      </c>
      <c r="H1956" s="4">
        <v>50.69</v>
      </c>
      <c r="I1956" s="4">
        <v>26.13</v>
      </c>
      <c r="J1956" s="5">
        <v>0.05</v>
      </c>
      <c r="K1956" s="6">
        <v>4</v>
      </c>
      <c r="L1956" s="6">
        <v>4</v>
      </c>
      <c r="M1956" t="s">
        <v>58</v>
      </c>
      <c r="N1956" t="s">
        <v>59</v>
      </c>
      <c r="O1956" t="s">
        <v>73</v>
      </c>
    </row>
    <row r="1957" spans="1:15">
      <c r="A1957" t="s">
        <v>2056</v>
      </c>
      <c r="B1957" s="3">
        <v>45683</v>
      </c>
      <c r="C1957" t="s">
        <v>54</v>
      </c>
      <c r="D1957" t="s">
        <v>129</v>
      </c>
      <c r="E1957" t="s">
        <v>79</v>
      </c>
      <c r="F1957" t="s">
        <v>80</v>
      </c>
      <c r="G1957" s="6">
        <v>4</v>
      </c>
      <c r="H1957" s="4">
        <v>74.819999999999993</v>
      </c>
      <c r="I1957" s="4">
        <v>42.39</v>
      </c>
      <c r="J1957" s="5">
        <v>0.05</v>
      </c>
      <c r="K1957" s="6">
        <v>5</v>
      </c>
      <c r="L1957" s="6">
        <v>4</v>
      </c>
      <c r="M1957" t="s">
        <v>58</v>
      </c>
      <c r="N1957" t="s">
        <v>59</v>
      </c>
      <c r="O1957" t="s">
        <v>64</v>
      </c>
    </row>
    <row r="1958" spans="1:15">
      <c r="A1958" t="s">
        <v>2057</v>
      </c>
      <c r="B1958" s="3">
        <v>45746</v>
      </c>
      <c r="C1958" t="s">
        <v>54</v>
      </c>
      <c r="D1958" t="s">
        <v>62</v>
      </c>
      <c r="E1958" t="s">
        <v>56</v>
      </c>
      <c r="F1958" t="s">
        <v>63</v>
      </c>
      <c r="G1958" s="6">
        <v>3</v>
      </c>
      <c r="H1958" s="4">
        <v>39.65</v>
      </c>
      <c r="I1958" s="4">
        <v>19.98</v>
      </c>
      <c r="J1958" s="5">
        <v>0</v>
      </c>
      <c r="K1958" s="6">
        <v>2</v>
      </c>
      <c r="L1958" s="6"/>
      <c r="M1958" t="s">
        <v>58</v>
      </c>
      <c r="N1958" t="s">
        <v>69</v>
      </c>
      <c r="O1958" t="s">
        <v>64</v>
      </c>
    </row>
    <row r="1959" spans="1:15">
      <c r="A1959" t="s">
        <v>2058</v>
      </c>
      <c r="B1959" s="3">
        <v>45984</v>
      </c>
      <c r="C1959" t="s">
        <v>54</v>
      </c>
      <c r="D1959" t="s">
        <v>55</v>
      </c>
      <c r="E1959" t="s">
        <v>56</v>
      </c>
      <c r="F1959" t="s">
        <v>57</v>
      </c>
      <c r="G1959" s="6">
        <v>3</v>
      </c>
      <c r="H1959" s="4">
        <v>107</v>
      </c>
      <c r="I1959" s="4">
        <v>68.819999999999993</v>
      </c>
      <c r="J1959" s="5">
        <v>0.15000000000000002</v>
      </c>
      <c r="K1959" s="6">
        <v>2</v>
      </c>
      <c r="L1959" s="6">
        <v>5</v>
      </c>
      <c r="M1959" t="s">
        <v>58</v>
      </c>
      <c r="N1959" t="s">
        <v>59</v>
      </c>
      <c r="O1959" t="s">
        <v>73</v>
      </c>
    </row>
    <row r="1960" spans="1:15">
      <c r="A1960" t="s">
        <v>2059</v>
      </c>
      <c r="B1960" s="3">
        <v>45905</v>
      </c>
      <c r="C1960" t="s">
        <v>82</v>
      </c>
      <c r="D1960" t="s">
        <v>62</v>
      </c>
      <c r="E1960" t="s">
        <v>56</v>
      </c>
      <c r="F1960" t="s">
        <v>57</v>
      </c>
      <c r="G1960" s="6">
        <v>2</v>
      </c>
      <c r="H1960" s="4">
        <v>113.61</v>
      </c>
      <c r="I1960" s="4">
        <v>69.44</v>
      </c>
      <c r="J1960" s="5">
        <v>0.1</v>
      </c>
      <c r="K1960" s="6">
        <v>3</v>
      </c>
      <c r="L1960" s="6">
        <v>4</v>
      </c>
      <c r="M1960" t="s">
        <v>58</v>
      </c>
      <c r="N1960" t="s">
        <v>87</v>
      </c>
      <c r="O1960" t="s">
        <v>64</v>
      </c>
    </row>
    <row r="1961" spans="1:15">
      <c r="A1961" t="s">
        <v>2060</v>
      </c>
      <c r="B1961" s="3">
        <v>45907</v>
      </c>
      <c r="C1961" t="s">
        <v>82</v>
      </c>
      <c r="D1961" t="s">
        <v>62</v>
      </c>
      <c r="E1961" t="s">
        <v>67</v>
      </c>
      <c r="F1961" t="s">
        <v>71</v>
      </c>
      <c r="G1961" s="6">
        <v>3</v>
      </c>
      <c r="H1961" s="4">
        <v>69.87</v>
      </c>
      <c r="I1961" s="4">
        <v>37.92</v>
      </c>
      <c r="J1961" s="5">
        <v>0.05</v>
      </c>
      <c r="K1961" s="6">
        <v>3</v>
      </c>
      <c r="L1961" s="6">
        <v>5</v>
      </c>
      <c r="M1961" t="s">
        <v>58</v>
      </c>
      <c r="N1961" t="s">
        <v>59</v>
      </c>
      <c r="O1961" t="s">
        <v>60</v>
      </c>
    </row>
    <row r="1962" spans="1:15">
      <c r="A1962" t="s">
        <v>2061</v>
      </c>
      <c r="B1962" s="3">
        <v>45926</v>
      </c>
      <c r="C1962" t="s">
        <v>78</v>
      </c>
      <c r="D1962" t="s">
        <v>62</v>
      </c>
      <c r="E1962" t="s">
        <v>56</v>
      </c>
      <c r="F1962" t="s">
        <v>89</v>
      </c>
      <c r="G1962" s="6">
        <v>1</v>
      </c>
      <c r="H1962" s="4">
        <v>81.33</v>
      </c>
      <c r="I1962" s="4">
        <v>43.75</v>
      </c>
      <c r="J1962" s="5">
        <v>0.1</v>
      </c>
      <c r="K1962" s="6">
        <v>0</v>
      </c>
      <c r="L1962" s="6">
        <v>5</v>
      </c>
      <c r="M1962" t="s">
        <v>58</v>
      </c>
      <c r="N1962" t="s">
        <v>69</v>
      </c>
      <c r="O1962" t="s">
        <v>64</v>
      </c>
    </row>
    <row r="1963" spans="1:15">
      <c r="A1963" t="s">
        <v>2062</v>
      </c>
      <c r="B1963" s="3">
        <v>45702</v>
      </c>
      <c r="C1963" t="s">
        <v>78</v>
      </c>
      <c r="D1963" t="s">
        <v>62</v>
      </c>
      <c r="E1963" t="s">
        <v>56</v>
      </c>
      <c r="F1963" t="s">
        <v>89</v>
      </c>
      <c r="G1963" s="6">
        <v>1</v>
      </c>
      <c r="H1963" s="4">
        <v>81.05</v>
      </c>
      <c r="I1963" s="4">
        <v>44.72</v>
      </c>
      <c r="J1963" s="5">
        <v>0.1</v>
      </c>
      <c r="K1963" s="6">
        <v>1</v>
      </c>
      <c r="L1963" s="6">
        <v>4</v>
      </c>
      <c r="M1963" t="s">
        <v>58</v>
      </c>
      <c r="N1963" t="s">
        <v>69</v>
      </c>
      <c r="O1963" t="s">
        <v>64</v>
      </c>
    </row>
    <row r="1964" spans="1:15">
      <c r="A1964" t="s">
        <v>2063</v>
      </c>
      <c r="B1964" s="3">
        <v>45985</v>
      </c>
      <c r="C1964" t="s">
        <v>82</v>
      </c>
      <c r="D1964" t="s">
        <v>55</v>
      </c>
      <c r="E1964" t="s">
        <v>79</v>
      </c>
      <c r="F1964" t="s">
        <v>92</v>
      </c>
      <c r="G1964" s="6">
        <v>5</v>
      </c>
      <c r="H1964" s="4">
        <v>51.19</v>
      </c>
      <c r="I1964" s="4">
        <v>27.2</v>
      </c>
      <c r="J1964" s="5">
        <v>0.1</v>
      </c>
      <c r="K1964" s="6">
        <v>0</v>
      </c>
      <c r="L1964" s="6">
        <v>4</v>
      </c>
      <c r="M1964" t="s">
        <v>58</v>
      </c>
      <c r="N1964" t="s">
        <v>69</v>
      </c>
      <c r="O1964" t="s">
        <v>64</v>
      </c>
    </row>
    <row r="1965" spans="1:15">
      <c r="A1965" t="s">
        <v>2064</v>
      </c>
      <c r="B1965" s="3">
        <v>45801</v>
      </c>
      <c r="C1965" t="s">
        <v>78</v>
      </c>
      <c r="D1965" t="s">
        <v>55</v>
      </c>
      <c r="E1965" t="s">
        <v>79</v>
      </c>
      <c r="F1965" t="s">
        <v>115</v>
      </c>
      <c r="G1965" s="6">
        <v>2</v>
      </c>
      <c r="H1965" s="4">
        <v>59.49</v>
      </c>
      <c r="I1965" s="4">
        <v>34.159999999999997</v>
      </c>
      <c r="J1965" s="5">
        <v>0</v>
      </c>
      <c r="K1965" s="6">
        <v>7</v>
      </c>
      <c r="L1965" s="6">
        <v>4</v>
      </c>
      <c r="M1965" t="s">
        <v>58</v>
      </c>
      <c r="N1965" t="s">
        <v>59</v>
      </c>
      <c r="O1965" t="s">
        <v>64</v>
      </c>
    </row>
    <row r="1966" spans="1:15">
      <c r="A1966" t="s">
        <v>2065</v>
      </c>
      <c r="B1966" s="3">
        <v>45824</v>
      </c>
      <c r="C1966" t="s">
        <v>78</v>
      </c>
      <c r="D1966" t="s">
        <v>62</v>
      </c>
      <c r="E1966" t="s">
        <v>75</v>
      </c>
      <c r="F1966" t="s">
        <v>110</v>
      </c>
      <c r="G1966" s="6">
        <v>2</v>
      </c>
      <c r="H1966" s="4">
        <v>164.94</v>
      </c>
      <c r="I1966" s="4">
        <v>105.81</v>
      </c>
      <c r="J1966" s="5">
        <v>0</v>
      </c>
      <c r="K1966" s="6">
        <v>6</v>
      </c>
      <c r="L1966" s="6">
        <v>4</v>
      </c>
      <c r="M1966" t="s">
        <v>58</v>
      </c>
      <c r="N1966" t="s">
        <v>59</v>
      </c>
      <c r="O1966" t="s">
        <v>64</v>
      </c>
    </row>
    <row r="1967" spans="1:15">
      <c r="A1967" t="s">
        <v>2066</v>
      </c>
      <c r="B1967" s="3">
        <v>45989</v>
      </c>
      <c r="C1967" t="s">
        <v>82</v>
      </c>
      <c r="D1967" t="s">
        <v>62</v>
      </c>
      <c r="E1967" t="s">
        <v>75</v>
      </c>
      <c r="F1967" t="s">
        <v>110</v>
      </c>
      <c r="G1967" s="6">
        <v>1</v>
      </c>
      <c r="H1967" s="4">
        <v>162.63</v>
      </c>
      <c r="I1967" s="4">
        <v>104.63</v>
      </c>
      <c r="J1967" s="5">
        <v>0.05</v>
      </c>
      <c r="K1967" s="6">
        <v>9</v>
      </c>
      <c r="L1967" s="6">
        <v>4</v>
      </c>
      <c r="M1967" t="s">
        <v>58</v>
      </c>
      <c r="N1967" t="s">
        <v>59</v>
      </c>
      <c r="O1967" t="s">
        <v>64</v>
      </c>
    </row>
    <row r="1968" spans="1:15">
      <c r="A1968" t="s">
        <v>2067</v>
      </c>
      <c r="B1968" s="3">
        <v>45822</v>
      </c>
      <c r="C1968" t="s">
        <v>82</v>
      </c>
      <c r="D1968" t="s">
        <v>62</v>
      </c>
      <c r="E1968" t="s">
        <v>79</v>
      </c>
      <c r="F1968" t="s">
        <v>115</v>
      </c>
      <c r="G1968" s="6">
        <v>3</v>
      </c>
      <c r="H1968" s="4">
        <v>58.8</v>
      </c>
      <c r="I1968" s="4">
        <v>34.229999999999997</v>
      </c>
      <c r="J1968" s="5">
        <v>0</v>
      </c>
      <c r="K1968" s="6">
        <v>2</v>
      </c>
      <c r="L1968" s="6">
        <v>4</v>
      </c>
      <c r="M1968" t="s">
        <v>58</v>
      </c>
      <c r="N1968" t="s">
        <v>87</v>
      </c>
      <c r="O1968" t="s">
        <v>64</v>
      </c>
    </row>
    <row r="1969" spans="1:15">
      <c r="A1969" t="s">
        <v>2068</v>
      </c>
      <c r="B1969" s="3">
        <v>45963</v>
      </c>
      <c r="C1969" t="s">
        <v>82</v>
      </c>
      <c r="D1969" t="s">
        <v>62</v>
      </c>
      <c r="E1969" t="s">
        <v>67</v>
      </c>
      <c r="F1969" t="s">
        <v>71</v>
      </c>
      <c r="G1969" s="6">
        <v>2</v>
      </c>
      <c r="H1969" s="4">
        <v>71.81</v>
      </c>
      <c r="I1969" s="4">
        <v>37.54</v>
      </c>
      <c r="J1969" s="5">
        <v>0.15000000000000002</v>
      </c>
      <c r="K1969" s="6">
        <v>1</v>
      </c>
      <c r="L1969" s="6">
        <v>4</v>
      </c>
      <c r="M1969" t="s">
        <v>58</v>
      </c>
      <c r="N1969" t="s">
        <v>69</v>
      </c>
      <c r="O1969" t="s">
        <v>60</v>
      </c>
    </row>
    <row r="1970" spans="1:15">
      <c r="A1970" t="s">
        <v>2069</v>
      </c>
      <c r="B1970" s="3">
        <v>45699</v>
      </c>
      <c r="C1970" t="s">
        <v>66</v>
      </c>
      <c r="D1970" t="s">
        <v>62</v>
      </c>
      <c r="E1970" t="s">
        <v>67</v>
      </c>
      <c r="F1970" t="s">
        <v>68</v>
      </c>
      <c r="G1970" s="6">
        <v>2</v>
      </c>
      <c r="H1970" s="4">
        <v>39.01</v>
      </c>
      <c r="I1970" s="4">
        <v>19.2</v>
      </c>
      <c r="J1970" s="5">
        <v>0.1</v>
      </c>
      <c r="K1970" s="6">
        <v>4</v>
      </c>
      <c r="L1970" s="6">
        <v>5</v>
      </c>
      <c r="M1970" t="s">
        <v>58</v>
      </c>
      <c r="N1970" t="s">
        <v>69</v>
      </c>
      <c r="O1970" t="s">
        <v>73</v>
      </c>
    </row>
    <row r="1971" spans="1:15">
      <c r="A1971" t="s">
        <v>2070</v>
      </c>
      <c r="B1971" s="3">
        <v>45940</v>
      </c>
      <c r="C1971" t="s">
        <v>66</v>
      </c>
      <c r="D1971" t="s">
        <v>62</v>
      </c>
      <c r="E1971" t="s">
        <v>79</v>
      </c>
      <c r="F1971" t="s">
        <v>80</v>
      </c>
      <c r="G1971" s="6">
        <v>1</v>
      </c>
      <c r="H1971" s="4">
        <v>75.58</v>
      </c>
      <c r="I1971" s="4">
        <v>44.85</v>
      </c>
      <c r="J1971" s="5">
        <v>0.1</v>
      </c>
      <c r="K1971" s="6">
        <v>3</v>
      </c>
      <c r="L1971" s="6">
        <v>5</v>
      </c>
      <c r="M1971" t="s">
        <v>58</v>
      </c>
      <c r="N1971" t="s">
        <v>69</v>
      </c>
      <c r="O1971" t="s">
        <v>64</v>
      </c>
    </row>
    <row r="1972" spans="1:15">
      <c r="A1972" t="s">
        <v>2071</v>
      </c>
      <c r="B1972" s="3">
        <v>45665</v>
      </c>
      <c r="C1972" t="s">
        <v>82</v>
      </c>
      <c r="D1972" t="s">
        <v>62</v>
      </c>
      <c r="E1972" t="s">
        <v>75</v>
      </c>
      <c r="F1972" t="s">
        <v>97</v>
      </c>
      <c r="G1972" s="6">
        <v>2</v>
      </c>
      <c r="H1972" s="4">
        <v>91.19</v>
      </c>
      <c r="I1972" s="4">
        <v>54.04</v>
      </c>
      <c r="J1972" s="5">
        <v>0.05</v>
      </c>
      <c r="K1972" s="6">
        <v>3</v>
      </c>
      <c r="L1972" s="6">
        <v>4</v>
      </c>
      <c r="M1972" t="s">
        <v>58</v>
      </c>
      <c r="N1972" t="s">
        <v>69</v>
      </c>
      <c r="O1972" t="s">
        <v>64</v>
      </c>
    </row>
    <row r="1973" spans="1:15">
      <c r="A1973" t="s">
        <v>2072</v>
      </c>
      <c r="B1973" s="3">
        <v>45672</v>
      </c>
      <c r="C1973" t="s">
        <v>82</v>
      </c>
      <c r="D1973" t="s">
        <v>62</v>
      </c>
      <c r="E1973" t="s">
        <v>67</v>
      </c>
      <c r="F1973" t="s">
        <v>71</v>
      </c>
      <c r="G1973" s="6">
        <v>1</v>
      </c>
      <c r="H1973" s="4">
        <v>69.05</v>
      </c>
      <c r="I1973" s="4">
        <v>37.46</v>
      </c>
      <c r="J1973" s="5">
        <v>0</v>
      </c>
      <c r="K1973" s="6">
        <v>0</v>
      </c>
      <c r="L1973" s="6">
        <v>5</v>
      </c>
      <c r="M1973" t="s">
        <v>58</v>
      </c>
      <c r="N1973" t="s">
        <v>69</v>
      </c>
      <c r="O1973" t="s">
        <v>64</v>
      </c>
    </row>
    <row r="1974" spans="1:15">
      <c r="A1974" t="s">
        <v>2073</v>
      </c>
      <c r="B1974" s="3">
        <v>45687</v>
      </c>
      <c r="C1974" t="s">
        <v>78</v>
      </c>
      <c r="D1974" t="s">
        <v>55</v>
      </c>
      <c r="E1974" t="s">
        <v>67</v>
      </c>
      <c r="F1974" t="s">
        <v>107</v>
      </c>
      <c r="G1974" s="6">
        <v>1</v>
      </c>
      <c r="H1974" s="4">
        <v>44.33</v>
      </c>
      <c r="I1974" s="4">
        <v>20.56</v>
      </c>
      <c r="J1974" s="5">
        <v>0.1</v>
      </c>
      <c r="K1974" s="6">
        <v>0</v>
      </c>
      <c r="L1974" s="6">
        <v>3</v>
      </c>
      <c r="M1974" t="s">
        <v>126</v>
      </c>
      <c r="N1974" t="s">
        <v>69</v>
      </c>
      <c r="O1974" t="s">
        <v>73</v>
      </c>
    </row>
    <row r="1975" spans="1:15">
      <c r="A1975" t="s">
        <v>2074</v>
      </c>
      <c r="B1975" s="3">
        <v>45994</v>
      </c>
      <c r="C1975" t="s">
        <v>54</v>
      </c>
      <c r="D1975" t="s">
        <v>55</v>
      </c>
      <c r="E1975" t="s">
        <v>79</v>
      </c>
      <c r="F1975" t="s">
        <v>85</v>
      </c>
      <c r="G1975" s="6">
        <v>3</v>
      </c>
      <c r="H1975" s="4">
        <v>133.09</v>
      </c>
      <c r="I1975" s="4">
        <v>84.01</v>
      </c>
      <c r="J1975" s="5">
        <v>0</v>
      </c>
      <c r="K1975" s="6">
        <v>1</v>
      </c>
      <c r="L1975" s="6">
        <v>4</v>
      </c>
      <c r="M1975" t="s">
        <v>58</v>
      </c>
      <c r="N1975" t="s">
        <v>59</v>
      </c>
      <c r="O1975" t="s">
        <v>64</v>
      </c>
    </row>
    <row r="1976" spans="1:15">
      <c r="A1976" t="s">
        <v>2075</v>
      </c>
      <c r="B1976" s="3">
        <v>45969</v>
      </c>
      <c r="C1976" t="s">
        <v>66</v>
      </c>
      <c r="D1976" t="s">
        <v>129</v>
      </c>
      <c r="E1976" t="s">
        <v>79</v>
      </c>
      <c r="F1976" t="s">
        <v>85</v>
      </c>
      <c r="G1976" s="6">
        <v>10</v>
      </c>
      <c r="H1976" s="4">
        <v>132.94999999999999</v>
      </c>
      <c r="I1976" s="4">
        <v>87.27</v>
      </c>
      <c r="J1976" s="5">
        <v>0.2</v>
      </c>
      <c r="K1976" s="6">
        <v>0</v>
      </c>
      <c r="L1976" s="6">
        <v>2</v>
      </c>
      <c r="M1976" t="s">
        <v>126</v>
      </c>
      <c r="N1976" t="s">
        <v>69</v>
      </c>
      <c r="O1976" t="s">
        <v>73</v>
      </c>
    </row>
    <row r="1977" spans="1:15">
      <c r="A1977" t="s">
        <v>2076</v>
      </c>
      <c r="B1977" s="3">
        <v>45877</v>
      </c>
      <c r="C1977" t="s">
        <v>66</v>
      </c>
      <c r="D1977" t="s">
        <v>62</v>
      </c>
      <c r="E1977" t="s">
        <v>67</v>
      </c>
      <c r="F1977" t="s">
        <v>71</v>
      </c>
      <c r="G1977" s="6">
        <v>1</v>
      </c>
      <c r="H1977" s="4">
        <v>69.64</v>
      </c>
      <c r="I1977" s="4">
        <v>39.04</v>
      </c>
      <c r="J1977" s="5">
        <v>0.15000000000000002</v>
      </c>
      <c r="K1977" s="6">
        <v>5</v>
      </c>
      <c r="L1977" s="6">
        <v>4</v>
      </c>
      <c r="M1977" t="s">
        <v>58</v>
      </c>
      <c r="N1977" t="s">
        <v>59</v>
      </c>
      <c r="O1977" t="s">
        <v>64</v>
      </c>
    </row>
    <row r="1978" spans="1:15">
      <c r="A1978" t="s">
        <v>2077</v>
      </c>
      <c r="B1978" s="3">
        <v>45670</v>
      </c>
      <c r="C1978" t="s">
        <v>82</v>
      </c>
      <c r="D1978" t="s">
        <v>55</v>
      </c>
      <c r="E1978" t="s">
        <v>56</v>
      </c>
      <c r="F1978" t="s">
        <v>83</v>
      </c>
      <c r="G1978" s="6">
        <v>1</v>
      </c>
      <c r="H1978" s="4">
        <v>64.31</v>
      </c>
      <c r="I1978" s="4">
        <v>35.049999999999997</v>
      </c>
      <c r="J1978" s="5">
        <v>0</v>
      </c>
      <c r="K1978" s="6">
        <v>0</v>
      </c>
      <c r="L1978" s="6">
        <v>5</v>
      </c>
      <c r="M1978" t="s">
        <v>58</v>
      </c>
      <c r="N1978" t="s">
        <v>69</v>
      </c>
      <c r="O1978" t="s">
        <v>64</v>
      </c>
    </row>
    <row r="1979" spans="1:15">
      <c r="A1979" t="s">
        <v>2078</v>
      </c>
      <c r="B1979" s="3">
        <v>45712</v>
      </c>
      <c r="C1979" t="s">
        <v>66</v>
      </c>
      <c r="D1979" t="s">
        <v>62</v>
      </c>
      <c r="E1979" t="s">
        <v>79</v>
      </c>
      <c r="F1979" t="s">
        <v>85</v>
      </c>
      <c r="G1979" s="6">
        <v>1</v>
      </c>
      <c r="H1979" s="4">
        <v>127.32</v>
      </c>
      <c r="I1979" s="4">
        <v>87.83</v>
      </c>
      <c r="J1979" s="5">
        <v>0.1</v>
      </c>
      <c r="K1979" s="6">
        <v>3</v>
      </c>
      <c r="L1979" s="6">
        <v>4</v>
      </c>
      <c r="M1979" t="s">
        <v>58</v>
      </c>
      <c r="N1979" t="s">
        <v>59</v>
      </c>
      <c r="O1979" t="s">
        <v>60</v>
      </c>
    </row>
    <row r="1980" spans="1:15">
      <c r="A1980" t="s">
        <v>2079</v>
      </c>
      <c r="B1980" s="3">
        <v>45866</v>
      </c>
      <c r="C1980" t="s">
        <v>78</v>
      </c>
      <c r="D1980" t="s">
        <v>62</v>
      </c>
      <c r="E1980" t="s">
        <v>75</v>
      </c>
      <c r="F1980" t="s">
        <v>97</v>
      </c>
      <c r="G1980" s="6">
        <v>3</v>
      </c>
      <c r="H1980" s="4">
        <v>92.93</v>
      </c>
      <c r="I1980" s="4">
        <v>54.99</v>
      </c>
      <c r="J1980" s="5">
        <v>0</v>
      </c>
      <c r="K1980" s="6">
        <v>3</v>
      </c>
      <c r="L1980" s="6">
        <v>3</v>
      </c>
      <c r="M1980" t="s">
        <v>126</v>
      </c>
      <c r="N1980" t="s">
        <v>59</v>
      </c>
      <c r="O1980" t="s">
        <v>60</v>
      </c>
    </row>
    <row r="1981" spans="1:15">
      <c r="A1981" t="s">
        <v>2080</v>
      </c>
      <c r="B1981" s="3">
        <v>45818</v>
      </c>
      <c r="C1981" t="s">
        <v>78</v>
      </c>
      <c r="D1981" t="s">
        <v>62</v>
      </c>
      <c r="E1981" t="s">
        <v>75</v>
      </c>
      <c r="F1981" t="s">
        <v>110</v>
      </c>
      <c r="G1981" s="6">
        <v>1</v>
      </c>
      <c r="H1981" s="4">
        <v>160.41999999999999</v>
      </c>
      <c r="I1981" s="4">
        <v>104.94</v>
      </c>
      <c r="J1981" s="5">
        <v>0.05</v>
      </c>
      <c r="K1981" s="6">
        <v>4</v>
      </c>
      <c r="L1981" s="6">
        <v>4</v>
      </c>
      <c r="M1981" t="s">
        <v>58</v>
      </c>
      <c r="N1981" t="s">
        <v>59</v>
      </c>
      <c r="O1981" t="s">
        <v>64</v>
      </c>
    </row>
    <row r="1982" spans="1:15">
      <c r="A1982" t="s">
        <v>2081</v>
      </c>
      <c r="B1982" s="3">
        <v>45922</v>
      </c>
      <c r="C1982" t="s">
        <v>82</v>
      </c>
      <c r="D1982" t="s">
        <v>55</v>
      </c>
      <c r="E1982" t="s">
        <v>75</v>
      </c>
      <c r="F1982" t="s">
        <v>110</v>
      </c>
      <c r="G1982" s="6">
        <v>5</v>
      </c>
      <c r="H1982" s="4">
        <v>166.33</v>
      </c>
      <c r="I1982" s="4">
        <v>101.01</v>
      </c>
      <c r="J1982" s="5">
        <v>0</v>
      </c>
      <c r="K1982" s="6">
        <v>2</v>
      </c>
      <c r="L1982" s="6">
        <v>4</v>
      </c>
      <c r="M1982" t="s">
        <v>58</v>
      </c>
      <c r="N1982" t="s">
        <v>59</v>
      </c>
      <c r="O1982" t="s">
        <v>64</v>
      </c>
    </row>
    <row r="1983" spans="1:15">
      <c r="A1983" t="s">
        <v>2082</v>
      </c>
      <c r="B1983" s="3">
        <v>46005</v>
      </c>
      <c r="C1983" t="s">
        <v>54</v>
      </c>
      <c r="D1983" t="s">
        <v>55</v>
      </c>
      <c r="E1983" t="s">
        <v>67</v>
      </c>
      <c r="F1983" t="s">
        <v>68</v>
      </c>
      <c r="G1983" s="6">
        <v>4</v>
      </c>
      <c r="H1983" s="4">
        <v>40.31</v>
      </c>
      <c r="I1983" s="4">
        <v>19.28</v>
      </c>
      <c r="J1983" s="5">
        <v>0.05</v>
      </c>
      <c r="K1983" s="6">
        <v>2</v>
      </c>
      <c r="L1983" s="6">
        <v>5</v>
      </c>
      <c r="M1983" t="s">
        <v>58</v>
      </c>
      <c r="N1983" t="s">
        <v>59</v>
      </c>
      <c r="O1983" t="s">
        <v>60</v>
      </c>
    </row>
    <row r="1984" spans="1:15">
      <c r="A1984" t="s">
        <v>2083</v>
      </c>
      <c r="B1984" s="3">
        <v>45911</v>
      </c>
      <c r="C1984" t="s">
        <v>78</v>
      </c>
      <c r="D1984" t="s">
        <v>55</v>
      </c>
      <c r="E1984" t="s">
        <v>79</v>
      </c>
      <c r="F1984" t="s">
        <v>85</v>
      </c>
      <c r="G1984" s="6">
        <v>2</v>
      </c>
      <c r="H1984" s="4">
        <v>128.91999999999999</v>
      </c>
      <c r="I1984" s="4">
        <v>86.97</v>
      </c>
      <c r="J1984" s="5">
        <v>0.1</v>
      </c>
      <c r="K1984" s="6">
        <v>0</v>
      </c>
      <c r="L1984" s="6">
        <v>4</v>
      </c>
      <c r="M1984" t="s">
        <v>58</v>
      </c>
      <c r="N1984" t="s">
        <v>69</v>
      </c>
      <c r="O1984" t="s">
        <v>64</v>
      </c>
    </row>
    <row r="1985" spans="1:15">
      <c r="A1985" t="s">
        <v>2084</v>
      </c>
      <c r="B1985" s="3">
        <v>45955</v>
      </c>
      <c r="C1985" t="s">
        <v>78</v>
      </c>
      <c r="D1985" t="s">
        <v>62</v>
      </c>
      <c r="E1985" t="s">
        <v>67</v>
      </c>
      <c r="F1985" t="s">
        <v>71</v>
      </c>
      <c r="G1985" s="6">
        <v>1</v>
      </c>
      <c r="H1985" s="4">
        <v>71.5</v>
      </c>
      <c r="I1985" s="4">
        <v>38.24</v>
      </c>
      <c r="J1985" s="5">
        <v>0.1</v>
      </c>
      <c r="K1985" s="6">
        <v>2</v>
      </c>
      <c r="L1985" s="6">
        <v>4</v>
      </c>
      <c r="M1985" t="s">
        <v>58</v>
      </c>
      <c r="N1985" t="s">
        <v>87</v>
      </c>
      <c r="O1985" t="s">
        <v>64</v>
      </c>
    </row>
    <row r="1986" spans="1:15">
      <c r="A1986" t="s">
        <v>2085</v>
      </c>
      <c r="B1986" s="3">
        <v>45800</v>
      </c>
      <c r="C1986" t="s">
        <v>78</v>
      </c>
      <c r="D1986" t="s">
        <v>55</v>
      </c>
      <c r="E1986" t="s">
        <v>79</v>
      </c>
      <c r="F1986" t="s">
        <v>85</v>
      </c>
      <c r="G1986" s="6">
        <v>4</v>
      </c>
      <c r="H1986" s="4">
        <v>134.55000000000001</v>
      </c>
      <c r="I1986" s="4">
        <v>84.44</v>
      </c>
      <c r="J1986" s="5">
        <v>0.1</v>
      </c>
      <c r="K1986" s="6">
        <v>1</v>
      </c>
      <c r="L1986" s="6">
        <v>4</v>
      </c>
      <c r="M1986" t="s">
        <v>58</v>
      </c>
      <c r="N1986" t="s">
        <v>59</v>
      </c>
      <c r="O1986" t="s">
        <v>64</v>
      </c>
    </row>
    <row r="1987" spans="1:15">
      <c r="A1987" t="s">
        <v>2086</v>
      </c>
      <c r="B1987" s="3">
        <v>45703</v>
      </c>
      <c r="C1987" t="s">
        <v>66</v>
      </c>
      <c r="D1987" t="s">
        <v>55</v>
      </c>
      <c r="E1987" t="s">
        <v>67</v>
      </c>
      <c r="F1987" t="s">
        <v>107</v>
      </c>
      <c r="G1987" s="6">
        <v>2</v>
      </c>
      <c r="H1987" s="4">
        <v>44.39</v>
      </c>
      <c r="I1987" s="4">
        <v>20.78</v>
      </c>
      <c r="J1987" s="5">
        <v>0.05</v>
      </c>
      <c r="K1987" s="6">
        <v>4</v>
      </c>
      <c r="L1987" s="6">
        <v>4</v>
      </c>
      <c r="M1987" t="s">
        <v>58</v>
      </c>
      <c r="N1987" t="s">
        <v>69</v>
      </c>
      <c r="O1987" t="s">
        <v>73</v>
      </c>
    </row>
    <row r="1988" spans="1:15">
      <c r="A1988" t="s">
        <v>2087</v>
      </c>
      <c r="B1988" s="3">
        <v>45936</v>
      </c>
      <c r="C1988" t="s">
        <v>82</v>
      </c>
      <c r="D1988" t="s">
        <v>55</v>
      </c>
      <c r="E1988" t="s">
        <v>79</v>
      </c>
      <c r="F1988" t="s">
        <v>92</v>
      </c>
      <c r="G1988" s="6">
        <v>5</v>
      </c>
      <c r="H1988" s="4">
        <v>49.6</v>
      </c>
      <c r="I1988" s="4">
        <v>26.06</v>
      </c>
      <c r="J1988" s="5">
        <v>0</v>
      </c>
      <c r="K1988" s="6">
        <v>7</v>
      </c>
      <c r="L1988" s="6">
        <v>4</v>
      </c>
      <c r="M1988" t="s">
        <v>58</v>
      </c>
      <c r="N1988" t="s">
        <v>59</v>
      </c>
      <c r="O1988" t="s">
        <v>60</v>
      </c>
    </row>
    <row r="1989" spans="1:15">
      <c r="A1989" t="s">
        <v>2088</v>
      </c>
      <c r="B1989" s="3">
        <v>45952</v>
      </c>
      <c r="C1989" t="s">
        <v>82</v>
      </c>
      <c r="D1989" t="s">
        <v>55</v>
      </c>
      <c r="E1989" t="s">
        <v>75</v>
      </c>
      <c r="F1989" t="s">
        <v>76</v>
      </c>
      <c r="G1989" s="6">
        <v>4</v>
      </c>
      <c r="H1989" s="4">
        <v>123.5</v>
      </c>
      <c r="I1989" s="4">
        <v>70.59</v>
      </c>
      <c r="J1989" s="5">
        <v>0</v>
      </c>
      <c r="K1989" s="6">
        <v>4</v>
      </c>
      <c r="L1989" s="6">
        <v>5</v>
      </c>
      <c r="M1989" t="s">
        <v>58</v>
      </c>
      <c r="N1989" t="s">
        <v>69</v>
      </c>
      <c r="O1989" t="s">
        <v>60</v>
      </c>
    </row>
    <row r="1990" spans="1:15">
      <c r="A1990" t="s">
        <v>2089</v>
      </c>
      <c r="B1990" s="3">
        <v>45906</v>
      </c>
      <c r="C1990" t="s">
        <v>82</v>
      </c>
      <c r="D1990" t="s">
        <v>55</v>
      </c>
      <c r="E1990" t="s">
        <v>79</v>
      </c>
      <c r="F1990" t="s">
        <v>85</v>
      </c>
      <c r="G1990" s="6">
        <v>2</v>
      </c>
      <c r="H1990" s="4">
        <v>127.19</v>
      </c>
      <c r="I1990" s="4">
        <v>83.13</v>
      </c>
      <c r="J1990" s="5">
        <v>0.1</v>
      </c>
      <c r="K1990" s="6">
        <v>1</v>
      </c>
      <c r="L1990" s="6">
        <v>4</v>
      </c>
      <c r="M1990" t="s">
        <v>58</v>
      </c>
      <c r="N1990" t="s">
        <v>87</v>
      </c>
      <c r="O1990" t="s">
        <v>60</v>
      </c>
    </row>
    <row r="1991" spans="1:15">
      <c r="A1991" t="s">
        <v>2090</v>
      </c>
      <c r="B1991" s="3">
        <v>46018</v>
      </c>
      <c r="C1991" t="s">
        <v>54</v>
      </c>
      <c r="D1991" t="s">
        <v>62</v>
      </c>
      <c r="E1991" t="s">
        <v>56</v>
      </c>
      <c r="F1991" t="s">
        <v>57</v>
      </c>
      <c r="G1991" s="6">
        <v>2</v>
      </c>
      <c r="H1991" s="4">
        <v>108.98</v>
      </c>
      <c r="I1991" s="4">
        <v>69.459999999999994</v>
      </c>
      <c r="J1991" s="5">
        <v>0.05</v>
      </c>
      <c r="K1991" s="6">
        <v>2</v>
      </c>
      <c r="L1991" s="6">
        <v>5</v>
      </c>
      <c r="M1991" t="s">
        <v>58</v>
      </c>
      <c r="N1991" t="s">
        <v>59</v>
      </c>
      <c r="O1991" t="s">
        <v>64</v>
      </c>
    </row>
    <row r="1992" spans="1:15">
      <c r="A1992" t="s">
        <v>2091</v>
      </c>
      <c r="B1992" s="3">
        <v>46015</v>
      </c>
      <c r="C1992" t="s">
        <v>78</v>
      </c>
      <c r="D1992" t="s">
        <v>62</v>
      </c>
      <c r="E1992" t="s">
        <v>75</v>
      </c>
      <c r="F1992" t="s">
        <v>97</v>
      </c>
      <c r="G1992" s="6">
        <v>1</v>
      </c>
      <c r="H1992" s="4">
        <v>87.49</v>
      </c>
      <c r="I1992" s="4">
        <v>54.89</v>
      </c>
      <c r="J1992" s="5">
        <v>0.15000000000000002</v>
      </c>
      <c r="K1992" s="6">
        <v>7</v>
      </c>
      <c r="L1992" s="6">
        <v>3</v>
      </c>
      <c r="M1992" t="s">
        <v>58</v>
      </c>
      <c r="N1992" t="s">
        <v>59</v>
      </c>
      <c r="O1992" t="s">
        <v>64</v>
      </c>
    </row>
    <row r="1993" spans="1:15">
      <c r="A1993" t="s">
        <v>2092</v>
      </c>
      <c r="B1993" s="3">
        <v>45885</v>
      </c>
      <c r="C1993" t="s">
        <v>78</v>
      </c>
      <c r="D1993" t="s">
        <v>62</v>
      </c>
      <c r="E1993" t="s">
        <v>79</v>
      </c>
      <c r="F1993" t="s">
        <v>115</v>
      </c>
      <c r="G1993" s="6">
        <v>1</v>
      </c>
      <c r="H1993" s="4">
        <v>58.51</v>
      </c>
      <c r="I1993" s="4">
        <v>34.119999999999997</v>
      </c>
      <c r="J1993" s="5">
        <v>0</v>
      </c>
      <c r="K1993" s="6">
        <v>5</v>
      </c>
      <c r="L1993" s="6">
        <v>4</v>
      </c>
      <c r="M1993" t="s">
        <v>58</v>
      </c>
      <c r="N1993" t="s">
        <v>59</v>
      </c>
      <c r="O1993" t="s">
        <v>64</v>
      </c>
    </row>
    <row r="1994" spans="1:15">
      <c r="A1994" t="s">
        <v>2093</v>
      </c>
      <c r="B1994" s="3">
        <v>45880</v>
      </c>
      <c r="C1994" t="s">
        <v>78</v>
      </c>
      <c r="D1994" t="s">
        <v>62</v>
      </c>
      <c r="E1994" t="s">
        <v>56</v>
      </c>
      <c r="F1994" t="s">
        <v>57</v>
      </c>
      <c r="G1994" s="6">
        <v>2</v>
      </c>
      <c r="H1994" s="4">
        <v>112.05</v>
      </c>
      <c r="I1994" s="4">
        <v>69.64</v>
      </c>
      <c r="J1994" s="5">
        <v>0.05</v>
      </c>
      <c r="K1994" s="6">
        <v>3</v>
      </c>
      <c r="L1994" s="6">
        <v>4</v>
      </c>
      <c r="M1994" t="s">
        <v>58</v>
      </c>
      <c r="N1994" t="s">
        <v>59</v>
      </c>
      <c r="O1994" t="s">
        <v>60</v>
      </c>
    </row>
    <row r="1995" spans="1:15">
      <c r="A1995" t="s">
        <v>2094</v>
      </c>
      <c r="B1995" s="3">
        <v>45859</v>
      </c>
      <c r="C1995" t="s">
        <v>66</v>
      </c>
      <c r="D1995" t="s">
        <v>62</v>
      </c>
      <c r="E1995" t="s">
        <v>56</v>
      </c>
      <c r="F1995" t="s">
        <v>83</v>
      </c>
      <c r="G1995" s="6">
        <v>1</v>
      </c>
      <c r="H1995" s="4">
        <v>65.849999999999994</v>
      </c>
      <c r="I1995" s="4">
        <v>34.42</v>
      </c>
      <c r="J1995" s="5">
        <v>0.05</v>
      </c>
      <c r="K1995" s="6">
        <v>3</v>
      </c>
      <c r="L1995" s="6">
        <v>4</v>
      </c>
      <c r="M1995" t="s">
        <v>58</v>
      </c>
      <c r="N1995" t="s">
        <v>59</v>
      </c>
      <c r="O1995" t="s">
        <v>73</v>
      </c>
    </row>
    <row r="1996" spans="1:15">
      <c r="A1996" t="s">
        <v>2095</v>
      </c>
      <c r="B1996" s="3">
        <v>45710</v>
      </c>
      <c r="C1996" t="s">
        <v>66</v>
      </c>
      <c r="D1996" t="s">
        <v>62</v>
      </c>
      <c r="E1996" t="s">
        <v>79</v>
      </c>
      <c r="F1996" t="s">
        <v>85</v>
      </c>
      <c r="G1996" s="6">
        <v>1</v>
      </c>
      <c r="H1996" s="4">
        <v>130.18</v>
      </c>
      <c r="I1996" s="4">
        <v>86.03</v>
      </c>
      <c r="J1996" s="5">
        <v>0.1</v>
      </c>
      <c r="K1996" s="6">
        <v>3</v>
      </c>
      <c r="L1996" s="6">
        <v>4</v>
      </c>
      <c r="M1996" t="s">
        <v>58</v>
      </c>
      <c r="N1996" t="s">
        <v>87</v>
      </c>
      <c r="O1996" t="s">
        <v>73</v>
      </c>
    </row>
    <row r="1997" spans="1:15">
      <c r="A1997" t="s">
        <v>2096</v>
      </c>
      <c r="B1997" s="3">
        <v>45983</v>
      </c>
      <c r="C1997" t="s">
        <v>54</v>
      </c>
      <c r="D1997" t="s">
        <v>62</v>
      </c>
      <c r="E1997" t="s">
        <v>79</v>
      </c>
      <c r="F1997" t="s">
        <v>115</v>
      </c>
      <c r="G1997" s="6">
        <v>1</v>
      </c>
      <c r="H1997" s="4">
        <v>59.18</v>
      </c>
      <c r="I1997" s="4">
        <v>35.29</v>
      </c>
      <c r="J1997" s="5">
        <v>0.05</v>
      </c>
      <c r="K1997" s="6">
        <v>2</v>
      </c>
      <c r="L1997" s="6">
        <v>4</v>
      </c>
      <c r="M1997" t="s">
        <v>58</v>
      </c>
      <c r="N1997" t="s">
        <v>59</v>
      </c>
      <c r="O1997" t="s">
        <v>64</v>
      </c>
    </row>
    <row r="1998" spans="1:15">
      <c r="A1998" t="s">
        <v>2097</v>
      </c>
      <c r="B1998" s="3">
        <v>45804</v>
      </c>
      <c r="C1998" t="s">
        <v>2098</v>
      </c>
      <c r="D1998" t="s">
        <v>62</v>
      </c>
      <c r="E1998" t="s">
        <v>67</v>
      </c>
      <c r="F1998" t="s">
        <v>94</v>
      </c>
      <c r="G1998" s="6">
        <v>2</v>
      </c>
      <c r="H1998" s="4">
        <v>35.590000000000003</v>
      </c>
      <c r="I1998" s="4">
        <v>16.850000000000001</v>
      </c>
      <c r="J1998" s="5">
        <v>0</v>
      </c>
      <c r="K1998" s="6">
        <v>4</v>
      </c>
      <c r="L1998" s="6">
        <v>4</v>
      </c>
      <c r="M1998" t="s">
        <v>58</v>
      </c>
      <c r="N1998" t="s">
        <v>59</v>
      </c>
      <c r="O1998" t="s">
        <v>60</v>
      </c>
    </row>
    <row r="1999" spans="1:15">
      <c r="A1999" t="s">
        <v>2099</v>
      </c>
      <c r="B1999" s="3">
        <v>46009</v>
      </c>
      <c r="C1999" t="s">
        <v>66</v>
      </c>
      <c r="D1999" t="s">
        <v>62</v>
      </c>
      <c r="E1999" t="s">
        <v>79</v>
      </c>
      <c r="F1999" t="s">
        <v>80</v>
      </c>
      <c r="G1999" s="6">
        <v>2</v>
      </c>
      <c r="H1999" s="4">
        <v>75.010000000000005</v>
      </c>
      <c r="I1999" s="4">
        <v>41.83</v>
      </c>
      <c r="J1999" s="5">
        <v>0.2</v>
      </c>
      <c r="K1999" s="6">
        <v>3</v>
      </c>
      <c r="L1999" s="6">
        <v>4</v>
      </c>
      <c r="M1999" t="s">
        <v>58</v>
      </c>
      <c r="N1999" t="s">
        <v>59</v>
      </c>
      <c r="O1999" t="s">
        <v>64</v>
      </c>
    </row>
    <row r="2000" spans="1:15">
      <c r="A2000" t="s">
        <v>2100</v>
      </c>
      <c r="B2000" s="3">
        <v>45754</v>
      </c>
      <c r="C2000" t="s">
        <v>82</v>
      </c>
      <c r="D2000" t="s">
        <v>62</v>
      </c>
      <c r="E2000" t="s">
        <v>56</v>
      </c>
      <c r="F2000" t="s">
        <v>63</v>
      </c>
      <c r="G2000" s="6">
        <v>1</v>
      </c>
      <c r="H2000" s="4">
        <v>39.03</v>
      </c>
      <c r="I2000" s="4">
        <v>19.920000000000002</v>
      </c>
      <c r="J2000" s="5">
        <v>0</v>
      </c>
      <c r="K2000" s="6">
        <v>3</v>
      </c>
      <c r="L2000" s="6">
        <v>4</v>
      </c>
      <c r="M2000" t="s">
        <v>58</v>
      </c>
      <c r="N2000" t="s">
        <v>87</v>
      </c>
      <c r="O2000" t="s">
        <v>64</v>
      </c>
    </row>
    <row r="2001" spans="1:15">
      <c r="A2001" t="s">
        <v>2101</v>
      </c>
      <c r="B2001" s="3">
        <v>45856</v>
      </c>
      <c r="C2001" t="s">
        <v>82</v>
      </c>
      <c r="D2001" t="s">
        <v>129</v>
      </c>
      <c r="E2001" t="s">
        <v>56</v>
      </c>
      <c r="F2001" t="s">
        <v>57</v>
      </c>
      <c r="G2001" s="6">
        <v>5</v>
      </c>
      <c r="H2001" s="4">
        <v>111.49</v>
      </c>
      <c r="I2001" s="4">
        <v>69.91</v>
      </c>
      <c r="J2001" s="5">
        <v>0.05</v>
      </c>
      <c r="K2001" s="6">
        <v>3</v>
      </c>
      <c r="L2001" s="6">
        <v>5</v>
      </c>
      <c r="M2001" t="s">
        <v>58</v>
      </c>
      <c r="N2001" t="s">
        <v>87</v>
      </c>
      <c r="O2001" t="s">
        <v>73</v>
      </c>
    </row>
  </sheetData>
  <conditionalFormatting sqref="K2:K2001">
    <cfRule type="colorScale" priority="1">
      <colorScale>
        <cfvo type="min"/>
        <cfvo type="percentile" val="50"/>
        <cfvo type="max"/>
        <color rgb="FFE2F0D9"/>
        <color rgb="FFFFF2CC"/>
        <color rgb="FFF4CCCC"/>
      </colorScale>
    </cfRule>
  </conditionalFormatting>
  <conditionalFormatting sqref="L2:L2001">
    <cfRule type="colorScale" priority="2">
      <colorScale>
        <cfvo type="min"/>
        <cfvo type="percentile" val="50"/>
        <cfvo type="max"/>
        <color rgb="FFF4CCCC"/>
        <color rgb="FFFFF2CC"/>
        <color rgb="FFE2F0D9"/>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4"/>
  <cols>
    <col min="1" max="1" width="22" customWidth="1"/>
    <col min="2" max="2" width="34" customWidth="1"/>
    <col min="3" max="3" width="24" customWidth="1"/>
    <col min="4" max="4" width="58" customWidth="1"/>
  </cols>
  <sheetData>
    <row r="1" spans="1:4" ht="16">
      <c r="A1" s="15" t="s">
        <v>2102</v>
      </c>
      <c r="B1" s="16" t="s">
        <v>2103</v>
      </c>
      <c r="C1" s="16" t="s">
        <v>2104</v>
      </c>
      <c r="D1" s="17" t="s">
        <v>2105</v>
      </c>
    </row>
    <row r="2" spans="1:4" ht="15">
      <c r="A2" s="18" t="s">
        <v>38</v>
      </c>
      <c r="B2" s="1" t="s">
        <v>2106</v>
      </c>
      <c r="C2" s="1" t="s">
        <v>2107</v>
      </c>
      <c r="D2" s="10" t="s">
        <v>2108</v>
      </c>
    </row>
    <row r="3" spans="1:4" ht="15">
      <c r="A3" s="18" t="s">
        <v>39</v>
      </c>
      <c r="B3" s="1" t="s">
        <v>2109</v>
      </c>
      <c r="C3" s="1" t="s">
        <v>2110</v>
      </c>
      <c r="D3" s="10" t="s">
        <v>2111</v>
      </c>
    </row>
    <row r="4" spans="1:4" ht="15">
      <c r="A4" s="18" t="s">
        <v>40</v>
      </c>
      <c r="B4" s="1" t="s">
        <v>2112</v>
      </c>
      <c r="C4" s="1" t="s">
        <v>2113</v>
      </c>
      <c r="D4" s="10" t="s">
        <v>2114</v>
      </c>
    </row>
    <row r="5" spans="1:4" ht="15">
      <c r="A5" s="18" t="s">
        <v>41</v>
      </c>
      <c r="B5" s="1" t="s">
        <v>2115</v>
      </c>
      <c r="C5" s="1" t="s">
        <v>2113</v>
      </c>
      <c r="D5" s="10" t="s">
        <v>2116</v>
      </c>
    </row>
    <row r="6" spans="1:4" ht="15">
      <c r="A6" s="18" t="s">
        <v>42</v>
      </c>
      <c r="B6" s="1" t="s">
        <v>2117</v>
      </c>
      <c r="C6" s="1" t="s">
        <v>2113</v>
      </c>
      <c r="D6" s="10" t="s">
        <v>2118</v>
      </c>
    </row>
    <row r="7" spans="1:4" ht="15">
      <c r="A7" s="18" t="s">
        <v>43</v>
      </c>
      <c r="B7" s="1" t="s">
        <v>2119</v>
      </c>
      <c r="C7" s="1" t="s">
        <v>2107</v>
      </c>
      <c r="D7" s="10" t="s">
        <v>2120</v>
      </c>
    </row>
    <row r="8" spans="1:4" ht="15">
      <c r="A8" s="18" t="s">
        <v>44</v>
      </c>
      <c r="B8" s="1" t="s">
        <v>2121</v>
      </c>
      <c r="C8" s="1" t="s">
        <v>2122</v>
      </c>
      <c r="D8" s="10" t="s">
        <v>2123</v>
      </c>
    </row>
    <row r="9" spans="1:4" ht="15">
      <c r="A9" s="18" t="s">
        <v>45</v>
      </c>
      <c r="B9" s="1" t="s">
        <v>2124</v>
      </c>
      <c r="C9" s="1" t="s">
        <v>2125</v>
      </c>
      <c r="D9" s="10" t="s">
        <v>2126</v>
      </c>
    </row>
    <row r="10" spans="1:4" ht="15">
      <c r="A10" s="18" t="s">
        <v>46</v>
      </c>
      <c r="B10" s="1" t="s">
        <v>2127</v>
      </c>
      <c r="C10" s="1" t="s">
        <v>2125</v>
      </c>
      <c r="D10" s="10" t="s">
        <v>2128</v>
      </c>
    </row>
    <row r="11" spans="1:4" ht="15">
      <c r="A11" s="18" t="s">
        <v>47</v>
      </c>
      <c r="B11" s="1" t="s">
        <v>2129</v>
      </c>
      <c r="C11" s="1" t="s">
        <v>2130</v>
      </c>
      <c r="D11" s="10" t="s">
        <v>2131</v>
      </c>
    </row>
    <row r="12" spans="1:4" ht="15">
      <c r="A12" s="18" t="s">
        <v>48</v>
      </c>
      <c r="B12" s="1" t="s">
        <v>2132</v>
      </c>
      <c r="C12" s="1" t="s">
        <v>2122</v>
      </c>
      <c r="D12" s="10" t="s">
        <v>2133</v>
      </c>
    </row>
    <row r="13" spans="1:4" ht="15">
      <c r="A13" s="18" t="s">
        <v>49</v>
      </c>
      <c r="B13" s="1" t="s">
        <v>2134</v>
      </c>
      <c r="C13" s="1" t="s">
        <v>2135</v>
      </c>
      <c r="D13" s="10" t="s">
        <v>2136</v>
      </c>
    </row>
    <row r="14" spans="1:4" ht="15">
      <c r="A14" s="18" t="s">
        <v>50</v>
      </c>
      <c r="B14" s="1" t="s">
        <v>2137</v>
      </c>
      <c r="C14" s="1" t="s">
        <v>2138</v>
      </c>
      <c r="D14" s="10" t="s">
        <v>2139</v>
      </c>
    </row>
    <row r="15" spans="1:4" ht="15">
      <c r="A15" s="18" t="s">
        <v>51</v>
      </c>
      <c r="B15" s="1" t="s">
        <v>2140</v>
      </c>
      <c r="C15" s="1" t="s">
        <v>2113</v>
      </c>
      <c r="D15" s="10" t="s">
        <v>2141</v>
      </c>
    </row>
    <row r="16" spans="1:4" ht="15">
      <c r="A16" s="19" t="s">
        <v>52</v>
      </c>
      <c r="B16" s="20" t="s">
        <v>2142</v>
      </c>
      <c r="C16" s="20" t="s">
        <v>2113</v>
      </c>
      <c r="D16" s="21" t="s">
        <v>2143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election activeCell="E14" sqref="E14"/>
    </sheetView>
  </sheetViews>
  <sheetFormatPr baseColWidth="10" defaultColWidth="8.83203125" defaultRowHeight="14"/>
  <cols>
    <col min="1" max="1" width="8" customWidth="1"/>
    <col min="2" max="2" width="52" customWidth="1"/>
    <col min="3" max="3" width="35" customWidth="1"/>
    <col min="4" max="4" width="26" customWidth="1"/>
    <col min="5" max="5" width="40" customWidth="1"/>
  </cols>
  <sheetData>
    <row r="1" spans="1:5">
      <c r="A1" s="26" t="s">
        <v>2144</v>
      </c>
      <c r="B1" s="26"/>
      <c r="C1" s="26"/>
      <c r="D1" s="26"/>
      <c r="E1" s="26"/>
    </row>
    <row r="2" spans="1:5">
      <c r="A2" s="26"/>
      <c r="B2" s="26"/>
      <c r="C2" s="26"/>
      <c r="D2" s="26"/>
      <c r="E2" s="26"/>
    </row>
    <row r="4" spans="1:5" ht="16">
      <c r="A4" s="15" t="s">
        <v>2145</v>
      </c>
      <c r="B4" s="16" t="s">
        <v>2146</v>
      </c>
      <c r="C4" s="16" t="s">
        <v>2147</v>
      </c>
      <c r="D4" s="16" t="s">
        <v>2148</v>
      </c>
      <c r="E4" s="17" t="s">
        <v>2149</v>
      </c>
    </row>
    <row r="5" spans="1:5" ht="75">
      <c r="A5" s="22">
        <v>1</v>
      </c>
      <c r="B5" s="1" t="s">
        <v>2150</v>
      </c>
      <c r="C5" s="46" t="s">
        <v>2177</v>
      </c>
      <c r="D5" s="48" t="s">
        <v>2178</v>
      </c>
      <c r="E5" s="48" t="s">
        <v>2237</v>
      </c>
    </row>
    <row r="6" spans="1:5" ht="180">
      <c r="A6" s="22">
        <v>2</v>
      </c>
      <c r="B6" s="1" t="s">
        <v>2151</v>
      </c>
      <c r="C6" s="48" t="s">
        <v>2175</v>
      </c>
      <c r="D6" s="49" t="s">
        <v>2176</v>
      </c>
      <c r="E6" s="48" t="s">
        <v>2238</v>
      </c>
    </row>
    <row r="7" spans="1:5" ht="135">
      <c r="A7" s="22">
        <v>3</v>
      </c>
      <c r="B7" s="1" t="s">
        <v>2152</v>
      </c>
      <c r="C7" s="48" t="s">
        <v>2179</v>
      </c>
      <c r="D7" s="48" t="s">
        <v>2180</v>
      </c>
      <c r="E7" s="48" t="s">
        <v>2239</v>
      </c>
    </row>
    <row r="8" spans="1:5" ht="150">
      <c r="A8" s="22">
        <v>4</v>
      </c>
      <c r="B8" s="1" t="s">
        <v>2153</v>
      </c>
      <c r="C8" s="48" t="s">
        <v>2183</v>
      </c>
      <c r="D8" s="48" t="s">
        <v>2184</v>
      </c>
      <c r="E8" s="48" t="s">
        <v>2240</v>
      </c>
    </row>
    <row r="9" spans="1:5" ht="165">
      <c r="A9" s="22">
        <v>5</v>
      </c>
      <c r="B9" s="1" t="s">
        <v>2154</v>
      </c>
      <c r="C9" s="50" t="s">
        <v>2189</v>
      </c>
      <c r="D9" s="48" t="s">
        <v>2190</v>
      </c>
      <c r="E9" s="48" t="s">
        <v>2241</v>
      </c>
    </row>
    <row r="10" spans="1:5" ht="165">
      <c r="A10" s="22">
        <v>6</v>
      </c>
      <c r="B10" s="1" t="s">
        <v>2155</v>
      </c>
      <c r="C10" s="48" t="s">
        <v>2194</v>
      </c>
      <c r="D10" s="48" t="s">
        <v>2195</v>
      </c>
      <c r="E10" s="48" t="s">
        <v>2242</v>
      </c>
    </row>
    <row r="11" spans="1:5" ht="195">
      <c r="A11" s="22">
        <v>7</v>
      </c>
      <c r="B11" s="1" t="s">
        <v>2156</v>
      </c>
      <c r="C11" s="51" t="s">
        <v>2223</v>
      </c>
      <c r="D11" s="48" t="s">
        <v>2224</v>
      </c>
      <c r="E11" s="48" t="s">
        <v>2243</v>
      </c>
    </row>
    <row r="12" spans="1:5" ht="150">
      <c r="A12" s="22">
        <v>8</v>
      </c>
      <c r="B12" s="1" t="s">
        <v>2157</v>
      </c>
      <c r="C12" s="51" t="s">
        <v>2228</v>
      </c>
      <c r="D12" s="48" t="s">
        <v>2229</v>
      </c>
      <c r="E12" s="48" t="s">
        <v>2244</v>
      </c>
    </row>
    <row r="13" spans="1:5" ht="165">
      <c r="A13" s="22">
        <v>9</v>
      </c>
      <c r="B13" s="1" t="s">
        <v>2158</v>
      </c>
      <c r="C13" s="46" t="s">
        <v>2233</v>
      </c>
      <c r="D13" s="48" t="s">
        <v>2234</v>
      </c>
      <c r="E13" s="48" t="s">
        <v>2245</v>
      </c>
    </row>
    <row r="14" spans="1:5" ht="270">
      <c r="A14" s="23">
        <v>10</v>
      </c>
      <c r="B14" s="20" t="s">
        <v>2159</v>
      </c>
      <c r="C14" s="48" t="s">
        <v>2235</v>
      </c>
      <c r="D14" s="48" t="s">
        <v>2236</v>
      </c>
      <c r="E14" s="51" t="s">
        <v>2246</v>
      </c>
    </row>
    <row r="15" spans="1:5" ht="75">
      <c r="C15" s="48"/>
      <c r="E15" s="47" t="s">
        <v>2247</v>
      </c>
    </row>
    <row r="16" spans="1:5" ht="75">
      <c r="C16" s="48"/>
      <c r="E16" s="48" t="s">
        <v>2248</v>
      </c>
    </row>
    <row r="17" spans="3:5">
      <c r="C17" s="48"/>
      <c r="E17" s="39"/>
    </row>
    <row r="18" spans="3:5">
      <c r="D18" s="48"/>
      <c r="E18" s="39"/>
    </row>
    <row r="20" spans="3:5">
      <c r="E20" s="52"/>
    </row>
  </sheetData>
  <mergeCells count="1">
    <mergeCell ref="A1: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9EDE-6582-004F-AB31-E5C70015700D}">
  <dimension ref="A3:D4"/>
  <sheetViews>
    <sheetView workbookViewId="0">
      <selection activeCell="K43" sqref="K43"/>
    </sheetView>
  </sheetViews>
  <sheetFormatPr baseColWidth="10" defaultRowHeight="14"/>
  <cols>
    <col min="1" max="1" width="17.5" bestFit="1" customWidth="1"/>
    <col min="2" max="2" width="15.6640625" bestFit="1" customWidth="1"/>
    <col min="3" max="3" width="12.83203125" bestFit="1" customWidth="1"/>
    <col min="4" max="4" width="18.33203125" bestFit="1" customWidth="1"/>
  </cols>
  <sheetData>
    <row r="3" spans="1:4">
      <c r="A3" t="s">
        <v>2168</v>
      </c>
      <c r="B3" t="s">
        <v>2169</v>
      </c>
      <c r="C3" t="s">
        <v>2170</v>
      </c>
    </row>
    <row r="4" spans="1:4">
      <c r="A4" s="27">
        <v>1985</v>
      </c>
      <c r="B4" s="27">
        <v>331552.87699999969</v>
      </c>
      <c r="C4" s="27">
        <v>123547.25699999976</v>
      </c>
      <c r="D4" s="28">
        <f>123547.257/331552.877</f>
        <v>0.37263213674360607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DC94-F226-FD42-ACF0-83EB1D2DC479}">
  <dimension ref="A1:AG1991"/>
  <sheetViews>
    <sheetView topLeftCell="V1" workbookViewId="0">
      <selection activeCell="AB29" sqref="AB29"/>
    </sheetView>
  </sheetViews>
  <sheetFormatPr baseColWidth="10" defaultColWidth="8.83203125" defaultRowHeight="14"/>
  <cols>
    <col min="1" max="1" width="14" customWidth="1"/>
    <col min="2" max="3" width="13" customWidth="1"/>
    <col min="4" max="4" width="16" customWidth="1"/>
    <col min="5" max="5" width="19" customWidth="1"/>
    <col min="6" max="6" width="22" customWidth="1"/>
    <col min="7" max="7" width="10" customWidth="1"/>
    <col min="8" max="8" width="15" customWidth="1"/>
    <col min="9" max="9" width="14" customWidth="1"/>
    <col min="10" max="11" width="13" customWidth="1"/>
    <col min="12" max="12" width="18" customWidth="1"/>
    <col min="13" max="13" width="11" customWidth="1"/>
    <col min="14" max="14" width="14" customWidth="1"/>
    <col min="15" max="15" width="17" customWidth="1"/>
    <col min="16" max="16" width="21" customWidth="1"/>
    <col min="17" max="17" width="29.33203125" customWidth="1"/>
    <col min="18" max="18" width="30.1640625" customWidth="1"/>
    <col min="19" max="19" width="21.33203125" customWidth="1"/>
    <col min="20" max="21" width="19.5" customWidth="1"/>
    <col min="22" max="22" width="16.6640625" customWidth="1"/>
    <col min="23" max="23" width="15.33203125" customWidth="1"/>
    <col min="24" max="24" width="13.6640625" customWidth="1"/>
    <col min="25" max="25" width="15.83203125" customWidth="1"/>
    <col min="26" max="26" width="14.33203125" customWidth="1"/>
    <col min="27" max="27" width="22.83203125" customWidth="1"/>
    <col min="28" max="28" width="23.33203125" customWidth="1"/>
    <col min="29" max="29" width="22" customWidth="1"/>
    <col min="30" max="30" width="24.83203125" customWidth="1"/>
    <col min="31" max="31" width="8.83203125" customWidth="1"/>
  </cols>
  <sheetData>
    <row r="1" spans="1:29" ht="37.25" customHeight="1">
      <c r="A1" s="2" t="s">
        <v>38</v>
      </c>
      <c r="B1" s="2" t="s">
        <v>39</v>
      </c>
      <c r="C1" s="2" t="s">
        <v>40</v>
      </c>
      <c r="D1" s="2" t="s">
        <v>41</v>
      </c>
      <c r="E1" s="2" t="s">
        <v>42</v>
      </c>
      <c r="F1" s="2" t="s">
        <v>43</v>
      </c>
      <c r="G1" s="2" t="s">
        <v>44</v>
      </c>
      <c r="H1" s="2" t="s">
        <v>45</v>
      </c>
      <c r="I1" s="2" t="s">
        <v>46</v>
      </c>
      <c r="J1" s="2" t="s">
        <v>47</v>
      </c>
      <c r="K1" s="2" t="s">
        <v>48</v>
      </c>
      <c r="L1" s="2" t="s">
        <v>49</v>
      </c>
      <c r="M1" s="2" t="s">
        <v>50</v>
      </c>
      <c r="N1" s="2" t="s">
        <v>51</v>
      </c>
      <c r="O1" s="2" t="s">
        <v>52</v>
      </c>
      <c r="P1" t="s">
        <v>2160</v>
      </c>
      <c r="Q1" t="s">
        <v>2161</v>
      </c>
      <c r="R1" t="s">
        <v>2162</v>
      </c>
      <c r="S1" t="s">
        <v>2163</v>
      </c>
      <c r="T1" t="s">
        <v>2164</v>
      </c>
      <c r="U1" t="s">
        <v>2165</v>
      </c>
      <c r="V1" t="s">
        <v>23</v>
      </c>
      <c r="W1" t="s">
        <v>2166</v>
      </c>
      <c r="X1" t="s">
        <v>27</v>
      </c>
      <c r="Y1" s="28" t="s">
        <v>2167</v>
      </c>
      <c r="Z1" t="s">
        <v>2171</v>
      </c>
      <c r="AA1" t="s">
        <v>2172</v>
      </c>
      <c r="AB1" t="s">
        <v>2173</v>
      </c>
      <c r="AC1" t="s">
        <v>2174</v>
      </c>
    </row>
    <row r="2" spans="1:29">
      <c r="A2" t="s">
        <v>53</v>
      </c>
      <c r="B2" s="3">
        <v>46021</v>
      </c>
      <c r="C2" t="s">
        <v>54</v>
      </c>
      <c r="D2" t="s">
        <v>55</v>
      </c>
      <c r="E2" t="s">
        <v>56</v>
      </c>
      <c r="F2" t="s">
        <v>57</v>
      </c>
      <c r="G2" s="6">
        <v>1</v>
      </c>
      <c r="H2" s="4">
        <v>111.98</v>
      </c>
      <c r="I2" s="4">
        <v>66.45</v>
      </c>
      <c r="J2" s="5">
        <v>0.05</v>
      </c>
      <c r="K2" s="6">
        <v>4</v>
      </c>
      <c r="L2" s="6">
        <v>4</v>
      </c>
      <c r="M2" t="s">
        <v>58</v>
      </c>
      <c r="N2" t="s">
        <v>59</v>
      </c>
      <c r="O2" t="s">
        <v>60</v>
      </c>
      <c r="P2" t="str">
        <f t="shared" ref="P2:P65" si="0">IF(TRIM(D2)="","Unknow",PROPER(TRIM(D2)))</f>
        <v>Small Business</v>
      </c>
      <c r="Q2" t="str">
        <f t="shared" ref="Q2:Q65" si="1">IF(PROPER(TRIM(C2))="Mid Lands","Midlands",PROPER(TRIM(C2)))</f>
        <v>North</v>
      </c>
      <c r="R2" t="str">
        <f>PROPER(TRIM(E2))</f>
        <v>Home &amp; Kitchen</v>
      </c>
      <c r="S2" s="27">
        <f>IF(ISTEXT(B2),DATEVALUE(B2),B2)</f>
        <v>46021</v>
      </c>
      <c r="T2" s="27">
        <f>COUNTIF($A$2:$A$1986,A2)</f>
        <v>1</v>
      </c>
      <c r="U2" s="27" t="str">
        <f t="shared" ref="U2:U65" si="2">TRIM(F2)</f>
        <v>Air Fryer</v>
      </c>
      <c r="V2" s="27">
        <f t="shared" ref="V2:V65" si="3">G2*H2*(1-J2)</f>
        <v>106.381</v>
      </c>
      <c r="W2" s="27">
        <f t="shared" ref="W2:W65" si="4">G2*I2</f>
        <v>66.45</v>
      </c>
      <c r="X2" s="27">
        <f>RawSalesTable3[[#This Row],[Revenue]]-RawSalesTable3[[#This Row],[Total_Cost]]</f>
        <v>39.930999999999997</v>
      </c>
      <c r="Y2" s="28">
        <f>RawSalesTable3[[#This Row],[Profit]]/RawSalesTable3[[#This Row],[Revenue]]</f>
        <v>0.37535838166589897</v>
      </c>
      <c r="Z2" s="27" t="str">
        <f>TEXT(RawSalesTable3[[#This Row],[Order_Date_Clean]],"MMM YYYY")</f>
        <v>Dec 2025</v>
      </c>
      <c r="AA2" s="30">
        <v>45658</v>
      </c>
      <c r="AB2" s="27">
        <f>SUMIF($Z:$Z,AA2,$V:$V)</f>
        <v>19155.679499999998</v>
      </c>
      <c r="AC2" s="27">
        <f t="shared" ref="AC2:AC65" si="5">SUMIF($Z:$Z,AA2,$X:$X)</f>
        <v>7301.8695000000007</v>
      </c>
    </row>
    <row r="3" spans="1:29">
      <c r="A3" t="s">
        <v>61</v>
      </c>
      <c r="B3" s="3">
        <v>45684</v>
      </c>
      <c r="C3" t="s">
        <v>54</v>
      </c>
      <c r="D3" t="s">
        <v>62</v>
      </c>
      <c r="E3" t="s">
        <v>56</v>
      </c>
      <c r="F3" t="s">
        <v>63</v>
      </c>
      <c r="G3" s="6">
        <v>4</v>
      </c>
      <c r="H3" s="4">
        <v>38.96</v>
      </c>
      <c r="I3" s="4">
        <v>20.03</v>
      </c>
      <c r="J3" s="5">
        <v>0</v>
      </c>
      <c r="K3" s="6">
        <v>2</v>
      </c>
      <c r="L3" s="6">
        <v>4</v>
      </c>
      <c r="M3" t="s">
        <v>58</v>
      </c>
      <c r="N3" t="s">
        <v>59</v>
      </c>
      <c r="O3" t="s">
        <v>64</v>
      </c>
      <c r="P3" t="str">
        <f t="shared" si="0"/>
        <v>Individual</v>
      </c>
      <c r="Q3" t="str">
        <f t="shared" si="1"/>
        <v>North</v>
      </c>
      <c r="R3" t="str">
        <f>PROPER(TRIM(E3))</f>
        <v>Home &amp; Kitchen</v>
      </c>
      <c r="S3" s="27">
        <f>IF(ISTEXT(B3),DATEVALUE(B3),B3)</f>
        <v>45684</v>
      </c>
      <c r="T3" s="27">
        <f>COUNTIF($A$2:$A$1986,A3)</f>
        <v>1</v>
      </c>
      <c r="U3" s="27" t="str">
        <f t="shared" si="2"/>
        <v>Electric Kettle</v>
      </c>
      <c r="V3" s="27">
        <f t="shared" si="3"/>
        <v>155.84</v>
      </c>
      <c r="W3" s="27">
        <f t="shared" si="4"/>
        <v>80.12</v>
      </c>
      <c r="X3" s="27">
        <f>RawSalesTable3[[#This Row],[Revenue]]-RawSalesTable3[[#This Row],[Total_Cost]]</f>
        <v>75.72</v>
      </c>
      <c r="Y3" s="28">
        <f>RawSalesTable3[[#This Row],[Profit]]/RawSalesTable3[[#This Row],[Revenue]]</f>
        <v>0.48588295687885008</v>
      </c>
      <c r="Z3" s="27" t="str">
        <f>TEXT(RawSalesTable3[[#This Row],[Order_Date_Clean]],"MMM YYYY")</f>
        <v>Jan 2025</v>
      </c>
      <c r="AA3" s="30">
        <v>45689</v>
      </c>
      <c r="AB3" s="27">
        <f t="shared" ref="AB3:AB65" si="6">SUMIF($Z:$Z,AA3,$V:$V)</f>
        <v>18837.464000000007</v>
      </c>
      <c r="AC3" s="27">
        <f t="shared" si="5"/>
        <v>7185.1439999999984</v>
      </c>
    </row>
    <row r="4" spans="1:29">
      <c r="A4" t="s">
        <v>65</v>
      </c>
      <c r="B4" s="3">
        <v>45754</v>
      </c>
      <c r="C4" t="s">
        <v>66</v>
      </c>
      <c r="D4" t="s">
        <v>62</v>
      </c>
      <c r="E4" t="s">
        <v>67</v>
      </c>
      <c r="F4" t="s">
        <v>68</v>
      </c>
      <c r="G4" s="6">
        <v>1</v>
      </c>
      <c r="H4" s="4">
        <v>40.770000000000003</v>
      </c>
      <c r="I4" s="4">
        <v>18.87</v>
      </c>
      <c r="J4" s="5">
        <v>0.05</v>
      </c>
      <c r="K4" s="6">
        <v>3</v>
      </c>
      <c r="L4" s="6">
        <v>5</v>
      </c>
      <c r="M4" t="s">
        <v>58</v>
      </c>
      <c r="N4" t="s">
        <v>69</v>
      </c>
      <c r="O4" t="s">
        <v>64</v>
      </c>
      <c r="P4" t="str">
        <f t="shared" si="0"/>
        <v>Individual</v>
      </c>
      <c r="Q4" t="str">
        <f t="shared" si="1"/>
        <v>South</v>
      </c>
      <c r="R4" t="str">
        <f>PROPER(TRIM(E4))</f>
        <v>Office</v>
      </c>
      <c r="S4" s="27">
        <f>IF(ISTEXT(B4),DATEVALUE(B4),B4)</f>
        <v>45754</v>
      </c>
      <c r="T4" s="27">
        <f>COUNTIF($A$2:$A$1986,A4)</f>
        <v>1</v>
      </c>
      <c r="U4" s="27" t="str">
        <f t="shared" si="2"/>
        <v>Desk Lamp</v>
      </c>
      <c r="V4" s="27">
        <f t="shared" si="3"/>
        <v>38.731500000000004</v>
      </c>
      <c r="W4" s="27">
        <f t="shared" si="4"/>
        <v>18.87</v>
      </c>
      <c r="X4" s="27">
        <f>RawSalesTable3[[#This Row],[Revenue]]-RawSalesTable3[[#This Row],[Total_Cost]]</f>
        <v>19.861500000000003</v>
      </c>
      <c r="Y4" s="28">
        <f>RawSalesTable3[[#This Row],[Profit]]/RawSalesTable3[[#This Row],[Revenue]]</f>
        <v>0.51279965919213044</v>
      </c>
      <c r="Z4" s="27" t="str">
        <f>TEXT(RawSalesTable3[[#This Row],[Order_Date_Clean]],"MMM YYYY")</f>
        <v>Apr 2025</v>
      </c>
      <c r="AA4" s="30">
        <v>45717</v>
      </c>
      <c r="AB4" s="27">
        <f>SUMIF($Z:$Z,AA4,$V:$V)</f>
        <v>25605.289500000006</v>
      </c>
      <c r="AC4" s="27">
        <f t="shared" si="5"/>
        <v>9749.5895</v>
      </c>
    </row>
    <row r="5" spans="1:29">
      <c r="A5" t="s">
        <v>70</v>
      </c>
      <c r="B5" s="3">
        <v>46012</v>
      </c>
      <c r="C5" t="s">
        <v>54</v>
      </c>
      <c r="D5" t="s">
        <v>62</v>
      </c>
      <c r="E5" t="s">
        <v>67</v>
      </c>
      <c r="F5" t="s">
        <v>71</v>
      </c>
      <c r="G5" s="6">
        <v>1</v>
      </c>
      <c r="H5" s="4">
        <v>69.72</v>
      </c>
      <c r="I5" s="4">
        <v>37.11</v>
      </c>
      <c r="J5" s="5">
        <v>0.1</v>
      </c>
      <c r="K5" s="6">
        <v>2</v>
      </c>
      <c r="L5" s="6">
        <v>4</v>
      </c>
      <c r="M5" t="s">
        <v>58</v>
      </c>
      <c r="N5" t="s">
        <v>69</v>
      </c>
      <c r="O5" t="s">
        <v>64</v>
      </c>
      <c r="P5" t="str">
        <f t="shared" si="0"/>
        <v>Individual</v>
      </c>
      <c r="Q5" t="str">
        <f t="shared" si="1"/>
        <v>North</v>
      </c>
      <c r="R5" t="str">
        <f>PROPER(TRIM(E5))</f>
        <v>Office</v>
      </c>
      <c r="S5" s="27">
        <f>IF(ISTEXT(B5),DATEVALUE(B5),B5)</f>
        <v>46012</v>
      </c>
      <c r="T5" s="27">
        <f>COUNTIF($A$2:$A$1986,A5)</f>
        <v>1</v>
      </c>
      <c r="U5" s="27" t="str">
        <f t="shared" si="2"/>
        <v>Ergonomic Keyboard</v>
      </c>
      <c r="V5" s="27">
        <f t="shared" si="3"/>
        <v>62.747999999999998</v>
      </c>
      <c r="W5" s="27">
        <f t="shared" si="4"/>
        <v>37.11</v>
      </c>
      <c r="X5" s="27">
        <f>RawSalesTable3[[#This Row],[Revenue]]-RawSalesTable3[[#This Row],[Total_Cost]]</f>
        <v>25.637999999999998</v>
      </c>
      <c r="Y5" s="28">
        <f>RawSalesTable3[[#This Row],[Profit]]/RawSalesTable3[[#This Row],[Revenue]]</f>
        <v>0.40858672786383626</v>
      </c>
      <c r="Z5" s="27" t="str">
        <f>TEXT(RawSalesTable3[[#This Row],[Order_Date_Clean]],"MMM YYYY")</f>
        <v>Dec 2025</v>
      </c>
      <c r="AA5" s="30">
        <v>45748</v>
      </c>
      <c r="AB5" s="27">
        <f t="shared" si="6"/>
        <v>22190.120999999992</v>
      </c>
      <c r="AC5" s="27">
        <f t="shared" si="5"/>
        <v>8555.9110000000019</v>
      </c>
    </row>
    <row r="6" spans="1:29">
      <c r="A6" t="s">
        <v>72</v>
      </c>
      <c r="B6" s="3">
        <v>45799</v>
      </c>
      <c r="C6" t="s">
        <v>66</v>
      </c>
      <c r="D6" t="s">
        <v>62</v>
      </c>
      <c r="E6" t="s">
        <v>67</v>
      </c>
      <c r="F6" t="s">
        <v>71</v>
      </c>
      <c r="G6" s="6">
        <v>2</v>
      </c>
      <c r="H6" s="4">
        <v>69.760000000000005</v>
      </c>
      <c r="I6" s="4">
        <v>39.1</v>
      </c>
      <c r="J6" s="5">
        <v>0.05</v>
      </c>
      <c r="K6" s="6">
        <v>2</v>
      </c>
      <c r="L6" s="6">
        <v>4</v>
      </c>
      <c r="M6" t="s">
        <v>58</v>
      </c>
      <c r="N6" t="s">
        <v>59</v>
      </c>
      <c r="O6" t="s">
        <v>73</v>
      </c>
      <c r="P6" t="str">
        <f t="shared" si="0"/>
        <v>Individual</v>
      </c>
      <c r="Q6" t="str">
        <f t="shared" si="1"/>
        <v>South</v>
      </c>
      <c r="R6" t="str">
        <f>PROPER(TRIM(E6))</f>
        <v>Office</v>
      </c>
      <c r="S6" s="27">
        <f>IF(ISTEXT(B6),DATEVALUE(B6),B6)</f>
        <v>45799</v>
      </c>
      <c r="T6" s="27">
        <f>COUNTIF($A$2:$A$1986,A6)</f>
        <v>1</v>
      </c>
      <c r="U6" s="27" t="str">
        <f t="shared" si="2"/>
        <v>Ergonomic Keyboard</v>
      </c>
      <c r="V6" s="27">
        <f t="shared" si="3"/>
        <v>132.54400000000001</v>
      </c>
      <c r="W6" s="27">
        <f t="shared" si="4"/>
        <v>78.2</v>
      </c>
      <c r="X6" s="27">
        <f>RawSalesTable3[[#This Row],[Revenue]]-RawSalesTable3[[#This Row],[Total_Cost]]</f>
        <v>54.344000000000008</v>
      </c>
      <c r="Y6" s="28">
        <f>RawSalesTable3[[#This Row],[Profit]]/RawSalesTable3[[#This Row],[Revenue]]</f>
        <v>0.4100072428778368</v>
      </c>
      <c r="Z6" s="27" t="str">
        <f>TEXT(RawSalesTable3[[#This Row],[Order_Date_Clean]],"MMM YYYY")</f>
        <v>May 2025</v>
      </c>
      <c r="AA6" s="30">
        <v>45778</v>
      </c>
      <c r="AB6" s="27">
        <f t="shared" si="6"/>
        <v>26065.342500000013</v>
      </c>
      <c r="AC6" s="27">
        <f t="shared" si="5"/>
        <v>9889.8325000000059</v>
      </c>
    </row>
    <row r="7" spans="1:29">
      <c r="A7" t="s">
        <v>74</v>
      </c>
      <c r="B7" s="3">
        <v>45885</v>
      </c>
      <c r="C7" t="s">
        <v>66</v>
      </c>
      <c r="D7" t="s">
        <v>62</v>
      </c>
      <c r="E7" t="s">
        <v>75</v>
      </c>
      <c r="F7" t="s">
        <v>76</v>
      </c>
      <c r="G7" s="6">
        <v>2</v>
      </c>
      <c r="H7" s="4">
        <v>123.95</v>
      </c>
      <c r="I7" s="4">
        <v>74.430000000000007</v>
      </c>
      <c r="J7" s="5">
        <v>0.05</v>
      </c>
      <c r="K7" s="6">
        <v>6</v>
      </c>
      <c r="L7" s="6">
        <v>4</v>
      </c>
      <c r="M7" t="s">
        <v>58</v>
      </c>
      <c r="N7" t="s">
        <v>69</v>
      </c>
      <c r="O7" t="s">
        <v>64</v>
      </c>
      <c r="P7" t="str">
        <f t="shared" si="0"/>
        <v>Individual</v>
      </c>
      <c r="Q7" t="str">
        <f t="shared" si="1"/>
        <v>South</v>
      </c>
      <c r="R7" t="str">
        <f>PROPER(TRIM(E7))</f>
        <v>Furniture</v>
      </c>
      <c r="S7" s="27">
        <f>IF(ISTEXT(B7),DATEVALUE(B7),B7)</f>
        <v>45885</v>
      </c>
      <c r="T7" s="27">
        <f>COUNTIF($A$2:$A$1986,A7)</f>
        <v>1</v>
      </c>
      <c r="U7" s="27" t="str">
        <f t="shared" si="2"/>
        <v>Bookshelf</v>
      </c>
      <c r="V7" s="27">
        <f t="shared" si="3"/>
        <v>235.505</v>
      </c>
      <c r="W7" s="27">
        <f t="shared" si="4"/>
        <v>148.86000000000001</v>
      </c>
      <c r="X7" s="27">
        <f>RawSalesTable3[[#This Row],[Revenue]]-RawSalesTable3[[#This Row],[Total_Cost]]</f>
        <v>86.644999999999982</v>
      </c>
      <c r="Y7" s="28">
        <f>RawSalesTable3[[#This Row],[Profit]]/RawSalesTable3[[#This Row],[Revenue]]</f>
        <v>0.36791150930978106</v>
      </c>
      <c r="Z7" s="27" t="str">
        <f>TEXT(RawSalesTable3[[#This Row],[Order_Date_Clean]],"MMM YYYY")</f>
        <v>Aug 2025</v>
      </c>
      <c r="AA7" s="30">
        <v>45809</v>
      </c>
      <c r="AB7" s="27">
        <f t="shared" si="6"/>
        <v>27474.091000000004</v>
      </c>
      <c r="AC7" s="27">
        <f t="shared" si="5"/>
        <v>11007.321</v>
      </c>
    </row>
    <row r="8" spans="1:29">
      <c r="A8" t="s">
        <v>77</v>
      </c>
      <c r="B8" s="3">
        <v>46019</v>
      </c>
      <c r="C8" t="s">
        <v>78</v>
      </c>
      <c r="D8" t="s">
        <v>62</v>
      </c>
      <c r="E8" t="s">
        <v>79</v>
      </c>
      <c r="F8" t="s">
        <v>80</v>
      </c>
      <c r="G8" s="6">
        <v>1</v>
      </c>
      <c r="H8" s="4">
        <v>75.23</v>
      </c>
      <c r="I8" s="4">
        <v>43.32</v>
      </c>
      <c r="J8" s="5">
        <v>0.15000000000000002</v>
      </c>
      <c r="K8" s="6">
        <v>3</v>
      </c>
      <c r="L8" s="6">
        <v>5</v>
      </c>
      <c r="M8" t="s">
        <v>58</v>
      </c>
      <c r="N8" t="s">
        <v>59</v>
      </c>
      <c r="O8" t="s">
        <v>64</v>
      </c>
      <c r="P8" t="str">
        <f t="shared" si="0"/>
        <v>Individual</v>
      </c>
      <c r="Q8" t="str">
        <f t="shared" si="1"/>
        <v>London</v>
      </c>
      <c r="R8" t="str">
        <f>PROPER(TRIM(E8))</f>
        <v>Electronics</v>
      </c>
      <c r="S8" s="27">
        <f>IF(ISTEXT(B8),DATEVALUE(B8),B8)</f>
        <v>46019</v>
      </c>
      <c r="T8" s="27">
        <f>COUNTIF($A$2:$A$1986,A8)</f>
        <v>1</v>
      </c>
      <c r="U8" s="27" t="str">
        <f t="shared" si="2"/>
        <v>Portable Speaker</v>
      </c>
      <c r="V8" s="27">
        <f t="shared" si="3"/>
        <v>63.945500000000003</v>
      </c>
      <c r="W8" s="27">
        <f t="shared" si="4"/>
        <v>43.32</v>
      </c>
      <c r="X8" s="27">
        <f>RawSalesTable3[[#This Row],[Revenue]]-RawSalesTable3[[#This Row],[Total_Cost]]</f>
        <v>20.625500000000002</v>
      </c>
      <c r="Y8" s="28">
        <f>RawSalesTable3[[#This Row],[Profit]]/RawSalesTable3[[#This Row],[Revenue]]</f>
        <v>0.32254810737268458</v>
      </c>
      <c r="Z8" s="27" t="str">
        <f>TEXT(RawSalesTable3[[#This Row],[Order_Date_Clean]],"MMM YYYY")</f>
        <v>Dec 2025</v>
      </c>
      <c r="AA8" s="30">
        <v>45839</v>
      </c>
      <c r="AB8" s="27">
        <f t="shared" si="6"/>
        <v>25960.081499999993</v>
      </c>
      <c r="AC8" s="27">
        <f t="shared" si="5"/>
        <v>9776.2715000000007</v>
      </c>
    </row>
    <row r="9" spans="1:29">
      <c r="A9" t="s">
        <v>81</v>
      </c>
      <c r="B9" s="3">
        <v>46001</v>
      </c>
      <c r="C9" t="s">
        <v>82</v>
      </c>
      <c r="D9" t="s">
        <v>55</v>
      </c>
      <c r="E9" t="s">
        <v>56</v>
      </c>
      <c r="F9" t="s">
        <v>83</v>
      </c>
      <c r="G9" s="6">
        <v>2</v>
      </c>
      <c r="H9" s="4">
        <v>64.47</v>
      </c>
      <c r="I9" s="4">
        <v>35.700000000000003</v>
      </c>
      <c r="J9" s="5">
        <v>0.05</v>
      </c>
      <c r="K9" s="6">
        <v>0</v>
      </c>
      <c r="L9" s="6">
        <v>5</v>
      </c>
      <c r="M9" t="s">
        <v>58</v>
      </c>
      <c r="N9" t="s">
        <v>69</v>
      </c>
      <c r="O9" t="s">
        <v>64</v>
      </c>
      <c r="P9" t="str">
        <f t="shared" si="0"/>
        <v>Small Business</v>
      </c>
      <c r="Q9" t="str">
        <f t="shared" si="1"/>
        <v>Midlands</v>
      </c>
      <c r="R9" t="str">
        <f>PROPER(TRIM(E9))</f>
        <v>Home &amp; Kitchen</v>
      </c>
      <c r="S9" s="27">
        <f>IF(ISTEXT(B9),DATEVALUE(B9),B9)</f>
        <v>46001</v>
      </c>
      <c r="T9" s="27">
        <f>COUNTIF($A$2:$A$1986,A9)</f>
        <v>1</v>
      </c>
      <c r="U9" s="27" t="str">
        <f t="shared" si="2"/>
        <v>Blender</v>
      </c>
      <c r="V9" s="27">
        <f t="shared" si="3"/>
        <v>122.49299999999999</v>
      </c>
      <c r="W9" s="27">
        <f t="shared" si="4"/>
        <v>71.400000000000006</v>
      </c>
      <c r="X9" s="27">
        <f>RawSalesTable3[[#This Row],[Revenue]]-RawSalesTable3[[#This Row],[Total_Cost]]</f>
        <v>51.092999999999989</v>
      </c>
      <c r="Y9" s="28">
        <f>RawSalesTable3[[#This Row],[Profit]]/RawSalesTable3[[#This Row],[Revenue]]</f>
        <v>0.41710954911709236</v>
      </c>
      <c r="Z9" s="27" t="str">
        <f>TEXT(RawSalesTable3[[#This Row],[Order_Date_Clean]],"MMM YYYY")</f>
        <v>Dec 2025</v>
      </c>
      <c r="AA9" s="30">
        <v>45870</v>
      </c>
      <c r="AB9" s="27">
        <f t="shared" si="6"/>
        <v>24061.521499999992</v>
      </c>
      <c r="AC9" s="27">
        <f t="shared" si="5"/>
        <v>9323.1214999999975</v>
      </c>
    </row>
    <row r="10" spans="1:29">
      <c r="A10" t="s">
        <v>84</v>
      </c>
      <c r="B10" s="3">
        <v>45990</v>
      </c>
      <c r="C10" t="s">
        <v>78</v>
      </c>
      <c r="D10" t="s">
        <v>62</v>
      </c>
      <c r="E10" t="s">
        <v>79</v>
      </c>
      <c r="F10" t="s">
        <v>85</v>
      </c>
      <c r="G10" s="6">
        <v>1</v>
      </c>
      <c r="H10" s="4">
        <v>128.37</v>
      </c>
      <c r="I10" s="4">
        <v>86.52</v>
      </c>
      <c r="J10" s="5">
        <v>0.15000000000000002</v>
      </c>
      <c r="K10" s="6">
        <v>3</v>
      </c>
      <c r="L10" s="6">
        <v>4</v>
      </c>
      <c r="M10" t="s">
        <v>58</v>
      </c>
      <c r="N10" t="s">
        <v>59</v>
      </c>
      <c r="O10" t="s">
        <v>64</v>
      </c>
      <c r="P10" t="str">
        <f t="shared" si="0"/>
        <v>Individual</v>
      </c>
      <c r="Q10" t="str">
        <f t="shared" si="1"/>
        <v>London</v>
      </c>
      <c r="R10" t="str">
        <f>PROPER(TRIM(E10))</f>
        <v>Electronics</v>
      </c>
      <c r="S10" s="27">
        <f>IF(ISTEXT(B10),DATEVALUE(B10),B10)</f>
        <v>45990</v>
      </c>
      <c r="T10" s="27">
        <f>COUNTIF($A$2:$A$1986,A10)</f>
        <v>1</v>
      </c>
      <c r="U10" s="27" t="str">
        <f t="shared" si="2"/>
        <v>SmartHome Hub</v>
      </c>
      <c r="V10" s="27">
        <f t="shared" si="3"/>
        <v>109.11450000000001</v>
      </c>
      <c r="W10" s="27">
        <f t="shared" si="4"/>
        <v>86.52</v>
      </c>
      <c r="X10" s="27">
        <f>RawSalesTable3[[#This Row],[Revenue]]-RawSalesTable3[[#This Row],[Total_Cost]]</f>
        <v>22.594500000000011</v>
      </c>
      <c r="Y10" s="28">
        <f>RawSalesTable3[[#This Row],[Profit]]/RawSalesTable3[[#This Row],[Revenue]]</f>
        <v>0.2070714707944408</v>
      </c>
      <c r="Z10" s="27" t="str">
        <f>TEXT(RawSalesTable3[[#This Row],[Order_Date_Clean]],"MMM YYYY")</f>
        <v>Nov 2025</v>
      </c>
      <c r="AA10" s="30">
        <v>45901</v>
      </c>
      <c r="AB10" s="27">
        <f t="shared" si="6"/>
        <v>32358.777000000006</v>
      </c>
      <c r="AC10" s="27">
        <f t="shared" si="5"/>
        <v>12255.047000000006</v>
      </c>
    </row>
    <row r="11" spans="1:29">
      <c r="A11" t="s">
        <v>86</v>
      </c>
      <c r="B11" s="3">
        <v>45869</v>
      </c>
      <c r="C11" t="s">
        <v>54</v>
      </c>
      <c r="D11" t="s">
        <v>62</v>
      </c>
      <c r="E11" t="s">
        <v>67</v>
      </c>
      <c r="F11" t="s">
        <v>68</v>
      </c>
      <c r="G11" s="6">
        <v>1</v>
      </c>
      <c r="H11" s="4">
        <v>39.700000000000003</v>
      </c>
      <c r="I11" s="4">
        <v>19.93</v>
      </c>
      <c r="J11" s="5">
        <v>0.05</v>
      </c>
      <c r="K11" s="6">
        <v>5</v>
      </c>
      <c r="L11" s="6">
        <v>4</v>
      </c>
      <c r="M11" t="s">
        <v>58</v>
      </c>
      <c r="N11" t="s">
        <v>87</v>
      </c>
      <c r="O11" t="s">
        <v>60</v>
      </c>
      <c r="P11" t="str">
        <f t="shared" si="0"/>
        <v>Individual</v>
      </c>
      <c r="Q11" t="str">
        <f t="shared" si="1"/>
        <v>North</v>
      </c>
      <c r="R11" t="str">
        <f>PROPER(TRIM(E11))</f>
        <v>Office</v>
      </c>
      <c r="S11" s="27">
        <f>IF(ISTEXT(B11),DATEVALUE(B11),B11)</f>
        <v>45869</v>
      </c>
      <c r="T11" s="27">
        <f>COUNTIF($A$2:$A$1986,A11)</f>
        <v>1</v>
      </c>
      <c r="U11" s="27" t="str">
        <f t="shared" si="2"/>
        <v>Desk Lamp</v>
      </c>
      <c r="V11" s="27">
        <f t="shared" si="3"/>
        <v>37.715000000000003</v>
      </c>
      <c r="W11" s="27">
        <f t="shared" si="4"/>
        <v>19.93</v>
      </c>
      <c r="X11" s="27">
        <f>RawSalesTable3[[#This Row],[Revenue]]-RawSalesTable3[[#This Row],[Total_Cost]]</f>
        <v>17.785000000000004</v>
      </c>
      <c r="Y11" s="28">
        <f>RawSalesTable3[[#This Row],[Profit]]/RawSalesTable3[[#This Row],[Revenue]]</f>
        <v>0.47156303857881487</v>
      </c>
      <c r="Z11" s="27" t="str">
        <f>TEXT(RawSalesTable3[[#This Row],[Order_Date_Clean]],"MMM YYYY")</f>
        <v>Jul 2025</v>
      </c>
      <c r="AA11" s="30">
        <v>45931</v>
      </c>
      <c r="AB11" s="27">
        <f t="shared" si="6"/>
        <v>28789.269499999999</v>
      </c>
      <c r="AC11" s="27">
        <f t="shared" si="5"/>
        <v>11226.949499999999</v>
      </c>
    </row>
    <row r="12" spans="1:29">
      <c r="A12" t="s">
        <v>88</v>
      </c>
      <c r="B12" s="3">
        <v>45986</v>
      </c>
      <c r="C12" t="s">
        <v>66</v>
      </c>
      <c r="D12" t="s">
        <v>62</v>
      </c>
      <c r="E12" t="s">
        <v>56</v>
      </c>
      <c r="F12" t="s">
        <v>89</v>
      </c>
      <c r="G12" s="6">
        <v>1</v>
      </c>
      <c r="H12" s="4">
        <v>78.239999999999995</v>
      </c>
      <c r="I12" s="4">
        <v>46.98</v>
      </c>
      <c r="J12" s="5">
        <v>0.1</v>
      </c>
      <c r="K12" s="6">
        <v>4</v>
      </c>
      <c r="L12" s="6">
        <v>4</v>
      </c>
      <c r="M12" t="s">
        <v>58</v>
      </c>
      <c r="N12" t="s">
        <v>59</v>
      </c>
      <c r="O12" t="s">
        <v>60</v>
      </c>
      <c r="P12" t="str">
        <f t="shared" si="0"/>
        <v>Individual</v>
      </c>
      <c r="Q12" t="str">
        <f t="shared" si="1"/>
        <v>South</v>
      </c>
      <c r="R12" t="str">
        <f>PROPER(TRIM(E12))</f>
        <v>Home &amp; Kitchen</v>
      </c>
      <c r="S12" s="27">
        <f>IF(ISTEXT(B12),DATEVALUE(B12),B12)</f>
        <v>45986</v>
      </c>
      <c r="T12" s="27">
        <f>COUNTIF($A$2:$A$1986,A12)</f>
        <v>1</v>
      </c>
      <c r="U12" s="27" t="str">
        <f t="shared" si="2"/>
        <v>Coffee Maker</v>
      </c>
      <c r="V12" s="27">
        <f t="shared" si="3"/>
        <v>70.415999999999997</v>
      </c>
      <c r="W12" s="27">
        <f t="shared" si="4"/>
        <v>46.98</v>
      </c>
      <c r="X12" s="27">
        <f>RawSalesTable3[[#This Row],[Revenue]]-RawSalesTable3[[#This Row],[Total_Cost]]</f>
        <v>23.436</v>
      </c>
      <c r="Y12" s="28">
        <f>RawSalesTable3[[#This Row],[Profit]]/RawSalesTable3[[#This Row],[Revenue]]</f>
        <v>0.33282208588957057</v>
      </c>
      <c r="Z12" s="27" t="str">
        <f>TEXT(RawSalesTable3[[#This Row],[Order_Date_Clean]],"MMM YYYY")</f>
        <v>Nov 2025</v>
      </c>
      <c r="AA12" s="30">
        <v>45962</v>
      </c>
      <c r="AB12" s="27">
        <f t="shared" si="6"/>
        <v>37551.976500000012</v>
      </c>
      <c r="AC12" s="27">
        <f t="shared" si="5"/>
        <v>12493.116500000007</v>
      </c>
    </row>
    <row r="13" spans="1:29">
      <c r="A13" t="s">
        <v>90</v>
      </c>
      <c r="B13" s="3">
        <v>45992</v>
      </c>
      <c r="C13" t="s">
        <v>78</v>
      </c>
      <c r="D13" t="s">
        <v>62</v>
      </c>
      <c r="E13" t="s">
        <v>79</v>
      </c>
      <c r="F13" t="s">
        <v>85</v>
      </c>
      <c r="G13" s="6">
        <v>4</v>
      </c>
      <c r="H13" s="4">
        <v>134.97</v>
      </c>
      <c r="I13" s="4">
        <v>82.26</v>
      </c>
      <c r="J13" s="5">
        <v>0.15000000000000002</v>
      </c>
      <c r="K13" s="6">
        <v>0</v>
      </c>
      <c r="L13" s="6">
        <v>4</v>
      </c>
      <c r="M13" t="s">
        <v>58</v>
      </c>
      <c r="N13" t="s">
        <v>69</v>
      </c>
      <c r="O13" t="s">
        <v>64</v>
      </c>
      <c r="P13" t="str">
        <f t="shared" si="0"/>
        <v>Individual</v>
      </c>
      <c r="Q13" t="str">
        <f t="shared" si="1"/>
        <v>London</v>
      </c>
      <c r="R13" t="str">
        <f>PROPER(TRIM(E13))</f>
        <v>Electronics</v>
      </c>
      <c r="S13" s="27">
        <f>IF(ISTEXT(B13),DATEVALUE(B13),B13)</f>
        <v>45992</v>
      </c>
      <c r="T13" s="27">
        <f>COUNTIF($A$2:$A$1986,A13)</f>
        <v>1</v>
      </c>
      <c r="U13" s="27" t="str">
        <f t="shared" si="2"/>
        <v>SmartHome Hub</v>
      </c>
      <c r="V13" s="27">
        <f t="shared" si="3"/>
        <v>458.89799999999997</v>
      </c>
      <c r="W13" s="27">
        <f t="shared" si="4"/>
        <v>329.04</v>
      </c>
      <c r="X13" s="27">
        <f>RawSalesTable3[[#This Row],[Revenue]]-RawSalesTable3[[#This Row],[Total_Cost]]</f>
        <v>129.85799999999995</v>
      </c>
      <c r="Y13" s="28">
        <f>RawSalesTable3[[#This Row],[Profit]]/RawSalesTable3[[#This Row],[Revenue]]</f>
        <v>0.28297791666121874</v>
      </c>
      <c r="Z13" s="27" t="str">
        <f>TEXT(RawSalesTable3[[#This Row],[Order_Date_Clean]],"MMM YYYY")</f>
        <v>Dec 2025</v>
      </c>
      <c r="AA13" s="30">
        <v>45992</v>
      </c>
      <c r="AB13" s="27">
        <f t="shared" si="6"/>
        <v>43503.263500000001</v>
      </c>
      <c r="AC13" s="27">
        <f t="shared" si="5"/>
        <v>14783.083500000001</v>
      </c>
    </row>
    <row r="14" spans="1:29">
      <c r="A14" t="s">
        <v>91</v>
      </c>
      <c r="B14" s="3">
        <v>45886</v>
      </c>
      <c r="C14" t="s">
        <v>78</v>
      </c>
      <c r="D14" t="s">
        <v>62</v>
      </c>
      <c r="E14" t="s">
        <v>79</v>
      </c>
      <c r="F14" t="s">
        <v>92</v>
      </c>
      <c r="G14" s="6">
        <v>1</v>
      </c>
      <c r="H14" s="4">
        <v>51.98</v>
      </c>
      <c r="I14" s="4">
        <v>25.56</v>
      </c>
      <c r="J14" s="5">
        <v>0</v>
      </c>
      <c r="K14" s="6">
        <v>2</v>
      </c>
      <c r="L14" s="6">
        <v>4</v>
      </c>
      <c r="M14" t="s">
        <v>58</v>
      </c>
      <c r="N14" t="s">
        <v>59</v>
      </c>
      <c r="O14" t="s">
        <v>64</v>
      </c>
      <c r="P14" t="str">
        <f t="shared" si="0"/>
        <v>Individual</v>
      </c>
      <c r="Q14" t="str">
        <f t="shared" si="1"/>
        <v>London</v>
      </c>
      <c r="R14" t="str">
        <f>PROPER(TRIM(E14))</f>
        <v>Electronics</v>
      </c>
      <c r="S14" s="27">
        <f>IF(ISTEXT(B14),DATEVALUE(B14),B14)</f>
        <v>45886</v>
      </c>
      <c r="T14" s="27">
        <f>COUNTIF($A$2:$A$1986,A14)</f>
        <v>1</v>
      </c>
      <c r="U14" s="27" t="str">
        <f t="shared" si="2"/>
        <v>Webcam</v>
      </c>
      <c r="V14" s="27">
        <f t="shared" si="3"/>
        <v>51.98</v>
      </c>
      <c r="W14" s="27">
        <f t="shared" si="4"/>
        <v>25.56</v>
      </c>
      <c r="X14" s="27">
        <f>RawSalesTable3[[#This Row],[Revenue]]-RawSalesTable3[[#This Row],[Total_Cost]]</f>
        <v>26.419999999999998</v>
      </c>
      <c r="Y14" s="28">
        <f>RawSalesTable3[[#This Row],[Profit]]/RawSalesTable3[[#This Row],[Revenue]]</f>
        <v>0.50827241246633315</v>
      </c>
      <c r="Z14" s="27" t="str">
        <f>TEXT(RawSalesTable3[[#This Row],[Order_Date_Clean]],"MMM YYYY")</f>
        <v>Aug 2025</v>
      </c>
      <c r="AA14" s="27"/>
      <c r="AB14" s="27">
        <f t="shared" si="6"/>
        <v>0</v>
      </c>
      <c r="AC14" s="27">
        <f t="shared" si="5"/>
        <v>0</v>
      </c>
    </row>
    <row r="15" spans="1:29">
      <c r="A15" t="s">
        <v>93</v>
      </c>
      <c r="B15" s="3">
        <v>45808</v>
      </c>
      <c r="C15" t="s">
        <v>66</v>
      </c>
      <c r="D15" t="s">
        <v>62</v>
      </c>
      <c r="E15" t="s">
        <v>67</v>
      </c>
      <c r="F15" t="s">
        <v>94</v>
      </c>
      <c r="G15" s="6">
        <v>2</v>
      </c>
      <c r="H15" s="4">
        <v>35.96</v>
      </c>
      <c r="I15" s="4">
        <v>17</v>
      </c>
      <c r="J15" s="5">
        <v>0</v>
      </c>
      <c r="K15" s="6">
        <v>2</v>
      </c>
      <c r="L15" s="6">
        <v>4</v>
      </c>
      <c r="M15" t="s">
        <v>58</v>
      </c>
      <c r="N15" t="s">
        <v>59</v>
      </c>
      <c r="O15" t="s">
        <v>64</v>
      </c>
      <c r="P15" t="str">
        <f t="shared" si="0"/>
        <v>Individual</v>
      </c>
      <c r="Q15" t="str">
        <f t="shared" si="1"/>
        <v>South</v>
      </c>
      <c r="R15" t="str">
        <f>PROPER(TRIM(E15))</f>
        <v>Office</v>
      </c>
      <c r="S15" s="27">
        <f>IF(ISTEXT(B15),DATEVALUE(B15),B15)</f>
        <v>45808</v>
      </c>
      <c r="T15" s="27">
        <f>COUNTIF($A$2:$A$1986,A15)</f>
        <v>1</v>
      </c>
      <c r="U15" s="27" t="str">
        <f t="shared" si="2"/>
        <v>Wireless Mouse</v>
      </c>
      <c r="V15" s="27">
        <f t="shared" si="3"/>
        <v>71.92</v>
      </c>
      <c r="W15" s="27">
        <f t="shared" si="4"/>
        <v>34</v>
      </c>
      <c r="X15" s="27">
        <f>RawSalesTable3[[#This Row],[Revenue]]-RawSalesTable3[[#This Row],[Total_Cost]]</f>
        <v>37.92</v>
      </c>
      <c r="Y15" s="28">
        <f>RawSalesTable3[[#This Row],[Profit]]/RawSalesTable3[[#This Row],[Revenue]]</f>
        <v>0.52725250278086766</v>
      </c>
      <c r="Z15" s="27" t="str">
        <f>TEXT(RawSalesTable3[[#This Row],[Order_Date_Clean]],"MMM YYYY")</f>
        <v>May 2025</v>
      </c>
      <c r="AA15" s="27"/>
      <c r="AB15" s="27">
        <f t="shared" si="6"/>
        <v>0</v>
      </c>
      <c r="AC15" s="27">
        <f t="shared" si="5"/>
        <v>0</v>
      </c>
    </row>
    <row r="16" spans="1:29">
      <c r="A16" t="s">
        <v>95</v>
      </c>
      <c r="B16" s="3">
        <v>45682</v>
      </c>
      <c r="C16" t="s">
        <v>78</v>
      </c>
      <c r="D16" t="s">
        <v>62</v>
      </c>
      <c r="E16" t="s">
        <v>79</v>
      </c>
      <c r="F16" t="s">
        <v>92</v>
      </c>
      <c r="G16" s="6">
        <v>2</v>
      </c>
      <c r="H16" s="4">
        <v>49.3</v>
      </c>
      <c r="I16" s="4">
        <v>25.35</v>
      </c>
      <c r="J16" s="5">
        <v>0</v>
      </c>
      <c r="K16" s="6">
        <v>3</v>
      </c>
      <c r="L16" s="6">
        <v>4</v>
      </c>
      <c r="M16" t="s">
        <v>58</v>
      </c>
      <c r="N16" t="s">
        <v>59</v>
      </c>
      <c r="O16" t="s">
        <v>60</v>
      </c>
      <c r="P16" t="str">
        <f t="shared" si="0"/>
        <v>Individual</v>
      </c>
      <c r="Q16" t="str">
        <f t="shared" si="1"/>
        <v>London</v>
      </c>
      <c r="R16" t="str">
        <f>PROPER(TRIM(E16))</f>
        <v>Electronics</v>
      </c>
      <c r="S16" s="27">
        <f>IF(ISTEXT(B16),DATEVALUE(B16),B16)</f>
        <v>45682</v>
      </c>
      <c r="T16" s="27">
        <f>COUNTIF($A$2:$A$1986,A16)</f>
        <v>1</v>
      </c>
      <c r="U16" s="27" t="str">
        <f t="shared" si="2"/>
        <v>Webcam</v>
      </c>
      <c r="V16" s="27">
        <f t="shared" si="3"/>
        <v>98.6</v>
      </c>
      <c r="W16" s="27">
        <f t="shared" si="4"/>
        <v>50.7</v>
      </c>
      <c r="X16" s="27">
        <f>RawSalesTable3[[#This Row],[Revenue]]-RawSalesTable3[[#This Row],[Total_Cost]]</f>
        <v>47.899999999999991</v>
      </c>
      <c r="Y16" s="28">
        <f>RawSalesTable3[[#This Row],[Profit]]/RawSalesTable3[[#This Row],[Revenue]]</f>
        <v>0.48580121703853951</v>
      </c>
      <c r="Z16" s="27" t="str">
        <f>TEXT(RawSalesTable3[[#This Row],[Order_Date_Clean]],"MMM YYYY")</f>
        <v>Jan 2025</v>
      </c>
      <c r="AA16" s="27"/>
      <c r="AB16" s="27">
        <f t="shared" si="6"/>
        <v>0</v>
      </c>
      <c r="AC16" s="27">
        <f t="shared" si="5"/>
        <v>0</v>
      </c>
    </row>
    <row r="17" spans="1:29">
      <c r="A17" t="s">
        <v>96</v>
      </c>
      <c r="B17" s="3">
        <v>45664</v>
      </c>
      <c r="C17" t="s">
        <v>66</v>
      </c>
      <c r="D17" t="s">
        <v>62</v>
      </c>
      <c r="E17" t="s">
        <v>75</v>
      </c>
      <c r="F17" t="s">
        <v>97</v>
      </c>
      <c r="G17" s="6">
        <v>2</v>
      </c>
      <c r="H17" s="4">
        <v>91.21</v>
      </c>
      <c r="I17" s="4">
        <v>55.49</v>
      </c>
      <c r="J17" s="5">
        <v>0.05</v>
      </c>
      <c r="K17" s="6">
        <v>6</v>
      </c>
      <c r="L17" s="6">
        <v>3</v>
      </c>
      <c r="M17" t="s">
        <v>58</v>
      </c>
      <c r="N17" t="s">
        <v>59</v>
      </c>
      <c r="O17" t="s">
        <v>64</v>
      </c>
      <c r="P17" t="str">
        <f t="shared" si="0"/>
        <v>Individual</v>
      </c>
      <c r="Q17" t="str">
        <f t="shared" si="1"/>
        <v>South</v>
      </c>
      <c r="R17" t="str">
        <f>PROPER(TRIM(E17))</f>
        <v>Furniture</v>
      </c>
      <c r="S17" s="27">
        <f>IF(ISTEXT(B17),DATEVALUE(B17),B17)</f>
        <v>45664</v>
      </c>
      <c r="T17" s="27">
        <f>COUNTIF($A$2:$A$1986,A17)</f>
        <v>1</v>
      </c>
      <c r="U17" s="27" t="str">
        <f t="shared" si="2"/>
        <v>Side Table</v>
      </c>
      <c r="V17" s="27">
        <f t="shared" si="3"/>
        <v>173.29899999999998</v>
      </c>
      <c r="W17" s="27">
        <f t="shared" si="4"/>
        <v>110.98</v>
      </c>
      <c r="X17" s="27">
        <f>RawSalesTable3[[#This Row],[Revenue]]-RawSalesTable3[[#This Row],[Total_Cost]]</f>
        <v>62.318999999999974</v>
      </c>
      <c r="Y17" s="28">
        <f>RawSalesTable3[[#This Row],[Profit]]/RawSalesTable3[[#This Row],[Revenue]]</f>
        <v>0.35960392154599841</v>
      </c>
      <c r="Z17" s="27" t="str">
        <f>TEXT(RawSalesTable3[[#This Row],[Order_Date_Clean]],"MMM YYYY")</f>
        <v>Jan 2025</v>
      </c>
      <c r="AA17" s="27"/>
      <c r="AB17" s="27">
        <f t="shared" si="6"/>
        <v>0</v>
      </c>
      <c r="AC17" s="27">
        <f t="shared" si="5"/>
        <v>0</v>
      </c>
    </row>
    <row r="18" spans="1:29">
      <c r="A18" t="s">
        <v>98</v>
      </c>
      <c r="B18" s="3">
        <v>45886</v>
      </c>
      <c r="C18" t="s">
        <v>54</v>
      </c>
      <c r="D18" t="s">
        <v>62</v>
      </c>
      <c r="E18" t="s">
        <v>99</v>
      </c>
      <c r="F18" t="s">
        <v>63</v>
      </c>
      <c r="G18" s="6">
        <v>1</v>
      </c>
      <c r="H18" s="4">
        <v>41.58</v>
      </c>
      <c r="I18" s="4">
        <v>19.77</v>
      </c>
      <c r="J18" s="5">
        <v>0.05</v>
      </c>
      <c r="K18" s="6">
        <v>1</v>
      </c>
      <c r="L18" s="6">
        <v>5</v>
      </c>
      <c r="M18" t="s">
        <v>58</v>
      </c>
      <c r="N18" t="s">
        <v>59</v>
      </c>
      <c r="O18" t="s">
        <v>60</v>
      </c>
      <c r="P18" t="str">
        <f t="shared" si="0"/>
        <v>Individual</v>
      </c>
      <c r="Q18" t="str">
        <f t="shared" si="1"/>
        <v>North</v>
      </c>
      <c r="R18" t="str">
        <f>PROPER(TRIM(E18))</f>
        <v>Home &amp; Kitchen</v>
      </c>
      <c r="S18" s="27">
        <f>IF(ISTEXT(B18),DATEVALUE(B18),B18)</f>
        <v>45886</v>
      </c>
      <c r="T18" s="27">
        <f>COUNTIF($A$2:$A$1986,A18)</f>
        <v>1</v>
      </c>
      <c r="U18" s="27" t="str">
        <f t="shared" si="2"/>
        <v>Electric Kettle</v>
      </c>
      <c r="V18" s="27">
        <f t="shared" si="3"/>
        <v>39.500999999999998</v>
      </c>
      <c r="W18" s="27">
        <f t="shared" si="4"/>
        <v>19.77</v>
      </c>
      <c r="X18" s="27">
        <f>RawSalesTable3[[#This Row],[Revenue]]-RawSalesTable3[[#This Row],[Total_Cost]]</f>
        <v>19.730999999999998</v>
      </c>
      <c r="Y18" s="28">
        <f>RawSalesTable3[[#This Row],[Profit]]/RawSalesTable3[[#This Row],[Revenue]]</f>
        <v>0.49950634161160473</v>
      </c>
      <c r="Z18" s="27" t="str">
        <f>TEXT(RawSalesTable3[[#This Row],[Order_Date_Clean]],"MMM YYYY")</f>
        <v>Aug 2025</v>
      </c>
      <c r="AA18" s="27"/>
      <c r="AB18" s="27">
        <f t="shared" si="6"/>
        <v>0</v>
      </c>
      <c r="AC18" s="27">
        <f t="shared" si="5"/>
        <v>0</v>
      </c>
    </row>
    <row r="19" spans="1:29">
      <c r="A19" t="s">
        <v>100</v>
      </c>
      <c r="B19" s="3" t="s">
        <v>101</v>
      </c>
      <c r="C19" t="s">
        <v>82</v>
      </c>
      <c r="D19" t="s">
        <v>62</v>
      </c>
      <c r="E19" t="s">
        <v>79</v>
      </c>
      <c r="F19" t="s">
        <v>92</v>
      </c>
      <c r="G19" s="6">
        <v>1</v>
      </c>
      <c r="H19" s="4">
        <v>49.41</v>
      </c>
      <c r="I19" s="4">
        <v>25.25</v>
      </c>
      <c r="J19" s="5">
        <v>0</v>
      </c>
      <c r="K19" s="6">
        <v>3</v>
      </c>
      <c r="L19" s="6">
        <v>5</v>
      </c>
      <c r="M19" t="s">
        <v>58</v>
      </c>
      <c r="N19" t="s">
        <v>59</v>
      </c>
      <c r="O19" t="s">
        <v>64</v>
      </c>
      <c r="P19" t="str">
        <f t="shared" si="0"/>
        <v>Individual</v>
      </c>
      <c r="Q19" t="str">
        <f t="shared" si="1"/>
        <v>Midlands</v>
      </c>
      <c r="R19" t="str">
        <f>PROPER(TRIM(E19))</f>
        <v>Electronics</v>
      </c>
      <c r="S19" s="27">
        <f>IF(ISTEXT(B19),DATEVALUE(B19),B19)</f>
        <v>45927</v>
      </c>
      <c r="T19" s="27">
        <f>COUNTIF($A$2:$A$1986,A19)</f>
        <v>1</v>
      </c>
      <c r="U19" s="27" t="str">
        <f t="shared" si="2"/>
        <v>Webcam</v>
      </c>
      <c r="V19" s="27">
        <f t="shared" si="3"/>
        <v>49.41</v>
      </c>
      <c r="W19" s="27">
        <f t="shared" si="4"/>
        <v>25.25</v>
      </c>
      <c r="X19" s="27">
        <f>RawSalesTable3[[#This Row],[Revenue]]-RawSalesTable3[[#This Row],[Total_Cost]]</f>
        <v>24.159999999999997</v>
      </c>
      <c r="Y19" s="28">
        <f>RawSalesTable3[[#This Row],[Profit]]/RawSalesTable3[[#This Row],[Revenue]]</f>
        <v>0.48896984416110095</v>
      </c>
      <c r="Z19" s="27" t="str">
        <f>TEXT(RawSalesTable3[[#This Row],[Order_Date_Clean]],"MMM YYYY")</f>
        <v>Sep 2025</v>
      </c>
      <c r="AA19" s="27"/>
      <c r="AB19" s="27">
        <v>0</v>
      </c>
      <c r="AC19" s="27">
        <f t="shared" si="5"/>
        <v>0</v>
      </c>
    </row>
    <row r="20" spans="1:29">
      <c r="A20" t="s">
        <v>102</v>
      </c>
      <c r="B20" s="3">
        <v>45929</v>
      </c>
      <c r="C20" t="s">
        <v>66</v>
      </c>
      <c r="D20" t="s">
        <v>62</v>
      </c>
      <c r="E20" t="s">
        <v>67</v>
      </c>
      <c r="F20" t="s">
        <v>71</v>
      </c>
      <c r="G20" s="6">
        <v>1</v>
      </c>
      <c r="H20" s="4">
        <v>69.239999999999995</v>
      </c>
      <c r="I20" s="4">
        <v>39.299999999999997</v>
      </c>
      <c r="J20" s="5">
        <v>0.15000000000000002</v>
      </c>
      <c r="K20" s="6">
        <v>2</v>
      </c>
      <c r="L20" s="6">
        <v>5</v>
      </c>
      <c r="M20" t="s">
        <v>58</v>
      </c>
      <c r="N20" t="s">
        <v>59</v>
      </c>
      <c r="O20" t="s">
        <v>64</v>
      </c>
      <c r="P20" t="str">
        <f t="shared" si="0"/>
        <v>Individual</v>
      </c>
      <c r="Q20" t="str">
        <f t="shared" si="1"/>
        <v>South</v>
      </c>
      <c r="R20" t="str">
        <f>PROPER(TRIM(E20))</f>
        <v>Office</v>
      </c>
      <c r="S20" s="27">
        <f>IF(ISTEXT(B20),DATEVALUE(B20),B20)</f>
        <v>45929</v>
      </c>
      <c r="T20" s="27">
        <f>COUNTIF($A$2:$A$1986,A20)</f>
        <v>1</v>
      </c>
      <c r="U20" s="27" t="str">
        <f t="shared" si="2"/>
        <v>Ergonomic Keyboard</v>
      </c>
      <c r="V20" s="27">
        <f t="shared" si="3"/>
        <v>58.853999999999992</v>
      </c>
      <c r="W20" s="27">
        <f t="shared" si="4"/>
        <v>39.299999999999997</v>
      </c>
      <c r="X20" s="27">
        <f>RawSalesTable3[[#This Row],[Revenue]]-RawSalesTable3[[#This Row],[Total_Cost]]</f>
        <v>19.553999999999995</v>
      </c>
      <c r="Y20" s="28">
        <f>RawSalesTable3[[#This Row],[Profit]]/RawSalesTable3[[#This Row],[Revenue]]</f>
        <v>0.33224589662554793</v>
      </c>
      <c r="Z20" s="27" t="str">
        <f>TEXT(RawSalesTable3[[#This Row],[Order_Date_Clean]],"MMM YYYY")</f>
        <v>Sep 2025</v>
      </c>
      <c r="AA20" s="27"/>
      <c r="AB20" s="27">
        <f t="shared" si="6"/>
        <v>0</v>
      </c>
      <c r="AC20" s="27">
        <f t="shared" si="5"/>
        <v>0</v>
      </c>
    </row>
    <row r="21" spans="1:29">
      <c r="A21" t="s">
        <v>103</v>
      </c>
      <c r="B21" s="3">
        <v>46010</v>
      </c>
      <c r="C21" t="s">
        <v>54</v>
      </c>
      <c r="D21" t="s">
        <v>55</v>
      </c>
      <c r="E21" t="s">
        <v>79</v>
      </c>
      <c r="F21" t="s">
        <v>80</v>
      </c>
      <c r="G21" s="6">
        <v>3</v>
      </c>
      <c r="H21" s="4">
        <v>76.92</v>
      </c>
      <c r="I21" s="4">
        <v>44.77</v>
      </c>
      <c r="J21" s="5">
        <v>0</v>
      </c>
      <c r="K21" s="6">
        <v>0</v>
      </c>
      <c r="L21" s="6">
        <v>4</v>
      </c>
      <c r="M21" t="s">
        <v>58</v>
      </c>
      <c r="N21" t="s">
        <v>69</v>
      </c>
      <c r="O21" t="s">
        <v>64</v>
      </c>
      <c r="P21" t="str">
        <f t="shared" si="0"/>
        <v>Small Business</v>
      </c>
      <c r="Q21" t="str">
        <f t="shared" si="1"/>
        <v>North</v>
      </c>
      <c r="R21" t="str">
        <f>PROPER(TRIM(E21))</f>
        <v>Electronics</v>
      </c>
      <c r="S21" s="27">
        <f>IF(ISTEXT(B21),DATEVALUE(B21),B21)</f>
        <v>46010</v>
      </c>
      <c r="T21" s="27">
        <f>COUNTIF($A$2:$A$1986,A21)</f>
        <v>1</v>
      </c>
      <c r="U21" s="27" t="str">
        <f t="shared" si="2"/>
        <v>Portable Speaker</v>
      </c>
      <c r="V21" s="27">
        <f t="shared" si="3"/>
        <v>230.76</v>
      </c>
      <c r="W21" s="27">
        <f t="shared" si="4"/>
        <v>134.31</v>
      </c>
      <c r="X21" s="27">
        <f>RawSalesTable3[[#This Row],[Revenue]]-RawSalesTable3[[#This Row],[Total_Cost]]</f>
        <v>96.449999999999989</v>
      </c>
      <c r="Y21" s="28">
        <f>RawSalesTable3[[#This Row],[Profit]]/RawSalesTable3[[#This Row],[Revenue]]</f>
        <v>0.41796671866874674</v>
      </c>
      <c r="Z21" s="27" t="str">
        <f>TEXT(RawSalesTable3[[#This Row],[Order_Date_Clean]],"MMM YYYY")</f>
        <v>Dec 2025</v>
      </c>
      <c r="AA21" s="27"/>
      <c r="AB21" s="27">
        <f t="shared" si="6"/>
        <v>0</v>
      </c>
      <c r="AC21" s="27">
        <f t="shared" si="5"/>
        <v>0</v>
      </c>
    </row>
    <row r="22" spans="1:29">
      <c r="A22" t="s">
        <v>104</v>
      </c>
      <c r="B22" s="3">
        <v>45750</v>
      </c>
      <c r="C22" t="s">
        <v>82</v>
      </c>
      <c r="D22" t="s">
        <v>62</v>
      </c>
      <c r="E22" t="s">
        <v>67</v>
      </c>
      <c r="F22" t="s">
        <v>94</v>
      </c>
      <c r="G22" s="6">
        <v>1</v>
      </c>
      <c r="H22" s="4">
        <v>35.35</v>
      </c>
      <c r="I22" s="4">
        <v>17.7</v>
      </c>
      <c r="J22" s="5">
        <v>0.1</v>
      </c>
      <c r="K22" s="6">
        <v>2</v>
      </c>
      <c r="L22" s="6">
        <v>4</v>
      </c>
      <c r="M22" t="s">
        <v>58</v>
      </c>
      <c r="N22" t="s">
        <v>69</v>
      </c>
      <c r="O22" t="s">
        <v>64</v>
      </c>
      <c r="P22" t="str">
        <f t="shared" si="0"/>
        <v>Individual</v>
      </c>
      <c r="Q22" t="str">
        <f t="shared" si="1"/>
        <v>Midlands</v>
      </c>
      <c r="R22" t="str">
        <f>PROPER(TRIM(E22))</f>
        <v>Office</v>
      </c>
      <c r="S22" s="27">
        <f>IF(ISTEXT(B22),DATEVALUE(B22),B22)</f>
        <v>45750</v>
      </c>
      <c r="T22" s="27">
        <f>COUNTIF($A$2:$A$1986,A22)</f>
        <v>1</v>
      </c>
      <c r="U22" s="27" t="str">
        <f t="shared" si="2"/>
        <v>Wireless Mouse</v>
      </c>
      <c r="V22" s="27">
        <f t="shared" si="3"/>
        <v>31.815000000000001</v>
      </c>
      <c r="W22" s="27">
        <f t="shared" si="4"/>
        <v>17.7</v>
      </c>
      <c r="X22" s="27">
        <f>RawSalesTable3[[#This Row],[Revenue]]-RawSalesTable3[[#This Row],[Total_Cost]]</f>
        <v>14.115000000000002</v>
      </c>
      <c r="Y22" s="28">
        <f>RawSalesTable3[[#This Row],[Profit]]/RawSalesTable3[[#This Row],[Revenue]]</f>
        <v>0.44365865157944373</v>
      </c>
      <c r="Z22" s="27" t="str">
        <f>TEXT(RawSalesTable3[[#This Row],[Order_Date_Clean]],"MMM YYYY")</f>
        <v>Apr 2025</v>
      </c>
      <c r="AA22" s="27"/>
      <c r="AB22" s="27">
        <f t="shared" si="6"/>
        <v>0</v>
      </c>
      <c r="AC22" s="27">
        <f t="shared" si="5"/>
        <v>0</v>
      </c>
    </row>
    <row r="23" spans="1:29">
      <c r="A23" t="s">
        <v>105</v>
      </c>
      <c r="B23" s="3">
        <v>45833</v>
      </c>
      <c r="C23" t="s">
        <v>66</v>
      </c>
      <c r="D23" t="s">
        <v>62</v>
      </c>
      <c r="E23" t="s">
        <v>79</v>
      </c>
      <c r="F23" t="s">
        <v>92</v>
      </c>
      <c r="G23" s="6">
        <v>3</v>
      </c>
      <c r="H23" s="4">
        <v>49.58</v>
      </c>
      <c r="I23" s="4">
        <v>27.27</v>
      </c>
      <c r="J23" s="5">
        <v>0.15000000000000002</v>
      </c>
      <c r="K23" s="6">
        <v>0</v>
      </c>
      <c r="L23" s="6">
        <v>4</v>
      </c>
      <c r="M23" t="s">
        <v>58</v>
      </c>
      <c r="N23" t="s">
        <v>69</v>
      </c>
      <c r="O23" t="s">
        <v>64</v>
      </c>
      <c r="P23" t="str">
        <f t="shared" si="0"/>
        <v>Individual</v>
      </c>
      <c r="Q23" t="str">
        <f t="shared" si="1"/>
        <v>South</v>
      </c>
      <c r="R23" t="str">
        <f>PROPER(TRIM(E23))</f>
        <v>Electronics</v>
      </c>
      <c r="S23" s="27">
        <f>IF(ISTEXT(B23),DATEVALUE(B23),B23)</f>
        <v>45833</v>
      </c>
      <c r="T23" s="27">
        <f>COUNTIF($A$2:$A$1986,A23)</f>
        <v>1</v>
      </c>
      <c r="U23" s="27" t="str">
        <f t="shared" si="2"/>
        <v>Webcam</v>
      </c>
      <c r="V23" s="27">
        <f t="shared" si="3"/>
        <v>126.429</v>
      </c>
      <c r="W23" s="27">
        <f t="shared" si="4"/>
        <v>81.81</v>
      </c>
      <c r="X23" s="27">
        <f>RawSalesTable3[[#This Row],[Revenue]]-RawSalesTable3[[#This Row],[Total_Cost]]</f>
        <v>44.619</v>
      </c>
      <c r="Y23" s="28">
        <f>RawSalesTable3[[#This Row],[Profit]]/RawSalesTable3[[#This Row],[Revenue]]</f>
        <v>0.35291744773746531</v>
      </c>
      <c r="Z23" s="27" t="str">
        <f>TEXT(RawSalesTable3[[#This Row],[Order_Date_Clean]],"MMM YYYY")</f>
        <v>Jun 2025</v>
      </c>
      <c r="AA23" s="27"/>
      <c r="AB23" s="27">
        <f t="shared" si="6"/>
        <v>0</v>
      </c>
      <c r="AC23" s="27">
        <f t="shared" si="5"/>
        <v>0</v>
      </c>
    </row>
    <row r="24" spans="1:29">
      <c r="A24" t="s">
        <v>106</v>
      </c>
      <c r="B24" s="3">
        <v>45996</v>
      </c>
      <c r="C24" t="s">
        <v>66</v>
      </c>
      <c r="D24" t="s">
        <v>62</v>
      </c>
      <c r="E24" t="s">
        <v>67</v>
      </c>
      <c r="F24" t="s">
        <v>107</v>
      </c>
      <c r="G24" s="6">
        <v>1</v>
      </c>
      <c r="H24" s="4">
        <v>44.04</v>
      </c>
      <c r="I24" s="4">
        <v>21.51</v>
      </c>
      <c r="J24" s="5">
        <v>0.2</v>
      </c>
      <c r="K24" s="6">
        <v>1</v>
      </c>
      <c r="L24" s="6">
        <v>5</v>
      </c>
      <c r="M24" t="s">
        <v>58</v>
      </c>
      <c r="N24" t="s">
        <v>59</v>
      </c>
      <c r="O24" t="s">
        <v>60</v>
      </c>
      <c r="P24" t="str">
        <f t="shared" si="0"/>
        <v>Individual</v>
      </c>
      <c r="Q24" t="str">
        <f t="shared" si="1"/>
        <v>South</v>
      </c>
      <c r="R24" t="str">
        <f>PROPER(TRIM(E24))</f>
        <v>Office</v>
      </c>
      <c r="S24" s="27">
        <f>IF(ISTEXT(B24),DATEVALUE(B24),B24)</f>
        <v>45996</v>
      </c>
      <c r="T24" s="27">
        <f>COUNTIF($A$2:$A$1986,A24)</f>
        <v>1</v>
      </c>
      <c r="U24" s="27" t="str">
        <f t="shared" si="2"/>
        <v>Laptop Stand</v>
      </c>
      <c r="V24" s="27">
        <f t="shared" si="3"/>
        <v>35.231999999999999</v>
      </c>
      <c r="W24" s="27">
        <f t="shared" si="4"/>
        <v>21.51</v>
      </c>
      <c r="X24" s="27">
        <f>RawSalesTable3[[#This Row],[Revenue]]-RawSalesTable3[[#This Row],[Total_Cost]]</f>
        <v>13.721999999999998</v>
      </c>
      <c r="Y24" s="28">
        <f>RawSalesTable3[[#This Row],[Profit]]/RawSalesTable3[[#This Row],[Revenue]]</f>
        <v>0.389475476839237</v>
      </c>
      <c r="Z24" s="27" t="str">
        <f>TEXT(RawSalesTable3[[#This Row],[Order_Date_Clean]],"MMM YYYY")</f>
        <v>Dec 2025</v>
      </c>
      <c r="AA24" s="27"/>
      <c r="AB24" s="27">
        <f t="shared" si="6"/>
        <v>0</v>
      </c>
      <c r="AC24" s="27">
        <f t="shared" si="5"/>
        <v>0</v>
      </c>
    </row>
    <row r="25" spans="1:29">
      <c r="A25" t="s">
        <v>108</v>
      </c>
      <c r="B25" s="3">
        <v>45974</v>
      </c>
      <c r="C25" t="s">
        <v>54</v>
      </c>
      <c r="D25" t="s">
        <v>55</v>
      </c>
      <c r="E25" t="s">
        <v>79</v>
      </c>
      <c r="F25" t="s">
        <v>80</v>
      </c>
      <c r="G25" s="6">
        <v>4</v>
      </c>
      <c r="H25" s="4">
        <v>74.489999999999995</v>
      </c>
      <c r="I25" s="4">
        <v>42.11</v>
      </c>
      <c r="J25" s="5">
        <v>0.05</v>
      </c>
      <c r="K25" s="6">
        <v>2</v>
      </c>
      <c r="L25" s="6">
        <v>4</v>
      </c>
      <c r="M25" t="s">
        <v>58</v>
      </c>
      <c r="N25" t="s">
        <v>59</v>
      </c>
      <c r="O25" t="s">
        <v>60</v>
      </c>
      <c r="P25" t="str">
        <f t="shared" si="0"/>
        <v>Small Business</v>
      </c>
      <c r="Q25" t="str">
        <f t="shared" si="1"/>
        <v>North</v>
      </c>
      <c r="R25" t="str">
        <f>PROPER(TRIM(E25))</f>
        <v>Electronics</v>
      </c>
      <c r="S25" s="27">
        <f>IF(ISTEXT(B25),DATEVALUE(B25),B25)</f>
        <v>45974</v>
      </c>
      <c r="T25" s="27">
        <f>COUNTIF($A$2:$A$1986,A25)</f>
        <v>1</v>
      </c>
      <c r="U25" s="27" t="str">
        <f t="shared" si="2"/>
        <v>Portable Speaker</v>
      </c>
      <c r="V25" s="27">
        <f t="shared" si="3"/>
        <v>283.06199999999995</v>
      </c>
      <c r="W25" s="27">
        <f t="shared" si="4"/>
        <v>168.44</v>
      </c>
      <c r="X25" s="27">
        <f>RawSalesTable3[[#This Row],[Revenue]]-RawSalesTable3[[#This Row],[Total_Cost]]</f>
        <v>114.62199999999996</v>
      </c>
      <c r="Y25" s="28">
        <f>RawSalesTable3[[#This Row],[Profit]]/RawSalesTable3[[#This Row],[Revenue]]</f>
        <v>0.40493602108372007</v>
      </c>
      <c r="Z25" s="27" t="str">
        <f>TEXT(RawSalesTable3[[#This Row],[Order_Date_Clean]],"MMM YYYY")</f>
        <v>Nov 2025</v>
      </c>
      <c r="AA25" s="27"/>
      <c r="AB25" s="27">
        <f t="shared" si="6"/>
        <v>0</v>
      </c>
      <c r="AC25" s="27">
        <f t="shared" si="5"/>
        <v>0</v>
      </c>
    </row>
    <row r="26" spans="1:29">
      <c r="A26" t="s">
        <v>109</v>
      </c>
      <c r="B26" s="3">
        <v>45937</v>
      </c>
      <c r="C26" t="s">
        <v>66</v>
      </c>
      <c r="D26" t="s">
        <v>62</v>
      </c>
      <c r="E26" t="s">
        <v>75</v>
      </c>
      <c r="F26" t="s">
        <v>110</v>
      </c>
      <c r="G26" s="6">
        <v>1</v>
      </c>
      <c r="H26" s="4">
        <v>165.17</v>
      </c>
      <c r="I26" s="4">
        <v>102.2</v>
      </c>
      <c r="J26" s="5">
        <v>0.15000000000000002</v>
      </c>
      <c r="K26" s="6">
        <v>8</v>
      </c>
      <c r="L26" s="6">
        <v>3</v>
      </c>
      <c r="M26" t="s">
        <v>58</v>
      </c>
      <c r="N26" t="s">
        <v>59</v>
      </c>
      <c r="O26" t="s">
        <v>64</v>
      </c>
      <c r="P26" t="str">
        <f t="shared" si="0"/>
        <v>Individual</v>
      </c>
      <c r="Q26" t="str">
        <f t="shared" si="1"/>
        <v>South</v>
      </c>
      <c r="R26" t="str">
        <f>PROPER(TRIM(E26))</f>
        <v>Furniture</v>
      </c>
      <c r="S26" s="27">
        <f>IF(ISTEXT(B26),DATEVALUE(B26),B26)</f>
        <v>45937</v>
      </c>
      <c r="T26" s="27">
        <f>COUNTIF($A$2:$A$1986,A26)</f>
        <v>1</v>
      </c>
      <c r="U26" s="27" t="str">
        <f t="shared" si="2"/>
        <v>Storage Cabinet</v>
      </c>
      <c r="V26" s="27">
        <f t="shared" si="3"/>
        <v>140.39449999999999</v>
      </c>
      <c r="W26" s="27">
        <f t="shared" si="4"/>
        <v>102.2</v>
      </c>
      <c r="X26" s="27">
        <f>RawSalesTable3[[#This Row],[Revenue]]-RawSalesTable3[[#This Row],[Total_Cost]]</f>
        <v>38.194499999999991</v>
      </c>
      <c r="Y26" s="28">
        <f>RawSalesTable3[[#This Row],[Profit]]/RawSalesTable3[[#This Row],[Revenue]]</f>
        <v>0.27205125556912835</v>
      </c>
      <c r="Z26" s="27" t="str">
        <f>TEXT(RawSalesTable3[[#This Row],[Order_Date_Clean]],"MMM YYYY")</f>
        <v>Oct 2025</v>
      </c>
      <c r="AA26" s="27"/>
      <c r="AB26" s="27">
        <f t="shared" si="6"/>
        <v>0</v>
      </c>
      <c r="AC26" s="27">
        <f t="shared" si="5"/>
        <v>0</v>
      </c>
    </row>
    <row r="27" spans="1:29">
      <c r="A27" t="s">
        <v>111</v>
      </c>
      <c r="B27" s="3">
        <v>45713</v>
      </c>
      <c r="C27" t="s">
        <v>82</v>
      </c>
      <c r="D27" t="s">
        <v>62</v>
      </c>
      <c r="E27" t="s">
        <v>67</v>
      </c>
      <c r="F27" t="s">
        <v>94</v>
      </c>
      <c r="G27" s="6">
        <v>1</v>
      </c>
      <c r="H27" s="4">
        <v>34.74</v>
      </c>
      <c r="I27" s="4">
        <v>17.45</v>
      </c>
      <c r="J27" s="5">
        <v>0.05</v>
      </c>
      <c r="K27" s="6">
        <v>7</v>
      </c>
      <c r="L27" s="6">
        <v>4</v>
      </c>
      <c r="M27" t="s">
        <v>58</v>
      </c>
      <c r="N27" t="s">
        <v>59</v>
      </c>
      <c r="O27" t="s">
        <v>64</v>
      </c>
      <c r="P27" t="str">
        <f t="shared" si="0"/>
        <v>Individual</v>
      </c>
      <c r="Q27" t="str">
        <f t="shared" si="1"/>
        <v>Midlands</v>
      </c>
      <c r="R27" t="str">
        <f>PROPER(TRIM(E27))</f>
        <v>Office</v>
      </c>
      <c r="S27" s="27">
        <f>IF(ISTEXT(B27),DATEVALUE(B27),B27)</f>
        <v>45713</v>
      </c>
      <c r="T27" s="27">
        <f>COUNTIF($A$2:$A$1986,A27)</f>
        <v>1</v>
      </c>
      <c r="U27" s="27" t="str">
        <f t="shared" si="2"/>
        <v>Wireless Mouse</v>
      </c>
      <c r="V27" s="27">
        <f t="shared" si="3"/>
        <v>33.003</v>
      </c>
      <c r="W27" s="27">
        <f t="shared" si="4"/>
        <v>17.45</v>
      </c>
      <c r="X27" s="27">
        <f>RawSalesTable3[[#This Row],[Revenue]]-RawSalesTable3[[#This Row],[Total_Cost]]</f>
        <v>15.553000000000001</v>
      </c>
      <c r="Y27" s="28">
        <f>RawSalesTable3[[#This Row],[Profit]]/RawSalesTable3[[#This Row],[Revenue]]</f>
        <v>0.47126018846771506</v>
      </c>
      <c r="Z27" s="27" t="str">
        <f>TEXT(RawSalesTable3[[#This Row],[Order_Date_Clean]],"MMM YYYY")</f>
        <v>Feb 2025</v>
      </c>
      <c r="AA27" s="27"/>
      <c r="AB27" s="27">
        <f t="shared" si="6"/>
        <v>0</v>
      </c>
      <c r="AC27" s="27">
        <f t="shared" si="5"/>
        <v>0</v>
      </c>
    </row>
    <row r="28" spans="1:29">
      <c r="A28" t="s">
        <v>112</v>
      </c>
      <c r="B28" s="3">
        <v>45820</v>
      </c>
      <c r="C28" t="s">
        <v>78</v>
      </c>
      <c r="D28" t="s">
        <v>62</v>
      </c>
      <c r="E28" t="s">
        <v>75</v>
      </c>
      <c r="F28" t="s">
        <v>76</v>
      </c>
      <c r="G28" s="6">
        <v>3</v>
      </c>
      <c r="H28" s="4">
        <v>117.31</v>
      </c>
      <c r="I28" s="4">
        <v>74.650000000000006</v>
      </c>
      <c r="J28" s="5">
        <v>0.05</v>
      </c>
      <c r="K28" s="6">
        <v>3</v>
      </c>
      <c r="L28" s="6">
        <v>4</v>
      </c>
      <c r="M28" t="s">
        <v>58</v>
      </c>
      <c r="N28" t="s">
        <v>69</v>
      </c>
      <c r="O28" t="s">
        <v>64</v>
      </c>
      <c r="P28" t="str">
        <f t="shared" si="0"/>
        <v>Individual</v>
      </c>
      <c r="Q28" t="str">
        <f t="shared" si="1"/>
        <v>London</v>
      </c>
      <c r="R28" t="str">
        <f>PROPER(TRIM(E28))</f>
        <v>Furniture</v>
      </c>
      <c r="S28" s="27">
        <f>IF(ISTEXT(B28),DATEVALUE(B28),B28)</f>
        <v>45820</v>
      </c>
      <c r="T28" s="27">
        <f>COUNTIF($A$2:$A$1986,A28)</f>
        <v>1</v>
      </c>
      <c r="U28" s="27" t="str">
        <f t="shared" si="2"/>
        <v>Bookshelf</v>
      </c>
      <c r="V28" s="27">
        <f t="shared" si="3"/>
        <v>334.33350000000002</v>
      </c>
      <c r="W28" s="27">
        <f t="shared" si="4"/>
        <v>223.95000000000002</v>
      </c>
      <c r="X28" s="27">
        <f>RawSalesTable3[[#This Row],[Revenue]]-RawSalesTable3[[#This Row],[Total_Cost]]</f>
        <v>110.3835</v>
      </c>
      <c r="Y28" s="28">
        <f>RawSalesTable3[[#This Row],[Profit]]/RawSalesTable3[[#This Row],[Revenue]]</f>
        <v>0.33015985535401027</v>
      </c>
      <c r="Z28" s="27" t="str">
        <f>TEXT(RawSalesTable3[[#This Row],[Order_Date_Clean]],"MMM YYYY")</f>
        <v>Jun 2025</v>
      </c>
      <c r="AA28" s="27"/>
      <c r="AB28" s="27">
        <f t="shared" si="6"/>
        <v>0</v>
      </c>
      <c r="AC28" s="27">
        <f t="shared" si="5"/>
        <v>0</v>
      </c>
    </row>
    <row r="29" spans="1:29">
      <c r="A29" t="s">
        <v>113</v>
      </c>
      <c r="B29" s="3">
        <v>45979</v>
      </c>
      <c r="C29" t="s">
        <v>66</v>
      </c>
      <c r="D29" t="s">
        <v>55</v>
      </c>
      <c r="E29" t="s">
        <v>79</v>
      </c>
      <c r="F29" t="s">
        <v>80</v>
      </c>
      <c r="G29" s="6">
        <v>5</v>
      </c>
      <c r="H29" s="4">
        <v>74.180000000000007</v>
      </c>
      <c r="I29" s="4">
        <v>43.05</v>
      </c>
      <c r="J29" s="5">
        <v>0.05</v>
      </c>
      <c r="K29" s="6">
        <v>3</v>
      </c>
      <c r="L29" s="6">
        <v>4</v>
      </c>
      <c r="M29" t="s">
        <v>58</v>
      </c>
      <c r="N29" t="s">
        <v>69</v>
      </c>
      <c r="O29" t="s">
        <v>64</v>
      </c>
      <c r="P29" t="str">
        <f t="shared" si="0"/>
        <v>Small Business</v>
      </c>
      <c r="Q29" t="str">
        <f t="shared" si="1"/>
        <v>South</v>
      </c>
      <c r="R29" t="str">
        <f>PROPER(TRIM(E29))</f>
        <v>Electronics</v>
      </c>
      <c r="S29" s="27">
        <f>IF(ISTEXT(B29),DATEVALUE(B29),B29)</f>
        <v>45979</v>
      </c>
      <c r="T29" s="27">
        <f>COUNTIF($A$2:$A$1986,A29)</f>
        <v>1</v>
      </c>
      <c r="U29" s="27" t="str">
        <f t="shared" si="2"/>
        <v>Portable Speaker</v>
      </c>
      <c r="V29" s="27">
        <f t="shared" si="3"/>
        <v>352.35500000000002</v>
      </c>
      <c r="W29" s="27">
        <f t="shared" si="4"/>
        <v>215.25</v>
      </c>
      <c r="X29" s="27">
        <f>RawSalesTable3[[#This Row],[Revenue]]-RawSalesTable3[[#This Row],[Total_Cost]]</f>
        <v>137.10500000000002</v>
      </c>
      <c r="Y29" s="28">
        <f>RawSalesTable3[[#This Row],[Profit]]/RawSalesTable3[[#This Row],[Revenue]]</f>
        <v>0.38911041421293868</v>
      </c>
      <c r="Z29" s="27" t="str">
        <f>TEXT(RawSalesTable3[[#This Row],[Order_Date_Clean]],"MMM YYYY")</f>
        <v>Nov 2025</v>
      </c>
      <c r="AA29" s="27"/>
      <c r="AB29" s="27">
        <f t="shared" si="6"/>
        <v>0</v>
      </c>
      <c r="AC29" s="27">
        <f t="shared" si="5"/>
        <v>0</v>
      </c>
    </row>
    <row r="30" spans="1:29">
      <c r="A30" t="s">
        <v>114</v>
      </c>
      <c r="B30" s="3">
        <v>45938</v>
      </c>
      <c r="C30" t="s">
        <v>82</v>
      </c>
      <c r="D30" t="s">
        <v>62</v>
      </c>
      <c r="E30" t="s">
        <v>79</v>
      </c>
      <c r="F30" t="s">
        <v>115</v>
      </c>
      <c r="G30" s="6">
        <v>2</v>
      </c>
      <c r="H30" s="4">
        <v>62.36</v>
      </c>
      <c r="I30" s="4">
        <v>33.659999999999997</v>
      </c>
      <c r="J30" s="5">
        <v>0.1</v>
      </c>
      <c r="K30" s="6">
        <v>0</v>
      </c>
      <c r="L30" s="6">
        <v>4</v>
      </c>
      <c r="M30" t="s">
        <v>58</v>
      </c>
      <c r="N30" t="s">
        <v>69</v>
      </c>
      <c r="O30" t="s">
        <v>73</v>
      </c>
      <c r="P30" t="str">
        <f t="shared" si="0"/>
        <v>Individual</v>
      </c>
      <c r="Q30" t="str">
        <f t="shared" si="1"/>
        <v>Midlands</v>
      </c>
      <c r="R30" t="str">
        <f>PROPER(TRIM(E30))</f>
        <v>Electronics</v>
      </c>
      <c r="S30" s="27">
        <f>IF(ISTEXT(B30),DATEVALUE(B30),B30)</f>
        <v>45938</v>
      </c>
      <c r="T30" s="27">
        <f>COUNTIF($A$2:$A$1986,A30)</f>
        <v>1</v>
      </c>
      <c r="U30" s="27" t="str">
        <f t="shared" si="2"/>
        <v>Wireless Headset</v>
      </c>
      <c r="V30" s="27">
        <f t="shared" si="3"/>
        <v>112.248</v>
      </c>
      <c r="W30" s="27">
        <f t="shared" si="4"/>
        <v>67.319999999999993</v>
      </c>
      <c r="X30" s="27">
        <f>RawSalesTable3[[#This Row],[Revenue]]-RawSalesTable3[[#This Row],[Total_Cost]]</f>
        <v>44.928000000000011</v>
      </c>
      <c r="Y30" s="28">
        <f>RawSalesTable3[[#This Row],[Profit]]/RawSalesTable3[[#This Row],[Revenue]]</f>
        <v>0.40025657472738946</v>
      </c>
      <c r="Z30" s="27" t="str">
        <f>TEXT(RawSalesTable3[[#This Row],[Order_Date_Clean]],"MMM YYYY")</f>
        <v>Oct 2025</v>
      </c>
      <c r="AA30" s="27"/>
      <c r="AB30" s="27">
        <f t="shared" si="6"/>
        <v>0</v>
      </c>
      <c r="AC30" s="27">
        <f t="shared" si="5"/>
        <v>0</v>
      </c>
    </row>
    <row r="31" spans="1:29">
      <c r="A31" t="s">
        <v>116</v>
      </c>
      <c r="B31" s="3">
        <v>46016</v>
      </c>
      <c r="C31" t="s">
        <v>66</v>
      </c>
      <c r="D31" t="s">
        <v>62</v>
      </c>
      <c r="E31" t="s">
        <v>79</v>
      </c>
      <c r="F31" t="s">
        <v>85</v>
      </c>
      <c r="G31" s="6">
        <v>2</v>
      </c>
      <c r="H31" s="4">
        <v>134.44999999999999</v>
      </c>
      <c r="I31" s="4">
        <v>83.37</v>
      </c>
      <c r="J31" s="5">
        <v>0.2</v>
      </c>
      <c r="K31" s="6">
        <v>4</v>
      </c>
      <c r="L31" s="6"/>
      <c r="M31" t="s">
        <v>58</v>
      </c>
      <c r="N31" t="s">
        <v>59</v>
      </c>
      <c r="O31" t="s">
        <v>64</v>
      </c>
      <c r="P31" t="str">
        <f t="shared" si="0"/>
        <v>Individual</v>
      </c>
      <c r="Q31" t="str">
        <f t="shared" si="1"/>
        <v>South</v>
      </c>
      <c r="R31" t="str">
        <f>PROPER(TRIM(E31))</f>
        <v>Electronics</v>
      </c>
      <c r="S31" s="27">
        <f>IF(ISTEXT(B31),DATEVALUE(B31),B31)</f>
        <v>46016</v>
      </c>
      <c r="T31" s="27">
        <f>COUNTIF($A$2:$A$1986,A31)</f>
        <v>1</v>
      </c>
      <c r="U31" s="27" t="str">
        <f t="shared" si="2"/>
        <v>SmartHome Hub</v>
      </c>
      <c r="V31" s="27">
        <f t="shared" si="3"/>
        <v>215.12</v>
      </c>
      <c r="W31" s="27">
        <f t="shared" si="4"/>
        <v>166.74</v>
      </c>
      <c r="X31" s="27">
        <f>RawSalesTable3[[#This Row],[Revenue]]-RawSalesTable3[[#This Row],[Total_Cost]]</f>
        <v>48.379999999999995</v>
      </c>
      <c r="Y31" s="28">
        <f>RawSalesTable3[[#This Row],[Profit]]/RawSalesTable3[[#This Row],[Revenue]]</f>
        <v>0.22489773149869838</v>
      </c>
      <c r="Z31" s="27" t="str">
        <f>TEXT(RawSalesTable3[[#This Row],[Order_Date_Clean]],"MMM YYYY")</f>
        <v>Dec 2025</v>
      </c>
      <c r="AA31" s="27"/>
      <c r="AB31" s="27">
        <f t="shared" si="6"/>
        <v>0</v>
      </c>
      <c r="AC31" s="27">
        <f t="shared" si="5"/>
        <v>0</v>
      </c>
    </row>
    <row r="32" spans="1:29">
      <c r="A32" t="s">
        <v>117</v>
      </c>
      <c r="B32" s="3">
        <v>45768</v>
      </c>
      <c r="C32" t="s">
        <v>82</v>
      </c>
      <c r="D32" t="s">
        <v>62</v>
      </c>
      <c r="E32" t="s">
        <v>79</v>
      </c>
      <c r="F32" t="s">
        <v>80</v>
      </c>
      <c r="G32" s="6">
        <v>1</v>
      </c>
      <c r="H32" s="4">
        <v>73.400000000000006</v>
      </c>
      <c r="I32" s="4">
        <v>45.03</v>
      </c>
      <c r="J32" s="5">
        <v>0.05</v>
      </c>
      <c r="K32" s="6">
        <v>2</v>
      </c>
      <c r="L32" s="6">
        <v>5</v>
      </c>
      <c r="M32" t="s">
        <v>58</v>
      </c>
      <c r="N32" t="s">
        <v>87</v>
      </c>
      <c r="O32" t="s">
        <v>64</v>
      </c>
      <c r="P32" t="str">
        <f t="shared" si="0"/>
        <v>Individual</v>
      </c>
      <c r="Q32" t="str">
        <f t="shared" si="1"/>
        <v>Midlands</v>
      </c>
      <c r="R32" t="str">
        <f>PROPER(TRIM(E32))</f>
        <v>Electronics</v>
      </c>
      <c r="S32" s="27">
        <f>IF(ISTEXT(B32),DATEVALUE(B32),B32)</f>
        <v>45768</v>
      </c>
      <c r="T32" s="27">
        <f>COUNTIF($A$2:$A$1986,A32)</f>
        <v>1</v>
      </c>
      <c r="U32" s="27" t="str">
        <f t="shared" si="2"/>
        <v>Portable Speaker</v>
      </c>
      <c r="V32" s="27">
        <f t="shared" si="3"/>
        <v>69.73</v>
      </c>
      <c r="W32" s="27">
        <f t="shared" si="4"/>
        <v>45.03</v>
      </c>
      <c r="X32" s="27">
        <f>RawSalesTable3[[#This Row],[Revenue]]-RawSalesTable3[[#This Row],[Total_Cost]]</f>
        <v>24.700000000000003</v>
      </c>
      <c r="Y32" s="28">
        <f>RawSalesTable3[[#This Row],[Profit]]/RawSalesTable3[[#This Row],[Revenue]]</f>
        <v>0.35422343324250682</v>
      </c>
      <c r="Z32" s="27" t="str">
        <f>TEXT(RawSalesTable3[[#This Row],[Order_Date_Clean]],"MMM YYYY")</f>
        <v>Apr 2025</v>
      </c>
      <c r="AA32" s="27"/>
      <c r="AB32" s="27">
        <f t="shared" si="6"/>
        <v>0</v>
      </c>
      <c r="AC32" s="27">
        <f t="shared" si="5"/>
        <v>0</v>
      </c>
    </row>
    <row r="33" spans="1:29">
      <c r="A33" t="s">
        <v>118</v>
      </c>
      <c r="B33" s="3">
        <v>45930</v>
      </c>
      <c r="C33" t="s">
        <v>78</v>
      </c>
      <c r="D33" t="s">
        <v>62</v>
      </c>
      <c r="E33" t="s">
        <v>79</v>
      </c>
      <c r="F33" t="s">
        <v>115</v>
      </c>
      <c r="G33" s="6">
        <v>2</v>
      </c>
      <c r="H33" s="4">
        <v>60.14</v>
      </c>
      <c r="I33" s="4">
        <v>35.68</v>
      </c>
      <c r="J33" s="5">
        <v>0.1</v>
      </c>
      <c r="K33" s="6">
        <v>1</v>
      </c>
      <c r="L33" s="6">
        <v>4</v>
      </c>
      <c r="M33" t="s">
        <v>58</v>
      </c>
      <c r="N33" t="s">
        <v>59</v>
      </c>
      <c r="O33" t="s">
        <v>64</v>
      </c>
      <c r="P33" t="str">
        <f t="shared" si="0"/>
        <v>Individual</v>
      </c>
      <c r="Q33" t="str">
        <f t="shared" si="1"/>
        <v>London</v>
      </c>
      <c r="R33" t="str">
        <f>PROPER(TRIM(E33))</f>
        <v>Electronics</v>
      </c>
      <c r="S33" s="27">
        <f>IF(ISTEXT(B33),DATEVALUE(B33),B33)</f>
        <v>45930</v>
      </c>
      <c r="T33" s="27">
        <f>COUNTIF($A$2:$A$1986,A33)</f>
        <v>1</v>
      </c>
      <c r="U33" s="27" t="str">
        <f t="shared" si="2"/>
        <v>Wireless Headset</v>
      </c>
      <c r="V33" s="27">
        <f t="shared" si="3"/>
        <v>108.25200000000001</v>
      </c>
      <c r="W33" s="27">
        <f t="shared" si="4"/>
        <v>71.36</v>
      </c>
      <c r="X33" s="27">
        <f>RawSalesTable3[[#This Row],[Revenue]]-RawSalesTable3[[#This Row],[Total_Cost]]</f>
        <v>36.89200000000001</v>
      </c>
      <c r="Y33" s="28">
        <f>RawSalesTable3[[#This Row],[Profit]]/RawSalesTable3[[#This Row],[Revenue]]</f>
        <v>0.34079739866238046</v>
      </c>
      <c r="Z33" s="27" t="str">
        <f>TEXT(RawSalesTable3[[#This Row],[Order_Date_Clean]],"MMM YYYY")</f>
        <v>Sep 2025</v>
      </c>
      <c r="AA33" s="27"/>
      <c r="AB33" s="27">
        <f t="shared" si="6"/>
        <v>0</v>
      </c>
      <c r="AC33" s="27">
        <f t="shared" si="5"/>
        <v>0</v>
      </c>
    </row>
    <row r="34" spans="1:29">
      <c r="A34" t="s">
        <v>119</v>
      </c>
      <c r="B34" s="3">
        <v>45917</v>
      </c>
      <c r="C34" t="s">
        <v>66</v>
      </c>
      <c r="D34" t="s">
        <v>62</v>
      </c>
      <c r="E34" t="s">
        <v>79</v>
      </c>
      <c r="F34" t="s">
        <v>92</v>
      </c>
      <c r="G34" s="6">
        <v>4</v>
      </c>
      <c r="H34" s="4">
        <v>51.24</v>
      </c>
      <c r="I34" s="4">
        <v>26.9</v>
      </c>
      <c r="J34" s="5">
        <v>0.05</v>
      </c>
      <c r="K34" s="6">
        <v>2</v>
      </c>
      <c r="L34" s="6">
        <v>4</v>
      </c>
      <c r="M34" t="s">
        <v>58</v>
      </c>
      <c r="N34" t="s">
        <v>69</v>
      </c>
      <c r="O34" t="s">
        <v>60</v>
      </c>
      <c r="P34" t="str">
        <f t="shared" si="0"/>
        <v>Individual</v>
      </c>
      <c r="Q34" t="str">
        <f t="shared" si="1"/>
        <v>South</v>
      </c>
      <c r="R34" t="str">
        <f>PROPER(TRIM(E34))</f>
        <v>Electronics</v>
      </c>
      <c r="S34" s="27">
        <f>IF(ISTEXT(B34),DATEVALUE(B34),B34)</f>
        <v>45917</v>
      </c>
      <c r="T34" s="27">
        <f>COUNTIF($A$2:$A$1986,A34)</f>
        <v>1</v>
      </c>
      <c r="U34" s="27" t="str">
        <f t="shared" si="2"/>
        <v>Webcam</v>
      </c>
      <c r="V34" s="27">
        <f t="shared" si="3"/>
        <v>194.71199999999999</v>
      </c>
      <c r="W34" s="27">
        <f t="shared" si="4"/>
        <v>107.6</v>
      </c>
      <c r="X34" s="27">
        <f>RawSalesTable3[[#This Row],[Revenue]]-RawSalesTable3[[#This Row],[Total_Cost]]</f>
        <v>87.111999999999995</v>
      </c>
      <c r="Y34" s="28">
        <f>RawSalesTable3[[#This Row],[Profit]]/RawSalesTable3[[#This Row],[Revenue]]</f>
        <v>0.44738896421381324</v>
      </c>
      <c r="Z34" s="27" t="str">
        <f>TEXT(RawSalesTable3[[#This Row],[Order_Date_Clean]],"MMM YYYY")</f>
        <v>Sep 2025</v>
      </c>
      <c r="AA34" s="27"/>
      <c r="AB34" s="27">
        <f t="shared" si="6"/>
        <v>0</v>
      </c>
      <c r="AC34" s="27">
        <f t="shared" si="5"/>
        <v>0</v>
      </c>
    </row>
    <row r="35" spans="1:29">
      <c r="A35" t="s">
        <v>120</v>
      </c>
      <c r="B35" s="3">
        <v>45936</v>
      </c>
      <c r="C35" t="s">
        <v>54</v>
      </c>
      <c r="D35" t="s">
        <v>62</v>
      </c>
      <c r="E35" t="s">
        <v>56</v>
      </c>
      <c r="F35" t="s">
        <v>89</v>
      </c>
      <c r="G35" s="6">
        <v>2</v>
      </c>
      <c r="H35" s="4">
        <v>79.209999999999994</v>
      </c>
      <c r="I35" s="4">
        <v>45.35</v>
      </c>
      <c r="J35" s="5">
        <v>0</v>
      </c>
      <c r="K35" s="6">
        <v>0</v>
      </c>
      <c r="L35" s="6">
        <v>5</v>
      </c>
      <c r="M35" t="s">
        <v>58</v>
      </c>
      <c r="N35" t="s">
        <v>69</v>
      </c>
      <c r="O35" t="s">
        <v>60</v>
      </c>
      <c r="P35" t="str">
        <f t="shared" si="0"/>
        <v>Individual</v>
      </c>
      <c r="Q35" t="str">
        <f t="shared" si="1"/>
        <v>North</v>
      </c>
      <c r="R35" t="str">
        <f>PROPER(TRIM(E35))</f>
        <v>Home &amp; Kitchen</v>
      </c>
      <c r="S35" s="27">
        <f>IF(ISTEXT(B35),DATEVALUE(B35),B35)</f>
        <v>45936</v>
      </c>
      <c r="T35" s="27">
        <f>COUNTIF($A$2:$A$1986,A35)</f>
        <v>1</v>
      </c>
      <c r="U35" s="27" t="str">
        <f t="shared" si="2"/>
        <v>Coffee Maker</v>
      </c>
      <c r="V35" s="27">
        <f t="shared" si="3"/>
        <v>158.41999999999999</v>
      </c>
      <c r="W35" s="27">
        <f t="shared" si="4"/>
        <v>90.7</v>
      </c>
      <c r="X35" s="27">
        <f>RawSalesTable3[[#This Row],[Revenue]]-RawSalesTable3[[#This Row],[Total_Cost]]</f>
        <v>67.719999999999985</v>
      </c>
      <c r="Y35" s="28">
        <f>RawSalesTable3[[#This Row],[Profit]]/RawSalesTable3[[#This Row],[Revenue]]</f>
        <v>0.42747127887892938</v>
      </c>
      <c r="Z35" s="27" t="str">
        <f>TEXT(RawSalesTable3[[#This Row],[Order_Date_Clean]],"MMM YYYY")</f>
        <v>Oct 2025</v>
      </c>
      <c r="AA35" s="27"/>
      <c r="AB35" s="27">
        <f t="shared" si="6"/>
        <v>0</v>
      </c>
      <c r="AC35" s="27">
        <f t="shared" si="5"/>
        <v>0</v>
      </c>
    </row>
    <row r="36" spans="1:29">
      <c r="A36" t="s">
        <v>121</v>
      </c>
      <c r="B36" s="3">
        <v>45981</v>
      </c>
      <c r="C36" t="s">
        <v>82</v>
      </c>
      <c r="D36" t="s">
        <v>55</v>
      </c>
      <c r="E36" t="s">
        <v>79</v>
      </c>
      <c r="F36" t="s">
        <v>92</v>
      </c>
      <c r="G36" s="6">
        <v>3</v>
      </c>
      <c r="H36" s="4">
        <v>50.12</v>
      </c>
      <c r="I36" s="4">
        <v>26.06</v>
      </c>
      <c r="J36" s="5">
        <v>0.2</v>
      </c>
      <c r="K36" s="6">
        <v>1</v>
      </c>
      <c r="L36" s="6">
        <v>4</v>
      </c>
      <c r="M36" t="s">
        <v>58</v>
      </c>
      <c r="N36" t="s">
        <v>87</v>
      </c>
      <c r="O36" t="s">
        <v>60</v>
      </c>
      <c r="P36" t="str">
        <f t="shared" si="0"/>
        <v>Small Business</v>
      </c>
      <c r="Q36" t="str">
        <f t="shared" si="1"/>
        <v>Midlands</v>
      </c>
      <c r="R36" t="str">
        <f>PROPER(TRIM(E36))</f>
        <v>Electronics</v>
      </c>
      <c r="S36" s="27">
        <f>IF(ISTEXT(B36),DATEVALUE(B36),B36)</f>
        <v>45981</v>
      </c>
      <c r="T36" s="27">
        <f>COUNTIF($A$2:$A$1986,A36)</f>
        <v>1</v>
      </c>
      <c r="U36" s="27" t="str">
        <f t="shared" si="2"/>
        <v>Webcam</v>
      </c>
      <c r="V36" s="27">
        <f t="shared" si="3"/>
        <v>120.288</v>
      </c>
      <c r="W36" s="27">
        <f t="shared" si="4"/>
        <v>78.179999999999993</v>
      </c>
      <c r="X36" s="27">
        <f>RawSalesTable3[[#This Row],[Revenue]]-RawSalesTable3[[#This Row],[Total_Cost]]</f>
        <v>42.108000000000004</v>
      </c>
      <c r="Y36" s="28">
        <f>RawSalesTable3[[#This Row],[Profit]]/RawSalesTable3[[#This Row],[Revenue]]</f>
        <v>0.3500598563447726</v>
      </c>
      <c r="Z36" s="27" t="str">
        <f>TEXT(RawSalesTable3[[#This Row],[Order_Date_Clean]],"MMM YYYY")</f>
        <v>Nov 2025</v>
      </c>
      <c r="AA36" s="27"/>
      <c r="AB36" s="27">
        <f t="shared" si="6"/>
        <v>0</v>
      </c>
      <c r="AC36" s="27">
        <f t="shared" si="5"/>
        <v>0</v>
      </c>
    </row>
    <row r="37" spans="1:29">
      <c r="A37" t="s">
        <v>122</v>
      </c>
      <c r="B37" s="3">
        <v>45658</v>
      </c>
      <c r="C37" t="s">
        <v>66</v>
      </c>
      <c r="D37" t="s">
        <v>55</v>
      </c>
      <c r="E37" t="s">
        <v>79</v>
      </c>
      <c r="F37" t="s">
        <v>85</v>
      </c>
      <c r="G37" s="6">
        <v>4</v>
      </c>
      <c r="H37" s="4">
        <v>131.87</v>
      </c>
      <c r="I37" s="4">
        <v>83.71</v>
      </c>
      <c r="J37" s="5">
        <v>0.1</v>
      </c>
      <c r="K37" s="6">
        <v>4</v>
      </c>
      <c r="L37" s="6">
        <v>4</v>
      </c>
      <c r="M37" t="s">
        <v>58</v>
      </c>
      <c r="N37" t="s">
        <v>59</v>
      </c>
      <c r="O37" t="s">
        <v>60</v>
      </c>
      <c r="P37" t="str">
        <f t="shared" si="0"/>
        <v>Small Business</v>
      </c>
      <c r="Q37" t="str">
        <f t="shared" si="1"/>
        <v>South</v>
      </c>
      <c r="R37" t="str">
        <f>PROPER(TRIM(E37))</f>
        <v>Electronics</v>
      </c>
      <c r="S37" s="27">
        <f>IF(ISTEXT(B37),DATEVALUE(B37),B37)</f>
        <v>45658</v>
      </c>
      <c r="T37" s="27">
        <f>COUNTIF($A$2:$A$1986,A37)</f>
        <v>1</v>
      </c>
      <c r="U37" s="27" t="str">
        <f t="shared" si="2"/>
        <v>SmartHome Hub</v>
      </c>
      <c r="V37" s="27">
        <f t="shared" si="3"/>
        <v>474.73200000000003</v>
      </c>
      <c r="W37" s="27">
        <f t="shared" si="4"/>
        <v>334.84</v>
      </c>
      <c r="X37" s="27">
        <f>RawSalesTable3[[#This Row],[Revenue]]-RawSalesTable3[[#This Row],[Total_Cost]]</f>
        <v>139.89200000000005</v>
      </c>
      <c r="Y37" s="28">
        <f>RawSalesTable3[[#This Row],[Profit]]/RawSalesTable3[[#This Row],[Revenue]]</f>
        <v>0.29467573283452569</v>
      </c>
      <c r="Z37" s="27" t="str">
        <f>TEXT(RawSalesTable3[[#This Row],[Order_Date_Clean]],"MMM YYYY")</f>
        <v>Jan 2025</v>
      </c>
      <c r="AA37" s="27"/>
      <c r="AB37" s="27">
        <f t="shared" si="6"/>
        <v>0</v>
      </c>
      <c r="AC37" s="27">
        <f t="shared" si="5"/>
        <v>0</v>
      </c>
    </row>
    <row r="38" spans="1:29">
      <c r="A38" t="s">
        <v>123</v>
      </c>
      <c r="B38" s="3">
        <v>45957</v>
      </c>
      <c r="C38" t="s">
        <v>78</v>
      </c>
      <c r="D38" t="s">
        <v>62</v>
      </c>
      <c r="E38" t="s">
        <v>67</v>
      </c>
      <c r="F38" t="s">
        <v>68</v>
      </c>
      <c r="G38" s="6">
        <v>1</v>
      </c>
      <c r="H38" s="4">
        <v>40.340000000000003</v>
      </c>
      <c r="I38" s="4">
        <v>19.21</v>
      </c>
      <c r="J38" s="5">
        <v>0</v>
      </c>
      <c r="K38" s="6">
        <v>3</v>
      </c>
      <c r="L38" s="6">
        <v>4</v>
      </c>
      <c r="M38" t="s">
        <v>58</v>
      </c>
      <c r="N38" t="s">
        <v>59</v>
      </c>
      <c r="O38" t="s">
        <v>64</v>
      </c>
      <c r="P38" t="str">
        <f t="shared" si="0"/>
        <v>Individual</v>
      </c>
      <c r="Q38" t="str">
        <f t="shared" si="1"/>
        <v>London</v>
      </c>
      <c r="R38" t="str">
        <f>PROPER(TRIM(E38))</f>
        <v>Office</v>
      </c>
      <c r="S38" s="27">
        <f>IF(ISTEXT(B38),DATEVALUE(B38),B38)</f>
        <v>45957</v>
      </c>
      <c r="T38" s="27">
        <f>COUNTIF($A$2:$A$1986,A38)</f>
        <v>1</v>
      </c>
      <c r="U38" s="27" t="str">
        <f t="shared" si="2"/>
        <v>Desk Lamp</v>
      </c>
      <c r="V38" s="27">
        <f t="shared" si="3"/>
        <v>40.340000000000003</v>
      </c>
      <c r="W38" s="27">
        <f t="shared" si="4"/>
        <v>19.21</v>
      </c>
      <c r="X38" s="27">
        <f>RawSalesTable3[[#This Row],[Revenue]]-RawSalesTable3[[#This Row],[Total_Cost]]</f>
        <v>21.130000000000003</v>
      </c>
      <c r="Y38" s="28">
        <f>RawSalesTable3[[#This Row],[Profit]]/RawSalesTable3[[#This Row],[Revenue]]</f>
        <v>0.52379771938522557</v>
      </c>
      <c r="Z38" s="27" t="str">
        <f>TEXT(RawSalesTable3[[#This Row],[Order_Date_Clean]],"MMM YYYY")</f>
        <v>Oct 2025</v>
      </c>
      <c r="AA38" s="27"/>
      <c r="AB38" s="27">
        <f t="shared" si="6"/>
        <v>0</v>
      </c>
      <c r="AC38" s="27">
        <f t="shared" si="5"/>
        <v>0</v>
      </c>
    </row>
    <row r="39" spans="1:29">
      <c r="A39" t="s">
        <v>124</v>
      </c>
      <c r="B39" s="3">
        <v>46013</v>
      </c>
      <c r="C39" t="s">
        <v>66</v>
      </c>
      <c r="D39" t="s">
        <v>55</v>
      </c>
      <c r="E39" t="s">
        <v>79</v>
      </c>
      <c r="F39" t="s">
        <v>80</v>
      </c>
      <c r="G39" s="6">
        <v>2</v>
      </c>
      <c r="H39" s="4">
        <v>77.260000000000005</v>
      </c>
      <c r="I39" s="4">
        <v>42.8</v>
      </c>
      <c r="J39" s="5">
        <v>0.1</v>
      </c>
      <c r="K39" s="6">
        <v>4</v>
      </c>
      <c r="L39" s="6">
        <v>4</v>
      </c>
      <c r="M39" t="s">
        <v>58</v>
      </c>
      <c r="N39" t="s">
        <v>69</v>
      </c>
      <c r="O39" t="s">
        <v>64</v>
      </c>
      <c r="P39" t="str">
        <f t="shared" si="0"/>
        <v>Small Business</v>
      </c>
      <c r="Q39" t="str">
        <f t="shared" si="1"/>
        <v>South</v>
      </c>
      <c r="R39" t="str">
        <f>PROPER(TRIM(E39))</f>
        <v>Electronics</v>
      </c>
      <c r="S39" s="27">
        <f>IF(ISTEXT(B39),DATEVALUE(B39),B39)</f>
        <v>46013</v>
      </c>
      <c r="T39" s="27">
        <f>COUNTIF($A$2:$A$1986,A39)</f>
        <v>1</v>
      </c>
      <c r="U39" s="27" t="str">
        <f t="shared" si="2"/>
        <v>Portable Speaker</v>
      </c>
      <c r="V39" s="27">
        <f t="shared" si="3"/>
        <v>139.06800000000001</v>
      </c>
      <c r="W39" s="27">
        <f t="shared" si="4"/>
        <v>85.6</v>
      </c>
      <c r="X39" s="27">
        <f>RawSalesTable3[[#This Row],[Revenue]]-RawSalesTable3[[#This Row],[Total_Cost]]</f>
        <v>53.468000000000018</v>
      </c>
      <c r="Y39" s="28">
        <f>RawSalesTable3[[#This Row],[Profit]]/RawSalesTable3[[#This Row],[Revenue]]</f>
        <v>0.3844737826099463</v>
      </c>
      <c r="Z39" s="27" t="str">
        <f>TEXT(RawSalesTable3[[#This Row],[Order_Date_Clean]],"MMM YYYY")</f>
        <v>Dec 2025</v>
      </c>
      <c r="AA39" s="27"/>
      <c r="AB39" s="27">
        <f t="shared" si="6"/>
        <v>0</v>
      </c>
      <c r="AC39" s="27">
        <f t="shared" si="5"/>
        <v>0</v>
      </c>
    </row>
    <row r="40" spans="1:29">
      <c r="A40" t="s">
        <v>125</v>
      </c>
      <c r="B40" s="3">
        <v>45938</v>
      </c>
      <c r="C40" t="s">
        <v>78</v>
      </c>
      <c r="D40" t="s">
        <v>55</v>
      </c>
      <c r="E40" t="s">
        <v>75</v>
      </c>
      <c r="F40" t="s">
        <v>97</v>
      </c>
      <c r="G40" s="6">
        <v>2</v>
      </c>
      <c r="H40" s="4">
        <v>93.04</v>
      </c>
      <c r="I40" s="4">
        <v>53.32</v>
      </c>
      <c r="J40" s="5">
        <v>0</v>
      </c>
      <c r="K40" s="6">
        <v>7</v>
      </c>
      <c r="L40" s="6">
        <v>2</v>
      </c>
      <c r="M40" t="s">
        <v>126</v>
      </c>
      <c r="N40" t="s">
        <v>59</v>
      </c>
      <c r="O40" t="s">
        <v>60</v>
      </c>
      <c r="P40" t="str">
        <f t="shared" si="0"/>
        <v>Small Business</v>
      </c>
      <c r="Q40" t="str">
        <f t="shared" si="1"/>
        <v>London</v>
      </c>
      <c r="R40" t="str">
        <f>PROPER(TRIM(E40))</f>
        <v>Furniture</v>
      </c>
      <c r="S40" s="27">
        <f>IF(ISTEXT(B40),DATEVALUE(B40),B40)</f>
        <v>45938</v>
      </c>
      <c r="T40" s="27">
        <f>COUNTIF($A$2:$A$1986,A40)</f>
        <v>1</v>
      </c>
      <c r="U40" s="27" t="str">
        <f t="shared" si="2"/>
        <v>Side Table</v>
      </c>
      <c r="V40" s="27">
        <f t="shared" si="3"/>
        <v>186.08</v>
      </c>
      <c r="W40" s="27">
        <f t="shared" si="4"/>
        <v>106.64</v>
      </c>
      <c r="X40" s="27">
        <f>RawSalesTable3[[#This Row],[Revenue]]-RawSalesTable3[[#This Row],[Total_Cost]]</f>
        <v>79.440000000000012</v>
      </c>
      <c r="Y40" s="28">
        <f>RawSalesTable3[[#This Row],[Profit]]/RawSalesTable3[[#This Row],[Revenue]]</f>
        <v>0.42691315563198629</v>
      </c>
      <c r="Z40" s="27" t="str">
        <f>TEXT(RawSalesTable3[[#This Row],[Order_Date_Clean]],"MMM YYYY")</f>
        <v>Oct 2025</v>
      </c>
      <c r="AA40" s="27"/>
      <c r="AB40" s="27">
        <f t="shared" si="6"/>
        <v>0</v>
      </c>
      <c r="AC40" s="27">
        <f t="shared" si="5"/>
        <v>0</v>
      </c>
    </row>
    <row r="41" spans="1:29">
      <c r="A41" t="s">
        <v>127</v>
      </c>
      <c r="B41" s="3">
        <v>45779</v>
      </c>
      <c r="C41" t="s">
        <v>66</v>
      </c>
      <c r="D41" t="s">
        <v>62</v>
      </c>
      <c r="E41" t="s">
        <v>75</v>
      </c>
      <c r="F41" t="s">
        <v>110</v>
      </c>
      <c r="G41" s="6">
        <v>1</v>
      </c>
      <c r="H41" s="4">
        <v>156.21</v>
      </c>
      <c r="I41" s="4">
        <v>99.74</v>
      </c>
      <c r="J41" s="5">
        <v>0.1</v>
      </c>
      <c r="K41" s="6">
        <v>2</v>
      </c>
      <c r="L41" s="6">
        <v>4</v>
      </c>
      <c r="M41" t="s">
        <v>126</v>
      </c>
      <c r="N41" t="s">
        <v>69</v>
      </c>
      <c r="O41" t="s">
        <v>64</v>
      </c>
      <c r="P41" t="str">
        <f t="shared" si="0"/>
        <v>Individual</v>
      </c>
      <c r="Q41" t="str">
        <f t="shared" si="1"/>
        <v>South</v>
      </c>
      <c r="R41" t="str">
        <f>PROPER(TRIM(E41))</f>
        <v>Furniture</v>
      </c>
      <c r="S41" s="27">
        <f>IF(ISTEXT(B41),DATEVALUE(B41),B41)</f>
        <v>45779</v>
      </c>
      <c r="T41" s="27">
        <f>COUNTIF($A$2:$A$1986,A41)</f>
        <v>1</v>
      </c>
      <c r="U41" s="27" t="str">
        <f t="shared" si="2"/>
        <v>Storage Cabinet</v>
      </c>
      <c r="V41" s="27">
        <f t="shared" si="3"/>
        <v>140.589</v>
      </c>
      <c r="W41" s="27">
        <f t="shared" si="4"/>
        <v>99.74</v>
      </c>
      <c r="X41" s="27">
        <f>RawSalesTable3[[#This Row],[Revenue]]-RawSalesTable3[[#This Row],[Total_Cost]]</f>
        <v>40.849000000000004</v>
      </c>
      <c r="Y41" s="28">
        <f>RawSalesTable3[[#This Row],[Profit]]/RawSalesTable3[[#This Row],[Revenue]]</f>
        <v>0.29055616015477742</v>
      </c>
      <c r="Z41" s="27" t="str">
        <f>TEXT(RawSalesTable3[[#This Row],[Order_Date_Clean]],"MMM YYYY")</f>
        <v>May 2025</v>
      </c>
      <c r="AA41" s="27"/>
      <c r="AB41" s="27">
        <f t="shared" si="6"/>
        <v>0</v>
      </c>
      <c r="AC41" s="27">
        <f t="shared" si="5"/>
        <v>0</v>
      </c>
    </row>
    <row r="42" spans="1:29">
      <c r="A42" t="s">
        <v>128</v>
      </c>
      <c r="B42" s="3">
        <v>45761</v>
      </c>
      <c r="C42" t="s">
        <v>66</v>
      </c>
      <c r="D42" t="s">
        <v>129</v>
      </c>
      <c r="E42" t="s">
        <v>67</v>
      </c>
      <c r="F42" t="s">
        <v>107</v>
      </c>
      <c r="G42" s="6">
        <v>4</v>
      </c>
      <c r="H42" s="4">
        <v>46.31</v>
      </c>
      <c r="I42" s="4">
        <v>21.97</v>
      </c>
      <c r="J42" s="5">
        <v>0.15000000000000002</v>
      </c>
      <c r="K42" s="6">
        <v>5</v>
      </c>
      <c r="L42" s="6">
        <v>5</v>
      </c>
      <c r="M42" t="s">
        <v>58</v>
      </c>
      <c r="N42" t="s">
        <v>59</v>
      </c>
      <c r="O42" t="s">
        <v>60</v>
      </c>
      <c r="P42" t="str">
        <f t="shared" si="0"/>
        <v>Corporate</v>
      </c>
      <c r="Q42" t="str">
        <f t="shared" si="1"/>
        <v>South</v>
      </c>
      <c r="R42" t="str">
        <f>PROPER(TRIM(E42))</f>
        <v>Office</v>
      </c>
      <c r="S42" s="27">
        <f>IF(ISTEXT(B42),DATEVALUE(B42),B42)</f>
        <v>45761</v>
      </c>
      <c r="T42" s="27">
        <f>COUNTIF($A$2:$A$1986,A42)</f>
        <v>1</v>
      </c>
      <c r="U42" s="27" t="str">
        <f t="shared" si="2"/>
        <v>Laptop Stand</v>
      </c>
      <c r="V42" s="27">
        <f t="shared" si="3"/>
        <v>157.45400000000001</v>
      </c>
      <c r="W42" s="27">
        <f t="shared" si="4"/>
        <v>87.88</v>
      </c>
      <c r="X42" s="27">
        <f>RawSalesTable3[[#This Row],[Revenue]]-RawSalesTable3[[#This Row],[Total_Cost]]</f>
        <v>69.574000000000012</v>
      </c>
      <c r="Y42" s="28">
        <f>RawSalesTable3[[#This Row],[Profit]]/RawSalesTable3[[#This Row],[Revenue]]</f>
        <v>0.44186873626583006</v>
      </c>
      <c r="Z42" s="27" t="str">
        <f>TEXT(RawSalesTable3[[#This Row],[Order_Date_Clean]],"MMM YYYY")</f>
        <v>Apr 2025</v>
      </c>
      <c r="AA42" s="27"/>
      <c r="AB42" s="27">
        <f t="shared" si="6"/>
        <v>0</v>
      </c>
      <c r="AC42" s="27">
        <f t="shared" si="5"/>
        <v>0</v>
      </c>
    </row>
    <row r="43" spans="1:29">
      <c r="A43" t="s">
        <v>130</v>
      </c>
      <c r="B43" s="3">
        <v>45886</v>
      </c>
      <c r="C43" t="s">
        <v>82</v>
      </c>
      <c r="D43" t="s">
        <v>129</v>
      </c>
      <c r="E43" t="s">
        <v>67</v>
      </c>
      <c r="F43" t="s">
        <v>71</v>
      </c>
      <c r="G43" s="6">
        <v>4</v>
      </c>
      <c r="H43" s="4">
        <v>69.56</v>
      </c>
      <c r="I43" s="4">
        <v>38.47</v>
      </c>
      <c r="J43" s="5">
        <v>0.05</v>
      </c>
      <c r="K43" s="6">
        <v>2</v>
      </c>
      <c r="L43" s="6">
        <v>5</v>
      </c>
      <c r="M43" t="s">
        <v>58</v>
      </c>
      <c r="N43" t="s">
        <v>69</v>
      </c>
      <c r="O43" t="s">
        <v>73</v>
      </c>
      <c r="P43" t="str">
        <f t="shared" si="0"/>
        <v>Corporate</v>
      </c>
      <c r="Q43" t="str">
        <f t="shared" si="1"/>
        <v>Midlands</v>
      </c>
      <c r="R43" t="str">
        <f>PROPER(TRIM(E43))</f>
        <v>Office</v>
      </c>
      <c r="S43" s="27">
        <f>IF(ISTEXT(B43),DATEVALUE(B43),B43)</f>
        <v>45886</v>
      </c>
      <c r="T43" s="27">
        <f>COUNTIF($A$2:$A$1986,A43)</f>
        <v>1</v>
      </c>
      <c r="U43" s="27" t="str">
        <f t="shared" si="2"/>
        <v>Ergonomic Keyboard</v>
      </c>
      <c r="V43" s="27">
        <f t="shared" si="3"/>
        <v>264.32799999999997</v>
      </c>
      <c r="W43" s="27">
        <f t="shared" si="4"/>
        <v>153.88</v>
      </c>
      <c r="X43" s="27">
        <f>RawSalesTable3[[#This Row],[Revenue]]-RawSalesTable3[[#This Row],[Total_Cost]]</f>
        <v>110.44799999999998</v>
      </c>
      <c r="Y43" s="28">
        <f>RawSalesTable3[[#This Row],[Profit]]/RawSalesTable3[[#This Row],[Revenue]]</f>
        <v>0.41784449623195419</v>
      </c>
      <c r="Z43" s="27" t="str">
        <f>TEXT(RawSalesTable3[[#This Row],[Order_Date_Clean]],"MMM YYYY")</f>
        <v>Aug 2025</v>
      </c>
      <c r="AA43" s="27"/>
      <c r="AB43" s="27">
        <f t="shared" si="6"/>
        <v>0</v>
      </c>
      <c r="AC43" s="27">
        <f t="shared" si="5"/>
        <v>0</v>
      </c>
    </row>
    <row r="44" spans="1:29">
      <c r="A44" t="s">
        <v>131</v>
      </c>
      <c r="B44" s="3">
        <v>45866</v>
      </c>
      <c r="C44" t="s">
        <v>78</v>
      </c>
      <c r="D44" t="s">
        <v>62</v>
      </c>
      <c r="E44" t="s">
        <v>79</v>
      </c>
      <c r="F44" t="s">
        <v>85</v>
      </c>
      <c r="G44" s="6">
        <v>1</v>
      </c>
      <c r="H44" s="4">
        <v>126.3</v>
      </c>
      <c r="I44" s="4">
        <v>83.66</v>
      </c>
      <c r="J44" s="5">
        <v>0.1</v>
      </c>
      <c r="K44" s="6">
        <v>2</v>
      </c>
      <c r="L44" s="6">
        <v>4</v>
      </c>
      <c r="M44" t="s">
        <v>58</v>
      </c>
      <c r="N44" t="s">
        <v>59</v>
      </c>
      <c r="O44" t="s">
        <v>64</v>
      </c>
      <c r="P44" t="str">
        <f t="shared" si="0"/>
        <v>Individual</v>
      </c>
      <c r="Q44" t="str">
        <f t="shared" si="1"/>
        <v>London</v>
      </c>
      <c r="R44" t="str">
        <f>PROPER(TRIM(E44))</f>
        <v>Electronics</v>
      </c>
      <c r="S44" s="27">
        <f>IF(ISTEXT(B44),DATEVALUE(B44),B44)</f>
        <v>45866</v>
      </c>
      <c r="T44" s="27">
        <f>COUNTIF($A$2:$A$1986,A44)</f>
        <v>1</v>
      </c>
      <c r="U44" s="27" t="str">
        <f t="shared" si="2"/>
        <v>SmartHome Hub</v>
      </c>
      <c r="V44" s="27">
        <f t="shared" si="3"/>
        <v>113.67</v>
      </c>
      <c r="W44" s="27">
        <f t="shared" si="4"/>
        <v>83.66</v>
      </c>
      <c r="X44" s="27">
        <f>RawSalesTable3[[#This Row],[Revenue]]-RawSalesTable3[[#This Row],[Total_Cost]]</f>
        <v>30.010000000000005</v>
      </c>
      <c r="Y44" s="28">
        <f>RawSalesTable3[[#This Row],[Profit]]/RawSalesTable3[[#This Row],[Revenue]]</f>
        <v>0.26400985308348734</v>
      </c>
      <c r="Z44" s="27" t="str">
        <f>TEXT(RawSalesTable3[[#This Row],[Order_Date_Clean]],"MMM YYYY")</f>
        <v>Jul 2025</v>
      </c>
      <c r="AA44" s="27"/>
      <c r="AB44" s="27">
        <f t="shared" si="6"/>
        <v>0</v>
      </c>
      <c r="AC44" s="27">
        <f t="shared" si="5"/>
        <v>0</v>
      </c>
    </row>
    <row r="45" spans="1:29">
      <c r="A45" t="s">
        <v>132</v>
      </c>
      <c r="B45" s="3">
        <v>46012</v>
      </c>
      <c r="C45" t="s">
        <v>66</v>
      </c>
      <c r="D45" t="s">
        <v>55</v>
      </c>
      <c r="E45" t="s">
        <v>67</v>
      </c>
      <c r="F45" t="s">
        <v>71</v>
      </c>
      <c r="G45" s="6">
        <v>5</v>
      </c>
      <c r="H45" s="4">
        <v>68.22</v>
      </c>
      <c r="I45" s="4">
        <v>39.619999999999997</v>
      </c>
      <c r="J45" s="5">
        <v>0.15000000000000002</v>
      </c>
      <c r="K45" s="6">
        <v>4</v>
      </c>
      <c r="L45" s="6">
        <v>4</v>
      </c>
      <c r="M45" t="s">
        <v>58</v>
      </c>
      <c r="N45" t="s">
        <v>69</v>
      </c>
      <c r="O45" t="s">
        <v>73</v>
      </c>
      <c r="P45" t="str">
        <f t="shared" si="0"/>
        <v>Small Business</v>
      </c>
      <c r="Q45" t="str">
        <f t="shared" si="1"/>
        <v>South</v>
      </c>
      <c r="R45" t="str">
        <f>PROPER(TRIM(E45))</f>
        <v>Office</v>
      </c>
      <c r="S45" s="27">
        <f>IF(ISTEXT(B45),DATEVALUE(B45),B45)</f>
        <v>46012</v>
      </c>
      <c r="T45" s="27">
        <f>COUNTIF($A$2:$A$1986,A45)</f>
        <v>1</v>
      </c>
      <c r="U45" s="27" t="str">
        <f t="shared" si="2"/>
        <v>Ergonomic Keyboard</v>
      </c>
      <c r="V45" s="27">
        <f t="shared" si="3"/>
        <v>289.935</v>
      </c>
      <c r="W45" s="27">
        <f t="shared" si="4"/>
        <v>198.1</v>
      </c>
      <c r="X45" s="27">
        <f>RawSalesTable3[[#This Row],[Revenue]]-RawSalesTable3[[#This Row],[Total_Cost]]</f>
        <v>91.835000000000008</v>
      </c>
      <c r="Y45" s="28">
        <f>RawSalesTable3[[#This Row],[Profit]]/RawSalesTable3[[#This Row],[Revenue]]</f>
        <v>0.31674340800524259</v>
      </c>
      <c r="Z45" s="27" t="str">
        <f>TEXT(RawSalesTable3[[#This Row],[Order_Date_Clean]],"MMM YYYY")</f>
        <v>Dec 2025</v>
      </c>
      <c r="AA45" s="27"/>
      <c r="AB45" s="27">
        <f t="shared" si="6"/>
        <v>0</v>
      </c>
      <c r="AC45" s="27">
        <f t="shared" si="5"/>
        <v>0</v>
      </c>
    </row>
    <row r="46" spans="1:29">
      <c r="A46" t="s">
        <v>133</v>
      </c>
      <c r="B46" s="3">
        <v>45816</v>
      </c>
      <c r="C46" t="s">
        <v>54</v>
      </c>
      <c r="D46" t="s">
        <v>62</v>
      </c>
      <c r="E46" t="s">
        <v>67</v>
      </c>
      <c r="F46" t="s">
        <v>68</v>
      </c>
      <c r="G46" s="6">
        <v>2</v>
      </c>
      <c r="H46" s="4">
        <v>40.74</v>
      </c>
      <c r="I46" s="4">
        <v>18.95</v>
      </c>
      <c r="J46" s="5">
        <v>0.1</v>
      </c>
      <c r="K46" s="6">
        <v>2</v>
      </c>
      <c r="L46" s="6">
        <v>5</v>
      </c>
      <c r="M46" t="s">
        <v>58</v>
      </c>
      <c r="N46" t="s">
        <v>69</v>
      </c>
      <c r="O46" t="s">
        <v>60</v>
      </c>
      <c r="P46" t="str">
        <f t="shared" si="0"/>
        <v>Individual</v>
      </c>
      <c r="Q46" t="str">
        <f t="shared" si="1"/>
        <v>North</v>
      </c>
      <c r="R46" t="str">
        <f>PROPER(TRIM(E46))</f>
        <v>Office</v>
      </c>
      <c r="S46" s="27">
        <f>IF(ISTEXT(B46),DATEVALUE(B46),B46)</f>
        <v>45816</v>
      </c>
      <c r="T46" s="27">
        <f>COUNTIF($A$2:$A$1986,A46)</f>
        <v>1</v>
      </c>
      <c r="U46" s="27" t="str">
        <f t="shared" si="2"/>
        <v>Desk Lamp</v>
      </c>
      <c r="V46" s="27">
        <f t="shared" si="3"/>
        <v>73.332000000000008</v>
      </c>
      <c r="W46" s="27">
        <f t="shared" si="4"/>
        <v>37.9</v>
      </c>
      <c r="X46" s="27">
        <f>RawSalesTable3[[#This Row],[Revenue]]-RawSalesTable3[[#This Row],[Total_Cost]]</f>
        <v>35.432000000000009</v>
      </c>
      <c r="Y46" s="28">
        <f>RawSalesTable3[[#This Row],[Profit]]/RawSalesTable3[[#This Row],[Revenue]]</f>
        <v>0.48317242131675131</v>
      </c>
      <c r="Z46" s="27" t="str">
        <f>TEXT(RawSalesTable3[[#This Row],[Order_Date_Clean]],"MMM YYYY")</f>
        <v>Jun 2025</v>
      </c>
      <c r="AA46" s="27"/>
      <c r="AB46" s="27">
        <f t="shared" si="6"/>
        <v>0</v>
      </c>
      <c r="AC46" s="27">
        <f t="shared" si="5"/>
        <v>0</v>
      </c>
    </row>
    <row r="47" spans="1:29">
      <c r="A47" t="s">
        <v>134</v>
      </c>
      <c r="B47" s="3">
        <v>45831</v>
      </c>
      <c r="C47" t="s">
        <v>78</v>
      </c>
      <c r="D47" t="s">
        <v>55</v>
      </c>
      <c r="E47" t="s">
        <v>79</v>
      </c>
      <c r="F47" t="s">
        <v>92</v>
      </c>
      <c r="G47" s="6">
        <v>3</v>
      </c>
      <c r="H47" s="4">
        <v>51.29</v>
      </c>
      <c r="I47" s="4">
        <v>25.64</v>
      </c>
      <c r="J47" s="5">
        <v>0.05</v>
      </c>
      <c r="K47" s="6">
        <v>0</v>
      </c>
      <c r="L47" s="6">
        <v>4</v>
      </c>
      <c r="M47" t="s">
        <v>58</v>
      </c>
      <c r="N47" t="s">
        <v>69</v>
      </c>
      <c r="O47" t="s">
        <v>64</v>
      </c>
      <c r="P47" t="str">
        <f t="shared" si="0"/>
        <v>Small Business</v>
      </c>
      <c r="Q47" t="str">
        <f t="shared" si="1"/>
        <v>London</v>
      </c>
      <c r="R47" t="str">
        <f>PROPER(TRIM(E47))</f>
        <v>Electronics</v>
      </c>
      <c r="S47" s="27">
        <f>IF(ISTEXT(B47),DATEVALUE(B47),B47)</f>
        <v>45831</v>
      </c>
      <c r="T47" s="27">
        <f>COUNTIF($A$2:$A$1986,A47)</f>
        <v>1</v>
      </c>
      <c r="U47" s="27" t="str">
        <f t="shared" si="2"/>
        <v>Webcam</v>
      </c>
      <c r="V47" s="27">
        <f t="shared" si="3"/>
        <v>146.1765</v>
      </c>
      <c r="W47" s="27">
        <f t="shared" si="4"/>
        <v>76.92</v>
      </c>
      <c r="X47" s="27">
        <f>RawSalesTable3[[#This Row],[Revenue]]-RawSalesTable3[[#This Row],[Total_Cost]]</f>
        <v>69.256500000000003</v>
      </c>
      <c r="Y47" s="28">
        <f>RawSalesTable3[[#This Row],[Profit]]/RawSalesTable3[[#This Row],[Revenue]]</f>
        <v>0.47378682619983375</v>
      </c>
      <c r="Z47" s="27" t="str">
        <f>TEXT(RawSalesTable3[[#This Row],[Order_Date_Clean]],"MMM YYYY")</f>
        <v>Jun 2025</v>
      </c>
      <c r="AA47" s="27"/>
      <c r="AB47" s="27">
        <f t="shared" si="6"/>
        <v>0</v>
      </c>
      <c r="AC47" s="27">
        <f t="shared" si="5"/>
        <v>0</v>
      </c>
    </row>
    <row r="48" spans="1:29">
      <c r="A48" t="s">
        <v>135</v>
      </c>
      <c r="B48" s="3">
        <v>45662</v>
      </c>
      <c r="C48" t="s">
        <v>82</v>
      </c>
      <c r="D48" t="s">
        <v>62</v>
      </c>
      <c r="E48" t="s">
        <v>79</v>
      </c>
      <c r="F48" t="s">
        <v>80</v>
      </c>
      <c r="G48" s="6">
        <v>2</v>
      </c>
      <c r="H48" s="4">
        <v>74.06</v>
      </c>
      <c r="I48" s="4">
        <v>45.08</v>
      </c>
      <c r="J48" s="5">
        <v>0.1</v>
      </c>
      <c r="K48" s="6">
        <v>3</v>
      </c>
      <c r="L48" s="6">
        <v>5</v>
      </c>
      <c r="M48" t="s">
        <v>58</v>
      </c>
      <c r="N48" t="s">
        <v>87</v>
      </c>
      <c r="O48" t="s">
        <v>64</v>
      </c>
      <c r="P48" t="str">
        <f t="shared" si="0"/>
        <v>Individual</v>
      </c>
      <c r="Q48" t="str">
        <f t="shared" si="1"/>
        <v>Midlands</v>
      </c>
      <c r="R48" t="str">
        <f>PROPER(TRIM(E48))</f>
        <v>Electronics</v>
      </c>
      <c r="S48" s="27">
        <f>IF(ISTEXT(B48),DATEVALUE(B48),B48)</f>
        <v>45662</v>
      </c>
      <c r="T48" s="27">
        <f>COUNTIF($A$2:$A$1986,A48)</f>
        <v>1</v>
      </c>
      <c r="U48" s="27" t="str">
        <f t="shared" si="2"/>
        <v>Portable Speaker</v>
      </c>
      <c r="V48" s="27">
        <f t="shared" si="3"/>
        <v>133.30800000000002</v>
      </c>
      <c r="W48" s="27">
        <f t="shared" si="4"/>
        <v>90.16</v>
      </c>
      <c r="X48" s="27">
        <f>RawSalesTable3[[#This Row],[Revenue]]-RawSalesTable3[[#This Row],[Total_Cost]]</f>
        <v>43.148000000000025</v>
      </c>
      <c r="Y48" s="28">
        <f>RawSalesTable3[[#This Row],[Profit]]/RawSalesTable3[[#This Row],[Revenue]]</f>
        <v>0.32367149758454117</v>
      </c>
      <c r="Z48" s="27" t="str">
        <f>TEXT(RawSalesTable3[[#This Row],[Order_Date_Clean]],"MMM YYYY")</f>
        <v>Jan 2025</v>
      </c>
      <c r="AA48" s="27"/>
      <c r="AB48" s="27">
        <f t="shared" si="6"/>
        <v>0</v>
      </c>
      <c r="AC48" s="27">
        <f t="shared" si="5"/>
        <v>0</v>
      </c>
    </row>
    <row r="49" spans="1:29">
      <c r="A49" t="s">
        <v>136</v>
      </c>
      <c r="B49" s="3">
        <v>45989</v>
      </c>
      <c r="C49" t="s">
        <v>78</v>
      </c>
      <c r="D49" t="s">
        <v>62</v>
      </c>
      <c r="E49" t="s">
        <v>79</v>
      </c>
      <c r="F49" t="s">
        <v>115</v>
      </c>
      <c r="G49" s="6">
        <v>1</v>
      </c>
      <c r="H49" s="4">
        <v>61.42</v>
      </c>
      <c r="I49" s="4">
        <v>35.07</v>
      </c>
      <c r="J49" s="5">
        <v>0</v>
      </c>
      <c r="K49" s="6">
        <v>3</v>
      </c>
      <c r="L49" s="6"/>
      <c r="M49" t="s">
        <v>58</v>
      </c>
      <c r="N49" t="s">
        <v>69</v>
      </c>
      <c r="O49" t="s">
        <v>64</v>
      </c>
      <c r="P49" t="str">
        <f t="shared" si="0"/>
        <v>Individual</v>
      </c>
      <c r="Q49" t="str">
        <f t="shared" si="1"/>
        <v>London</v>
      </c>
      <c r="R49" t="str">
        <f>PROPER(TRIM(E49))</f>
        <v>Electronics</v>
      </c>
      <c r="S49" s="27">
        <f>IF(ISTEXT(B49),DATEVALUE(B49),B49)</f>
        <v>45989</v>
      </c>
      <c r="T49" s="27">
        <f>COUNTIF($A$2:$A$1986,A49)</f>
        <v>1</v>
      </c>
      <c r="U49" s="27" t="str">
        <f t="shared" si="2"/>
        <v>Wireless Headset</v>
      </c>
      <c r="V49" s="27">
        <f t="shared" si="3"/>
        <v>61.42</v>
      </c>
      <c r="W49" s="27">
        <f t="shared" si="4"/>
        <v>35.07</v>
      </c>
      <c r="X49" s="27">
        <f>RawSalesTable3[[#This Row],[Revenue]]-RawSalesTable3[[#This Row],[Total_Cost]]</f>
        <v>26.35</v>
      </c>
      <c r="Y49" s="28">
        <f>RawSalesTable3[[#This Row],[Profit]]/RawSalesTable3[[#This Row],[Revenue]]</f>
        <v>0.42901335070009772</v>
      </c>
      <c r="Z49" s="27" t="str">
        <f>TEXT(RawSalesTable3[[#This Row],[Order_Date_Clean]],"MMM YYYY")</f>
        <v>Nov 2025</v>
      </c>
      <c r="AA49" s="27"/>
      <c r="AB49" s="27">
        <f t="shared" si="6"/>
        <v>0</v>
      </c>
      <c r="AC49" s="27">
        <f t="shared" si="5"/>
        <v>0</v>
      </c>
    </row>
    <row r="50" spans="1:29">
      <c r="A50" t="s">
        <v>137</v>
      </c>
      <c r="B50" s="3">
        <v>45963</v>
      </c>
      <c r="C50" t="s">
        <v>54</v>
      </c>
      <c r="D50" t="s">
        <v>129</v>
      </c>
      <c r="E50" t="s">
        <v>79</v>
      </c>
      <c r="F50" t="s">
        <v>85</v>
      </c>
      <c r="G50" s="6">
        <v>10</v>
      </c>
      <c r="H50" s="4">
        <v>128.72</v>
      </c>
      <c r="I50" s="4">
        <v>84.25</v>
      </c>
      <c r="J50" s="5">
        <v>0.25</v>
      </c>
      <c r="K50" s="6">
        <v>4</v>
      </c>
      <c r="L50" s="6">
        <v>4</v>
      </c>
      <c r="M50" t="s">
        <v>58</v>
      </c>
      <c r="N50" t="s">
        <v>59</v>
      </c>
      <c r="O50" t="s">
        <v>64</v>
      </c>
      <c r="P50" t="str">
        <f t="shared" si="0"/>
        <v>Corporate</v>
      </c>
      <c r="Q50" t="str">
        <f t="shared" si="1"/>
        <v>North</v>
      </c>
      <c r="R50" t="str">
        <f>PROPER(TRIM(E50))</f>
        <v>Electronics</v>
      </c>
      <c r="S50" s="27">
        <f>IF(ISTEXT(B50),DATEVALUE(B50),B50)</f>
        <v>45963</v>
      </c>
      <c r="T50" s="27">
        <f>COUNTIF($A$2:$A$1986,A50)</f>
        <v>1</v>
      </c>
      <c r="U50" s="27" t="str">
        <f t="shared" si="2"/>
        <v>SmartHome Hub</v>
      </c>
      <c r="V50" s="27">
        <f t="shared" si="3"/>
        <v>965.40000000000009</v>
      </c>
      <c r="W50" s="27">
        <f t="shared" si="4"/>
        <v>842.5</v>
      </c>
      <c r="X50" s="27">
        <f>RawSalesTable3[[#This Row],[Revenue]]-RawSalesTable3[[#This Row],[Total_Cost]]</f>
        <v>122.90000000000009</v>
      </c>
      <c r="Y50" s="28">
        <f>RawSalesTable3[[#This Row],[Profit]]/RawSalesTable3[[#This Row],[Revenue]]</f>
        <v>0.1273047441475037</v>
      </c>
      <c r="Z50" s="27" t="str">
        <f>TEXT(RawSalesTable3[[#This Row],[Order_Date_Clean]],"MMM YYYY")</f>
        <v>Nov 2025</v>
      </c>
      <c r="AA50" s="27"/>
      <c r="AB50" s="27">
        <f t="shared" si="6"/>
        <v>0</v>
      </c>
      <c r="AC50" s="27">
        <f t="shared" si="5"/>
        <v>0</v>
      </c>
    </row>
    <row r="51" spans="1:29">
      <c r="A51" t="s">
        <v>138</v>
      </c>
      <c r="B51" s="3">
        <v>45930</v>
      </c>
      <c r="C51" t="s">
        <v>66</v>
      </c>
      <c r="D51" t="s">
        <v>62</v>
      </c>
      <c r="E51" t="s">
        <v>79</v>
      </c>
      <c r="F51" t="s">
        <v>115</v>
      </c>
      <c r="G51" s="6">
        <v>2</v>
      </c>
      <c r="H51" s="4">
        <v>58.49</v>
      </c>
      <c r="I51" s="4">
        <v>33.69</v>
      </c>
      <c r="J51" s="5">
        <v>0</v>
      </c>
      <c r="K51" s="6">
        <v>6</v>
      </c>
      <c r="L51" s="6">
        <v>4</v>
      </c>
      <c r="M51" t="s">
        <v>58</v>
      </c>
      <c r="N51" t="s">
        <v>59</v>
      </c>
      <c r="O51" t="s">
        <v>64</v>
      </c>
      <c r="P51" t="str">
        <f t="shared" si="0"/>
        <v>Individual</v>
      </c>
      <c r="Q51" t="str">
        <f t="shared" si="1"/>
        <v>South</v>
      </c>
      <c r="R51" t="str">
        <f>PROPER(TRIM(E51))</f>
        <v>Electronics</v>
      </c>
      <c r="S51" s="27">
        <f>IF(ISTEXT(B51),DATEVALUE(B51),B51)</f>
        <v>45930</v>
      </c>
      <c r="T51" s="27">
        <f>COUNTIF($A$2:$A$1986,A51)</f>
        <v>1</v>
      </c>
      <c r="U51" s="27" t="str">
        <f t="shared" si="2"/>
        <v>Wireless Headset</v>
      </c>
      <c r="V51" s="27">
        <f t="shared" si="3"/>
        <v>116.98</v>
      </c>
      <c r="W51" s="27">
        <f t="shared" si="4"/>
        <v>67.38</v>
      </c>
      <c r="X51" s="27">
        <f>RawSalesTable3[[#This Row],[Revenue]]-RawSalesTable3[[#This Row],[Total_Cost]]</f>
        <v>49.600000000000009</v>
      </c>
      <c r="Y51" s="28">
        <f>RawSalesTable3[[#This Row],[Profit]]/RawSalesTable3[[#This Row],[Revenue]]</f>
        <v>0.42400410326551552</v>
      </c>
      <c r="Z51" s="27" t="str">
        <f>TEXT(RawSalesTable3[[#This Row],[Order_Date_Clean]],"MMM YYYY")</f>
        <v>Sep 2025</v>
      </c>
      <c r="AA51" s="27"/>
      <c r="AB51" s="27">
        <f t="shared" si="6"/>
        <v>0</v>
      </c>
      <c r="AC51" s="27">
        <f t="shared" si="5"/>
        <v>0</v>
      </c>
    </row>
    <row r="52" spans="1:29">
      <c r="A52" t="s">
        <v>139</v>
      </c>
      <c r="B52" s="3">
        <v>45728</v>
      </c>
      <c r="C52" t="s">
        <v>54</v>
      </c>
      <c r="D52" t="s">
        <v>62</v>
      </c>
      <c r="E52" t="s">
        <v>75</v>
      </c>
      <c r="F52" t="s">
        <v>76</v>
      </c>
      <c r="G52" s="6">
        <v>1</v>
      </c>
      <c r="H52" s="4">
        <v>117.82</v>
      </c>
      <c r="I52" s="4">
        <v>73</v>
      </c>
      <c r="J52" s="5">
        <v>0.1</v>
      </c>
      <c r="K52" s="6">
        <v>8</v>
      </c>
      <c r="L52" s="6">
        <v>3</v>
      </c>
      <c r="M52" t="s">
        <v>58</v>
      </c>
      <c r="N52" t="s">
        <v>59</v>
      </c>
      <c r="O52" t="s">
        <v>60</v>
      </c>
      <c r="P52" t="str">
        <f t="shared" si="0"/>
        <v>Individual</v>
      </c>
      <c r="Q52" t="str">
        <f t="shared" si="1"/>
        <v>North</v>
      </c>
      <c r="R52" t="str">
        <f>PROPER(TRIM(E52))</f>
        <v>Furniture</v>
      </c>
      <c r="S52" s="27">
        <f>IF(ISTEXT(B52),DATEVALUE(B52),B52)</f>
        <v>45728</v>
      </c>
      <c r="T52" s="27">
        <f>COUNTIF($A$2:$A$1986,A52)</f>
        <v>1</v>
      </c>
      <c r="U52" s="27" t="str">
        <f t="shared" si="2"/>
        <v>Bookshelf</v>
      </c>
      <c r="V52" s="27">
        <f t="shared" si="3"/>
        <v>106.038</v>
      </c>
      <c r="W52" s="27">
        <f t="shared" si="4"/>
        <v>73</v>
      </c>
      <c r="X52" s="27">
        <f>RawSalesTable3[[#This Row],[Revenue]]-RawSalesTable3[[#This Row],[Total_Cost]]</f>
        <v>33.037999999999997</v>
      </c>
      <c r="Y52" s="28">
        <f>RawSalesTable3[[#This Row],[Profit]]/RawSalesTable3[[#This Row],[Revenue]]</f>
        <v>0.31156755125521035</v>
      </c>
      <c r="Z52" s="27" t="str">
        <f>TEXT(RawSalesTable3[[#This Row],[Order_Date_Clean]],"MMM YYYY")</f>
        <v>Mar 2025</v>
      </c>
      <c r="AA52" s="27"/>
      <c r="AB52" s="27">
        <f t="shared" si="6"/>
        <v>0</v>
      </c>
      <c r="AC52" s="27">
        <f t="shared" si="5"/>
        <v>0</v>
      </c>
    </row>
    <row r="53" spans="1:29">
      <c r="A53" t="s">
        <v>140</v>
      </c>
      <c r="B53" s="3">
        <v>46013</v>
      </c>
      <c r="C53" t="s">
        <v>82</v>
      </c>
      <c r="D53" t="s">
        <v>62</v>
      </c>
      <c r="E53" t="s">
        <v>79</v>
      </c>
      <c r="F53" t="s">
        <v>115</v>
      </c>
      <c r="G53" s="6">
        <v>1</v>
      </c>
      <c r="H53" s="4">
        <v>60.29</v>
      </c>
      <c r="I53" s="4">
        <v>35.54</v>
      </c>
      <c r="J53" s="5">
        <v>0.05</v>
      </c>
      <c r="K53" s="6">
        <v>4</v>
      </c>
      <c r="L53" s="6">
        <v>4</v>
      </c>
      <c r="M53" t="s">
        <v>58</v>
      </c>
      <c r="N53" t="s">
        <v>59</v>
      </c>
      <c r="O53" t="s">
        <v>64</v>
      </c>
      <c r="P53" t="str">
        <f t="shared" si="0"/>
        <v>Individual</v>
      </c>
      <c r="Q53" t="str">
        <f t="shared" si="1"/>
        <v>Midlands</v>
      </c>
      <c r="R53" t="str">
        <f>PROPER(TRIM(E53))</f>
        <v>Electronics</v>
      </c>
      <c r="S53" s="27">
        <f>IF(ISTEXT(B53),DATEVALUE(B53),B53)</f>
        <v>46013</v>
      </c>
      <c r="T53" s="27">
        <f>COUNTIF($A$2:$A$1986,A53)</f>
        <v>1</v>
      </c>
      <c r="U53" s="27" t="str">
        <f t="shared" si="2"/>
        <v>Wireless Headset</v>
      </c>
      <c r="V53" s="27">
        <f t="shared" si="3"/>
        <v>57.275499999999994</v>
      </c>
      <c r="W53" s="27">
        <f t="shared" si="4"/>
        <v>35.54</v>
      </c>
      <c r="X53" s="27">
        <f>RawSalesTable3[[#This Row],[Revenue]]-RawSalesTable3[[#This Row],[Total_Cost]]</f>
        <v>21.735499999999995</v>
      </c>
      <c r="Y53" s="28">
        <f>RawSalesTable3[[#This Row],[Profit]]/RawSalesTable3[[#This Row],[Revenue]]</f>
        <v>0.3794903580064774</v>
      </c>
      <c r="Z53" s="27" t="str">
        <f>TEXT(RawSalesTable3[[#This Row],[Order_Date_Clean]],"MMM YYYY")</f>
        <v>Dec 2025</v>
      </c>
      <c r="AA53" s="27"/>
      <c r="AB53" s="27">
        <f t="shared" si="6"/>
        <v>0</v>
      </c>
      <c r="AC53" s="27">
        <f t="shared" si="5"/>
        <v>0</v>
      </c>
    </row>
    <row r="54" spans="1:29">
      <c r="A54" t="s">
        <v>141</v>
      </c>
      <c r="B54" s="3">
        <v>45961</v>
      </c>
      <c r="C54" t="s">
        <v>78</v>
      </c>
      <c r="D54" t="s">
        <v>62</v>
      </c>
      <c r="E54" t="s">
        <v>56</v>
      </c>
      <c r="F54" t="s">
        <v>63</v>
      </c>
      <c r="G54" s="6">
        <v>4</v>
      </c>
      <c r="H54" s="4">
        <v>39.32</v>
      </c>
      <c r="I54" s="4">
        <v>20.04</v>
      </c>
      <c r="J54" s="5">
        <v>0</v>
      </c>
      <c r="K54" s="6">
        <v>3</v>
      </c>
      <c r="L54" s="6"/>
      <c r="M54" t="s">
        <v>58</v>
      </c>
      <c r="N54" t="s">
        <v>59</v>
      </c>
      <c r="O54" t="s">
        <v>73</v>
      </c>
      <c r="P54" t="str">
        <f t="shared" si="0"/>
        <v>Individual</v>
      </c>
      <c r="Q54" t="str">
        <f t="shared" si="1"/>
        <v>London</v>
      </c>
      <c r="R54" t="str">
        <f>PROPER(TRIM(E54))</f>
        <v>Home &amp; Kitchen</v>
      </c>
      <c r="S54" s="27">
        <f>IF(ISTEXT(B54),DATEVALUE(B54),B54)</f>
        <v>45961</v>
      </c>
      <c r="T54" s="27">
        <f>COUNTIF($A$2:$A$1986,A54)</f>
        <v>1</v>
      </c>
      <c r="U54" s="27" t="str">
        <f t="shared" si="2"/>
        <v>Electric Kettle</v>
      </c>
      <c r="V54" s="27">
        <f t="shared" si="3"/>
        <v>157.28</v>
      </c>
      <c r="W54" s="27">
        <f t="shared" si="4"/>
        <v>80.16</v>
      </c>
      <c r="X54" s="27">
        <f>RawSalesTable3[[#This Row],[Revenue]]-RawSalesTable3[[#This Row],[Total_Cost]]</f>
        <v>77.12</v>
      </c>
      <c r="Y54" s="28">
        <f>RawSalesTable3[[#This Row],[Profit]]/RawSalesTable3[[#This Row],[Revenue]]</f>
        <v>0.4903357070193286</v>
      </c>
      <c r="Z54" s="27" t="str">
        <f>TEXT(RawSalesTable3[[#This Row],[Order_Date_Clean]],"MMM YYYY")</f>
        <v>Oct 2025</v>
      </c>
      <c r="AA54" s="27"/>
      <c r="AB54" s="27">
        <f t="shared" si="6"/>
        <v>0</v>
      </c>
      <c r="AC54" s="27">
        <f t="shared" si="5"/>
        <v>0</v>
      </c>
    </row>
    <row r="55" spans="1:29">
      <c r="A55" t="s">
        <v>142</v>
      </c>
      <c r="B55" s="3">
        <v>45792</v>
      </c>
      <c r="C55" t="s">
        <v>78</v>
      </c>
      <c r="D55" t="s">
        <v>55</v>
      </c>
      <c r="E55" t="s">
        <v>67</v>
      </c>
      <c r="F55" t="s">
        <v>107</v>
      </c>
      <c r="G55" s="6">
        <v>1</v>
      </c>
      <c r="H55" s="4">
        <v>45.96</v>
      </c>
      <c r="I55" s="4">
        <v>20.85</v>
      </c>
      <c r="J55" s="5">
        <v>0</v>
      </c>
      <c r="K55" s="6">
        <v>0</v>
      </c>
      <c r="L55" s="6">
        <v>4</v>
      </c>
      <c r="M55" t="s">
        <v>58</v>
      </c>
      <c r="N55" t="s">
        <v>69</v>
      </c>
      <c r="O55" t="s">
        <v>60</v>
      </c>
      <c r="P55" t="str">
        <f t="shared" si="0"/>
        <v>Small Business</v>
      </c>
      <c r="Q55" t="str">
        <f t="shared" si="1"/>
        <v>London</v>
      </c>
      <c r="R55" t="str">
        <f>PROPER(TRIM(E55))</f>
        <v>Office</v>
      </c>
      <c r="S55" s="27">
        <f>IF(ISTEXT(B55),DATEVALUE(B55),B55)</f>
        <v>45792</v>
      </c>
      <c r="T55" s="27">
        <f>COUNTIF($A$2:$A$1986,A55)</f>
        <v>1</v>
      </c>
      <c r="U55" s="27" t="str">
        <f t="shared" si="2"/>
        <v>Laptop Stand</v>
      </c>
      <c r="V55" s="27">
        <f t="shared" si="3"/>
        <v>45.96</v>
      </c>
      <c r="W55" s="27">
        <f t="shared" si="4"/>
        <v>20.85</v>
      </c>
      <c r="X55" s="27">
        <f>RawSalesTable3[[#This Row],[Revenue]]-RawSalesTable3[[#This Row],[Total_Cost]]</f>
        <v>25.11</v>
      </c>
      <c r="Y55" s="28">
        <f>RawSalesTable3[[#This Row],[Profit]]/RawSalesTable3[[#This Row],[Revenue]]</f>
        <v>0.54634464751958223</v>
      </c>
      <c r="Z55" s="27" t="str">
        <f>TEXT(RawSalesTable3[[#This Row],[Order_Date_Clean]],"MMM YYYY")</f>
        <v>May 2025</v>
      </c>
      <c r="AA55" s="27"/>
      <c r="AB55" s="27">
        <f t="shared" si="6"/>
        <v>0</v>
      </c>
      <c r="AC55" s="27">
        <f t="shared" si="5"/>
        <v>0</v>
      </c>
    </row>
    <row r="56" spans="1:29">
      <c r="A56" t="s">
        <v>143</v>
      </c>
      <c r="B56" s="3">
        <v>45960</v>
      </c>
      <c r="C56" t="s">
        <v>66</v>
      </c>
      <c r="D56" t="s">
        <v>55</v>
      </c>
      <c r="E56" t="s">
        <v>56</v>
      </c>
      <c r="F56" t="s">
        <v>83</v>
      </c>
      <c r="G56" s="6">
        <v>2</v>
      </c>
      <c r="H56" s="4">
        <v>65.459999999999994</v>
      </c>
      <c r="I56" s="4">
        <v>34.200000000000003</v>
      </c>
      <c r="J56" s="5">
        <v>0.2</v>
      </c>
      <c r="K56" s="6">
        <v>2</v>
      </c>
      <c r="L56" s="6">
        <v>4</v>
      </c>
      <c r="M56" t="s">
        <v>58</v>
      </c>
      <c r="N56" t="s">
        <v>69</v>
      </c>
      <c r="O56" t="s">
        <v>64</v>
      </c>
      <c r="P56" t="str">
        <f t="shared" si="0"/>
        <v>Small Business</v>
      </c>
      <c r="Q56" t="str">
        <f t="shared" si="1"/>
        <v>South</v>
      </c>
      <c r="R56" t="str">
        <f>PROPER(TRIM(E56))</f>
        <v>Home &amp; Kitchen</v>
      </c>
      <c r="S56" s="27">
        <f>IF(ISTEXT(B56),DATEVALUE(B56),B56)</f>
        <v>45960</v>
      </c>
      <c r="T56" s="27">
        <f>COUNTIF($A$2:$A$1986,A56)</f>
        <v>1</v>
      </c>
      <c r="U56" s="27" t="str">
        <f t="shared" si="2"/>
        <v>Blender</v>
      </c>
      <c r="V56" s="27">
        <f t="shared" si="3"/>
        <v>104.73599999999999</v>
      </c>
      <c r="W56" s="27">
        <f t="shared" si="4"/>
        <v>68.400000000000006</v>
      </c>
      <c r="X56" s="27">
        <f>RawSalesTable3[[#This Row],[Revenue]]-RawSalesTable3[[#This Row],[Total_Cost]]</f>
        <v>36.335999999999984</v>
      </c>
      <c r="Y56" s="28">
        <f>RawSalesTable3[[#This Row],[Profit]]/RawSalesTable3[[#This Row],[Revenue]]</f>
        <v>0.34692942254812087</v>
      </c>
      <c r="Z56" s="27" t="str">
        <f>TEXT(RawSalesTable3[[#This Row],[Order_Date_Clean]],"MMM YYYY")</f>
        <v>Oct 2025</v>
      </c>
      <c r="AA56" s="27"/>
      <c r="AB56" s="27">
        <f t="shared" si="6"/>
        <v>0</v>
      </c>
      <c r="AC56" s="27">
        <f t="shared" si="5"/>
        <v>0</v>
      </c>
    </row>
    <row r="57" spans="1:29">
      <c r="A57" t="s">
        <v>144</v>
      </c>
      <c r="B57" s="3">
        <v>45849</v>
      </c>
      <c r="C57" t="s">
        <v>66</v>
      </c>
      <c r="D57" t="s">
        <v>62</v>
      </c>
      <c r="E57" t="s">
        <v>67</v>
      </c>
      <c r="F57" t="s">
        <v>94</v>
      </c>
      <c r="G57" s="6">
        <v>2</v>
      </c>
      <c r="H57" s="4">
        <v>36.14</v>
      </c>
      <c r="I57" s="4">
        <v>17.37</v>
      </c>
      <c r="J57" s="5">
        <v>0.05</v>
      </c>
      <c r="K57" s="6">
        <v>0</v>
      </c>
      <c r="L57" s="6">
        <v>4</v>
      </c>
      <c r="M57" t="s">
        <v>58</v>
      </c>
      <c r="N57" t="s">
        <v>69</v>
      </c>
      <c r="O57" t="s">
        <v>64</v>
      </c>
      <c r="P57" t="str">
        <f t="shared" si="0"/>
        <v>Individual</v>
      </c>
      <c r="Q57" t="str">
        <f t="shared" si="1"/>
        <v>South</v>
      </c>
      <c r="R57" t="str">
        <f>PROPER(TRIM(E57))</f>
        <v>Office</v>
      </c>
      <c r="S57" s="27">
        <f>IF(ISTEXT(B57),DATEVALUE(B57),B57)</f>
        <v>45849</v>
      </c>
      <c r="T57" s="27">
        <f>COUNTIF($A$2:$A$1986,A57)</f>
        <v>1</v>
      </c>
      <c r="U57" s="27" t="str">
        <f t="shared" si="2"/>
        <v>Wireless Mouse</v>
      </c>
      <c r="V57" s="27">
        <f t="shared" si="3"/>
        <v>68.665999999999997</v>
      </c>
      <c r="W57" s="27">
        <f t="shared" si="4"/>
        <v>34.74</v>
      </c>
      <c r="X57" s="27">
        <f>RawSalesTable3[[#This Row],[Revenue]]-RawSalesTable3[[#This Row],[Total_Cost]]</f>
        <v>33.925999999999995</v>
      </c>
      <c r="Y57" s="28">
        <f>RawSalesTable3[[#This Row],[Profit]]/RawSalesTable3[[#This Row],[Revenue]]</f>
        <v>0.49407275798794159</v>
      </c>
      <c r="Z57" s="27" t="str">
        <f>TEXT(RawSalesTable3[[#This Row],[Order_Date_Clean]],"MMM YYYY")</f>
        <v>Jul 2025</v>
      </c>
      <c r="AA57" s="27"/>
      <c r="AB57" s="27">
        <f t="shared" si="6"/>
        <v>0</v>
      </c>
      <c r="AC57" s="27">
        <f t="shared" si="5"/>
        <v>0</v>
      </c>
    </row>
    <row r="58" spans="1:29">
      <c r="A58" t="s">
        <v>145</v>
      </c>
      <c r="B58" s="3">
        <v>45912</v>
      </c>
      <c r="C58" t="s">
        <v>54</v>
      </c>
      <c r="D58" t="s">
        <v>55</v>
      </c>
      <c r="E58" t="s">
        <v>75</v>
      </c>
      <c r="F58" t="s">
        <v>146</v>
      </c>
      <c r="G58" s="6">
        <v>4</v>
      </c>
      <c r="H58" s="4">
        <v>181.46</v>
      </c>
      <c r="I58" s="4">
        <v>120.07</v>
      </c>
      <c r="J58" s="5">
        <v>0</v>
      </c>
      <c r="K58" s="6">
        <v>7</v>
      </c>
      <c r="L58" s="6">
        <v>4</v>
      </c>
      <c r="M58" t="s">
        <v>58</v>
      </c>
      <c r="N58" t="s">
        <v>59</v>
      </c>
      <c r="O58" t="s">
        <v>73</v>
      </c>
      <c r="P58" t="str">
        <f t="shared" si="0"/>
        <v>Small Business</v>
      </c>
      <c r="Q58" t="str">
        <f t="shared" si="1"/>
        <v>North</v>
      </c>
      <c r="R58" t="str">
        <f>PROPER(TRIM(E58))</f>
        <v>Furniture</v>
      </c>
      <c r="S58" s="27">
        <f>IF(ISTEXT(B58),DATEVALUE(B58),B58)</f>
        <v>45912</v>
      </c>
      <c r="T58" s="27">
        <f>COUNTIF($A$2:$A$1986,A58)</f>
        <v>1</v>
      </c>
      <c r="U58" s="27" t="str">
        <f t="shared" si="2"/>
        <v>Office Chair</v>
      </c>
      <c r="V58" s="27">
        <f t="shared" si="3"/>
        <v>725.84</v>
      </c>
      <c r="W58" s="27">
        <f t="shared" si="4"/>
        <v>480.28</v>
      </c>
      <c r="X58" s="27">
        <f>RawSalesTable3[[#This Row],[Revenue]]-RawSalesTable3[[#This Row],[Total_Cost]]</f>
        <v>245.56000000000006</v>
      </c>
      <c r="Y58" s="28">
        <f>RawSalesTable3[[#This Row],[Profit]]/RawSalesTable3[[#This Row],[Revenue]]</f>
        <v>0.33831147360299796</v>
      </c>
      <c r="Z58" s="27" t="str">
        <f>TEXT(RawSalesTable3[[#This Row],[Order_Date_Clean]],"MMM YYYY")</f>
        <v>Sep 2025</v>
      </c>
      <c r="AA58" s="27"/>
      <c r="AB58" s="27">
        <f t="shared" si="6"/>
        <v>0</v>
      </c>
      <c r="AC58" s="27">
        <f t="shared" si="5"/>
        <v>0</v>
      </c>
    </row>
    <row r="59" spans="1:29">
      <c r="A59" t="s">
        <v>147</v>
      </c>
      <c r="B59" s="3">
        <v>45781</v>
      </c>
      <c r="C59" t="s">
        <v>148</v>
      </c>
      <c r="D59" t="s">
        <v>62</v>
      </c>
      <c r="E59" t="s">
        <v>56</v>
      </c>
      <c r="F59" t="s">
        <v>57</v>
      </c>
      <c r="G59" s="6">
        <v>2</v>
      </c>
      <c r="H59" s="4">
        <v>109.61</v>
      </c>
      <c r="I59" s="4">
        <v>69.03</v>
      </c>
      <c r="J59" s="5">
        <v>0.1</v>
      </c>
      <c r="K59" s="6">
        <v>1</v>
      </c>
      <c r="L59" s="6">
        <v>5</v>
      </c>
      <c r="M59" t="s">
        <v>58</v>
      </c>
      <c r="N59" t="s">
        <v>59</v>
      </c>
      <c r="O59" t="s">
        <v>64</v>
      </c>
      <c r="P59" t="str">
        <f t="shared" si="0"/>
        <v>Individual</v>
      </c>
      <c r="Q59" t="str">
        <f t="shared" si="1"/>
        <v>Midlands</v>
      </c>
      <c r="R59" t="str">
        <f>PROPER(TRIM(E59))</f>
        <v>Home &amp; Kitchen</v>
      </c>
      <c r="S59" s="27">
        <f>IF(ISTEXT(B59),DATEVALUE(B59),B59)</f>
        <v>45781</v>
      </c>
      <c r="T59" s="27">
        <f>COUNTIF($A$2:$A$1986,A59)</f>
        <v>1</v>
      </c>
      <c r="U59" s="27" t="str">
        <f t="shared" si="2"/>
        <v>Air Fryer</v>
      </c>
      <c r="V59" s="27">
        <f t="shared" si="3"/>
        <v>197.298</v>
      </c>
      <c r="W59" s="27">
        <f t="shared" si="4"/>
        <v>138.06</v>
      </c>
      <c r="X59" s="27">
        <f>RawSalesTable3[[#This Row],[Revenue]]-RawSalesTable3[[#This Row],[Total_Cost]]</f>
        <v>59.238</v>
      </c>
      <c r="Y59" s="28">
        <f>RawSalesTable3[[#This Row],[Profit]]/RawSalesTable3[[#This Row],[Revenue]]</f>
        <v>0.30024632788979105</v>
      </c>
      <c r="Z59" s="27" t="str">
        <f>TEXT(RawSalesTable3[[#This Row],[Order_Date_Clean]],"MMM YYYY")</f>
        <v>May 2025</v>
      </c>
      <c r="AA59" s="27"/>
      <c r="AB59" s="27">
        <f t="shared" si="6"/>
        <v>0</v>
      </c>
      <c r="AC59" s="27">
        <f t="shared" si="5"/>
        <v>0</v>
      </c>
    </row>
    <row r="60" spans="1:29">
      <c r="A60" t="s">
        <v>149</v>
      </c>
      <c r="B60" s="3">
        <v>45943</v>
      </c>
      <c r="C60" t="s">
        <v>78</v>
      </c>
      <c r="D60" t="s">
        <v>129</v>
      </c>
      <c r="E60" t="s">
        <v>56</v>
      </c>
      <c r="F60" t="s">
        <v>83</v>
      </c>
      <c r="G60" s="6">
        <v>8</v>
      </c>
      <c r="H60" s="4">
        <v>65.290000000000006</v>
      </c>
      <c r="I60" s="4">
        <v>34.380000000000003</v>
      </c>
      <c r="J60" s="5">
        <v>0.1</v>
      </c>
      <c r="K60" s="6">
        <v>3</v>
      </c>
      <c r="L60" s="6">
        <v>5</v>
      </c>
      <c r="M60" t="s">
        <v>58</v>
      </c>
      <c r="N60" t="s">
        <v>87</v>
      </c>
      <c r="O60" t="s">
        <v>73</v>
      </c>
      <c r="P60" t="str">
        <f t="shared" si="0"/>
        <v>Corporate</v>
      </c>
      <c r="Q60" t="str">
        <f t="shared" si="1"/>
        <v>London</v>
      </c>
      <c r="R60" t="str">
        <f>PROPER(TRIM(E60))</f>
        <v>Home &amp; Kitchen</v>
      </c>
      <c r="S60" s="27">
        <f>IF(ISTEXT(B60),DATEVALUE(B60),B60)</f>
        <v>45943</v>
      </c>
      <c r="T60" s="27">
        <f>COUNTIF($A$2:$A$1986,A60)</f>
        <v>1</v>
      </c>
      <c r="U60" s="27" t="str">
        <f t="shared" si="2"/>
        <v>Blender</v>
      </c>
      <c r="V60" s="27">
        <f t="shared" si="3"/>
        <v>470.08800000000008</v>
      </c>
      <c r="W60" s="27">
        <f t="shared" si="4"/>
        <v>275.04000000000002</v>
      </c>
      <c r="X60" s="27">
        <f>RawSalesTable3[[#This Row],[Revenue]]-RawSalesTable3[[#This Row],[Total_Cost]]</f>
        <v>195.04800000000006</v>
      </c>
      <c r="Y60" s="28">
        <f>RawSalesTable3[[#This Row],[Profit]]/RawSalesTable3[[#This Row],[Revenue]]</f>
        <v>0.41491805789554304</v>
      </c>
      <c r="Z60" s="27" t="str">
        <f>TEXT(RawSalesTable3[[#This Row],[Order_Date_Clean]],"MMM YYYY")</f>
        <v>Oct 2025</v>
      </c>
      <c r="AA60" s="27"/>
      <c r="AB60" s="27">
        <f t="shared" si="6"/>
        <v>0</v>
      </c>
      <c r="AC60" s="27">
        <f t="shared" si="5"/>
        <v>0</v>
      </c>
    </row>
    <row r="61" spans="1:29">
      <c r="A61" t="s">
        <v>150</v>
      </c>
      <c r="B61" s="3">
        <v>45886</v>
      </c>
      <c r="C61" t="s">
        <v>66</v>
      </c>
      <c r="D61" t="s">
        <v>55</v>
      </c>
      <c r="E61" t="s">
        <v>79</v>
      </c>
      <c r="F61" t="s">
        <v>80</v>
      </c>
      <c r="G61" s="6">
        <v>1</v>
      </c>
      <c r="H61" s="4">
        <v>76.239999999999995</v>
      </c>
      <c r="I61" s="4">
        <v>43.18</v>
      </c>
      <c r="J61" s="5">
        <v>0.1</v>
      </c>
      <c r="K61" s="6">
        <v>5</v>
      </c>
      <c r="L61" s="6">
        <v>5</v>
      </c>
      <c r="M61" t="s">
        <v>58</v>
      </c>
      <c r="N61" t="s">
        <v>59</v>
      </c>
      <c r="O61" t="s">
        <v>64</v>
      </c>
      <c r="P61" t="str">
        <f t="shared" si="0"/>
        <v>Small Business</v>
      </c>
      <c r="Q61" t="str">
        <f t="shared" si="1"/>
        <v>South</v>
      </c>
      <c r="R61" t="str">
        <f>PROPER(TRIM(E61))</f>
        <v>Electronics</v>
      </c>
      <c r="S61" s="27">
        <f>IF(ISTEXT(B61),DATEVALUE(B61),B61)</f>
        <v>45886</v>
      </c>
      <c r="T61" s="27">
        <f>COUNTIF($A$2:$A$1986,A61)</f>
        <v>1</v>
      </c>
      <c r="U61" s="27" t="str">
        <f t="shared" si="2"/>
        <v>Portable Speaker</v>
      </c>
      <c r="V61" s="27">
        <f t="shared" si="3"/>
        <v>68.616</v>
      </c>
      <c r="W61" s="27">
        <f t="shared" si="4"/>
        <v>43.18</v>
      </c>
      <c r="X61" s="27">
        <f>RawSalesTable3[[#This Row],[Revenue]]-RawSalesTable3[[#This Row],[Total_Cost]]</f>
        <v>25.436</v>
      </c>
      <c r="Y61" s="28">
        <f>RawSalesTable3[[#This Row],[Profit]]/RawSalesTable3[[#This Row],[Revenue]]</f>
        <v>0.3707007112043838</v>
      </c>
      <c r="Z61" s="27" t="str">
        <f>TEXT(RawSalesTable3[[#This Row],[Order_Date_Clean]],"MMM YYYY")</f>
        <v>Aug 2025</v>
      </c>
      <c r="AA61" s="27"/>
      <c r="AB61" s="27">
        <f t="shared" si="6"/>
        <v>0</v>
      </c>
      <c r="AC61" s="27">
        <f t="shared" si="5"/>
        <v>0</v>
      </c>
    </row>
    <row r="62" spans="1:29">
      <c r="A62" t="s">
        <v>151</v>
      </c>
      <c r="B62" s="3">
        <v>45793</v>
      </c>
      <c r="C62" t="s">
        <v>54</v>
      </c>
      <c r="D62" t="s">
        <v>55</v>
      </c>
      <c r="E62" t="s">
        <v>56</v>
      </c>
      <c r="F62" t="s">
        <v>89</v>
      </c>
      <c r="G62" s="6">
        <v>3</v>
      </c>
      <c r="H62" s="4">
        <v>80.52</v>
      </c>
      <c r="I62" s="4">
        <v>45.6</v>
      </c>
      <c r="J62" s="5">
        <v>0</v>
      </c>
      <c r="K62" s="6">
        <v>3</v>
      </c>
      <c r="L62" s="6">
        <v>5</v>
      </c>
      <c r="M62" t="s">
        <v>58</v>
      </c>
      <c r="N62" t="s">
        <v>59</v>
      </c>
      <c r="O62" t="s">
        <v>73</v>
      </c>
      <c r="P62" t="str">
        <f t="shared" si="0"/>
        <v>Small Business</v>
      </c>
      <c r="Q62" t="str">
        <f t="shared" si="1"/>
        <v>North</v>
      </c>
      <c r="R62" t="str">
        <f>PROPER(TRIM(E62))</f>
        <v>Home &amp; Kitchen</v>
      </c>
      <c r="S62" s="27">
        <f>IF(ISTEXT(B62),DATEVALUE(B62),B62)</f>
        <v>45793</v>
      </c>
      <c r="T62" s="27">
        <f>COUNTIF($A$2:$A$1986,A62)</f>
        <v>1</v>
      </c>
      <c r="U62" s="27" t="str">
        <f t="shared" si="2"/>
        <v>Coffee Maker</v>
      </c>
      <c r="V62" s="27">
        <f t="shared" si="3"/>
        <v>241.56</v>
      </c>
      <c r="W62" s="27">
        <f t="shared" si="4"/>
        <v>136.80000000000001</v>
      </c>
      <c r="X62" s="27">
        <f>RawSalesTable3[[#This Row],[Revenue]]-RawSalesTable3[[#This Row],[Total_Cost]]</f>
        <v>104.75999999999999</v>
      </c>
      <c r="Y62" s="28">
        <f>RawSalesTable3[[#This Row],[Profit]]/RawSalesTable3[[#This Row],[Revenue]]</f>
        <v>0.43368107302533526</v>
      </c>
      <c r="Z62" s="27" t="str">
        <f>TEXT(RawSalesTable3[[#This Row],[Order_Date_Clean]],"MMM YYYY")</f>
        <v>May 2025</v>
      </c>
      <c r="AA62" s="27"/>
      <c r="AB62" s="27">
        <f t="shared" si="6"/>
        <v>0</v>
      </c>
      <c r="AC62" s="27">
        <f t="shared" si="5"/>
        <v>0</v>
      </c>
    </row>
    <row r="63" spans="1:29">
      <c r="A63" t="s">
        <v>152</v>
      </c>
      <c r="B63" s="3">
        <v>45671</v>
      </c>
      <c r="C63" t="s">
        <v>78</v>
      </c>
      <c r="D63" t="s">
        <v>62</v>
      </c>
      <c r="E63" t="s">
        <v>67</v>
      </c>
      <c r="F63" t="s">
        <v>94</v>
      </c>
      <c r="G63" s="6">
        <v>1</v>
      </c>
      <c r="H63" s="4">
        <v>35.4</v>
      </c>
      <c r="I63" s="4">
        <v>16.809999999999999</v>
      </c>
      <c r="J63" s="5">
        <v>0.05</v>
      </c>
      <c r="K63" s="6">
        <v>5</v>
      </c>
      <c r="L63" s="6">
        <v>4</v>
      </c>
      <c r="M63" t="s">
        <v>58</v>
      </c>
      <c r="N63" t="s">
        <v>59</v>
      </c>
      <c r="O63" t="s">
        <v>64</v>
      </c>
      <c r="P63" t="str">
        <f t="shared" si="0"/>
        <v>Individual</v>
      </c>
      <c r="Q63" t="str">
        <f t="shared" si="1"/>
        <v>London</v>
      </c>
      <c r="R63" t="str">
        <f>PROPER(TRIM(E63))</f>
        <v>Office</v>
      </c>
      <c r="S63" s="27">
        <f>IF(ISTEXT(B63),DATEVALUE(B63),B63)</f>
        <v>45671</v>
      </c>
      <c r="T63" s="27">
        <f>COUNTIF($A$2:$A$1986,A63)</f>
        <v>1</v>
      </c>
      <c r="U63" s="27" t="str">
        <f t="shared" si="2"/>
        <v>Wireless Mouse</v>
      </c>
      <c r="V63" s="27">
        <f t="shared" si="3"/>
        <v>33.629999999999995</v>
      </c>
      <c r="W63" s="27">
        <f t="shared" si="4"/>
        <v>16.809999999999999</v>
      </c>
      <c r="X63" s="27">
        <f>RawSalesTable3[[#This Row],[Revenue]]-RawSalesTable3[[#This Row],[Total_Cost]]</f>
        <v>16.819999999999997</v>
      </c>
      <c r="Y63" s="28">
        <f>RawSalesTable3[[#This Row],[Profit]]/RawSalesTable3[[#This Row],[Revenue]]</f>
        <v>0.50014867677668751</v>
      </c>
      <c r="Z63" s="27" t="str">
        <f>TEXT(RawSalesTable3[[#This Row],[Order_Date_Clean]],"MMM YYYY")</f>
        <v>Jan 2025</v>
      </c>
      <c r="AA63" s="27"/>
      <c r="AB63" s="27">
        <f t="shared" si="6"/>
        <v>0</v>
      </c>
      <c r="AC63" s="27">
        <f t="shared" si="5"/>
        <v>0</v>
      </c>
    </row>
    <row r="64" spans="1:29">
      <c r="A64" t="s">
        <v>153</v>
      </c>
      <c r="B64" s="3">
        <v>45776</v>
      </c>
      <c r="C64" t="s">
        <v>78</v>
      </c>
      <c r="D64" t="s">
        <v>62</v>
      </c>
      <c r="E64" t="s">
        <v>56</v>
      </c>
      <c r="F64" t="s">
        <v>63</v>
      </c>
      <c r="G64" s="6">
        <v>1</v>
      </c>
      <c r="H64" s="4">
        <v>40.840000000000003</v>
      </c>
      <c r="I64" s="4">
        <v>20.350000000000001</v>
      </c>
      <c r="J64" s="5">
        <v>0</v>
      </c>
      <c r="K64" s="6">
        <v>2</v>
      </c>
      <c r="L64" s="6">
        <v>4</v>
      </c>
      <c r="M64" t="s">
        <v>58</v>
      </c>
      <c r="N64" t="s">
        <v>59</v>
      </c>
      <c r="O64" t="s">
        <v>64</v>
      </c>
      <c r="P64" t="str">
        <f t="shared" si="0"/>
        <v>Individual</v>
      </c>
      <c r="Q64" t="str">
        <f t="shared" si="1"/>
        <v>London</v>
      </c>
      <c r="R64" t="str">
        <f>PROPER(TRIM(E64))</f>
        <v>Home &amp; Kitchen</v>
      </c>
      <c r="S64" s="27">
        <f>IF(ISTEXT(B64),DATEVALUE(B64),B64)</f>
        <v>45776</v>
      </c>
      <c r="T64" s="27">
        <f>COUNTIF($A$2:$A$1986,A64)</f>
        <v>1</v>
      </c>
      <c r="U64" s="27" t="str">
        <f t="shared" si="2"/>
        <v>Electric Kettle</v>
      </c>
      <c r="V64" s="27">
        <f t="shared" si="3"/>
        <v>40.840000000000003</v>
      </c>
      <c r="W64" s="27">
        <f t="shared" si="4"/>
        <v>20.350000000000001</v>
      </c>
      <c r="X64" s="27">
        <f>RawSalesTable3[[#This Row],[Revenue]]-RawSalesTable3[[#This Row],[Total_Cost]]</f>
        <v>20.490000000000002</v>
      </c>
      <c r="Y64" s="28">
        <f>RawSalesTable3[[#This Row],[Profit]]/RawSalesTable3[[#This Row],[Revenue]]</f>
        <v>0.50171400587659154</v>
      </c>
      <c r="Z64" s="27" t="str">
        <f>TEXT(RawSalesTable3[[#This Row],[Order_Date_Clean]],"MMM YYYY")</f>
        <v>Apr 2025</v>
      </c>
      <c r="AA64" s="27"/>
      <c r="AB64" s="27">
        <f t="shared" si="6"/>
        <v>0</v>
      </c>
      <c r="AC64" s="27">
        <f t="shared" si="5"/>
        <v>0</v>
      </c>
    </row>
    <row r="65" spans="1:29">
      <c r="A65" t="s">
        <v>154</v>
      </c>
      <c r="B65" s="3">
        <v>45835</v>
      </c>
      <c r="C65" t="s">
        <v>78</v>
      </c>
      <c r="D65" t="s">
        <v>55</v>
      </c>
      <c r="E65" t="s">
        <v>67</v>
      </c>
      <c r="F65" t="s">
        <v>71</v>
      </c>
      <c r="G65" s="6">
        <v>3</v>
      </c>
      <c r="H65" s="4">
        <v>71.89</v>
      </c>
      <c r="I65" s="4">
        <v>37.880000000000003</v>
      </c>
      <c r="J65" s="5">
        <v>0</v>
      </c>
      <c r="K65" s="6">
        <v>0</v>
      </c>
      <c r="L65" s="6">
        <v>4</v>
      </c>
      <c r="M65" t="s">
        <v>58</v>
      </c>
      <c r="N65" t="s">
        <v>69</v>
      </c>
      <c r="O65" t="s">
        <v>64</v>
      </c>
      <c r="P65" t="str">
        <f t="shared" si="0"/>
        <v>Small Business</v>
      </c>
      <c r="Q65" t="str">
        <f t="shared" si="1"/>
        <v>London</v>
      </c>
      <c r="R65" t="str">
        <f>PROPER(TRIM(E65))</f>
        <v>Office</v>
      </c>
      <c r="S65" s="27">
        <f>IF(ISTEXT(B65),DATEVALUE(B65),B65)</f>
        <v>45835</v>
      </c>
      <c r="T65" s="27">
        <f>COUNTIF($A$2:$A$1986,A65)</f>
        <v>1</v>
      </c>
      <c r="U65" s="27" t="str">
        <f t="shared" si="2"/>
        <v>Ergonomic Keyboard</v>
      </c>
      <c r="V65" s="27">
        <f t="shared" si="3"/>
        <v>215.67000000000002</v>
      </c>
      <c r="W65" s="27">
        <f t="shared" si="4"/>
        <v>113.64000000000001</v>
      </c>
      <c r="X65" s="27">
        <f>RawSalesTable3[[#This Row],[Revenue]]-RawSalesTable3[[#This Row],[Total_Cost]]</f>
        <v>102.03</v>
      </c>
      <c r="Y65" s="28">
        <f>RawSalesTable3[[#This Row],[Profit]]/RawSalesTable3[[#This Row],[Revenue]]</f>
        <v>0.47308387814716923</v>
      </c>
      <c r="Z65" s="27" t="str">
        <f>TEXT(RawSalesTable3[[#This Row],[Order_Date_Clean]],"MMM YYYY")</f>
        <v>Jun 2025</v>
      </c>
      <c r="AA65" s="27"/>
      <c r="AB65" s="27">
        <f t="shared" si="6"/>
        <v>0</v>
      </c>
      <c r="AC65" s="27">
        <f t="shared" si="5"/>
        <v>0</v>
      </c>
    </row>
    <row r="66" spans="1:29">
      <c r="A66" t="s">
        <v>155</v>
      </c>
      <c r="B66" s="3">
        <v>45961</v>
      </c>
      <c r="C66" t="s">
        <v>78</v>
      </c>
      <c r="D66" t="s">
        <v>55</v>
      </c>
      <c r="E66" t="s">
        <v>67</v>
      </c>
      <c r="F66" t="s">
        <v>107</v>
      </c>
      <c r="G66" s="6">
        <v>3</v>
      </c>
      <c r="H66" s="4">
        <v>44.3</v>
      </c>
      <c r="I66" s="4">
        <v>21.71</v>
      </c>
      <c r="J66" s="5">
        <v>0.1</v>
      </c>
      <c r="K66" s="6">
        <v>3</v>
      </c>
      <c r="L66" s="6">
        <v>4</v>
      </c>
      <c r="M66" t="s">
        <v>58</v>
      </c>
      <c r="N66" t="s">
        <v>69</v>
      </c>
      <c r="O66" t="s">
        <v>73</v>
      </c>
      <c r="P66" t="str">
        <f t="shared" ref="P66:P129" si="7">IF(TRIM(D66)="","Unknow",PROPER(TRIM(D66)))</f>
        <v>Small Business</v>
      </c>
      <c r="Q66" t="str">
        <f t="shared" ref="Q66:Q129" si="8">IF(PROPER(TRIM(C66))="Mid Lands","Midlands",PROPER(TRIM(C66)))</f>
        <v>London</v>
      </c>
      <c r="R66" t="str">
        <f>PROPER(TRIM(E66))</f>
        <v>Office</v>
      </c>
      <c r="S66" s="27">
        <f>IF(ISTEXT(B66),DATEVALUE(B66),B66)</f>
        <v>45961</v>
      </c>
      <c r="T66" s="27">
        <f>COUNTIF($A$2:$A$1986,A66)</f>
        <v>1</v>
      </c>
      <c r="U66" s="27" t="str">
        <f t="shared" ref="U66:U129" si="9">TRIM(F66)</f>
        <v>Laptop Stand</v>
      </c>
      <c r="V66" s="27">
        <f t="shared" ref="V66:V129" si="10">G66*H66*(1-J66)</f>
        <v>119.60999999999999</v>
      </c>
      <c r="W66" s="27">
        <f t="shared" ref="W66:W129" si="11">G66*I66</f>
        <v>65.13</v>
      </c>
      <c r="X66" s="27">
        <f>RawSalesTable3[[#This Row],[Revenue]]-RawSalesTable3[[#This Row],[Total_Cost]]</f>
        <v>54.47999999999999</v>
      </c>
      <c r="Y66" s="28">
        <f>RawSalesTable3[[#This Row],[Profit]]/RawSalesTable3[[#This Row],[Revenue]]</f>
        <v>0.45548031101078501</v>
      </c>
      <c r="Z66" s="27" t="str">
        <f>TEXT(RawSalesTable3[[#This Row],[Order_Date_Clean]],"MMM YYYY")</f>
        <v>Oct 2025</v>
      </c>
      <c r="AA66" s="27"/>
      <c r="AB66" s="27">
        <f t="shared" ref="AB66:AB129" si="12">SUMIF($Z:$Z,AA66,$V:$V)</f>
        <v>0</v>
      </c>
      <c r="AC66" s="27">
        <f t="shared" ref="AC66:AC129" si="13">SUMIF($Z:$Z,AA66,$X:$X)</f>
        <v>0</v>
      </c>
    </row>
    <row r="67" spans="1:29">
      <c r="A67" t="s">
        <v>156</v>
      </c>
      <c r="B67" s="3">
        <v>45837</v>
      </c>
      <c r="C67" t="s">
        <v>66</v>
      </c>
      <c r="D67" t="s">
        <v>62</v>
      </c>
      <c r="E67" t="s">
        <v>67</v>
      </c>
      <c r="F67" t="s">
        <v>107</v>
      </c>
      <c r="G67" s="6">
        <v>3</v>
      </c>
      <c r="H67" s="4">
        <v>44.4</v>
      </c>
      <c r="I67" s="4">
        <v>21.76</v>
      </c>
      <c r="J67" s="5">
        <v>0.05</v>
      </c>
      <c r="K67" s="6">
        <v>5</v>
      </c>
      <c r="L67" s="6">
        <v>3</v>
      </c>
      <c r="M67" t="s">
        <v>126</v>
      </c>
      <c r="N67" t="s">
        <v>59</v>
      </c>
      <c r="O67" t="s">
        <v>64</v>
      </c>
      <c r="P67" t="str">
        <f t="shared" si="7"/>
        <v>Individual</v>
      </c>
      <c r="Q67" t="str">
        <f t="shared" si="8"/>
        <v>South</v>
      </c>
      <c r="R67" t="str">
        <f>PROPER(TRIM(E67))</f>
        <v>Office</v>
      </c>
      <c r="S67" s="27">
        <f>IF(ISTEXT(B67),DATEVALUE(B67),B67)</f>
        <v>45837</v>
      </c>
      <c r="T67" s="27">
        <f>COUNTIF($A$2:$A$1986,A67)</f>
        <v>1</v>
      </c>
      <c r="U67" s="27" t="str">
        <f t="shared" si="9"/>
        <v>Laptop Stand</v>
      </c>
      <c r="V67" s="27">
        <f t="shared" si="10"/>
        <v>126.53999999999998</v>
      </c>
      <c r="W67" s="27">
        <f t="shared" si="11"/>
        <v>65.28</v>
      </c>
      <c r="X67" s="27">
        <f>RawSalesTable3[[#This Row],[Revenue]]-RawSalesTable3[[#This Row],[Total_Cost]]</f>
        <v>61.259999999999977</v>
      </c>
      <c r="Y67" s="28">
        <f>RawSalesTable3[[#This Row],[Profit]]/RawSalesTable3[[#This Row],[Revenue]]</f>
        <v>0.48411569464201032</v>
      </c>
      <c r="Z67" s="27" t="str">
        <f>TEXT(RawSalesTable3[[#This Row],[Order_Date_Clean]],"MMM YYYY")</f>
        <v>Jun 2025</v>
      </c>
      <c r="AA67" s="27"/>
      <c r="AB67" s="27">
        <f t="shared" si="12"/>
        <v>0</v>
      </c>
      <c r="AC67" s="27">
        <f t="shared" si="13"/>
        <v>0</v>
      </c>
    </row>
    <row r="68" spans="1:29">
      <c r="A68" t="s">
        <v>157</v>
      </c>
      <c r="B68" s="3">
        <v>45996</v>
      </c>
      <c r="C68" t="s">
        <v>78</v>
      </c>
      <c r="D68" t="s">
        <v>62</v>
      </c>
      <c r="E68" t="s">
        <v>56</v>
      </c>
      <c r="F68" t="s">
        <v>89</v>
      </c>
      <c r="G68" s="6">
        <v>2</v>
      </c>
      <c r="H68" s="4">
        <v>79.64</v>
      </c>
      <c r="I68" s="4">
        <v>43.91</v>
      </c>
      <c r="J68" s="5">
        <v>0.15000000000000002</v>
      </c>
      <c r="K68" s="6">
        <v>0</v>
      </c>
      <c r="L68" s="6">
        <v>4</v>
      </c>
      <c r="M68" t="s">
        <v>58</v>
      </c>
      <c r="N68" t="s">
        <v>69</v>
      </c>
      <c r="O68" t="s">
        <v>60</v>
      </c>
      <c r="P68" t="str">
        <f t="shared" si="7"/>
        <v>Individual</v>
      </c>
      <c r="Q68" t="str">
        <f t="shared" si="8"/>
        <v>London</v>
      </c>
      <c r="R68" t="str">
        <f>PROPER(TRIM(E68))</f>
        <v>Home &amp; Kitchen</v>
      </c>
      <c r="S68" s="27">
        <f>IF(ISTEXT(B68),DATEVALUE(B68),B68)</f>
        <v>45996</v>
      </c>
      <c r="T68" s="27">
        <f>COUNTIF($A$2:$A$1986,A68)</f>
        <v>1</v>
      </c>
      <c r="U68" s="27" t="str">
        <f t="shared" si="9"/>
        <v>Coffee Maker</v>
      </c>
      <c r="V68" s="27">
        <f t="shared" si="10"/>
        <v>135.38800000000001</v>
      </c>
      <c r="W68" s="27">
        <f t="shared" si="11"/>
        <v>87.82</v>
      </c>
      <c r="X68" s="27">
        <f>RawSalesTable3[[#This Row],[Revenue]]-RawSalesTable3[[#This Row],[Total_Cost]]</f>
        <v>47.568000000000012</v>
      </c>
      <c r="Y68" s="28">
        <f>RawSalesTable3[[#This Row],[Profit]]/RawSalesTable3[[#This Row],[Revenue]]</f>
        <v>0.35134576181050026</v>
      </c>
      <c r="Z68" s="27" t="str">
        <f>TEXT(RawSalesTable3[[#This Row],[Order_Date_Clean]],"MMM YYYY")</f>
        <v>Dec 2025</v>
      </c>
      <c r="AA68" s="27"/>
      <c r="AB68" s="27">
        <f t="shared" si="12"/>
        <v>0</v>
      </c>
      <c r="AC68" s="27">
        <f t="shared" si="13"/>
        <v>0</v>
      </c>
    </row>
    <row r="69" spans="1:29">
      <c r="A69" t="s">
        <v>158</v>
      </c>
      <c r="B69" s="3">
        <v>45949</v>
      </c>
      <c r="C69" t="s">
        <v>54</v>
      </c>
      <c r="D69" t="s">
        <v>62</v>
      </c>
      <c r="E69" t="s">
        <v>56</v>
      </c>
      <c r="F69" t="s">
        <v>89</v>
      </c>
      <c r="G69" s="6">
        <v>1</v>
      </c>
      <c r="H69" s="4">
        <v>82.22</v>
      </c>
      <c r="I69" s="4">
        <v>47.06</v>
      </c>
      <c r="J69" s="5">
        <v>0</v>
      </c>
      <c r="K69" s="6">
        <v>2</v>
      </c>
      <c r="L69" s="6">
        <v>5</v>
      </c>
      <c r="M69" t="s">
        <v>58</v>
      </c>
      <c r="N69" t="s">
        <v>59</v>
      </c>
      <c r="O69" t="s">
        <v>64</v>
      </c>
      <c r="P69" t="str">
        <f t="shared" si="7"/>
        <v>Individual</v>
      </c>
      <c r="Q69" t="str">
        <f t="shared" si="8"/>
        <v>North</v>
      </c>
      <c r="R69" t="str">
        <f>PROPER(TRIM(E69))</f>
        <v>Home &amp; Kitchen</v>
      </c>
      <c r="S69" s="27">
        <f>IF(ISTEXT(B69),DATEVALUE(B69),B69)</f>
        <v>45949</v>
      </c>
      <c r="T69" s="27">
        <f>COUNTIF($A$2:$A$1986,A69)</f>
        <v>1</v>
      </c>
      <c r="U69" s="27" t="str">
        <f t="shared" si="9"/>
        <v>Coffee Maker</v>
      </c>
      <c r="V69" s="27">
        <f t="shared" si="10"/>
        <v>82.22</v>
      </c>
      <c r="W69" s="27">
        <f t="shared" si="11"/>
        <v>47.06</v>
      </c>
      <c r="X69" s="27">
        <f>RawSalesTable3[[#This Row],[Revenue]]-RawSalesTable3[[#This Row],[Total_Cost]]</f>
        <v>35.159999999999997</v>
      </c>
      <c r="Y69" s="28">
        <f>RawSalesTable3[[#This Row],[Profit]]/RawSalesTable3[[#This Row],[Revenue]]</f>
        <v>0.42763317927511552</v>
      </c>
      <c r="Z69" s="27" t="str">
        <f>TEXT(RawSalesTable3[[#This Row],[Order_Date_Clean]],"MMM YYYY")</f>
        <v>Oct 2025</v>
      </c>
      <c r="AA69" s="27"/>
      <c r="AB69" s="27">
        <f t="shared" si="12"/>
        <v>0</v>
      </c>
      <c r="AC69" s="27">
        <f t="shared" si="13"/>
        <v>0</v>
      </c>
    </row>
    <row r="70" spans="1:29">
      <c r="A70" t="s">
        <v>159</v>
      </c>
      <c r="B70" s="3">
        <v>45748</v>
      </c>
      <c r="C70" t="s">
        <v>82</v>
      </c>
      <c r="D70" t="s">
        <v>129</v>
      </c>
      <c r="E70" t="s">
        <v>56</v>
      </c>
      <c r="F70" t="s">
        <v>57</v>
      </c>
      <c r="G70" s="6">
        <v>5</v>
      </c>
      <c r="H70" s="4">
        <v>107.66</v>
      </c>
      <c r="I70" s="4">
        <v>66.3</v>
      </c>
      <c r="J70" s="5">
        <v>0.15000000000000002</v>
      </c>
      <c r="K70" s="6">
        <v>2</v>
      </c>
      <c r="L70" s="6">
        <v>4</v>
      </c>
      <c r="M70" t="s">
        <v>58</v>
      </c>
      <c r="N70" t="s">
        <v>59</v>
      </c>
      <c r="O70" t="s">
        <v>64</v>
      </c>
      <c r="P70" t="str">
        <f t="shared" si="7"/>
        <v>Corporate</v>
      </c>
      <c r="Q70" t="str">
        <f t="shared" si="8"/>
        <v>Midlands</v>
      </c>
      <c r="R70" t="str">
        <f>PROPER(TRIM(E70))</f>
        <v>Home &amp; Kitchen</v>
      </c>
      <c r="S70" s="27">
        <f>IF(ISTEXT(B70),DATEVALUE(B70),B70)</f>
        <v>45748</v>
      </c>
      <c r="T70" s="27">
        <f>COUNTIF($A$2:$A$1986,A70)</f>
        <v>1</v>
      </c>
      <c r="U70" s="27" t="str">
        <f t="shared" si="9"/>
        <v>Air Fryer</v>
      </c>
      <c r="V70" s="27">
        <f t="shared" si="10"/>
        <v>457.55499999999995</v>
      </c>
      <c r="W70" s="27">
        <f t="shared" si="11"/>
        <v>331.5</v>
      </c>
      <c r="X70" s="27">
        <f>RawSalesTable3[[#This Row],[Revenue]]-RawSalesTable3[[#This Row],[Total_Cost]]</f>
        <v>126.05499999999995</v>
      </c>
      <c r="Y70" s="28">
        <f>RawSalesTable3[[#This Row],[Profit]]/RawSalesTable3[[#This Row],[Revenue]]</f>
        <v>0.27549693479472404</v>
      </c>
      <c r="Z70" s="27" t="str">
        <f>TEXT(RawSalesTable3[[#This Row],[Order_Date_Clean]],"MMM YYYY")</f>
        <v>Apr 2025</v>
      </c>
      <c r="AA70" s="27"/>
      <c r="AB70" s="27">
        <f t="shared" si="12"/>
        <v>0</v>
      </c>
      <c r="AC70" s="27">
        <f t="shared" si="13"/>
        <v>0</v>
      </c>
    </row>
    <row r="71" spans="1:29">
      <c r="A71" t="s">
        <v>160</v>
      </c>
      <c r="B71" s="3">
        <v>45917</v>
      </c>
      <c r="C71" t="s">
        <v>82</v>
      </c>
      <c r="D71" t="s">
        <v>62</v>
      </c>
      <c r="E71" t="s">
        <v>79</v>
      </c>
      <c r="F71" t="s">
        <v>80</v>
      </c>
      <c r="G71" s="6">
        <v>1</v>
      </c>
      <c r="H71" s="4">
        <v>77.66</v>
      </c>
      <c r="I71" s="4">
        <v>42.12</v>
      </c>
      <c r="J71" s="5">
        <v>0</v>
      </c>
      <c r="K71" s="6">
        <v>2</v>
      </c>
      <c r="L71" s="6">
        <v>4</v>
      </c>
      <c r="M71" t="s">
        <v>58</v>
      </c>
      <c r="N71" t="s">
        <v>59</v>
      </c>
      <c r="O71" t="s">
        <v>60</v>
      </c>
      <c r="P71" t="str">
        <f t="shared" si="7"/>
        <v>Individual</v>
      </c>
      <c r="Q71" t="str">
        <f t="shared" si="8"/>
        <v>Midlands</v>
      </c>
      <c r="R71" t="str">
        <f>PROPER(TRIM(E71))</f>
        <v>Electronics</v>
      </c>
      <c r="S71" s="27">
        <f>IF(ISTEXT(B71),DATEVALUE(B71),B71)</f>
        <v>45917</v>
      </c>
      <c r="T71" s="27">
        <f>COUNTIF($A$2:$A$1986,A71)</f>
        <v>1</v>
      </c>
      <c r="U71" s="27" t="str">
        <f t="shared" si="9"/>
        <v>Portable Speaker</v>
      </c>
      <c r="V71" s="27">
        <f t="shared" si="10"/>
        <v>77.66</v>
      </c>
      <c r="W71" s="27">
        <f t="shared" si="11"/>
        <v>42.12</v>
      </c>
      <c r="X71" s="27">
        <f>RawSalesTable3[[#This Row],[Revenue]]-RawSalesTable3[[#This Row],[Total_Cost]]</f>
        <v>35.54</v>
      </c>
      <c r="Y71" s="28">
        <f>RawSalesTable3[[#This Row],[Profit]]/RawSalesTable3[[#This Row],[Revenue]]</f>
        <v>0.45763584857069278</v>
      </c>
      <c r="Z71" s="27" t="str">
        <f>TEXT(RawSalesTable3[[#This Row],[Order_Date_Clean]],"MMM YYYY")</f>
        <v>Sep 2025</v>
      </c>
      <c r="AA71" s="27"/>
      <c r="AB71" s="27">
        <f t="shared" si="12"/>
        <v>0</v>
      </c>
      <c r="AC71" s="27">
        <f t="shared" si="13"/>
        <v>0</v>
      </c>
    </row>
    <row r="72" spans="1:29">
      <c r="A72" t="s">
        <v>161</v>
      </c>
      <c r="B72" s="3">
        <v>45961</v>
      </c>
      <c r="C72" t="s">
        <v>54</v>
      </c>
      <c r="E72" t="s">
        <v>79</v>
      </c>
      <c r="F72" t="s">
        <v>80</v>
      </c>
      <c r="G72" s="6">
        <v>2</v>
      </c>
      <c r="H72" s="4">
        <v>74.400000000000006</v>
      </c>
      <c r="I72" s="4">
        <v>43.06</v>
      </c>
      <c r="J72" s="5">
        <v>0</v>
      </c>
      <c r="K72" s="6">
        <v>6</v>
      </c>
      <c r="L72" s="6">
        <v>3</v>
      </c>
      <c r="M72" t="s">
        <v>126</v>
      </c>
      <c r="N72" t="s">
        <v>59</v>
      </c>
      <c r="O72" t="s">
        <v>64</v>
      </c>
      <c r="P72" t="str">
        <f t="shared" si="7"/>
        <v>Unknow</v>
      </c>
      <c r="Q72" t="str">
        <f t="shared" si="8"/>
        <v>North</v>
      </c>
      <c r="R72" t="str">
        <f>PROPER(TRIM(E72))</f>
        <v>Electronics</v>
      </c>
      <c r="S72" s="27">
        <f>IF(ISTEXT(B72),DATEVALUE(B72),B72)</f>
        <v>45961</v>
      </c>
      <c r="T72" s="27">
        <f>COUNTIF($A$2:$A$1986,A72)</f>
        <v>1</v>
      </c>
      <c r="U72" s="27" t="str">
        <f t="shared" si="9"/>
        <v>Portable Speaker</v>
      </c>
      <c r="V72" s="27">
        <f t="shared" si="10"/>
        <v>148.80000000000001</v>
      </c>
      <c r="W72" s="27">
        <f t="shared" si="11"/>
        <v>86.12</v>
      </c>
      <c r="X72" s="27">
        <f>RawSalesTable3[[#This Row],[Revenue]]-RawSalesTable3[[#This Row],[Total_Cost]]</f>
        <v>62.680000000000007</v>
      </c>
      <c r="Y72" s="28">
        <f>RawSalesTable3[[#This Row],[Profit]]/RawSalesTable3[[#This Row],[Revenue]]</f>
        <v>0.42123655913978497</v>
      </c>
      <c r="Z72" s="27" t="str">
        <f>TEXT(RawSalesTable3[[#This Row],[Order_Date_Clean]],"MMM YYYY")</f>
        <v>Oct 2025</v>
      </c>
      <c r="AA72" s="27"/>
      <c r="AB72" s="27">
        <f t="shared" si="12"/>
        <v>0</v>
      </c>
      <c r="AC72" s="27">
        <f t="shared" si="13"/>
        <v>0</v>
      </c>
    </row>
    <row r="73" spans="1:29">
      <c r="A73" t="s">
        <v>162</v>
      </c>
      <c r="B73" s="3">
        <v>45742</v>
      </c>
      <c r="C73" t="s">
        <v>78</v>
      </c>
      <c r="D73" t="s">
        <v>62</v>
      </c>
      <c r="E73" t="s">
        <v>67</v>
      </c>
      <c r="F73" t="s">
        <v>94</v>
      </c>
      <c r="G73" s="6">
        <v>2</v>
      </c>
      <c r="H73" s="4">
        <v>36.130000000000003</v>
      </c>
      <c r="I73" s="4">
        <v>17.670000000000002</v>
      </c>
      <c r="J73" s="5">
        <v>0.05</v>
      </c>
      <c r="K73" s="6">
        <v>1</v>
      </c>
      <c r="L73" s="6">
        <v>4</v>
      </c>
      <c r="M73" t="s">
        <v>58</v>
      </c>
      <c r="N73" t="s">
        <v>87</v>
      </c>
      <c r="O73" t="s">
        <v>64</v>
      </c>
      <c r="P73" t="str">
        <f t="shared" si="7"/>
        <v>Individual</v>
      </c>
      <c r="Q73" t="str">
        <f t="shared" si="8"/>
        <v>London</v>
      </c>
      <c r="R73" t="str">
        <f>PROPER(TRIM(E73))</f>
        <v>Office</v>
      </c>
      <c r="S73" s="27">
        <f>IF(ISTEXT(B73),DATEVALUE(B73),B73)</f>
        <v>45742</v>
      </c>
      <c r="T73" s="27">
        <f>COUNTIF($A$2:$A$1986,A73)</f>
        <v>1</v>
      </c>
      <c r="U73" s="27" t="str">
        <f t="shared" si="9"/>
        <v>Wireless Mouse</v>
      </c>
      <c r="V73" s="27">
        <f t="shared" si="10"/>
        <v>68.647000000000006</v>
      </c>
      <c r="W73" s="27">
        <f t="shared" si="11"/>
        <v>35.340000000000003</v>
      </c>
      <c r="X73" s="27">
        <f>RawSalesTable3[[#This Row],[Revenue]]-RawSalesTable3[[#This Row],[Total_Cost]]</f>
        <v>33.307000000000002</v>
      </c>
      <c r="Y73" s="28">
        <f>RawSalesTable3[[#This Row],[Profit]]/RawSalesTable3[[#This Row],[Revenue]]</f>
        <v>0.48519236091890394</v>
      </c>
      <c r="Z73" s="27" t="str">
        <f>TEXT(RawSalesTable3[[#This Row],[Order_Date_Clean]],"MMM YYYY")</f>
        <v>Mar 2025</v>
      </c>
      <c r="AA73" s="27"/>
      <c r="AB73" s="27">
        <f t="shared" si="12"/>
        <v>0</v>
      </c>
      <c r="AC73" s="27">
        <f t="shared" si="13"/>
        <v>0</v>
      </c>
    </row>
    <row r="74" spans="1:29">
      <c r="A74" t="s">
        <v>163</v>
      </c>
      <c r="B74" s="3">
        <v>45973</v>
      </c>
      <c r="C74" t="s">
        <v>66</v>
      </c>
      <c r="D74" t="s">
        <v>62</v>
      </c>
      <c r="E74" t="s">
        <v>79</v>
      </c>
      <c r="F74" t="s">
        <v>85</v>
      </c>
      <c r="G74" s="6">
        <v>1</v>
      </c>
      <c r="H74" s="4">
        <v>129.38</v>
      </c>
      <c r="I74" s="4">
        <v>84.88</v>
      </c>
      <c r="J74" s="5">
        <v>0.15000000000000002</v>
      </c>
      <c r="K74" s="6">
        <v>3</v>
      </c>
      <c r="L74" s="6">
        <v>4</v>
      </c>
      <c r="M74" t="s">
        <v>58</v>
      </c>
      <c r="N74" t="s">
        <v>59</v>
      </c>
      <c r="O74" t="s">
        <v>73</v>
      </c>
      <c r="P74" t="str">
        <f t="shared" si="7"/>
        <v>Individual</v>
      </c>
      <c r="Q74" t="str">
        <f t="shared" si="8"/>
        <v>South</v>
      </c>
      <c r="R74" t="str">
        <f>PROPER(TRIM(E74))</f>
        <v>Electronics</v>
      </c>
      <c r="S74" s="27">
        <f>IF(ISTEXT(B74),DATEVALUE(B74),B74)</f>
        <v>45973</v>
      </c>
      <c r="T74" s="27">
        <f>COUNTIF($A$2:$A$1986,A74)</f>
        <v>1</v>
      </c>
      <c r="U74" s="27" t="str">
        <f t="shared" si="9"/>
        <v>SmartHome Hub</v>
      </c>
      <c r="V74" s="27">
        <f t="shared" si="10"/>
        <v>109.973</v>
      </c>
      <c r="W74" s="27">
        <f t="shared" si="11"/>
        <v>84.88</v>
      </c>
      <c r="X74" s="27">
        <f>RawSalesTable3[[#This Row],[Revenue]]-RawSalesTable3[[#This Row],[Total_Cost]]</f>
        <v>25.093000000000004</v>
      </c>
      <c r="Y74" s="28">
        <f>RawSalesTable3[[#This Row],[Profit]]/RawSalesTable3[[#This Row],[Revenue]]</f>
        <v>0.22817418820983335</v>
      </c>
      <c r="Z74" s="27" t="str">
        <f>TEXT(RawSalesTable3[[#This Row],[Order_Date_Clean]],"MMM YYYY")</f>
        <v>Nov 2025</v>
      </c>
      <c r="AA74" s="27"/>
      <c r="AB74" s="27">
        <f t="shared" si="12"/>
        <v>0</v>
      </c>
      <c r="AC74" s="27">
        <f t="shared" si="13"/>
        <v>0</v>
      </c>
    </row>
    <row r="75" spans="1:29">
      <c r="A75" t="s">
        <v>164</v>
      </c>
      <c r="B75" s="3">
        <v>45990</v>
      </c>
      <c r="C75" t="s">
        <v>66</v>
      </c>
      <c r="D75" t="s">
        <v>62</v>
      </c>
      <c r="E75" t="s">
        <v>67</v>
      </c>
      <c r="F75" t="s">
        <v>107</v>
      </c>
      <c r="G75" s="6">
        <v>2</v>
      </c>
      <c r="H75" s="4">
        <v>45.92</v>
      </c>
      <c r="I75" s="4">
        <v>20.85</v>
      </c>
      <c r="J75" s="5">
        <v>0.05</v>
      </c>
      <c r="K75" s="6">
        <v>2</v>
      </c>
      <c r="L75" s="6">
        <v>4</v>
      </c>
      <c r="M75" t="s">
        <v>58</v>
      </c>
      <c r="N75" t="s">
        <v>59</v>
      </c>
      <c r="O75" t="s">
        <v>64</v>
      </c>
      <c r="P75" t="str">
        <f t="shared" si="7"/>
        <v>Individual</v>
      </c>
      <c r="Q75" t="str">
        <f t="shared" si="8"/>
        <v>South</v>
      </c>
      <c r="R75" t="str">
        <f>PROPER(TRIM(E75))</f>
        <v>Office</v>
      </c>
      <c r="S75" s="27">
        <f>IF(ISTEXT(B75),DATEVALUE(B75),B75)</f>
        <v>45990</v>
      </c>
      <c r="T75" s="27">
        <f>COUNTIF($A$2:$A$1986,A75)</f>
        <v>1</v>
      </c>
      <c r="U75" s="27" t="str">
        <f t="shared" si="9"/>
        <v>Laptop Stand</v>
      </c>
      <c r="V75" s="27">
        <f t="shared" si="10"/>
        <v>87.248000000000005</v>
      </c>
      <c r="W75" s="27">
        <f t="shared" si="11"/>
        <v>41.7</v>
      </c>
      <c r="X75" s="27">
        <f>RawSalesTable3[[#This Row],[Revenue]]-RawSalesTable3[[#This Row],[Total_Cost]]</f>
        <v>45.548000000000002</v>
      </c>
      <c r="Y75" s="28">
        <f>RawSalesTable3[[#This Row],[Profit]]/RawSalesTable3[[#This Row],[Revenue]]</f>
        <v>0.52205208142306991</v>
      </c>
      <c r="Z75" s="27" t="str">
        <f>TEXT(RawSalesTable3[[#This Row],[Order_Date_Clean]],"MMM YYYY")</f>
        <v>Nov 2025</v>
      </c>
      <c r="AA75" s="27"/>
      <c r="AB75" s="27">
        <f t="shared" si="12"/>
        <v>0</v>
      </c>
      <c r="AC75" s="27">
        <f t="shared" si="13"/>
        <v>0</v>
      </c>
    </row>
    <row r="76" spans="1:29">
      <c r="A76" t="s">
        <v>165</v>
      </c>
      <c r="B76" s="3">
        <v>45927</v>
      </c>
      <c r="C76" t="s">
        <v>66</v>
      </c>
      <c r="D76" t="s">
        <v>62</v>
      </c>
      <c r="E76" t="s">
        <v>56</v>
      </c>
      <c r="F76" t="s">
        <v>89</v>
      </c>
      <c r="G76" s="6">
        <v>3</v>
      </c>
      <c r="H76" s="4">
        <v>81.03</v>
      </c>
      <c r="I76" s="4">
        <v>46.11</v>
      </c>
      <c r="J76" s="5">
        <v>0.15000000000000002</v>
      </c>
      <c r="K76" s="6">
        <v>1</v>
      </c>
      <c r="L76" s="6">
        <v>4</v>
      </c>
      <c r="M76" t="s">
        <v>58</v>
      </c>
      <c r="N76" t="s">
        <v>59</v>
      </c>
      <c r="O76" t="s">
        <v>64</v>
      </c>
      <c r="P76" t="str">
        <f t="shared" si="7"/>
        <v>Individual</v>
      </c>
      <c r="Q76" t="str">
        <f t="shared" si="8"/>
        <v>South</v>
      </c>
      <c r="R76" t="str">
        <f>PROPER(TRIM(E76))</f>
        <v>Home &amp; Kitchen</v>
      </c>
      <c r="S76" s="27">
        <f>IF(ISTEXT(B76),DATEVALUE(B76),B76)</f>
        <v>45927</v>
      </c>
      <c r="T76" s="27">
        <f>COUNTIF($A$2:$A$1986,A76)</f>
        <v>1</v>
      </c>
      <c r="U76" s="27" t="str">
        <f t="shared" si="9"/>
        <v>Coffee Maker</v>
      </c>
      <c r="V76" s="27">
        <f t="shared" si="10"/>
        <v>206.62649999999999</v>
      </c>
      <c r="W76" s="27">
        <f t="shared" si="11"/>
        <v>138.32999999999998</v>
      </c>
      <c r="X76" s="27">
        <f>RawSalesTable3[[#This Row],[Revenue]]-RawSalesTable3[[#This Row],[Total_Cost]]</f>
        <v>68.296500000000009</v>
      </c>
      <c r="Y76" s="28">
        <f>RawSalesTable3[[#This Row],[Profit]]/RawSalesTable3[[#This Row],[Revenue]]</f>
        <v>0.33053117581723551</v>
      </c>
      <c r="Z76" s="27" t="str">
        <f>TEXT(RawSalesTable3[[#This Row],[Order_Date_Clean]],"MMM YYYY")</f>
        <v>Sep 2025</v>
      </c>
      <c r="AA76" s="27"/>
      <c r="AB76" s="27">
        <f t="shared" si="12"/>
        <v>0</v>
      </c>
      <c r="AC76" s="27">
        <f t="shared" si="13"/>
        <v>0</v>
      </c>
    </row>
    <row r="77" spans="1:29">
      <c r="A77" t="s">
        <v>166</v>
      </c>
      <c r="B77" s="3">
        <v>45845</v>
      </c>
      <c r="C77" t="s">
        <v>78</v>
      </c>
      <c r="D77" t="s">
        <v>62</v>
      </c>
      <c r="E77" t="s">
        <v>79</v>
      </c>
      <c r="F77" t="s">
        <v>80</v>
      </c>
      <c r="G77" s="6">
        <v>1</v>
      </c>
      <c r="H77" s="4">
        <v>74.97</v>
      </c>
      <c r="I77" s="4">
        <v>41.79</v>
      </c>
      <c r="J77" s="5">
        <v>0</v>
      </c>
      <c r="K77" s="6">
        <v>2</v>
      </c>
      <c r="L77" s="6">
        <v>4</v>
      </c>
      <c r="M77" t="s">
        <v>58</v>
      </c>
      <c r="N77" t="s">
        <v>69</v>
      </c>
      <c r="O77" t="s">
        <v>64</v>
      </c>
      <c r="P77" t="str">
        <f t="shared" si="7"/>
        <v>Individual</v>
      </c>
      <c r="Q77" t="str">
        <f t="shared" si="8"/>
        <v>London</v>
      </c>
      <c r="R77" t="str">
        <f>PROPER(TRIM(E77))</f>
        <v>Electronics</v>
      </c>
      <c r="S77" s="27">
        <f>IF(ISTEXT(B77),DATEVALUE(B77),B77)</f>
        <v>45845</v>
      </c>
      <c r="T77" s="27">
        <f>COUNTIF($A$2:$A$1986,A77)</f>
        <v>1</v>
      </c>
      <c r="U77" s="27" t="str">
        <f t="shared" si="9"/>
        <v>Portable Speaker</v>
      </c>
      <c r="V77" s="27">
        <f t="shared" si="10"/>
        <v>74.97</v>
      </c>
      <c r="W77" s="27">
        <f t="shared" si="11"/>
        <v>41.79</v>
      </c>
      <c r="X77" s="27">
        <f>RawSalesTable3[[#This Row],[Revenue]]-RawSalesTable3[[#This Row],[Total_Cost]]</f>
        <v>33.18</v>
      </c>
      <c r="Y77" s="28">
        <f>RawSalesTable3[[#This Row],[Profit]]/RawSalesTable3[[#This Row],[Revenue]]</f>
        <v>0.44257703081232491</v>
      </c>
      <c r="Z77" s="27" t="str">
        <f>TEXT(RawSalesTable3[[#This Row],[Order_Date_Clean]],"MMM YYYY")</f>
        <v>Jul 2025</v>
      </c>
      <c r="AA77" s="27"/>
      <c r="AB77" s="27">
        <f t="shared" si="12"/>
        <v>0</v>
      </c>
      <c r="AC77" s="27">
        <f t="shared" si="13"/>
        <v>0</v>
      </c>
    </row>
    <row r="78" spans="1:29">
      <c r="A78" t="s">
        <v>167</v>
      </c>
      <c r="B78" s="3">
        <v>45891</v>
      </c>
      <c r="C78" t="s">
        <v>78</v>
      </c>
      <c r="D78" t="s">
        <v>62</v>
      </c>
      <c r="E78" t="s">
        <v>79</v>
      </c>
      <c r="F78" t="s">
        <v>85</v>
      </c>
      <c r="G78" s="6">
        <v>1</v>
      </c>
      <c r="H78" s="4">
        <v>127.56</v>
      </c>
      <c r="I78" s="4">
        <v>81.59</v>
      </c>
      <c r="J78" s="5">
        <v>0</v>
      </c>
      <c r="K78" s="6">
        <v>2</v>
      </c>
      <c r="L78" s="6">
        <v>4</v>
      </c>
      <c r="M78" t="s">
        <v>58</v>
      </c>
      <c r="N78" t="s">
        <v>69</v>
      </c>
      <c r="O78" t="s">
        <v>64</v>
      </c>
      <c r="P78" t="str">
        <f t="shared" si="7"/>
        <v>Individual</v>
      </c>
      <c r="Q78" t="str">
        <f t="shared" si="8"/>
        <v>London</v>
      </c>
      <c r="R78" t="str">
        <f>PROPER(TRIM(E78))</f>
        <v>Electronics</v>
      </c>
      <c r="S78" s="27">
        <f>IF(ISTEXT(B78),DATEVALUE(B78),B78)</f>
        <v>45891</v>
      </c>
      <c r="T78" s="27">
        <f>COUNTIF($A$2:$A$1986,A78)</f>
        <v>1</v>
      </c>
      <c r="U78" s="27" t="str">
        <f t="shared" si="9"/>
        <v>SmartHome Hub</v>
      </c>
      <c r="V78" s="27">
        <f t="shared" si="10"/>
        <v>127.56</v>
      </c>
      <c r="W78" s="27">
        <f t="shared" si="11"/>
        <v>81.59</v>
      </c>
      <c r="X78" s="27">
        <f>RawSalesTable3[[#This Row],[Revenue]]-RawSalesTable3[[#This Row],[Total_Cost]]</f>
        <v>45.97</v>
      </c>
      <c r="Y78" s="28">
        <f>RawSalesTable3[[#This Row],[Profit]]/RawSalesTable3[[#This Row],[Revenue]]</f>
        <v>0.36037942928817812</v>
      </c>
      <c r="Z78" s="27" t="str">
        <f>TEXT(RawSalesTable3[[#This Row],[Order_Date_Clean]],"MMM YYYY")</f>
        <v>Aug 2025</v>
      </c>
      <c r="AA78" s="27"/>
      <c r="AB78" s="27">
        <f t="shared" si="12"/>
        <v>0</v>
      </c>
      <c r="AC78" s="27">
        <f t="shared" si="13"/>
        <v>0</v>
      </c>
    </row>
    <row r="79" spans="1:29">
      <c r="A79" t="s">
        <v>168</v>
      </c>
      <c r="B79" s="3">
        <v>45810</v>
      </c>
      <c r="C79" t="s">
        <v>66</v>
      </c>
      <c r="D79" t="s">
        <v>62</v>
      </c>
      <c r="E79" t="s">
        <v>79</v>
      </c>
      <c r="F79" t="s">
        <v>92</v>
      </c>
      <c r="G79" s="6">
        <v>1</v>
      </c>
      <c r="H79" s="4">
        <v>49.86</v>
      </c>
      <c r="I79" s="4">
        <v>25.99</v>
      </c>
      <c r="J79" s="5">
        <v>0</v>
      </c>
      <c r="K79" s="6">
        <v>0</v>
      </c>
      <c r="L79" s="6">
        <v>4</v>
      </c>
      <c r="M79" t="s">
        <v>58</v>
      </c>
      <c r="N79" t="s">
        <v>69</v>
      </c>
      <c r="O79" t="s">
        <v>64</v>
      </c>
      <c r="P79" t="str">
        <f t="shared" si="7"/>
        <v>Individual</v>
      </c>
      <c r="Q79" t="str">
        <f t="shared" si="8"/>
        <v>South</v>
      </c>
      <c r="R79" t="str">
        <f>PROPER(TRIM(E79))</f>
        <v>Electronics</v>
      </c>
      <c r="S79" s="27">
        <f>IF(ISTEXT(B79),DATEVALUE(B79),B79)</f>
        <v>45810</v>
      </c>
      <c r="T79" s="27">
        <f>COUNTIF($A$2:$A$1986,A79)</f>
        <v>1</v>
      </c>
      <c r="U79" s="27" t="str">
        <f t="shared" si="9"/>
        <v>Webcam</v>
      </c>
      <c r="V79" s="27">
        <f t="shared" si="10"/>
        <v>49.86</v>
      </c>
      <c r="W79" s="27">
        <f t="shared" si="11"/>
        <v>25.99</v>
      </c>
      <c r="X79" s="27">
        <f>RawSalesTable3[[#This Row],[Revenue]]-RawSalesTable3[[#This Row],[Total_Cost]]</f>
        <v>23.87</v>
      </c>
      <c r="Y79" s="28">
        <f>RawSalesTable3[[#This Row],[Profit]]/RawSalesTable3[[#This Row],[Revenue]]</f>
        <v>0.47874047332531089</v>
      </c>
      <c r="Z79" s="27" t="str">
        <f>TEXT(RawSalesTable3[[#This Row],[Order_Date_Clean]],"MMM YYYY")</f>
        <v>Jun 2025</v>
      </c>
      <c r="AA79" s="27"/>
      <c r="AB79" s="27">
        <f t="shared" si="12"/>
        <v>0</v>
      </c>
      <c r="AC79" s="27">
        <f t="shared" si="13"/>
        <v>0</v>
      </c>
    </row>
    <row r="80" spans="1:29">
      <c r="A80" t="s">
        <v>169</v>
      </c>
      <c r="B80" s="3">
        <v>45962</v>
      </c>
      <c r="C80" t="s">
        <v>82</v>
      </c>
      <c r="D80" t="s">
        <v>62</v>
      </c>
      <c r="E80" t="s">
        <v>67</v>
      </c>
      <c r="F80" t="s">
        <v>68</v>
      </c>
      <c r="G80" s="6">
        <v>1</v>
      </c>
      <c r="H80" s="4">
        <v>39.78</v>
      </c>
      <c r="I80" s="4">
        <v>19.239999999999998</v>
      </c>
      <c r="J80" s="5">
        <v>0.1</v>
      </c>
      <c r="K80" s="6">
        <v>3</v>
      </c>
      <c r="L80" s="6">
        <v>4</v>
      </c>
      <c r="M80" t="s">
        <v>58</v>
      </c>
      <c r="N80" t="s">
        <v>59</v>
      </c>
      <c r="O80" t="s">
        <v>73</v>
      </c>
      <c r="P80" t="str">
        <f t="shared" si="7"/>
        <v>Individual</v>
      </c>
      <c r="Q80" t="str">
        <f t="shared" si="8"/>
        <v>Midlands</v>
      </c>
      <c r="R80" t="str">
        <f>PROPER(TRIM(E80))</f>
        <v>Office</v>
      </c>
      <c r="S80" s="27">
        <f>IF(ISTEXT(B80),DATEVALUE(B80),B80)</f>
        <v>45962</v>
      </c>
      <c r="T80" s="27">
        <f>COUNTIF($A$2:$A$1986,A80)</f>
        <v>1</v>
      </c>
      <c r="U80" s="27" t="str">
        <f t="shared" si="9"/>
        <v>Desk Lamp</v>
      </c>
      <c r="V80" s="27">
        <f t="shared" si="10"/>
        <v>35.802</v>
      </c>
      <c r="W80" s="27">
        <f t="shared" si="11"/>
        <v>19.239999999999998</v>
      </c>
      <c r="X80" s="27">
        <f>RawSalesTable3[[#This Row],[Revenue]]-RawSalesTable3[[#This Row],[Total_Cost]]</f>
        <v>16.562000000000001</v>
      </c>
      <c r="Y80" s="28">
        <f>RawSalesTable3[[#This Row],[Profit]]/RawSalesTable3[[#This Row],[Revenue]]</f>
        <v>0.46259985475671755</v>
      </c>
      <c r="Z80" s="27" t="str">
        <f>TEXT(RawSalesTable3[[#This Row],[Order_Date_Clean]],"MMM YYYY")</f>
        <v>Nov 2025</v>
      </c>
      <c r="AA80" s="27"/>
      <c r="AB80" s="27">
        <f t="shared" si="12"/>
        <v>0</v>
      </c>
      <c r="AC80" s="27">
        <f t="shared" si="13"/>
        <v>0</v>
      </c>
    </row>
    <row r="81" spans="1:29">
      <c r="A81" t="s">
        <v>170</v>
      </c>
      <c r="B81" s="3">
        <v>45688</v>
      </c>
      <c r="C81" t="s">
        <v>66</v>
      </c>
      <c r="D81" t="s">
        <v>62</v>
      </c>
      <c r="E81" t="s">
        <v>56</v>
      </c>
      <c r="F81" t="s">
        <v>63</v>
      </c>
      <c r="G81" s="6">
        <v>1</v>
      </c>
      <c r="H81" s="4">
        <v>40.65</v>
      </c>
      <c r="I81" s="4">
        <v>20.059999999999999</v>
      </c>
      <c r="J81" s="5">
        <v>0.05</v>
      </c>
      <c r="K81" s="6">
        <v>0</v>
      </c>
      <c r="L81" s="6">
        <v>4</v>
      </c>
      <c r="M81" t="s">
        <v>58</v>
      </c>
      <c r="N81" t="s">
        <v>69</v>
      </c>
      <c r="O81" t="s">
        <v>64</v>
      </c>
      <c r="P81" t="str">
        <f t="shared" si="7"/>
        <v>Individual</v>
      </c>
      <c r="Q81" t="str">
        <f t="shared" si="8"/>
        <v>South</v>
      </c>
      <c r="R81" t="str">
        <f>PROPER(TRIM(E81))</f>
        <v>Home &amp; Kitchen</v>
      </c>
      <c r="S81" s="27">
        <f>IF(ISTEXT(B81),DATEVALUE(B81),B81)</f>
        <v>45688</v>
      </c>
      <c r="T81" s="27">
        <f>COUNTIF($A$2:$A$1986,A81)</f>
        <v>1</v>
      </c>
      <c r="U81" s="27" t="str">
        <f t="shared" si="9"/>
        <v>Electric Kettle</v>
      </c>
      <c r="V81" s="27">
        <f t="shared" si="10"/>
        <v>38.6175</v>
      </c>
      <c r="W81" s="27">
        <f t="shared" si="11"/>
        <v>20.059999999999999</v>
      </c>
      <c r="X81" s="27">
        <f>RawSalesTable3[[#This Row],[Revenue]]-RawSalesTable3[[#This Row],[Total_Cost]]</f>
        <v>18.557500000000001</v>
      </c>
      <c r="Y81" s="28">
        <f>RawSalesTable3[[#This Row],[Profit]]/RawSalesTable3[[#This Row],[Revenue]]</f>
        <v>0.48054638441121256</v>
      </c>
      <c r="Z81" s="27" t="str">
        <f>TEXT(RawSalesTable3[[#This Row],[Order_Date_Clean]],"MMM YYYY")</f>
        <v>Jan 2025</v>
      </c>
      <c r="AA81" s="27"/>
      <c r="AB81" s="27">
        <f t="shared" si="12"/>
        <v>0</v>
      </c>
      <c r="AC81" s="27">
        <f t="shared" si="13"/>
        <v>0</v>
      </c>
    </row>
    <row r="82" spans="1:29">
      <c r="A82" t="s">
        <v>171</v>
      </c>
      <c r="B82" s="3">
        <v>45970</v>
      </c>
      <c r="C82" t="s">
        <v>54</v>
      </c>
      <c r="D82" t="s">
        <v>62</v>
      </c>
      <c r="E82" t="s">
        <v>75</v>
      </c>
      <c r="F82" t="s">
        <v>146</v>
      </c>
      <c r="G82" s="6">
        <v>2</v>
      </c>
      <c r="H82" s="4">
        <v>184.5</v>
      </c>
      <c r="I82" s="4">
        <v>115.04</v>
      </c>
      <c r="J82" s="5">
        <v>0.1</v>
      </c>
      <c r="K82" s="6">
        <v>0</v>
      </c>
      <c r="L82" s="6">
        <v>5</v>
      </c>
      <c r="M82" t="s">
        <v>58</v>
      </c>
      <c r="N82" t="s">
        <v>69</v>
      </c>
      <c r="O82" t="s">
        <v>64</v>
      </c>
      <c r="P82" t="str">
        <f t="shared" si="7"/>
        <v>Individual</v>
      </c>
      <c r="Q82" t="str">
        <f t="shared" si="8"/>
        <v>North</v>
      </c>
      <c r="R82" t="str">
        <f>PROPER(TRIM(E82))</f>
        <v>Furniture</v>
      </c>
      <c r="S82" s="27">
        <f>IF(ISTEXT(B82),DATEVALUE(B82),B82)</f>
        <v>45970</v>
      </c>
      <c r="T82" s="27">
        <f>COUNTIF($A$2:$A$1986,A82)</f>
        <v>1</v>
      </c>
      <c r="U82" s="27" t="str">
        <f t="shared" si="9"/>
        <v>Office Chair</v>
      </c>
      <c r="V82" s="27">
        <f t="shared" si="10"/>
        <v>332.1</v>
      </c>
      <c r="W82" s="27">
        <f t="shared" si="11"/>
        <v>230.08</v>
      </c>
      <c r="X82" s="27">
        <f>RawSalesTable3[[#This Row],[Revenue]]-RawSalesTable3[[#This Row],[Total_Cost]]</f>
        <v>102.02000000000001</v>
      </c>
      <c r="Y82" s="28">
        <f>RawSalesTable3[[#This Row],[Profit]]/RawSalesTable3[[#This Row],[Revenue]]</f>
        <v>0.3071966275218308</v>
      </c>
      <c r="Z82" s="27" t="str">
        <f>TEXT(RawSalesTable3[[#This Row],[Order_Date_Clean]],"MMM YYYY")</f>
        <v>Nov 2025</v>
      </c>
      <c r="AA82" s="27"/>
      <c r="AB82" s="27">
        <f t="shared" si="12"/>
        <v>0</v>
      </c>
      <c r="AC82" s="27">
        <f t="shared" si="13"/>
        <v>0</v>
      </c>
    </row>
    <row r="83" spans="1:29">
      <c r="A83" t="s">
        <v>172</v>
      </c>
      <c r="B83" s="3">
        <v>46019</v>
      </c>
      <c r="C83" t="s">
        <v>82</v>
      </c>
      <c r="D83" t="s">
        <v>55</v>
      </c>
      <c r="E83" t="s">
        <v>56</v>
      </c>
      <c r="F83" t="s">
        <v>83</v>
      </c>
      <c r="G83" s="6">
        <v>1</v>
      </c>
      <c r="H83" s="4">
        <v>67.16</v>
      </c>
      <c r="I83" s="4">
        <v>34.18</v>
      </c>
      <c r="J83" s="5">
        <v>0.1</v>
      </c>
      <c r="K83" s="6">
        <v>5</v>
      </c>
      <c r="L83" s="6">
        <v>5</v>
      </c>
      <c r="M83" t="s">
        <v>58</v>
      </c>
      <c r="N83" t="s">
        <v>59</v>
      </c>
      <c r="O83" t="s">
        <v>64</v>
      </c>
      <c r="P83" t="str">
        <f t="shared" si="7"/>
        <v>Small Business</v>
      </c>
      <c r="Q83" t="str">
        <f t="shared" si="8"/>
        <v>Midlands</v>
      </c>
      <c r="R83" t="str">
        <f>PROPER(TRIM(E83))</f>
        <v>Home &amp; Kitchen</v>
      </c>
      <c r="S83" s="27">
        <f>IF(ISTEXT(B83),DATEVALUE(B83),B83)</f>
        <v>46019</v>
      </c>
      <c r="T83" s="27">
        <f>COUNTIF($A$2:$A$1986,A83)</f>
        <v>1</v>
      </c>
      <c r="U83" s="27" t="str">
        <f t="shared" si="9"/>
        <v>Blender</v>
      </c>
      <c r="V83" s="27">
        <f t="shared" si="10"/>
        <v>60.443999999999996</v>
      </c>
      <c r="W83" s="27">
        <f t="shared" si="11"/>
        <v>34.18</v>
      </c>
      <c r="X83" s="27">
        <f>RawSalesTable3[[#This Row],[Revenue]]-RawSalesTable3[[#This Row],[Total_Cost]]</f>
        <v>26.263999999999996</v>
      </c>
      <c r="Y83" s="28">
        <f>RawSalesTable3[[#This Row],[Profit]]/RawSalesTable3[[#This Row],[Revenue]]</f>
        <v>0.43451790086691811</v>
      </c>
      <c r="Z83" s="27" t="str">
        <f>TEXT(RawSalesTable3[[#This Row],[Order_Date_Clean]],"MMM YYYY")</f>
        <v>Dec 2025</v>
      </c>
      <c r="AA83" s="27"/>
      <c r="AB83" s="27">
        <f t="shared" si="12"/>
        <v>0</v>
      </c>
      <c r="AC83" s="27">
        <f t="shared" si="13"/>
        <v>0</v>
      </c>
    </row>
    <row r="84" spans="1:29">
      <c r="A84" t="s">
        <v>173</v>
      </c>
      <c r="B84" s="3">
        <v>45919</v>
      </c>
      <c r="C84" t="s">
        <v>78</v>
      </c>
      <c r="D84" t="s">
        <v>62</v>
      </c>
      <c r="E84" t="s">
        <v>56</v>
      </c>
      <c r="F84" t="s">
        <v>57</v>
      </c>
      <c r="G84" s="6">
        <v>3</v>
      </c>
      <c r="H84" s="4">
        <v>108.54</v>
      </c>
      <c r="I84" s="4">
        <v>66.150000000000006</v>
      </c>
      <c r="J84" s="5">
        <v>0.05</v>
      </c>
      <c r="K84" s="6">
        <v>1</v>
      </c>
      <c r="L84" s="6">
        <v>5</v>
      </c>
      <c r="M84" t="s">
        <v>58</v>
      </c>
      <c r="N84" t="s">
        <v>69</v>
      </c>
      <c r="O84" t="s">
        <v>60</v>
      </c>
      <c r="P84" t="str">
        <f t="shared" si="7"/>
        <v>Individual</v>
      </c>
      <c r="Q84" t="str">
        <f t="shared" si="8"/>
        <v>London</v>
      </c>
      <c r="R84" t="str">
        <f>PROPER(TRIM(E84))</f>
        <v>Home &amp; Kitchen</v>
      </c>
      <c r="S84" s="27">
        <f>IF(ISTEXT(B84),DATEVALUE(B84),B84)</f>
        <v>45919</v>
      </c>
      <c r="T84" s="27">
        <f>COUNTIF($A$2:$A$1986,A84)</f>
        <v>1</v>
      </c>
      <c r="U84" s="27" t="str">
        <f t="shared" si="9"/>
        <v>Air Fryer</v>
      </c>
      <c r="V84" s="27">
        <f t="shared" si="10"/>
        <v>309.339</v>
      </c>
      <c r="W84" s="27">
        <f t="shared" si="11"/>
        <v>198.45000000000002</v>
      </c>
      <c r="X84" s="27">
        <f>RawSalesTable3[[#This Row],[Revenue]]-RawSalesTable3[[#This Row],[Total_Cost]]</f>
        <v>110.88899999999998</v>
      </c>
      <c r="Y84" s="28">
        <f>RawSalesTable3[[#This Row],[Profit]]/RawSalesTable3[[#This Row],[Revenue]]</f>
        <v>0.35847080387536001</v>
      </c>
      <c r="Z84" s="27" t="str">
        <f>TEXT(RawSalesTable3[[#This Row],[Order_Date_Clean]],"MMM YYYY")</f>
        <v>Sep 2025</v>
      </c>
      <c r="AA84" s="27"/>
      <c r="AB84" s="27">
        <f t="shared" si="12"/>
        <v>0</v>
      </c>
      <c r="AC84" s="27">
        <f t="shared" si="13"/>
        <v>0</v>
      </c>
    </row>
    <row r="85" spans="1:29">
      <c r="A85" t="s">
        <v>174</v>
      </c>
      <c r="B85" s="3">
        <v>45989</v>
      </c>
      <c r="C85" t="s">
        <v>54</v>
      </c>
      <c r="D85" t="s">
        <v>62</v>
      </c>
      <c r="E85" t="s">
        <v>79</v>
      </c>
      <c r="F85" t="s">
        <v>92</v>
      </c>
      <c r="G85" s="6">
        <v>1</v>
      </c>
      <c r="H85" s="4">
        <v>50.71</v>
      </c>
      <c r="I85" s="4">
        <v>26.03</v>
      </c>
      <c r="J85" s="5">
        <v>0.15000000000000002</v>
      </c>
      <c r="K85" s="6">
        <v>6</v>
      </c>
      <c r="L85" s="6">
        <v>4</v>
      </c>
      <c r="M85" t="s">
        <v>58</v>
      </c>
      <c r="N85" t="s">
        <v>59</v>
      </c>
      <c r="O85" t="s">
        <v>60</v>
      </c>
      <c r="P85" t="str">
        <f t="shared" si="7"/>
        <v>Individual</v>
      </c>
      <c r="Q85" t="str">
        <f t="shared" si="8"/>
        <v>North</v>
      </c>
      <c r="R85" t="str">
        <f>PROPER(TRIM(E85))</f>
        <v>Electronics</v>
      </c>
      <c r="S85" s="27">
        <f>IF(ISTEXT(B85),DATEVALUE(B85),B85)</f>
        <v>45989</v>
      </c>
      <c r="T85" s="27">
        <f>COUNTIF($A$2:$A$1986,A85)</f>
        <v>1</v>
      </c>
      <c r="U85" s="27" t="str">
        <f t="shared" si="9"/>
        <v>Webcam</v>
      </c>
      <c r="V85" s="27">
        <f t="shared" si="10"/>
        <v>43.103499999999997</v>
      </c>
      <c r="W85" s="27">
        <f t="shared" si="11"/>
        <v>26.03</v>
      </c>
      <c r="X85" s="27">
        <f>RawSalesTable3[[#This Row],[Revenue]]-RawSalesTable3[[#This Row],[Total_Cost]]</f>
        <v>17.073499999999996</v>
      </c>
      <c r="Y85" s="28">
        <f>RawSalesTable3[[#This Row],[Profit]]/RawSalesTable3[[#This Row],[Revenue]]</f>
        <v>0.39610472467433033</v>
      </c>
      <c r="Z85" s="27" t="str">
        <f>TEXT(RawSalesTable3[[#This Row],[Order_Date_Clean]],"MMM YYYY")</f>
        <v>Nov 2025</v>
      </c>
      <c r="AA85" s="27"/>
      <c r="AB85" s="27">
        <f t="shared" si="12"/>
        <v>0</v>
      </c>
      <c r="AC85" s="27">
        <f t="shared" si="13"/>
        <v>0</v>
      </c>
    </row>
    <row r="86" spans="1:29">
      <c r="A86" t="s">
        <v>175</v>
      </c>
      <c r="B86" s="3">
        <v>46007</v>
      </c>
      <c r="C86" t="s">
        <v>82</v>
      </c>
      <c r="D86" t="s">
        <v>55</v>
      </c>
      <c r="E86" t="s">
        <v>75</v>
      </c>
      <c r="F86" t="s">
        <v>97</v>
      </c>
      <c r="G86" s="6">
        <v>3</v>
      </c>
      <c r="H86" s="4">
        <v>88.84</v>
      </c>
      <c r="I86" s="4">
        <v>54.61</v>
      </c>
      <c r="J86" s="5">
        <v>0.15000000000000002</v>
      </c>
      <c r="K86" s="6">
        <v>4</v>
      </c>
      <c r="L86" s="6">
        <v>4</v>
      </c>
      <c r="M86" t="s">
        <v>58</v>
      </c>
      <c r="N86" t="s">
        <v>59</v>
      </c>
      <c r="O86" t="s">
        <v>64</v>
      </c>
      <c r="P86" t="str">
        <f t="shared" si="7"/>
        <v>Small Business</v>
      </c>
      <c r="Q86" t="str">
        <f t="shared" si="8"/>
        <v>Midlands</v>
      </c>
      <c r="R86" t="str">
        <f>PROPER(TRIM(E86))</f>
        <v>Furniture</v>
      </c>
      <c r="S86" s="27">
        <f>IF(ISTEXT(B86),DATEVALUE(B86),B86)</f>
        <v>46007</v>
      </c>
      <c r="T86" s="27">
        <f>COUNTIF($A$2:$A$1986,A86)</f>
        <v>1</v>
      </c>
      <c r="U86" s="27" t="str">
        <f t="shared" si="9"/>
        <v>Side Table</v>
      </c>
      <c r="V86" s="27">
        <f t="shared" si="10"/>
        <v>226.54199999999997</v>
      </c>
      <c r="W86" s="27">
        <f t="shared" si="11"/>
        <v>163.82999999999998</v>
      </c>
      <c r="X86" s="27">
        <f>RawSalesTable3[[#This Row],[Revenue]]-RawSalesTable3[[#This Row],[Total_Cost]]</f>
        <v>62.711999999999989</v>
      </c>
      <c r="Y86" s="28">
        <f>RawSalesTable3[[#This Row],[Profit]]/RawSalesTable3[[#This Row],[Revenue]]</f>
        <v>0.27682284079773284</v>
      </c>
      <c r="Z86" s="27" t="str">
        <f>TEXT(RawSalesTable3[[#This Row],[Order_Date_Clean]],"MMM YYYY")</f>
        <v>Dec 2025</v>
      </c>
      <c r="AA86" s="27"/>
      <c r="AB86" s="27">
        <f t="shared" si="12"/>
        <v>0</v>
      </c>
      <c r="AC86" s="27">
        <f t="shared" si="13"/>
        <v>0</v>
      </c>
    </row>
    <row r="87" spans="1:29">
      <c r="A87" t="s">
        <v>176</v>
      </c>
      <c r="B87" s="3">
        <v>45821</v>
      </c>
      <c r="C87" t="s">
        <v>54</v>
      </c>
      <c r="D87" t="s">
        <v>62</v>
      </c>
      <c r="E87" t="s">
        <v>75</v>
      </c>
      <c r="F87" t="s">
        <v>76</v>
      </c>
      <c r="G87" s="6">
        <v>1</v>
      </c>
      <c r="H87" s="4">
        <v>119.15</v>
      </c>
      <c r="I87" s="4">
        <v>73.19</v>
      </c>
      <c r="J87" s="5">
        <v>0.05</v>
      </c>
      <c r="K87" s="6">
        <v>5</v>
      </c>
      <c r="L87" s="6">
        <v>5</v>
      </c>
      <c r="M87" t="s">
        <v>58</v>
      </c>
      <c r="N87" t="s">
        <v>59</v>
      </c>
      <c r="O87" t="s">
        <v>64</v>
      </c>
      <c r="P87" t="str">
        <f t="shared" si="7"/>
        <v>Individual</v>
      </c>
      <c r="Q87" t="str">
        <f t="shared" si="8"/>
        <v>North</v>
      </c>
      <c r="R87" t="str">
        <f>PROPER(TRIM(E87))</f>
        <v>Furniture</v>
      </c>
      <c r="S87" s="27">
        <f>IF(ISTEXT(B87),DATEVALUE(B87),B87)</f>
        <v>45821</v>
      </c>
      <c r="T87" s="27">
        <f>COUNTIF($A$2:$A$1986,A87)</f>
        <v>1</v>
      </c>
      <c r="U87" s="27" t="str">
        <f t="shared" si="9"/>
        <v>Bookshelf</v>
      </c>
      <c r="V87" s="27">
        <f t="shared" si="10"/>
        <v>113.1925</v>
      </c>
      <c r="W87" s="27">
        <f t="shared" si="11"/>
        <v>73.19</v>
      </c>
      <c r="X87" s="27">
        <f>RawSalesTable3[[#This Row],[Revenue]]-RawSalesTable3[[#This Row],[Total_Cost]]</f>
        <v>40.002499999999998</v>
      </c>
      <c r="Y87" s="28">
        <f>RawSalesTable3[[#This Row],[Profit]]/RawSalesTable3[[#This Row],[Revenue]]</f>
        <v>0.35340238973430216</v>
      </c>
      <c r="Z87" s="27" t="str">
        <f>TEXT(RawSalesTable3[[#This Row],[Order_Date_Clean]],"MMM YYYY")</f>
        <v>Jun 2025</v>
      </c>
      <c r="AA87" s="27"/>
      <c r="AB87" s="27">
        <f t="shared" si="12"/>
        <v>0</v>
      </c>
      <c r="AC87" s="27">
        <f t="shared" si="13"/>
        <v>0</v>
      </c>
    </row>
    <row r="88" spans="1:29">
      <c r="A88" t="s">
        <v>177</v>
      </c>
      <c r="B88" s="3">
        <v>45742</v>
      </c>
      <c r="C88" t="s">
        <v>54</v>
      </c>
      <c r="D88" t="s">
        <v>62</v>
      </c>
      <c r="E88" t="s">
        <v>79</v>
      </c>
      <c r="F88" t="s">
        <v>92</v>
      </c>
      <c r="G88" s="6">
        <v>2</v>
      </c>
      <c r="H88" s="4">
        <v>51.19</v>
      </c>
      <c r="I88" s="4">
        <v>26.99</v>
      </c>
      <c r="J88" s="5">
        <v>0.05</v>
      </c>
      <c r="K88" s="6">
        <v>0</v>
      </c>
      <c r="L88" s="6">
        <v>5</v>
      </c>
      <c r="M88" t="s">
        <v>58</v>
      </c>
      <c r="N88" t="s">
        <v>69</v>
      </c>
      <c r="O88" t="s">
        <v>64</v>
      </c>
      <c r="P88" t="str">
        <f t="shared" si="7"/>
        <v>Individual</v>
      </c>
      <c r="Q88" t="str">
        <f t="shared" si="8"/>
        <v>North</v>
      </c>
      <c r="R88" t="str">
        <f>PROPER(TRIM(E88))</f>
        <v>Electronics</v>
      </c>
      <c r="S88" s="27">
        <f>IF(ISTEXT(B88),DATEVALUE(B88),B88)</f>
        <v>45742</v>
      </c>
      <c r="T88" s="27">
        <f>COUNTIF($A$2:$A$1986,A88)</f>
        <v>1</v>
      </c>
      <c r="U88" s="27" t="str">
        <f t="shared" si="9"/>
        <v>Webcam</v>
      </c>
      <c r="V88" s="27">
        <f t="shared" si="10"/>
        <v>97.260999999999996</v>
      </c>
      <c r="W88" s="27">
        <f t="shared" si="11"/>
        <v>53.98</v>
      </c>
      <c r="X88" s="27">
        <f>RawSalesTable3[[#This Row],[Revenue]]-RawSalesTable3[[#This Row],[Total_Cost]]</f>
        <v>43.280999999999999</v>
      </c>
      <c r="Y88" s="28">
        <f>RawSalesTable3[[#This Row],[Profit]]/RawSalesTable3[[#This Row],[Revenue]]</f>
        <v>0.44499850916605832</v>
      </c>
      <c r="Z88" s="27" t="str">
        <f>TEXT(RawSalesTable3[[#This Row],[Order_Date_Clean]],"MMM YYYY")</f>
        <v>Mar 2025</v>
      </c>
      <c r="AA88" s="27"/>
      <c r="AB88" s="27">
        <f t="shared" si="12"/>
        <v>0</v>
      </c>
      <c r="AC88" s="27">
        <f t="shared" si="13"/>
        <v>0</v>
      </c>
    </row>
    <row r="89" spans="1:29">
      <c r="A89" t="s">
        <v>178</v>
      </c>
      <c r="B89" s="3">
        <v>45910</v>
      </c>
      <c r="C89" t="s">
        <v>66</v>
      </c>
      <c r="D89" t="s">
        <v>62</v>
      </c>
      <c r="E89" t="s">
        <v>79</v>
      </c>
      <c r="F89" t="s">
        <v>80</v>
      </c>
      <c r="G89" s="6">
        <v>1</v>
      </c>
      <c r="H89" s="4">
        <v>75.25</v>
      </c>
      <c r="I89" s="4">
        <v>43.81</v>
      </c>
      <c r="J89" s="5">
        <v>0.05</v>
      </c>
      <c r="K89" s="6">
        <v>4</v>
      </c>
      <c r="L89" s="6">
        <v>4</v>
      </c>
      <c r="M89" t="s">
        <v>58</v>
      </c>
      <c r="N89" t="s">
        <v>59</v>
      </c>
      <c r="O89" t="s">
        <v>64</v>
      </c>
      <c r="P89" t="str">
        <f t="shared" si="7"/>
        <v>Individual</v>
      </c>
      <c r="Q89" t="str">
        <f t="shared" si="8"/>
        <v>South</v>
      </c>
      <c r="R89" t="str">
        <f>PROPER(TRIM(E89))</f>
        <v>Electronics</v>
      </c>
      <c r="S89" s="27">
        <f>IF(ISTEXT(B89),DATEVALUE(B89),B89)</f>
        <v>45910</v>
      </c>
      <c r="T89" s="27">
        <f>COUNTIF($A$2:$A$1986,A89)</f>
        <v>1</v>
      </c>
      <c r="U89" s="27" t="str">
        <f t="shared" si="9"/>
        <v>Portable Speaker</v>
      </c>
      <c r="V89" s="27">
        <f t="shared" si="10"/>
        <v>71.487499999999997</v>
      </c>
      <c r="W89" s="27">
        <f t="shared" si="11"/>
        <v>43.81</v>
      </c>
      <c r="X89" s="27">
        <f>RawSalesTable3[[#This Row],[Revenue]]-RawSalesTable3[[#This Row],[Total_Cost]]</f>
        <v>27.677499999999995</v>
      </c>
      <c r="Y89" s="28">
        <f>RawSalesTable3[[#This Row],[Profit]]/RawSalesTable3[[#This Row],[Revenue]]</f>
        <v>0.38716558838957854</v>
      </c>
      <c r="Z89" s="27" t="str">
        <f>TEXT(RawSalesTable3[[#This Row],[Order_Date_Clean]],"MMM YYYY")</f>
        <v>Sep 2025</v>
      </c>
      <c r="AA89" s="27"/>
      <c r="AB89" s="27">
        <f t="shared" si="12"/>
        <v>0</v>
      </c>
      <c r="AC89" s="27">
        <f t="shared" si="13"/>
        <v>0</v>
      </c>
    </row>
    <row r="90" spans="1:29">
      <c r="A90" t="s">
        <v>179</v>
      </c>
      <c r="B90" s="3">
        <v>45765</v>
      </c>
      <c r="C90" t="s">
        <v>54</v>
      </c>
      <c r="D90" t="s">
        <v>62</v>
      </c>
      <c r="E90" t="s">
        <v>75</v>
      </c>
      <c r="F90" t="s">
        <v>146</v>
      </c>
      <c r="G90" s="6">
        <v>2</v>
      </c>
      <c r="H90" s="4">
        <v>186.06</v>
      </c>
      <c r="I90" s="4">
        <v>116.74</v>
      </c>
      <c r="J90" s="5">
        <v>0</v>
      </c>
      <c r="K90" s="6">
        <v>6</v>
      </c>
      <c r="L90" s="6">
        <v>4</v>
      </c>
      <c r="M90" t="s">
        <v>58</v>
      </c>
      <c r="N90" t="s">
        <v>59</v>
      </c>
      <c r="O90" t="s">
        <v>60</v>
      </c>
      <c r="P90" t="str">
        <f t="shared" si="7"/>
        <v>Individual</v>
      </c>
      <c r="Q90" t="str">
        <f t="shared" si="8"/>
        <v>North</v>
      </c>
      <c r="R90" t="str">
        <f>PROPER(TRIM(E90))</f>
        <v>Furniture</v>
      </c>
      <c r="S90" s="27">
        <f>IF(ISTEXT(B90),DATEVALUE(B90),B90)</f>
        <v>45765</v>
      </c>
      <c r="T90" s="27">
        <f>COUNTIF($A$2:$A$1986,A90)</f>
        <v>1</v>
      </c>
      <c r="U90" s="27" t="str">
        <f t="shared" si="9"/>
        <v>Office Chair</v>
      </c>
      <c r="V90" s="27">
        <f t="shared" si="10"/>
        <v>372.12</v>
      </c>
      <c r="W90" s="27">
        <f t="shared" si="11"/>
        <v>233.48</v>
      </c>
      <c r="X90" s="27">
        <f>RawSalesTable3[[#This Row],[Revenue]]-RawSalesTable3[[#This Row],[Total_Cost]]</f>
        <v>138.64000000000001</v>
      </c>
      <c r="Y90" s="28">
        <f>RawSalesTable3[[#This Row],[Profit]]/RawSalesTable3[[#This Row],[Revenue]]</f>
        <v>0.37256798882081055</v>
      </c>
      <c r="Z90" s="27" t="str">
        <f>TEXT(RawSalesTable3[[#This Row],[Order_Date_Clean]],"MMM YYYY")</f>
        <v>Apr 2025</v>
      </c>
      <c r="AA90" s="27"/>
      <c r="AB90" s="27">
        <f t="shared" si="12"/>
        <v>0</v>
      </c>
      <c r="AC90" s="27">
        <f t="shared" si="13"/>
        <v>0</v>
      </c>
    </row>
    <row r="91" spans="1:29">
      <c r="A91" t="s">
        <v>180</v>
      </c>
      <c r="B91" s="3">
        <v>45991</v>
      </c>
      <c r="C91" t="s">
        <v>82</v>
      </c>
      <c r="D91" t="s">
        <v>62</v>
      </c>
      <c r="E91" t="s">
        <v>75</v>
      </c>
      <c r="F91" t="s">
        <v>146</v>
      </c>
      <c r="G91" s="6">
        <v>1</v>
      </c>
      <c r="H91" s="4">
        <v>186</v>
      </c>
      <c r="I91" s="4">
        <v>113.47</v>
      </c>
      <c r="J91" s="5">
        <v>0.05</v>
      </c>
      <c r="K91" s="6">
        <v>2</v>
      </c>
      <c r="L91" s="6">
        <v>4</v>
      </c>
      <c r="M91" t="s">
        <v>58</v>
      </c>
      <c r="N91" t="s">
        <v>69</v>
      </c>
      <c r="O91" t="s">
        <v>64</v>
      </c>
      <c r="P91" t="str">
        <f t="shared" si="7"/>
        <v>Individual</v>
      </c>
      <c r="Q91" t="str">
        <f t="shared" si="8"/>
        <v>Midlands</v>
      </c>
      <c r="R91" t="str">
        <f>PROPER(TRIM(E91))</f>
        <v>Furniture</v>
      </c>
      <c r="S91" s="27">
        <f>IF(ISTEXT(B91),DATEVALUE(B91),B91)</f>
        <v>45991</v>
      </c>
      <c r="T91" s="27">
        <f>COUNTIF($A$2:$A$1986,A91)</f>
        <v>1</v>
      </c>
      <c r="U91" s="27" t="str">
        <f t="shared" si="9"/>
        <v>Office Chair</v>
      </c>
      <c r="V91" s="27">
        <f t="shared" si="10"/>
        <v>176.7</v>
      </c>
      <c r="W91" s="27">
        <f t="shared" si="11"/>
        <v>113.47</v>
      </c>
      <c r="X91" s="27">
        <f>RawSalesTable3[[#This Row],[Revenue]]-RawSalesTable3[[#This Row],[Total_Cost]]</f>
        <v>63.22999999999999</v>
      </c>
      <c r="Y91" s="28">
        <f>RawSalesTable3[[#This Row],[Profit]]/RawSalesTable3[[#This Row],[Revenue]]</f>
        <v>0.35783814374646289</v>
      </c>
      <c r="Z91" s="27" t="str">
        <f>TEXT(RawSalesTable3[[#This Row],[Order_Date_Clean]],"MMM YYYY")</f>
        <v>Nov 2025</v>
      </c>
      <c r="AA91" s="27"/>
      <c r="AB91" s="27">
        <f t="shared" si="12"/>
        <v>0</v>
      </c>
      <c r="AC91" s="27">
        <f t="shared" si="13"/>
        <v>0</v>
      </c>
    </row>
    <row r="92" spans="1:29">
      <c r="A92" t="s">
        <v>181</v>
      </c>
      <c r="B92" s="3">
        <v>45877</v>
      </c>
      <c r="C92" t="s">
        <v>54</v>
      </c>
      <c r="D92" t="s">
        <v>55</v>
      </c>
      <c r="E92" t="s">
        <v>79</v>
      </c>
      <c r="F92" t="s">
        <v>115</v>
      </c>
      <c r="G92" s="6">
        <v>4</v>
      </c>
      <c r="H92" s="4">
        <v>62.28</v>
      </c>
      <c r="I92" s="4">
        <v>35.44</v>
      </c>
      <c r="J92" s="5">
        <v>0</v>
      </c>
      <c r="K92" s="6">
        <v>2</v>
      </c>
      <c r="L92" s="6">
        <v>4</v>
      </c>
      <c r="M92" t="s">
        <v>58</v>
      </c>
      <c r="N92" t="s">
        <v>59</v>
      </c>
      <c r="O92" t="s">
        <v>73</v>
      </c>
      <c r="P92" t="str">
        <f t="shared" si="7"/>
        <v>Small Business</v>
      </c>
      <c r="Q92" t="str">
        <f t="shared" si="8"/>
        <v>North</v>
      </c>
      <c r="R92" t="str">
        <f>PROPER(TRIM(E92))</f>
        <v>Electronics</v>
      </c>
      <c r="S92" s="27">
        <f>IF(ISTEXT(B92),DATEVALUE(B92),B92)</f>
        <v>45877</v>
      </c>
      <c r="T92" s="27">
        <f>COUNTIF($A$2:$A$1986,A92)</f>
        <v>1</v>
      </c>
      <c r="U92" s="27" t="str">
        <f t="shared" si="9"/>
        <v>Wireless Headset</v>
      </c>
      <c r="V92" s="27">
        <f t="shared" si="10"/>
        <v>249.12</v>
      </c>
      <c r="W92" s="27">
        <f t="shared" si="11"/>
        <v>141.76</v>
      </c>
      <c r="X92" s="27">
        <f>RawSalesTable3[[#This Row],[Revenue]]-RawSalesTable3[[#This Row],[Total_Cost]]</f>
        <v>107.36000000000001</v>
      </c>
      <c r="Y92" s="28">
        <f>RawSalesTable3[[#This Row],[Profit]]/RawSalesTable3[[#This Row],[Revenue]]</f>
        <v>0.43095696852922294</v>
      </c>
      <c r="Z92" s="27" t="str">
        <f>TEXT(RawSalesTable3[[#This Row],[Order_Date_Clean]],"MMM YYYY")</f>
        <v>Aug 2025</v>
      </c>
      <c r="AA92" s="27"/>
      <c r="AB92" s="27">
        <f t="shared" si="12"/>
        <v>0</v>
      </c>
      <c r="AC92" s="27">
        <f t="shared" si="13"/>
        <v>0</v>
      </c>
    </row>
    <row r="93" spans="1:29">
      <c r="A93" t="s">
        <v>182</v>
      </c>
      <c r="B93" s="3">
        <v>45995</v>
      </c>
      <c r="C93" t="s">
        <v>78</v>
      </c>
      <c r="D93" t="s">
        <v>62</v>
      </c>
      <c r="E93" t="s">
        <v>67</v>
      </c>
      <c r="F93" t="s">
        <v>68</v>
      </c>
      <c r="G93" s="6">
        <v>2</v>
      </c>
      <c r="H93" s="4">
        <v>40</v>
      </c>
      <c r="I93" s="4">
        <v>19.670000000000002</v>
      </c>
      <c r="J93" s="5">
        <v>0</v>
      </c>
      <c r="K93" s="6">
        <v>2</v>
      </c>
      <c r="L93" s="6">
        <v>4</v>
      </c>
      <c r="M93" t="s">
        <v>58</v>
      </c>
      <c r="N93" t="s">
        <v>59</v>
      </c>
      <c r="O93" t="s">
        <v>64</v>
      </c>
      <c r="P93" t="str">
        <f t="shared" si="7"/>
        <v>Individual</v>
      </c>
      <c r="Q93" t="str">
        <f t="shared" si="8"/>
        <v>London</v>
      </c>
      <c r="R93" t="str">
        <f>PROPER(TRIM(E93))</f>
        <v>Office</v>
      </c>
      <c r="S93" s="27">
        <f>IF(ISTEXT(B93),DATEVALUE(B93),B93)</f>
        <v>45995</v>
      </c>
      <c r="T93" s="27">
        <f>COUNTIF($A$2:$A$1986,A93)</f>
        <v>1</v>
      </c>
      <c r="U93" s="27" t="str">
        <f t="shared" si="9"/>
        <v>Desk Lamp</v>
      </c>
      <c r="V93" s="27">
        <f t="shared" si="10"/>
        <v>80</v>
      </c>
      <c r="W93" s="27">
        <f t="shared" si="11"/>
        <v>39.340000000000003</v>
      </c>
      <c r="X93" s="27">
        <f>RawSalesTable3[[#This Row],[Revenue]]-RawSalesTable3[[#This Row],[Total_Cost]]</f>
        <v>40.659999999999997</v>
      </c>
      <c r="Y93" s="28">
        <f>RawSalesTable3[[#This Row],[Profit]]/RawSalesTable3[[#This Row],[Revenue]]</f>
        <v>0.50824999999999998</v>
      </c>
      <c r="Z93" s="27" t="str">
        <f>TEXT(RawSalesTable3[[#This Row],[Order_Date_Clean]],"MMM YYYY")</f>
        <v>Dec 2025</v>
      </c>
      <c r="AA93" s="27"/>
      <c r="AB93" s="27">
        <f t="shared" si="12"/>
        <v>0</v>
      </c>
      <c r="AC93" s="27">
        <f t="shared" si="13"/>
        <v>0</v>
      </c>
    </row>
    <row r="94" spans="1:29">
      <c r="A94" t="s">
        <v>183</v>
      </c>
      <c r="B94" s="3">
        <v>45920</v>
      </c>
      <c r="C94" t="s">
        <v>82</v>
      </c>
      <c r="D94" t="s">
        <v>129</v>
      </c>
      <c r="E94" t="s">
        <v>56</v>
      </c>
      <c r="F94" t="s">
        <v>57</v>
      </c>
      <c r="G94" s="6">
        <v>8</v>
      </c>
      <c r="H94" s="4">
        <v>109.3</v>
      </c>
      <c r="I94" s="4">
        <v>66.63</v>
      </c>
      <c r="J94" s="5">
        <v>0.05</v>
      </c>
      <c r="K94" s="6">
        <v>0</v>
      </c>
      <c r="L94" s="6">
        <v>5</v>
      </c>
      <c r="M94" t="s">
        <v>58</v>
      </c>
      <c r="N94" t="s">
        <v>69</v>
      </c>
      <c r="O94" t="s">
        <v>64</v>
      </c>
      <c r="P94" t="str">
        <f t="shared" si="7"/>
        <v>Corporate</v>
      </c>
      <c r="Q94" t="str">
        <f t="shared" si="8"/>
        <v>Midlands</v>
      </c>
      <c r="R94" t="str">
        <f>PROPER(TRIM(E94))</f>
        <v>Home &amp; Kitchen</v>
      </c>
      <c r="S94" s="27">
        <f>IF(ISTEXT(B94),DATEVALUE(B94),B94)</f>
        <v>45920</v>
      </c>
      <c r="T94" s="27">
        <f>COUNTIF($A$2:$A$1986,A94)</f>
        <v>1</v>
      </c>
      <c r="U94" s="27" t="str">
        <f t="shared" si="9"/>
        <v>Air Fryer</v>
      </c>
      <c r="V94" s="27">
        <f t="shared" si="10"/>
        <v>830.68</v>
      </c>
      <c r="W94" s="27">
        <f t="shared" si="11"/>
        <v>533.04</v>
      </c>
      <c r="X94" s="27">
        <f>RawSalesTable3[[#This Row],[Revenue]]-RawSalesTable3[[#This Row],[Total_Cost]]</f>
        <v>297.64</v>
      </c>
      <c r="Y94" s="28">
        <f>RawSalesTable3[[#This Row],[Profit]]/RawSalesTable3[[#This Row],[Revenue]]</f>
        <v>0.35830885539557955</v>
      </c>
      <c r="Z94" s="27" t="str">
        <f>TEXT(RawSalesTable3[[#This Row],[Order_Date_Clean]],"MMM YYYY")</f>
        <v>Sep 2025</v>
      </c>
      <c r="AA94" s="27"/>
      <c r="AB94" s="27">
        <f t="shared" si="12"/>
        <v>0</v>
      </c>
      <c r="AC94" s="27">
        <f t="shared" si="13"/>
        <v>0</v>
      </c>
    </row>
    <row r="95" spans="1:29">
      <c r="A95" t="s">
        <v>184</v>
      </c>
      <c r="B95" s="3">
        <v>45893</v>
      </c>
      <c r="C95" t="s">
        <v>78</v>
      </c>
      <c r="D95" t="s">
        <v>62</v>
      </c>
      <c r="E95" t="s">
        <v>56</v>
      </c>
      <c r="F95" t="s">
        <v>83</v>
      </c>
      <c r="G95" s="6">
        <v>1</v>
      </c>
      <c r="H95" s="4">
        <v>66.48</v>
      </c>
      <c r="I95" s="4">
        <v>35.520000000000003</v>
      </c>
      <c r="J95" s="5">
        <v>0.05</v>
      </c>
      <c r="K95" s="6">
        <v>4</v>
      </c>
      <c r="L95" s="6">
        <v>5</v>
      </c>
      <c r="M95" t="s">
        <v>58</v>
      </c>
      <c r="N95" t="s">
        <v>59</v>
      </c>
      <c r="O95" t="s">
        <v>60</v>
      </c>
      <c r="P95" t="str">
        <f t="shared" si="7"/>
        <v>Individual</v>
      </c>
      <c r="Q95" t="str">
        <f t="shared" si="8"/>
        <v>London</v>
      </c>
      <c r="R95" t="str">
        <f>PROPER(TRIM(E95))</f>
        <v>Home &amp; Kitchen</v>
      </c>
      <c r="S95" s="27">
        <f>IF(ISTEXT(B95),DATEVALUE(B95),B95)</f>
        <v>45893</v>
      </c>
      <c r="T95" s="27">
        <f>COUNTIF($A$2:$A$1986,A95)</f>
        <v>1</v>
      </c>
      <c r="U95" s="27" t="str">
        <f t="shared" si="9"/>
        <v>Blender</v>
      </c>
      <c r="V95" s="27">
        <f t="shared" si="10"/>
        <v>63.155999999999999</v>
      </c>
      <c r="W95" s="27">
        <f t="shared" si="11"/>
        <v>35.520000000000003</v>
      </c>
      <c r="X95" s="27">
        <f>RawSalesTable3[[#This Row],[Revenue]]-RawSalesTable3[[#This Row],[Total_Cost]]</f>
        <v>27.635999999999996</v>
      </c>
      <c r="Y95" s="28">
        <f>RawSalesTable3[[#This Row],[Profit]]/RawSalesTable3[[#This Row],[Revenue]]</f>
        <v>0.43758312749382478</v>
      </c>
      <c r="Z95" s="27" t="str">
        <f>TEXT(RawSalesTable3[[#This Row],[Order_Date_Clean]],"MMM YYYY")</f>
        <v>Aug 2025</v>
      </c>
      <c r="AA95" s="27"/>
      <c r="AB95" s="27">
        <f t="shared" si="12"/>
        <v>0</v>
      </c>
      <c r="AC95" s="27">
        <f t="shared" si="13"/>
        <v>0</v>
      </c>
    </row>
    <row r="96" spans="1:29">
      <c r="A96" t="s">
        <v>185</v>
      </c>
      <c r="B96" s="3">
        <v>45871</v>
      </c>
      <c r="C96" t="s">
        <v>78</v>
      </c>
      <c r="D96" t="s">
        <v>62</v>
      </c>
      <c r="E96" t="s">
        <v>67</v>
      </c>
      <c r="F96" t="s">
        <v>71</v>
      </c>
      <c r="G96" s="6">
        <v>1</v>
      </c>
      <c r="H96" s="4">
        <v>70.790000000000006</v>
      </c>
      <c r="I96" s="4">
        <v>38.96</v>
      </c>
      <c r="J96" s="5">
        <v>0.05</v>
      </c>
      <c r="K96" s="6">
        <v>2</v>
      </c>
      <c r="L96" s="6">
        <v>5</v>
      </c>
      <c r="M96" t="s">
        <v>58</v>
      </c>
      <c r="N96" t="s">
        <v>59</v>
      </c>
      <c r="O96" t="s">
        <v>64</v>
      </c>
      <c r="P96" t="str">
        <f t="shared" si="7"/>
        <v>Individual</v>
      </c>
      <c r="Q96" t="str">
        <f t="shared" si="8"/>
        <v>London</v>
      </c>
      <c r="R96" t="str">
        <f>PROPER(TRIM(E96))</f>
        <v>Office</v>
      </c>
      <c r="S96" s="27">
        <f>IF(ISTEXT(B96),DATEVALUE(B96),B96)</f>
        <v>45871</v>
      </c>
      <c r="T96" s="27">
        <f>COUNTIF($A$2:$A$1986,A96)</f>
        <v>1</v>
      </c>
      <c r="U96" s="27" t="str">
        <f t="shared" si="9"/>
        <v>Ergonomic Keyboard</v>
      </c>
      <c r="V96" s="27">
        <f t="shared" si="10"/>
        <v>67.250500000000002</v>
      </c>
      <c r="W96" s="27">
        <f t="shared" si="11"/>
        <v>38.96</v>
      </c>
      <c r="X96" s="27">
        <f>RawSalesTable3[[#This Row],[Revenue]]-RawSalesTable3[[#This Row],[Total_Cost]]</f>
        <v>28.290500000000002</v>
      </c>
      <c r="Y96" s="28">
        <f>RawSalesTable3[[#This Row],[Profit]]/RawSalesTable3[[#This Row],[Revenue]]</f>
        <v>0.42067345224199076</v>
      </c>
      <c r="Z96" s="27" t="str">
        <f>TEXT(RawSalesTable3[[#This Row],[Order_Date_Clean]],"MMM YYYY")</f>
        <v>Aug 2025</v>
      </c>
      <c r="AA96" s="27"/>
      <c r="AB96" s="27">
        <f t="shared" si="12"/>
        <v>0</v>
      </c>
      <c r="AC96" s="27">
        <f t="shared" si="13"/>
        <v>0</v>
      </c>
    </row>
    <row r="97" spans="1:29">
      <c r="A97" t="s">
        <v>186</v>
      </c>
      <c r="B97" s="3">
        <v>45673</v>
      </c>
      <c r="C97" t="s">
        <v>78</v>
      </c>
      <c r="D97" t="s">
        <v>62</v>
      </c>
      <c r="E97" t="s">
        <v>75</v>
      </c>
      <c r="F97" t="s">
        <v>146</v>
      </c>
      <c r="G97" s="6">
        <v>1</v>
      </c>
      <c r="H97" s="4">
        <v>176.16</v>
      </c>
      <c r="I97" s="4">
        <v>114.52</v>
      </c>
      <c r="J97" s="5">
        <v>0.05</v>
      </c>
      <c r="K97" s="6">
        <v>0</v>
      </c>
      <c r="L97" s="6">
        <v>4</v>
      </c>
      <c r="M97" t="s">
        <v>58</v>
      </c>
      <c r="N97" t="s">
        <v>69</v>
      </c>
      <c r="O97" t="s">
        <v>64</v>
      </c>
      <c r="P97" t="str">
        <f t="shared" si="7"/>
        <v>Individual</v>
      </c>
      <c r="Q97" t="str">
        <f t="shared" si="8"/>
        <v>London</v>
      </c>
      <c r="R97" t="str">
        <f>PROPER(TRIM(E97))</f>
        <v>Furniture</v>
      </c>
      <c r="S97" s="27">
        <f>IF(ISTEXT(B97),DATEVALUE(B97),B97)</f>
        <v>45673</v>
      </c>
      <c r="T97" s="27">
        <f>COUNTIF($A$2:$A$1986,A97)</f>
        <v>1</v>
      </c>
      <c r="U97" s="27" t="str">
        <f t="shared" si="9"/>
        <v>Office Chair</v>
      </c>
      <c r="V97" s="27">
        <f t="shared" si="10"/>
        <v>167.35199999999998</v>
      </c>
      <c r="W97" s="27">
        <f t="shared" si="11"/>
        <v>114.52</v>
      </c>
      <c r="X97" s="27">
        <f>RawSalesTable3[[#This Row],[Revenue]]-RawSalesTable3[[#This Row],[Total_Cost]]</f>
        <v>52.831999999999979</v>
      </c>
      <c r="Y97" s="28">
        <f>RawSalesTable3[[#This Row],[Profit]]/RawSalesTable3[[#This Row],[Revenue]]</f>
        <v>0.31569386681963757</v>
      </c>
      <c r="Z97" s="27" t="str">
        <f>TEXT(RawSalesTable3[[#This Row],[Order_Date_Clean]],"MMM YYYY")</f>
        <v>Jan 2025</v>
      </c>
      <c r="AA97" s="27"/>
      <c r="AB97" s="27">
        <f t="shared" si="12"/>
        <v>0</v>
      </c>
      <c r="AC97" s="27">
        <f t="shared" si="13"/>
        <v>0</v>
      </c>
    </row>
    <row r="98" spans="1:29">
      <c r="A98" t="s">
        <v>187</v>
      </c>
      <c r="B98" s="3">
        <v>45975</v>
      </c>
      <c r="C98" t="s">
        <v>82</v>
      </c>
      <c r="D98" t="s">
        <v>62</v>
      </c>
      <c r="E98" t="s">
        <v>75</v>
      </c>
      <c r="F98" t="s">
        <v>76</v>
      </c>
      <c r="G98" s="6">
        <v>2</v>
      </c>
      <c r="H98" s="4">
        <v>122.29</v>
      </c>
      <c r="I98" s="4">
        <v>74.14</v>
      </c>
      <c r="J98" s="5">
        <v>0.1</v>
      </c>
      <c r="K98" s="6">
        <v>2</v>
      </c>
      <c r="L98" s="6">
        <v>4</v>
      </c>
      <c r="M98" t="s">
        <v>58</v>
      </c>
      <c r="N98" t="s">
        <v>59</v>
      </c>
      <c r="O98" t="s">
        <v>64</v>
      </c>
      <c r="P98" t="str">
        <f t="shared" si="7"/>
        <v>Individual</v>
      </c>
      <c r="Q98" t="str">
        <f t="shared" si="8"/>
        <v>Midlands</v>
      </c>
      <c r="R98" t="str">
        <f>PROPER(TRIM(E98))</f>
        <v>Furniture</v>
      </c>
      <c r="S98" s="27">
        <f>IF(ISTEXT(B98),DATEVALUE(B98),B98)</f>
        <v>45975</v>
      </c>
      <c r="T98" s="27">
        <f>COUNTIF($A$2:$A$1986,A98)</f>
        <v>1</v>
      </c>
      <c r="U98" s="27" t="str">
        <f t="shared" si="9"/>
        <v>Bookshelf</v>
      </c>
      <c r="V98" s="27">
        <f t="shared" si="10"/>
        <v>220.12200000000001</v>
      </c>
      <c r="W98" s="27">
        <f t="shared" si="11"/>
        <v>148.28</v>
      </c>
      <c r="X98" s="27">
        <f>RawSalesTable3[[#This Row],[Revenue]]-RawSalesTable3[[#This Row],[Total_Cost]]</f>
        <v>71.842000000000013</v>
      </c>
      <c r="Y98" s="28">
        <f>RawSalesTable3[[#This Row],[Profit]]/RawSalesTable3[[#This Row],[Revenue]]</f>
        <v>0.32637355648231436</v>
      </c>
      <c r="Z98" s="27" t="str">
        <f>TEXT(RawSalesTable3[[#This Row],[Order_Date_Clean]],"MMM YYYY")</f>
        <v>Nov 2025</v>
      </c>
      <c r="AA98" s="27"/>
      <c r="AB98" s="27">
        <f t="shared" si="12"/>
        <v>0</v>
      </c>
      <c r="AC98" s="27">
        <f t="shared" si="13"/>
        <v>0</v>
      </c>
    </row>
    <row r="99" spans="1:29">
      <c r="A99" t="s">
        <v>188</v>
      </c>
      <c r="B99" s="3">
        <v>46022</v>
      </c>
      <c r="C99" t="s">
        <v>66</v>
      </c>
      <c r="D99" t="s">
        <v>62</v>
      </c>
      <c r="E99" t="s">
        <v>56</v>
      </c>
      <c r="F99" t="s">
        <v>63</v>
      </c>
      <c r="G99" s="6">
        <v>1</v>
      </c>
      <c r="H99" s="4">
        <v>40.71</v>
      </c>
      <c r="I99" s="4">
        <v>19.670000000000002</v>
      </c>
      <c r="J99" s="5">
        <v>0.2</v>
      </c>
      <c r="K99" s="6">
        <v>5</v>
      </c>
      <c r="L99" s="6">
        <v>4</v>
      </c>
      <c r="M99" t="s">
        <v>58</v>
      </c>
      <c r="N99" t="s">
        <v>59</v>
      </c>
      <c r="O99" t="s">
        <v>73</v>
      </c>
      <c r="P99" t="str">
        <f t="shared" si="7"/>
        <v>Individual</v>
      </c>
      <c r="Q99" t="str">
        <f t="shared" si="8"/>
        <v>South</v>
      </c>
      <c r="R99" t="str">
        <f>PROPER(TRIM(E99))</f>
        <v>Home &amp; Kitchen</v>
      </c>
      <c r="S99" s="27">
        <f>IF(ISTEXT(B99),DATEVALUE(B99),B99)</f>
        <v>46022</v>
      </c>
      <c r="T99" s="27">
        <f>COUNTIF($A$2:$A$1986,A99)</f>
        <v>1</v>
      </c>
      <c r="U99" s="27" t="str">
        <f t="shared" si="9"/>
        <v>Electric Kettle</v>
      </c>
      <c r="V99" s="27">
        <f t="shared" si="10"/>
        <v>32.568000000000005</v>
      </c>
      <c r="W99" s="27">
        <f t="shared" si="11"/>
        <v>19.670000000000002</v>
      </c>
      <c r="X99" s="27">
        <f>RawSalesTable3[[#This Row],[Revenue]]-RawSalesTable3[[#This Row],[Total_Cost]]</f>
        <v>12.898000000000003</v>
      </c>
      <c r="Y99" s="28">
        <f>RawSalesTable3[[#This Row],[Profit]]/RawSalesTable3[[#This Row],[Revenue]]</f>
        <v>0.39603291574551713</v>
      </c>
      <c r="Z99" s="27" t="str">
        <f>TEXT(RawSalesTable3[[#This Row],[Order_Date_Clean]],"MMM YYYY")</f>
        <v>Dec 2025</v>
      </c>
      <c r="AA99" s="27"/>
      <c r="AB99" s="27">
        <f t="shared" si="12"/>
        <v>0</v>
      </c>
      <c r="AC99" s="27">
        <f t="shared" si="13"/>
        <v>0</v>
      </c>
    </row>
    <row r="100" spans="1:29">
      <c r="A100" t="s">
        <v>189</v>
      </c>
      <c r="B100" s="3">
        <v>45937</v>
      </c>
      <c r="C100" t="s">
        <v>78</v>
      </c>
      <c r="D100" t="s">
        <v>55</v>
      </c>
      <c r="E100" t="s">
        <v>56</v>
      </c>
      <c r="F100" t="s">
        <v>57</v>
      </c>
      <c r="G100" s="6">
        <v>4</v>
      </c>
      <c r="H100" s="4">
        <v>111.9</v>
      </c>
      <c r="I100" s="4">
        <v>67.16</v>
      </c>
      <c r="J100" s="5">
        <v>0.05</v>
      </c>
      <c r="K100" s="6">
        <v>3</v>
      </c>
      <c r="L100" s="6">
        <v>4</v>
      </c>
      <c r="M100" t="s">
        <v>58</v>
      </c>
      <c r="N100" t="s">
        <v>59</v>
      </c>
      <c r="O100" t="s">
        <v>60</v>
      </c>
      <c r="P100" t="str">
        <f t="shared" si="7"/>
        <v>Small Business</v>
      </c>
      <c r="Q100" t="str">
        <f t="shared" si="8"/>
        <v>London</v>
      </c>
      <c r="R100" t="str">
        <f>PROPER(TRIM(E100))</f>
        <v>Home &amp; Kitchen</v>
      </c>
      <c r="S100" s="27">
        <f>IF(ISTEXT(B100),DATEVALUE(B100),B100)</f>
        <v>45937</v>
      </c>
      <c r="T100" s="27">
        <f>COUNTIF($A$2:$A$1986,A100)</f>
        <v>1</v>
      </c>
      <c r="U100" s="27" t="str">
        <f t="shared" si="9"/>
        <v>Air Fryer</v>
      </c>
      <c r="V100" s="27">
        <f t="shared" si="10"/>
        <v>425.22</v>
      </c>
      <c r="W100" s="27">
        <f t="shared" si="11"/>
        <v>268.64</v>
      </c>
      <c r="X100" s="27">
        <f>RawSalesTable3[[#This Row],[Revenue]]-RawSalesTable3[[#This Row],[Total_Cost]]</f>
        <v>156.58000000000004</v>
      </c>
      <c r="Y100" s="28">
        <f>RawSalesTable3[[#This Row],[Profit]]/RawSalesTable3[[#This Row],[Revenue]]</f>
        <v>0.36823291472649461</v>
      </c>
      <c r="Z100" s="27" t="str">
        <f>TEXT(RawSalesTable3[[#This Row],[Order_Date_Clean]],"MMM YYYY")</f>
        <v>Oct 2025</v>
      </c>
      <c r="AA100" s="27"/>
      <c r="AB100" s="27">
        <f t="shared" si="12"/>
        <v>0</v>
      </c>
      <c r="AC100" s="27">
        <f t="shared" si="13"/>
        <v>0</v>
      </c>
    </row>
    <row r="101" spans="1:29">
      <c r="A101" t="s">
        <v>190</v>
      </c>
      <c r="B101" s="3">
        <v>45962</v>
      </c>
      <c r="C101" t="s">
        <v>82</v>
      </c>
      <c r="D101" t="s">
        <v>62</v>
      </c>
      <c r="E101" t="s">
        <v>56</v>
      </c>
      <c r="F101" t="s">
        <v>57</v>
      </c>
      <c r="G101" s="6">
        <v>2</v>
      </c>
      <c r="H101" s="4">
        <v>109.86</v>
      </c>
      <c r="I101" s="4">
        <v>65.959999999999994</v>
      </c>
      <c r="J101" s="5">
        <v>0.05</v>
      </c>
      <c r="K101" s="6">
        <v>2</v>
      </c>
      <c r="L101" s="6">
        <v>4</v>
      </c>
      <c r="M101" t="s">
        <v>58</v>
      </c>
      <c r="N101" t="s">
        <v>69</v>
      </c>
      <c r="O101" t="s">
        <v>64</v>
      </c>
      <c r="P101" t="str">
        <f t="shared" si="7"/>
        <v>Individual</v>
      </c>
      <c r="Q101" t="str">
        <f t="shared" si="8"/>
        <v>Midlands</v>
      </c>
      <c r="R101" t="str">
        <f>PROPER(TRIM(E101))</f>
        <v>Home &amp; Kitchen</v>
      </c>
      <c r="S101" s="27">
        <f>IF(ISTEXT(B101),DATEVALUE(B101),B101)</f>
        <v>45962</v>
      </c>
      <c r="T101" s="27">
        <f>COUNTIF($A$2:$A$1986,A101)</f>
        <v>1</v>
      </c>
      <c r="U101" s="27" t="str">
        <f t="shared" si="9"/>
        <v>Air Fryer</v>
      </c>
      <c r="V101" s="27">
        <f t="shared" si="10"/>
        <v>208.73399999999998</v>
      </c>
      <c r="W101" s="27">
        <f t="shared" si="11"/>
        <v>131.91999999999999</v>
      </c>
      <c r="X101" s="27">
        <f>RawSalesTable3[[#This Row],[Revenue]]-RawSalesTable3[[#This Row],[Total_Cost]]</f>
        <v>76.813999999999993</v>
      </c>
      <c r="Y101" s="28">
        <f>RawSalesTable3[[#This Row],[Profit]]/RawSalesTable3[[#This Row],[Revenue]]</f>
        <v>0.36799946343192774</v>
      </c>
      <c r="Z101" s="27" t="str">
        <f>TEXT(RawSalesTable3[[#This Row],[Order_Date_Clean]],"MMM YYYY")</f>
        <v>Nov 2025</v>
      </c>
      <c r="AA101" s="27"/>
      <c r="AB101" s="27">
        <f t="shared" si="12"/>
        <v>0</v>
      </c>
      <c r="AC101" s="27">
        <f t="shared" si="13"/>
        <v>0</v>
      </c>
    </row>
    <row r="102" spans="1:29">
      <c r="A102" t="s">
        <v>191</v>
      </c>
      <c r="B102" s="3">
        <v>45893</v>
      </c>
      <c r="C102" t="s">
        <v>78</v>
      </c>
      <c r="D102" t="s">
        <v>55</v>
      </c>
      <c r="E102" t="s">
        <v>75</v>
      </c>
      <c r="F102" t="s">
        <v>146</v>
      </c>
      <c r="G102" s="6">
        <v>1</v>
      </c>
      <c r="H102" s="4">
        <v>181.26</v>
      </c>
      <c r="I102" s="4">
        <v>113.39</v>
      </c>
      <c r="J102" s="5">
        <v>0.05</v>
      </c>
      <c r="K102" s="6">
        <v>2</v>
      </c>
      <c r="L102" s="6">
        <v>4</v>
      </c>
      <c r="M102" t="s">
        <v>58</v>
      </c>
      <c r="N102" t="s">
        <v>69</v>
      </c>
      <c r="O102" t="s">
        <v>73</v>
      </c>
      <c r="P102" t="str">
        <f t="shared" si="7"/>
        <v>Small Business</v>
      </c>
      <c r="Q102" t="str">
        <f t="shared" si="8"/>
        <v>London</v>
      </c>
      <c r="R102" t="str">
        <f>PROPER(TRIM(E102))</f>
        <v>Furniture</v>
      </c>
      <c r="S102" s="27">
        <f>IF(ISTEXT(B102),DATEVALUE(B102),B102)</f>
        <v>45893</v>
      </c>
      <c r="T102" s="27">
        <f>COUNTIF($A$2:$A$1986,A102)</f>
        <v>1</v>
      </c>
      <c r="U102" s="27" t="str">
        <f t="shared" si="9"/>
        <v>Office Chair</v>
      </c>
      <c r="V102" s="27">
        <f t="shared" si="10"/>
        <v>172.19699999999997</v>
      </c>
      <c r="W102" s="27">
        <f t="shared" si="11"/>
        <v>113.39</v>
      </c>
      <c r="X102" s="27">
        <f>RawSalesTable3[[#This Row],[Revenue]]-RawSalesTable3[[#This Row],[Total_Cost]]</f>
        <v>58.806999999999974</v>
      </c>
      <c r="Y102" s="28">
        <f>RawSalesTable3[[#This Row],[Profit]]/RawSalesTable3[[#This Row],[Revenue]]</f>
        <v>0.34151001469247422</v>
      </c>
      <c r="Z102" s="27" t="str">
        <f>TEXT(RawSalesTable3[[#This Row],[Order_Date_Clean]],"MMM YYYY")</f>
        <v>Aug 2025</v>
      </c>
      <c r="AA102" s="27"/>
      <c r="AB102" s="27">
        <f t="shared" si="12"/>
        <v>0</v>
      </c>
      <c r="AC102" s="27">
        <f t="shared" si="13"/>
        <v>0</v>
      </c>
    </row>
    <row r="103" spans="1:29">
      <c r="A103" t="s">
        <v>192</v>
      </c>
      <c r="B103" s="3">
        <v>45983</v>
      </c>
      <c r="C103" t="s">
        <v>82</v>
      </c>
      <c r="D103" t="s">
        <v>62</v>
      </c>
      <c r="E103" t="s">
        <v>75</v>
      </c>
      <c r="F103" t="s">
        <v>110</v>
      </c>
      <c r="G103" s="6">
        <v>2</v>
      </c>
      <c r="H103" s="4">
        <v>159.29</v>
      </c>
      <c r="I103" s="4">
        <v>105.67</v>
      </c>
      <c r="J103" s="5">
        <v>0</v>
      </c>
      <c r="K103" s="6">
        <v>3</v>
      </c>
      <c r="L103" s="6">
        <v>5</v>
      </c>
      <c r="M103" t="s">
        <v>58</v>
      </c>
      <c r="N103" t="s">
        <v>59</v>
      </c>
      <c r="O103" t="s">
        <v>73</v>
      </c>
      <c r="P103" t="str">
        <f t="shared" si="7"/>
        <v>Individual</v>
      </c>
      <c r="Q103" t="str">
        <f t="shared" si="8"/>
        <v>Midlands</v>
      </c>
      <c r="R103" t="str">
        <f>PROPER(TRIM(E103))</f>
        <v>Furniture</v>
      </c>
      <c r="S103" s="27">
        <f>IF(ISTEXT(B103),DATEVALUE(B103),B103)</f>
        <v>45983</v>
      </c>
      <c r="T103" s="27">
        <f>COUNTIF($A$2:$A$1986,A103)</f>
        <v>1</v>
      </c>
      <c r="U103" s="27" t="str">
        <f t="shared" si="9"/>
        <v>Storage Cabinet</v>
      </c>
      <c r="V103" s="27">
        <f t="shared" si="10"/>
        <v>318.58</v>
      </c>
      <c r="W103" s="27">
        <f t="shared" si="11"/>
        <v>211.34</v>
      </c>
      <c r="X103" s="27">
        <f>RawSalesTable3[[#This Row],[Revenue]]-RawSalesTable3[[#This Row],[Total_Cost]]</f>
        <v>107.23999999999998</v>
      </c>
      <c r="Y103" s="28">
        <f>RawSalesTable3[[#This Row],[Profit]]/RawSalesTable3[[#This Row],[Revenue]]</f>
        <v>0.3366187456839726</v>
      </c>
      <c r="Z103" s="27" t="str">
        <f>TEXT(RawSalesTable3[[#This Row],[Order_Date_Clean]],"MMM YYYY")</f>
        <v>Nov 2025</v>
      </c>
      <c r="AA103" s="27"/>
      <c r="AB103" s="27">
        <f t="shared" si="12"/>
        <v>0</v>
      </c>
      <c r="AC103" s="27">
        <f t="shared" si="13"/>
        <v>0</v>
      </c>
    </row>
    <row r="104" spans="1:29">
      <c r="A104" t="s">
        <v>193</v>
      </c>
      <c r="B104" s="3">
        <v>45907</v>
      </c>
      <c r="C104" t="s">
        <v>78</v>
      </c>
      <c r="D104" t="s">
        <v>55</v>
      </c>
      <c r="E104" t="s">
        <v>79</v>
      </c>
      <c r="F104" t="s">
        <v>85</v>
      </c>
      <c r="G104" s="6">
        <v>1</v>
      </c>
      <c r="H104" s="4">
        <v>134.57</v>
      </c>
      <c r="I104" s="4">
        <v>83.51</v>
      </c>
      <c r="J104" s="5">
        <v>0</v>
      </c>
      <c r="K104" s="6">
        <v>4</v>
      </c>
      <c r="L104" s="6">
        <v>4</v>
      </c>
      <c r="M104" t="s">
        <v>58</v>
      </c>
      <c r="N104" t="s">
        <v>69</v>
      </c>
      <c r="O104" t="s">
        <v>64</v>
      </c>
      <c r="P104" t="str">
        <f t="shared" si="7"/>
        <v>Small Business</v>
      </c>
      <c r="Q104" t="str">
        <f t="shared" si="8"/>
        <v>London</v>
      </c>
      <c r="R104" t="str">
        <f>PROPER(TRIM(E104))</f>
        <v>Electronics</v>
      </c>
      <c r="S104" s="27">
        <f>IF(ISTEXT(B104),DATEVALUE(B104),B104)</f>
        <v>45907</v>
      </c>
      <c r="T104" s="27">
        <f>COUNTIF($A$2:$A$1986,A104)</f>
        <v>1</v>
      </c>
      <c r="U104" s="27" t="str">
        <f t="shared" si="9"/>
        <v>SmartHome Hub</v>
      </c>
      <c r="V104" s="27">
        <f t="shared" si="10"/>
        <v>134.57</v>
      </c>
      <c r="W104" s="27">
        <f t="shared" si="11"/>
        <v>83.51</v>
      </c>
      <c r="X104" s="27">
        <f>RawSalesTable3[[#This Row],[Revenue]]-RawSalesTable3[[#This Row],[Total_Cost]]</f>
        <v>51.059999999999988</v>
      </c>
      <c r="Y104" s="28">
        <f>RawSalesTable3[[#This Row],[Profit]]/RawSalesTable3[[#This Row],[Revenue]]</f>
        <v>0.37943077951995235</v>
      </c>
      <c r="Z104" s="27" t="str">
        <f>TEXT(RawSalesTable3[[#This Row],[Order_Date_Clean]],"MMM YYYY")</f>
        <v>Sep 2025</v>
      </c>
      <c r="AA104" s="27"/>
      <c r="AB104" s="27">
        <f t="shared" si="12"/>
        <v>0</v>
      </c>
      <c r="AC104" s="27">
        <f t="shared" si="13"/>
        <v>0</v>
      </c>
    </row>
    <row r="105" spans="1:29">
      <c r="A105" t="s">
        <v>194</v>
      </c>
      <c r="B105" s="3">
        <v>45770</v>
      </c>
      <c r="C105" t="s">
        <v>78</v>
      </c>
      <c r="D105" t="s">
        <v>55</v>
      </c>
      <c r="E105" t="s">
        <v>79</v>
      </c>
      <c r="F105" t="s">
        <v>92</v>
      </c>
      <c r="G105" s="6">
        <v>1</v>
      </c>
      <c r="H105" s="4">
        <v>51.27</v>
      </c>
      <c r="I105" s="4">
        <v>26.5</v>
      </c>
      <c r="J105" s="5">
        <v>0.05</v>
      </c>
      <c r="K105" s="6">
        <v>1</v>
      </c>
      <c r="L105" s="6">
        <v>4</v>
      </c>
      <c r="M105" t="s">
        <v>126</v>
      </c>
      <c r="N105" t="s">
        <v>59</v>
      </c>
      <c r="O105" t="s">
        <v>60</v>
      </c>
      <c r="P105" t="str">
        <f t="shared" si="7"/>
        <v>Small Business</v>
      </c>
      <c r="Q105" t="str">
        <f t="shared" si="8"/>
        <v>London</v>
      </c>
      <c r="R105" t="str">
        <f>PROPER(TRIM(E105))</f>
        <v>Electronics</v>
      </c>
      <c r="S105" s="27">
        <f>IF(ISTEXT(B105),DATEVALUE(B105),B105)</f>
        <v>45770</v>
      </c>
      <c r="T105" s="27">
        <f>COUNTIF($A$2:$A$1986,A105)</f>
        <v>1</v>
      </c>
      <c r="U105" s="27" t="str">
        <f t="shared" si="9"/>
        <v>Webcam</v>
      </c>
      <c r="V105" s="27">
        <f t="shared" si="10"/>
        <v>48.706499999999998</v>
      </c>
      <c r="W105" s="27">
        <f t="shared" si="11"/>
        <v>26.5</v>
      </c>
      <c r="X105" s="27">
        <f>RawSalesTable3[[#This Row],[Revenue]]-RawSalesTable3[[#This Row],[Total_Cost]]</f>
        <v>22.206499999999998</v>
      </c>
      <c r="Y105" s="28">
        <f>RawSalesTable3[[#This Row],[Profit]]/RawSalesTable3[[#This Row],[Revenue]]</f>
        <v>0.45592477390081404</v>
      </c>
      <c r="Z105" s="27" t="str">
        <f>TEXT(RawSalesTable3[[#This Row],[Order_Date_Clean]],"MMM YYYY")</f>
        <v>Apr 2025</v>
      </c>
      <c r="AA105" s="27"/>
      <c r="AB105" s="27">
        <f t="shared" si="12"/>
        <v>0</v>
      </c>
      <c r="AC105" s="27">
        <f t="shared" si="13"/>
        <v>0</v>
      </c>
    </row>
    <row r="106" spans="1:29">
      <c r="A106" t="s">
        <v>195</v>
      </c>
      <c r="B106" s="3">
        <v>45878</v>
      </c>
      <c r="C106" t="s">
        <v>82</v>
      </c>
      <c r="D106" t="s">
        <v>62</v>
      </c>
      <c r="E106" t="s">
        <v>67</v>
      </c>
      <c r="F106" t="s">
        <v>107</v>
      </c>
      <c r="G106" s="6">
        <v>3</v>
      </c>
      <c r="H106" s="4">
        <v>45.46</v>
      </c>
      <c r="I106" s="4">
        <v>20.51</v>
      </c>
      <c r="J106" s="5">
        <v>0.1</v>
      </c>
      <c r="K106" s="6">
        <v>6</v>
      </c>
      <c r="L106" s="6">
        <v>4</v>
      </c>
      <c r="M106" t="s">
        <v>58</v>
      </c>
      <c r="N106" t="s">
        <v>59</v>
      </c>
      <c r="O106" t="s">
        <v>64</v>
      </c>
      <c r="P106" t="str">
        <f t="shared" si="7"/>
        <v>Individual</v>
      </c>
      <c r="Q106" t="str">
        <f t="shared" si="8"/>
        <v>Midlands</v>
      </c>
      <c r="R106" t="str">
        <f>PROPER(TRIM(E106))</f>
        <v>Office</v>
      </c>
      <c r="S106" s="27">
        <f>IF(ISTEXT(B106),DATEVALUE(B106),B106)</f>
        <v>45878</v>
      </c>
      <c r="T106" s="27">
        <f>COUNTIF($A$2:$A$1986,A106)</f>
        <v>1</v>
      </c>
      <c r="U106" s="27" t="str">
        <f t="shared" si="9"/>
        <v>Laptop Stand</v>
      </c>
      <c r="V106" s="27">
        <f t="shared" si="10"/>
        <v>122.742</v>
      </c>
      <c r="W106" s="27">
        <f t="shared" si="11"/>
        <v>61.53</v>
      </c>
      <c r="X106" s="27">
        <f>RawSalesTable3[[#This Row],[Revenue]]-RawSalesTable3[[#This Row],[Total_Cost]]</f>
        <v>61.212000000000003</v>
      </c>
      <c r="Y106" s="28">
        <f>RawSalesTable3[[#This Row],[Profit]]/RawSalesTable3[[#This Row],[Revenue]]</f>
        <v>0.49870459989245736</v>
      </c>
      <c r="Z106" s="27" t="str">
        <f>TEXT(RawSalesTable3[[#This Row],[Order_Date_Clean]],"MMM YYYY")</f>
        <v>Aug 2025</v>
      </c>
      <c r="AA106" s="27"/>
      <c r="AB106" s="27">
        <f t="shared" si="12"/>
        <v>0</v>
      </c>
      <c r="AC106" s="27">
        <f t="shared" si="13"/>
        <v>0</v>
      </c>
    </row>
    <row r="107" spans="1:29">
      <c r="A107" t="s">
        <v>196</v>
      </c>
      <c r="B107" s="3">
        <v>45768</v>
      </c>
      <c r="C107" t="s">
        <v>82</v>
      </c>
      <c r="D107" t="s">
        <v>62</v>
      </c>
      <c r="E107" t="s">
        <v>67</v>
      </c>
      <c r="F107" t="s">
        <v>107</v>
      </c>
      <c r="G107" s="6">
        <v>1</v>
      </c>
      <c r="H107" s="4">
        <v>44.43</v>
      </c>
      <c r="I107" s="4">
        <v>20.87</v>
      </c>
      <c r="J107" s="5">
        <v>0</v>
      </c>
      <c r="K107" s="6">
        <v>2</v>
      </c>
      <c r="L107" s="6">
        <v>4</v>
      </c>
      <c r="M107" t="s">
        <v>58</v>
      </c>
      <c r="N107" t="s">
        <v>59</v>
      </c>
      <c r="O107" t="s">
        <v>64</v>
      </c>
      <c r="P107" t="str">
        <f t="shared" si="7"/>
        <v>Individual</v>
      </c>
      <c r="Q107" t="str">
        <f t="shared" si="8"/>
        <v>Midlands</v>
      </c>
      <c r="R107" t="str">
        <f>PROPER(TRIM(E107))</f>
        <v>Office</v>
      </c>
      <c r="S107" s="27">
        <f>IF(ISTEXT(B107),DATEVALUE(B107),B107)</f>
        <v>45768</v>
      </c>
      <c r="T107" s="27">
        <f>COUNTIF($A$2:$A$1986,A107)</f>
        <v>1</v>
      </c>
      <c r="U107" s="27" t="str">
        <f t="shared" si="9"/>
        <v>Laptop Stand</v>
      </c>
      <c r="V107" s="27">
        <f t="shared" si="10"/>
        <v>44.43</v>
      </c>
      <c r="W107" s="27">
        <f t="shared" si="11"/>
        <v>20.87</v>
      </c>
      <c r="X107" s="27">
        <f>RawSalesTable3[[#This Row],[Revenue]]-RawSalesTable3[[#This Row],[Total_Cost]]</f>
        <v>23.56</v>
      </c>
      <c r="Y107" s="28">
        <f>RawSalesTable3[[#This Row],[Profit]]/RawSalesTable3[[#This Row],[Revenue]]</f>
        <v>0.53027233851001576</v>
      </c>
      <c r="Z107" s="27" t="str">
        <f>TEXT(RawSalesTable3[[#This Row],[Order_Date_Clean]],"MMM YYYY")</f>
        <v>Apr 2025</v>
      </c>
      <c r="AA107" s="27"/>
      <c r="AB107" s="27">
        <f t="shared" si="12"/>
        <v>0</v>
      </c>
      <c r="AC107" s="27">
        <f t="shared" si="13"/>
        <v>0</v>
      </c>
    </row>
    <row r="108" spans="1:29">
      <c r="A108" t="s">
        <v>197</v>
      </c>
      <c r="B108" s="3">
        <v>45806</v>
      </c>
      <c r="C108" t="s">
        <v>82</v>
      </c>
      <c r="D108" t="s">
        <v>62</v>
      </c>
      <c r="E108" t="s">
        <v>75</v>
      </c>
      <c r="F108" t="s">
        <v>110</v>
      </c>
      <c r="G108" s="6">
        <v>2</v>
      </c>
      <c r="H108" s="4">
        <v>158.58000000000001</v>
      </c>
      <c r="I108" s="4">
        <v>100.93</v>
      </c>
      <c r="J108" s="5">
        <v>0.05</v>
      </c>
      <c r="K108" s="6">
        <v>5</v>
      </c>
      <c r="L108" s="6">
        <v>5</v>
      </c>
      <c r="M108" t="s">
        <v>58</v>
      </c>
      <c r="N108" t="s">
        <v>59</v>
      </c>
      <c r="O108" t="s">
        <v>64</v>
      </c>
      <c r="P108" t="str">
        <f t="shared" si="7"/>
        <v>Individual</v>
      </c>
      <c r="Q108" t="str">
        <f t="shared" si="8"/>
        <v>Midlands</v>
      </c>
      <c r="R108" t="str">
        <f>PROPER(TRIM(E108))</f>
        <v>Furniture</v>
      </c>
      <c r="S108" s="27">
        <f>IF(ISTEXT(B108),DATEVALUE(B108),B108)</f>
        <v>45806</v>
      </c>
      <c r="T108" s="27">
        <f>COUNTIF($A$2:$A$1986,A108)</f>
        <v>1</v>
      </c>
      <c r="U108" s="27" t="str">
        <f t="shared" si="9"/>
        <v>Storage Cabinet</v>
      </c>
      <c r="V108" s="27">
        <f t="shared" si="10"/>
        <v>301.30200000000002</v>
      </c>
      <c r="W108" s="27">
        <f t="shared" si="11"/>
        <v>201.86</v>
      </c>
      <c r="X108" s="27">
        <f>RawSalesTable3[[#This Row],[Revenue]]-RawSalesTable3[[#This Row],[Total_Cost]]</f>
        <v>99.442000000000007</v>
      </c>
      <c r="Y108" s="28">
        <f>RawSalesTable3[[#This Row],[Profit]]/RawSalesTable3[[#This Row],[Revenue]]</f>
        <v>0.3300409555860897</v>
      </c>
      <c r="Z108" s="27" t="str">
        <f>TEXT(RawSalesTable3[[#This Row],[Order_Date_Clean]],"MMM YYYY")</f>
        <v>May 2025</v>
      </c>
      <c r="AA108" s="27"/>
      <c r="AB108" s="27">
        <f t="shared" si="12"/>
        <v>0</v>
      </c>
      <c r="AC108" s="27">
        <f t="shared" si="13"/>
        <v>0</v>
      </c>
    </row>
    <row r="109" spans="1:29">
      <c r="A109" t="s">
        <v>198</v>
      </c>
      <c r="B109" s="3">
        <v>45752</v>
      </c>
      <c r="C109" t="s">
        <v>54</v>
      </c>
      <c r="D109" t="s">
        <v>62</v>
      </c>
      <c r="E109" t="s">
        <v>56</v>
      </c>
      <c r="F109" t="s">
        <v>57</v>
      </c>
      <c r="G109" s="6">
        <v>1</v>
      </c>
      <c r="H109" s="4">
        <v>111.34</v>
      </c>
      <c r="I109" s="4">
        <v>65.14</v>
      </c>
      <c r="J109" s="5">
        <v>0.1</v>
      </c>
      <c r="K109" s="6">
        <v>0</v>
      </c>
      <c r="L109" s="6">
        <v>4</v>
      </c>
      <c r="M109" t="s">
        <v>58</v>
      </c>
      <c r="N109" t="s">
        <v>69</v>
      </c>
      <c r="O109" t="s">
        <v>64</v>
      </c>
      <c r="P109" t="str">
        <f t="shared" si="7"/>
        <v>Individual</v>
      </c>
      <c r="Q109" t="str">
        <f t="shared" si="8"/>
        <v>North</v>
      </c>
      <c r="R109" t="str">
        <f>PROPER(TRIM(E109))</f>
        <v>Home &amp; Kitchen</v>
      </c>
      <c r="S109" s="27">
        <f>IF(ISTEXT(B109),DATEVALUE(B109),B109)</f>
        <v>45752</v>
      </c>
      <c r="T109" s="27">
        <f>COUNTIF($A$2:$A$1986,A109)</f>
        <v>1</v>
      </c>
      <c r="U109" s="27" t="str">
        <f t="shared" si="9"/>
        <v>Air Fryer</v>
      </c>
      <c r="V109" s="27">
        <f t="shared" si="10"/>
        <v>100.206</v>
      </c>
      <c r="W109" s="27">
        <f t="shared" si="11"/>
        <v>65.14</v>
      </c>
      <c r="X109" s="27">
        <f>RawSalesTable3[[#This Row],[Revenue]]-RawSalesTable3[[#This Row],[Total_Cost]]</f>
        <v>35.066000000000003</v>
      </c>
      <c r="Y109" s="28">
        <f>RawSalesTable3[[#This Row],[Profit]]/RawSalesTable3[[#This Row],[Revenue]]</f>
        <v>0.34993912540167255</v>
      </c>
      <c r="Z109" s="27" t="str">
        <f>TEXT(RawSalesTable3[[#This Row],[Order_Date_Clean]],"MMM YYYY")</f>
        <v>Apr 2025</v>
      </c>
      <c r="AA109" s="27"/>
      <c r="AB109" s="27">
        <f t="shared" si="12"/>
        <v>0</v>
      </c>
      <c r="AC109" s="27">
        <f t="shared" si="13"/>
        <v>0</v>
      </c>
    </row>
    <row r="110" spans="1:29">
      <c r="A110" t="s">
        <v>199</v>
      </c>
      <c r="B110" s="3">
        <v>45709</v>
      </c>
      <c r="C110" t="s">
        <v>78</v>
      </c>
      <c r="D110" t="s">
        <v>62</v>
      </c>
      <c r="E110" t="s">
        <v>79</v>
      </c>
      <c r="F110" t="s">
        <v>115</v>
      </c>
      <c r="G110" s="6">
        <v>2</v>
      </c>
      <c r="H110" s="4">
        <v>58.95</v>
      </c>
      <c r="I110" s="4">
        <v>33.090000000000003</v>
      </c>
      <c r="J110" s="5">
        <v>0.05</v>
      </c>
      <c r="K110" s="6">
        <v>3</v>
      </c>
      <c r="L110" s="6">
        <v>4</v>
      </c>
      <c r="M110" t="s">
        <v>58</v>
      </c>
      <c r="N110" t="s">
        <v>87</v>
      </c>
      <c r="O110" t="s">
        <v>64</v>
      </c>
      <c r="P110" t="str">
        <f t="shared" si="7"/>
        <v>Individual</v>
      </c>
      <c r="Q110" t="str">
        <f t="shared" si="8"/>
        <v>London</v>
      </c>
      <c r="R110" t="str">
        <f>PROPER(TRIM(E110))</f>
        <v>Electronics</v>
      </c>
      <c r="S110" s="27">
        <f>IF(ISTEXT(B110),DATEVALUE(B110),B110)</f>
        <v>45709</v>
      </c>
      <c r="T110" s="27">
        <f>COUNTIF($A$2:$A$1986,A110)</f>
        <v>1</v>
      </c>
      <c r="U110" s="27" t="str">
        <f t="shared" si="9"/>
        <v>Wireless Headset</v>
      </c>
      <c r="V110" s="27">
        <f t="shared" si="10"/>
        <v>112.005</v>
      </c>
      <c r="W110" s="27">
        <f t="shared" si="11"/>
        <v>66.180000000000007</v>
      </c>
      <c r="X110" s="27">
        <f>RawSalesTable3[[#This Row],[Revenue]]-RawSalesTable3[[#This Row],[Total_Cost]]</f>
        <v>45.824999999999989</v>
      </c>
      <c r="Y110" s="28">
        <f>RawSalesTable3[[#This Row],[Profit]]/RawSalesTable3[[#This Row],[Revenue]]</f>
        <v>0.40913352082496307</v>
      </c>
      <c r="Z110" s="27" t="str">
        <f>TEXT(RawSalesTable3[[#This Row],[Order_Date_Clean]],"MMM YYYY")</f>
        <v>Feb 2025</v>
      </c>
      <c r="AA110" s="27"/>
      <c r="AB110" s="27">
        <f t="shared" si="12"/>
        <v>0</v>
      </c>
      <c r="AC110" s="27">
        <f t="shared" si="13"/>
        <v>0</v>
      </c>
    </row>
    <row r="111" spans="1:29">
      <c r="A111" t="s">
        <v>200</v>
      </c>
      <c r="B111" s="3">
        <v>45778</v>
      </c>
      <c r="C111" t="s">
        <v>78</v>
      </c>
      <c r="D111" t="s">
        <v>62</v>
      </c>
      <c r="E111" t="s">
        <v>79</v>
      </c>
      <c r="F111" t="s">
        <v>115</v>
      </c>
      <c r="G111" s="6">
        <v>2</v>
      </c>
      <c r="H111" s="4">
        <v>58.7</v>
      </c>
      <c r="I111" s="4">
        <v>33.57</v>
      </c>
      <c r="J111" s="5">
        <v>0</v>
      </c>
      <c r="K111" s="6">
        <v>3</v>
      </c>
      <c r="L111" s="6">
        <v>4</v>
      </c>
      <c r="M111" t="s">
        <v>58</v>
      </c>
      <c r="N111" t="s">
        <v>59</v>
      </c>
      <c r="O111" t="s">
        <v>64</v>
      </c>
      <c r="P111" t="str">
        <f t="shared" si="7"/>
        <v>Individual</v>
      </c>
      <c r="Q111" t="str">
        <f t="shared" si="8"/>
        <v>London</v>
      </c>
      <c r="R111" t="str">
        <f>PROPER(TRIM(E111))</f>
        <v>Electronics</v>
      </c>
      <c r="S111" s="27">
        <f>IF(ISTEXT(B111),DATEVALUE(B111),B111)</f>
        <v>45778</v>
      </c>
      <c r="T111" s="27">
        <f>COUNTIF($A$2:$A$1986,A111)</f>
        <v>1</v>
      </c>
      <c r="U111" s="27" t="str">
        <f t="shared" si="9"/>
        <v>Wireless Headset</v>
      </c>
      <c r="V111" s="27">
        <f t="shared" si="10"/>
        <v>117.4</v>
      </c>
      <c r="W111" s="27">
        <f t="shared" si="11"/>
        <v>67.14</v>
      </c>
      <c r="X111" s="27">
        <f>RawSalesTable3[[#This Row],[Revenue]]-RawSalesTable3[[#This Row],[Total_Cost]]</f>
        <v>50.260000000000005</v>
      </c>
      <c r="Y111" s="28">
        <f>RawSalesTable3[[#This Row],[Profit]]/RawSalesTable3[[#This Row],[Revenue]]</f>
        <v>0.42810902896081776</v>
      </c>
      <c r="Z111" s="27" t="str">
        <f>TEXT(RawSalesTable3[[#This Row],[Order_Date_Clean]],"MMM YYYY")</f>
        <v>May 2025</v>
      </c>
      <c r="AA111" s="27"/>
      <c r="AB111" s="27">
        <f t="shared" si="12"/>
        <v>0</v>
      </c>
      <c r="AC111" s="27">
        <f t="shared" si="13"/>
        <v>0</v>
      </c>
    </row>
    <row r="112" spans="1:29">
      <c r="A112" t="s">
        <v>201</v>
      </c>
      <c r="B112" s="3">
        <v>45695</v>
      </c>
      <c r="C112" t="s">
        <v>82</v>
      </c>
      <c r="D112" t="s">
        <v>62</v>
      </c>
      <c r="E112" t="s">
        <v>79</v>
      </c>
      <c r="F112" t="s">
        <v>92</v>
      </c>
      <c r="G112" s="6">
        <v>1</v>
      </c>
      <c r="H112" s="4">
        <v>48.98</v>
      </c>
      <c r="I112" s="4">
        <v>25.93</v>
      </c>
      <c r="J112" s="5">
        <v>0</v>
      </c>
      <c r="K112" s="6">
        <v>2</v>
      </c>
      <c r="L112" s="6">
        <v>4</v>
      </c>
      <c r="M112" t="s">
        <v>58</v>
      </c>
      <c r="N112" t="s">
        <v>59</v>
      </c>
      <c r="O112" t="s">
        <v>64</v>
      </c>
      <c r="P112" t="str">
        <f t="shared" si="7"/>
        <v>Individual</v>
      </c>
      <c r="Q112" t="str">
        <f t="shared" si="8"/>
        <v>Midlands</v>
      </c>
      <c r="R112" t="str">
        <f>PROPER(TRIM(E112))</f>
        <v>Electronics</v>
      </c>
      <c r="S112" s="27">
        <f>IF(ISTEXT(B112),DATEVALUE(B112),B112)</f>
        <v>45695</v>
      </c>
      <c r="T112" s="27">
        <f>COUNTIF($A$2:$A$1986,A112)</f>
        <v>1</v>
      </c>
      <c r="U112" s="27" t="str">
        <f t="shared" si="9"/>
        <v>Webcam</v>
      </c>
      <c r="V112" s="27">
        <f t="shared" si="10"/>
        <v>48.98</v>
      </c>
      <c r="W112" s="27">
        <f t="shared" si="11"/>
        <v>25.93</v>
      </c>
      <c r="X112" s="27">
        <f>RawSalesTable3[[#This Row],[Revenue]]-RawSalesTable3[[#This Row],[Total_Cost]]</f>
        <v>23.049999999999997</v>
      </c>
      <c r="Y112" s="28">
        <f>RawSalesTable3[[#This Row],[Profit]]/RawSalesTable3[[#This Row],[Revenue]]</f>
        <v>0.47060024499795833</v>
      </c>
      <c r="Z112" s="27" t="str">
        <f>TEXT(RawSalesTable3[[#This Row],[Order_Date_Clean]],"MMM YYYY")</f>
        <v>Feb 2025</v>
      </c>
      <c r="AA112" s="27"/>
      <c r="AB112" s="27">
        <f t="shared" si="12"/>
        <v>0</v>
      </c>
      <c r="AC112" s="27">
        <f t="shared" si="13"/>
        <v>0</v>
      </c>
    </row>
    <row r="113" spans="1:29">
      <c r="A113" t="s">
        <v>202</v>
      </c>
      <c r="B113" s="3">
        <v>45927</v>
      </c>
      <c r="C113" t="s">
        <v>54</v>
      </c>
      <c r="D113" t="s">
        <v>129</v>
      </c>
      <c r="E113" t="s">
        <v>56</v>
      </c>
      <c r="F113" t="s">
        <v>57</v>
      </c>
      <c r="G113" s="6">
        <v>4</v>
      </c>
      <c r="H113" s="4">
        <v>110.13</v>
      </c>
      <c r="I113" s="4">
        <v>69.27</v>
      </c>
      <c r="J113" s="5">
        <v>0.05</v>
      </c>
      <c r="K113" s="6">
        <v>1</v>
      </c>
      <c r="L113" s="6">
        <v>4</v>
      </c>
      <c r="M113" t="s">
        <v>58</v>
      </c>
      <c r="N113" t="s">
        <v>87</v>
      </c>
      <c r="O113" t="s">
        <v>64</v>
      </c>
      <c r="P113" t="str">
        <f t="shared" si="7"/>
        <v>Corporate</v>
      </c>
      <c r="Q113" t="str">
        <f t="shared" si="8"/>
        <v>North</v>
      </c>
      <c r="R113" t="str">
        <f>PROPER(TRIM(E113))</f>
        <v>Home &amp; Kitchen</v>
      </c>
      <c r="S113" s="27">
        <f>IF(ISTEXT(B113),DATEVALUE(B113),B113)</f>
        <v>45927</v>
      </c>
      <c r="T113" s="27">
        <f>COUNTIF($A$2:$A$1986,A113)</f>
        <v>1</v>
      </c>
      <c r="U113" s="27" t="str">
        <f t="shared" si="9"/>
        <v>Air Fryer</v>
      </c>
      <c r="V113" s="27">
        <f t="shared" si="10"/>
        <v>418.49399999999997</v>
      </c>
      <c r="W113" s="27">
        <f t="shared" si="11"/>
        <v>277.08</v>
      </c>
      <c r="X113" s="27">
        <f>RawSalesTable3[[#This Row],[Revenue]]-RawSalesTable3[[#This Row],[Total_Cost]]</f>
        <v>141.41399999999999</v>
      </c>
      <c r="Y113" s="28">
        <f>RawSalesTable3[[#This Row],[Profit]]/RawSalesTable3[[#This Row],[Revenue]]</f>
        <v>0.33791165464737843</v>
      </c>
      <c r="Z113" s="27" t="str">
        <f>TEXT(RawSalesTable3[[#This Row],[Order_Date_Clean]],"MMM YYYY")</f>
        <v>Sep 2025</v>
      </c>
      <c r="AA113" s="27"/>
      <c r="AB113" s="27">
        <f t="shared" si="12"/>
        <v>0</v>
      </c>
      <c r="AC113" s="27">
        <f t="shared" si="13"/>
        <v>0</v>
      </c>
    </row>
    <row r="114" spans="1:29">
      <c r="A114" t="s">
        <v>203</v>
      </c>
      <c r="B114" s="3">
        <v>45860</v>
      </c>
      <c r="C114" t="s">
        <v>66</v>
      </c>
      <c r="D114" t="s">
        <v>62</v>
      </c>
      <c r="E114" t="s">
        <v>56</v>
      </c>
      <c r="F114" t="s">
        <v>57</v>
      </c>
      <c r="G114" s="6">
        <v>1</v>
      </c>
      <c r="H114" s="4">
        <v>107.04</v>
      </c>
      <c r="I114" s="4">
        <v>67.48</v>
      </c>
      <c r="J114" s="5">
        <v>0.15000000000000002</v>
      </c>
      <c r="K114" s="6">
        <v>3</v>
      </c>
      <c r="L114" s="6">
        <v>4</v>
      </c>
      <c r="M114" t="s">
        <v>58</v>
      </c>
      <c r="N114" t="s">
        <v>59</v>
      </c>
      <c r="O114" t="s">
        <v>60</v>
      </c>
      <c r="P114" t="str">
        <f t="shared" si="7"/>
        <v>Individual</v>
      </c>
      <c r="Q114" t="str">
        <f t="shared" si="8"/>
        <v>South</v>
      </c>
      <c r="R114" t="str">
        <f>PROPER(TRIM(E114))</f>
        <v>Home &amp; Kitchen</v>
      </c>
      <c r="S114" s="27">
        <f>IF(ISTEXT(B114),DATEVALUE(B114),B114)</f>
        <v>45860</v>
      </c>
      <c r="T114" s="27">
        <f>COUNTIF($A$2:$A$1986,A114)</f>
        <v>1</v>
      </c>
      <c r="U114" s="27" t="str">
        <f t="shared" si="9"/>
        <v>Air Fryer</v>
      </c>
      <c r="V114" s="27">
        <f t="shared" si="10"/>
        <v>90.984000000000009</v>
      </c>
      <c r="W114" s="27">
        <f t="shared" si="11"/>
        <v>67.48</v>
      </c>
      <c r="X114" s="27">
        <f>RawSalesTable3[[#This Row],[Revenue]]-RawSalesTable3[[#This Row],[Total_Cost]]</f>
        <v>23.504000000000005</v>
      </c>
      <c r="Y114" s="28">
        <f>RawSalesTable3[[#This Row],[Profit]]/RawSalesTable3[[#This Row],[Revenue]]</f>
        <v>0.25833113514464084</v>
      </c>
      <c r="Z114" s="27" t="str">
        <f>TEXT(RawSalesTable3[[#This Row],[Order_Date_Clean]],"MMM YYYY")</f>
        <v>Jul 2025</v>
      </c>
      <c r="AA114" s="27"/>
      <c r="AB114" s="27">
        <f t="shared" si="12"/>
        <v>0</v>
      </c>
      <c r="AC114" s="27">
        <f t="shared" si="13"/>
        <v>0</v>
      </c>
    </row>
    <row r="115" spans="1:29">
      <c r="A115" t="s">
        <v>204</v>
      </c>
      <c r="B115" s="3">
        <v>45991</v>
      </c>
      <c r="C115" t="s">
        <v>66</v>
      </c>
      <c r="D115" t="s">
        <v>62</v>
      </c>
      <c r="E115" t="s">
        <v>56</v>
      </c>
      <c r="F115" t="s">
        <v>57</v>
      </c>
      <c r="G115" s="6">
        <v>2</v>
      </c>
      <c r="H115" s="4">
        <v>109.53</v>
      </c>
      <c r="I115" s="4">
        <v>65.489999999999995</v>
      </c>
      <c r="J115" s="5">
        <v>0.1</v>
      </c>
      <c r="K115" s="6">
        <v>0</v>
      </c>
      <c r="L115" s="6">
        <v>5</v>
      </c>
      <c r="M115" t="s">
        <v>58</v>
      </c>
      <c r="N115" t="s">
        <v>69</v>
      </c>
      <c r="O115" t="s">
        <v>73</v>
      </c>
      <c r="P115" t="str">
        <f t="shared" si="7"/>
        <v>Individual</v>
      </c>
      <c r="Q115" t="str">
        <f t="shared" si="8"/>
        <v>South</v>
      </c>
      <c r="R115" t="str">
        <f>PROPER(TRIM(E115))</f>
        <v>Home &amp; Kitchen</v>
      </c>
      <c r="S115" s="27">
        <f>IF(ISTEXT(B115),DATEVALUE(B115),B115)</f>
        <v>45991</v>
      </c>
      <c r="T115" s="27">
        <f>COUNTIF($A$2:$A$1986,A115)</f>
        <v>1</v>
      </c>
      <c r="U115" s="27" t="str">
        <f t="shared" si="9"/>
        <v>Air Fryer</v>
      </c>
      <c r="V115" s="27">
        <f t="shared" si="10"/>
        <v>197.154</v>
      </c>
      <c r="W115" s="27">
        <f t="shared" si="11"/>
        <v>130.97999999999999</v>
      </c>
      <c r="X115" s="27">
        <f>RawSalesTable3[[#This Row],[Revenue]]-RawSalesTable3[[#This Row],[Total_Cost]]</f>
        <v>66.174000000000007</v>
      </c>
      <c r="Y115" s="28">
        <f>RawSalesTable3[[#This Row],[Profit]]/RawSalesTable3[[#This Row],[Revenue]]</f>
        <v>0.33564624608174326</v>
      </c>
      <c r="Z115" s="27" t="str">
        <f>TEXT(RawSalesTable3[[#This Row],[Order_Date_Clean]],"MMM YYYY")</f>
        <v>Nov 2025</v>
      </c>
      <c r="AA115" s="27"/>
      <c r="AB115" s="27">
        <f t="shared" si="12"/>
        <v>0</v>
      </c>
      <c r="AC115" s="27">
        <f t="shared" si="13"/>
        <v>0</v>
      </c>
    </row>
    <row r="116" spans="1:29">
      <c r="A116" t="s">
        <v>205</v>
      </c>
      <c r="B116" s="3" t="s">
        <v>206</v>
      </c>
      <c r="C116" t="s">
        <v>66</v>
      </c>
      <c r="D116" t="s">
        <v>62</v>
      </c>
      <c r="E116" t="s">
        <v>79</v>
      </c>
      <c r="F116" t="s">
        <v>115</v>
      </c>
      <c r="G116" s="6">
        <v>3</v>
      </c>
      <c r="H116" s="4">
        <v>61.15</v>
      </c>
      <c r="I116" s="4">
        <v>35.17</v>
      </c>
      <c r="J116" s="5">
        <v>0.05</v>
      </c>
      <c r="K116" s="6">
        <v>3</v>
      </c>
      <c r="L116" s="6">
        <v>4</v>
      </c>
      <c r="M116" t="s">
        <v>58</v>
      </c>
      <c r="N116" t="s">
        <v>69</v>
      </c>
      <c r="O116" t="s">
        <v>64</v>
      </c>
      <c r="P116" t="str">
        <f t="shared" si="7"/>
        <v>Individual</v>
      </c>
      <c r="Q116" t="str">
        <f t="shared" si="8"/>
        <v>South</v>
      </c>
      <c r="R116" t="str">
        <f>PROPER(TRIM(E116))</f>
        <v>Electronics</v>
      </c>
      <c r="S116" s="27">
        <f>IF(ISTEXT(B116),DATEVALUE(B116),B116)</f>
        <v>45725</v>
      </c>
      <c r="T116" s="27">
        <f>COUNTIF($A$2:$A$1986,A116)</f>
        <v>1</v>
      </c>
      <c r="U116" s="27" t="str">
        <f t="shared" si="9"/>
        <v>Wireless Headset</v>
      </c>
      <c r="V116" s="27">
        <f t="shared" si="10"/>
        <v>174.27749999999997</v>
      </c>
      <c r="W116" s="27">
        <f t="shared" si="11"/>
        <v>105.51</v>
      </c>
      <c r="X116" s="27">
        <f>RawSalesTable3[[#This Row],[Revenue]]-RawSalesTable3[[#This Row],[Total_Cost]]</f>
        <v>68.76749999999997</v>
      </c>
      <c r="Y116" s="28">
        <f>RawSalesTable3[[#This Row],[Profit]]/RawSalesTable3[[#This Row],[Revenue]]</f>
        <v>0.39458622025218393</v>
      </c>
      <c r="Z116" s="27" t="str">
        <f>TEXT(RawSalesTable3[[#This Row],[Order_Date_Clean]],"MMM YYYY")</f>
        <v>Mar 2025</v>
      </c>
      <c r="AA116" s="27"/>
      <c r="AB116" s="27">
        <f t="shared" si="12"/>
        <v>0</v>
      </c>
      <c r="AC116" s="27">
        <f t="shared" si="13"/>
        <v>0</v>
      </c>
    </row>
    <row r="117" spans="1:29">
      <c r="A117" t="s">
        <v>207</v>
      </c>
      <c r="B117" s="3">
        <v>45735</v>
      </c>
      <c r="C117" t="s">
        <v>66</v>
      </c>
      <c r="D117" t="s">
        <v>62</v>
      </c>
      <c r="E117" t="s">
        <v>56</v>
      </c>
      <c r="F117" t="s">
        <v>89</v>
      </c>
      <c r="G117" s="6">
        <v>1</v>
      </c>
      <c r="H117" s="4">
        <v>78.28</v>
      </c>
      <c r="I117" s="4">
        <v>45.67</v>
      </c>
      <c r="J117" s="5">
        <v>0.05</v>
      </c>
      <c r="K117" s="6">
        <v>5</v>
      </c>
      <c r="L117" s="6">
        <v>4</v>
      </c>
      <c r="M117" t="s">
        <v>58</v>
      </c>
      <c r="N117" t="s">
        <v>59</v>
      </c>
      <c r="O117" t="s">
        <v>64</v>
      </c>
      <c r="P117" t="str">
        <f t="shared" si="7"/>
        <v>Individual</v>
      </c>
      <c r="Q117" t="str">
        <f t="shared" si="8"/>
        <v>South</v>
      </c>
      <c r="R117" t="str">
        <f>PROPER(TRIM(E117))</f>
        <v>Home &amp; Kitchen</v>
      </c>
      <c r="S117" s="27">
        <f>IF(ISTEXT(B117),DATEVALUE(B117),B117)</f>
        <v>45735</v>
      </c>
      <c r="T117" s="27">
        <f>COUNTIF($A$2:$A$1986,A117)</f>
        <v>1</v>
      </c>
      <c r="U117" s="27" t="str">
        <f t="shared" si="9"/>
        <v>Coffee Maker</v>
      </c>
      <c r="V117" s="27">
        <f t="shared" si="10"/>
        <v>74.366</v>
      </c>
      <c r="W117" s="27">
        <f t="shared" si="11"/>
        <v>45.67</v>
      </c>
      <c r="X117" s="27">
        <f>RawSalesTable3[[#This Row],[Revenue]]-RawSalesTable3[[#This Row],[Total_Cost]]</f>
        <v>28.695999999999998</v>
      </c>
      <c r="Y117" s="28">
        <f>RawSalesTable3[[#This Row],[Profit]]/RawSalesTable3[[#This Row],[Revenue]]</f>
        <v>0.38587526557835566</v>
      </c>
      <c r="Z117" s="27" t="str">
        <f>TEXT(RawSalesTable3[[#This Row],[Order_Date_Clean]],"MMM YYYY")</f>
        <v>Mar 2025</v>
      </c>
      <c r="AA117" s="27"/>
      <c r="AB117" s="27">
        <f t="shared" si="12"/>
        <v>0</v>
      </c>
      <c r="AC117" s="27">
        <f t="shared" si="13"/>
        <v>0</v>
      </c>
    </row>
    <row r="118" spans="1:29">
      <c r="A118" t="s">
        <v>208</v>
      </c>
      <c r="B118" s="3">
        <v>45708</v>
      </c>
      <c r="C118" t="s">
        <v>209</v>
      </c>
      <c r="D118" t="s">
        <v>62</v>
      </c>
      <c r="E118" t="s">
        <v>79</v>
      </c>
      <c r="F118" t="s">
        <v>92</v>
      </c>
      <c r="G118" s="6">
        <v>1</v>
      </c>
      <c r="H118" s="4">
        <v>49.7</v>
      </c>
      <c r="I118" s="4">
        <v>26.46</v>
      </c>
      <c r="J118" s="5">
        <v>0.05</v>
      </c>
      <c r="K118" s="6">
        <v>1</v>
      </c>
      <c r="L118" s="6">
        <v>5</v>
      </c>
      <c r="M118" t="s">
        <v>58</v>
      </c>
      <c r="N118" t="s">
        <v>69</v>
      </c>
      <c r="O118" t="s">
        <v>64</v>
      </c>
      <c r="P118" t="str">
        <f t="shared" si="7"/>
        <v>Individual</v>
      </c>
      <c r="Q118" t="str">
        <f t="shared" si="8"/>
        <v>Midlands</v>
      </c>
      <c r="R118" t="str">
        <f>PROPER(TRIM(E118))</f>
        <v>Electronics</v>
      </c>
      <c r="S118" s="27">
        <f>IF(ISTEXT(B118),DATEVALUE(B118),B118)</f>
        <v>45708</v>
      </c>
      <c r="T118" s="27">
        <f>COUNTIF($A$2:$A$1986,A118)</f>
        <v>1</v>
      </c>
      <c r="U118" s="27" t="str">
        <f t="shared" si="9"/>
        <v>Webcam</v>
      </c>
      <c r="V118" s="27">
        <f t="shared" si="10"/>
        <v>47.215000000000003</v>
      </c>
      <c r="W118" s="27">
        <f t="shared" si="11"/>
        <v>26.46</v>
      </c>
      <c r="X118" s="27">
        <f>RawSalesTable3[[#This Row],[Revenue]]-RawSalesTable3[[#This Row],[Total_Cost]]</f>
        <v>20.755000000000003</v>
      </c>
      <c r="Y118" s="28">
        <f>RawSalesTable3[[#This Row],[Profit]]/RawSalesTable3[[#This Row],[Revenue]]</f>
        <v>0.43958487768717569</v>
      </c>
      <c r="Z118" s="27" t="str">
        <f>TEXT(RawSalesTable3[[#This Row],[Order_Date_Clean]],"MMM YYYY")</f>
        <v>Feb 2025</v>
      </c>
      <c r="AA118" s="27"/>
      <c r="AB118" s="27">
        <f t="shared" si="12"/>
        <v>0</v>
      </c>
      <c r="AC118" s="27">
        <f t="shared" si="13"/>
        <v>0</v>
      </c>
    </row>
    <row r="119" spans="1:29">
      <c r="A119" t="s">
        <v>210</v>
      </c>
      <c r="B119" s="3">
        <v>46008</v>
      </c>
      <c r="C119" t="s">
        <v>78</v>
      </c>
      <c r="D119" t="s">
        <v>62</v>
      </c>
      <c r="E119" t="s">
        <v>79</v>
      </c>
      <c r="F119" t="s">
        <v>92</v>
      </c>
      <c r="G119" s="6">
        <v>1</v>
      </c>
      <c r="H119" s="4">
        <v>51.04</v>
      </c>
      <c r="I119" s="4">
        <v>25.89</v>
      </c>
      <c r="J119" s="5">
        <v>0.15000000000000002</v>
      </c>
      <c r="K119" s="6">
        <v>6</v>
      </c>
      <c r="L119" s="6">
        <v>4</v>
      </c>
      <c r="M119" t="s">
        <v>58</v>
      </c>
      <c r="N119" t="s">
        <v>59</v>
      </c>
      <c r="O119" t="s">
        <v>64</v>
      </c>
      <c r="P119" t="str">
        <f t="shared" si="7"/>
        <v>Individual</v>
      </c>
      <c r="Q119" t="str">
        <f t="shared" si="8"/>
        <v>London</v>
      </c>
      <c r="R119" t="str">
        <f>PROPER(TRIM(E119))</f>
        <v>Electronics</v>
      </c>
      <c r="S119" s="27">
        <f>IF(ISTEXT(B119),DATEVALUE(B119),B119)</f>
        <v>46008</v>
      </c>
      <c r="T119" s="27">
        <f>COUNTIF($A$2:$A$1986,A119)</f>
        <v>1</v>
      </c>
      <c r="U119" s="27" t="str">
        <f t="shared" si="9"/>
        <v>Webcam</v>
      </c>
      <c r="V119" s="27">
        <f t="shared" si="10"/>
        <v>43.384</v>
      </c>
      <c r="W119" s="27">
        <f t="shared" si="11"/>
        <v>25.89</v>
      </c>
      <c r="X119" s="27">
        <f>RawSalesTable3[[#This Row],[Revenue]]-RawSalesTable3[[#This Row],[Total_Cost]]</f>
        <v>17.494</v>
      </c>
      <c r="Y119" s="28">
        <f>RawSalesTable3[[#This Row],[Profit]]/RawSalesTable3[[#This Row],[Revenue]]</f>
        <v>0.40323621611654065</v>
      </c>
      <c r="Z119" s="27" t="str">
        <f>TEXT(RawSalesTable3[[#This Row],[Order_Date_Clean]],"MMM YYYY")</f>
        <v>Dec 2025</v>
      </c>
      <c r="AA119" s="27"/>
      <c r="AB119" s="27">
        <f t="shared" si="12"/>
        <v>0</v>
      </c>
      <c r="AC119" s="27">
        <f t="shared" si="13"/>
        <v>0</v>
      </c>
    </row>
    <row r="120" spans="1:29">
      <c r="A120" t="s">
        <v>211</v>
      </c>
      <c r="B120" s="3">
        <v>45949</v>
      </c>
      <c r="C120" t="s">
        <v>78</v>
      </c>
      <c r="D120" t="s">
        <v>62</v>
      </c>
      <c r="E120" t="s">
        <v>79</v>
      </c>
      <c r="F120" t="s">
        <v>92</v>
      </c>
      <c r="G120" s="6">
        <v>3</v>
      </c>
      <c r="H120" s="4">
        <v>48.96</v>
      </c>
      <c r="I120" s="4">
        <v>25.72</v>
      </c>
      <c r="J120" s="5">
        <v>0.05</v>
      </c>
      <c r="K120" s="6">
        <v>7</v>
      </c>
      <c r="L120" s="6">
        <v>4</v>
      </c>
      <c r="M120" t="s">
        <v>58</v>
      </c>
      <c r="N120" t="s">
        <v>59</v>
      </c>
      <c r="O120" t="s">
        <v>64</v>
      </c>
      <c r="P120" t="str">
        <f t="shared" si="7"/>
        <v>Individual</v>
      </c>
      <c r="Q120" t="str">
        <f t="shared" si="8"/>
        <v>London</v>
      </c>
      <c r="R120" t="str">
        <f>PROPER(TRIM(E120))</f>
        <v>Electronics</v>
      </c>
      <c r="S120" s="27">
        <f>IF(ISTEXT(B120),DATEVALUE(B120),B120)</f>
        <v>45949</v>
      </c>
      <c r="T120" s="27">
        <f>COUNTIF($A$2:$A$1986,A120)</f>
        <v>1</v>
      </c>
      <c r="U120" s="27" t="str">
        <f t="shared" si="9"/>
        <v>Webcam</v>
      </c>
      <c r="V120" s="27">
        <f t="shared" si="10"/>
        <v>139.536</v>
      </c>
      <c r="W120" s="27">
        <f t="shared" si="11"/>
        <v>77.16</v>
      </c>
      <c r="X120" s="27">
        <f>RawSalesTable3[[#This Row],[Revenue]]-RawSalesTable3[[#This Row],[Total_Cost]]</f>
        <v>62.376000000000005</v>
      </c>
      <c r="Y120" s="28">
        <f>RawSalesTable3[[#This Row],[Profit]]/RawSalesTable3[[#This Row],[Revenue]]</f>
        <v>0.44702442380460961</v>
      </c>
      <c r="Z120" s="27" t="str">
        <f>TEXT(RawSalesTable3[[#This Row],[Order_Date_Clean]],"MMM YYYY")</f>
        <v>Oct 2025</v>
      </c>
      <c r="AA120" s="27"/>
      <c r="AB120" s="27">
        <f t="shared" si="12"/>
        <v>0</v>
      </c>
      <c r="AC120" s="27">
        <f t="shared" si="13"/>
        <v>0</v>
      </c>
    </row>
    <row r="121" spans="1:29">
      <c r="A121" t="s">
        <v>212</v>
      </c>
      <c r="B121" s="3">
        <v>45726</v>
      </c>
      <c r="C121" t="s">
        <v>66</v>
      </c>
      <c r="D121" t="s">
        <v>55</v>
      </c>
      <c r="E121" t="s">
        <v>56</v>
      </c>
      <c r="F121" t="s">
        <v>57</v>
      </c>
      <c r="G121" s="6">
        <v>4</v>
      </c>
      <c r="H121" s="4">
        <v>114.14</v>
      </c>
      <c r="I121" s="4">
        <v>68.510000000000005</v>
      </c>
      <c r="J121" s="5">
        <v>0.05</v>
      </c>
      <c r="K121" s="6">
        <v>6</v>
      </c>
      <c r="L121" s="6">
        <v>3</v>
      </c>
      <c r="M121" t="s">
        <v>58</v>
      </c>
      <c r="N121" t="s">
        <v>59</v>
      </c>
      <c r="O121" t="s">
        <v>64</v>
      </c>
      <c r="P121" t="str">
        <f t="shared" si="7"/>
        <v>Small Business</v>
      </c>
      <c r="Q121" t="str">
        <f t="shared" si="8"/>
        <v>South</v>
      </c>
      <c r="R121" t="str">
        <f>PROPER(TRIM(E121))</f>
        <v>Home &amp; Kitchen</v>
      </c>
      <c r="S121" s="27">
        <f>IF(ISTEXT(B121),DATEVALUE(B121),B121)</f>
        <v>45726</v>
      </c>
      <c r="T121" s="27">
        <f>COUNTIF($A$2:$A$1986,A121)</f>
        <v>1</v>
      </c>
      <c r="U121" s="27" t="str">
        <f t="shared" si="9"/>
        <v>Air Fryer</v>
      </c>
      <c r="V121" s="27">
        <f t="shared" si="10"/>
        <v>433.73199999999997</v>
      </c>
      <c r="W121" s="27">
        <f t="shared" si="11"/>
        <v>274.04000000000002</v>
      </c>
      <c r="X121" s="27">
        <f>RawSalesTable3[[#This Row],[Revenue]]-RawSalesTable3[[#This Row],[Total_Cost]]</f>
        <v>159.69199999999995</v>
      </c>
      <c r="Y121" s="28">
        <f>RawSalesTable3[[#This Row],[Profit]]/RawSalesTable3[[#This Row],[Revenue]]</f>
        <v>0.36818127322862959</v>
      </c>
      <c r="Z121" s="27" t="str">
        <f>TEXT(RawSalesTable3[[#This Row],[Order_Date_Clean]],"MMM YYYY")</f>
        <v>Mar 2025</v>
      </c>
      <c r="AA121" s="27"/>
      <c r="AB121" s="27">
        <f t="shared" si="12"/>
        <v>0</v>
      </c>
      <c r="AC121" s="27">
        <f t="shared" si="13"/>
        <v>0</v>
      </c>
    </row>
    <row r="122" spans="1:29">
      <c r="A122" t="s">
        <v>213</v>
      </c>
      <c r="B122" s="3">
        <v>45662</v>
      </c>
      <c r="C122" t="s">
        <v>54</v>
      </c>
      <c r="D122" t="s">
        <v>62</v>
      </c>
      <c r="E122" t="s">
        <v>79</v>
      </c>
      <c r="F122" t="s">
        <v>92</v>
      </c>
      <c r="G122" s="6">
        <v>1</v>
      </c>
      <c r="H122" s="4">
        <v>50.19</v>
      </c>
      <c r="I122" s="4">
        <v>26.82</v>
      </c>
      <c r="J122" s="5">
        <v>0.05</v>
      </c>
      <c r="K122" s="6">
        <v>3</v>
      </c>
      <c r="L122" s="6">
        <v>4</v>
      </c>
      <c r="M122" t="s">
        <v>58</v>
      </c>
      <c r="N122" t="s">
        <v>59</v>
      </c>
      <c r="O122" t="s">
        <v>64</v>
      </c>
      <c r="P122" t="str">
        <f t="shared" si="7"/>
        <v>Individual</v>
      </c>
      <c r="Q122" t="str">
        <f t="shared" si="8"/>
        <v>North</v>
      </c>
      <c r="R122" t="str">
        <f>PROPER(TRIM(E122))</f>
        <v>Electronics</v>
      </c>
      <c r="S122" s="27">
        <f>IF(ISTEXT(B122),DATEVALUE(B122),B122)</f>
        <v>45662</v>
      </c>
      <c r="T122" s="27">
        <f>COUNTIF($A$2:$A$1986,A122)</f>
        <v>1</v>
      </c>
      <c r="U122" s="27" t="str">
        <f t="shared" si="9"/>
        <v>Webcam</v>
      </c>
      <c r="V122" s="27">
        <f t="shared" si="10"/>
        <v>47.680499999999995</v>
      </c>
      <c r="W122" s="27">
        <f t="shared" si="11"/>
        <v>26.82</v>
      </c>
      <c r="X122" s="27">
        <f>RawSalesTable3[[#This Row],[Revenue]]-RawSalesTable3[[#This Row],[Total_Cost]]</f>
        <v>20.860499999999995</v>
      </c>
      <c r="Y122" s="28">
        <f>RawSalesTable3[[#This Row],[Profit]]/RawSalesTable3[[#This Row],[Revenue]]</f>
        <v>0.43750589863780787</v>
      </c>
      <c r="Z122" s="27" t="str">
        <f>TEXT(RawSalesTable3[[#This Row],[Order_Date_Clean]],"MMM YYYY")</f>
        <v>Jan 2025</v>
      </c>
      <c r="AA122" s="27"/>
      <c r="AB122" s="27">
        <f t="shared" si="12"/>
        <v>0</v>
      </c>
      <c r="AC122" s="27">
        <f t="shared" si="13"/>
        <v>0</v>
      </c>
    </row>
    <row r="123" spans="1:29">
      <c r="A123" t="s">
        <v>214</v>
      </c>
      <c r="B123" s="3">
        <v>45959</v>
      </c>
      <c r="C123" t="s">
        <v>82</v>
      </c>
      <c r="D123" t="s">
        <v>129</v>
      </c>
      <c r="E123" t="s">
        <v>56</v>
      </c>
      <c r="F123" t="s">
        <v>63</v>
      </c>
      <c r="G123" s="6">
        <v>6</v>
      </c>
      <c r="H123" s="4">
        <v>39.32</v>
      </c>
      <c r="I123" s="4">
        <v>19.579999999999998</v>
      </c>
      <c r="J123" s="5">
        <v>0.05</v>
      </c>
      <c r="K123" s="6">
        <v>4</v>
      </c>
      <c r="L123" s="6">
        <v>4</v>
      </c>
      <c r="M123" t="s">
        <v>58</v>
      </c>
      <c r="N123" t="s">
        <v>59</v>
      </c>
      <c r="O123" t="s">
        <v>64</v>
      </c>
      <c r="P123" t="str">
        <f t="shared" si="7"/>
        <v>Corporate</v>
      </c>
      <c r="Q123" t="str">
        <f t="shared" si="8"/>
        <v>Midlands</v>
      </c>
      <c r="R123" t="str">
        <f>PROPER(TRIM(E123))</f>
        <v>Home &amp; Kitchen</v>
      </c>
      <c r="S123" s="27">
        <f>IF(ISTEXT(B123),DATEVALUE(B123),B123)</f>
        <v>45959</v>
      </c>
      <c r="T123" s="27">
        <f>COUNTIF($A$2:$A$1986,A123)</f>
        <v>1</v>
      </c>
      <c r="U123" s="27" t="str">
        <f t="shared" si="9"/>
        <v>Electric Kettle</v>
      </c>
      <c r="V123" s="27">
        <f t="shared" si="10"/>
        <v>224.124</v>
      </c>
      <c r="W123" s="27">
        <f t="shared" si="11"/>
        <v>117.47999999999999</v>
      </c>
      <c r="X123" s="27">
        <f>RawSalesTable3[[#This Row],[Revenue]]-RawSalesTable3[[#This Row],[Total_Cost]]</f>
        <v>106.64400000000001</v>
      </c>
      <c r="Y123" s="28">
        <f>RawSalesTable3[[#This Row],[Profit]]/RawSalesTable3[[#This Row],[Revenue]]</f>
        <v>0.47582588210097987</v>
      </c>
      <c r="Z123" s="27" t="str">
        <f>TEXT(RawSalesTable3[[#This Row],[Order_Date_Clean]],"MMM YYYY")</f>
        <v>Oct 2025</v>
      </c>
      <c r="AA123" s="27"/>
      <c r="AB123" s="27">
        <f t="shared" si="12"/>
        <v>0</v>
      </c>
      <c r="AC123" s="27">
        <f t="shared" si="13"/>
        <v>0</v>
      </c>
    </row>
    <row r="124" spans="1:29">
      <c r="A124" t="s">
        <v>215</v>
      </c>
      <c r="B124" s="3">
        <v>45815</v>
      </c>
      <c r="C124" t="s">
        <v>82</v>
      </c>
      <c r="D124" t="s">
        <v>62</v>
      </c>
      <c r="E124" t="s">
        <v>79</v>
      </c>
      <c r="F124" t="s">
        <v>85</v>
      </c>
      <c r="G124" s="6">
        <v>2</v>
      </c>
      <c r="H124" s="4">
        <v>133.01</v>
      </c>
      <c r="I124" s="4">
        <v>88.17</v>
      </c>
      <c r="J124" s="5">
        <v>0.1</v>
      </c>
      <c r="K124" s="6">
        <v>0</v>
      </c>
      <c r="L124" s="6">
        <v>4</v>
      </c>
      <c r="M124" t="s">
        <v>58</v>
      </c>
      <c r="N124" t="s">
        <v>69</v>
      </c>
      <c r="O124" t="s">
        <v>64</v>
      </c>
      <c r="P124" t="str">
        <f t="shared" si="7"/>
        <v>Individual</v>
      </c>
      <c r="Q124" t="str">
        <f t="shared" si="8"/>
        <v>Midlands</v>
      </c>
      <c r="R124" t="str">
        <f>PROPER(TRIM(E124))</f>
        <v>Electronics</v>
      </c>
      <c r="S124" s="27">
        <f>IF(ISTEXT(B124),DATEVALUE(B124),B124)</f>
        <v>45815</v>
      </c>
      <c r="T124" s="27">
        <f>COUNTIF($A$2:$A$1986,A124)</f>
        <v>1</v>
      </c>
      <c r="U124" s="27" t="str">
        <f t="shared" si="9"/>
        <v>SmartHome Hub</v>
      </c>
      <c r="V124" s="27">
        <f t="shared" si="10"/>
        <v>239.41799999999998</v>
      </c>
      <c r="W124" s="27">
        <f t="shared" si="11"/>
        <v>176.34</v>
      </c>
      <c r="X124" s="27">
        <f>RawSalesTable3[[#This Row],[Revenue]]-RawSalesTable3[[#This Row],[Total_Cost]]</f>
        <v>63.077999999999975</v>
      </c>
      <c r="Y124" s="28">
        <f>RawSalesTable3[[#This Row],[Profit]]/RawSalesTable3[[#This Row],[Revenue]]</f>
        <v>0.26346389995739661</v>
      </c>
      <c r="Z124" s="27" t="str">
        <f>TEXT(RawSalesTable3[[#This Row],[Order_Date_Clean]],"MMM YYYY")</f>
        <v>Jun 2025</v>
      </c>
      <c r="AA124" s="27"/>
      <c r="AB124" s="27">
        <f t="shared" si="12"/>
        <v>0</v>
      </c>
      <c r="AC124" s="27">
        <f t="shared" si="13"/>
        <v>0</v>
      </c>
    </row>
    <row r="125" spans="1:29">
      <c r="A125" t="s">
        <v>216</v>
      </c>
      <c r="B125" s="3">
        <v>46010</v>
      </c>
      <c r="C125" t="s">
        <v>54</v>
      </c>
      <c r="D125" t="s">
        <v>62</v>
      </c>
      <c r="E125" t="s">
        <v>79</v>
      </c>
      <c r="F125" t="s">
        <v>115</v>
      </c>
      <c r="G125" s="6">
        <v>1</v>
      </c>
      <c r="H125" s="4">
        <v>58.81</v>
      </c>
      <c r="I125" s="4">
        <v>35.39</v>
      </c>
      <c r="J125" s="5">
        <v>0</v>
      </c>
      <c r="K125" s="6">
        <v>4</v>
      </c>
      <c r="L125" s="6">
        <v>4</v>
      </c>
      <c r="M125" t="s">
        <v>58</v>
      </c>
      <c r="N125" t="s">
        <v>87</v>
      </c>
      <c r="O125" t="s">
        <v>64</v>
      </c>
      <c r="P125" t="str">
        <f t="shared" si="7"/>
        <v>Individual</v>
      </c>
      <c r="Q125" t="str">
        <f t="shared" si="8"/>
        <v>North</v>
      </c>
      <c r="R125" t="str">
        <f>PROPER(TRIM(E125))</f>
        <v>Electronics</v>
      </c>
      <c r="S125" s="27">
        <f>IF(ISTEXT(B125),DATEVALUE(B125),B125)</f>
        <v>46010</v>
      </c>
      <c r="T125" s="27">
        <f>COUNTIF($A$2:$A$1986,A125)</f>
        <v>1</v>
      </c>
      <c r="U125" s="27" t="str">
        <f t="shared" si="9"/>
        <v>Wireless Headset</v>
      </c>
      <c r="V125" s="27">
        <f t="shared" si="10"/>
        <v>58.81</v>
      </c>
      <c r="W125" s="27">
        <f t="shared" si="11"/>
        <v>35.39</v>
      </c>
      <c r="X125" s="27">
        <f>RawSalesTable3[[#This Row],[Revenue]]-RawSalesTable3[[#This Row],[Total_Cost]]</f>
        <v>23.42</v>
      </c>
      <c r="Y125" s="28">
        <f>RawSalesTable3[[#This Row],[Profit]]/RawSalesTable3[[#This Row],[Revenue]]</f>
        <v>0.3982315932664513</v>
      </c>
      <c r="Z125" s="27" t="str">
        <f>TEXT(RawSalesTable3[[#This Row],[Order_Date_Clean]],"MMM YYYY")</f>
        <v>Dec 2025</v>
      </c>
      <c r="AA125" s="27"/>
      <c r="AB125" s="27">
        <f t="shared" si="12"/>
        <v>0</v>
      </c>
      <c r="AC125" s="27">
        <f t="shared" si="13"/>
        <v>0</v>
      </c>
    </row>
    <row r="126" spans="1:29">
      <c r="A126" t="s">
        <v>217</v>
      </c>
      <c r="B126" s="3">
        <v>45889</v>
      </c>
      <c r="C126" t="s">
        <v>78</v>
      </c>
      <c r="D126" t="s">
        <v>129</v>
      </c>
      <c r="E126" t="s">
        <v>79</v>
      </c>
      <c r="F126" t="s">
        <v>92</v>
      </c>
      <c r="G126" s="6">
        <v>3</v>
      </c>
      <c r="H126" s="4">
        <v>49.6</v>
      </c>
      <c r="I126" s="4">
        <v>26.52</v>
      </c>
      <c r="J126" s="5">
        <v>0.1</v>
      </c>
      <c r="K126" s="6">
        <v>3</v>
      </c>
      <c r="L126" s="6">
        <v>4</v>
      </c>
      <c r="M126" t="s">
        <v>58</v>
      </c>
      <c r="N126" t="s">
        <v>59</v>
      </c>
      <c r="O126" t="s">
        <v>64</v>
      </c>
      <c r="P126" t="str">
        <f t="shared" si="7"/>
        <v>Corporate</v>
      </c>
      <c r="Q126" t="str">
        <f t="shared" si="8"/>
        <v>London</v>
      </c>
      <c r="R126" t="str">
        <f>PROPER(TRIM(E126))</f>
        <v>Electronics</v>
      </c>
      <c r="S126" s="27">
        <f>IF(ISTEXT(B126),DATEVALUE(B126),B126)</f>
        <v>45889</v>
      </c>
      <c r="T126" s="27">
        <f>COUNTIF($A$2:$A$1986,A126)</f>
        <v>1</v>
      </c>
      <c r="U126" s="27" t="str">
        <f t="shared" si="9"/>
        <v>Webcam</v>
      </c>
      <c r="V126" s="27">
        <f t="shared" si="10"/>
        <v>133.92000000000002</v>
      </c>
      <c r="W126" s="27">
        <f t="shared" si="11"/>
        <v>79.56</v>
      </c>
      <c r="X126" s="27">
        <f>RawSalesTable3[[#This Row],[Revenue]]-RawSalesTable3[[#This Row],[Total_Cost]]</f>
        <v>54.360000000000014</v>
      </c>
      <c r="Y126" s="28">
        <f>RawSalesTable3[[#This Row],[Profit]]/RawSalesTable3[[#This Row],[Revenue]]</f>
        <v>0.40591397849462368</v>
      </c>
      <c r="Z126" s="27" t="str">
        <f>TEXT(RawSalesTable3[[#This Row],[Order_Date_Clean]],"MMM YYYY")</f>
        <v>Aug 2025</v>
      </c>
      <c r="AA126" s="27"/>
      <c r="AB126" s="27">
        <f t="shared" si="12"/>
        <v>0</v>
      </c>
      <c r="AC126" s="27">
        <f t="shared" si="13"/>
        <v>0</v>
      </c>
    </row>
    <row r="127" spans="1:29">
      <c r="A127" t="s">
        <v>218</v>
      </c>
      <c r="B127" s="3">
        <v>45915</v>
      </c>
      <c r="C127" t="s">
        <v>54</v>
      </c>
      <c r="D127" t="s">
        <v>62</v>
      </c>
      <c r="E127" t="s">
        <v>67</v>
      </c>
      <c r="F127" t="s">
        <v>107</v>
      </c>
      <c r="G127" s="6">
        <v>2</v>
      </c>
      <c r="H127" s="4">
        <v>43.65</v>
      </c>
      <c r="I127" s="4">
        <v>21.71</v>
      </c>
      <c r="J127" s="5">
        <v>0.1</v>
      </c>
      <c r="K127" s="6">
        <v>2</v>
      </c>
      <c r="L127" s="6">
        <v>4</v>
      </c>
      <c r="M127" t="s">
        <v>58</v>
      </c>
      <c r="N127" t="s">
        <v>87</v>
      </c>
      <c r="O127" t="s">
        <v>64</v>
      </c>
      <c r="P127" t="str">
        <f t="shared" si="7"/>
        <v>Individual</v>
      </c>
      <c r="Q127" t="str">
        <f t="shared" si="8"/>
        <v>North</v>
      </c>
      <c r="R127" t="str">
        <f>PROPER(TRIM(E127))</f>
        <v>Office</v>
      </c>
      <c r="S127" s="27">
        <f>IF(ISTEXT(B127),DATEVALUE(B127),B127)</f>
        <v>45915</v>
      </c>
      <c r="T127" s="27">
        <f>COUNTIF($A$2:$A$1986,A127)</f>
        <v>1</v>
      </c>
      <c r="U127" s="27" t="str">
        <f t="shared" si="9"/>
        <v>Laptop Stand</v>
      </c>
      <c r="V127" s="27">
        <f t="shared" si="10"/>
        <v>78.569999999999993</v>
      </c>
      <c r="W127" s="27">
        <f t="shared" si="11"/>
        <v>43.42</v>
      </c>
      <c r="X127" s="27">
        <f>RawSalesTable3[[#This Row],[Revenue]]-RawSalesTable3[[#This Row],[Total_Cost]]</f>
        <v>35.149999999999991</v>
      </c>
      <c r="Y127" s="28">
        <f>RawSalesTable3[[#This Row],[Profit]]/RawSalesTable3[[#This Row],[Revenue]]</f>
        <v>0.44737177039582532</v>
      </c>
      <c r="Z127" s="27" t="str">
        <f>TEXT(RawSalesTable3[[#This Row],[Order_Date_Clean]],"MMM YYYY")</f>
        <v>Sep 2025</v>
      </c>
      <c r="AA127" s="27"/>
      <c r="AB127" s="27">
        <f t="shared" si="12"/>
        <v>0</v>
      </c>
      <c r="AC127" s="27">
        <f t="shared" si="13"/>
        <v>0</v>
      </c>
    </row>
    <row r="128" spans="1:29">
      <c r="A128" t="s">
        <v>219</v>
      </c>
      <c r="B128" s="3">
        <v>45919</v>
      </c>
      <c r="C128" t="s">
        <v>78</v>
      </c>
      <c r="D128" t="s">
        <v>62</v>
      </c>
      <c r="E128" t="s">
        <v>79</v>
      </c>
      <c r="F128" t="s">
        <v>80</v>
      </c>
      <c r="G128" s="6">
        <v>1</v>
      </c>
      <c r="H128" s="4">
        <v>74.47</v>
      </c>
      <c r="I128" s="4">
        <v>42.89</v>
      </c>
      <c r="J128" s="5">
        <v>0</v>
      </c>
      <c r="K128" s="6">
        <v>4</v>
      </c>
      <c r="L128" s="6">
        <v>5</v>
      </c>
      <c r="M128" t="s">
        <v>58</v>
      </c>
      <c r="N128" t="s">
        <v>59</v>
      </c>
      <c r="O128" t="s">
        <v>73</v>
      </c>
      <c r="P128" t="str">
        <f t="shared" si="7"/>
        <v>Individual</v>
      </c>
      <c r="Q128" t="str">
        <f t="shared" si="8"/>
        <v>London</v>
      </c>
      <c r="R128" t="str">
        <f>PROPER(TRIM(E128))</f>
        <v>Electronics</v>
      </c>
      <c r="S128" s="27">
        <f>IF(ISTEXT(B128),DATEVALUE(B128),B128)</f>
        <v>45919</v>
      </c>
      <c r="T128" s="27">
        <f>COUNTIF($A$2:$A$1986,A128)</f>
        <v>1</v>
      </c>
      <c r="U128" s="27" t="str">
        <f t="shared" si="9"/>
        <v>Portable Speaker</v>
      </c>
      <c r="V128" s="27">
        <f t="shared" si="10"/>
        <v>74.47</v>
      </c>
      <c r="W128" s="27">
        <f t="shared" si="11"/>
        <v>42.89</v>
      </c>
      <c r="X128" s="27">
        <f>RawSalesTable3[[#This Row],[Revenue]]-RawSalesTable3[[#This Row],[Total_Cost]]</f>
        <v>31.58</v>
      </c>
      <c r="Y128" s="28">
        <f>RawSalesTable3[[#This Row],[Profit]]/RawSalesTable3[[#This Row],[Revenue]]</f>
        <v>0.42406338122733983</v>
      </c>
      <c r="Z128" s="27" t="str">
        <f>TEXT(RawSalesTable3[[#This Row],[Order_Date_Clean]],"MMM YYYY")</f>
        <v>Sep 2025</v>
      </c>
      <c r="AA128" s="27"/>
      <c r="AB128" s="27">
        <f t="shared" si="12"/>
        <v>0</v>
      </c>
      <c r="AC128" s="27">
        <f t="shared" si="13"/>
        <v>0</v>
      </c>
    </row>
    <row r="129" spans="1:29">
      <c r="A129" t="s">
        <v>220</v>
      </c>
      <c r="B129" s="3" t="s">
        <v>221</v>
      </c>
      <c r="C129" t="s">
        <v>78</v>
      </c>
      <c r="D129" t="s">
        <v>62</v>
      </c>
      <c r="E129" t="s">
        <v>75</v>
      </c>
      <c r="F129" t="s">
        <v>76</v>
      </c>
      <c r="G129" s="6">
        <v>1</v>
      </c>
      <c r="H129" s="4">
        <v>117.77</v>
      </c>
      <c r="I129" s="4">
        <v>71.680000000000007</v>
      </c>
      <c r="J129" s="5">
        <v>0</v>
      </c>
      <c r="K129" s="6">
        <v>4</v>
      </c>
      <c r="L129" s="6">
        <v>4</v>
      </c>
      <c r="M129" t="s">
        <v>58</v>
      </c>
      <c r="N129" t="s">
        <v>59</v>
      </c>
      <c r="O129" t="s">
        <v>64</v>
      </c>
      <c r="P129" t="str">
        <f t="shared" si="7"/>
        <v>Individual</v>
      </c>
      <c r="Q129" t="str">
        <f t="shared" si="8"/>
        <v>London</v>
      </c>
      <c r="R129" t="str">
        <f>PROPER(TRIM(E129))</f>
        <v>Furniture</v>
      </c>
      <c r="S129" s="27">
        <f>IF(ISTEXT(B129),DATEVALUE(B129),B129)</f>
        <v>45713</v>
      </c>
      <c r="T129" s="27">
        <f>COUNTIF($A$2:$A$1986,A129)</f>
        <v>1</v>
      </c>
      <c r="U129" s="27" t="str">
        <f t="shared" si="9"/>
        <v>Bookshelf</v>
      </c>
      <c r="V129" s="27">
        <f t="shared" si="10"/>
        <v>117.77</v>
      </c>
      <c r="W129" s="27">
        <f t="shared" si="11"/>
        <v>71.680000000000007</v>
      </c>
      <c r="X129" s="27">
        <f>RawSalesTable3[[#This Row],[Revenue]]-RawSalesTable3[[#This Row],[Total_Cost]]</f>
        <v>46.089999999999989</v>
      </c>
      <c r="Y129" s="28">
        <f>RawSalesTable3[[#This Row],[Profit]]/RawSalesTable3[[#This Row],[Revenue]]</f>
        <v>0.39135603294557181</v>
      </c>
      <c r="Z129" s="27" t="str">
        <f>TEXT(RawSalesTable3[[#This Row],[Order_Date_Clean]],"MMM YYYY")</f>
        <v>Feb 2025</v>
      </c>
      <c r="AA129" s="27"/>
      <c r="AB129" s="27">
        <f t="shared" si="12"/>
        <v>0</v>
      </c>
      <c r="AC129" s="27">
        <f t="shared" si="13"/>
        <v>0</v>
      </c>
    </row>
    <row r="130" spans="1:29">
      <c r="A130" t="s">
        <v>222</v>
      </c>
      <c r="B130" s="3">
        <v>45833</v>
      </c>
      <c r="C130" t="s">
        <v>82</v>
      </c>
      <c r="D130" t="s">
        <v>62</v>
      </c>
      <c r="E130" t="s">
        <v>67</v>
      </c>
      <c r="F130" t="s">
        <v>94</v>
      </c>
      <c r="G130" s="6">
        <v>4</v>
      </c>
      <c r="H130" s="4">
        <v>34.18</v>
      </c>
      <c r="I130" s="4">
        <v>16.72</v>
      </c>
      <c r="J130" s="5">
        <v>0.1</v>
      </c>
      <c r="K130" s="6">
        <v>4</v>
      </c>
      <c r="L130" s="6"/>
      <c r="M130" t="s">
        <v>58</v>
      </c>
      <c r="N130" t="s">
        <v>59</v>
      </c>
      <c r="O130" t="s">
        <v>64</v>
      </c>
      <c r="P130" t="str">
        <f t="shared" ref="P130:P193" si="14">IF(TRIM(D130)="","Unknow",PROPER(TRIM(D130)))</f>
        <v>Individual</v>
      </c>
      <c r="Q130" t="str">
        <f t="shared" ref="Q130:Q193" si="15">IF(PROPER(TRIM(C130))="Mid Lands","Midlands",PROPER(TRIM(C130)))</f>
        <v>Midlands</v>
      </c>
      <c r="R130" t="str">
        <f>PROPER(TRIM(E130))</f>
        <v>Office</v>
      </c>
      <c r="S130" s="27">
        <f>IF(ISTEXT(B130),DATEVALUE(B130),B130)</f>
        <v>45833</v>
      </c>
      <c r="T130" s="27">
        <f>COUNTIF($A$2:$A$1986,A130)</f>
        <v>1</v>
      </c>
      <c r="U130" s="27" t="str">
        <f t="shared" ref="U130:U193" si="16">TRIM(F130)</f>
        <v>Wireless Mouse</v>
      </c>
      <c r="V130" s="27">
        <f t="shared" ref="V130:V193" si="17">G130*H130*(1-J130)</f>
        <v>123.048</v>
      </c>
      <c r="W130" s="27">
        <f t="shared" ref="W130:W193" si="18">G130*I130</f>
        <v>66.88</v>
      </c>
      <c r="X130" s="27">
        <f>RawSalesTable3[[#This Row],[Revenue]]-RawSalesTable3[[#This Row],[Total_Cost]]</f>
        <v>56.168000000000006</v>
      </c>
      <c r="Y130" s="28">
        <f>RawSalesTable3[[#This Row],[Profit]]/RawSalesTable3[[#This Row],[Revenue]]</f>
        <v>0.45647227098368121</v>
      </c>
      <c r="Z130" s="27" t="str">
        <f>TEXT(RawSalesTable3[[#This Row],[Order_Date_Clean]],"MMM YYYY")</f>
        <v>Jun 2025</v>
      </c>
      <c r="AA130" s="27"/>
      <c r="AB130" s="27">
        <f t="shared" ref="AB130:AB193" si="19">SUMIF($Z:$Z,AA130,$V:$V)</f>
        <v>0</v>
      </c>
      <c r="AC130" s="27">
        <f t="shared" ref="AC130:AC193" si="20">SUMIF($Z:$Z,AA130,$X:$X)</f>
        <v>0</v>
      </c>
    </row>
    <row r="131" spans="1:29">
      <c r="A131" t="s">
        <v>223</v>
      </c>
      <c r="B131" s="3">
        <v>45858</v>
      </c>
      <c r="C131" t="s">
        <v>78</v>
      </c>
      <c r="D131" t="s">
        <v>62</v>
      </c>
      <c r="E131" t="s">
        <v>75</v>
      </c>
      <c r="F131" t="s">
        <v>146</v>
      </c>
      <c r="G131" s="6">
        <v>1</v>
      </c>
      <c r="H131" s="4">
        <v>176.68</v>
      </c>
      <c r="I131" s="4">
        <v>117.03</v>
      </c>
      <c r="J131" s="5">
        <v>0</v>
      </c>
      <c r="K131" s="6">
        <v>6</v>
      </c>
      <c r="L131" s="6"/>
      <c r="M131" t="s">
        <v>58</v>
      </c>
      <c r="N131" t="s">
        <v>59</v>
      </c>
      <c r="O131" t="s">
        <v>64</v>
      </c>
      <c r="P131" t="str">
        <f t="shared" si="14"/>
        <v>Individual</v>
      </c>
      <c r="Q131" t="str">
        <f t="shared" si="15"/>
        <v>London</v>
      </c>
      <c r="R131" t="str">
        <f>PROPER(TRIM(E131))</f>
        <v>Furniture</v>
      </c>
      <c r="S131" s="27">
        <f>IF(ISTEXT(B131),DATEVALUE(B131),B131)</f>
        <v>45858</v>
      </c>
      <c r="T131" s="27">
        <f>COUNTIF($A$2:$A$1986,A131)</f>
        <v>1</v>
      </c>
      <c r="U131" s="27" t="str">
        <f t="shared" si="16"/>
        <v>Office Chair</v>
      </c>
      <c r="V131" s="27">
        <f t="shared" si="17"/>
        <v>176.68</v>
      </c>
      <c r="W131" s="27">
        <f t="shared" si="18"/>
        <v>117.03</v>
      </c>
      <c r="X131" s="27">
        <f>RawSalesTable3[[#This Row],[Revenue]]-RawSalesTable3[[#This Row],[Total_Cost]]</f>
        <v>59.650000000000006</v>
      </c>
      <c r="Y131" s="28">
        <f>RawSalesTable3[[#This Row],[Profit]]/RawSalesTable3[[#This Row],[Revenue]]</f>
        <v>0.33761602897894499</v>
      </c>
      <c r="Z131" s="27" t="str">
        <f>TEXT(RawSalesTable3[[#This Row],[Order_Date_Clean]],"MMM YYYY")</f>
        <v>Jul 2025</v>
      </c>
      <c r="AA131" s="27"/>
      <c r="AB131" s="27">
        <f t="shared" si="19"/>
        <v>0</v>
      </c>
      <c r="AC131" s="27">
        <f t="shared" si="20"/>
        <v>0</v>
      </c>
    </row>
    <row r="132" spans="1:29">
      <c r="A132" t="s">
        <v>224</v>
      </c>
      <c r="B132" s="3">
        <v>45866</v>
      </c>
      <c r="C132" t="s">
        <v>78</v>
      </c>
      <c r="D132" t="s">
        <v>55</v>
      </c>
      <c r="E132" t="s">
        <v>67</v>
      </c>
      <c r="F132" t="s">
        <v>107</v>
      </c>
      <c r="G132" s="6">
        <v>3</v>
      </c>
      <c r="H132" s="4">
        <v>45.34</v>
      </c>
      <c r="I132" s="4">
        <v>21.46</v>
      </c>
      <c r="J132" s="5">
        <v>0</v>
      </c>
      <c r="K132" s="6">
        <v>3</v>
      </c>
      <c r="L132" s="6">
        <v>5</v>
      </c>
      <c r="M132" t="s">
        <v>58</v>
      </c>
      <c r="N132" t="s">
        <v>59</v>
      </c>
      <c r="O132" t="s">
        <v>64</v>
      </c>
      <c r="P132" t="str">
        <f t="shared" si="14"/>
        <v>Small Business</v>
      </c>
      <c r="Q132" t="str">
        <f t="shared" si="15"/>
        <v>London</v>
      </c>
      <c r="R132" t="str">
        <f>PROPER(TRIM(E132))</f>
        <v>Office</v>
      </c>
      <c r="S132" s="27">
        <f>IF(ISTEXT(B132),DATEVALUE(B132),B132)</f>
        <v>45866</v>
      </c>
      <c r="T132" s="27">
        <f>COUNTIF($A$2:$A$1986,A132)</f>
        <v>1</v>
      </c>
      <c r="U132" s="27" t="str">
        <f t="shared" si="16"/>
        <v>Laptop Stand</v>
      </c>
      <c r="V132" s="27">
        <f t="shared" si="17"/>
        <v>136.02000000000001</v>
      </c>
      <c r="W132" s="27">
        <f t="shared" si="18"/>
        <v>64.38</v>
      </c>
      <c r="X132" s="27">
        <f>RawSalesTable3[[#This Row],[Revenue]]-RawSalesTable3[[#This Row],[Total_Cost]]</f>
        <v>71.640000000000015</v>
      </c>
      <c r="Y132" s="28">
        <f>RawSalesTable3[[#This Row],[Profit]]/RawSalesTable3[[#This Row],[Revenue]]</f>
        <v>0.52668725187472443</v>
      </c>
      <c r="Z132" s="27" t="str">
        <f>TEXT(RawSalesTable3[[#This Row],[Order_Date_Clean]],"MMM YYYY")</f>
        <v>Jul 2025</v>
      </c>
      <c r="AA132" s="27"/>
      <c r="AB132" s="27">
        <f t="shared" si="19"/>
        <v>0</v>
      </c>
      <c r="AC132" s="27">
        <f t="shared" si="20"/>
        <v>0</v>
      </c>
    </row>
    <row r="133" spans="1:29">
      <c r="A133" t="s">
        <v>225</v>
      </c>
      <c r="B133" s="3">
        <v>45909</v>
      </c>
      <c r="C133" t="s">
        <v>54</v>
      </c>
      <c r="D133" t="s">
        <v>62</v>
      </c>
      <c r="E133" t="s">
        <v>75</v>
      </c>
      <c r="F133" t="s">
        <v>97</v>
      </c>
      <c r="G133" s="6">
        <v>1</v>
      </c>
      <c r="H133" s="4">
        <v>93.15</v>
      </c>
      <c r="I133" s="4">
        <v>56.62</v>
      </c>
      <c r="J133" s="5">
        <v>0</v>
      </c>
      <c r="K133" s="6">
        <v>4</v>
      </c>
      <c r="L133" s="6">
        <v>4</v>
      </c>
      <c r="M133" t="s">
        <v>58</v>
      </c>
      <c r="N133" t="s">
        <v>69</v>
      </c>
      <c r="O133" t="s">
        <v>64</v>
      </c>
      <c r="P133" t="str">
        <f t="shared" si="14"/>
        <v>Individual</v>
      </c>
      <c r="Q133" t="str">
        <f t="shared" si="15"/>
        <v>North</v>
      </c>
      <c r="R133" t="str">
        <f>PROPER(TRIM(E133))</f>
        <v>Furniture</v>
      </c>
      <c r="S133" s="27">
        <f>IF(ISTEXT(B133),DATEVALUE(B133),B133)</f>
        <v>45909</v>
      </c>
      <c r="T133" s="27">
        <f>COUNTIF($A$2:$A$1986,A133)</f>
        <v>1</v>
      </c>
      <c r="U133" s="27" t="str">
        <f t="shared" si="16"/>
        <v>Side Table</v>
      </c>
      <c r="V133" s="27">
        <f t="shared" si="17"/>
        <v>93.15</v>
      </c>
      <c r="W133" s="27">
        <f t="shared" si="18"/>
        <v>56.62</v>
      </c>
      <c r="X133" s="27">
        <f>RawSalesTable3[[#This Row],[Revenue]]-RawSalesTable3[[#This Row],[Total_Cost]]</f>
        <v>36.530000000000008</v>
      </c>
      <c r="Y133" s="28">
        <f>RawSalesTable3[[#This Row],[Profit]]/RawSalesTable3[[#This Row],[Revenue]]</f>
        <v>0.39216317767042413</v>
      </c>
      <c r="Z133" s="27" t="str">
        <f>TEXT(RawSalesTable3[[#This Row],[Order_Date_Clean]],"MMM YYYY")</f>
        <v>Sep 2025</v>
      </c>
      <c r="AA133" s="27"/>
      <c r="AB133" s="27">
        <f t="shared" si="19"/>
        <v>0</v>
      </c>
      <c r="AC133" s="27">
        <f t="shared" si="20"/>
        <v>0</v>
      </c>
    </row>
    <row r="134" spans="1:29">
      <c r="A134" t="s">
        <v>226</v>
      </c>
      <c r="B134" s="3">
        <v>45808</v>
      </c>
      <c r="C134" t="s">
        <v>82</v>
      </c>
      <c r="D134" t="s">
        <v>62</v>
      </c>
      <c r="E134" t="s">
        <v>227</v>
      </c>
      <c r="F134" t="s">
        <v>92</v>
      </c>
      <c r="G134" s="6">
        <v>2</v>
      </c>
      <c r="H134" s="4">
        <v>48.66</v>
      </c>
      <c r="I134" s="4">
        <v>26.65</v>
      </c>
      <c r="J134" s="5">
        <v>0</v>
      </c>
      <c r="K134" s="6">
        <v>6</v>
      </c>
      <c r="L134" s="6">
        <v>4</v>
      </c>
      <c r="M134" t="s">
        <v>58</v>
      </c>
      <c r="N134" t="s">
        <v>59</v>
      </c>
      <c r="O134" t="s">
        <v>73</v>
      </c>
      <c r="P134" t="str">
        <f t="shared" si="14"/>
        <v>Individual</v>
      </c>
      <c r="Q134" t="str">
        <f t="shared" si="15"/>
        <v>Midlands</v>
      </c>
      <c r="R134" t="str">
        <f>PROPER(TRIM(E134))</f>
        <v>Electronics</v>
      </c>
      <c r="S134" s="27">
        <f>IF(ISTEXT(B134),DATEVALUE(B134),B134)</f>
        <v>45808</v>
      </c>
      <c r="T134" s="27">
        <f>COUNTIF($A$2:$A$1986,A134)</f>
        <v>1</v>
      </c>
      <c r="U134" s="27" t="str">
        <f t="shared" si="16"/>
        <v>Webcam</v>
      </c>
      <c r="V134" s="27">
        <f t="shared" si="17"/>
        <v>97.32</v>
      </c>
      <c r="W134" s="27">
        <f t="shared" si="18"/>
        <v>53.3</v>
      </c>
      <c r="X134" s="27">
        <f>RawSalesTable3[[#This Row],[Revenue]]-RawSalesTable3[[#This Row],[Total_Cost]]</f>
        <v>44.019999999999996</v>
      </c>
      <c r="Y134" s="28">
        <f>RawSalesTable3[[#This Row],[Profit]]/RawSalesTable3[[#This Row],[Revenue]]</f>
        <v>0.45232223592272913</v>
      </c>
      <c r="Z134" s="27" t="str">
        <f>TEXT(RawSalesTable3[[#This Row],[Order_Date_Clean]],"MMM YYYY")</f>
        <v>May 2025</v>
      </c>
      <c r="AA134" s="27"/>
      <c r="AB134" s="27">
        <f t="shared" si="19"/>
        <v>0</v>
      </c>
      <c r="AC134" s="27">
        <f t="shared" si="20"/>
        <v>0</v>
      </c>
    </row>
    <row r="135" spans="1:29">
      <c r="A135" t="s">
        <v>228</v>
      </c>
      <c r="B135" s="3">
        <v>45729</v>
      </c>
      <c r="C135" t="s">
        <v>82</v>
      </c>
      <c r="D135" t="s">
        <v>62</v>
      </c>
      <c r="E135" t="s">
        <v>75</v>
      </c>
      <c r="F135" t="s">
        <v>97</v>
      </c>
      <c r="G135" s="6">
        <v>2</v>
      </c>
      <c r="H135" s="4">
        <v>90.91</v>
      </c>
      <c r="I135" s="4">
        <v>53.15</v>
      </c>
      <c r="J135" s="5">
        <v>0.05</v>
      </c>
      <c r="K135" s="6">
        <v>6</v>
      </c>
      <c r="L135" s="6">
        <v>3</v>
      </c>
      <c r="M135" t="s">
        <v>58</v>
      </c>
      <c r="N135" t="s">
        <v>69</v>
      </c>
      <c r="O135" t="s">
        <v>64</v>
      </c>
      <c r="P135" t="str">
        <f t="shared" si="14"/>
        <v>Individual</v>
      </c>
      <c r="Q135" t="str">
        <f t="shared" si="15"/>
        <v>Midlands</v>
      </c>
      <c r="R135" t="str">
        <f>PROPER(TRIM(E135))</f>
        <v>Furniture</v>
      </c>
      <c r="S135" s="27">
        <f>IF(ISTEXT(B135),DATEVALUE(B135),B135)</f>
        <v>45729</v>
      </c>
      <c r="T135" s="27">
        <f>COUNTIF($A$2:$A$1986,A135)</f>
        <v>1</v>
      </c>
      <c r="U135" s="27" t="str">
        <f t="shared" si="16"/>
        <v>Side Table</v>
      </c>
      <c r="V135" s="27">
        <f t="shared" si="17"/>
        <v>172.72899999999998</v>
      </c>
      <c r="W135" s="27">
        <f t="shared" si="18"/>
        <v>106.3</v>
      </c>
      <c r="X135" s="27">
        <f>RawSalesTable3[[#This Row],[Revenue]]-RawSalesTable3[[#This Row],[Total_Cost]]</f>
        <v>66.428999999999988</v>
      </c>
      <c r="Y135" s="28">
        <f>RawSalesTable3[[#This Row],[Profit]]/RawSalesTable3[[#This Row],[Revenue]]</f>
        <v>0.38458510151740583</v>
      </c>
      <c r="Z135" s="27" t="str">
        <f>TEXT(RawSalesTable3[[#This Row],[Order_Date_Clean]],"MMM YYYY")</f>
        <v>Mar 2025</v>
      </c>
      <c r="AA135" s="27"/>
      <c r="AB135" s="27">
        <f t="shared" si="19"/>
        <v>0</v>
      </c>
      <c r="AC135" s="27">
        <f t="shared" si="20"/>
        <v>0</v>
      </c>
    </row>
    <row r="136" spans="1:29">
      <c r="A136" t="s">
        <v>229</v>
      </c>
      <c r="B136" s="3">
        <v>45711</v>
      </c>
      <c r="C136" t="s">
        <v>78</v>
      </c>
      <c r="D136" t="s">
        <v>62</v>
      </c>
      <c r="E136" t="s">
        <v>79</v>
      </c>
      <c r="F136" t="s">
        <v>92</v>
      </c>
      <c r="G136" s="6">
        <v>2</v>
      </c>
      <c r="H136" s="4">
        <v>49.96</v>
      </c>
      <c r="I136" s="4">
        <v>25.6</v>
      </c>
      <c r="J136" s="5">
        <v>0</v>
      </c>
      <c r="K136" s="6">
        <v>2</v>
      </c>
      <c r="L136" s="6">
        <v>5</v>
      </c>
      <c r="M136" t="s">
        <v>58</v>
      </c>
      <c r="N136" t="s">
        <v>69</v>
      </c>
      <c r="O136" t="s">
        <v>64</v>
      </c>
      <c r="P136" t="str">
        <f t="shared" si="14"/>
        <v>Individual</v>
      </c>
      <c r="Q136" t="str">
        <f t="shared" si="15"/>
        <v>London</v>
      </c>
      <c r="R136" t="str">
        <f>PROPER(TRIM(E136))</f>
        <v>Electronics</v>
      </c>
      <c r="S136" s="27">
        <f>IF(ISTEXT(B136),DATEVALUE(B136),B136)</f>
        <v>45711</v>
      </c>
      <c r="T136" s="27">
        <f>COUNTIF($A$2:$A$1986,A136)</f>
        <v>1</v>
      </c>
      <c r="U136" s="27" t="str">
        <f t="shared" si="16"/>
        <v>Webcam</v>
      </c>
      <c r="V136" s="27">
        <f t="shared" si="17"/>
        <v>99.92</v>
      </c>
      <c r="W136" s="27">
        <f t="shared" si="18"/>
        <v>51.2</v>
      </c>
      <c r="X136" s="27">
        <f>RawSalesTable3[[#This Row],[Revenue]]-RawSalesTable3[[#This Row],[Total_Cost]]</f>
        <v>48.72</v>
      </c>
      <c r="Y136" s="28">
        <f>RawSalesTable3[[#This Row],[Profit]]/RawSalesTable3[[#This Row],[Revenue]]</f>
        <v>0.4875900720576461</v>
      </c>
      <c r="Z136" s="27" t="str">
        <f>TEXT(RawSalesTable3[[#This Row],[Order_Date_Clean]],"MMM YYYY")</f>
        <v>Feb 2025</v>
      </c>
      <c r="AA136" s="27"/>
      <c r="AB136" s="27">
        <f t="shared" si="19"/>
        <v>0</v>
      </c>
      <c r="AC136" s="27">
        <f t="shared" si="20"/>
        <v>0</v>
      </c>
    </row>
    <row r="137" spans="1:29">
      <c r="A137" t="s">
        <v>230</v>
      </c>
      <c r="B137" s="3">
        <v>45848</v>
      </c>
      <c r="C137" t="s">
        <v>66</v>
      </c>
      <c r="D137" t="s">
        <v>62</v>
      </c>
      <c r="E137" t="s">
        <v>75</v>
      </c>
      <c r="F137" t="s">
        <v>110</v>
      </c>
      <c r="G137" s="6">
        <v>2</v>
      </c>
      <c r="H137" s="4">
        <v>162.83000000000001</v>
      </c>
      <c r="I137" s="4">
        <v>104.04</v>
      </c>
      <c r="J137" s="5">
        <v>0.1</v>
      </c>
      <c r="K137" s="6">
        <v>6</v>
      </c>
      <c r="L137" s="6">
        <v>4</v>
      </c>
      <c r="M137" t="s">
        <v>58</v>
      </c>
      <c r="N137" t="s">
        <v>59</v>
      </c>
      <c r="O137" t="s">
        <v>64</v>
      </c>
      <c r="P137" t="str">
        <f t="shared" si="14"/>
        <v>Individual</v>
      </c>
      <c r="Q137" t="str">
        <f t="shared" si="15"/>
        <v>South</v>
      </c>
      <c r="R137" t="str">
        <f>PROPER(TRIM(E137))</f>
        <v>Furniture</v>
      </c>
      <c r="S137" s="27">
        <f>IF(ISTEXT(B137),DATEVALUE(B137),B137)</f>
        <v>45848</v>
      </c>
      <c r="T137" s="27">
        <f>COUNTIF($A$2:$A$1986,A137)</f>
        <v>1</v>
      </c>
      <c r="U137" s="27" t="str">
        <f t="shared" si="16"/>
        <v>Storage Cabinet</v>
      </c>
      <c r="V137" s="27">
        <f t="shared" si="17"/>
        <v>293.09400000000005</v>
      </c>
      <c r="W137" s="27">
        <f t="shared" si="18"/>
        <v>208.08</v>
      </c>
      <c r="X137" s="27">
        <f>RawSalesTable3[[#This Row],[Revenue]]-RawSalesTable3[[#This Row],[Total_Cost]]</f>
        <v>85.014000000000038</v>
      </c>
      <c r="Y137" s="28">
        <f>RawSalesTable3[[#This Row],[Profit]]/RawSalesTable3[[#This Row],[Revenue]]</f>
        <v>0.29005711478228835</v>
      </c>
      <c r="Z137" s="27" t="str">
        <f>TEXT(RawSalesTable3[[#This Row],[Order_Date_Clean]],"MMM YYYY")</f>
        <v>Jul 2025</v>
      </c>
      <c r="AA137" s="27"/>
      <c r="AB137" s="27">
        <f t="shared" si="19"/>
        <v>0</v>
      </c>
      <c r="AC137" s="27">
        <f t="shared" si="20"/>
        <v>0</v>
      </c>
    </row>
    <row r="138" spans="1:29">
      <c r="A138" t="s">
        <v>231</v>
      </c>
      <c r="B138" s="3">
        <v>45903</v>
      </c>
      <c r="C138" t="s">
        <v>66</v>
      </c>
      <c r="D138" t="s">
        <v>55</v>
      </c>
      <c r="E138" t="s">
        <v>79</v>
      </c>
      <c r="F138" t="s">
        <v>92</v>
      </c>
      <c r="G138" s="6">
        <v>4</v>
      </c>
      <c r="H138" s="4">
        <v>49.28</v>
      </c>
      <c r="I138" s="4">
        <v>25.73</v>
      </c>
      <c r="J138" s="5">
        <v>0.1</v>
      </c>
      <c r="K138" s="6">
        <v>1</v>
      </c>
      <c r="L138" s="6">
        <v>4</v>
      </c>
      <c r="M138" t="s">
        <v>58</v>
      </c>
      <c r="N138" t="s">
        <v>59</v>
      </c>
      <c r="O138" t="s">
        <v>64</v>
      </c>
      <c r="P138" t="str">
        <f t="shared" si="14"/>
        <v>Small Business</v>
      </c>
      <c r="Q138" t="str">
        <f t="shared" si="15"/>
        <v>South</v>
      </c>
      <c r="R138" t="str">
        <f>PROPER(TRIM(E138))</f>
        <v>Electronics</v>
      </c>
      <c r="S138" s="27">
        <f>IF(ISTEXT(B138),DATEVALUE(B138),B138)</f>
        <v>45903</v>
      </c>
      <c r="T138" s="27">
        <f>COUNTIF($A$2:$A$1986,A138)</f>
        <v>1</v>
      </c>
      <c r="U138" s="27" t="str">
        <f t="shared" si="16"/>
        <v>Webcam</v>
      </c>
      <c r="V138" s="27">
        <f t="shared" si="17"/>
        <v>177.40800000000002</v>
      </c>
      <c r="W138" s="27">
        <f t="shared" si="18"/>
        <v>102.92</v>
      </c>
      <c r="X138" s="27">
        <f>RawSalesTable3[[#This Row],[Revenue]]-RawSalesTable3[[#This Row],[Total_Cost]]</f>
        <v>74.488000000000014</v>
      </c>
      <c r="Y138" s="28">
        <f>RawSalesTable3[[#This Row],[Profit]]/RawSalesTable3[[#This Row],[Revenue]]</f>
        <v>0.41986832611832614</v>
      </c>
      <c r="Z138" s="27" t="str">
        <f>TEXT(RawSalesTable3[[#This Row],[Order_Date_Clean]],"MMM YYYY")</f>
        <v>Sep 2025</v>
      </c>
      <c r="AA138" s="27"/>
      <c r="AB138" s="27">
        <f t="shared" si="19"/>
        <v>0</v>
      </c>
      <c r="AC138" s="27">
        <f t="shared" si="20"/>
        <v>0</v>
      </c>
    </row>
    <row r="139" spans="1:29">
      <c r="A139" t="s">
        <v>232</v>
      </c>
      <c r="B139" s="3">
        <v>45753</v>
      </c>
      <c r="C139" t="s">
        <v>82</v>
      </c>
      <c r="D139" t="s">
        <v>62</v>
      </c>
      <c r="E139" t="s">
        <v>56</v>
      </c>
      <c r="F139" t="s">
        <v>63</v>
      </c>
      <c r="G139" s="6">
        <v>1</v>
      </c>
      <c r="H139" s="4">
        <v>40.11</v>
      </c>
      <c r="I139" s="4">
        <v>19.52</v>
      </c>
      <c r="J139" s="5">
        <v>0.05</v>
      </c>
      <c r="K139" s="6">
        <v>2</v>
      </c>
      <c r="L139" s="6">
        <v>5</v>
      </c>
      <c r="M139" t="s">
        <v>58</v>
      </c>
      <c r="N139" t="s">
        <v>59</v>
      </c>
      <c r="O139" t="s">
        <v>60</v>
      </c>
      <c r="P139" t="str">
        <f t="shared" si="14"/>
        <v>Individual</v>
      </c>
      <c r="Q139" t="str">
        <f t="shared" si="15"/>
        <v>Midlands</v>
      </c>
      <c r="R139" t="str">
        <f>PROPER(TRIM(E139))</f>
        <v>Home &amp; Kitchen</v>
      </c>
      <c r="S139" s="27">
        <f>IF(ISTEXT(B139),DATEVALUE(B139),B139)</f>
        <v>45753</v>
      </c>
      <c r="T139" s="27">
        <f>COUNTIF($A$2:$A$1986,A139)</f>
        <v>1</v>
      </c>
      <c r="U139" s="27" t="str">
        <f t="shared" si="16"/>
        <v>Electric Kettle</v>
      </c>
      <c r="V139" s="27">
        <f t="shared" si="17"/>
        <v>38.104499999999994</v>
      </c>
      <c r="W139" s="27">
        <f t="shared" si="18"/>
        <v>19.52</v>
      </c>
      <c r="X139" s="27">
        <f>RawSalesTable3[[#This Row],[Revenue]]-RawSalesTable3[[#This Row],[Total_Cost]]</f>
        <v>18.584499999999995</v>
      </c>
      <c r="Y139" s="28">
        <f>RawSalesTable3[[#This Row],[Profit]]/RawSalesTable3[[#This Row],[Revenue]]</f>
        <v>0.48772454696951795</v>
      </c>
      <c r="Z139" s="27" t="str">
        <f>TEXT(RawSalesTable3[[#This Row],[Order_Date_Clean]],"MMM YYYY")</f>
        <v>Apr 2025</v>
      </c>
      <c r="AA139" s="27"/>
      <c r="AB139" s="27">
        <f t="shared" si="19"/>
        <v>0</v>
      </c>
      <c r="AC139" s="27">
        <f t="shared" si="20"/>
        <v>0</v>
      </c>
    </row>
    <row r="140" spans="1:29">
      <c r="A140" t="s">
        <v>233</v>
      </c>
      <c r="B140" s="3">
        <v>45837</v>
      </c>
      <c r="C140" t="s">
        <v>78</v>
      </c>
      <c r="D140" t="s">
        <v>62</v>
      </c>
      <c r="E140" t="s">
        <v>56</v>
      </c>
      <c r="F140" t="s">
        <v>89</v>
      </c>
      <c r="G140" s="6">
        <v>2</v>
      </c>
      <c r="H140" s="4">
        <v>81.98</v>
      </c>
      <c r="I140" s="4">
        <v>45.53</v>
      </c>
      <c r="J140" s="5">
        <v>0.1</v>
      </c>
      <c r="K140" s="6">
        <v>2</v>
      </c>
      <c r="L140" s="6">
        <v>5</v>
      </c>
      <c r="M140" t="s">
        <v>58</v>
      </c>
      <c r="N140" t="s">
        <v>59</v>
      </c>
      <c r="O140" t="s">
        <v>73</v>
      </c>
      <c r="P140" t="str">
        <f t="shared" si="14"/>
        <v>Individual</v>
      </c>
      <c r="Q140" t="str">
        <f t="shared" si="15"/>
        <v>London</v>
      </c>
      <c r="R140" t="str">
        <f>PROPER(TRIM(E140))</f>
        <v>Home &amp; Kitchen</v>
      </c>
      <c r="S140" s="27">
        <f>IF(ISTEXT(B140),DATEVALUE(B140),B140)</f>
        <v>45837</v>
      </c>
      <c r="T140" s="27">
        <f>COUNTIF($A$2:$A$1986,A140)</f>
        <v>1</v>
      </c>
      <c r="U140" s="27" t="str">
        <f t="shared" si="16"/>
        <v>Coffee Maker</v>
      </c>
      <c r="V140" s="27">
        <f t="shared" si="17"/>
        <v>147.56400000000002</v>
      </c>
      <c r="W140" s="27">
        <f t="shared" si="18"/>
        <v>91.06</v>
      </c>
      <c r="X140" s="27">
        <f>RawSalesTable3[[#This Row],[Revenue]]-RawSalesTable3[[#This Row],[Total_Cost]]</f>
        <v>56.504000000000019</v>
      </c>
      <c r="Y140" s="28">
        <f>RawSalesTable3[[#This Row],[Profit]]/RawSalesTable3[[#This Row],[Revenue]]</f>
        <v>0.38291182131143103</v>
      </c>
      <c r="Z140" s="27" t="str">
        <f>TEXT(RawSalesTable3[[#This Row],[Order_Date_Clean]],"MMM YYYY")</f>
        <v>Jun 2025</v>
      </c>
      <c r="AA140" s="27"/>
      <c r="AB140" s="27">
        <f t="shared" si="19"/>
        <v>0</v>
      </c>
      <c r="AC140" s="27">
        <f t="shared" si="20"/>
        <v>0</v>
      </c>
    </row>
    <row r="141" spans="1:29">
      <c r="A141" t="s">
        <v>234</v>
      </c>
      <c r="B141" s="3">
        <v>45810</v>
      </c>
      <c r="C141" t="s">
        <v>82</v>
      </c>
      <c r="D141" t="s">
        <v>62</v>
      </c>
      <c r="E141" t="s">
        <v>79</v>
      </c>
      <c r="F141" t="s">
        <v>92</v>
      </c>
      <c r="G141" s="6">
        <v>1</v>
      </c>
      <c r="H141" s="4">
        <v>50.08</v>
      </c>
      <c r="I141" s="4">
        <v>26.89</v>
      </c>
      <c r="J141" s="5">
        <v>0.05</v>
      </c>
      <c r="K141" s="6">
        <v>1</v>
      </c>
      <c r="L141" s="6">
        <v>4</v>
      </c>
      <c r="M141" t="s">
        <v>58</v>
      </c>
      <c r="N141" t="s">
        <v>87</v>
      </c>
      <c r="O141" t="s">
        <v>73</v>
      </c>
      <c r="P141" t="str">
        <f t="shared" si="14"/>
        <v>Individual</v>
      </c>
      <c r="Q141" t="str">
        <f t="shared" si="15"/>
        <v>Midlands</v>
      </c>
      <c r="R141" t="str">
        <f>PROPER(TRIM(E141))</f>
        <v>Electronics</v>
      </c>
      <c r="S141" s="27">
        <f>IF(ISTEXT(B141),DATEVALUE(B141),B141)</f>
        <v>45810</v>
      </c>
      <c r="T141" s="27">
        <f>COUNTIF($A$2:$A$1986,A141)</f>
        <v>1</v>
      </c>
      <c r="U141" s="27" t="str">
        <f t="shared" si="16"/>
        <v>Webcam</v>
      </c>
      <c r="V141" s="27">
        <f t="shared" si="17"/>
        <v>47.575999999999993</v>
      </c>
      <c r="W141" s="27">
        <f t="shared" si="18"/>
        <v>26.89</v>
      </c>
      <c r="X141" s="27">
        <f>RawSalesTable3[[#This Row],[Revenue]]-RawSalesTable3[[#This Row],[Total_Cost]]</f>
        <v>20.685999999999993</v>
      </c>
      <c r="Y141" s="28">
        <f>RawSalesTable3[[#This Row],[Profit]]/RawSalesTable3[[#This Row],[Revenue]]</f>
        <v>0.43479905834874716</v>
      </c>
      <c r="Z141" s="27" t="str">
        <f>TEXT(RawSalesTable3[[#This Row],[Order_Date_Clean]],"MMM YYYY")</f>
        <v>Jun 2025</v>
      </c>
      <c r="AA141" s="27"/>
      <c r="AB141" s="27">
        <f t="shared" si="19"/>
        <v>0</v>
      </c>
      <c r="AC141" s="27">
        <f t="shared" si="20"/>
        <v>0</v>
      </c>
    </row>
    <row r="142" spans="1:29">
      <c r="A142" t="s">
        <v>235</v>
      </c>
      <c r="B142" s="3">
        <v>45994</v>
      </c>
      <c r="C142" t="s">
        <v>66</v>
      </c>
      <c r="D142" t="s">
        <v>55</v>
      </c>
      <c r="E142" t="s">
        <v>79</v>
      </c>
      <c r="F142" t="s">
        <v>85</v>
      </c>
      <c r="G142" s="6">
        <v>6</v>
      </c>
      <c r="H142" s="4">
        <v>126.2</v>
      </c>
      <c r="I142" s="4">
        <v>84.77</v>
      </c>
      <c r="J142" s="5">
        <v>0.1</v>
      </c>
      <c r="K142" s="6">
        <v>2</v>
      </c>
      <c r="L142" s="6">
        <v>4</v>
      </c>
      <c r="M142" t="s">
        <v>58</v>
      </c>
      <c r="N142" t="s">
        <v>69</v>
      </c>
      <c r="O142" t="s">
        <v>64</v>
      </c>
      <c r="P142" t="str">
        <f t="shared" si="14"/>
        <v>Small Business</v>
      </c>
      <c r="Q142" t="str">
        <f t="shared" si="15"/>
        <v>South</v>
      </c>
      <c r="R142" t="str">
        <f>PROPER(TRIM(E142))</f>
        <v>Electronics</v>
      </c>
      <c r="S142" s="27">
        <f>IF(ISTEXT(B142),DATEVALUE(B142),B142)</f>
        <v>45994</v>
      </c>
      <c r="T142" s="27">
        <f>COUNTIF($A$2:$A$1986,A142)</f>
        <v>1</v>
      </c>
      <c r="U142" s="27" t="str">
        <f t="shared" si="16"/>
        <v>SmartHome Hub</v>
      </c>
      <c r="V142" s="27">
        <f t="shared" si="17"/>
        <v>681.48</v>
      </c>
      <c r="W142" s="27">
        <f t="shared" si="18"/>
        <v>508.62</v>
      </c>
      <c r="X142" s="27">
        <f>RawSalesTable3[[#This Row],[Revenue]]-RawSalesTable3[[#This Row],[Total_Cost]]</f>
        <v>172.86</v>
      </c>
      <c r="Y142" s="28">
        <f>RawSalesTable3[[#This Row],[Profit]]/RawSalesTable3[[#This Row],[Revenue]]</f>
        <v>0.25365381229089629</v>
      </c>
      <c r="Z142" s="27" t="str">
        <f>TEXT(RawSalesTable3[[#This Row],[Order_Date_Clean]],"MMM YYYY")</f>
        <v>Dec 2025</v>
      </c>
      <c r="AA142" s="27"/>
      <c r="AB142" s="27">
        <f t="shared" si="19"/>
        <v>0</v>
      </c>
      <c r="AC142" s="27">
        <f t="shared" si="20"/>
        <v>0</v>
      </c>
    </row>
    <row r="143" spans="1:29">
      <c r="A143" t="s">
        <v>236</v>
      </c>
      <c r="B143" s="3">
        <v>45784</v>
      </c>
      <c r="C143" t="s">
        <v>78</v>
      </c>
      <c r="D143" t="s">
        <v>62</v>
      </c>
      <c r="E143" t="s">
        <v>56</v>
      </c>
      <c r="F143" t="s">
        <v>89</v>
      </c>
      <c r="G143" s="6">
        <v>1</v>
      </c>
      <c r="H143" s="4">
        <v>77.94</v>
      </c>
      <c r="I143" s="4">
        <v>45.7</v>
      </c>
      <c r="J143" s="5">
        <v>0</v>
      </c>
      <c r="K143" s="6">
        <v>3</v>
      </c>
      <c r="L143" s="6">
        <v>5</v>
      </c>
      <c r="M143" t="s">
        <v>58</v>
      </c>
      <c r="N143" t="s">
        <v>59</v>
      </c>
      <c r="O143" t="s">
        <v>73</v>
      </c>
      <c r="P143" t="str">
        <f t="shared" si="14"/>
        <v>Individual</v>
      </c>
      <c r="Q143" t="str">
        <f t="shared" si="15"/>
        <v>London</v>
      </c>
      <c r="R143" t="str">
        <f>PROPER(TRIM(E143))</f>
        <v>Home &amp; Kitchen</v>
      </c>
      <c r="S143" s="27">
        <f>IF(ISTEXT(B143),DATEVALUE(B143),B143)</f>
        <v>45784</v>
      </c>
      <c r="T143" s="27">
        <f>COUNTIF($A$2:$A$1986,A143)</f>
        <v>1</v>
      </c>
      <c r="U143" s="27" t="str">
        <f t="shared" si="16"/>
        <v>Coffee Maker</v>
      </c>
      <c r="V143" s="27">
        <f t="shared" si="17"/>
        <v>77.94</v>
      </c>
      <c r="W143" s="27">
        <f t="shared" si="18"/>
        <v>45.7</v>
      </c>
      <c r="X143" s="27">
        <f>RawSalesTable3[[#This Row],[Revenue]]-RawSalesTable3[[#This Row],[Total_Cost]]</f>
        <v>32.239999999999995</v>
      </c>
      <c r="Y143" s="28">
        <f>RawSalesTable3[[#This Row],[Profit]]/RawSalesTable3[[#This Row],[Revenue]]</f>
        <v>0.41365152681549905</v>
      </c>
      <c r="Z143" s="27" t="str">
        <f>TEXT(RawSalesTable3[[#This Row],[Order_Date_Clean]],"MMM YYYY")</f>
        <v>May 2025</v>
      </c>
      <c r="AA143" s="27"/>
      <c r="AB143" s="27">
        <f t="shared" si="19"/>
        <v>0</v>
      </c>
      <c r="AC143" s="27">
        <f t="shared" si="20"/>
        <v>0</v>
      </c>
    </row>
    <row r="144" spans="1:29">
      <c r="A144" t="s">
        <v>237</v>
      </c>
      <c r="B144" s="3">
        <v>45914</v>
      </c>
      <c r="C144" t="s">
        <v>82</v>
      </c>
      <c r="D144" t="s">
        <v>62</v>
      </c>
      <c r="E144" t="s">
        <v>67</v>
      </c>
      <c r="F144" t="s">
        <v>68</v>
      </c>
      <c r="G144" s="6">
        <v>2</v>
      </c>
      <c r="H144" s="4">
        <v>40.07</v>
      </c>
      <c r="I144" s="4">
        <v>18.7</v>
      </c>
      <c r="J144" s="5">
        <v>0</v>
      </c>
      <c r="K144" s="6">
        <v>4</v>
      </c>
      <c r="L144" s="6">
        <v>4</v>
      </c>
      <c r="M144" t="s">
        <v>58</v>
      </c>
      <c r="N144" t="s">
        <v>59</v>
      </c>
      <c r="O144" t="s">
        <v>64</v>
      </c>
      <c r="P144" t="str">
        <f t="shared" si="14"/>
        <v>Individual</v>
      </c>
      <c r="Q144" t="str">
        <f t="shared" si="15"/>
        <v>Midlands</v>
      </c>
      <c r="R144" t="str">
        <f>PROPER(TRIM(E144))</f>
        <v>Office</v>
      </c>
      <c r="S144" s="27">
        <f>IF(ISTEXT(B144),DATEVALUE(B144),B144)</f>
        <v>45914</v>
      </c>
      <c r="T144" s="27">
        <f>COUNTIF($A$2:$A$1986,A144)</f>
        <v>1</v>
      </c>
      <c r="U144" s="27" t="str">
        <f t="shared" si="16"/>
        <v>Desk Lamp</v>
      </c>
      <c r="V144" s="27">
        <f t="shared" si="17"/>
        <v>80.14</v>
      </c>
      <c r="W144" s="27">
        <f t="shared" si="18"/>
        <v>37.4</v>
      </c>
      <c r="X144" s="27">
        <f>RawSalesTable3[[#This Row],[Revenue]]-RawSalesTable3[[#This Row],[Total_Cost]]</f>
        <v>42.74</v>
      </c>
      <c r="Y144" s="28">
        <f>RawSalesTable3[[#This Row],[Profit]]/RawSalesTable3[[#This Row],[Revenue]]</f>
        <v>0.53331669578238083</v>
      </c>
      <c r="Z144" s="27" t="str">
        <f>TEXT(RawSalesTable3[[#This Row],[Order_Date_Clean]],"MMM YYYY")</f>
        <v>Sep 2025</v>
      </c>
      <c r="AA144" s="27"/>
      <c r="AB144" s="27">
        <f t="shared" si="19"/>
        <v>0</v>
      </c>
      <c r="AC144" s="27">
        <f t="shared" si="20"/>
        <v>0</v>
      </c>
    </row>
    <row r="145" spans="1:29">
      <c r="A145" t="s">
        <v>238</v>
      </c>
      <c r="B145" s="3">
        <v>45970</v>
      </c>
      <c r="C145" t="s">
        <v>54</v>
      </c>
      <c r="D145" t="s">
        <v>62</v>
      </c>
      <c r="E145" t="s">
        <v>79</v>
      </c>
      <c r="F145" t="s">
        <v>92</v>
      </c>
      <c r="G145" s="6">
        <v>2</v>
      </c>
      <c r="H145" s="4">
        <v>50.51</v>
      </c>
      <c r="I145" s="4">
        <v>26.89</v>
      </c>
      <c r="J145" s="5">
        <v>0.15000000000000002</v>
      </c>
      <c r="K145" s="6">
        <v>7</v>
      </c>
      <c r="L145" s="6">
        <v>3</v>
      </c>
      <c r="M145" t="s">
        <v>126</v>
      </c>
      <c r="N145" t="s">
        <v>87</v>
      </c>
      <c r="O145" t="s">
        <v>73</v>
      </c>
      <c r="P145" t="str">
        <f t="shared" si="14"/>
        <v>Individual</v>
      </c>
      <c r="Q145" t="str">
        <f t="shared" si="15"/>
        <v>North</v>
      </c>
      <c r="R145" t="str">
        <f>PROPER(TRIM(E145))</f>
        <v>Electronics</v>
      </c>
      <c r="S145" s="27">
        <f>IF(ISTEXT(B145),DATEVALUE(B145),B145)</f>
        <v>45970</v>
      </c>
      <c r="T145" s="27">
        <f>COUNTIF($A$2:$A$1986,A145)</f>
        <v>1</v>
      </c>
      <c r="U145" s="27" t="str">
        <f t="shared" si="16"/>
        <v>Webcam</v>
      </c>
      <c r="V145" s="27">
        <f t="shared" si="17"/>
        <v>85.86699999999999</v>
      </c>
      <c r="W145" s="27">
        <f t="shared" si="18"/>
        <v>53.78</v>
      </c>
      <c r="X145" s="27">
        <f>RawSalesTable3[[#This Row],[Revenue]]-RawSalesTable3[[#This Row],[Total_Cost]]</f>
        <v>32.086999999999989</v>
      </c>
      <c r="Y145" s="28">
        <f>RawSalesTable3[[#This Row],[Profit]]/RawSalesTable3[[#This Row],[Revenue]]</f>
        <v>0.3736825555801413</v>
      </c>
      <c r="Z145" s="27" t="str">
        <f>TEXT(RawSalesTable3[[#This Row],[Order_Date_Clean]],"MMM YYYY")</f>
        <v>Nov 2025</v>
      </c>
      <c r="AA145" s="27"/>
      <c r="AB145" s="27">
        <f t="shared" si="19"/>
        <v>0</v>
      </c>
      <c r="AC145" s="27">
        <f t="shared" si="20"/>
        <v>0</v>
      </c>
    </row>
    <row r="146" spans="1:29">
      <c r="A146" t="s">
        <v>239</v>
      </c>
      <c r="B146" s="3">
        <v>45913</v>
      </c>
      <c r="C146" t="s">
        <v>78</v>
      </c>
      <c r="D146" t="s">
        <v>62</v>
      </c>
      <c r="E146" t="s">
        <v>67</v>
      </c>
      <c r="F146" t="s">
        <v>107</v>
      </c>
      <c r="G146" s="6">
        <v>2</v>
      </c>
      <c r="H146" s="4">
        <v>46.66</v>
      </c>
      <c r="I146" s="4">
        <v>20.75</v>
      </c>
      <c r="J146" s="5">
        <v>0</v>
      </c>
      <c r="K146" s="6">
        <v>0</v>
      </c>
      <c r="L146" s="6">
        <v>4</v>
      </c>
      <c r="M146" t="s">
        <v>58</v>
      </c>
      <c r="N146" t="s">
        <v>69</v>
      </c>
      <c r="O146" t="s">
        <v>64</v>
      </c>
      <c r="P146" t="str">
        <f t="shared" si="14"/>
        <v>Individual</v>
      </c>
      <c r="Q146" t="str">
        <f t="shared" si="15"/>
        <v>London</v>
      </c>
      <c r="R146" t="str">
        <f>PROPER(TRIM(E146))</f>
        <v>Office</v>
      </c>
      <c r="S146" s="27">
        <f>IF(ISTEXT(B146),DATEVALUE(B146),B146)</f>
        <v>45913</v>
      </c>
      <c r="T146" s="27">
        <f>COUNTIF($A$2:$A$1986,A146)</f>
        <v>1</v>
      </c>
      <c r="U146" s="27" t="str">
        <f t="shared" si="16"/>
        <v>Laptop Stand</v>
      </c>
      <c r="V146" s="27">
        <f t="shared" si="17"/>
        <v>93.32</v>
      </c>
      <c r="W146" s="27">
        <f t="shared" si="18"/>
        <v>41.5</v>
      </c>
      <c r="X146" s="27">
        <f>RawSalesTable3[[#This Row],[Revenue]]-RawSalesTable3[[#This Row],[Total_Cost]]</f>
        <v>51.819999999999993</v>
      </c>
      <c r="Y146" s="28">
        <f>RawSalesTable3[[#This Row],[Profit]]/RawSalesTable3[[#This Row],[Revenue]]</f>
        <v>0.55529361337333905</v>
      </c>
      <c r="Z146" s="27" t="str">
        <f>TEXT(RawSalesTable3[[#This Row],[Order_Date_Clean]],"MMM YYYY")</f>
        <v>Sep 2025</v>
      </c>
      <c r="AA146" s="27"/>
      <c r="AB146" s="27">
        <f t="shared" si="19"/>
        <v>0</v>
      </c>
      <c r="AC146" s="27">
        <f t="shared" si="20"/>
        <v>0</v>
      </c>
    </row>
    <row r="147" spans="1:29">
      <c r="A147" t="s">
        <v>240</v>
      </c>
      <c r="B147" s="3">
        <v>45725</v>
      </c>
      <c r="C147" t="s">
        <v>66</v>
      </c>
      <c r="D147" t="s">
        <v>62</v>
      </c>
      <c r="E147" t="s">
        <v>75</v>
      </c>
      <c r="F147" t="s">
        <v>110</v>
      </c>
      <c r="G147" s="6">
        <v>2</v>
      </c>
      <c r="H147" s="4">
        <v>160.22</v>
      </c>
      <c r="I147" s="4">
        <v>105.76</v>
      </c>
      <c r="J147" s="5">
        <v>0.15000000000000002</v>
      </c>
      <c r="K147" s="6">
        <v>1</v>
      </c>
      <c r="L147" s="6">
        <v>5</v>
      </c>
      <c r="M147" t="s">
        <v>58</v>
      </c>
      <c r="N147" t="s">
        <v>69</v>
      </c>
      <c r="O147" t="s">
        <v>64</v>
      </c>
      <c r="P147" t="str">
        <f t="shared" si="14"/>
        <v>Individual</v>
      </c>
      <c r="Q147" t="str">
        <f t="shared" si="15"/>
        <v>South</v>
      </c>
      <c r="R147" t="str">
        <f>PROPER(TRIM(E147))</f>
        <v>Furniture</v>
      </c>
      <c r="S147" s="27">
        <f>IF(ISTEXT(B147),DATEVALUE(B147),B147)</f>
        <v>45725</v>
      </c>
      <c r="T147" s="27">
        <f>COUNTIF($A$2:$A$1986,A147)</f>
        <v>1</v>
      </c>
      <c r="U147" s="27" t="str">
        <f t="shared" si="16"/>
        <v>Storage Cabinet</v>
      </c>
      <c r="V147" s="27">
        <f t="shared" si="17"/>
        <v>272.37399999999997</v>
      </c>
      <c r="W147" s="27">
        <f t="shared" si="18"/>
        <v>211.52</v>
      </c>
      <c r="X147" s="27">
        <f>RawSalesTable3[[#This Row],[Revenue]]-RawSalesTable3[[#This Row],[Total_Cost]]</f>
        <v>60.853999999999957</v>
      </c>
      <c r="Y147" s="28">
        <f>RawSalesTable3[[#This Row],[Profit]]/RawSalesTable3[[#This Row],[Revenue]]</f>
        <v>0.22342073766218495</v>
      </c>
      <c r="Z147" s="27" t="str">
        <f>TEXT(RawSalesTable3[[#This Row],[Order_Date_Clean]],"MMM YYYY")</f>
        <v>Mar 2025</v>
      </c>
      <c r="AA147" s="27"/>
      <c r="AB147" s="27">
        <f t="shared" si="19"/>
        <v>0</v>
      </c>
      <c r="AC147" s="27">
        <f t="shared" si="20"/>
        <v>0</v>
      </c>
    </row>
    <row r="148" spans="1:29">
      <c r="A148" t="s">
        <v>241</v>
      </c>
      <c r="B148" s="3">
        <v>46000</v>
      </c>
      <c r="C148" t="s">
        <v>66</v>
      </c>
      <c r="D148" t="s">
        <v>129</v>
      </c>
      <c r="E148" t="s">
        <v>79</v>
      </c>
      <c r="F148" t="s">
        <v>92</v>
      </c>
      <c r="G148" s="6">
        <v>6</v>
      </c>
      <c r="H148" s="4">
        <v>51.83</v>
      </c>
      <c r="I148" s="4">
        <v>26.22</v>
      </c>
      <c r="J148" s="5">
        <v>0.05</v>
      </c>
      <c r="K148" s="6">
        <v>1</v>
      </c>
      <c r="L148" s="6">
        <v>5</v>
      </c>
      <c r="M148" t="s">
        <v>58</v>
      </c>
      <c r="N148" t="s">
        <v>59</v>
      </c>
      <c r="O148" t="s">
        <v>64</v>
      </c>
      <c r="P148" t="str">
        <f t="shared" si="14"/>
        <v>Corporate</v>
      </c>
      <c r="Q148" t="str">
        <f t="shared" si="15"/>
        <v>South</v>
      </c>
      <c r="R148" t="str">
        <f>PROPER(TRIM(E148))</f>
        <v>Electronics</v>
      </c>
      <c r="S148" s="27">
        <f>IF(ISTEXT(B148),DATEVALUE(B148),B148)</f>
        <v>46000</v>
      </c>
      <c r="T148" s="27">
        <f>COUNTIF($A$2:$A$1986,A148)</f>
        <v>1</v>
      </c>
      <c r="U148" s="27" t="str">
        <f t="shared" si="16"/>
        <v>Webcam</v>
      </c>
      <c r="V148" s="27">
        <f t="shared" si="17"/>
        <v>295.43099999999998</v>
      </c>
      <c r="W148" s="27">
        <f t="shared" si="18"/>
        <v>157.32</v>
      </c>
      <c r="X148" s="27">
        <f>RawSalesTable3[[#This Row],[Revenue]]-RawSalesTable3[[#This Row],[Total_Cost]]</f>
        <v>138.11099999999999</v>
      </c>
      <c r="Y148" s="28">
        <f>RawSalesTable3[[#This Row],[Profit]]/RawSalesTable3[[#This Row],[Revenue]]</f>
        <v>0.46748987073123671</v>
      </c>
      <c r="Z148" s="27" t="str">
        <f>TEXT(RawSalesTable3[[#This Row],[Order_Date_Clean]],"MMM YYYY")</f>
        <v>Dec 2025</v>
      </c>
      <c r="AA148" s="27"/>
      <c r="AB148" s="27">
        <f t="shared" si="19"/>
        <v>0</v>
      </c>
      <c r="AC148" s="27">
        <f t="shared" si="20"/>
        <v>0</v>
      </c>
    </row>
    <row r="149" spans="1:29">
      <c r="A149" t="s">
        <v>242</v>
      </c>
      <c r="B149" s="3">
        <v>45818</v>
      </c>
      <c r="C149" t="s">
        <v>78</v>
      </c>
      <c r="D149" t="s">
        <v>62</v>
      </c>
      <c r="E149" t="s">
        <v>56</v>
      </c>
      <c r="F149" t="s">
        <v>89</v>
      </c>
      <c r="G149" s="6">
        <v>2</v>
      </c>
      <c r="H149" s="4">
        <v>82.3</v>
      </c>
      <c r="I149" s="4">
        <v>43.78</v>
      </c>
      <c r="J149" s="5">
        <v>0</v>
      </c>
      <c r="K149" s="6">
        <v>0</v>
      </c>
      <c r="L149" s="6">
        <v>5</v>
      </c>
      <c r="M149" t="s">
        <v>58</v>
      </c>
      <c r="N149" t="s">
        <v>69</v>
      </c>
      <c r="O149" t="s">
        <v>64</v>
      </c>
      <c r="P149" t="str">
        <f t="shared" si="14"/>
        <v>Individual</v>
      </c>
      <c r="Q149" t="str">
        <f t="shared" si="15"/>
        <v>London</v>
      </c>
      <c r="R149" t="str">
        <f>PROPER(TRIM(E149))</f>
        <v>Home &amp; Kitchen</v>
      </c>
      <c r="S149" s="27">
        <f>IF(ISTEXT(B149),DATEVALUE(B149),B149)</f>
        <v>45818</v>
      </c>
      <c r="T149" s="27">
        <f>COUNTIF($A$2:$A$1986,A149)</f>
        <v>1</v>
      </c>
      <c r="U149" s="27" t="str">
        <f t="shared" si="16"/>
        <v>Coffee Maker</v>
      </c>
      <c r="V149" s="27">
        <f t="shared" si="17"/>
        <v>164.6</v>
      </c>
      <c r="W149" s="27">
        <f t="shared" si="18"/>
        <v>87.56</v>
      </c>
      <c r="X149" s="27">
        <f>RawSalesTable3[[#This Row],[Revenue]]-RawSalesTable3[[#This Row],[Total_Cost]]</f>
        <v>77.039999999999992</v>
      </c>
      <c r="Y149" s="28">
        <f>RawSalesTable3[[#This Row],[Profit]]/RawSalesTable3[[#This Row],[Revenue]]</f>
        <v>0.4680437424058323</v>
      </c>
      <c r="Z149" s="27" t="str">
        <f>TEXT(RawSalesTable3[[#This Row],[Order_Date_Clean]],"MMM YYYY")</f>
        <v>Jun 2025</v>
      </c>
      <c r="AA149" s="27"/>
      <c r="AB149" s="27">
        <f t="shared" si="19"/>
        <v>0</v>
      </c>
      <c r="AC149" s="27">
        <f t="shared" si="20"/>
        <v>0</v>
      </c>
    </row>
    <row r="150" spans="1:29">
      <c r="A150" t="s">
        <v>243</v>
      </c>
      <c r="B150" s="3">
        <v>46009</v>
      </c>
      <c r="C150" t="s">
        <v>82</v>
      </c>
      <c r="D150" t="s">
        <v>55</v>
      </c>
      <c r="E150" t="s">
        <v>56</v>
      </c>
      <c r="F150" t="s">
        <v>83</v>
      </c>
      <c r="G150" s="6">
        <v>5</v>
      </c>
      <c r="H150" s="4">
        <v>64.989999999999995</v>
      </c>
      <c r="I150" s="4">
        <v>34.43</v>
      </c>
      <c r="J150" s="5">
        <v>0.15000000000000002</v>
      </c>
      <c r="K150" s="6">
        <v>0</v>
      </c>
      <c r="L150" s="6">
        <v>4</v>
      </c>
      <c r="M150" t="s">
        <v>58</v>
      </c>
      <c r="N150" t="s">
        <v>69</v>
      </c>
      <c r="O150" t="s">
        <v>60</v>
      </c>
      <c r="P150" t="str">
        <f t="shared" si="14"/>
        <v>Small Business</v>
      </c>
      <c r="Q150" t="str">
        <f t="shared" si="15"/>
        <v>Midlands</v>
      </c>
      <c r="R150" t="str">
        <f>PROPER(TRIM(E150))</f>
        <v>Home &amp; Kitchen</v>
      </c>
      <c r="S150" s="27">
        <f>IF(ISTEXT(B150),DATEVALUE(B150),B150)</f>
        <v>46009</v>
      </c>
      <c r="T150" s="27">
        <f>COUNTIF($A$2:$A$1986,A150)</f>
        <v>1</v>
      </c>
      <c r="U150" s="27" t="str">
        <f t="shared" si="16"/>
        <v>Blender</v>
      </c>
      <c r="V150" s="27">
        <f t="shared" si="17"/>
        <v>276.20749999999998</v>
      </c>
      <c r="W150" s="27">
        <f t="shared" si="18"/>
        <v>172.15</v>
      </c>
      <c r="X150" s="27">
        <f>RawSalesTable3[[#This Row],[Revenue]]-RawSalesTable3[[#This Row],[Total_Cost]]</f>
        <v>104.05749999999998</v>
      </c>
      <c r="Y150" s="28">
        <f>RawSalesTable3[[#This Row],[Profit]]/RawSalesTable3[[#This Row],[Revenue]]</f>
        <v>0.37673669252283148</v>
      </c>
      <c r="Z150" s="27" t="str">
        <f>TEXT(RawSalesTable3[[#This Row],[Order_Date_Clean]],"MMM YYYY")</f>
        <v>Dec 2025</v>
      </c>
      <c r="AA150" s="27"/>
      <c r="AB150" s="27">
        <f t="shared" si="19"/>
        <v>0</v>
      </c>
      <c r="AC150" s="27">
        <f t="shared" si="20"/>
        <v>0</v>
      </c>
    </row>
    <row r="151" spans="1:29">
      <c r="A151" t="s">
        <v>244</v>
      </c>
      <c r="B151" s="3">
        <v>45920</v>
      </c>
      <c r="C151" t="s">
        <v>66</v>
      </c>
      <c r="D151" t="s">
        <v>129</v>
      </c>
      <c r="E151" t="s">
        <v>67</v>
      </c>
      <c r="F151" t="s">
        <v>107</v>
      </c>
      <c r="G151" s="6">
        <v>8</v>
      </c>
      <c r="H151" s="4">
        <v>46.03</v>
      </c>
      <c r="I151" s="4">
        <v>21.12</v>
      </c>
      <c r="J151" s="5">
        <v>0.1</v>
      </c>
      <c r="K151" s="6">
        <v>5</v>
      </c>
      <c r="L151" s="6">
        <v>4</v>
      </c>
      <c r="M151" t="s">
        <v>58</v>
      </c>
      <c r="N151" t="s">
        <v>59</v>
      </c>
      <c r="O151" t="s">
        <v>64</v>
      </c>
      <c r="P151" t="str">
        <f t="shared" si="14"/>
        <v>Corporate</v>
      </c>
      <c r="Q151" t="str">
        <f t="shared" si="15"/>
        <v>South</v>
      </c>
      <c r="R151" t="str">
        <f>PROPER(TRIM(E151))</f>
        <v>Office</v>
      </c>
      <c r="S151" s="27">
        <f>IF(ISTEXT(B151),DATEVALUE(B151),B151)</f>
        <v>45920</v>
      </c>
      <c r="T151" s="27">
        <f>COUNTIF($A$2:$A$1986,A151)</f>
        <v>1</v>
      </c>
      <c r="U151" s="27" t="str">
        <f t="shared" si="16"/>
        <v>Laptop Stand</v>
      </c>
      <c r="V151" s="27">
        <f t="shared" si="17"/>
        <v>331.416</v>
      </c>
      <c r="W151" s="27">
        <f t="shared" si="18"/>
        <v>168.96</v>
      </c>
      <c r="X151" s="27">
        <f>RawSalesTable3[[#This Row],[Revenue]]-RawSalesTable3[[#This Row],[Total_Cost]]</f>
        <v>162.45599999999999</v>
      </c>
      <c r="Y151" s="28">
        <f>RawSalesTable3[[#This Row],[Profit]]/RawSalesTable3[[#This Row],[Revenue]]</f>
        <v>0.49018755883843868</v>
      </c>
      <c r="Z151" s="27" t="str">
        <f>TEXT(RawSalesTable3[[#This Row],[Order_Date_Clean]],"MMM YYYY")</f>
        <v>Sep 2025</v>
      </c>
      <c r="AA151" s="27"/>
      <c r="AB151" s="27">
        <f t="shared" si="19"/>
        <v>0</v>
      </c>
      <c r="AC151" s="27">
        <f t="shared" si="20"/>
        <v>0</v>
      </c>
    </row>
    <row r="152" spans="1:29">
      <c r="A152" t="s">
        <v>245</v>
      </c>
      <c r="B152" s="3">
        <v>45907</v>
      </c>
      <c r="C152" t="s">
        <v>66</v>
      </c>
      <c r="D152" t="s">
        <v>62</v>
      </c>
      <c r="E152" t="s">
        <v>56</v>
      </c>
      <c r="F152" t="s">
        <v>63</v>
      </c>
      <c r="G152" s="6">
        <v>2</v>
      </c>
      <c r="H152" s="4">
        <v>40.64</v>
      </c>
      <c r="I152" s="4">
        <v>20.32</v>
      </c>
      <c r="J152" s="5">
        <v>0.05</v>
      </c>
      <c r="K152" s="6">
        <v>4</v>
      </c>
      <c r="L152" s="6">
        <v>5</v>
      </c>
      <c r="M152" t="s">
        <v>58</v>
      </c>
      <c r="N152" t="s">
        <v>59</v>
      </c>
      <c r="O152" t="s">
        <v>60</v>
      </c>
      <c r="P152" t="str">
        <f t="shared" si="14"/>
        <v>Individual</v>
      </c>
      <c r="Q152" t="str">
        <f t="shared" si="15"/>
        <v>South</v>
      </c>
      <c r="R152" t="str">
        <f>PROPER(TRIM(E152))</f>
        <v>Home &amp; Kitchen</v>
      </c>
      <c r="S152" s="27">
        <f>IF(ISTEXT(B152),DATEVALUE(B152),B152)</f>
        <v>45907</v>
      </c>
      <c r="T152" s="27">
        <f>COUNTIF($A$2:$A$1986,A152)</f>
        <v>1</v>
      </c>
      <c r="U152" s="27" t="str">
        <f t="shared" si="16"/>
        <v>Electric Kettle</v>
      </c>
      <c r="V152" s="27">
        <f t="shared" si="17"/>
        <v>77.215999999999994</v>
      </c>
      <c r="W152" s="27">
        <f t="shared" si="18"/>
        <v>40.64</v>
      </c>
      <c r="X152" s="27">
        <f>RawSalesTable3[[#This Row],[Revenue]]-RawSalesTable3[[#This Row],[Total_Cost]]</f>
        <v>36.575999999999993</v>
      </c>
      <c r="Y152" s="28">
        <f>RawSalesTable3[[#This Row],[Profit]]/RawSalesTable3[[#This Row],[Revenue]]</f>
        <v>0.47368421052631576</v>
      </c>
      <c r="Z152" s="27" t="str">
        <f>TEXT(RawSalesTable3[[#This Row],[Order_Date_Clean]],"MMM YYYY")</f>
        <v>Sep 2025</v>
      </c>
      <c r="AA152" s="27"/>
      <c r="AB152" s="27">
        <f t="shared" si="19"/>
        <v>0</v>
      </c>
      <c r="AC152" s="27">
        <f t="shared" si="20"/>
        <v>0</v>
      </c>
    </row>
    <row r="153" spans="1:29">
      <c r="A153" t="s">
        <v>246</v>
      </c>
      <c r="B153" s="3">
        <v>45747</v>
      </c>
      <c r="C153" t="s">
        <v>66</v>
      </c>
      <c r="D153" t="s">
        <v>62</v>
      </c>
      <c r="E153" t="s">
        <v>56</v>
      </c>
      <c r="F153" t="s">
        <v>89</v>
      </c>
      <c r="G153" s="6">
        <v>1</v>
      </c>
      <c r="H153" s="4">
        <v>81.180000000000007</v>
      </c>
      <c r="I153" s="4">
        <v>45.35</v>
      </c>
      <c r="J153" s="5">
        <v>0.15000000000000002</v>
      </c>
      <c r="K153" s="6">
        <v>2</v>
      </c>
      <c r="L153" s="6">
        <v>4</v>
      </c>
      <c r="M153" t="s">
        <v>58</v>
      </c>
      <c r="N153" t="s">
        <v>69</v>
      </c>
      <c r="O153" t="s">
        <v>64</v>
      </c>
      <c r="P153" t="str">
        <f t="shared" si="14"/>
        <v>Individual</v>
      </c>
      <c r="Q153" t="str">
        <f t="shared" si="15"/>
        <v>South</v>
      </c>
      <c r="R153" t="str">
        <f>PROPER(TRIM(E153))</f>
        <v>Home &amp; Kitchen</v>
      </c>
      <c r="S153" s="27">
        <f>IF(ISTEXT(B153),DATEVALUE(B153),B153)</f>
        <v>45747</v>
      </c>
      <c r="T153" s="27">
        <f>COUNTIF($A$2:$A$1986,A153)</f>
        <v>1</v>
      </c>
      <c r="U153" s="27" t="str">
        <f t="shared" si="16"/>
        <v>Coffee Maker</v>
      </c>
      <c r="V153" s="27">
        <f t="shared" si="17"/>
        <v>69.003</v>
      </c>
      <c r="W153" s="27">
        <f t="shared" si="18"/>
        <v>45.35</v>
      </c>
      <c r="X153" s="27">
        <f>RawSalesTable3[[#This Row],[Revenue]]-RawSalesTable3[[#This Row],[Total_Cost]]</f>
        <v>23.652999999999999</v>
      </c>
      <c r="Y153" s="28">
        <f>RawSalesTable3[[#This Row],[Profit]]/RawSalesTable3[[#This Row],[Revenue]]</f>
        <v>0.34278219787545466</v>
      </c>
      <c r="Z153" s="27" t="str">
        <f>TEXT(RawSalesTable3[[#This Row],[Order_Date_Clean]],"MMM YYYY")</f>
        <v>Mar 2025</v>
      </c>
      <c r="AA153" s="27"/>
      <c r="AB153" s="27">
        <f t="shared" si="19"/>
        <v>0</v>
      </c>
      <c r="AC153" s="27">
        <f t="shared" si="20"/>
        <v>0</v>
      </c>
    </row>
    <row r="154" spans="1:29">
      <c r="A154" t="s">
        <v>247</v>
      </c>
      <c r="B154" s="3">
        <v>46020</v>
      </c>
      <c r="C154" t="s">
        <v>54</v>
      </c>
      <c r="D154" t="s">
        <v>62</v>
      </c>
      <c r="E154" t="s">
        <v>67</v>
      </c>
      <c r="F154" t="s">
        <v>107</v>
      </c>
      <c r="G154" s="6">
        <v>1</v>
      </c>
      <c r="H154" s="4">
        <v>44.67</v>
      </c>
      <c r="I154" s="4">
        <v>21.8</v>
      </c>
      <c r="J154" s="5">
        <v>0.05</v>
      </c>
      <c r="K154" s="6">
        <v>3</v>
      </c>
      <c r="L154" s="6">
        <v>4</v>
      </c>
      <c r="M154" t="s">
        <v>58</v>
      </c>
      <c r="N154" t="s">
        <v>87</v>
      </c>
      <c r="O154" t="s">
        <v>60</v>
      </c>
      <c r="P154" t="str">
        <f t="shared" si="14"/>
        <v>Individual</v>
      </c>
      <c r="Q154" t="str">
        <f t="shared" si="15"/>
        <v>North</v>
      </c>
      <c r="R154" t="str">
        <f>PROPER(TRIM(E154))</f>
        <v>Office</v>
      </c>
      <c r="S154" s="27">
        <f>IF(ISTEXT(B154),DATEVALUE(B154),B154)</f>
        <v>46020</v>
      </c>
      <c r="T154" s="27">
        <f>COUNTIF($A$2:$A$1986,A154)</f>
        <v>1</v>
      </c>
      <c r="U154" s="27" t="str">
        <f t="shared" si="16"/>
        <v>Laptop Stand</v>
      </c>
      <c r="V154" s="27">
        <f t="shared" si="17"/>
        <v>42.436500000000002</v>
      </c>
      <c r="W154" s="27">
        <f t="shared" si="18"/>
        <v>21.8</v>
      </c>
      <c r="X154" s="27">
        <f>RawSalesTable3[[#This Row],[Revenue]]-RawSalesTable3[[#This Row],[Total_Cost]]</f>
        <v>20.636500000000002</v>
      </c>
      <c r="Y154" s="28">
        <f>RawSalesTable3[[#This Row],[Profit]]/RawSalesTable3[[#This Row],[Revenue]]</f>
        <v>0.48629128226880164</v>
      </c>
      <c r="Z154" s="27" t="str">
        <f>TEXT(RawSalesTable3[[#This Row],[Order_Date_Clean]],"MMM YYYY")</f>
        <v>Dec 2025</v>
      </c>
      <c r="AA154" s="27"/>
      <c r="AB154" s="27">
        <f t="shared" si="19"/>
        <v>0</v>
      </c>
      <c r="AC154" s="27">
        <f t="shared" si="20"/>
        <v>0</v>
      </c>
    </row>
    <row r="155" spans="1:29">
      <c r="A155" t="s">
        <v>248</v>
      </c>
      <c r="B155" s="3">
        <v>45741</v>
      </c>
      <c r="C155" t="s">
        <v>82</v>
      </c>
      <c r="D155" t="s">
        <v>55</v>
      </c>
      <c r="E155" t="s">
        <v>79</v>
      </c>
      <c r="F155" t="s">
        <v>80</v>
      </c>
      <c r="G155" s="6">
        <v>1</v>
      </c>
      <c r="H155" s="4">
        <v>73.45</v>
      </c>
      <c r="I155" s="4">
        <v>42.67</v>
      </c>
      <c r="J155" s="5">
        <v>0</v>
      </c>
      <c r="K155" s="6">
        <v>3</v>
      </c>
      <c r="L155" s="6">
        <v>5</v>
      </c>
      <c r="M155" t="s">
        <v>58</v>
      </c>
      <c r="N155" t="s">
        <v>87</v>
      </c>
      <c r="O155" t="s">
        <v>60</v>
      </c>
      <c r="P155" t="str">
        <f t="shared" si="14"/>
        <v>Small Business</v>
      </c>
      <c r="Q155" t="str">
        <f t="shared" si="15"/>
        <v>Midlands</v>
      </c>
      <c r="R155" t="str">
        <f>PROPER(TRIM(E155))</f>
        <v>Electronics</v>
      </c>
      <c r="S155" s="27">
        <f>IF(ISTEXT(B155),DATEVALUE(B155),B155)</f>
        <v>45741</v>
      </c>
      <c r="T155" s="27">
        <f>COUNTIF($A$2:$A$1986,A155)</f>
        <v>1</v>
      </c>
      <c r="U155" s="27" t="str">
        <f t="shared" si="16"/>
        <v>Portable Speaker</v>
      </c>
      <c r="V155" s="27">
        <f t="shared" si="17"/>
        <v>73.45</v>
      </c>
      <c r="W155" s="27">
        <f t="shared" si="18"/>
        <v>42.67</v>
      </c>
      <c r="X155" s="27">
        <f>RawSalesTable3[[#This Row],[Revenue]]-RawSalesTable3[[#This Row],[Total_Cost]]</f>
        <v>30.78</v>
      </c>
      <c r="Y155" s="28">
        <f>RawSalesTable3[[#This Row],[Profit]]/RawSalesTable3[[#This Row],[Revenue]]</f>
        <v>0.41906058543226687</v>
      </c>
      <c r="Z155" s="27" t="str">
        <f>TEXT(RawSalesTable3[[#This Row],[Order_Date_Clean]],"MMM YYYY")</f>
        <v>Mar 2025</v>
      </c>
      <c r="AA155" s="27"/>
      <c r="AB155" s="27">
        <f t="shared" si="19"/>
        <v>0</v>
      </c>
      <c r="AC155" s="27">
        <f t="shared" si="20"/>
        <v>0</v>
      </c>
    </row>
    <row r="156" spans="1:29">
      <c r="A156" t="s">
        <v>249</v>
      </c>
      <c r="B156" s="3">
        <v>45935</v>
      </c>
      <c r="C156" t="s">
        <v>82</v>
      </c>
      <c r="D156" t="s">
        <v>62</v>
      </c>
      <c r="E156" t="s">
        <v>67</v>
      </c>
      <c r="F156" t="s">
        <v>71</v>
      </c>
      <c r="G156" s="6">
        <v>1</v>
      </c>
      <c r="H156" s="4">
        <v>69.3</v>
      </c>
      <c r="I156" s="4">
        <v>36.99</v>
      </c>
      <c r="J156" s="5">
        <v>0</v>
      </c>
      <c r="K156" s="6">
        <v>6</v>
      </c>
      <c r="L156" s="6">
        <v>4</v>
      </c>
      <c r="M156" t="s">
        <v>58</v>
      </c>
      <c r="N156" t="s">
        <v>59</v>
      </c>
      <c r="O156" t="s">
        <v>64</v>
      </c>
      <c r="P156" t="str">
        <f t="shared" si="14"/>
        <v>Individual</v>
      </c>
      <c r="Q156" t="str">
        <f t="shared" si="15"/>
        <v>Midlands</v>
      </c>
      <c r="R156" t="str">
        <f>PROPER(TRIM(E156))</f>
        <v>Office</v>
      </c>
      <c r="S156" s="27">
        <f>IF(ISTEXT(B156),DATEVALUE(B156),B156)</f>
        <v>45935</v>
      </c>
      <c r="T156" s="27">
        <f>COUNTIF($A$2:$A$1986,A156)</f>
        <v>1</v>
      </c>
      <c r="U156" s="27" t="str">
        <f t="shared" si="16"/>
        <v>Ergonomic Keyboard</v>
      </c>
      <c r="V156" s="27">
        <f t="shared" si="17"/>
        <v>69.3</v>
      </c>
      <c r="W156" s="27">
        <f t="shared" si="18"/>
        <v>36.99</v>
      </c>
      <c r="X156" s="27">
        <f>RawSalesTable3[[#This Row],[Revenue]]-RawSalesTable3[[#This Row],[Total_Cost]]</f>
        <v>32.309999999999995</v>
      </c>
      <c r="Y156" s="28">
        <f>RawSalesTable3[[#This Row],[Profit]]/RawSalesTable3[[#This Row],[Revenue]]</f>
        <v>0.46623376623376617</v>
      </c>
      <c r="Z156" s="27" t="str">
        <f>TEXT(RawSalesTable3[[#This Row],[Order_Date_Clean]],"MMM YYYY")</f>
        <v>Oct 2025</v>
      </c>
      <c r="AA156" s="27"/>
      <c r="AB156" s="27">
        <f t="shared" si="19"/>
        <v>0</v>
      </c>
      <c r="AC156" s="27">
        <f t="shared" si="20"/>
        <v>0</v>
      </c>
    </row>
    <row r="157" spans="1:29">
      <c r="A157" t="s">
        <v>250</v>
      </c>
      <c r="B157" s="3">
        <v>45823</v>
      </c>
      <c r="C157" t="s">
        <v>78</v>
      </c>
      <c r="D157" t="s">
        <v>62</v>
      </c>
      <c r="E157" t="s">
        <v>56</v>
      </c>
      <c r="F157" t="s">
        <v>83</v>
      </c>
      <c r="G157" s="6">
        <v>1</v>
      </c>
      <c r="H157" s="4">
        <v>66.900000000000006</v>
      </c>
      <c r="I157" s="4">
        <v>34.85</v>
      </c>
      <c r="J157" s="5">
        <v>0.05</v>
      </c>
      <c r="K157" s="6">
        <v>0</v>
      </c>
      <c r="L157" s="6">
        <v>3</v>
      </c>
      <c r="M157" t="s">
        <v>126</v>
      </c>
      <c r="N157" t="s">
        <v>69</v>
      </c>
      <c r="O157" t="s">
        <v>64</v>
      </c>
      <c r="P157" t="str">
        <f t="shared" si="14"/>
        <v>Individual</v>
      </c>
      <c r="Q157" t="str">
        <f t="shared" si="15"/>
        <v>London</v>
      </c>
      <c r="R157" t="str">
        <f>PROPER(TRIM(E157))</f>
        <v>Home &amp; Kitchen</v>
      </c>
      <c r="S157" s="27">
        <f>IF(ISTEXT(B157),DATEVALUE(B157),B157)</f>
        <v>45823</v>
      </c>
      <c r="T157" s="27">
        <f>COUNTIF($A$2:$A$1986,A157)</f>
        <v>1</v>
      </c>
      <c r="U157" s="27" t="str">
        <f t="shared" si="16"/>
        <v>Blender</v>
      </c>
      <c r="V157" s="27">
        <f t="shared" si="17"/>
        <v>63.555</v>
      </c>
      <c r="W157" s="27">
        <f t="shared" si="18"/>
        <v>34.85</v>
      </c>
      <c r="X157" s="27">
        <f>RawSalesTable3[[#This Row],[Revenue]]-RawSalesTable3[[#This Row],[Total_Cost]]</f>
        <v>28.704999999999998</v>
      </c>
      <c r="Y157" s="28">
        <f>RawSalesTable3[[#This Row],[Profit]]/RawSalesTable3[[#This Row],[Revenue]]</f>
        <v>0.45165604594445752</v>
      </c>
      <c r="Z157" s="27" t="str">
        <f>TEXT(RawSalesTable3[[#This Row],[Order_Date_Clean]],"MMM YYYY")</f>
        <v>Jun 2025</v>
      </c>
      <c r="AA157" s="27"/>
      <c r="AB157" s="27">
        <f t="shared" si="19"/>
        <v>0</v>
      </c>
      <c r="AC157" s="27">
        <f t="shared" si="20"/>
        <v>0</v>
      </c>
    </row>
    <row r="158" spans="1:29">
      <c r="A158" t="s">
        <v>251</v>
      </c>
      <c r="B158" s="3">
        <v>45820</v>
      </c>
      <c r="C158" t="s">
        <v>78</v>
      </c>
      <c r="D158" t="s">
        <v>62</v>
      </c>
      <c r="E158" t="s">
        <v>56</v>
      </c>
      <c r="F158" t="s">
        <v>83</v>
      </c>
      <c r="G158" s="6">
        <v>1</v>
      </c>
      <c r="H158" s="4">
        <v>66.34</v>
      </c>
      <c r="I158" s="4">
        <v>35.69</v>
      </c>
      <c r="J158" s="5">
        <v>0</v>
      </c>
      <c r="K158" s="6">
        <v>4</v>
      </c>
      <c r="L158" s="6">
        <v>4</v>
      </c>
      <c r="M158" t="s">
        <v>58</v>
      </c>
      <c r="N158" t="s">
        <v>59</v>
      </c>
      <c r="O158" t="s">
        <v>64</v>
      </c>
      <c r="P158" t="str">
        <f t="shared" si="14"/>
        <v>Individual</v>
      </c>
      <c r="Q158" t="str">
        <f t="shared" si="15"/>
        <v>London</v>
      </c>
      <c r="R158" t="str">
        <f>PROPER(TRIM(E158))</f>
        <v>Home &amp; Kitchen</v>
      </c>
      <c r="S158" s="27">
        <f>IF(ISTEXT(B158),DATEVALUE(B158),B158)</f>
        <v>45820</v>
      </c>
      <c r="T158" s="27">
        <f>COUNTIF($A$2:$A$1986,A158)</f>
        <v>1</v>
      </c>
      <c r="U158" s="27" t="str">
        <f t="shared" si="16"/>
        <v>Blender</v>
      </c>
      <c r="V158" s="27">
        <f t="shared" si="17"/>
        <v>66.34</v>
      </c>
      <c r="W158" s="27">
        <f t="shared" si="18"/>
        <v>35.69</v>
      </c>
      <c r="X158" s="27">
        <f>RawSalesTable3[[#This Row],[Revenue]]-RawSalesTable3[[#This Row],[Total_Cost]]</f>
        <v>30.650000000000006</v>
      </c>
      <c r="Y158" s="28">
        <f>RawSalesTable3[[#This Row],[Profit]]/RawSalesTable3[[#This Row],[Revenue]]</f>
        <v>0.46201386795296961</v>
      </c>
      <c r="Z158" s="27" t="str">
        <f>TEXT(RawSalesTable3[[#This Row],[Order_Date_Clean]],"MMM YYYY")</f>
        <v>Jun 2025</v>
      </c>
      <c r="AA158" s="27"/>
      <c r="AB158" s="27">
        <f t="shared" si="19"/>
        <v>0</v>
      </c>
      <c r="AC158" s="27">
        <f t="shared" si="20"/>
        <v>0</v>
      </c>
    </row>
    <row r="159" spans="1:29">
      <c r="A159" t="s">
        <v>252</v>
      </c>
      <c r="B159" s="3">
        <v>45892</v>
      </c>
      <c r="C159" t="s">
        <v>66</v>
      </c>
      <c r="D159" t="s">
        <v>55</v>
      </c>
      <c r="E159" t="s">
        <v>56</v>
      </c>
      <c r="F159" t="s">
        <v>89</v>
      </c>
      <c r="G159" s="6">
        <v>1</v>
      </c>
      <c r="H159" s="4">
        <v>80.819999999999993</v>
      </c>
      <c r="I159" s="4">
        <v>46.42</v>
      </c>
      <c r="J159" s="5">
        <v>0.1</v>
      </c>
      <c r="K159" s="6">
        <v>3</v>
      </c>
      <c r="L159" s="6">
        <v>4</v>
      </c>
      <c r="M159" t="s">
        <v>58</v>
      </c>
      <c r="N159" t="s">
        <v>69</v>
      </c>
      <c r="O159" t="s">
        <v>73</v>
      </c>
      <c r="P159" t="str">
        <f t="shared" si="14"/>
        <v>Small Business</v>
      </c>
      <c r="Q159" t="str">
        <f t="shared" si="15"/>
        <v>South</v>
      </c>
      <c r="R159" t="str">
        <f>PROPER(TRIM(E159))</f>
        <v>Home &amp; Kitchen</v>
      </c>
      <c r="S159" s="27">
        <f>IF(ISTEXT(B159),DATEVALUE(B159),B159)</f>
        <v>45892</v>
      </c>
      <c r="T159" s="27">
        <f>COUNTIF($A$2:$A$1986,A159)</f>
        <v>1</v>
      </c>
      <c r="U159" s="27" t="str">
        <f t="shared" si="16"/>
        <v>Coffee Maker</v>
      </c>
      <c r="V159" s="27">
        <f t="shared" si="17"/>
        <v>72.738</v>
      </c>
      <c r="W159" s="27">
        <f t="shared" si="18"/>
        <v>46.42</v>
      </c>
      <c r="X159" s="27">
        <f>RawSalesTable3[[#This Row],[Revenue]]-RawSalesTable3[[#This Row],[Total_Cost]]</f>
        <v>26.317999999999998</v>
      </c>
      <c r="Y159" s="28">
        <f>RawSalesTable3[[#This Row],[Profit]]/RawSalesTable3[[#This Row],[Revenue]]</f>
        <v>0.36181913167807744</v>
      </c>
      <c r="Z159" s="27" t="str">
        <f>TEXT(RawSalesTable3[[#This Row],[Order_Date_Clean]],"MMM YYYY")</f>
        <v>Aug 2025</v>
      </c>
      <c r="AA159" s="27"/>
      <c r="AB159" s="27">
        <f t="shared" si="19"/>
        <v>0</v>
      </c>
      <c r="AC159" s="27">
        <f t="shared" si="20"/>
        <v>0</v>
      </c>
    </row>
    <row r="160" spans="1:29">
      <c r="A160" t="s">
        <v>253</v>
      </c>
      <c r="B160" s="3">
        <v>45694</v>
      </c>
      <c r="C160" t="s">
        <v>78</v>
      </c>
      <c r="D160" t="s">
        <v>62</v>
      </c>
      <c r="E160" t="s">
        <v>67</v>
      </c>
      <c r="F160" t="s">
        <v>107</v>
      </c>
      <c r="G160" s="6">
        <v>1</v>
      </c>
      <c r="H160" s="4">
        <v>46.43</v>
      </c>
      <c r="I160" s="4">
        <v>21.33</v>
      </c>
      <c r="J160" s="5">
        <v>0.05</v>
      </c>
      <c r="K160" s="6">
        <v>5</v>
      </c>
      <c r="L160" s="6">
        <v>3</v>
      </c>
      <c r="M160" t="s">
        <v>126</v>
      </c>
      <c r="N160" t="s">
        <v>59</v>
      </c>
      <c r="O160" t="s">
        <v>64</v>
      </c>
      <c r="P160" t="str">
        <f t="shared" si="14"/>
        <v>Individual</v>
      </c>
      <c r="Q160" t="str">
        <f t="shared" si="15"/>
        <v>London</v>
      </c>
      <c r="R160" t="str">
        <f>PROPER(TRIM(E160))</f>
        <v>Office</v>
      </c>
      <c r="S160" s="27">
        <f>IF(ISTEXT(B160),DATEVALUE(B160),B160)</f>
        <v>45694</v>
      </c>
      <c r="T160" s="27">
        <f>COUNTIF($A$2:$A$1986,A160)</f>
        <v>1</v>
      </c>
      <c r="U160" s="27" t="str">
        <f t="shared" si="16"/>
        <v>Laptop Stand</v>
      </c>
      <c r="V160" s="27">
        <f t="shared" si="17"/>
        <v>44.108499999999999</v>
      </c>
      <c r="W160" s="27">
        <f t="shared" si="18"/>
        <v>21.33</v>
      </c>
      <c r="X160" s="27">
        <f>RawSalesTable3[[#This Row],[Revenue]]-RawSalesTable3[[#This Row],[Total_Cost]]</f>
        <v>22.778500000000001</v>
      </c>
      <c r="Y160" s="28">
        <f>RawSalesTable3[[#This Row],[Profit]]/RawSalesTable3[[#This Row],[Revenue]]</f>
        <v>0.51641973769228156</v>
      </c>
      <c r="Z160" s="27" t="str">
        <f>TEXT(RawSalesTable3[[#This Row],[Order_Date_Clean]],"MMM YYYY")</f>
        <v>Feb 2025</v>
      </c>
      <c r="AA160" s="27"/>
      <c r="AB160" s="27">
        <f t="shared" si="19"/>
        <v>0</v>
      </c>
      <c r="AC160" s="27">
        <f t="shared" si="20"/>
        <v>0</v>
      </c>
    </row>
    <row r="161" spans="1:29">
      <c r="A161" t="s">
        <v>254</v>
      </c>
      <c r="B161" s="3">
        <v>45888</v>
      </c>
      <c r="C161" t="s">
        <v>82</v>
      </c>
      <c r="D161" t="s">
        <v>62</v>
      </c>
      <c r="E161" t="s">
        <v>75</v>
      </c>
      <c r="F161" t="s">
        <v>110</v>
      </c>
      <c r="G161" s="6">
        <v>1</v>
      </c>
      <c r="H161" s="4">
        <v>158.04</v>
      </c>
      <c r="I161" s="4">
        <v>105.39</v>
      </c>
      <c r="J161" s="5">
        <v>0.1</v>
      </c>
      <c r="K161" s="6">
        <v>3</v>
      </c>
      <c r="L161" s="6">
        <v>5</v>
      </c>
      <c r="M161" t="s">
        <v>58</v>
      </c>
      <c r="N161" t="s">
        <v>59</v>
      </c>
      <c r="O161" t="s">
        <v>64</v>
      </c>
      <c r="P161" t="str">
        <f t="shared" si="14"/>
        <v>Individual</v>
      </c>
      <c r="Q161" t="str">
        <f t="shared" si="15"/>
        <v>Midlands</v>
      </c>
      <c r="R161" t="str">
        <f>PROPER(TRIM(E161))</f>
        <v>Furniture</v>
      </c>
      <c r="S161" s="27">
        <f>IF(ISTEXT(B161),DATEVALUE(B161),B161)</f>
        <v>45888</v>
      </c>
      <c r="T161" s="27">
        <f>COUNTIF($A$2:$A$1986,A161)</f>
        <v>1</v>
      </c>
      <c r="U161" s="27" t="str">
        <f t="shared" si="16"/>
        <v>Storage Cabinet</v>
      </c>
      <c r="V161" s="27">
        <f t="shared" si="17"/>
        <v>142.23599999999999</v>
      </c>
      <c r="W161" s="27">
        <f t="shared" si="18"/>
        <v>105.39</v>
      </c>
      <c r="X161" s="27">
        <f>RawSalesTable3[[#This Row],[Revenue]]-RawSalesTable3[[#This Row],[Total_Cost]]</f>
        <v>36.845999999999989</v>
      </c>
      <c r="Y161" s="28">
        <f>RawSalesTable3[[#This Row],[Profit]]/RawSalesTable3[[#This Row],[Revenue]]</f>
        <v>0.25904834219185013</v>
      </c>
      <c r="Z161" s="27" t="str">
        <f>TEXT(RawSalesTable3[[#This Row],[Order_Date_Clean]],"MMM YYYY")</f>
        <v>Aug 2025</v>
      </c>
      <c r="AA161" s="27"/>
      <c r="AB161" s="27">
        <f t="shared" si="19"/>
        <v>0</v>
      </c>
      <c r="AC161" s="27">
        <f t="shared" si="20"/>
        <v>0</v>
      </c>
    </row>
    <row r="162" spans="1:29">
      <c r="A162" t="s">
        <v>255</v>
      </c>
      <c r="B162" s="3">
        <v>45839</v>
      </c>
      <c r="C162" t="s">
        <v>82</v>
      </c>
      <c r="D162" t="s">
        <v>62</v>
      </c>
      <c r="E162" t="s">
        <v>56</v>
      </c>
      <c r="F162" t="s">
        <v>57</v>
      </c>
      <c r="G162" s="6">
        <v>2</v>
      </c>
      <c r="H162" s="4">
        <v>112.74</v>
      </c>
      <c r="I162" s="4">
        <v>65.27</v>
      </c>
      <c r="J162" s="5">
        <v>0.1</v>
      </c>
      <c r="K162" s="6">
        <v>0</v>
      </c>
      <c r="L162" s="6">
        <v>4</v>
      </c>
      <c r="M162" t="s">
        <v>58</v>
      </c>
      <c r="N162" t="s">
        <v>69</v>
      </c>
      <c r="O162" t="s">
        <v>64</v>
      </c>
      <c r="P162" t="str">
        <f t="shared" si="14"/>
        <v>Individual</v>
      </c>
      <c r="Q162" t="str">
        <f t="shared" si="15"/>
        <v>Midlands</v>
      </c>
      <c r="R162" t="str">
        <f>PROPER(TRIM(E162))</f>
        <v>Home &amp; Kitchen</v>
      </c>
      <c r="S162" s="27">
        <f>IF(ISTEXT(B162),DATEVALUE(B162),B162)</f>
        <v>45839</v>
      </c>
      <c r="T162" s="27">
        <f>COUNTIF($A$2:$A$1986,A162)</f>
        <v>1</v>
      </c>
      <c r="U162" s="27" t="str">
        <f t="shared" si="16"/>
        <v>Air Fryer</v>
      </c>
      <c r="V162" s="27">
        <f t="shared" si="17"/>
        <v>202.93199999999999</v>
      </c>
      <c r="W162" s="27">
        <f t="shared" si="18"/>
        <v>130.54</v>
      </c>
      <c r="X162" s="27">
        <f>RawSalesTable3[[#This Row],[Revenue]]-RawSalesTable3[[#This Row],[Total_Cost]]</f>
        <v>72.391999999999996</v>
      </c>
      <c r="Y162" s="28">
        <f>RawSalesTable3[[#This Row],[Profit]]/RawSalesTable3[[#This Row],[Revenue]]</f>
        <v>0.35673033331362231</v>
      </c>
      <c r="Z162" s="27" t="str">
        <f>TEXT(RawSalesTable3[[#This Row],[Order_Date_Clean]],"MMM YYYY")</f>
        <v>Jul 2025</v>
      </c>
      <c r="AA162" s="27"/>
      <c r="AB162" s="27">
        <f t="shared" si="19"/>
        <v>0</v>
      </c>
      <c r="AC162" s="27">
        <f t="shared" si="20"/>
        <v>0</v>
      </c>
    </row>
    <row r="163" spans="1:29">
      <c r="A163" t="s">
        <v>256</v>
      </c>
      <c r="B163" s="3">
        <v>45831</v>
      </c>
      <c r="C163" t="s">
        <v>54</v>
      </c>
      <c r="D163" t="s">
        <v>62</v>
      </c>
      <c r="E163" t="s">
        <v>79</v>
      </c>
      <c r="F163" t="s">
        <v>80</v>
      </c>
      <c r="G163" s="6">
        <v>1</v>
      </c>
      <c r="H163" s="4">
        <v>74.09</v>
      </c>
      <c r="I163" s="4">
        <v>43.95</v>
      </c>
      <c r="J163" s="5">
        <v>0</v>
      </c>
      <c r="K163" s="6">
        <v>0</v>
      </c>
      <c r="L163" s="6">
        <v>4</v>
      </c>
      <c r="M163" t="s">
        <v>58</v>
      </c>
      <c r="N163" t="s">
        <v>69</v>
      </c>
      <c r="O163" t="s">
        <v>64</v>
      </c>
      <c r="P163" t="str">
        <f t="shared" si="14"/>
        <v>Individual</v>
      </c>
      <c r="Q163" t="str">
        <f t="shared" si="15"/>
        <v>North</v>
      </c>
      <c r="R163" t="str">
        <f>PROPER(TRIM(E163))</f>
        <v>Electronics</v>
      </c>
      <c r="S163" s="27">
        <f>IF(ISTEXT(B163),DATEVALUE(B163),B163)</f>
        <v>45831</v>
      </c>
      <c r="T163" s="27">
        <f>COUNTIF($A$2:$A$1986,A163)</f>
        <v>1</v>
      </c>
      <c r="U163" s="27" t="str">
        <f t="shared" si="16"/>
        <v>Portable Speaker</v>
      </c>
      <c r="V163" s="27">
        <f t="shared" si="17"/>
        <v>74.09</v>
      </c>
      <c r="W163" s="27">
        <f t="shared" si="18"/>
        <v>43.95</v>
      </c>
      <c r="X163" s="27">
        <f>RawSalesTable3[[#This Row],[Revenue]]-RawSalesTable3[[#This Row],[Total_Cost]]</f>
        <v>30.14</v>
      </c>
      <c r="Y163" s="28">
        <f>RawSalesTable3[[#This Row],[Profit]]/RawSalesTable3[[#This Row],[Revenue]]</f>
        <v>0.40680253745444728</v>
      </c>
      <c r="Z163" s="27" t="str">
        <f>TEXT(RawSalesTable3[[#This Row],[Order_Date_Clean]],"MMM YYYY")</f>
        <v>Jun 2025</v>
      </c>
      <c r="AA163" s="27"/>
      <c r="AB163" s="27">
        <f t="shared" si="19"/>
        <v>0</v>
      </c>
      <c r="AC163" s="27">
        <f t="shared" si="20"/>
        <v>0</v>
      </c>
    </row>
    <row r="164" spans="1:29">
      <c r="A164" t="s">
        <v>257</v>
      </c>
      <c r="B164" s="3">
        <v>45969</v>
      </c>
      <c r="C164" t="s">
        <v>82</v>
      </c>
      <c r="D164" t="s">
        <v>62</v>
      </c>
      <c r="E164" t="s">
        <v>79</v>
      </c>
      <c r="F164" t="s">
        <v>115</v>
      </c>
      <c r="G164" s="6">
        <v>4</v>
      </c>
      <c r="H164" s="4">
        <v>60.51</v>
      </c>
      <c r="I164" s="4">
        <v>33.06</v>
      </c>
      <c r="J164" s="5">
        <v>0</v>
      </c>
      <c r="K164" s="6">
        <v>0</v>
      </c>
      <c r="L164" s="6">
        <v>4</v>
      </c>
      <c r="M164" t="s">
        <v>58</v>
      </c>
      <c r="N164" t="s">
        <v>69</v>
      </c>
      <c r="O164" t="s">
        <v>60</v>
      </c>
      <c r="P164" t="str">
        <f t="shared" si="14"/>
        <v>Individual</v>
      </c>
      <c r="Q164" t="str">
        <f t="shared" si="15"/>
        <v>Midlands</v>
      </c>
      <c r="R164" t="str">
        <f>PROPER(TRIM(E164))</f>
        <v>Electronics</v>
      </c>
      <c r="S164" s="27">
        <f>IF(ISTEXT(B164),DATEVALUE(B164),B164)</f>
        <v>45969</v>
      </c>
      <c r="T164" s="27">
        <f>COUNTIF($A$2:$A$1986,A164)</f>
        <v>1</v>
      </c>
      <c r="U164" s="27" t="str">
        <f t="shared" si="16"/>
        <v>Wireless Headset</v>
      </c>
      <c r="V164" s="27">
        <f t="shared" si="17"/>
        <v>242.04</v>
      </c>
      <c r="W164" s="27">
        <f t="shared" si="18"/>
        <v>132.24</v>
      </c>
      <c r="X164" s="27">
        <f>RawSalesTable3[[#This Row],[Revenue]]-RawSalesTable3[[#This Row],[Total_Cost]]</f>
        <v>109.79999999999998</v>
      </c>
      <c r="Y164" s="28">
        <f>RawSalesTable3[[#This Row],[Profit]]/RawSalesTable3[[#This Row],[Revenue]]</f>
        <v>0.4536440257808626</v>
      </c>
      <c r="Z164" s="27" t="str">
        <f>TEXT(RawSalesTable3[[#This Row],[Order_Date_Clean]],"MMM YYYY")</f>
        <v>Nov 2025</v>
      </c>
      <c r="AA164" s="27"/>
      <c r="AB164" s="27">
        <f t="shared" si="19"/>
        <v>0</v>
      </c>
      <c r="AC164" s="27">
        <f t="shared" si="20"/>
        <v>0</v>
      </c>
    </row>
    <row r="165" spans="1:29">
      <c r="A165" t="s">
        <v>258</v>
      </c>
      <c r="B165" s="3">
        <v>46018</v>
      </c>
      <c r="C165" t="s">
        <v>82</v>
      </c>
      <c r="D165" t="s">
        <v>62</v>
      </c>
      <c r="E165" t="s">
        <v>56</v>
      </c>
      <c r="F165" t="s">
        <v>63</v>
      </c>
      <c r="G165" s="6">
        <v>2</v>
      </c>
      <c r="H165" s="4">
        <v>40.98</v>
      </c>
      <c r="I165" s="4">
        <v>19.73</v>
      </c>
      <c r="J165" s="5">
        <v>0.1</v>
      </c>
      <c r="K165" s="6">
        <v>3</v>
      </c>
      <c r="L165" s="6">
        <v>4</v>
      </c>
      <c r="M165" t="s">
        <v>58</v>
      </c>
      <c r="N165" t="s">
        <v>59</v>
      </c>
      <c r="O165" t="s">
        <v>60</v>
      </c>
      <c r="P165" t="str">
        <f t="shared" si="14"/>
        <v>Individual</v>
      </c>
      <c r="Q165" t="str">
        <f t="shared" si="15"/>
        <v>Midlands</v>
      </c>
      <c r="R165" t="str">
        <f>PROPER(TRIM(E165))</f>
        <v>Home &amp; Kitchen</v>
      </c>
      <c r="S165" s="27">
        <f>IF(ISTEXT(B165),DATEVALUE(B165),B165)</f>
        <v>46018</v>
      </c>
      <c r="T165" s="27">
        <f>COUNTIF($A$2:$A$1986,A165)</f>
        <v>1</v>
      </c>
      <c r="U165" s="27" t="str">
        <f t="shared" si="16"/>
        <v>Electric Kettle</v>
      </c>
      <c r="V165" s="27">
        <f t="shared" si="17"/>
        <v>73.763999999999996</v>
      </c>
      <c r="W165" s="27">
        <f t="shared" si="18"/>
        <v>39.46</v>
      </c>
      <c r="X165" s="27">
        <f>RawSalesTable3[[#This Row],[Revenue]]-RawSalesTable3[[#This Row],[Total_Cost]]</f>
        <v>34.303999999999995</v>
      </c>
      <c r="Y165" s="28">
        <f>RawSalesTable3[[#This Row],[Profit]]/RawSalesTable3[[#This Row],[Revenue]]</f>
        <v>0.46505070223957484</v>
      </c>
      <c r="Z165" s="27" t="str">
        <f>TEXT(RawSalesTable3[[#This Row],[Order_Date_Clean]],"MMM YYYY")</f>
        <v>Dec 2025</v>
      </c>
      <c r="AA165" s="27"/>
      <c r="AB165" s="27">
        <f t="shared" si="19"/>
        <v>0</v>
      </c>
      <c r="AC165" s="27">
        <f t="shared" si="20"/>
        <v>0</v>
      </c>
    </row>
    <row r="166" spans="1:29">
      <c r="A166" t="s">
        <v>259</v>
      </c>
      <c r="B166" s="3">
        <v>45755</v>
      </c>
      <c r="C166" t="s">
        <v>66</v>
      </c>
      <c r="D166" t="s">
        <v>62</v>
      </c>
      <c r="E166" t="s">
        <v>67</v>
      </c>
      <c r="F166" t="s">
        <v>71</v>
      </c>
      <c r="G166" s="6">
        <v>1</v>
      </c>
      <c r="H166" s="4">
        <v>70.569999999999993</v>
      </c>
      <c r="I166" s="4">
        <v>38.770000000000003</v>
      </c>
      <c r="J166" s="5">
        <v>0.15000000000000002</v>
      </c>
      <c r="K166" s="6">
        <v>3</v>
      </c>
      <c r="L166" s="6">
        <v>4</v>
      </c>
      <c r="M166" t="s">
        <v>58</v>
      </c>
      <c r="N166" t="s">
        <v>69</v>
      </c>
      <c r="O166" t="s">
        <v>73</v>
      </c>
      <c r="P166" t="str">
        <f t="shared" si="14"/>
        <v>Individual</v>
      </c>
      <c r="Q166" t="str">
        <f t="shared" si="15"/>
        <v>South</v>
      </c>
      <c r="R166" t="str">
        <f>PROPER(TRIM(E166))</f>
        <v>Office</v>
      </c>
      <c r="S166" s="27">
        <f>IF(ISTEXT(B166),DATEVALUE(B166),B166)</f>
        <v>45755</v>
      </c>
      <c r="T166" s="27">
        <f>COUNTIF($A$2:$A$1986,A166)</f>
        <v>1</v>
      </c>
      <c r="U166" s="27" t="str">
        <f t="shared" si="16"/>
        <v>Ergonomic Keyboard</v>
      </c>
      <c r="V166" s="27">
        <f t="shared" si="17"/>
        <v>59.98449999999999</v>
      </c>
      <c r="W166" s="27">
        <f t="shared" si="18"/>
        <v>38.770000000000003</v>
      </c>
      <c r="X166" s="27">
        <f>RawSalesTable3[[#This Row],[Revenue]]-RawSalesTable3[[#This Row],[Total_Cost]]</f>
        <v>21.214499999999987</v>
      </c>
      <c r="Y166" s="28">
        <f>RawSalesTable3[[#This Row],[Profit]]/RawSalesTable3[[#This Row],[Revenue]]</f>
        <v>0.35366636381065092</v>
      </c>
      <c r="Z166" s="27" t="str">
        <f>TEXT(RawSalesTable3[[#This Row],[Order_Date_Clean]],"MMM YYYY")</f>
        <v>Apr 2025</v>
      </c>
      <c r="AA166" s="27"/>
      <c r="AB166" s="27">
        <f t="shared" si="19"/>
        <v>0</v>
      </c>
      <c r="AC166" s="27">
        <f t="shared" si="20"/>
        <v>0</v>
      </c>
    </row>
    <row r="167" spans="1:29">
      <c r="A167" t="s">
        <v>260</v>
      </c>
      <c r="B167" s="3">
        <v>46013</v>
      </c>
      <c r="C167" t="s">
        <v>82</v>
      </c>
      <c r="D167" t="s">
        <v>62</v>
      </c>
      <c r="E167" t="s">
        <v>79</v>
      </c>
      <c r="F167" t="s">
        <v>92</v>
      </c>
      <c r="G167" s="6">
        <v>2</v>
      </c>
      <c r="H167" s="4">
        <v>51.19</v>
      </c>
      <c r="I167" s="4">
        <v>26.22</v>
      </c>
      <c r="J167" s="5">
        <v>0.1</v>
      </c>
      <c r="K167" s="6">
        <v>7</v>
      </c>
      <c r="L167" s="6">
        <v>4</v>
      </c>
      <c r="M167" t="s">
        <v>58</v>
      </c>
      <c r="N167" t="s">
        <v>59</v>
      </c>
      <c r="O167" t="s">
        <v>60</v>
      </c>
      <c r="P167" t="str">
        <f t="shared" si="14"/>
        <v>Individual</v>
      </c>
      <c r="Q167" t="str">
        <f t="shared" si="15"/>
        <v>Midlands</v>
      </c>
      <c r="R167" t="str">
        <f>PROPER(TRIM(E167))</f>
        <v>Electronics</v>
      </c>
      <c r="S167" s="27">
        <f>IF(ISTEXT(B167),DATEVALUE(B167),B167)</f>
        <v>46013</v>
      </c>
      <c r="T167" s="27">
        <f>COUNTIF($A$2:$A$1986,A167)</f>
        <v>1</v>
      </c>
      <c r="U167" s="27" t="str">
        <f t="shared" si="16"/>
        <v>Webcam</v>
      </c>
      <c r="V167" s="27">
        <f t="shared" si="17"/>
        <v>92.141999999999996</v>
      </c>
      <c r="W167" s="27">
        <f t="shared" si="18"/>
        <v>52.44</v>
      </c>
      <c r="X167" s="27">
        <f>RawSalesTable3[[#This Row],[Revenue]]-RawSalesTable3[[#This Row],[Total_Cost]]</f>
        <v>39.701999999999998</v>
      </c>
      <c r="Y167" s="28">
        <f>RawSalesTable3[[#This Row],[Profit]]/RawSalesTable3[[#This Row],[Revenue]]</f>
        <v>0.43087842677606303</v>
      </c>
      <c r="Z167" s="27" t="str">
        <f>TEXT(RawSalesTable3[[#This Row],[Order_Date_Clean]],"MMM YYYY")</f>
        <v>Dec 2025</v>
      </c>
      <c r="AA167" s="27"/>
      <c r="AB167" s="27">
        <f t="shared" si="19"/>
        <v>0</v>
      </c>
      <c r="AC167" s="27">
        <f t="shared" si="20"/>
        <v>0</v>
      </c>
    </row>
    <row r="168" spans="1:29">
      <c r="A168" t="s">
        <v>261</v>
      </c>
      <c r="B168" s="3">
        <v>45935</v>
      </c>
      <c r="C168" t="s">
        <v>66</v>
      </c>
      <c r="D168" t="s">
        <v>62</v>
      </c>
      <c r="E168" t="s">
        <v>79</v>
      </c>
      <c r="F168" t="s">
        <v>85</v>
      </c>
      <c r="G168" s="6">
        <v>2</v>
      </c>
      <c r="H168" s="4">
        <v>127.39</v>
      </c>
      <c r="I168" s="4">
        <v>82.79</v>
      </c>
      <c r="J168" s="5">
        <v>0.15000000000000002</v>
      </c>
      <c r="K168" s="6">
        <v>0</v>
      </c>
      <c r="L168" s="6">
        <v>4</v>
      </c>
      <c r="M168" t="s">
        <v>58</v>
      </c>
      <c r="N168" t="s">
        <v>69</v>
      </c>
      <c r="O168" t="s">
        <v>64</v>
      </c>
      <c r="P168" t="str">
        <f t="shared" si="14"/>
        <v>Individual</v>
      </c>
      <c r="Q168" t="str">
        <f t="shared" si="15"/>
        <v>South</v>
      </c>
      <c r="R168" t="str">
        <f>PROPER(TRIM(E168))</f>
        <v>Electronics</v>
      </c>
      <c r="S168" s="27">
        <f>IF(ISTEXT(B168),DATEVALUE(B168),B168)</f>
        <v>45935</v>
      </c>
      <c r="T168" s="27">
        <f>COUNTIF($A$2:$A$1986,A168)</f>
        <v>1</v>
      </c>
      <c r="U168" s="27" t="str">
        <f t="shared" si="16"/>
        <v>SmartHome Hub</v>
      </c>
      <c r="V168" s="27">
        <f t="shared" si="17"/>
        <v>216.56299999999999</v>
      </c>
      <c r="W168" s="27">
        <f t="shared" si="18"/>
        <v>165.58</v>
      </c>
      <c r="X168" s="27">
        <f>RawSalesTable3[[#This Row],[Revenue]]-RawSalesTable3[[#This Row],[Total_Cost]]</f>
        <v>50.982999999999976</v>
      </c>
      <c r="Y168" s="28">
        <f>RawSalesTable3[[#This Row],[Profit]]/RawSalesTable3[[#This Row],[Revenue]]</f>
        <v>0.23541879268388405</v>
      </c>
      <c r="Z168" s="27" t="str">
        <f>TEXT(RawSalesTable3[[#This Row],[Order_Date_Clean]],"MMM YYYY")</f>
        <v>Oct 2025</v>
      </c>
      <c r="AA168" s="27"/>
      <c r="AB168" s="27">
        <f t="shared" si="19"/>
        <v>0</v>
      </c>
      <c r="AC168" s="27">
        <f t="shared" si="20"/>
        <v>0</v>
      </c>
    </row>
    <row r="169" spans="1:29">
      <c r="A169" t="s">
        <v>262</v>
      </c>
      <c r="B169" s="3">
        <v>45797</v>
      </c>
      <c r="C169" t="s">
        <v>66</v>
      </c>
      <c r="D169" t="s">
        <v>55</v>
      </c>
      <c r="E169" t="s">
        <v>79</v>
      </c>
      <c r="F169" t="s">
        <v>80</v>
      </c>
      <c r="G169" s="6">
        <v>2</v>
      </c>
      <c r="H169" s="4">
        <v>75.239999999999995</v>
      </c>
      <c r="I169" s="4">
        <v>42.06</v>
      </c>
      <c r="J169" s="5">
        <v>0.1</v>
      </c>
      <c r="K169" s="6">
        <v>4</v>
      </c>
      <c r="L169" s="6">
        <v>4</v>
      </c>
      <c r="M169" t="s">
        <v>58</v>
      </c>
      <c r="N169" t="s">
        <v>59</v>
      </c>
      <c r="O169" t="s">
        <v>60</v>
      </c>
      <c r="P169" t="str">
        <f t="shared" si="14"/>
        <v>Small Business</v>
      </c>
      <c r="Q169" t="str">
        <f t="shared" si="15"/>
        <v>South</v>
      </c>
      <c r="R169" t="str">
        <f>PROPER(TRIM(E169))</f>
        <v>Electronics</v>
      </c>
      <c r="S169" s="27">
        <f>IF(ISTEXT(B169),DATEVALUE(B169),B169)</f>
        <v>45797</v>
      </c>
      <c r="T169" s="27">
        <f>COUNTIF($A$2:$A$1986,A169)</f>
        <v>1</v>
      </c>
      <c r="U169" s="27" t="str">
        <f t="shared" si="16"/>
        <v>Portable Speaker</v>
      </c>
      <c r="V169" s="27">
        <f t="shared" si="17"/>
        <v>135.43199999999999</v>
      </c>
      <c r="W169" s="27">
        <f t="shared" si="18"/>
        <v>84.12</v>
      </c>
      <c r="X169" s="27">
        <f>RawSalesTable3[[#This Row],[Revenue]]-RawSalesTable3[[#This Row],[Total_Cost]]</f>
        <v>51.311999999999983</v>
      </c>
      <c r="Y169" s="28">
        <f>RawSalesTable3[[#This Row],[Profit]]/RawSalesTable3[[#This Row],[Revenue]]</f>
        <v>0.37887648413964192</v>
      </c>
      <c r="Z169" s="27" t="str">
        <f>TEXT(RawSalesTable3[[#This Row],[Order_Date_Clean]],"MMM YYYY")</f>
        <v>May 2025</v>
      </c>
      <c r="AA169" s="27"/>
      <c r="AB169" s="27">
        <f t="shared" si="19"/>
        <v>0</v>
      </c>
      <c r="AC169" s="27">
        <f t="shared" si="20"/>
        <v>0</v>
      </c>
    </row>
    <row r="170" spans="1:29">
      <c r="A170" t="s">
        <v>263</v>
      </c>
      <c r="B170" s="3">
        <v>45937</v>
      </c>
      <c r="C170" t="s">
        <v>78</v>
      </c>
      <c r="D170" t="s">
        <v>62</v>
      </c>
      <c r="E170" t="s">
        <v>75</v>
      </c>
      <c r="F170" t="s">
        <v>146</v>
      </c>
      <c r="G170" s="6">
        <v>2</v>
      </c>
      <c r="H170" s="4">
        <v>185.72</v>
      </c>
      <c r="I170" s="4">
        <v>114.68</v>
      </c>
      <c r="J170" s="5">
        <v>0</v>
      </c>
      <c r="K170" s="6">
        <v>6</v>
      </c>
      <c r="L170" s="6">
        <v>3</v>
      </c>
      <c r="M170" t="s">
        <v>58</v>
      </c>
      <c r="N170" t="s">
        <v>59</v>
      </c>
      <c r="O170" t="s">
        <v>64</v>
      </c>
      <c r="P170" t="str">
        <f t="shared" si="14"/>
        <v>Individual</v>
      </c>
      <c r="Q170" t="str">
        <f t="shared" si="15"/>
        <v>London</v>
      </c>
      <c r="R170" t="str">
        <f>PROPER(TRIM(E170))</f>
        <v>Furniture</v>
      </c>
      <c r="S170" s="27">
        <f>IF(ISTEXT(B170),DATEVALUE(B170),B170)</f>
        <v>45937</v>
      </c>
      <c r="T170" s="27">
        <f>COUNTIF($A$2:$A$1986,A170)</f>
        <v>1</v>
      </c>
      <c r="U170" s="27" t="str">
        <f t="shared" si="16"/>
        <v>Office Chair</v>
      </c>
      <c r="V170" s="27">
        <f t="shared" si="17"/>
        <v>371.44</v>
      </c>
      <c r="W170" s="27">
        <f t="shared" si="18"/>
        <v>229.36</v>
      </c>
      <c r="X170" s="27">
        <f>RawSalesTable3[[#This Row],[Revenue]]-RawSalesTable3[[#This Row],[Total_Cost]]</f>
        <v>142.07999999999998</v>
      </c>
      <c r="Y170" s="28">
        <f>RawSalesTable3[[#This Row],[Profit]]/RawSalesTable3[[#This Row],[Revenue]]</f>
        <v>0.38251130734438937</v>
      </c>
      <c r="Z170" s="27" t="str">
        <f>TEXT(RawSalesTable3[[#This Row],[Order_Date_Clean]],"MMM YYYY")</f>
        <v>Oct 2025</v>
      </c>
      <c r="AA170" s="27"/>
      <c r="AB170" s="27">
        <f t="shared" si="19"/>
        <v>0</v>
      </c>
      <c r="AC170" s="27">
        <f t="shared" si="20"/>
        <v>0</v>
      </c>
    </row>
    <row r="171" spans="1:29">
      <c r="A171" t="s">
        <v>264</v>
      </c>
      <c r="B171" s="3">
        <v>45931</v>
      </c>
      <c r="C171" t="s">
        <v>82</v>
      </c>
      <c r="D171" t="s">
        <v>62</v>
      </c>
      <c r="E171" t="s">
        <v>75</v>
      </c>
      <c r="F171" t="s">
        <v>97</v>
      </c>
      <c r="G171" s="6">
        <v>4</v>
      </c>
      <c r="H171" s="4">
        <v>93.13</v>
      </c>
      <c r="I171" s="4">
        <v>54.85</v>
      </c>
      <c r="J171" s="5">
        <v>0</v>
      </c>
      <c r="K171" s="6">
        <v>5</v>
      </c>
      <c r="L171" s="6">
        <v>4</v>
      </c>
      <c r="M171" t="s">
        <v>58</v>
      </c>
      <c r="N171" t="s">
        <v>59</v>
      </c>
      <c r="O171" t="s">
        <v>60</v>
      </c>
      <c r="P171" t="str">
        <f t="shared" si="14"/>
        <v>Individual</v>
      </c>
      <c r="Q171" t="str">
        <f t="shared" si="15"/>
        <v>Midlands</v>
      </c>
      <c r="R171" t="str">
        <f>PROPER(TRIM(E171))</f>
        <v>Furniture</v>
      </c>
      <c r="S171" s="27">
        <f>IF(ISTEXT(B171),DATEVALUE(B171),B171)</f>
        <v>45931</v>
      </c>
      <c r="T171" s="27">
        <f>COUNTIF($A$2:$A$1986,A171)</f>
        <v>1</v>
      </c>
      <c r="U171" s="27" t="str">
        <f t="shared" si="16"/>
        <v>Side Table</v>
      </c>
      <c r="V171" s="27">
        <f t="shared" si="17"/>
        <v>372.52</v>
      </c>
      <c r="W171" s="27">
        <f t="shared" si="18"/>
        <v>219.4</v>
      </c>
      <c r="X171" s="27">
        <f>RawSalesTable3[[#This Row],[Revenue]]-RawSalesTable3[[#This Row],[Total_Cost]]</f>
        <v>153.11999999999998</v>
      </c>
      <c r="Y171" s="28">
        <f>RawSalesTable3[[#This Row],[Profit]]/RawSalesTable3[[#This Row],[Revenue]]</f>
        <v>0.41103833351229457</v>
      </c>
      <c r="Z171" s="27" t="str">
        <f>TEXT(RawSalesTable3[[#This Row],[Order_Date_Clean]],"MMM YYYY")</f>
        <v>Oct 2025</v>
      </c>
      <c r="AA171" s="27"/>
      <c r="AB171" s="27">
        <f t="shared" si="19"/>
        <v>0</v>
      </c>
      <c r="AC171" s="27">
        <f t="shared" si="20"/>
        <v>0</v>
      </c>
    </row>
    <row r="172" spans="1:29">
      <c r="A172" t="s">
        <v>265</v>
      </c>
      <c r="B172" s="3">
        <v>45805</v>
      </c>
      <c r="C172" t="s">
        <v>82</v>
      </c>
      <c r="D172" t="s">
        <v>62</v>
      </c>
      <c r="E172" t="s">
        <v>56</v>
      </c>
      <c r="F172" t="s">
        <v>57</v>
      </c>
      <c r="G172" s="6">
        <v>1</v>
      </c>
      <c r="H172" s="4">
        <v>108.76</v>
      </c>
      <c r="I172" s="4">
        <v>65.8</v>
      </c>
      <c r="J172" s="5">
        <v>0.05</v>
      </c>
      <c r="K172" s="6">
        <v>0</v>
      </c>
      <c r="L172" s="6">
        <v>5</v>
      </c>
      <c r="M172" t="s">
        <v>58</v>
      </c>
      <c r="N172" t="s">
        <v>69</v>
      </c>
      <c r="O172" t="s">
        <v>73</v>
      </c>
      <c r="P172" t="str">
        <f t="shared" si="14"/>
        <v>Individual</v>
      </c>
      <c r="Q172" t="str">
        <f t="shared" si="15"/>
        <v>Midlands</v>
      </c>
      <c r="R172" t="str">
        <f>PROPER(TRIM(E172))</f>
        <v>Home &amp; Kitchen</v>
      </c>
      <c r="S172" s="27">
        <f>IF(ISTEXT(B172),DATEVALUE(B172),B172)</f>
        <v>45805</v>
      </c>
      <c r="T172" s="27">
        <f>COUNTIF($A$2:$A$1986,A172)</f>
        <v>1</v>
      </c>
      <c r="U172" s="27" t="str">
        <f t="shared" si="16"/>
        <v>Air Fryer</v>
      </c>
      <c r="V172" s="27">
        <f t="shared" si="17"/>
        <v>103.322</v>
      </c>
      <c r="W172" s="27">
        <f t="shared" si="18"/>
        <v>65.8</v>
      </c>
      <c r="X172" s="27">
        <f>RawSalesTable3[[#This Row],[Revenue]]-RawSalesTable3[[#This Row],[Total_Cost]]</f>
        <v>37.522000000000006</v>
      </c>
      <c r="Y172" s="28">
        <f>RawSalesTable3[[#This Row],[Profit]]/RawSalesTable3[[#This Row],[Revenue]]</f>
        <v>0.363155959040669</v>
      </c>
      <c r="Z172" s="27" t="str">
        <f>TEXT(RawSalesTable3[[#This Row],[Order_Date_Clean]],"MMM YYYY")</f>
        <v>May 2025</v>
      </c>
      <c r="AA172" s="27"/>
      <c r="AB172" s="27">
        <f t="shared" si="19"/>
        <v>0</v>
      </c>
      <c r="AC172" s="27">
        <f t="shared" si="20"/>
        <v>0</v>
      </c>
    </row>
    <row r="173" spans="1:29">
      <c r="A173" t="s">
        <v>266</v>
      </c>
      <c r="B173" s="3">
        <v>45986</v>
      </c>
      <c r="C173" t="s">
        <v>66</v>
      </c>
      <c r="D173" t="s">
        <v>62</v>
      </c>
      <c r="E173" t="s">
        <v>75</v>
      </c>
      <c r="F173" t="s">
        <v>110</v>
      </c>
      <c r="G173" s="6">
        <v>1</v>
      </c>
      <c r="H173" s="4">
        <v>165.36</v>
      </c>
      <c r="I173" s="4">
        <v>105.01</v>
      </c>
      <c r="J173" s="5">
        <v>0.15000000000000002</v>
      </c>
      <c r="K173" s="6">
        <v>2</v>
      </c>
      <c r="L173" s="6">
        <v>5</v>
      </c>
      <c r="M173" t="s">
        <v>58</v>
      </c>
      <c r="N173" t="s">
        <v>69</v>
      </c>
      <c r="O173" t="s">
        <v>64</v>
      </c>
      <c r="P173" t="str">
        <f t="shared" si="14"/>
        <v>Individual</v>
      </c>
      <c r="Q173" t="str">
        <f t="shared" si="15"/>
        <v>South</v>
      </c>
      <c r="R173" t="str">
        <f>PROPER(TRIM(E173))</f>
        <v>Furniture</v>
      </c>
      <c r="S173" s="27">
        <f>IF(ISTEXT(B173),DATEVALUE(B173),B173)</f>
        <v>45986</v>
      </c>
      <c r="T173" s="27">
        <f>COUNTIF($A$2:$A$1986,A173)</f>
        <v>1</v>
      </c>
      <c r="U173" s="27" t="str">
        <f t="shared" si="16"/>
        <v>Storage Cabinet</v>
      </c>
      <c r="V173" s="27">
        <f t="shared" si="17"/>
        <v>140.55600000000001</v>
      </c>
      <c r="W173" s="27">
        <f t="shared" si="18"/>
        <v>105.01</v>
      </c>
      <c r="X173" s="27">
        <f>RawSalesTable3[[#This Row],[Revenue]]-RawSalesTable3[[#This Row],[Total_Cost]]</f>
        <v>35.546000000000006</v>
      </c>
      <c r="Y173" s="28">
        <f>RawSalesTable3[[#This Row],[Profit]]/RawSalesTable3[[#This Row],[Revenue]]</f>
        <v>0.2528956430177296</v>
      </c>
      <c r="Z173" s="27" t="str">
        <f>TEXT(RawSalesTable3[[#This Row],[Order_Date_Clean]],"MMM YYYY")</f>
        <v>Nov 2025</v>
      </c>
      <c r="AA173" s="27"/>
      <c r="AB173" s="27">
        <f t="shared" si="19"/>
        <v>0</v>
      </c>
      <c r="AC173" s="27">
        <f t="shared" si="20"/>
        <v>0</v>
      </c>
    </row>
    <row r="174" spans="1:29">
      <c r="A174" t="s">
        <v>267</v>
      </c>
      <c r="B174" s="3">
        <v>45852</v>
      </c>
      <c r="C174" t="s">
        <v>78</v>
      </c>
      <c r="D174" t="s">
        <v>62</v>
      </c>
      <c r="E174" t="s">
        <v>75</v>
      </c>
      <c r="F174" t="s">
        <v>76</v>
      </c>
      <c r="G174" s="6">
        <v>1</v>
      </c>
      <c r="H174" s="4">
        <v>120</v>
      </c>
      <c r="I174" s="4">
        <v>74.989999999999995</v>
      </c>
      <c r="J174" s="5">
        <v>0.05</v>
      </c>
      <c r="K174" s="6">
        <v>7</v>
      </c>
      <c r="L174" s="6">
        <v>4</v>
      </c>
      <c r="M174" t="s">
        <v>58</v>
      </c>
      <c r="N174" t="s">
        <v>59</v>
      </c>
      <c r="O174" t="s">
        <v>64</v>
      </c>
      <c r="P174" t="str">
        <f t="shared" si="14"/>
        <v>Individual</v>
      </c>
      <c r="Q174" t="str">
        <f t="shared" si="15"/>
        <v>London</v>
      </c>
      <c r="R174" t="str">
        <f>PROPER(TRIM(E174))</f>
        <v>Furniture</v>
      </c>
      <c r="S174" s="27">
        <f>IF(ISTEXT(B174),DATEVALUE(B174),B174)</f>
        <v>45852</v>
      </c>
      <c r="T174" s="27">
        <f>COUNTIF($A$2:$A$1986,A174)</f>
        <v>1</v>
      </c>
      <c r="U174" s="27" t="str">
        <f t="shared" si="16"/>
        <v>Bookshelf</v>
      </c>
      <c r="V174" s="27">
        <f t="shared" si="17"/>
        <v>114</v>
      </c>
      <c r="W174" s="27">
        <f t="shared" si="18"/>
        <v>74.989999999999995</v>
      </c>
      <c r="X174" s="27">
        <f>RawSalesTable3[[#This Row],[Revenue]]-RawSalesTable3[[#This Row],[Total_Cost]]</f>
        <v>39.010000000000005</v>
      </c>
      <c r="Y174" s="28">
        <f>RawSalesTable3[[#This Row],[Profit]]/RawSalesTable3[[#This Row],[Revenue]]</f>
        <v>0.34219298245614038</v>
      </c>
      <c r="Z174" s="27" t="str">
        <f>TEXT(RawSalesTable3[[#This Row],[Order_Date_Clean]],"MMM YYYY")</f>
        <v>Jul 2025</v>
      </c>
      <c r="AA174" s="27"/>
      <c r="AB174" s="27">
        <f t="shared" si="19"/>
        <v>0</v>
      </c>
      <c r="AC174" s="27">
        <f t="shared" si="20"/>
        <v>0</v>
      </c>
    </row>
    <row r="175" spans="1:29">
      <c r="A175" t="s">
        <v>268</v>
      </c>
      <c r="B175" s="3">
        <v>45997</v>
      </c>
      <c r="C175" t="s">
        <v>78</v>
      </c>
      <c r="D175" t="s">
        <v>129</v>
      </c>
      <c r="E175" t="s">
        <v>79</v>
      </c>
      <c r="F175" t="s">
        <v>92</v>
      </c>
      <c r="G175" s="6">
        <v>5</v>
      </c>
      <c r="H175" s="4">
        <v>50</v>
      </c>
      <c r="I175" s="4">
        <v>25.24</v>
      </c>
      <c r="J175" s="5">
        <v>0.25</v>
      </c>
      <c r="K175" s="6">
        <v>3</v>
      </c>
      <c r="L175" s="6">
        <v>4</v>
      </c>
      <c r="M175" t="s">
        <v>126</v>
      </c>
      <c r="N175" t="s">
        <v>59</v>
      </c>
      <c r="O175" t="s">
        <v>60</v>
      </c>
      <c r="P175" t="str">
        <f t="shared" si="14"/>
        <v>Corporate</v>
      </c>
      <c r="Q175" t="str">
        <f t="shared" si="15"/>
        <v>London</v>
      </c>
      <c r="R175" t="str">
        <f>PROPER(TRIM(E175))</f>
        <v>Electronics</v>
      </c>
      <c r="S175" s="27">
        <f>IF(ISTEXT(B175),DATEVALUE(B175),B175)</f>
        <v>45997</v>
      </c>
      <c r="T175" s="27">
        <f>COUNTIF($A$2:$A$1986,A175)</f>
        <v>1</v>
      </c>
      <c r="U175" s="27" t="str">
        <f t="shared" si="16"/>
        <v>Webcam</v>
      </c>
      <c r="V175" s="27">
        <f t="shared" si="17"/>
        <v>187.5</v>
      </c>
      <c r="W175" s="27">
        <f t="shared" si="18"/>
        <v>126.19999999999999</v>
      </c>
      <c r="X175" s="27">
        <f>RawSalesTable3[[#This Row],[Revenue]]-RawSalesTable3[[#This Row],[Total_Cost]]</f>
        <v>61.300000000000011</v>
      </c>
      <c r="Y175" s="28">
        <f>RawSalesTable3[[#This Row],[Profit]]/RawSalesTable3[[#This Row],[Revenue]]</f>
        <v>0.32693333333333341</v>
      </c>
      <c r="Z175" s="27" t="str">
        <f>TEXT(RawSalesTable3[[#This Row],[Order_Date_Clean]],"MMM YYYY")</f>
        <v>Dec 2025</v>
      </c>
      <c r="AA175" s="27"/>
      <c r="AB175" s="27">
        <f t="shared" si="19"/>
        <v>0</v>
      </c>
      <c r="AC175" s="27">
        <f t="shared" si="20"/>
        <v>0</v>
      </c>
    </row>
    <row r="176" spans="1:29">
      <c r="A176" t="s">
        <v>269</v>
      </c>
      <c r="B176" s="3">
        <v>45663</v>
      </c>
      <c r="C176" t="s">
        <v>82</v>
      </c>
      <c r="D176" t="s">
        <v>55</v>
      </c>
      <c r="E176" t="s">
        <v>67</v>
      </c>
      <c r="F176" t="s">
        <v>71</v>
      </c>
      <c r="G176" s="6">
        <v>3</v>
      </c>
      <c r="H176" s="4">
        <v>69.64</v>
      </c>
      <c r="I176" s="4">
        <v>39.590000000000003</v>
      </c>
      <c r="J176" s="5">
        <v>0</v>
      </c>
      <c r="K176" s="6">
        <v>1</v>
      </c>
      <c r="L176" s="6">
        <v>5</v>
      </c>
      <c r="M176" t="s">
        <v>58</v>
      </c>
      <c r="N176" t="s">
        <v>69</v>
      </c>
      <c r="O176" t="s">
        <v>64</v>
      </c>
      <c r="P176" t="str">
        <f t="shared" si="14"/>
        <v>Small Business</v>
      </c>
      <c r="Q176" t="str">
        <f t="shared" si="15"/>
        <v>Midlands</v>
      </c>
      <c r="R176" t="str">
        <f>PROPER(TRIM(E176))</f>
        <v>Office</v>
      </c>
      <c r="S176" s="27">
        <f>IF(ISTEXT(B176),DATEVALUE(B176),B176)</f>
        <v>45663</v>
      </c>
      <c r="T176" s="27">
        <f>COUNTIF($A$2:$A$1986,A176)</f>
        <v>1</v>
      </c>
      <c r="U176" s="27" t="str">
        <f t="shared" si="16"/>
        <v>Ergonomic Keyboard</v>
      </c>
      <c r="V176" s="27">
        <f t="shared" si="17"/>
        <v>208.92000000000002</v>
      </c>
      <c r="W176" s="27">
        <f t="shared" si="18"/>
        <v>118.77000000000001</v>
      </c>
      <c r="X176" s="27">
        <f>RawSalesTable3[[#This Row],[Revenue]]-RawSalesTable3[[#This Row],[Total_Cost]]</f>
        <v>90.15</v>
      </c>
      <c r="Y176" s="28">
        <f>RawSalesTable3[[#This Row],[Profit]]/RawSalesTable3[[#This Row],[Revenue]]</f>
        <v>0.43150488225157957</v>
      </c>
      <c r="Z176" s="27" t="str">
        <f>TEXT(RawSalesTable3[[#This Row],[Order_Date_Clean]],"MMM YYYY")</f>
        <v>Jan 2025</v>
      </c>
      <c r="AA176" s="27"/>
      <c r="AB176" s="27">
        <f t="shared" si="19"/>
        <v>0</v>
      </c>
      <c r="AC176" s="27">
        <f t="shared" si="20"/>
        <v>0</v>
      </c>
    </row>
    <row r="177" spans="1:29">
      <c r="A177" t="s">
        <v>270</v>
      </c>
      <c r="B177" s="3">
        <v>45945</v>
      </c>
      <c r="C177" t="s">
        <v>78</v>
      </c>
      <c r="D177" t="s">
        <v>62</v>
      </c>
      <c r="E177" t="s">
        <v>67</v>
      </c>
      <c r="F177" t="s">
        <v>71</v>
      </c>
      <c r="G177" s="6">
        <v>1</v>
      </c>
      <c r="H177" s="4">
        <v>68.84</v>
      </c>
      <c r="I177" s="4">
        <v>39.75</v>
      </c>
      <c r="J177" s="5">
        <v>0.05</v>
      </c>
      <c r="K177" s="6">
        <v>3</v>
      </c>
      <c r="L177" s="6">
        <v>4</v>
      </c>
      <c r="M177" t="s">
        <v>58</v>
      </c>
      <c r="N177" t="s">
        <v>59</v>
      </c>
      <c r="O177" t="s">
        <v>60</v>
      </c>
      <c r="P177" t="str">
        <f t="shared" si="14"/>
        <v>Individual</v>
      </c>
      <c r="Q177" t="str">
        <f t="shared" si="15"/>
        <v>London</v>
      </c>
      <c r="R177" t="str">
        <f>PROPER(TRIM(E177))</f>
        <v>Office</v>
      </c>
      <c r="S177" s="27">
        <f>IF(ISTEXT(B177),DATEVALUE(B177),B177)</f>
        <v>45945</v>
      </c>
      <c r="T177" s="27">
        <f>COUNTIF($A$2:$A$1986,A177)</f>
        <v>1</v>
      </c>
      <c r="U177" s="27" t="str">
        <f t="shared" si="16"/>
        <v>Ergonomic Keyboard</v>
      </c>
      <c r="V177" s="27">
        <f t="shared" si="17"/>
        <v>65.397999999999996</v>
      </c>
      <c r="W177" s="27">
        <f t="shared" si="18"/>
        <v>39.75</v>
      </c>
      <c r="X177" s="27">
        <f>RawSalesTable3[[#This Row],[Revenue]]-RawSalesTable3[[#This Row],[Total_Cost]]</f>
        <v>25.647999999999996</v>
      </c>
      <c r="Y177" s="28">
        <f>RawSalesTable3[[#This Row],[Profit]]/RawSalesTable3[[#This Row],[Revenue]]</f>
        <v>0.39218324719410375</v>
      </c>
      <c r="Z177" s="27" t="str">
        <f>TEXT(RawSalesTable3[[#This Row],[Order_Date_Clean]],"MMM YYYY")</f>
        <v>Oct 2025</v>
      </c>
      <c r="AA177" s="27"/>
      <c r="AB177" s="27">
        <f t="shared" si="19"/>
        <v>0</v>
      </c>
      <c r="AC177" s="27">
        <f t="shared" si="20"/>
        <v>0</v>
      </c>
    </row>
    <row r="178" spans="1:29">
      <c r="A178" t="s">
        <v>271</v>
      </c>
      <c r="B178" s="3">
        <v>45905</v>
      </c>
      <c r="C178" t="s">
        <v>78</v>
      </c>
      <c r="D178" t="s">
        <v>62</v>
      </c>
      <c r="E178" t="s">
        <v>67</v>
      </c>
      <c r="F178" t="s">
        <v>71</v>
      </c>
      <c r="G178" s="6">
        <v>1</v>
      </c>
      <c r="H178" s="4">
        <v>69.14</v>
      </c>
      <c r="I178" s="4">
        <v>37.43</v>
      </c>
      <c r="J178" s="5">
        <v>0.1</v>
      </c>
      <c r="K178" s="6">
        <v>3</v>
      </c>
      <c r="L178" s="6">
        <v>3</v>
      </c>
      <c r="M178" t="s">
        <v>126</v>
      </c>
      <c r="N178" t="s">
        <v>59</v>
      </c>
      <c r="O178" t="s">
        <v>60</v>
      </c>
      <c r="P178" t="str">
        <f t="shared" si="14"/>
        <v>Individual</v>
      </c>
      <c r="Q178" t="str">
        <f t="shared" si="15"/>
        <v>London</v>
      </c>
      <c r="R178" t="str">
        <f>PROPER(TRIM(E178))</f>
        <v>Office</v>
      </c>
      <c r="S178" s="27">
        <f>IF(ISTEXT(B178),DATEVALUE(B178),B178)</f>
        <v>45905</v>
      </c>
      <c r="T178" s="27">
        <f>COUNTIF($A$2:$A$1986,A178)</f>
        <v>1</v>
      </c>
      <c r="U178" s="27" t="str">
        <f t="shared" si="16"/>
        <v>Ergonomic Keyboard</v>
      </c>
      <c r="V178" s="27">
        <f t="shared" si="17"/>
        <v>62.225999999999999</v>
      </c>
      <c r="W178" s="27">
        <f t="shared" si="18"/>
        <v>37.43</v>
      </c>
      <c r="X178" s="27">
        <f>RawSalesTable3[[#This Row],[Revenue]]-RawSalesTable3[[#This Row],[Total_Cost]]</f>
        <v>24.795999999999999</v>
      </c>
      <c r="Y178" s="28">
        <f>RawSalesTable3[[#This Row],[Profit]]/RawSalesTable3[[#This Row],[Revenue]]</f>
        <v>0.39848294924950983</v>
      </c>
      <c r="Z178" s="27" t="str">
        <f>TEXT(RawSalesTable3[[#This Row],[Order_Date_Clean]],"MMM YYYY")</f>
        <v>Sep 2025</v>
      </c>
      <c r="AA178" s="27"/>
      <c r="AB178" s="27">
        <f t="shared" si="19"/>
        <v>0</v>
      </c>
      <c r="AC178" s="27">
        <f t="shared" si="20"/>
        <v>0</v>
      </c>
    </row>
    <row r="179" spans="1:29">
      <c r="A179" t="s">
        <v>272</v>
      </c>
      <c r="B179" s="3">
        <v>45788</v>
      </c>
      <c r="C179" t="s">
        <v>66</v>
      </c>
      <c r="D179" t="s">
        <v>62</v>
      </c>
      <c r="E179" t="s">
        <v>67</v>
      </c>
      <c r="F179" t="s">
        <v>107</v>
      </c>
      <c r="G179" s="6">
        <v>1</v>
      </c>
      <c r="H179" s="4">
        <v>44.67</v>
      </c>
      <c r="I179" s="4">
        <v>21.98</v>
      </c>
      <c r="J179" s="5">
        <v>0.1</v>
      </c>
      <c r="K179" s="6">
        <v>6</v>
      </c>
      <c r="L179" s="6">
        <v>4</v>
      </c>
      <c r="M179" t="s">
        <v>58</v>
      </c>
      <c r="N179" t="s">
        <v>59</v>
      </c>
      <c r="O179" t="s">
        <v>64</v>
      </c>
      <c r="P179" t="str">
        <f t="shared" si="14"/>
        <v>Individual</v>
      </c>
      <c r="Q179" t="str">
        <f t="shared" si="15"/>
        <v>South</v>
      </c>
      <c r="R179" t="str">
        <f>PROPER(TRIM(E179))</f>
        <v>Office</v>
      </c>
      <c r="S179" s="27">
        <f>IF(ISTEXT(B179),DATEVALUE(B179),B179)</f>
        <v>45788</v>
      </c>
      <c r="T179" s="27">
        <f>COUNTIF($A$2:$A$1986,A179)</f>
        <v>1</v>
      </c>
      <c r="U179" s="27" t="str">
        <f t="shared" si="16"/>
        <v>Laptop Stand</v>
      </c>
      <c r="V179" s="27">
        <f t="shared" si="17"/>
        <v>40.203000000000003</v>
      </c>
      <c r="W179" s="27">
        <f t="shared" si="18"/>
        <v>21.98</v>
      </c>
      <c r="X179" s="27">
        <f>RawSalesTable3[[#This Row],[Revenue]]-RawSalesTable3[[#This Row],[Total_Cost]]</f>
        <v>18.223000000000003</v>
      </c>
      <c r="Y179" s="28">
        <f>RawSalesTable3[[#This Row],[Profit]]/RawSalesTable3[[#This Row],[Revenue]]</f>
        <v>0.45327463124642442</v>
      </c>
      <c r="Z179" s="27" t="str">
        <f>TEXT(RawSalesTable3[[#This Row],[Order_Date_Clean]],"MMM YYYY")</f>
        <v>May 2025</v>
      </c>
      <c r="AA179" s="27"/>
      <c r="AB179" s="27">
        <f t="shared" si="19"/>
        <v>0</v>
      </c>
      <c r="AC179" s="27">
        <f t="shared" si="20"/>
        <v>0</v>
      </c>
    </row>
    <row r="180" spans="1:29">
      <c r="A180" t="s">
        <v>273</v>
      </c>
      <c r="B180" s="3">
        <v>45923</v>
      </c>
      <c r="C180" t="s">
        <v>78</v>
      </c>
      <c r="D180" t="s">
        <v>62</v>
      </c>
      <c r="E180" t="s">
        <v>67</v>
      </c>
      <c r="F180" t="s">
        <v>94</v>
      </c>
      <c r="G180" s="6">
        <v>2</v>
      </c>
      <c r="H180" s="4">
        <v>34.409999999999997</v>
      </c>
      <c r="I180" s="4">
        <v>16.8</v>
      </c>
      <c r="J180" s="5">
        <v>0.05</v>
      </c>
      <c r="K180" s="6">
        <v>0</v>
      </c>
      <c r="L180" s="6">
        <v>4</v>
      </c>
      <c r="M180" t="s">
        <v>58</v>
      </c>
      <c r="N180" t="s">
        <v>69</v>
      </c>
      <c r="O180" t="s">
        <v>64</v>
      </c>
      <c r="P180" t="str">
        <f t="shared" si="14"/>
        <v>Individual</v>
      </c>
      <c r="Q180" t="str">
        <f t="shared" si="15"/>
        <v>London</v>
      </c>
      <c r="R180" t="str">
        <f>PROPER(TRIM(E180))</f>
        <v>Office</v>
      </c>
      <c r="S180" s="27">
        <f>IF(ISTEXT(B180),DATEVALUE(B180),B180)</f>
        <v>45923</v>
      </c>
      <c r="T180" s="27">
        <f>COUNTIF($A$2:$A$1986,A180)</f>
        <v>1</v>
      </c>
      <c r="U180" s="27" t="str">
        <f t="shared" si="16"/>
        <v>Wireless Mouse</v>
      </c>
      <c r="V180" s="27">
        <f t="shared" si="17"/>
        <v>65.378999999999991</v>
      </c>
      <c r="W180" s="27">
        <f t="shared" si="18"/>
        <v>33.6</v>
      </c>
      <c r="X180" s="27">
        <f>RawSalesTable3[[#This Row],[Revenue]]-RawSalesTable3[[#This Row],[Total_Cost]]</f>
        <v>31.778999999999989</v>
      </c>
      <c r="Y180" s="28">
        <f>RawSalesTable3[[#This Row],[Profit]]/RawSalesTable3[[#This Row],[Revenue]]</f>
        <v>0.48607350984260994</v>
      </c>
      <c r="Z180" s="27" t="str">
        <f>TEXT(RawSalesTable3[[#This Row],[Order_Date_Clean]],"MMM YYYY")</f>
        <v>Sep 2025</v>
      </c>
      <c r="AA180" s="27"/>
      <c r="AB180" s="27">
        <f t="shared" si="19"/>
        <v>0</v>
      </c>
      <c r="AC180" s="27">
        <f t="shared" si="20"/>
        <v>0</v>
      </c>
    </row>
    <row r="181" spans="1:29">
      <c r="A181" t="s">
        <v>274</v>
      </c>
      <c r="B181" s="3">
        <v>45899</v>
      </c>
      <c r="C181" t="s">
        <v>78</v>
      </c>
      <c r="D181" t="s">
        <v>62</v>
      </c>
      <c r="E181" t="s">
        <v>67</v>
      </c>
      <c r="F181" t="s">
        <v>71</v>
      </c>
      <c r="G181" s="6">
        <v>4</v>
      </c>
      <c r="H181" s="4">
        <v>68.25</v>
      </c>
      <c r="I181" s="4">
        <v>38.159999999999997</v>
      </c>
      <c r="J181" s="5">
        <v>0</v>
      </c>
      <c r="K181" s="6">
        <v>3</v>
      </c>
      <c r="L181" s="6">
        <v>5</v>
      </c>
      <c r="M181" t="s">
        <v>58</v>
      </c>
      <c r="N181" t="s">
        <v>69</v>
      </c>
      <c r="O181" t="s">
        <v>64</v>
      </c>
      <c r="P181" t="str">
        <f t="shared" si="14"/>
        <v>Individual</v>
      </c>
      <c r="Q181" t="str">
        <f t="shared" si="15"/>
        <v>London</v>
      </c>
      <c r="R181" t="str">
        <f>PROPER(TRIM(E181))</f>
        <v>Office</v>
      </c>
      <c r="S181" s="27">
        <f>IF(ISTEXT(B181),DATEVALUE(B181),B181)</f>
        <v>45899</v>
      </c>
      <c r="T181" s="27">
        <f>COUNTIF($A$2:$A$1986,A181)</f>
        <v>1</v>
      </c>
      <c r="U181" s="27" t="str">
        <f t="shared" si="16"/>
        <v>Ergonomic Keyboard</v>
      </c>
      <c r="V181" s="27">
        <f t="shared" si="17"/>
        <v>273</v>
      </c>
      <c r="W181" s="27">
        <f t="shared" si="18"/>
        <v>152.63999999999999</v>
      </c>
      <c r="X181" s="27">
        <f>RawSalesTable3[[#This Row],[Revenue]]-RawSalesTable3[[#This Row],[Total_Cost]]</f>
        <v>120.36000000000001</v>
      </c>
      <c r="Y181" s="28">
        <f>RawSalesTable3[[#This Row],[Profit]]/RawSalesTable3[[#This Row],[Revenue]]</f>
        <v>0.44087912087912096</v>
      </c>
      <c r="Z181" s="27" t="str">
        <f>TEXT(RawSalesTable3[[#This Row],[Order_Date_Clean]],"MMM YYYY")</f>
        <v>Aug 2025</v>
      </c>
      <c r="AA181" s="27"/>
      <c r="AB181" s="27">
        <f t="shared" si="19"/>
        <v>0</v>
      </c>
      <c r="AC181" s="27">
        <f t="shared" si="20"/>
        <v>0</v>
      </c>
    </row>
    <row r="182" spans="1:29">
      <c r="A182" t="s">
        <v>275</v>
      </c>
      <c r="B182" s="3">
        <v>45955</v>
      </c>
      <c r="C182" t="s">
        <v>78</v>
      </c>
      <c r="D182" t="s">
        <v>62</v>
      </c>
      <c r="E182" t="s">
        <v>67</v>
      </c>
      <c r="F182" t="s">
        <v>107</v>
      </c>
      <c r="G182" s="6">
        <v>2</v>
      </c>
      <c r="H182" s="4">
        <v>44.81</v>
      </c>
      <c r="I182" s="4">
        <v>20.94</v>
      </c>
      <c r="J182" s="5">
        <v>0</v>
      </c>
      <c r="K182" s="6">
        <v>0</v>
      </c>
      <c r="L182" s="6">
        <v>4</v>
      </c>
      <c r="M182" t="s">
        <v>58</v>
      </c>
      <c r="N182" t="s">
        <v>69</v>
      </c>
      <c r="O182" t="s">
        <v>64</v>
      </c>
      <c r="P182" t="str">
        <f t="shared" si="14"/>
        <v>Individual</v>
      </c>
      <c r="Q182" t="str">
        <f t="shared" si="15"/>
        <v>London</v>
      </c>
      <c r="R182" t="str">
        <f>PROPER(TRIM(E182))</f>
        <v>Office</v>
      </c>
      <c r="S182" s="27">
        <f>IF(ISTEXT(B182),DATEVALUE(B182),B182)</f>
        <v>45955</v>
      </c>
      <c r="T182" s="27">
        <f>COUNTIF($A$2:$A$1986,A182)</f>
        <v>1</v>
      </c>
      <c r="U182" s="27" t="str">
        <f t="shared" si="16"/>
        <v>Laptop Stand</v>
      </c>
      <c r="V182" s="27">
        <f t="shared" si="17"/>
        <v>89.62</v>
      </c>
      <c r="W182" s="27">
        <f t="shared" si="18"/>
        <v>41.88</v>
      </c>
      <c r="X182" s="27">
        <f>RawSalesTable3[[#This Row],[Revenue]]-RawSalesTable3[[#This Row],[Total_Cost]]</f>
        <v>47.74</v>
      </c>
      <c r="Y182" s="28">
        <f>RawSalesTable3[[#This Row],[Profit]]/RawSalesTable3[[#This Row],[Revenue]]</f>
        <v>0.53269359517964743</v>
      </c>
      <c r="Z182" s="27" t="str">
        <f>TEXT(RawSalesTable3[[#This Row],[Order_Date_Clean]],"MMM YYYY")</f>
        <v>Oct 2025</v>
      </c>
      <c r="AA182" s="27"/>
      <c r="AB182" s="27">
        <f t="shared" si="19"/>
        <v>0</v>
      </c>
      <c r="AC182" s="27">
        <f t="shared" si="20"/>
        <v>0</v>
      </c>
    </row>
    <row r="183" spans="1:29">
      <c r="A183" t="s">
        <v>276</v>
      </c>
      <c r="B183" s="3">
        <v>45875</v>
      </c>
      <c r="C183" t="s">
        <v>82</v>
      </c>
      <c r="D183" t="s">
        <v>62</v>
      </c>
      <c r="E183" t="s">
        <v>79</v>
      </c>
      <c r="F183" t="s">
        <v>85</v>
      </c>
      <c r="G183" s="6">
        <v>1</v>
      </c>
      <c r="H183" s="4">
        <v>126.26</v>
      </c>
      <c r="I183" s="4">
        <v>84.55</v>
      </c>
      <c r="J183" s="5">
        <v>0</v>
      </c>
      <c r="K183" s="6">
        <v>2</v>
      </c>
      <c r="L183" s="6">
        <v>4</v>
      </c>
      <c r="M183" t="s">
        <v>58</v>
      </c>
      <c r="N183" t="s">
        <v>69</v>
      </c>
      <c r="O183" t="s">
        <v>64</v>
      </c>
      <c r="P183" t="str">
        <f t="shared" si="14"/>
        <v>Individual</v>
      </c>
      <c r="Q183" t="str">
        <f t="shared" si="15"/>
        <v>Midlands</v>
      </c>
      <c r="R183" t="str">
        <f>PROPER(TRIM(E183))</f>
        <v>Electronics</v>
      </c>
      <c r="S183" s="27">
        <f>IF(ISTEXT(B183),DATEVALUE(B183),B183)</f>
        <v>45875</v>
      </c>
      <c r="T183" s="27">
        <f>COUNTIF($A$2:$A$1986,A183)</f>
        <v>1</v>
      </c>
      <c r="U183" s="27" t="str">
        <f t="shared" si="16"/>
        <v>SmartHome Hub</v>
      </c>
      <c r="V183" s="27">
        <f t="shared" si="17"/>
        <v>126.26</v>
      </c>
      <c r="W183" s="27">
        <f t="shared" si="18"/>
        <v>84.55</v>
      </c>
      <c r="X183" s="27">
        <f>RawSalesTable3[[#This Row],[Revenue]]-RawSalesTable3[[#This Row],[Total_Cost]]</f>
        <v>41.710000000000008</v>
      </c>
      <c r="Y183" s="28">
        <f>RawSalesTable3[[#This Row],[Profit]]/RawSalesTable3[[#This Row],[Revenue]]</f>
        <v>0.33035007128148269</v>
      </c>
      <c r="Z183" s="27" t="str">
        <f>TEXT(RawSalesTable3[[#This Row],[Order_Date_Clean]],"MMM YYYY")</f>
        <v>Aug 2025</v>
      </c>
      <c r="AA183" s="27"/>
      <c r="AB183" s="27">
        <f t="shared" si="19"/>
        <v>0</v>
      </c>
      <c r="AC183" s="27">
        <f t="shared" si="20"/>
        <v>0</v>
      </c>
    </row>
    <row r="184" spans="1:29">
      <c r="A184" t="s">
        <v>277</v>
      </c>
      <c r="B184" s="3">
        <v>45818</v>
      </c>
      <c r="C184" t="s">
        <v>78</v>
      </c>
      <c r="D184" t="s">
        <v>62</v>
      </c>
      <c r="E184" t="s">
        <v>67</v>
      </c>
      <c r="F184" t="s">
        <v>68</v>
      </c>
      <c r="G184" s="6">
        <v>2</v>
      </c>
      <c r="H184" s="4">
        <v>40.18</v>
      </c>
      <c r="I184" s="4">
        <v>18.579999999999998</v>
      </c>
      <c r="J184" s="5">
        <v>0</v>
      </c>
      <c r="K184" s="6">
        <v>2</v>
      </c>
      <c r="L184" s="6">
        <v>5</v>
      </c>
      <c r="M184" t="s">
        <v>58</v>
      </c>
      <c r="N184" t="s">
        <v>59</v>
      </c>
      <c r="O184" t="s">
        <v>64</v>
      </c>
      <c r="P184" t="str">
        <f t="shared" si="14"/>
        <v>Individual</v>
      </c>
      <c r="Q184" t="str">
        <f t="shared" si="15"/>
        <v>London</v>
      </c>
      <c r="R184" t="str">
        <f>PROPER(TRIM(E184))</f>
        <v>Office</v>
      </c>
      <c r="S184" s="27">
        <f>IF(ISTEXT(B184),DATEVALUE(B184),B184)</f>
        <v>45818</v>
      </c>
      <c r="T184" s="27">
        <f>COUNTIF($A$2:$A$1986,A184)</f>
        <v>1</v>
      </c>
      <c r="U184" s="27" t="str">
        <f t="shared" si="16"/>
        <v>Desk Lamp</v>
      </c>
      <c r="V184" s="27">
        <f t="shared" si="17"/>
        <v>80.36</v>
      </c>
      <c r="W184" s="27">
        <f t="shared" si="18"/>
        <v>37.159999999999997</v>
      </c>
      <c r="X184" s="27">
        <f>RawSalesTable3[[#This Row],[Revenue]]-RawSalesTable3[[#This Row],[Total_Cost]]</f>
        <v>43.2</v>
      </c>
      <c r="Y184" s="28">
        <f>RawSalesTable3[[#This Row],[Profit]]/RawSalesTable3[[#This Row],[Revenue]]</f>
        <v>0.53758088601294185</v>
      </c>
      <c r="Z184" s="27" t="str">
        <f>TEXT(RawSalesTable3[[#This Row],[Order_Date_Clean]],"MMM YYYY")</f>
        <v>Jun 2025</v>
      </c>
      <c r="AA184" s="27"/>
      <c r="AB184" s="27">
        <f t="shared" si="19"/>
        <v>0</v>
      </c>
      <c r="AC184" s="27">
        <f t="shared" si="20"/>
        <v>0</v>
      </c>
    </row>
    <row r="185" spans="1:29">
      <c r="A185" t="s">
        <v>278</v>
      </c>
      <c r="B185" s="3" t="s">
        <v>279</v>
      </c>
      <c r="C185" t="s">
        <v>54</v>
      </c>
      <c r="D185" t="s">
        <v>62</v>
      </c>
      <c r="E185" t="s">
        <v>56</v>
      </c>
      <c r="F185" t="s">
        <v>63</v>
      </c>
      <c r="G185" s="6">
        <v>1</v>
      </c>
      <c r="H185" s="4">
        <v>40.270000000000003</v>
      </c>
      <c r="I185" s="4">
        <v>20.45</v>
      </c>
      <c r="J185" s="5">
        <v>0.05</v>
      </c>
      <c r="K185" s="6">
        <v>0</v>
      </c>
      <c r="L185" s="6">
        <v>4</v>
      </c>
      <c r="M185" t="s">
        <v>58</v>
      </c>
      <c r="N185" t="s">
        <v>69</v>
      </c>
      <c r="O185" t="s">
        <v>73</v>
      </c>
      <c r="P185" t="str">
        <f t="shared" si="14"/>
        <v>Individual</v>
      </c>
      <c r="Q185" t="str">
        <f t="shared" si="15"/>
        <v>North</v>
      </c>
      <c r="R185" t="str">
        <f>PROPER(TRIM(E185))</f>
        <v>Home &amp; Kitchen</v>
      </c>
      <c r="S185" s="27">
        <f>IF(ISTEXT(B185),DATEVALUE(B185),B185)</f>
        <v>45919</v>
      </c>
      <c r="T185" s="27">
        <f>COUNTIF($A$2:$A$1986,A185)</f>
        <v>1</v>
      </c>
      <c r="U185" s="27" t="str">
        <f t="shared" si="16"/>
        <v>Electric Kettle</v>
      </c>
      <c r="V185" s="27">
        <f t="shared" si="17"/>
        <v>38.256500000000003</v>
      </c>
      <c r="W185" s="27">
        <f t="shared" si="18"/>
        <v>20.45</v>
      </c>
      <c r="X185" s="27">
        <f>RawSalesTable3[[#This Row],[Revenue]]-RawSalesTable3[[#This Row],[Total_Cost]]</f>
        <v>17.806500000000003</v>
      </c>
      <c r="Y185" s="28">
        <f>RawSalesTable3[[#This Row],[Profit]]/RawSalesTable3[[#This Row],[Revenue]]</f>
        <v>0.46545031563263767</v>
      </c>
      <c r="Z185" s="27" t="str">
        <f>TEXT(RawSalesTable3[[#This Row],[Order_Date_Clean]],"MMM YYYY")</f>
        <v>Sep 2025</v>
      </c>
      <c r="AA185" s="27"/>
      <c r="AB185" s="27">
        <f t="shared" si="19"/>
        <v>0</v>
      </c>
      <c r="AC185" s="27">
        <f t="shared" si="20"/>
        <v>0</v>
      </c>
    </row>
    <row r="186" spans="1:29">
      <c r="A186" t="s">
        <v>280</v>
      </c>
      <c r="B186" s="3">
        <v>45755</v>
      </c>
      <c r="C186" t="s">
        <v>66</v>
      </c>
      <c r="D186" t="s">
        <v>62</v>
      </c>
      <c r="E186" t="s">
        <v>79</v>
      </c>
      <c r="F186" t="s">
        <v>115</v>
      </c>
      <c r="G186" s="6">
        <v>2</v>
      </c>
      <c r="H186" s="4">
        <v>61.35</v>
      </c>
      <c r="I186" s="4">
        <v>34.19</v>
      </c>
      <c r="J186" s="5">
        <v>0.05</v>
      </c>
      <c r="K186" s="6">
        <v>0</v>
      </c>
      <c r="L186" s="6">
        <v>4</v>
      </c>
      <c r="M186" t="s">
        <v>58</v>
      </c>
      <c r="N186" t="s">
        <v>69</v>
      </c>
      <c r="O186" t="s">
        <v>64</v>
      </c>
      <c r="P186" t="str">
        <f t="shared" si="14"/>
        <v>Individual</v>
      </c>
      <c r="Q186" t="str">
        <f t="shared" si="15"/>
        <v>South</v>
      </c>
      <c r="R186" t="str">
        <f>PROPER(TRIM(E186))</f>
        <v>Electronics</v>
      </c>
      <c r="S186" s="27">
        <f>IF(ISTEXT(B186),DATEVALUE(B186),B186)</f>
        <v>45755</v>
      </c>
      <c r="T186" s="27">
        <f>COUNTIF($A$2:$A$1986,A186)</f>
        <v>1</v>
      </c>
      <c r="U186" s="27" t="str">
        <f t="shared" si="16"/>
        <v>Wireless Headset</v>
      </c>
      <c r="V186" s="27">
        <f t="shared" si="17"/>
        <v>116.565</v>
      </c>
      <c r="W186" s="27">
        <f t="shared" si="18"/>
        <v>68.38</v>
      </c>
      <c r="X186" s="27">
        <f>RawSalesTable3[[#This Row],[Revenue]]-RawSalesTable3[[#This Row],[Total_Cost]]</f>
        <v>48.185000000000002</v>
      </c>
      <c r="Y186" s="28">
        <f>RawSalesTable3[[#This Row],[Profit]]/RawSalesTable3[[#This Row],[Revenue]]</f>
        <v>0.41337451207480808</v>
      </c>
      <c r="Z186" s="27" t="str">
        <f>TEXT(RawSalesTable3[[#This Row],[Order_Date_Clean]],"MMM YYYY")</f>
        <v>Apr 2025</v>
      </c>
      <c r="AA186" s="27"/>
      <c r="AB186" s="27">
        <f t="shared" si="19"/>
        <v>0</v>
      </c>
      <c r="AC186" s="27">
        <f t="shared" si="20"/>
        <v>0</v>
      </c>
    </row>
    <row r="187" spans="1:29">
      <c r="A187" t="s">
        <v>281</v>
      </c>
      <c r="B187" s="3">
        <v>45795</v>
      </c>
      <c r="C187" t="s">
        <v>78</v>
      </c>
      <c r="D187" t="s">
        <v>62</v>
      </c>
      <c r="E187" t="s">
        <v>67</v>
      </c>
      <c r="F187" t="s">
        <v>68</v>
      </c>
      <c r="G187" s="6">
        <v>1</v>
      </c>
      <c r="H187" s="4">
        <v>40.74</v>
      </c>
      <c r="I187" s="4">
        <v>19.12</v>
      </c>
      <c r="J187" s="5">
        <v>0</v>
      </c>
      <c r="K187" s="6">
        <v>0</v>
      </c>
      <c r="L187" s="6">
        <v>5</v>
      </c>
      <c r="M187" t="s">
        <v>58</v>
      </c>
      <c r="N187" t="s">
        <v>69</v>
      </c>
      <c r="O187" t="s">
        <v>73</v>
      </c>
      <c r="P187" t="str">
        <f t="shared" si="14"/>
        <v>Individual</v>
      </c>
      <c r="Q187" t="str">
        <f t="shared" si="15"/>
        <v>London</v>
      </c>
      <c r="R187" t="str">
        <f>PROPER(TRIM(E187))</f>
        <v>Office</v>
      </c>
      <c r="S187" s="27">
        <f>IF(ISTEXT(B187),DATEVALUE(B187),B187)</f>
        <v>45795</v>
      </c>
      <c r="T187" s="27">
        <f>COUNTIF($A$2:$A$1986,A187)</f>
        <v>1</v>
      </c>
      <c r="U187" s="27" t="str">
        <f t="shared" si="16"/>
        <v>Desk Lamp</v>
      </c>
      <c r="V187" s="27">
        <f t="shared" si="17"/>
        <v>40.74</v>
      </c>
      <c r="W187" s="27">
        <f t="shared" si="18"/>
        <v>19.12</v>
      </c>
      <c r="X187" s="27">
        <f>RawSalesTable3[[#This Row],[Revenue]]-RawSalesTable3[[#This Row],[Total_Cost]]</f>
        <v>21.62</v>
      </c>
      <c r="Y187" s="28">
        <f>RawSalesTable3[[#This Row],[Profit]]/RawSalesTable3[[#This Row],[Revenue]]</f>
        <v>0.53068237604320079</v>
      </c>
      <c r="Z187" s="27" t="str">
        <f>TEXT(RawSalesTable3[[#This Row],[Order_Date_Clean]],"MMM YYYY")</f>
        <v>May 2025</v>
      </c>
      <c r="AA187" s="27"/>
      <c r="AB187" s="27">
        <f t="shared" si="19"/>
        <v>0</v>
      </c>
      <c r="AC187" s="27">
        <f t="shared" si="20"/>
        <v>0</v>
      </c>
    </row>
    <row r="188" spans="1:29">
      <c r="A188" t="s">
        <v>282</v>
      </c>
      <c r="B188" s="3">
        <v>45669</v>
      </c>
      <c r="C188" t="s">
        <v>66</v>
      </c>
      <c r="D188" t="s">
        <v>62</v>
      </c>
      <c r="E188" t="s">
        <v>56</v>
      </c>
      <c r="F188" t="s">
        <v>63</v>
      </c>
      <c r="G188" s="6">
        <v>1</v>
      </c>
      <c r="H188" s="4">
        <v>39.72</v>
      </c>
      <c r="I188" s="4">
        <v>20.53</v>
      </c>
      <c r="J188" s="5">
        <v>0.05</v>
      </c>
      <c r="K188" s="6">
        <v>3</v>
      </c>
      <c r="L188" s="6">
        <v>5</v>
      </c>
      <c r="M188" t="s">
        <v>58</v>
      </c>
      <c r="N188" t="s">
        <v>59</v>
      </c>
      <c r="O188" t="s">
        <v>64</v>
      </c>
      <c r="P188" t="str">
        <f t="shared" si="14"/>
        <v>Individual</v>
      </c>
      <c r="Q188" t="str">
        <f t="shared" si="15"/>
        <v>South</v>
      </c>
      <c r="R188" t="str">
        <f>PROPER(TRIM(E188))</f>
        <v>Home &amp; Kitchen</v>
      </c>
      <c r="S188" s="27">
        <f>IF(ISTEXT(B188),DATEVALUE(B188),B188)</f>
        <v>45669</v>
      </c>
      <c r="T188" s="27">
        <f>COUNTIF($A$2:$A$1986,A188)</f>
        <v>1</v>
      </c>
      <c r="U188" s="27" t="str">
        <f t="shared" si="16"/>
        <v>Electric Kettle</v>
      </c>
      <c r="V188" s="27">
        <f t="shared" si="17"/>
        <v>37.733999999999995</v>
      </c>
      <c r="W188" s="27">
        <f t="shared" si="18"/>
        <v>20.53</v>
      </c>
      <c r="X188" s="27">
        <f>RawSalesTable3[[#This Row],[Revenue]]-RawSalesTable3[[#This Row],[Total_Cost]]</f>
        <v>17.203999999999994</v>
      </c>
      <c r="Y188" s="28">
        <f>RawSalesTable3[[#This Row],[Profit]]/RawSalesTable3[[#This Row],[Revenue]]</f>
        <v>0.45592834048868386</v>
      </c>
      <c r="Z188" s="27" t="str">
        <f>TEXT(RawSalesTable3[[#This Row],[Order_Date_Clean]],"MMM YYYY")</f>
        <v>Jan 2025</v>
      </c>
      <c r="AA188" s="27"/>
      <c r="AB188" s="27">
        <f t="shared" si="19"/>
        <v>0</v>
      </c>
      <c r="AC188" s="27">
        <f t="shared" si="20"/>
        <v>0</v>
      </c>
    </row>
    <row r="189" spans="1:29">
      <c r="A189" t="s">
        <v>283</v>
      </c>
      <c r="B189" s="3">
        <v>45902</v>
      </c>
      <c r="C189" t="s">
        <v>66</v>
      </c>
      <c r="D189" t="s">
        <v>62</v>
      </c>
      <c r="E189" t="s">
        <v>56</v>
      </c>
      <c r="F189" t="s">
        <v>83</v>
      </c>
      <c r="G189" s="6">
        <v>1</v>
      </c>
      <c r="H189" s="4">
        <v>66.63</v>
      </c>
      <c r="I189" s="4">
        <v>35.81</v>
      </c>
      <c r="J189" s="5">
        <v>0.1</v>
      </c>
      <c r="K189" s="6">
        <v>4</v>
      </c>
      <c r="L189" s="6">
        <v>4</v>
      </c>
      <c r="M189" t="s">
        <v>58</v>
      </c>
      <c r="N189" t="s">
        <v>59</v>
      </c>
      <c r="O189" t="s">
        <v>60</v>
      </c>
      <c r="P189" t="str">
        <f t="shared" si="14"/>
        <v>Individual</v>
      </c>
      <c r="Q189" t="str">
        <f t="shared" si="15"/>
        <v>South</v>
      </c>
      <c r="R189" t="str">
        <f>PROPER(TRIM(E189))</f>
        <v>Home &amp; Kitchen</v>
      </c>
      <c r="S189" s="27">
        <f>IF(ISTEXT(B189),DATEVALUE(B189),B189)</f>
        <v>45902</v>
      </c>
      <c r="T189" s="27">
        <f>COUNTIF($A$2:$A$1986,A189)</f>
        <v>1</v>
      </c>
      <c r="U189" s="27" t="str">
        <f t="shared" si="16"/>
        <v>Blender</v>
      </c>
      <c r="V189" s="27">
        <f t="shared" si="17"/>
        <v>59.966999999999999</v>
      </c>
      <c r="W189" s="27">
        <f t="shared" si="18"/>
        <v>35.81</v>
      </c>
      <c r="X189" s="27">
        <f>RawSalesTable3[[#This Row],[Revenue]]-RawSalesTable3[[#This Row],[Total_Cost]]</f>
        <v>24.156999999999996</v>
      </c>
      <c r="Y189" s="28">
        <f>RawSalesTable3[[#This Row],[Profit]]/RawSalesTable3[[#This Row],[Revenue]]</f>
        <v>0.40283822769189714</v>
      </c>
      <c r="Z189" s="27" t="str">
        <f>TEXT(RawSalesTable3[[#This Row],[Order_Date_Clean]],"MMM YYYY")</f>
        <v>Sep 2025</v>
      </c>
      <c r="AA189" s="27"/>
      <c r="AB189" s="27">
        <f t="shared" si="19"/>
        <v>0</v>
      </c>
      <c r="AC189" s="27">
        <f t="shared" si="20"/>
        <v>0</v>
      </c>
    </row>
    <row r="190" spans="1:29">
      <c r="A190" t="s">
        <v>284</v>
      </c>
      <c r="B190" s="3">
        <v>45863</v>
      </c>
      <c r="C190" t="s">
        <v>78</v>
      </c>
      <c r="D190" t="s">
        <v>55</v>
      </c>
      <c r="E190" t="s">
        <v>79</v>
      </c>
      <c r="F190" t="s">
        <v>80</v>
      </c>
      <c r="G190" s="6">
        <v>3</v>
      </c>
      <c r="H190" s="4">
        <v>75.64</v>
      </c>
      <c r="I190" s="4">
        <v>44.58</v>
      </c>
      <c r="J190" s="5">
        <v>0</v>
      </c>
      <c r="K190" s="6">
        <v>1</v>
      </c>
      <c r="L190" s="6">
        <v>3</v>
      </c>
      <c r="M190" t="s">
        <v>126</v>
      </c>
      <c r="N190" t="s">
        <v>59</v>
      </c>
      <c r="O190" t="s">
        <v>64</v>
      </c>
      <c r="P190" t="str">
        <f t="shared" si="14"/>
        <v>Small Business</v>
      </c>
      <c r="Q190" t="str">
        <f t="shared" si="15"/>
        <v>London</v>
      </c>
      <c r="R190" t="str">
        <f>PROPER(TRIM(E190))</f>
        <v>Electronics</v>
      </c>
      <c r="S190" s="27">
        <f>IF(ISTEXT(B190),DATEVALUE(B190),B190)</f>
        <v>45863</v>
      </c>
      <c r="T190" s="27">
        <f>COUNTIF($A$2:$A$1986,A190)</f>
        <v>1</v>
      </c>
      <c r="U190" s="27" t="str">
        <f t="shared" si="16"/>
        <v>Portable Speaker</v>
      </c>
      <c r="V190" s="27">
        <f t="shared" si="17"/>
        <v>226.92000000000002</v>
      </c>
      <c r="W190" s="27">
        <f t="shared" si="18"/>
        <v>133.74</v>
      </c>
      <c r="X190" s="27">
        <f>RawSalesTable3[[#This Row],[Revenue]]-RawSalesTable3[[#This Row],[Total_Cost]]</f>
        <v>93.18</v>
      </c>
      <c r="Y190" s="28">
        <f>RawSalesTable3[[#This Row],[Profit]]/RawSalesTable3[[#This Row],[Revenue]]</f>
        <v>0.4106292966684294</v>
      </c>
      <c r="Z190" s="27" t="str">
        <f>TEXT(RawSalesTable3[[#This Row],[Order_Date_Clean]],"MMM YYYY")</f>
        <v>Jul 2025</v>
      </c>
      <c r="AA190" s="27"/>
      <c r="AB190" s="27">
        <f t="shared" si="19"/>
        <v>0</v>
      </c>
      <c r="AC190" s="27">
        <f t="shared" si="20"/>
        <v>0</v>
      </c>
    </row>
    <row r="191" spans="1:29">
      <c r="A191" t="s">
        <v>285</v>
      </c>
      <c r="B191" s="3">
        <v>45991</v>
      </c>
      <c r="C191" t="s">
        <v>66</v>
      </c>
      <c r="D191" t="s">
        <v>62</v>
      </c>
      <c r="E191" t="s">
        <v>67</v>
      </c>
      <c r="F191" t="s">
        <v>68</v>
      </c>
      <c r="G191" s="6">
        <v>2</v>
      </c>
      <c r="H191" s="4">
        <v>39.58</v>
      </c>
      <c r="I191" s="4">
        <v>18.7</v>
      </c>
      <c r="J191" s="5">
        <v>0.05</v>
      </c>
      <c r="K191" s="6">
        <v>2</v>
      </c>
      <c r="L191" s="6">
        <v>5</v>
      </c>
      <c r="M191" t="s">
        <v>58</v>
      </c>
      <c r="N191" t="s">
        <v>59</v>
      </c>
      <c r="O191" t="s">
        <v>73</v>
      </c>
      <c r="P191" t="str">
        <f t="shared" si="14"/>
        <v>Individual</v>
      </c>
      <c r="Q191" t="str">
        <f t="shared" si="15"/>
        <v>South</v>
      </c>
      <c r="R191" t="str">
        <f>PROPER(TRIM(E191))</f>
        <v>Office</v>
      </c>
      <c r="S191" s="27">
        <f>IF(ISTEXT(B191),DATEVALUE(B191),B191)</f>
        <v>45991</v>
      </c>
      <c r="T191" s="27">
        <f>COUNTIF($A$2:$A$1986,A191)</f>
        <v>1</v>
      </c>
      <c r="U191" s="27" t="str">
        <f t="shared" si="16"/>
        <v>Desk Lamp</v>
      </c>
      <c r="V191" s="27">
        <f t="shared" si="17"/>
        <v>75.201999999999998</v>
      </c>
      <c r="W191" s="27">
        <f t="shared" si="18"/>
        <v>37.4</v>
      </c>
      <c r="X191" s="27">
        <f>RawSalesTable3[[#This Row],[Revenue]]-RawSalesTable3[[#This Row],[Total_Cost]]</f>
        <v>37.802</v>
      </c>
      <c r="Y191" s="28">
        <f>RawSalesTable3[[#This Row],[Profit]]/RawSalesTable3[[#This Row],[Revenue]]</f>
        <v>0.50267280125528579</v>
      </c>
      <c r="Z191" s="27" t="str">
        <f>TEXT(RawSalesTable3[[#This Row],[Order_Date_Clean]],"MMM YYYY")</f>
        <v>Nov 2025</v>
      </c>
      <c r="AA191" s="27"/>
      <c r="AB191" s="27">
        <f t="shared" si="19"/>
        <v>0</v>
      </c>
      <c r="AC191" s="27">
        <f t="shared" si="20"/>
        <v>0</v>
      </c>
    </row>
    <row r="192" spans="1:29">
      <c r="A192" t="s">
        <v>286</v>
      </c>
      <c r="B192" s="3">
        <v>45931</v>
      </c>
      <c r="C192" t="s">
        <v>66</v>
      </c>
      <c r="D192" t="s">
        <v>62</v>
      </c>
      <c r="E192" t="s">
        <v>75</v>
      </c>
      <c r="F192" t="s">
        <v>146</v>
      </c>
      <c r="G192" s="6">
        <v>1</v>
      </c>
      <c r="H192" s="4">
        <v>183.88</v>
      </c>
      <c r="I192" s="4">
        <v>116.98</v>
      </c>
      <c r="J192" s="5">
        <v>0.1</v>
      </c>
      <c r="K192" s="6">
        <v>11</v>
      </c>
      <c r="L192" s="6">
        <v>3</v>
      </c>
      <c r="M192" t="s">
        <v>58</v>
      </c>
      <c r="N192" t="s">
        <v>59</v>
      </c>
      <c r="O192" t="s">
        <v>64</v>
      </c>
      <c r="P192" t="str">
        <f t="shared" si="14"/>
        <v>Individual</v>
      </c>
      <c r="Q192" t="str">
        <f t="shared" si="15"/>
        <v>South</v>
      </c>
      <c r="R192" t="str">
        <f>PROPER(TRIM(E192))</f>
        <v>Furniture</v>
      </c>
      <c r="S192" s="27">
        <f>IF(ISTEXT(B192),DATEVALUE(B192),B192)</f>
        <v>45931</v>
      </c>
      <c r="T192" s="27">
        <f>COUNTIF($A$2:$A$1986,A192)</f>
        <v>1</v>
      </c>
      <c r="U192" s="27" t="str">
        <f t="shared" si="16"/>
        <v>Office Chair</v>
      </c>
      <c r="V192" s="27">
        <f t="shared" si="17"/>
        <v>165.49199999999999</v>
      </c>
      <c r="W192" s="27">
        <f t="shared" si="18"/>
        <v>116.98</v>
      </c>
      <c r="X192" s="27">
        <f>RawSalesTable3[[#This Row],[Revenue]]-RawSalesTable3[[#This Row],[Total_Cost]]</f>
        <v>48.511999999999986</v>
      </c>
      <c r="Y192" s="28">
        <f>RawSalesTable3[[#This Row],[Profit]]/RawSalesTable3[[#This Row],[Revenue]]</f>
        <v>0.29313803688395806</v>
      </c>
      <c r="Z192" s="27" t="str">
        <f>TEXT(RawSalesTable3[[#This Row],[Order_Date_Clean]],"MMM YYYY")</f>
        <v>Oct 2025</v>
      </c>
      <c r="AA192" s="27"/>
      <c r="AB192" s="27">
        <f t="shared" si="19"/>
        <v>0</v>
      </c>
      <c r="AC192" s="27">
        <f t="shared" si="20"/>
        <v>0</v>
      </c>
    </row>
    <row r="193" spans="1:29">
      <c r="A193" t="s">
        <v>287</v>
      </c>
      <c r="B193" s="3">
        <v>45740</v>
      </c>
      <c r="C193" t="s">
        <v>82</v>
      </c>
      <c r="D193" t="s">
        <v>62</v>
      </c>
      <c r="E193" t="s">
        <v>79</v>
      </c>
      <c r="F193" t="s">
        <v>92</v>
      </c>
      <c r="G193" s="6">
        <v>2</v>
      </c>
      <c r="H193" s="4">
        <v>50.34</v>
      </c>
      <c r="I193" s="4">
        <v>26.42</v>
      </c>
      <c r="J193" s="5">
        <v>0.1</v>
      </c>
      <c r="K193" s="6">
        <v>3</v>
      </c>
      <c r="L193" s="6">
        <v>4</v>
      </c>
      <c r="M193" t="s">
        <v>58</v>
      </c>
      <c r="N193" t="s">
        <v>59</v>
      </c>
      <c r="O193" t="s">
        <v>60</v>
      </c>
      <c r="P193" t="str">
        <f t="shared" si="14"/>
        <v>Individual</v>
      </c>
      <c r="Q193" t="str">
        <f t="shared" si="15"/>
        <v>Midlands</v>
      </c>
      <c r="R193" t="str">
        <f>PROPER(TRIM(E193))</f>
        <v>Electronics</v>
      </c>
      <c r="S193" s="27">
        <f>IF(ISTEXT(B193),DATEVALUE(B193),B193)</f>
        <v>45740</v>
      </c>
      <c r="T193" s="27">
        <f>COUNTIF($A$2:$A$1986,A193)</f>
        <v>1</v>
      </c>
      <c r="U193" s="27" t="str">
        <f t="shared" si="16"/>
        <v>Webcam</v>
      </c>
      <c r="V193" s="27">
        <f t="shared" si="17"/>
        <v>90.612000000000009</v>
      </c>
      <c r="W193" s="27">
        <f t="shared" si="18"/>
        <v>52.84</v>
      </c>
      <c r="X193" s="27">
        <f>RawSalesTable3[[#This Row],[Revenue]]-RawSalesTable3[[#This Row],[Total_Cost]]</f>
        <v>37.772000000000006</v>
      </c>
      <c r="Y193" s="28">
        <f>RawSalesTable3[[#This Row],[Profit]]/RawSalesTable3[[#This Row],[Revenue]]</f>
        <v>0.41685427978634176</v>
      </c>
      <c r="Z193" s="27" t="str">
        <f>TEXT(RawSalesTable3[[#This Row],[Order_Date_Clean]],"MMM YYYY")</f>
        <v>Mar 2025</v>
      </c>
      <c r="AA193" s="27"/>
      <c r="AB193" s="27">
        <f t="shared" si="19"/>
        <v>0</v>
      </c>
      <c r="AC193" s="27">
        <f t="shared" si="20"/>
        <v>0</v>
      </c>
    </row>
    <row r="194" spans="1:29">
      <c r="A194" t="s">
        <v>288</v>
      </c>
      <c r="B194" s="3">
        <v>45856</v>
      </c>
      <c r="C194" t="s">
        <v>78</v>
      </c>
      <c r="D194" t="s">
        <v>62</v>
      </c>
      <c r="E194" t="s">
        <v>67</v>
      </c>
      <c r="F194" t="s">
        <v>107</v>
      </c>
      <c r="G194" s="6">
        <v>1</v>
      </c>
      <c r="H194" s="4">
        <v>43.99</v>
      </c>
      <c r="I194" s="4">
        <v>20.86</v>
      </c>
      <c r="J194" s="5">
        <v>0.05</v>
      </c>
      <c r="K194" s="6">
        <v>0</v>
      </c>
      <c r="L194" s="6">
        <v>4</v>
      </c>
      <c r="M194" t="s">
        <v>58</v>
      </c>
      <c r="N194" t="s">
        <v>69</v>
      </c>
      <c r="O194" t="s">
        <v>64</v>
      </c>
      <c r="P194" t="str">
        <f t="shared" ref="P194:P257" si="21">IF(TRIM(D194)="","Unknow",PROPER(TRIM(D194)))</f>
        <v>Individual</v>
      </c>
      <c r="Q194" t="str">
        <f t="shared" ref="Q194:Q257" si="22">IF(PROPER(TRIM(C194))="Mid Lands","Midlands",PROPER(TRIM(C194)))</f>
        <v>London</v>
      </c>
      <c r="R194" t="str">
        <f>PROPER(TRIM(E194))</f>
        <v>Office</v>
      </c>
      <c r="S194" s="27">
        <f>IF(ISTEXT(B194),DATEVALUE(B194),B194)</f>
        <v>45856</v>
      </c>
      <c r="T194" s="27">
        <f>COUNTIF($A$2:$A$1986,A194)</f>
        <v>1</v>
      </c>
      <c r="U194" s="27" t="str">
        <f t="shared" ref="U194:U257" si="23">TRIM(F194)</f>
        <v>Laptop Stand</v>
      </c>
      <c r="V194" s="27">
        <f t="shared" ref="V194:V257" si="24">G194*H194*(1-J194)</f>
        <v>41.790500000000002</v>
      </c>
      <c r="W194" s="27">
        <f t="shared" ref="W194:W257" si="25">G194*I194</f>
        <v>20.86</v>
      </c>
      <c r="X194" s="27">
        <f>RawSalesTable3[[#This Row],[Revenue]]-RawSalesTable3[[#This Row],[Total_Cost]]</f>
        <v>20.930500000000002</v>
      </c>
      <c r="Y194" s="28">
        <f>RawSalesTable3[[#This Row],[Profit]]/RawSalesTable3[[#This Row],[Revenue]]</f>
        <v>0.50084349313839271</v>
      </c>
      <c r="Z194" s="27" t="str">
        <f>TEXT(RawSalesTable3[[#This Row],[Order_Date_Clean]],"MMM YYYY")</f>
        <v>Jul 2025</v>
      </c>
      <c r="AA194" s="27"/>
      <c r="AB194" s="27">
        <f t="shared" ref="AB194:AB257" si="26">SUMIF($Z:$Z,AA194,$V:$V)</f>
        <v>0</v>
      </c>
      <c r="AC194" s="27">
        <f t="shared" ref="AC194:AC257" si="27">SUMIF($Z:$Z,AA194,$X:$X)</f>
        <v>0</v>
      </c>
    </row>
    <row r="195" spans="1:29">
      <c r="A195" t="s">
        <v>289</v>
      </c>
      <c r="B195" s="3">
        <v>45924</v>
      </c>
      <c r="C195" t="s">
        <v>54</v>
      </c>
      <c r="D195" t="s">
        <v>55</v>
      </c>
      <c r="E195" t="s">
        <v>67</v>
      </c>
      <c r="F195" t="s">
        <v>68</v>
      </c>
      <c r="G195" s="6">
        <v>4</v>
      </c>
      <c r="H195" s="4">
        <v>41.26</v>
      </c>
      <c r="I195" s="4">
        <v>19.38</v>
      </c>
      <c r="J195" s="5">
        <v>0</v>
      </c>
      <c r="K195" s="6">
        <v>2</v>
      </c>
      <c r="L195" s="6"/>
      <c r="M195" t="s">
        <v>58</v>
      </c>
      <c r="N195" t="s">
        <v>59</v>
      </c>
      <c r="O195" t="s">
        <v>60</v>
      </c>
      <c r="P195" t="str">
        <f t="shared" si="21"/>
        <v>Small Business</v>
      </c>
      <c r="Q195" t="str">
        <f t="shared" si="22"/>
        <v>North</v>
      </c>
      <c r="R195" t="str">
        <f>PROPER(TRIM(E195))</f>
        <v>Office</v>
      </c>
      <c r="S195" s="27">
        <f>IF(ISTEXT(B195),DATEVALUE(B195),B195)</f>
        <v>45924</v>
      </c>
      <c r="T195" s="27">
        <f>COUNTIF($A$2:$A$1986,A195)</f>
        <v>1</v>
      </c>
      <c r="U195" s="27" t="str">
        <f t="shared" si="23"/>
        <v>Desk Lamp</v>
      </c>
      <c r="V195" s="27">
        <f t="shared" si="24"/>
        <v>165.04</v>
      </c>
      <c r="W195" s="27">
        <f t="shared" si="25"/>
        <v>77.52</v>
      </c>
      <c r="X195" s="27">
        <f>RawSalesTable3[[#This Row],[Revenue]]-RawSalesTable3[[#This Row],[Total_Cost]]</f>
        <v>87.52</v>
      </c>
      <c r="Y195" s="28">
        <f>RawSalesTable3[[#This Row],[Profit]]/RawSalesTable3[[#This Row],[Revenue]]</f>
        <v>0.53029568589432863</v>
      </c>
      <c r="Z195" s="27" t="str">
        <f>TEXT(RawSalesTable3[[#This Row],[Order_Date_Clean]],"MMM YYYY")</f>
        <v>Sep 2025</v>
      </c>
      <c r="AA195" s="27"/>
      <c r="AB195" s="27">
        <f t="shared" si="26"/>
        <v>0</v>
      </c>
      <c r="AC195" s="27">
        <f t="shared" si="27"/>
        <v>0</v>
      </c>
    </row>
    <row r="196" spans="1:29">
      <c r="A196" t="s">
        <v>290</v>
      </c>
      <c r="B196" s="3">
        <v>45952</v>
      </c>
      <c r="C196" t="s">
        <v>82</v>
      </c>
      <c r="D196" t="s">
        <v>129</v>
      </c>
      <c r="E196" t="s">
        <v>56</v>
      </c>
      <c r="F196" t="s">
        <v>57</v>
      </c>
      <c r="G196" s="6">
        <v>5</v>
      </c>
      <c r="H196" s="4">
        <v>111.04</v>
      </c>
      <c r="I196" s="4">
        <v>70.28</v>
      </c>
      <c r="J196" s="5">
        <v>0.05</v>
      </c>
      <c r="K196" s="6">
        <v>6</v>
      </c>
      <c r="L196" s="6">
        <v>4</v>
      </c>
      <c r="M196" t="s">
        <v>58</v>
      </c>
      <c r="N196" t="s">
        <v>59</v>
      </c>
      <c r="O196" t="s">
        <v>64</v>
      </c>
      <c r="P196" t="str">
        <f t="shared" si="21"/>
        <v>Corporate</v>
      </c>
      <c r="Q196" t="str">
        <f t="shared" si="22"/>
        <v>Midlands</v>
      </c>
      <c r="R196" t="str">
        <f>PROPER(TRIM(E196))</f>
        <v>Home &amp; Kitchen</v>
      </c>
      <c r="S196" s="27">
        <f>IF(ISTEXT(B196),DATEVALUE(B196),B196)</f>
        <v>45952</v>
      </c>
      <c r="T196" s="27">
        <f>COUNTIF($A$2:$A$1986,A196)</f>
        <v>1</v>
      </c>
      <c r="U196" s="27" t="str">
        <f t="shared" si="23"/>
        <v>Air Fryer</v>
      </c>
      <c r="V196" s="27">
        <f t="shared" si="24"/>
        <v>527.44000000000005</v>
      </c>
      <c r="W196" s="27">
        <f t="shared" si="25"/>
        <v>351.4</v>
      </c>
      <c r="X196" s="27">
        <f>RawSalesTable3[[#This Row],[Revenue]]-RawSalesTable3[[#This Row],[Total_Cost]]</f>
        <v>176.04000000000008</v>
      </c>
      <c r="Y196" s="28">
        <f>RawSalesTable3[[#This Row],[Profit]]/RawSalesTable3[[#This Row],[Revenue]]</f>
        <v>0.33376308205672695</v>
      </c>
      <c r="Z196" s="27" t="str">
        <f>TEXT(RawSalesTable3[[#This Row],[Order_Date_Clean]],"MMM YYYY")</f>
        <v>Oct 2025</v>
      </c>
      <c r="AA196" s="27"/>
      <c r="AB196" s="27">
        <f t="shared" si="26"/>
        <v>0</v>
      </c>
      <c r="AC196" s="27">
        <f t="shared" si="27"/>
        <v>0</v>
      </c>
    </row>
    <row r="197" spans="1:29">
      <c r="A197" t="s">
        <v>291</v>
      </c>
      <c r="B197" s="3">
        <v>45880</v>
      </c>
      <c r="C197" t="s">
        <v>78</v>
      </c>
      <c r="D197" t="s">
        <v>62</v>
      </c>
      <c r="E197" t="s">
        <v>67</v>
      </c>
      <c r="F197" t="s">
        <v>68</v>
      </c>
      <c r="G197" s="6">
        <v>1</v>
      </c>
      <c r="H197" s="4">
        <v>39.78</v>
      </c>
      <c r="I197" s="4">
        <v>19.850000000000001</v>
      </c>
      <c r="J197" s="5">
        <v>0.1</v>
      </c>
      <c r="K197" s="6">
        <v>2</v>
      </c>
      <c r="L197" s="6">
        <v>4</v>
      </c>
      <c r="M197" t="s">
        <v>58</v>
      </c>
      <c r="N197" t="s">
        <v>59</v>
      </c>
      <c r="O197" t="s">
        <v>64</v>
      </c>
      <c r="P197" t="str">
        <f t="shared" si="21"/>
        <v>Individual</v>
      </c>
      <c r="Q197" t="str">
        <f t="shared" si="22"/>
        <v>London</v>
      </c>
      <c r="R197" t="str">
        <f>PROPER(TRIM(E197))</f>
        <v>Office</v>
      </c>
      <c r="S197" s="27">
        <f>IF(ISTEXT(B197),DATEVALUE(B197),B197)</f>
        <v>45880</v>
      </c>
      <c r="T197" s="27">
        <f>COUNTIF($A$2:$A$1986,A197)</f>
        <v>1</v>
      </c>
      <c r="U197" s="27" t="str">
        <f t="shared" si="23"/>
        <v>Desk Lamp</v>
      </c>
      <c r="V197" s="27">
        <f t="shared" si="24"/>
        <v>35.802</v>
      </c>
      <c r="W197" s="27">
        <f t="shared" si="25"/>
        <v>19.850000000000001</v>
      </c>
      <c r="X197" s="27">
        <f>RawSalesTable3[[#This Row],[Revenue]]-RawSalesTable3[[#This Row],[Total_Cost]]</f>
        <v>15.951999999999998</v>
      </c>
      <c r="Y197" s="28">
        <f>RawSalesTable3[[#This Row],[Profit]]/RawSalesTable3[[#This Row],[Revenue]]</f>
        <v>0.44556170046366123</v>
      </c>
      <c r="Z197" s="27" t="str">
        <f>TEXT(RawSalesTable3[[#This Row],[Order_Date_Clean]],"MMM YYYY")</f>
        <v>Aug 2025</v>
      </c>
      <c r="AA197" s="27"/>
      <c r="AB197" s="27">
        <f t="shared" si="26"/>
        <v>0</v>
      </c>
      <c r="AC197" s="27">
        <f t="shared" si="27"/>
        <v>0</v>
      </c>
    </row>
    <row r="198" spans="1:29">
      <c r="A198" t="s">
        <v>292</v>
      </c>
      <c r="B198" s="3">
        <v>45769</v>
      </c>
      <c r="C198" t="s">
        <v>78</v>
      </c>
      <c r="D198" t="s">
        <v>62</v>
      </c>
      <c r="E198" t="s">
        <v>79</v>
      </c>
      <c r="F198" t="s">
        <v>92</v>
      </c>
      <c r="G198" s="6">
        <v>1</v>
      </c>
      <c r="H198" s="4">
        <v>49.15</v>
      </c>
      <c r="I198" s="4">
        <v>25.63</v>
      </c>
      <c r="J198" s="5">
        <v>0</v>
      </c>
      <c r="K198" s="6">
        <v>4</v>
      </c>
      <c r="L198" s="6">
        <v>4</v>
      </c>
      <c r="M198" t="s">
        <v>58</v>
      </c>
      <c r="N198" t="s">
        <v>59</v>
      </c>
      <c r="O198" t="s">
        <v>64</v>
      </c>
      <c r="P198" t="str">
        <f t="shared" si="21"/>
        <v>Individual</v>
      </c>
      <c r="Q198" t="str">
        <f t="shared" si="22"/>
        <v>London</v>
      </c>
      <c r="R198" t="str">
        <f>PROPER(TRIM(E198))</f>
        <v>Electronics</v>
      </c>
      <c r="S198" s="27">
        <f>IF(ISTEXT(B198),DATEVALUE(B198),B198)</f>
        <v>45769</v>
      </c>
      <c r="T198" s="27">
        <f>COUNTIF($A$2:$A$1986,A198)</f>
        <v>1</v>
      </c>
      <c r="U198" s="27" t="str">
        <f t="shared" si="23"/>
        <v>Webcam</v>
      </c>
      <c r="V198" s="27">
        <f t="shared" si="24"/>
        <v>49.15</v>
      </c>
      <c r="W198" s="27">
        <f t="shared" si="25"/>
        <v>25.63</v>
      </c>
      <c r="X198" s="27">
        <f>RawSalesTable3[[#This Row],[Revenue]]-RawSalesTable3[[#This Row],[Total_Cost]]</f>
        <v>23.52</v>
      </c>
      <c r="Y198" s="28">
        <f>RawSalesTable3[[#This Row],[Profit]]/RawSalesTable3[[#This Row],[Revenue]]</f>
        <v>0.47853509664292981</v>
      </c>
      <c r="Z198" s="27" t="str">
        <f>TEXT(RawSalesTable3[[#This Row],[Order_Date_Clean]],"MMM YYYY")</f>
        <v>Apr 2025</v>
      </c>
      <c r="AA198" s="27"/>
      <c r="AB198" s="27">
        <f t="shared" si="26"/>
        <v>0</v>
      </c>
      <c r="AC198" s="27">
        <f t="shared" si="27"/>
        <v>0</v>
      </c>
    </row>
    <row r="199" spans="1:29">
      <c r="A199" t="s">
        <v>293</v>
      </c>
      <c r="B199" s="3">
        <v>45790</v>
      </c>
      <c r="C199" t="s">
        <v>78</v>
      </c>
      <c r="D199" t="s">
        <v>129</v>
      </c>
      <c r="E199" t="s">
        <v>79</v>
      </c>
      <c r="F199" t="s">
        <v>80</v>
      </c>
      <c r="G199" s="6">
        <v>6</v>
      </c>
      <c r="H199" s="4">
        <v>73.2</v>
      </c>
      <c r="I199" s="4">
        <v>43.63</v>
      </c>
      <c r="J199" s="5">
        <v>0.1</v>
      </c>
      <c r="K199" s="6">
        <v>3</v>
      </c>
      <c r="L199" s="6">
        <v>4</v>
      </c>
      <c r="M199" t="s">
        <v>58</v>
      </c>
      <c r="N199" t="s">
        <v>59</v>
      </c>
      <c r="O199" t="s">
        <v>64</v>
      </c>
      <c r="P199" t="str">
        <f t="shared" si="21"/>
        <v>Corporate</v>
      </c>
      <c r="Q199" t="str">
        <f t="shared" si="22"/>
        <v>London</v>
      </c>
      <c r="R199" t="str">
        <f>PROPER(TRIM(E199))</f>
        <v>Electronics</v>
      </c>
      <c r="S199" s="27">
        <f>IF(ISTEXT(B199),DATEVALUE(B199),B199)</f>
        <v>45790</v>
      </c>
      <c r="T199" s="27">
        <f>COUNTIF($A$2:$A$1986,A199)</f>
        <v>1</v>
      </c>
      <c r="U199" s="27" t="str">
        <f t="shared" si="23"/>
        <v>Portable Speaker</v>
      </c>
      <c r="V199" s="27">
        <f t="shared" si="24"/>
        <v>395.28000000000003</v>
      </c>
      <c r="W199" s="27">
        <f t="shared" si="25"/>
        <v>261.78000000000003</v>
      </c>
      <c r="X199" s="27">
        <f>RawSalesTable3[[#This Row],[Revenue]]-RawSalesTable3[[#This Row],[Total_Cost]]</f>
        <v>133.5</v>
      </c>
      <c r="Y199" s="28">
        <f>RawSalesTable3[[#This Row],[Profit]]/RawSalesTable3[[#This Row],[Revenue]]</f>
        <v>0.33773527625986638</v>
      </c>
      <c r="Z199" s="27" t="str">
        <f>TEXT(RawSalesTable3[[#This Row],[Order_Date_Clean]],"MMM YYYY")</f>
        <v>May 2025</v>
      </c>
      <c r="AA199" s="27"/>
      <c r="AB199" s="27">
        <f t="shared" si="26"/>
        <v>0</v>
      </c>
      <c r="AC199" s="27">
        <f t="shared" si="27"/>
        <v>0</v>
      </c>
    </row>
    <row r="200" spans="1:29">
      <c r="A200" t="s">
        <v>294</v>
      </c>
      <c r="B200" s="3">
        <v>45767</v>
      </c>
      <c r="C200" t="s">
        <v>82</v>
      </c>
      <c r="D200" t="s">
        <v>62</v>
      </c>
      <c r="E200" t="s">
        <v>67</v>
      </c>
      <c r="F200" t="s">
        <v>68</v>
      </c>
      <c r="G200" s="6">
        <v>2</v>
      </c>
      <c r="H200" s="4">
        <v>40.61</v>
      </c>
      <c r="I200" s="4">
        <v>18.82</v>
      </c>
      <c r="J200" s="5">
        <v>0.1</v>
      </c>
      <c r="K200" s="6">
        <v>4</v>
      </c>
      <c r="L200" s="6">
        <v>4</v>
      </c>
      <c r="M200" t="s">
        <v>58</v>
      </c>
      <c r="N200" t="s">
        <v>59</v>
      </c>
      <c r="O200" t="s">
        <v>64</v>
      </c>
      <c r="P200" t="str">
        <f t="shared" si="21"/>
        <v>Individual</v>
      </c>
      <c r="Q200" t="str">
        <f t="shared" si="22"/>
        <v>Midlands</v>
      </c>
      <c r="R200" t="str">
        <f>PROPER(TRIM(E200))</f>
        <v>Office</v>
      </c>
      <c r="S200" s="27">
        <f>IF(ISTEXT(B200),DATEVALUE(B200),B200)</f>
        <v>45767</v>
      </c>
      <c r="T200" s="27">
        <f>COUNTIF($A$2:$A$1986,A200)</f>
        <v>1</v>
      </c>
      <c r="U200" s="27" t="str">
        <f t="shared" si="23"/>
        <v>Desk Lamp</v>
      </c>
      <c r="V200" s="27">
        <f t="shared" si="24"/>
        <v>73.097999999999999</v>
      </c>
      <c r="W200" s="27">
        <f t="shared" si="25"/>
        <v>37.64</v>
      </c>
      <c r="X200" s="27">
        <f>RawSalesTable3[[#This Row],[Revenue]]-RawSalesTable3[[#This Row],[Total_Cost]]</f>
        <v>35.457999999999998</v>
      </c>
      <c r="Y200" s="28">
        <f>RawSalesTable3[[#This Row],[Profit]]/RawSalesTable3[[#This Row],[Revenue]]</f>
        <v>0.48507483104872912</v>
      </c>
      <c r="Z200" s="27" t="str">
        <f>TEXT(RawSalesTable3[[#This Row],[Order_Date_Clean]],"MMM YYYY")</f>
        <v>Apr 2025</v>
      </c>
      <c r="AA200" s="27"/>
      <c r="AB200" s="27">
        <f t="shared" si="26"/>
        <v>0</v>
      </c>
      <c r="AC200" s="27">
        <f t="shared" si="27"/>
        <v>0</v>
      </c>
    </row>
    <row r="201" spans="1:29">
      <c r="A201" t="s">
        <v>295</v>
      </c>
      <c r="B201" s="3">
        <v>45841</v>
      </c>
      <c r="C201" t="s">
        <v>82</v>
      </c>
      <c r="D201" t="s">
        <v>62</v>
      </c>
      <c r="E201" t="s">
        <v>67</v>
      </c>
      <c r="F201" t="s">
        <v>94</v>
      </c>
      <c r="G201" s="6">
        <v>1</v>
      </c>
      <c r="H201" s="4">
        <v>35.81</v>
      </c>
      <c r="I201" s="4">
        <v>16.88</v>
      </c>
      <c r="J201" s="5">
        <v>0.1</v>
      </c>
      <c r="K201" s="6">
        <v>7</v>
      </c>
      <c r="L201" s="6">
        <v>4</v>
      </c>
      <c r="M201" t="s">
        <v>58</v>
      </c>
      <c r="N201" t="s">
        <v>59</v>
      </c>
      <c r="O201" t="s">
        <v>64</v>
      </c>
      <c r="P201" t="str">
        <f t="shared" si="21"/>
        <v>Individual</v>
      </c>
      <c r="Q201" t="str">
        <f t="shared" si="22"/>
        <v>Midlands</v>
      </c>
      <c r="R201" t="str">
        <f>PROPER(TRIM(E201))</f>
        <v>Office</v>
      </c>
      <c r="S201" s="27">
        <f>IF(ISTEXT(B201),DATEVALUE(B201),B201)</f>
        <v>45841</v>
      </c>
      <c r="T201" s="27">
        <f>COUNTIF($A$2:$A$1986,A201)</f>
        <v>1</v>
      </c>
      <c r="U201" s="27" t="str">
        <f t="shared" si="23"/>
        <v>Wireless Mouse</v>
      </c>
      <c r="V201" s="27">
        <f t="shared" si="24"/>
        <v>32.229000000000006</v>
      </c>
      <c r="W201" s="27">
        <f t="shared" si="25"/>
        <v>16.88</v>
      </c>
      <c r="X201" s="27">
        <f>RawSalesTable3[[#This Row],[Revenue]]-RawSalesTable3[[#This Row],[Total_Cost]]</f>
        <v>15.349000000000007</v>
      </c>
      <c r="Y201" s="28">
        <f>RawSalesTable3[[#This Row],[Profit]]/RawSalesTable3[[#This Row],[Revenue]]</f>
        <v>0.4762480995376836</v>
      </c>
      <c r="Z201" s="27" t="str">
        <f>TEXT(RawSalesTable3[[#This Row],[Order_Date_Clean]],"MMM YYYY")</f>
        <v>Jul 2025</v>
      </c>
      <c r="AA201" s="27"/>
      <c r="AB201" s="27">
        <f t="shared" si="26"/>
        <v>0</v>
      </c>
      <c r="AC201" s="27">
        <f t="shared" si="27"/>
        <v>0</v>
      </c>
    </row>
    <row r="202" spans="1:29">
      <c r="A202" t="s">
        <v>296</v>
      </c>
      <c r="B202" s="3" t="s">
        <v>297</v>
      </c>
      <c r="C202" t="s">
        <v>78</v>
      </c>
      <c r="D202" t="s">
        <v>62</v>
      </c>
      <c r="E202" t="s">
        <v>75</v>
      </c>
      <c r="F202" t="s">
        <v>97</v>
      </c>
      <c r="G202" s="6">
        <v>1</v>
      </c>
      <c r="H202" s="4">
        <v>92.44</v>
      </c>
      <c r="I202" s="4">
        <v>52.58</v>
      </c>
      <c r="J202" s="5">
        <v>0.15000000000000002</v>
      </c>
      <c r="K202" s="6">
        <v>8</v>
      </c>
      <c r="L202" s="6">
        <v>3</v>
      </c>
      <c r="M202" t="s">
        <v>58</v>
      </c>
      <c r="N202" t="s">
        <v>59</v>
      </c>
      <c r="O202" t="s">
        <v>64</v>
      </c>
      <c r="P202" t="str">
        <f t="shared" si="21"/>
        <v>Individual</v>
      </c>
      <c r="Q202" t="str">
        <f t="shared" si="22"/>
        <v>London</v>
      </c>
      <c r="R202" t="str">
        <f>PROPER(TRIM(E202))</f>
        <v>Furniture</v>
      </c>
      <c r="S202" s="27">
        <f>IF(ISTEXT(B202),DATEVALUE(B202),B202)</f>
        <v>45994</v>
      </c>
      <c r="T202" s="27">
        <f>COUNTIF($A$2:$A$1986,A202)</f>
        <v>1</v>
      </c>
      <c r="U202" s="27" t="str">
        <f t="shared" si="23"/>
        <v>Side Table</v>
      </c>
      <c r="V202" s="27">
        <f t="shared" si="24"/>
        <v>78.573999999999998</v>
      </c>
      <c r="W202" s="27">
        <f t="shared" si="25"/>
        <v>52.58</v>
      </c>
      <c r="X202" s="27">
        <f>RawSalesTable3[[#This Row],[Revenue]]-RawSalesTable3[[#This Row],[Total_Cost]]</f>
        <v>25.994</v>
      </c>
      <c r="Y202" s="28">
        <f>RawSalesTable3[[#This Row],[Profit]]/RawSalesTable3[[#This Row],[Revenue]]</f>
        <v>0.33082190037416959</v>
      </c>
      <c r="Z202" s="27" t="str">
        <f>TEXT(RawSalesTable3[[#This Row],[Order_Date_Clean]],"MMM YYYY")</f>
        <v>Dec 2025</v>
      </c>
      <c r="AA202" s="27"/>
      <c r="AB202" s="27">
        <f t="shared" si="26"/>
        <v>0</v>
      </c>
      <c r="AC202" s="27">
        <f t="shared" si="27"/>
        <v>0</v>
      </c>
    </row>
    <row r="203" spans="1:29">
      <c r="A203" t="s">
        <v>298</v>
      </c>
      <c r="B203" s="3">
        <v>45826</v>
      </c>
      <c r="C203" t="s">
        <v>54</v>
      </c>
      <c r="D203" t="s">
        <v>55</v>
      </c>
      <c r="E203" t="s">
        <v>79</v>
      </c>
      <c r="F203" t="s">
        <v>85</v>
      </c>
      <c r="G203" s="6">
        <v>5</v>
      </c>
      <c r="H203" s="4">
        <v>134.88</v>
      </c>
      <c r="I203" s="4">
        <v>84.9</v>
      </c>
      <c r="J203" s="5">
        <v>0.05</v>
      </c>
      <c r="K203" s="6">
        <v>5</v>
      </c>
      <c r="L203" s="6">
        <v>4</v>
      </c>
      <c r="M203" t="s">
        <v>58</v>
      </c>
      <c r="N203" t="s">
        <v>59</v>
      </c>
      <c r="O203" t="s">
        <v>60</v>
      </c>
      <c r="P203" t="str">
        <f t="shared" si="21"/>
        <v>Small Business</v>
      </c>
      <c r="Q203" t="str">
        <f t="shared" si="22"/>
        <v>North</v>
      </c>
      <c r="R203" t="str">
        <f>PROPER(TRIM(E203))</f>
        <v>Electronics</v>
      </c>
      <c r="S203" s="27">
        <f>IF(ISTEXT(B203),DATEVALUE(B203),B203)</f>
        <v>45826</v>
      </c>
      <c r="T203" s="27">
        <f>COUNTIF($A$2:$A$1986,A203)</f>
        <v>1</v>
      </c>
      <c r="U203" s="27" t="str">
        <f t="shared" si="23"/>
        <v>SmartHome Hub</v>
      </c>
      <c r="V203" s="27">
        <f t="shared" si="24"/>
        <v>640.67999999999995</v>
      </c>
      <c r="W203" s="27">
        <f t="shared" si="25"/>
        <v>424.5</v>
      </c>
      <c r="X203" s="27">
        <f>RawSalesTable3[[#This Row],[Revenue]]-RawSalesTable3[[#This Row],[Total_Cost]]</f>
        <v>216.17999999999995</v>
      </c>
      <c r="Y203" s="28">
        <f>RawSalesTable3[[#This Row],[Profit]]/RawSalesTable3[[#This Row],[Revenue]]</f>
        <v>0.33742273834051317</v>
      </c>
      <c r="Z203" s="27" t="str">
        <f>TEXT(RawSalesTable3[[#This Row],[Order_Date_Clean]],"MMM YYYY")</f>
        <v>Jun 2025</v>
      </c>
      <c r="AA203" s="27"/>
      <c r="AB203" s="27">
        <f t="shared" si="26"/>
        <v>0</v>
      </c>
      <c r="AC203" s="27">
        <f t="shared" si="27"/>
        <v>0</v>
      </c>
    </row>
    <row r="204" spans="1:29">
      <c r="A204" t="s">
        <v>299</v>
      </c>
      <c r="B204" s="3">
        <v>45830</v>
      </c>
      <c r="C204" t="s">
        <v>78</v>
      </c>
      <c r="D204" t="s">
        <v>62</v>
      </c>
      <c r="E204" t="s">
        <v>56</v>
      </c>
      <c r="F204" t="s">
        <v>63</v>
      </c>
      <c r="G204" s="6">
        <v>1</v>
      </c>
      <c r="H204" s="4">
        <v>40.4</v>
      </c>
      <c r="I204" s="4">
        <v>19.86</v>
      </c>
      <c r="J204" s="5">
        <v>0</v>
      </c>
      <c r="K204" s="6">
        <v>1</v>
      </c>
      <c r="L204" s="6">
        <v>4</v>
      </c>
      <c r="M204" t="s">
        <v>58</v>
      </c>
      <c r="N204" t="s">
        <v>87</v>
      </c>
      <c r="O204" t="s">
        <v>64</v>
      </c>
      <c r="P204" t="str">
        <f t="shared" si="21"/>
        <v>Individual</v>
      </c>
      <c r="Q204" t="str">
        <f t="shared" si="22"/>
        <v>London</v>
      </c>
      <c r="R204" t="str">
        <f>PROPER(TRIM(E204))</f>
        <v>Home &amp; Kitchen</v>
      </c>
      <c r="S204" s="27">
        <f>IF(ISTEXT(B204),DATEVALUE(B204),B204)</f>
        <v>45830</v>
      </c>
      <c r="T204" s="27">
        <f>COUNTIF($A$2:$A$1986,A204)</f>
        <v>1</v>
      </c>
      <c r="U204" s="27" t="str">
        <f t="shared" si="23"/>
        <v>Electric Kettle</v>
      </c>
      <c r="V204" s="27">
        <f t="shared" si="24"/>
        <v>40.4</v>
      </c>
      <c r="W204" s="27">
        <f t="shared" si="25"/>
        <v>19.86</v>
      </c>
      <c r="X204" s="27">
        <f>RawSalesTable3[[#This Row],[Revenue]]-RawSalesTable3[[#This Row],[Total_Cost]]</f>
        <v>20.54</v>
      </c>
      <c r="Y204" s="28">
        <f>RawSalesTable3[[#This Row],[Profit]]/RawSalesTable3[[#This Row],[Revenue]]</f>
        <v>0.50841584158415842</v>
      </c>
      <c r="Z204" s="27" t="str">
        <f>TEXT(RawSalesTable3[[#This Row],[Order_Date_Clean]],"MMM YYYY")</f>
        <v>Jun 2025</v>
      </c>
      <c r="AA204" s="27"/>
      <c r="AB204" s="27">
        <f t="shared" si="26"/>
        <v>0</v>
      </c>
      <c r="AC204" s="27">
        <f t="shared" si="27"/>
        <v>0</v>
      </c>
    </row>
    <row r="205" spans="1:29">
      <c r="A205" t="s">
        <v>300</v>
      </c>
      <c r="B205" s="3">
        <v>45895</v>
      </c>
      <c r="C205" t="s">
        <v>54</v>
      </c>
      <c r="D205" t="s">
        <v>62</v>
      </c>
      <c r="E205" t="s">
        <v>79</v>
      </c>
      <c r="F205" t="s">
        <v>115</v>
      </c>
      <c r="G205" s="6">
        <v>2</v>
      </c>
      <c r="H205" s="4">
        <v>59.13</v>
      </c>
      <c r="I205" s="4">
        <v>34.19</v>
      </c>
      <c r="J205" s="5">
        <v>0</v>
      </c>
      <c r="K205" s="6">
        <v>4</v>
      </c>
      <c r="L205" s="6">
        <v>3</v>
      </c>
      <c r="M205" t="s">
        <v>126</v>
      </c>
      <c r="N205" t="s">
        <v>59</v>
      </c>
      <c r="O205" t="s">
        <v>64</v>
      </c>
      <c r="P205" t="str">
        <f t="shared" si="21"/>
        <v>Individual</v>
      </c>
      <c r="Q205" t="str">
        <f t="shared" si="22"/>
        <v>North</v>
      </c>
      <c r="R205" t="str">
        <f>PROPER(TRIM(E205))</f>
        <v>Electronics</v>
      </c>
      <c r="S205" s="27">
        <f>IF(ISTEXT(B205),DATEVALUE(B205),B205)</f>
        <v>45895</v>
      </c>
      <c r="T205" s="27">
        <f>COUNTIF($A$2:$A$1986,A205)</f>
        <v>1</v>
      </c>
      <c r="U205" s="27" t="str">
        <f t="shared" si="23"/>
        <v>Wireless Headset</v>
      </c>
      <c r="V205" s="27">
        <f t="shared" si="24"/>
        <v>118.26</v>
      </c>
      <c r="W205" s="27">
        <f t="shared" si="25"/>
        <v>68.38</v>
      </c>
      <c r="X205" s="27">
        <f>RawSalesTable3[[#This Row],[Revenue]]-RawSalesTable3[[#This Row],[Total_Cost]]</f>
        <v>49.88000000000001</v>
      </c>
      <c r="Y205" s="28">
        <f>RawSalesTable3[[#This Row],[Profit]]/RawSalesTable3[[#This Row],[Revenue]]</f>
        <v>0.42178251310671411</v>
      </c>
      <c r="Z205" s="27" t="str">
        <f>TEXT(RawSalesTable3[[#This Row],[Order_Date_Clean]],"MMM YYYY")</f>
        <v>Aug 2025</v>
      </c>
      <c r="AA205" s="27"/>
      <c r="AB205" s="27">
        <f t="shared" si="26"/>
        <v>0</v>
      </c>
      <c r="AC205" s="27">
        <f t="shared" si="27"/>
        <v>0</v>
      </c>
    </row>
    <row r="206" spans="1:29">
      <c r="A206" t="s">
        <v>301</v>
      </c>
      <c r="B206" s="3">
        <v>45690</v>
      </c>
      <c r="C206" t="s">
        <v>82</v>
      </c>
      <c r="D206" t="s">
        <v>62</v>
      </c>
      <c r="E206" t="s">
        <v>56</v>
      </c>
      <c r="F206" t="s">
        <v>89</v>
      </c>
      <c r="G206" s="6">
        <v>1</v>
      </c>
      <c r="H206" s="4">
        <v>77.97</v>
      </c>
      <c r="I206" s="4">
        <v>44.78</v>
      </c>
      <c r="J206" s="5">
        <v>0</v>
      </c>
      <c r="K206" s="6">
        <v>3</v>
      </c>
      <c r="L206" s="6">
        <v>4</v>
      </c>
      <c r="M206" t="s">
        <v>58</v>
      </c>
      <c r="N206" t="s">
        <v>59</v>
      </c>
      <c r="O206" t="s">
        <v>64</v>
      </c>
      <c r="P206" t="str">
        <f t="shared" si="21"/>
        <v>Individual</v>
      </c>
      <c r="Q206" t="str">
        <f t="shared" si="22"/>
        <v>Midlands</v>
      </c>
      <c r="R206" t="str">
        <f>PROPER(TRIM(E206))</f>
        <v>Home &amp; Kitchen</v>
      </c>
      <c r="S206" s="27">
        <f>IF(ISTEXT(B206),DATEVALUE(B206),B206)</f>
        <v>45690</v>
      </c>
      <c r="T206" s="27">
        <f>COUNTIF($A$2:$A$1986,A206)</f>
        <v>1</v>
      </c>
      <c r="U206" s="27" t="str">
        <f t="shared" si="23"/>
        <v>Coffee Maker</v>
      </c>
      <c r="V206" s="27">
        <f t="shared" si="24"/>
        <v>77.97</v>
      </c>
      <c r="W206" s="27">
        <f t="shared" si="25"/>
        <v>44.78</v>
      </c>
      <c r="X206" s="27">
        <f>RawSalesTable3[[#This Row],[Revenue]]-RawSalesTable3[[#This Row],[Total_Cost]]</f>
        <v>33.19</v>
      </c>
      <c r="Y206" s="28">
        <f>RawSalesTable3[[#This Row],[Profit]]/RawSalesTable3[[#This Row],[Revenue]]</f>
        <v>0.42567654225984353</v>
      </c>
      <c r="Z206" s="27" t="str">
        <f>TEXT(RawSalesTable3[[#This Row],[Order_Date_Clean]],"MMM YYYY")</f>
        <v>Feb 2025</v>
      </c>
      <c r="AA206" s="27"/>
      <c r="AB206" s="27">
        <f t="shared" si="26"/>
        <v>0</v>
      </c>
      <c r="AC206" s="27">
        <f t="shared" si="27"/>
        <v>0</v>
      </c>
    </row>
    <row r="207" spans="1:29">
      <c r="A207" t="s">
        <v>302</v>
      </c>
      <c r="B207" s="3">
        <v>45887</v>
      </c>
      <c r="C207" t="s">
        <v>78</v>
      </c>
      <c r="D207" t="s">
        <v>62</v>
      </c>
      <c r="E207" t="s">
        <v>75</v>
      </c>
      <c r="F207" t="s">
        <v>97</v>
      </c>
      <c r="G207" s="6">
        <v>1</v>
      </c>
      <c r="H207" s="4">
        <v>87.68</v>
      </c>
      <c r="I207" s="4">
        <v>52.4</v>
      </c>
      <c r="J207" s="5">
        <v>0.1</v>
      </c>
      <c r="K207" s="6">
        <v>3</v>
      </c>
      <c r="L207" s="6">
        <v>4</v>
      </c>
      <c r="M207" t="s">
        <v>58</v>
      </c>
      <c r="N207" t="s">
        <v>59</v>
      </c>
      <c r="O207" t="s">
        <v>64</v>
      </c>
      <c r="P207" t="str">
        <f t="shared" si="21"/>
        <v>Individual</v>
      </c>
      <c r="Q207" t="str">
        <f t="shared" si="22"/>
        <v>London</v>
      </c>
      <c r="R207" t="str">
        <f>PROPER(TRIM(E207))</f>
        <v>Furniture</v>
      </c>
      <c r="S207" s="27">
        <f>IF(ISTEXT(B207),DATEVALUE(B207),B207)</f>
        <v>45887</v>
      </c>
      <c r="T207" s="27">
        <f>COUNTIF($A$2:$A$1986,A207)</f>
        <v>1</v>
      </c>
      <c r="U207" s="27" t="str">
        <f t="shared" si="23"/>
        <v>Side Table</v>
      </c>
      <c r="V207" s="27">
        <f t="shared" si="24"/>
        <v>78.912000000000006</v>
      </c>
      <c r="W207" s="27">
        <f t="shared" si="25"/>
        <v>52.4</v>
      </c>
      <c r="X207" s="27">
        <f>RawSalesTable3[[#This Row],[Revenue]]-RawSalesTable3[[#This Row],[Total_Cost]]</f>
        <v>26.512000000000008</v>
      </c>
      <c r="Y207" s="28">
        <f>RawSalesTable3[[#This Row],[Profit]]/RawSalesTable3[[#This Row],[Revenue]]</f>
        <v>0.33596918085969185</v>
      </c>
      <c r="Z207" s="27" t="str">
        <f>TEXT(RawSalesTable3[[#This Row],[Order_Date_Clean]],"MMM YYYY")</f>
        <v>Aug 2025</v>
      </c>
      <c r="AA207" s="27"/>
      <c r="AB207" s="27">
        <f t="shared" si="26"/>
        <v>0</v>
      </c>
      <c r="AC207" s="27">
        <f t="shared" si="27"/>
        <v>0</v>
      </c>
    </row>
    <row r="208" spans="1:29">
      <c r="A208" t="s">
        <v>303</v>
      </c>
      <c r="B208" s="3">
        <v>45712</v>
      </c>
      <c r="C208" t="s">
        <v>66</v>
      </c>
      <c r="D208" t="s">
        <v>62</v>
      </c>
      <c r="E208" t="s">
        <v>56</v>
      </c>
      <c r="F208" t="s">
        <v>83</v>
      </c>
      <c r="G208" s="6">
        <v>1</v>
      </c>
      <c r="H208" s="4">
        <v>65.98</v>
      </c>
      <c r="I208" s="4">
        <v>35.46</v>
      </c>
      <c r="J208" s="5">
        <v>0.1</v>
      </c>
      <c r="K208" s="6">
        <v>5</v>
      </c>
      <c r="L208" s="6">
        <v>3</v>
      </c>
      <c r="M208" t="s">
        <v>126</v>
      </c>
      <c r="N208" t="s">
        <v>59</v>
      </c>
      <c r="O208" t="s">
        <v>64</v>
      </c>
      <c r="P208" t="str">
        <f t="shared" si="21"/>
        <v>Individual</v>
      </c>
      <c r="Q208" t="str">
        <f t="shared" si="22"/>
        <v>South</v>
      </c>
      <c r="R208" t="str">
        <f>PROPER(TRIM(E208))</f>
        <v>Home &amp; Kitchen</v>
      </c>
      <c r="S208" s="27">
        <f>IF(ISTEXT(B208),DATEVALUE(B208),B208)</f>
        <v>45712</v>
      </c>
      <c r="T208" s="27">
        <f>COUNTIF($A$2:$A$1986,A208)</f>
        <v>1</v>
      </c>
      <c r="U208" s="27" t="str">
        <f t="shared" si="23"/>
        <v>Blender</v>
      </c>
      <c r="V208" s="27">
        <f t="shared" si="24"/>
        <v>59.382000000000005</v>
      </c>
      <c r="W208" s="27">
        <f t="shared" si="25"/>
        <v>35.46</v>
      </c>
      <c r="X208" s="27">
        <f>RawSalesTable3[[#This Row],[Revenue]]-RawSalesTable3[[#This Row],[Total_Cost]]</f>
        <v>23.922000000000004</v>
      </c>
      <c r="Y208" s="28">
        <f>RawSalesTable3[[#This Row],[Profit]]/RawSalesTable3[[#This Row],[Revenue]]</f>
        <v>0.40284934828735985</v>
      </c>
      <c r="Z208" s="27" t="str">
        <f>TEXT(RawSalesTable3[[#This Row],[Order_Date_Clean]],"MMM YYYY")</f>
        <v>Feb 2025</v>
      </c>
      <c r="AA208" s="27"/>
      <c r="AB208" s="27">
        <f t="shared" si="26"/>
        <v>0</v>
      </c>
      <c r="AC208" s="27">
        <f t="shared" si="27"/>
        <v>0</v>
      </c>
    </row>
    <row r="209" spans="1:29">
      <c r="A209" t="s">
        <v>304</v>
      </c>
      <c r="B209" s="3">
        <v>45791</v>
      </c>
      <c r="C209" t="s">
        <v>305</v>
      </c>
      <c r="D209" t="s">
        <v>62</v>
      </c>
      <c r="E209" t="s">
        <v>75</v>
      </c>
      <c r="F209" t="s">
        <v>76</v>
      </c>
      <c r="G209" s="6">
        <v>2</v>
      </c>
      <c r="H209" s="4">
        <v>119.19</v>
      </c>
      <c r="I209" s="4">
        <v>73.849999999999994</v>
      </c>
      <c r="J209" s="5">
        <v>0</v>
      </c>
      <c r="K209" s="6">
        <v>6</v>
      </c>
      <c r="L209" s="6">
        <v>4</v>
      </c>
      <c r="M209" t="s">
        <v>58</v>
      </c>
      <c r="N209" t="s">
        <v>59</v>
      </c>
      <c r="O209" t="s">
        <v>64</v>
      </c>
      <c r="P209" t="str">
        <f t="shared" si="21"/>
        <v>Individual</v>
      </c>
      <c r="Q209" t="str">
        <f t="shared" si="22"/>
        <v>London</v>
      </c>
      <c r="R209" t="str">
        <f>PROPER(TRIM(E209))</f>
        <v>Furniture</v>
      </c>
      <c r="S209" s="27">
        <f>IF(ISTEXT(B209),DATEVALUE(B209),B209)</f>
        <v>45791</v>
      </c>
      <c r="T209" s="27">
        <f>COUNTIF($A$2:$A$1986,A209)</f>
        <v>1</v>
      </c>
      <c r="U209" s="27" t="str">
        <f t="shared" si="23"/>
        <v>Bookshelf</v>
      </c>
      <c r="V209" s="27">
        <f t="shared" si="24"/>
        <v>238.38</v>
      </c>
      <c r="W209" s="27">
        <f t="shared" si="25"/>
        <v>147.69999999999999</v>
      </c>
      <c r="X209" s="27">
        <f>RawSalesTable3[[#This Row],[Revenue]]-RawSalesTable3[[#This Row],[Total_Cost]]</f>
        <v>90.68</v>
      </c>
      <c r="Y209" s="28">
        <f>RawSalesTable3[[#This Row],[Profit]]/RawSalesTable3[[#This Row],[Revenue]]</f>
        <v>0.38040104035573458</v>
      </c>
      <c r="Z209" s="27" t="str">
        <f>TEXT(RawSalesTable3[[#This Row],[Order_Date_Clean]],"MMM YYYY")</f>
        <v>May 2025</v>
      </c>
      <c r="AA209" s="27"/>
      <c r="AB209" s="27">
        <f t="shared" si="26"/>
        <v>0</v>
      </c>
      <c r="AC209" s="27">
        <f t="shared" si="27"/>
        <v>0</v>
      </c>
    </row>
    <row r="210" spans="1:29">
      <c r="A210" t="s">
        <v>306</v>
      </c>
      <c r="B210" s="3">
        <v>45661</v>
      </c>
      <c r="C210" t="s">
        <v>82</v>
      </c>
      <c r="D210" t="s">
        <v>62</v>
      </c>
      <c r="E210" t="s">
        <v>56</v>
      </c>
      <c r="F210" t="s">
        <v>63</v>
      </c>
      <c r="G210" s="6">
        <v>1</v>
      </c>
      <c r="H210" s="4">
        <v>38.909999999999997</v>
      </c>
      <c r="I210" s="4">
        <v>19.7</v>
      </c>
      <c r="J210" s="5">
        <v>0</v>
      </c>
      <c r="K210" s="6">
        <v>3</v>
      </c>
      <c r="L210" s="6">
        <v>4</v>
      </c>
      <c r="M210" t="s">
        <v>58</v>
      </c>
      <c r="N210" t="s">
        <v>59</v>
      </c>
      <c r="O210" t="s">
        <v>64</v>
      </c>
      <c r="P210" t="str">
        <f t="shared" si="21"/>
        <v>Individual</v>
      </c>
      <c r="Q210" t="str">
        <f t="shared" si="22"/>
        <v>Midlands</v>
      </c>
      <c r="R210" t="str">
        <f>PROPER(TRIM(E210))</f>
        <v>Home &amp; Kitchen</v>
      </c>
      <c r="S210" s="27">
        <f>IF(ISTEXT(B210),DATEVALUE(B210),B210)</f>
        <v>45661</v>
      </c>
      <c r="T210" s="27">
        <f>COUNTIF($A$2:$A$1986,A210)</f>
        <v>1</v>
      </c>
      <c r="U210" s="27" t="str">
        <f t="shared" si="23"/>
        <v>Electric Kettle</v>
      </c>
      <c r="V210" s="27">
        <f t="shared" si="24"/>
        <v>38.909999999999997</v>
      </c>
      <c r="W210" s="27">
        <f t="shared" si="25"/>
        <v>19.7</v>
      </c>
      <c r="X210" s="27">
        <f>RawSalesTable3[[#This Row],[Revenue]]-RawSalesTable3[[#This Row],[Total_Cost]]</f>
        <v>19.209999999999997</v>
      </c>
      <c r="Y210" s="28">
        <f>RawSalesTable3[[#This Row],[Profit]]/RawSalesTable3[[#This Row],[Revenue]]</f>
        <v>0.49370341814443586</v>
      </c>
      <c r="Z210" s="27" t="str">
        <f>TEXT(RawSalesTable3[[#This Row],[Order_Date_Clean]],"MMM YYYY")</f>
        <v>Jan 2025</v>
      </c>
      <c r="AA210" s="27"/>
      <c r="AB210" s="27">
        <f t="shared" si="26"/>
        <v>0</v>
      </c>
      <c r="AC210" s="27">
        <f t="shared" si="27"/>
        <v>0</v>
      </c>
    </row>
    <row r="211" spans="1:29">
      <c r="A211" t="s">
        <v>307</v>
      </c>
      <c r="B211" s="3">
        <v>45739</v>
      </c>
      <c r="C211" t="s">
        <v>66</v>
      </c>
      <c r="D211" t="s">
        <v>55</v>
      </c>
      <c r="E211" t="s">
        <v>56</v>
      </c>
      <c r="F211" t="s">
        <v>57</v>
      </c>
      <c r="G211" s="6">
        <v>3</v>
      </c>
      <c r="H211" s="4">
        <v>112.68</v>
      </c>
      <c r="I211" s="4">
        <v>69.05</v>
      </c>
      <c r="J211" s="5">
        <v>0.1</v>
      </c>
      <c r="K211" s="6">
        <v>6</v>
      </c>
      <c r="L211" s="6">
        <v>3</v>
      </c>
      <c r="M211" t="s">
        <v>126</v>
      </c>
      <c r="N211" t="s">
        <v>59</v>
      </c>
      <c r="O211" t="s">
        <v>60</v>
      </c>
      <c r="P211" t="str">
        <f t="shared" si="21"/>
        <v>Small Business</v>
      </c>
      <c r="Q211" t="str">
        <f t="shared" si="22"/>
        <v>South</v>
      </c>
      <c r="R211" t="str">
        <f>PROPER(TRIM(E211))</f>
        <v>Home &amp; Kitchen</v>
      </c>
      <c r="S211" s="27">
        <f>IF(ISTEXT(B211),DATEVALUE(B211),B211)</f>
        <v>45739</v>
      </c>
      <c r="T211" s="27">
        <f>COUNTIF($A$2:$A$1986,A211)</f>
        <v>1</v>
      </c>
      <c r="U211" s="27" t="str">
        <f t="shared" si="23"/>
        <v>Air Fryer</v>
      </c>
      <c r="V211" s="27">
        <f t="shared" si="24"/>
        <v>304.23600000000005</v>
      </c>
      <c r="W211" s="27">
        <f t="shared" si="25"/>
        <v>207.14999999999998</v>
      </c>
      <c r="X211" s="27">
        <f>RawSalesTable3[[#This Row],[Revenue]]-RawSalesTable3[[#This Row],[Total_Cost]]</f>
        <v>97.08600000000007</v>
      </c>
      <c r="Y211" s="28">
        <f>RawSalesTable3[[#This Row],[Profit]]/RawSalesTable3[[#This Row],[Revenue]]</f>
        <v>0.31911410878397051</v>
      </c>
      <c r="Z211" s="27" t="str">
        <f>TEXT(RawSalesTable3[[#This Row],[Order_Date_Clean]],"MMM YYYY")</f>
        <v>Mar 2025</v>
      </c>
      <c r="AA211" s="27"/>
      <c r="AB211" s="27">
        <f t="shared" si="26"/>
        <v>0</v>
      </c>
      <c r="AC211" s="27">
        <f t="shared" si="27"/>
        <v>0</v>
      </c>
    </row>
    <row r="212" spans="1:29">
      <c r="A212" t="s">
        <v>308</v>
      </c>
      <c r="B212" s="3">
        <v>45961</v>
      </c>
      <c r="C212" t="s">
        <v>78</v>
      </c>
      <c r="D212" t="s">
        <v>62</v>
      </c>
      <c r="E212" t="s">
        <v>79</v>
      </c>
      <c r="F212" t="s">
        <v>85</v>
      </c>
      <c r="G212" s="6">
        <v>1</v>
      </c>
      <c r="H212" s="4">
        <v>127.77</v>
      </c>
      <c r="I212" s="4">
        <v>87.91</v>
      </c>
      <c r="J212" s="5">
        <v>0.05</v>
      </c>
      <c r="K212" s="6">
        <v>0</v>
      </c>
      <c r="L212" s="6">
        <v>3</v>
      </c>
      <c r="M212" t="s">
        <v>126</v>
      </c>
      <c r="N212" t="s">
        <v>69</v>
      </c>
      <c r="O212" t="s">
        <v>60</v>
      </c>
      <c r="P212" t="str">
        <f t="shared" si="21"/>
        <v>Individual</v>
      </c>
      <c r="Q212" t="str">
        <f t="shared" si="22"/>
        <v>London</v>
      </c>
      <c r="R212" t="str">
        <f>PROPER(TRIM(E212))</f>
        <v>Electronics</v>
      </c>
      <c r="S212" s="27">
        <f>IF(ISTEXT(B212),DATEVALUE(B212),B212)</f>
        <v>45961</v>
      </c>
      <c r="T212" s="27">
        <f>COUNTIF($A$2:$A$1986,A212)</f>
        <v>1</v>
      </c>
      <c r="U212" s="27" t="str">
        <f t="shared" si="23"/>
        <v>SmartHome Hub</v>
      </c>
      <c r="V212" s="27">
        <f t="shared" si="24"/>
        <v>121.38149999999999</v>
      </c>
      <c r="W212" s="27">
        <f t="shared" si="25"/>
        <v>87.91</v>
      </c>
      <c r="X212" s="27">
        <f>RawSalesTable3[[#This Row],[Revenue]]-RawSalesTable3[[#This Row],[Total_Cost]]</f>
        <v>33.471499999999992</v>
      </c>
      <c r="Y212" s="28">
        <f>RawSalesTable3[[#This Row],[Profit]]/RawSalesTable3[[#This Row],[Revenue]]</f>
        <v>0.27575454249617937</v>
      </c>
      <c r="Z212" s="27" t="str">
        <f>TEXT(RawSalesTable3[[#This Row],[Order_Date_Clean]],"MMM YYYY")</f>
        <v>Oct 2025</v>
      </c>
      <c r="AA212" s="27"/>
      <c r="AB212" s="27">
        <f t="shared" si="26"/>
        <v>0</v>
      </c>
      <c r="AC212" s="27">
        <f t="shared" si="27"/>
        <v>0</v>
      </c>
    </row>
    <row r="213" spans="1:29">
      <c r="A213" t="s">
        <v>309</v>
      </c>
      <c r="B213" s="3">
        <v>45757</v>
      </c>
      <c r="C213" t="s">
        <v>78</v>
      </c>
      <c r="D213" t="s">
        <v>62</v>
      </c>
      <c r="E213" t="s">
        <v>67</v>
      </c>
      <c r="F213" t="s">
        <v>71</v>
      </c>
      <c r="G213" s="6">
        <v>1</v>
      </c>
      <c r="H213" s="4">
        <v>70.88</v>
      </c>
      <c r="I213" s="4">
        <v>38.75</v>
      </c>
      <c r="J213" s="5">
        <v>0.1</v>
      </c>
      <c r="K213" s="6">
        <v>3</v>
      </c>
      <c r="L213" s="6">
        <v>4</v>
      </c>
      <c r="M213" t="s">
        <v>58</v>
      </c>
      <c r="N213" t="s">
        <v>59</v>
      </c>
      <c r="O213" t="s">
        <v>64</v>
      </c>
      <c r="P213" t="str">
        <f t="shared" si="21"/>
        <v>Individual</v>
      </c>
      <c r="Q213" t="str">
        <f t="shared" si="22"/>
        <v>London</v>
      </c>
      <c r="R213" t="str">
        <f>PROPER(TRIM(E213))</f>
        <v>Office</v>
      </c>
      <c r="S213" s="27">
        <f>IF(ISTEXT(B213),DATEVALUE(B213),B213)</f>
        <v>45757</v>
      </c>
      <c r="T213" s="27">
        <f>COUNTIF($A$2:$A$1986,A213)</f>
        <v>1</v>
      </c>
      <c r="U213" s="27" t="str">
        <f t="shared" si="23"/>
        <v>Ergonomic Keyboard</v>
      </c>
      <c r="V213" s="27">
        <f t="shared" si="24"/>
        <v>63.791999999999994</v>
      </c>
      <c r="W213" s="27">
        <f t="shared" si="25"/>
        <v>38.75</v>
      </c>
      <c r="X213" s="27">
        <f>RawSalesTable3[[#This Row],[Revenue]]-RawSalesTable3[[#This Row],[Total_Cost]]</f>
        <v>25.041999999999994</v>
      </c>
      <c r="Y213" s="28">
        <f>RawSalesTable3[[#This Row],[Profit]]/RawSalesTable3[[#This Row],[Revenue]]</f>
        <v>0.39255706044645089</v>
      </c>
      <c r="Z213" s="27" t="str">
        <f>TEXT(RawSalesTable3[[#This Row],[Order_Date_Clean]],"MMM YYYY")</f>
        <v>Apr 2025</v>
      </c>
      <c r="AA213" s="27"/>
      <c r="AB213" s="27">
        <f t="shared" si="26"/>
        <v>0</v>
      </c>
      <c r="AC213" s="27">
        <f t="shared" si="27"/>
        <v>0</v>
      </c>
    </row>
    <row r="214" spans="1:29">
      <c r="A214" t="s">
        <v>310</v>
      </c>
      <c r="B214" s="3">
        <v>46009</v>
      </c>
      <c r="C214" t="s">
        <v>54</v>
      </c>
      <c r="D214" t="s">
        <v>62</v>
      </c>
      <c r="E214" t="s">
        <v>56</v>
      </c>
      <c r="F214" t="s">
        <v>83</v>
      </c>
      <c r="G214" s="6">
        <v>3</v>
      </c>
      <c r="H214" s="4">
        <v>66.28</v>
      </c>
      <c r="I214" s="4">
        <v>34.97</v>
      </c>
      <c r="J214" s="5">
        <v>0</v>
      </c>
      <c r="K214" s="6">
        <v>4</v>
      </c>
      <c r="L214" s="6">
        <v>4</v>
      </c>
      <c r="M214" t="s">
        <v>58</v>
      </c>
      <c r="N214" t="s">
        <v>59</v>
      </c>
      <c r="O214" t="s">
        <v>64</v>
      </c>
      <c r="P214" t="str">
        <f t="shared" si="21"/>
        <v>Individual</v>
      </c>
      <c r="Q214" t="str">
        <f t="shared" si="22"/>
        <v>North</v>
      </c>
      <c r="R214" t="str">
        <f>PROPER(TRIM(E214))</f>
        <v>Home &amp; Kitchen</v>
      </c>
      <c r="S214" s="27">
        <f>IF(ISTEXT(B214),DATEVALUE(B214),B214)</f>
        <v>46009</v>
      </c>
      <c r="T214" s="27">
        <f>COUNTIF($A$2:$A$1986,A214)</f>
        <v>1</v>
      </c>
      <c r="U214" s="27" t="str">
        <f t="shared" si="23"/>
        <v>Blender</v>
      </c>
      <c r="V214" s="27">
        <f t="shared" si="24"/>
        <v>198.84</v>
      </c>
      <c r="W214" s="27">
        <f t="shared" si="25"/>
        <v>104.91</v>
      </c>
      <c r="X214" s="27">
        <f>RawSalesTable3[[#This Row],[Revenue]]-RawSalesTable3[[#This Row],[Total_Cost]]</f>
        <v>93.93</v>
      </c>
      <c r="Y214" s="28">
        <f>RawSalesTable3[[#This Row],[Profit]]/RawSalesTable3[[#This Row],[Revenue]]</f>
        <v>0.47238986119493065</v>
      </c>
      <c r="Z214" s="27" t="str">
        <f>TEXT(RawSalesTable3[[#This Row],[Order_Date_Clean]],"MMM YYYY")</f>
        <v>Dec 2025</v>
      </c>
      <c r="AA214" s="27"/>
      <c r="AB214" s="27">
        <f t="shared" si="26"/>
        <v>0</v>
      </c>
      <c r="AC214" s="27">
        <f t="shared" si="27"/>
        <v>0</v>
      </c>
    </row>
    <row r="215" spans="1:29">
      <c r="A215" t="s">
        <v>311</v>
      </c>
      <c r="B215" s="3">
        <v>46013</v>
      </c>
      <c r="C215" t="s">
        <v>78</v>
      </c>
      <c r="D215" t="s">
        <v>62</v>
      </c>
      <c r="E215" t="s">
        <v>67</v>
      </c>
      <c r="F215" t="s">
        <v>107</v>
      </c>
      <c r="G215" s="6">
        <v>2</v>
      </c>
      <c r="H215" s="4">
        <v>45.01</v>
      </c>
      <c r="I215" s="4">
        <v>21.52</v>
      </c>
      <c r="J215" s="5">
        <v>0.1</v>
      </c>
      <c r="K215" s="6">
        <v>2</v>
      </c>
      <c r="L215" s="6">
        <v>4</v>
      </c>
      <c r="M215" t="s">
        <v>58</v>
      </c>
      <c r="N215" t="s">
        <v>59</v>
      </c>
      <c r="O215" t="s">
        <v>60</v>
      </c>
      <c r="P215" t="str">
        <f t="shared" si="21"/>
        <v>Individual</v>
      </c>
      <c r="Q215" t="str">
        <f t="shared" si="22"/>
        <v>London</v>
      </c>
      <c r="R215" t="str">
        <f>PROPER(TRIM(E215))</f>
        <v>Office</v>
      </c>
      <c r="S215" s="27">
        <f>IF(ISTEXT(B215),DATEVALUE(B215),B215)</f>
        <v>46013</v>
      </c>
      <c r="T215" s="27">
        <f>COUNTIF($A$2:$A$1986,A215)</f>
        <v>1</v>
      </c>
      <c r="U215" s="27" t="str">
        <f t="shared" si="23"/>
        <v>Laptop Stand</v>
      </c>
      <c r="V215" s="27">
        <f t="shared" si="24"/>
        <v>81.018000000000001</v>
      </c>
      <c r="W215" s="27">
        <f t="shared" si="25"/>
        <v>43.04</v>
      </c>
      <c r="X215" s="27">
        <f>RawSalesTable3[[#This Row],[Revenue]]-RawSalesTable3[[#This Row],[Total_Cost]]</f>
        <v>37.978000000000002</v>
      </c>
      <c r="Y215" s="28">
        <f>RawSalesTable3[[#This Row],[Profit]]/RawSalesTable3[[#This Row],[Revenue]]</f>
        <v>0.46876002863561184</v>
      </c>
      <c r="Z215" s="27" t="str">
        <f>TEXT(RawSalesTable3[[#This Row],[Order_Date_Clean]],"MMM YYYY")</f>
        <v>Dec 2025</v>
      </c>
      <c r="AA215" s="27"/>
      <c r="AB215" s="27">
        <f t="shared" si="26"/>
        <v>0</v>
      </c>
      <c r="AC215" s="27">
        <f t="shared" si="27"/>
        <v>0</v>
      </c>
    </row>
    <row r="216" spans="1:29">
      <c r="A216" t="s">
        <v>312</v>
      </c>
      <c r="B216" s="3">
        <v>45828</v>
      </c>
      <c r="C216" t="s">
        <v>66</v>
      </c>
      <c r="D216" t="s">
        <v>129</v>
      </c>
      <c r="E216" t="s">
        <v>56</v>
      </c>
      <c r="F216" t="s">
        <v>63</v>
      </c>
      <c r="G216" s="6">
        <v>5</v>
      </c>
      <c r="H216" s="4">
        <v>40.67</v>
      </c>
      <c r="I216" s="4">
        <v>19.579999999999998</v>
      </c>
      <c r="J216" s="5">
        <v>0.15000000000000002</v>
      </c>
      <c r="K216" s="6">
        <v>2</v>
      </c>
      <c r="L216" s="6">
        <v>3</v>
      </c>
      <c r="M216" t="s">
        <v>126</v>
      </c>
      <c r="N216" t="s">
        <v>69</v>
      </c>
      <c r="O216" t="s">
        <v>64</v>
      </c>
      <c r="P216" t="str">
        <f t="shared" si="21"/>
        <v>Corporate</v>
      </c>
      <c r="Q216" t="str">
        <f t="shared" si="22"/>
        <v>South</v>
      </c>
      <c r="R216" t="str">
        <f>PROPER(TRIM(E216))</f>
        <v>Home &amp; Kitchen</v>
      </c>
      <c r="S216" s="27">
        <f>IF(ISTEXT(B216),DATEVALUE(B216),B216)</f>
        <v>45828</v>
      </c>
      <c r="T216" s="27">
        <f>COUNTIF($A$2:$A$1986,A216)</f>
        <v>1</v>
      </c>
      <c r="U216" s="27" t="str">
        <f t="shared" si="23"/>
        <v>Electric Kettle</v>
      </c>
      <c r="V216" s="27">
        <f t="shared" si="24"/>
        <v>172.84750000000003</v>
      </c>
      <c r="W216" s="27">
        <f t="shared" si="25"/>
        <v>97.899999999999991</v>
      </c>
      <c r="X216" s="27">
        <f>RawSalesTable3[[#This Row],[Revenue]]-RawSalesTable3[[#This Row],[Total_Cost]]</f>
        <v>74.947500000000034</v>
      </c>
      <c r="Y216" s="28">
        <f>RawSalesTable3[[#This Row],[Profit]]/RawSalesTable3[[#This Row],[Revenue]]</f>
        <v>0.43360476720808816</v>
      </c>
      <c r="Z216" s="27" t="str">
        <f>TEXT(RawSalesTable3[[#This Row],[Order_Date_Clean]],"MMM YYYY")</f>
        <v>Jun 2025</v>
      </c>
      <c r="AA216" s="27"/>
      <c r="AB216" s="27">
        <f t="shared" si="26"/>
        <v>0</v>
      </c>
      <c r="AC216" s="27">
        <f t="shared" si="27"/>
        <v>0</v>
      </c>
    </row>
    <row r="217" spans="1:29">
      <c r="A217" t="s">
        <v>313</v>
      </c>
      <c r="B217" s="3">
        <v>45794</v>
      </c>
      <c r="C217" t="s">
        <v>82</v>
      </c>
      <c r="D217" t="s">
        <v>129</v>
      </c>
      <c r="E217" t="s">
        <v>67</v>
      </c>
      <c r="F217" t="s">
        <v>107</v>
      </c>
      <c r="G217" s="6">
        <v>4</v>
      </c>
      <c r="H217" s="4">
        <v>45.82</v>
      </c>
      <c r="I217" s="4">
        <v>21.91</v>
      </c>
      <c r="J217" s="5">
        <v>0.1</v>
      </c>
      <c r="K217" s="6">
        <v>3</v>
      </c>
      <c r="L217" s="6">
        <v>5</v>
      </c>
      <c r="M217" t="s">
        <v>58</v>
      </c>
      <c r="N217" t="s">
        <v>59</v>
      </c>
      <c r="O217" t="s">
        <v>64</v>
      </c>
      <c r="P217" t="str">
        <f t="shared" si="21"/>
        <v>Corporate</v>
      </c>
      <c r="Q217" t="str">
        <f t="shared" si="22"/>
        <v>Midlands</v>
      </c>
      <c r="R217" t="str">
        <f>PROPER(TRIM(E217))</f>
        <v>Office</v>
      </c>
      <c r="S217" s="27">
        <f>IF(ISTEXT(B217),DATEVALUE(B217),B217)</f>
        <v>45794</v>
      </c>
      <c r="T217" s="27">
        <f>COUNTIF($A$2:$A$1986,A217)</f>
        <v>1</v>
      </c>
      <c r="U217" s="27" t="str">
        <f t="shared" si="23"/>
        <v>Laptop Stand</v>
      </c>
      <c r="V217" s="27">
        <f t="shared" si="24"/>
        <v>164.952</v>
      </c>
      <c r="W217" s="27">
        <f t="shared" si="25"/>
        <v>87.64</v>
      </c>
      <c r="X217" s="27">
        <f>RawSalesTable3[[#This Row],[Revenue]]-RawSalesTable3[[#This Row],[Total_Cost]]</f>
        <v>77.311999999999998</v>
      </c>
      <c r="Y217" s="28">
        <f>RawSalesTable3[[#This Row],[Profit]]/RawSalesTable3[[#This Row],[Revenue]]</f>
        <v>0.46869392308065377</v>
      </c>
      <c r="Z217" s="27" t="str">
        <f>TEXT(RawSalesTable3[[#This Row],[Order_Date_Clean]],"MMM YYYY")</f>
        <v>May 2025</v>
      </c>
      <c r="AA217" s="27"/>
      <c r="AB217" s="27">
        <f t="shared" si="26"/>
        <v>0</v>
      </c>
      <c r="AC217" s="27">
        <f t="shared" si="27"/>
        <v>0</v>
      </c>
    </row>
    <row r="218" spans="1:29">
      <c r="A218" t="s">
        <v>314</v>
      </c>
      <c r="B218" s="3">
        <v>45728</v>
      </c>
      <c r="C218" t="s">
        <v>66</v>
      </c>
      <c r="D218" t="s">
        <v>62</v>
      </c>
      <c r="E218" t="s">
        <v>56</v>
      </c>
      <c r="F218" t="s">
        <v>89</v>
      </c>
      <c r="G218" s="6">
        <v>1</v>
      </c>
      <c r="H218" s="4">
        <v>80.66</v>
      </c>
      <c r="I218" s="4">
        <v>46.03</v>
      </c>
      <c r="J218" s="5">
        <v>0.05</v>
      </c>
      <c r="K218" s="6">
        <v>4</v>
      </c>
      <c r="L218" s="6">
        <v>5</v>
      </c>
      <c r="M218" t="s">
        <v>58</v>
      </c>
      <c r="N218" t="s">
        <v>69</v>
      </c>
      <c r="O218" t="s">
        <v>73</v>
      </c>
      <c r="P218" t="str">
        <f t="shared" si="21"/>
        <v>Individual</v>
      </c>
      <c r="Q218" t="str">
        <f t="shared" si="22"/>
        <v>South</v>
      </c>
      <c r="R218" t="str">
        <f>PROPER(TRIM(E218))</f>
        <v>Home &amp; Kitchen</v>
      </c>
      <c r="S218" s="27">
        <f>IF(ISTEXT(B218),DATEVALUE(B218),B218)</f>
        <v>45728</v>
      </c>
      <c r="T218" s="27">
        <f>COUNTIF($A$2:$A$1986,A218)</f>
        <v>1</v>
      </c>
      <c r="U218" s="27" t="str">
        <f t="shared" si="23"/>
        <v>Coffee Maker</v>
      </c>
      <c r="V218" s="27">
        <f t="shared" si="24"/>
        <v>76.626999999999995</v>
      </c>
      <c r="W218" s="27">
        <f t="shared" si="25"/>
        <v>46.03</v>
      </c>
      <c r="X218" s="27">
        <f>RawSalesTable3[[#This Row],[Revenue]]-RawSalesTable3[[#This Row],[Total_Cost]]</f>
        <v>30.596999999999994</v>
      </c>
      <c r="Y218" s="28">
        <f>RawSalesTable3[[#This Row],[Profit]]/RawSalesTable3[[#This Row],[Revenue]]</f>
        <v>0.39929789760789275</v>
      </c>
      <c r="Z218" s="27" t="str">
        <f>TEXT(RawSalesTable3[[#This Row],[Order_Date_Clean]],"MMM YYYY")</f>
        <v>Mar 2025</v>
      </c>
      <c r="AA218" s="27"/>
      <c r="AB218" s="27">
        <f t="shared" si="26"/>
        <v>0</v>
      </c>
      <c r="AC218" s="27">
        <f t="shared" si="27"/>
        <v>0</v>
      </c>
    </row>
    <row r="219" spans="1:29">
      <c r="A219" t="s">
        <v>315</v>
      </c>
      <c r="B219" s="3">
        <v>45979</v>
      </c>
      <c r="C219" t="s">
        <v>78</v>
      </c>
      <c r="D219" t="s">
        <v>62</v>
      </c>
      <c r="E219" t="s">
        <v>79</v>
      </c>
      <c r="F219" t="s">
        <v>85</v>
      </c>
      <c r="G219" s="6">
        <v>1</v>
      </c>
      <c r="H219" s="4">
        <v>127.09</v>
      </c>
      <c r="I219" s="4">
        <v>87.07</v>
      </c>
      <c r="J219" s="5">
        <v>0.1</v>
      </c>
      <c r="K219" s="6">
        <v>5</v>
      </c>
      <c r="L219" s="6">
        <v>4</v>
      </c>
      <c r="M219" t="s">
        <v>58</v>
      </c>
      <c r="N219" t="s">
        <v>69</v>
      </c>
      <c r="O219" t="s">
        <v>60</v>
      </c>
      <c r="P219" t="str">
        <f t="shared" si="21"/>
        <v>Individual</v>
      </c>
      <c r="Q219" t="str">
        <f t="shared" si="22"/>
        <v>London</v>
      </c>
      <c r="R219" t="str">
        <f>PROPER(TRIM(E219))</f>
        <v>Electronics</v>
      </c>
      <c r="S219" s="27">
        <f>IF(ISTEXT(B219),DATEVALUE(B219),B219)</f>
        <v>45979</v>
      </c>
      <c r="T219" s="27">
        <f>COUNTIF($A$2:$A$1986,A219)</f>
        <v>1</v>
      </c>
      <c r="U219" s="27" t="str">
        <f t="shared" si="23"/>
        <v>SmartHome Hub</v>
      </c>
      <c r="V219" s="27">
        <f t="shared" si="24"/>
        <v>114.381</v>
      </c>
      <c r="W219" s="27">
        <f t="shared" si="25"/>
        <v>87.07</v>
      </c>
      <c r="X219" s="27">
        <f>RawSalesTable3[[#This Row],[Revenue]]-RawSalesTable3[[#This Row],[Total_Cost]]</f>
        <v>27.311000000000007</v>
      </c>
      <c r="Y219" s="28">
        <f>RawSalesTable3[[#This Row],[Profit]]/RawSalesTable3[[#This Row],[Revenue]]</f>
        <v>0.23877217370017753</v>
      </c>
      <c r="Z219" s="27" t="str">
        <f>TEXT(RawSalesTable3[[#This Row],[Order_Date_Clean]],"MMM YYYY")</f>
        <v>Nov 2025</v>
      </c>
      <c r="AA219" s="27"/>
      <c r="AB219" s="27">
        <f t="shared" si="26"/>
        <v>0</v>
      </c>
      <c r="AC219" s="27">
        <f t="shared" si="27"/>
        <v>0</v>
      </c>
    </row>
    <row r="220" spans="1:29">
      <c r="A220" t="s">
        <v>316</v>
      </c>
      <c r="B220" s="3">
        <v>45883</v>
      </c>
      <c r="C220" t="s">
        <v>54</v>
      </c>
      <c r="D220" t="s">
        <v>62</v>
      </c>
      <c r="E220" t="s">
        <v>75</v>
      </c>
      <c r="F220" t="s">
        <v>110</v>
      </c>
      <c r="G220" s="6">
        <v>1</v>
      </c>
      <c r="H220" s="4">
        <v>162.12</v>
      </c>
      <c r="I220" s="4">
        <v>103.03</v>
      </c>
      <c r="J220" s="5">
        <v>0.05</v>
      </c>
      <c r="K220" s="6">
        <v>9</v>
      </c>
      <c r="L220" s="6">
        <v>3</v>
      </c>
      <c r="M220" t="s">
        <v>58</v>
      </c>
      <c r="N220" t="s">
        <v>59</v>
      </c>
      <c r="O220" t="s">
        <v>64</v>
      </c>
      <c r="P220" t="str">
        <f t="shared" si="21"/>
        <v>Individual</v>
      </c>
      <c r="Q220" t="str">
        <f t="shared" si="22"/>
        <v>North</v>
      </c>
      <c r="R220" t="str">
        <f>PROPER(TRIM(E220))</f>
        <v>Furniture</v>
      </c>
      <c r="S220" s="27">
        <f>IF(ISTEXT(B220),DATEVALUE(B220),B220)</f>
        <v>45883</v>
      </c>
      <c r="T220" s="27">
        <f>COUNTIF($A$2:$A$1986,A220)</f>
        <v>1</v>
      </c>
      <c r="U220" s="27" t="str">
        <f t="shared" si="23"/>
        <v>Storage Cabinet</v>
      </c>
      <c r="V220" s="27">
        <f t="shared" si="24"/>
        <v>154.01400000000001</v>
      </c>
      <c r="W220" s="27">
        <f t="shared" si="25"/>
        <v>103.03</v>
      </c>
      <c r="X220" s="27">
        <f>RawSalesTable3[[#This Row],[Revenue]]-RawSalesTable3[[#This Row],[Total_Cost]]</f>
        <v>50.984000000000009</v>
      </c>
      <c r="Y220" s="28">
        <f>RawSalesTable3[[#This Row],[Profit]]/RawSalesTable3[[#This Row],[Revenue]]</f>
        <v>0.33103484098848163</v>
      </c>
      <c r="Z220" s="27" t="str">
        <f>TEXT(RawSalesTable3[[#This Row],[Order_Date_Clean]],"MMM YYYY")</f>
        <v>Aug 2025</v>
      </c>
      <c r="AA220" s="27"/>
      <c r="AB220" s="27">
        <f t="shared" si="26"/>
        <v>0</v>
      </c>
      <c r="AC220" s="27">
        <f t="shared" si="27"/>
        <v>0</v>
      </c>
    </row>
    <row r="221" spans="1:29">
      <c r="A221" t="s">
        <v>317</v>
      </c>
      <c r="B221" s="3">
        <v>46005</v>
      </c>
      <c r="C221" t="s">
        <v>78</v>
      </c>
      <c r="D221" t="s">
        <v>62</v>
      </c>
      <c r="E221" t="s">
        <v>79</v>
      </c>
      <c r="F221" t="s">
        <v>85</v>
      </c>
      <c r="G221" s="6">
        <v>2</v>
      </c>
      <c r="H221" s="4">
        <v>127.18</v>
      </c>
      <c r="I221" s="4">
        <v>81.78</v>
      </c>
      <c r="J221" s="5">
        <v>0.05</v>
      </c>
      <c r="K221" s="6">
        <v>2</v>
      </c>
      <c r="L221" s="6">
        <v>4</v>
      </c>
      <c r="M221" t="s">
        <v>58</v>
      </c>
      <c r="N221" t="s">
        <v>69</v>
      </c>
      <c r="O221" t="s">
        <v>64</v>
      </c>
      <c r="P221" t="str">
        <f t="shared" si="21"/>
        <v>Individual</v>
      </c>
      <c r="Q221" t="str">
        <f t="shared" si="22"/>
        <v>London</v>
      </c>
      <c r="R221" t="str">
        <f>PROPER(TRIM(E221))</f>
        <v>Electronics</v>
      </c>
      <c r="S221" s="27">
        <f>IF(ISTEXT(B221),DATEVALUE(B221),B221)</f>
        <v>46005</v>
      </c>
      <c r="T221" s="27">
        <f>COUNTIF($A$2:$A$1986,A221)</f>
        <v>1</v>
      </c>
      <c r="U221" s="27" t="str">
        <f t="shared" si="23"/>
        <v>SmartHome Hub</v>
      </c>
      <c r="V221" s="27">
        <f t="shared" si="24"/>
        <v>241.642</v>
      </c>
      <c r="W221" s="27">
        <f t="shared" si="25"/>
        <v>163.56</v>
      </c>
      <c r="X221" s="27">
        <f>RawSalesTable3[[#This Row],[Revenue]]-RawSalesTable3[[#This Row],[Total_Cost]]</f>
        <v>78.081999999999994</v>
      </c>
      <c r="Y221" s="28">
        <f>RawSalesTable3[[#This Row],[Profit]]/RawSalesTable3[[#This Row],[Revenue]]</f>
        <v>0.32313091267246585</v>
      </c>
      <c r="Z221" s="27" t="str">
        <f>TEXT(RawSalesTable3[[#This Row],[Order_Date_Clean]],"MMM YYYY")</f>
        <v>Dec 2025</v>
      </c>
      <c r="AA221" s="27"/>
      <c r="AB221" s="27">
        <f t="shared" si="26"/>
        <v>0</v>
      </c>
      <c r="AC221" s="27">
        <f t="shared" si="27"/>
        <v>0</v>
      </c>
    </row>
    <row r="222" spans="1:29">
      <c r="A222" t="s">
        <v>318</v>
      </c>
      <c r="B222" s="3">
        <v>45957</v>
      </c>
      <c r="C222" t="s">
        <v>78</v>
      </c>
      <c r="D222" t="s">
        <v>62</v>
      </c>
      <c r="E222" t="s">
        <v>79</v>
      </c>
      <c r="F222" t="s">
        <v>92</v>
      </c>
      <c r="G222" s="6">
        <v>2</v>
      </c>
      <c r="H222" s="4">
        <v>48.97</v>
      </c>
      <c r="I222" s="4">
        <v>26.76</v>
      </c>
      <c r="J222" s="5">
        <v>0.1</v>
      </c>
      <c r="K222" s="6">
        <v>0</v>
      </c>
      <c r="L222" s="6">
        <v>4</v>
      </c>
      <c r="M222" t="s">
        <v>58</v>
      </c>
      <c r="N222" t="s">
        <v>69</v>
      </c>
      <c r="O222" t="s">
        <v>64</v>
      </c>
      <c r="P222" t="str">
        <f t="shared" si="21"/>
        <v>Individual</v>
      </c>
      <c r="Q222" t="str">
        <f t="shared" si="22"/>
        <v>London</v>
      </c>
      <c r="R222" t="str">
        <f>PROPER(TRIM(E222))</f>
        <v>Electronics</v>
      </c>
      <c r="S222" s="27">
        <f>IF(ISTEXT(B222),DATEVALUE(B222),B222)</f>
        <v>45957</v>
      </c>
      <c r="T222" s="27">
        <f>COUNTIF($A$2:$A$1986,A222)</f>
        <v>1</v>
      </c>
      <c r="U222" s="27" t="str">
        <f t="shared" si="23"/>
        <v>Webcam</v>
      </c>
      <c r="V222" s="27">
        <f t="shared" si="24"/>
        <v>88.146000000000001</v>
      </c>
      <c r="W222" s="27">
        <f t="shared" si="25"/>
        <v>53.52</v>
      </c>
      <c r="X222" s="27">
        <f>RawSalesTable3[[#This Row],[Revenue]]-RawSalesTable3[[#This Row],[Total_Cost]]</f>
        <v>34.625999999999998</v>
      </c>
      <c r="Y222" s="28">
        <f>RawSalesTable3[[#This Row],[Profit]]/RawSalesTable3[[#This Row],[Revenue]]</f>
        <v>0.39282553944591925</v>
      </c>
      <c r="Z222" s="27" t="str">
        <f>TEXT(RawSalesTable3[[#This Row],[Order_Date_Clean]],"MMM YYYY")</f>
        <v>Oct 2025</v>
      </c>
      <c r="AA222" s="27"/>
      <c r="AB222" s="27">
        <f t="shared" si="26"/>
        <v>0</v>
      </c>
      <c r="AC222" s="27">
        <f t="shared" si="27"/>
        <v>0</v>
      </c>
    </row>
    <row r="223" spans="1:29">
      <c r="A223" t="s">
        <v>319</v>
      </c>
      <c r="B223" s="3">
        <v>45792</v>
      </c>
      <c r="C223" t="s">
        <v>66</v>
      </c>
      <c r="D223" t="s">
        <v>129</v>
      </c>
      <c r="E223" t="s">
        <v>56</v>
      </c>
      <c r="F223" t="s">
        <v>63</v>
      </c>
      <c r="G223" s="6">
        <v>5</v>
      </c>
      <c r="H223" s="4">
        <v>41.34</v>
      </c>
      <c r="I223" s="4">
        <v>19.46</v>
      </c>
      <c r="J223" s="5">
        <v>0.15000000000000002</v>
      </c>
      <c r="K223" s="6">
        <v>5</v>
      </c>
      <c r="L223" s="6">
        <v>4</v>
      </c>
      <c r="M223" t="s">
        <v>58</v>
      </c>
      <c r="N223" t="s">
        <v>69</v>
      </c>
      <c r="O223" t="s">
        <v>60</v>
      </c>
      <c r="P223" t="str">
        <f t="shared" si="21"/>
        <v>Corporate</v>
      </c>
      <c r="Q223" t="str">
        <f t="shared" si="22"/>
        <v>South</v>
      </c>
      <c r="R223" t="str">
        <f>PROPER(TRIM(E223))</f>
        <v>Home &amp; Kitchen</v>
      </c>
      <c r="S223" s="27">
        <f>IF(ISTEXT(B223),DATEVALUE(B223),B223)</f>
        <v>45792</v>
      </c>
      <c r="T223" s="27">
        <f>COUNTIF($A$2:$A$1986,A223)</f>
        <v>1</v>
      </c>
      <c r="U223" s="27" t="str">
        <f t="shared" si="23"/>
        <v>Electric Kettle</v>
      </c>
      <c r="V223" s="27">
        <f t="shared" si="24"/>
        <v>175.69500000000002</v>
      </c>
      <c r="W223" s="27">
        <f t="shared" si="25"/>
        <v>97.300000000000011</v>
      </c>
      <c r="X223" s="27">
        <f>RawSalesTable3[[#This Row],[Revenue]]-RawSalesTable3[[#This Row],[Total_Cost]]</f>
        <v>78.39500000000001</v>
      </c>
      <c r="Y223" s="28">
        <f>RawSalesTable3[[#This Row],[Profit]]/RawSalesTable3[[#This Row],[Revenue]]</f>
        <v>0.4461993796067048</v>
      </c>
      <c r="Z223" s="27" t="str">
        <f>TEXT(RawSalesTable3[[#This Row],[Order_Date_Clean]],"MMM YYYY")</f>
        <v>May 2025</v>
      </c>
      <c r="AA223" s="27"/>
      <c r="AB223" s="27">
        <f t="shared" si="26"/>
        <v>0</v>
      </c>
      <c r="AC223" s="27">
        <f t="shared" si="27"/>
        <v>0</v>
      </c>
    </row>
    <row r="224" spans="1:29">
      <c r="A224" t="s">
        <v>320</v>
      </c>
      <c r="B224" s="3">
        <v>45896</v>
      </c>
      <c r="C224" t="s">
        <v>66</v>
      </c>
      <c r="D224" t="s">
        <v>62</v>
      </c>
      <c r="E224" t="s">
        <v>67</v>
      </c>
      <c r="F224" t="s">
        <v>94</v>
      </c>
      <c r="G224" s="6">
        <v>1</v>
      </c>
      <c r="H224" s="4">
        <v>35.770000000000003</v>
      </c>
      <c r="I224" s="4">
        <v>17.850000000000001</v>
      </c>
      <c r="J224" s="5">
        <v>0.1</v>
      </c>
      <c r="K224" s="6">
        <v>3</v>
      </c>
      <c r="L224" s="6">
        <v>3</v>
      </c>
      <c r="M224" t="s">
        <v>126</v>
      </c>
      <c r="N224" t="s">
        <v>69</v>
      </c>
      <c r="O224" t="s">
        <v>73</v>
      </c>
      <c r="P224" t="str">
        <f t="shared" si="21"/>
        <v>Individual</v>
      </c>
      <c r="Q224" t="str">
        <f t="shared" si="22"/>
        <v>South</v>
      </c>
      <c r="R224" t="str">
        <f>PROPER(TRIM(E224))</f>
        <v>Office</v>
      </c>
      <c r="S224" s="27">
        <f>IF(ISTEXT(B224),DATEVALUE(B224),B224)</f>
        <v>45896</v>
      </c>
      <c r="T224" s="27">
        <f>COUNTIF($A$2:$A$1986,A224)</f>
        <v>1</v>
      </c>
      <c r="U224" s="27" t="str">
        <f t="shared" si="23"/>
        <v>Wireless Mouse</v>
      </c>
      <c r="V224" s="27">
        <f t="shared" si="24"/>
        <v>32.193000000000005</v>
      </c>
      <c r="W224" s="27">
        <f t="shared" si="25"/>
        <v>17.850000000000001</v>
      </c>
      <c r="X224" s="27">
        <f>RawSalesTable3[[#This Row],[Revenue]]-RawSalesTable3[[#This Row],[Total_Cost]]</f>
        <v>14.343000000000004</v>
      </c>
      <c r="Y224" s="28">
        <f>RawSalesTable3[[#This Row],[Profit]]/RawSalesTable3[[#This Row],[Revenue]]</f>
        <v>0.44553163731245926</v>
      </c>
      <c r="Z224" s="27" t="str">
        <f>TEXT(RawSalesTable3[[#This Row],[Order_Date_Clean]],"MMM YYYY")</f>
        <v>Aug 2025</v>
      </c>
      <c r="AA224" s="27"/>
      <c r="AB224" s="27">
        <f t="shared" si="26"/>
        <v>0</v>
      </c>
      <c r="AC224" s="27">
        <f t="shared" si="27"/>
        <v>0</v>
      </c>
    </row>
    <row r="225" spans="1:29">
      <c r="A225" t="s">
        <v>321</v>
      </c>
      <c r="B225" s="3">
        <v>45845</v>
      </c>
      <c r="C225" t="s">
        <v>78</v>
      </c>
      <c r="D225" t="s">
        <v>55</v>
      </c>
      <c r="E225" t="s">
        <v>67</v>
      </c>
      <c r="F225" t="s">
        <v>94</v>
      </c>
      <c r="G225" s="6">
        <v>2</v>
      </c>
      <c r="H225" s="4">
        <v>35.06</v>
      </c>
      <c r="I225" s="4">
        <v>17.59</v>
      </c>
      <c r="J225" s="5">
        <v>0</v>
      </c>
      <c r="K225" s="6">
        <v>0</v>
      </c>
      <c r="L225" s="6">
        <v>5</v>
      </c>
      <c r="M225" t="s">
        <v>58</v>
      </c>
      <c r="N225" t="s">
        <v>69</v>
      </c>
      <c r="O225" t="s">
        <v>64</v>
      </c>
      <c r="P225" t="str">
        <f t="shared" si="21"/>
        <v>Small Business</v>
      </c>
      <c r="Q225" t="str">
        <f t="shared" si="22"/>
        <v>London</v>
      </c>
      <c r="R225" t="str">
        <f>PROPER(TRIM(E225))</f>
        <v>Office</v>
      </c>
      <c r="S225" s="27">
        <f>IF(ISTEXT(B225),DATEVALUE(B225),B225)</f>
        <v>45845</v>
      </c>
      <c r="T225" s="27">
        <f>COUNTIF($A$2:$A$1986,A225)</f>
        <v>1</v>
      </c>
      <c r="U225" s="27" t="str">
        <f t="shared" si="23"/>
        <v>Wireless Mouse</v>
      </c>
      <c r="V225" s="27">
        <f t="shared" si="24"/>
        <v>70.12</v>
      </c>
      <c r="W225" s="27">
        <f t="shared" si="25"/>
        <v>35.18</v>
      </c>
      <c r="X225" s="27">
        <f>RawSalesTable3[[#This Row],[Revenue]]-RawSalesTable3[[#This Row],[Total_Cost]]</f>
        <v>34.940000000000005</v>
      </c>
      <c r="Y225" s="28">
        <f>RawSalesTable3[[#This Row],[Profit]]/RawSalesTable3[[#This Row],[Revenue]]</f>
        <v>0.49828864803194528</v>
      </c>
      <c r="Z225" s="27" t="str">
        <f>TEXT(RawSalesTable3[[#This Row],[Order_Date_Clean]],"MMM YYYY")</f>
        <v>Jul 2025</v>
      </c>
      <c r="AA225" s="27"/>
      <c r="AB225" s="27">
        <f t="shared" si="26"/>
        <v>0</v>
      </c>
      <c r="AC225" s="27">
        <f t="shared" si="27"/>
        <v>0</v>
      </c>
    </row>
    <row r="226" spans="1:29">
      <c r="A226" t="s">
        <v>322</v>
      </c>
      <c r="B226" s="3">
        <v>45783</v>
      </c>
      <c r="C226" t="s">
        <v>54</v>
      </c>
      <c r="D226" t="s">
        <v>62</v>
      </c>
      <c r="E226" t="s">
        <v>67</v>
      </c>
      <c r="F226" t="s">
        <v>107</v>
      </c>
      <c r="G226" s="6">
        <v>4</v>
      </c>
      <c r="H226" s="4">
        <v>45.22</v>
      </c>
      <c r="I226" s="4">
        <v>21.23</v>
      </c>
      <c r="J226" s="5">
        <v>0.05</v>
      </c>
      <c r="K226" s="6">
        <v>3</v>
      </c>
      <c r="L226" s="6">
        <v>5</v>
      </c>
      <c r="M226" t="s">
        <v>58</v>
      </c>
      <c r="N226" t="s">
        <v>59</v>
      </c>
      <c r="O226" t="s">
        <v>64</v>
      </c>
      <c r="P226" t="str">
        <f t="shared" si="21"/>
        <v>Individual</v>
      </c>
      <c r="Q226" t="str">
        <f t="shared" si="22"/>
        <v>North</v>
      </c>
      <c r="R226" t="str">
        <f>PROPER(TRIM(E226))</f>
        <v>Office</v>
      </c>
      <c r="S226" s="27">
        <f>IF(ISTEXT(B226),DATEVALUE(B226),B226)</f>
        <v>45783</v>
      </c>
      <c r="T226" s="27">
        <f>COUNTIF($A$2:$A$1986,A226)</f>
        <v>1</v>
      </c>
      <c r="U226" s="27" t="str">
        <f t="shared" si="23"/>
        <v>Laptop Stand</v>
      </c>
      <c r="V226" s="27">
        <f t="shared" si="24"/>
        <v>171.83599999999998</v>
      </c>
      <c r="W226" s="27">
        <f t="shared" si="25"/>
        <v>84.92</v>
      </c>
      <c r="X226" s="27">
        <f>RawSalesTable3[[#This Row],[Revenue]]-RawSalesTable3[[#This Row],[Total_Cost]]</f>
        <v>86.915999999999983</v>
      </c>
      <c r="Y226" s="28">
        <f>RawSalesTable3[[#This Row],[Profit]]/RawSalesTable3[[#This Row],[Revenue]]</f>
        <v>0.50580786331152949</v>
      </c>
      <c r="Z226" s="27" t="str">
        <f>TEXT(RawSalesTable3[[#This Row],[Order_Date_Clean]],"MMM YYYY")</f>
        <v>May 2025</v>
      </c>
      <c r="AA226" s="27"/>
      <c r="AB226" s="27">
        <f t="shared" si="26"/>
        <v>0</v>
      </c>
      <c r="AC226" s="27">
        <f t="shared" si="27"/>
        <v>0</v>
      </c>
    </row>
    <row r="227" spans="1:29">
      <c r="A227" t="s">
        <v>323</v>
      </c>
      <c r="B227" s="3">
        <v>45928</v>
      </c>
      <c r="C227" t="s">
        <v>54</v>
      </c>
      <c r="D227" t="s">
        <v>62</v>
      </c>
      <c r="E227" t="s">
        <v>75</v>
      </c>
      <c r="F227" t="s">
        <v>146</v>
      </c>
      <c r="G227" s="6">
        <v>2</v>
      </c>
      <c r="H227" s="4">
        <v>186.58</v>
      </c>
      <c r="I227" s="4">
        <v>117.75</v>
      </c>
      <c r="J227" s="5">
        <v>0</v>
      </c>
      <c r="K227" s="6">
        <v>5</v>
      </c>
      <c r="L227" s="6">
        <v>3</v>
      </c>
      <c r="M227" t="s">
        <v>126</v>
      </c>
      <c r="N227" t="s">
        <v>59</v>
      </c>
      <c r="O227" t="s">
        <v>73</v>
      </c>
      <c r="P227" t="str">
        <f t="shared" si="21"/>
        <v>Individual</v>
      </c>
      <c r="Q227" t="str">
        <f t="shared" si="22"/>
        <v>North</v>
      </c>
      <c r="R227" t="str">
        <f>PROPER(TRIM(E227))</f>
        <v>Furniture</v>
      </c>
      <c r="S227" s="27">
        <f>IF(ISTEXT(B227),DATEVALUE(B227),B227)</f>
        <v>45928</v>
      </c>
      <c r="T227" s="27">
        <f>COUNTIF($A$2:$A$1986,A227)</f>
        <v>1</v>
      </c>
      <c r="U227" s="27" t="str">
        <f t="shared" si="23"/>
        <v>Office Chair</v>
      </c>
      <c r="V227" s="27">
        <f t="shared" si="24"/>
        <v>373.16</v>
      </c>
      <c r="W227" s="27">
        <f t="shared" si="25"/>
        <v>235.5</v>
      </c>
      <c r="X227" s="27">
        <f>RawSalesTable3[[#This Row],[Revenue]]-RawSalesTable3[[#This Row],[Total_Cost]]</f>
        <v>137.66000000000003</v>
      </c>
      <c r="Y227" s="28">
        <f>RawSalesTable3[[#This Row],[Profit]]/RawSalesTable3[[#This Row],[Revenue]]</f>
        <v>0.36890341944474225</v>
      </c>
      <c r="Z227" s="27" t="str">
        <f>TEXT(RawSalesTable3[[#This Row],[Order_Date_Clean]],"MMM YYYY")</f>
        <v>Sep 2025</v>
      </c>
      <c r="AA227" s="27"/>
      <c r="AB227" s="27">
        <f t="shared" si="26"/>
        <v>0</v>
      </c>
      <c r="AC227" s="27">
        <f t="shared" si="27"/>
        <v>0</v>
      </c>
    </row>
    <row r="228" spans="1:29">
      <c r="A228" t="s">
        <v>324</v>
      </c>
      <c r="B228" s="3">
        <v>45754</v>
      </c>
      <c r="C228" t="s">
        <v>66</v>
      </c>
      <c r="D228" t="s">
        <v>62</v>
      </c>
      <c r="E228" t="s">
        <v>79</v>
      </c>
      <c r="F228" t="s">
        <v>115</v>
      </c>
      <c r="G228" s="6">
        <v>3</v>
      </c>
      <c r="H228" s="4">
        <v>58.93</v>
      </c>
      <c r="I228" s="4">
        <v>34.950000000000003</v>
      </c>
      <c r="J228" s="5">
        <v>0.15000000000000002</v>
      </c>
      <c r="K228" s="6">
        <v>4</v>
      </c>
      <c r="L228" s="6">
        <v>5</v>
      </c>
      <c r="M228" t="s">
        <v>58</v>
      </c>
      <c r="N228" t="s">
        <v>59</v>
      </c>
      <c r="O228" t="s">
        <v>64</v>
      </c>
      <c r="P228" t="str">
        <f t="shared" si="21"/>
        <v>Individual</v>
      </c>
      <c r="Q228" t="str">
        <f t="shared" si="22"/>
        <v>South</v>
      </c>
      <c r="R228" t="str">
        <f>PROPER(TRIM(E228))</f>
        <v>Electronics</v>
      </c>
      <c r="S228" s="27">
        <f>IF(ISTEXT(B228),DATEVALUE(B228),B228)</f>
        <v>45754</v>
      </c>
      <c r="T228" s="27">
        <f>COUNTIF($A$2:$A$1986,A228)</f>
        <v>1</v>
      </c>
      <c r="U228" s="27" t="str">
        <f t="shared" si="23"/>
        <v>Wireless Headset</v>
      </c>
      <c r="V228" s="27">
        <f t="shared" si="24"/>
        <v>150.2715</v>
      </c>
      <c r="W228" s="27">
        <f t="shared" si="25"/>
        <v>104.85000000000001</v>
      </c>
      <c r="X228" s="27">
        <f>RawSalesTable3[[#This Row],[Revenue]]-RawSalesTable3[[#This Row],[Total_Cost]]</f>
        <v>45.421499999999995</v>
      </c>
      <c r="Y228" s="28">
        <f>RawSalesTable3[[#This Row],[Profit]]/RawSalesTable3[[#This Row],[Revenue]]</f>
        <v>0.30226290414350021</v>
      </c>
      <c r="Z228" s="27" t="str">
        <f>TEXT(RawSalesTable3[[#This Row],[Order_Date_Clean]],"MMM YYYY")</f>
        <v>Apr 2025</v>
      </c>
      <c r="AA228" s="27"/>
      <c r="AB228" s="27">
        <f t="shared" si="26"/>
        <v>0</v>
      </c>
      <c r="AC228" s="27">
        <f t="shared" si="27"/>
        <v>0</v>
      </c>
    </row>
    <row r="229" spans="1:29">
      <c r="A229" t="s">
        <v>325</v>
      </c>
      <c r="B229" s="3">
        <v>46021</v>
      </c>
      <c r="C229" t="s">
        <v>66</v>
      </c>
      <c r="D229" t="s">
        <v>62</v>
      </c>
      <c r="E229" t="s">
        <v>56</v>
      </c>
      <c r="F229" t="s">
        <v>63</v>
      </c>
      <c r="G229" s="6">
        <v>1</v>
      </c>
      <c r="H229" s="4">
        <v>39.74</v>
      </c>
      <c r="I229" s="4">
        <v>20.61</v>
      </c>
      <c r="J229" s="5">
        <v>0.2</v>
      </c>
      <c r="K229" s="6">
        <v>0</v>
      </c>
      <c r="L229" s="6">
        <v>4</v>
      </c>
      <c r="M229" t="s">
        <v>58</v>
      </c>
      <c r="N229" t="s">
        <v>69</v>
      </c>
      <c r="O229" t="s">
        <v>64</v>
      </c>
      <c r="P229" t="str">
        <f t="shared" si="21"/>
        <v>Individual</v>
      </c>
      <c r="Q229" t="str">
        <f t="shared" si="22"/>
        <v>South</v>
      </c>
      <c r="R229" t="str">
        <f>PROPER(TRIM(E229))</f>
        <v>Home &amp; Kitchen</v>
      </c>
      <c r="S229" s="27">
        <f>IF(ISTEXT(B229),DATEVALUE(B229),B229)</f>
        <v>46021</v>
      </c>
      <c r="T229" s="27">
        <f>COUNTIF($A$2:$A$1986,A229)</f>
        <v>1</v>
      </c>
      <c r="U229" s="27" t="str">
        <f t="shared" si="23"/>
        <v>Electric Kettle</v>
      </c>
      <c r="V229" s="27">
        <f t="shared" si="24"/>
        <v>31.792000000000002</v>
      </c>
      <c r="W229" s="27">
        <f t="shared" si="25"/>
        <v>20.61</v>
      </c>
      <c r="X229" s="27">
        <f>RawSalesTable3[[#This Row],[Revenue]]-RawSalesTable3[[#This Row],[Total_Cost]]</f>
        <v>11.182000000000002</v>
      </c>
      <c r="Y229" s="28">
        <f>RawSalesTable3[[#This Row],[Profit]]/RawSalesTable3[[#This Row],[Revenue]]</f>
        <v>0.35172370407649728</v>
      </c>
      <c r="Z229" s="27" t="str">
        <f>TEXT(RawSalesTable3[[#This Row],[Order_Date_Clean]],"MMM YYYY")</f>
        <v>Dec 2025</v>
      </c>
      <c r="AA229" s="27"/>
      <c r="AB229" s="27">
        <f t="shared" si="26"/>
        <v>0</v>
      </c>
      <c r="AC229" s="27">
        <f t="shared" si="27"/>
        <v>0</v>
      </c>
    </row>
    <row r="230" spans="1:29">
      <c r="A230" t="s">
        <v>326</v>
      </c>
      <c r="B230" s="3">
        <v>45749</v>
      </c>
      <c r="C230" t="s">
        <v>82</v>
      </c>
      <c r="D230" t="s">
        <v>62</v>
      </c>
      <c r="E230" t="s">
        <v>75</v>
      </c>
      <c r="F230" t="s">
        <v>76</v>
      </c>
      <c r="G230" s="6">
        <v>3</v>
      </c>
      <c r="H230" s="4">
        <v>120.19</v>
      </c>
      <c r="I230" s="4">
        <v>72.77</v>
      </c>
      <c r="J230" s="5">
        <v>0.05</v>
      </c>
      <c r="K230" s="6">
        <v>5</v>
      </c>
      <c r="L230" s="6">
        <v>5</v>
      </c>
      <c r="M230" t="s">
        <v>58</v>
      </c>
      <c r="N230" t="s">
        <v>59</v>
      </c>
      <c r="O230" t="s">
        <v>64</v>
      </c>
      <c r="P230" t="str">
        <f t="shared" si="21"/>
        <v>Individual</v>
      </c>
      <c r="Q230" t="str">
        <f t="shared" si="22"/>
        <v>Midlands</v>
      </c>
      <c r="R230" t="str">
        <f>PROPER(TRIM(E230))</f>
        <v>Furniture</v>
      </c>
      <c r="S230" s="27">
        <f>IF(ISTEXT(B230),DATEVALUE(B230),B230)</f>
        <v>45749</v>
      </c>
      <c r="T230" s="27">
        <f>COUNTIF($A$2:$A$1986,A230)</f>
        <v>1</v>
      </c>
      <c r="U230" s="27" t="str">
        <f t="shared" si="23"/>
        <v>Bookshelf</v>
      </c>
      <c r="V230" s="27">
        <f t="shared" si="24"/>
        <v>342.54149999999998</v>
      </c>
      <c r="W230" s="27">
        <f t="shared" si="25"/>
        <v>218.31</v>
      </c>
      <c r="X230" s="27">
        <f>RawSalesTable3[[#This Row],[Revenue]]-RawSalesTable3[[#This Row],[Total_Cost]]</f>
        <v>124.23149999999998</v>
      </c>
      <c r="Y230" s="28">
        <f>RawSalesTable3[[#This Row],[Profit]]/RawSalesTable3[[#This Row],[Revenue]]</f>
        <v>0.36267576337465673</v>
      </c>
      <c r="Z230" s="27" t="str">
        <f>TEXT(RawSalesTable3[[#This Row],[Order_Date_Clean]],"MMM YYYY")</f>
        <v>Apr 2025</v>
      </c>
      <c r="AA230" s="27"/>
      <c r="AB230" s="27">
        <f t="shared" si="26"/>
        <v>0</v>
      </c>
      <c r="AC230" s="27">
        <f t="shared" si="27"/>
        <v>0</v>
      </c>
    </row>
    <row r="231" spans="1:29">
      <c r="A231" t="s">
        <v>327</v>
      </c>
      <c r="B231" s="3">
        <v>45906</v>
      </c>
      <c r="C231" t="s">
        <v>54</v>
      </c>
      <c r="D231" t="s">
        <v>62</v>
      </c>
      <c r="E231" t="s">
        <v>75</v>
      </c>
      <c r="F231" t="s">
        <v>110</v>
      </c>
      <c r="G231" s="6">
        <v>3</v>
      </c>
      <c r="H231" s="4">
        <v>160.26</v>
      </c>
      <c r="I231" s="4">
        <v>105.69</v>
      </c>
      <c r="J231" s="5">
        <v>0.05</v>
      </c>
      <c r="K231" s="6">
        <v>0</v>
      </c>
      <c r="L231" s="6">
        <v>4</v>
      </c>
      <c r="M231" t="s">
        <v>58</v>
      </c>
      <c r="N231" t="s">
        <v>69</v>
      </c>
      <c r="O231" t="s">
        <v>64</v>
      </c>
      <c r="P231" t="str">
        <f t="shared" si="21"/>
        <v>Individual</v>
      </c>
      <c r="Q231" t="str">
        <f t="shared" si="22"/>
        <v>North</v>
      </c>
      <c r="R231" t="str">
        <f>PROPER(TRIM(E231))</f>
        <v>Furniture</v>
      </c>
      <c r="S231" s="27">
        <f>IF(ISTEXT(B231),DATEVALUE(B231),B231)</f>
        <v>45906</v>
      </c>
      <c r="T231" s="27">
        <f>COUNTIF($A$2:$A$1986,A231)</f>
        <v>1</v>
      </c>
      <c r="U231" s="27" t="str">
        <f t="shared" si="23"/>
        <v>Storage Cabinet</v>
      </c>
      <c r="V231" s="27">
        <f t="shared" si="24"/>
        <v>456.74099999999993</v>
      </c>
      <c r="W231" s="27">
        <f t="shared" si="25"/>
        <v>317.07</v>
      </c>
      <c r="X231" s="27">
        <f>RawSalesTable3[[#This Row],[Revenue]]-RawSalesTable3[[#This Row],[Total_Cost]]</f>
        <v>139.67099999999994</v>
      </c>
      <c r="Y231" s="28">
        <f>RawSalesTable3[[#This Row],[Profit]]/RawSalesTable3[[#This Row],[Revenue]]</f>
        <v>0.30579912904687767</v>
      </c>
      <c r="Z231" s="27" t="str">
        <f>TEXT(RawSalesTable3[[#This Row],[Order_Date_Clean]],"MMM YYYY")</f>
        <v>Sep 2025</v>
      </c>
      <c r="AA231" s="27"/>
      <c r="AB231" s="27">
        <f t="shared" si="26"/>
        <v>0</v>
      </c>
      <c r="AC231" s="27">
        <f t="shared" si="27"/>
        <v>0</v>
      </c>
    </row>
    <row r="232" spans="1:29">
      <c r="A232" t="s">
        <v>328</v>
      </c>
      <c r="B232" s="3">
        <v>45976</v>
      </c>
      <c r="C232" t="s">
        <v>54</v>
      </c>
      <c r="D232" t="s">
        <v>62</v>
      </c>
      <c r="E232" t="s">
        <v>79</v>
      </c>
      <c r="F232" t="s">
        <v>92</v>
      </c>
      <c r="G232" s="6">
        <v>1</v>
      </c>
      <c r="H232" s="4">
        <v>50.68</v>
      </c>
      <c r="I232" s="4">
        <v>26.89</v>
      </c>
      <c r="J232" s="5">
        <v>0.15000000000000002</v>
      </c>
      <c r="K232" s="6">
        <v>3</v>
      </c>
      <c r="L232" s="6">
        <v>4</v>
      </c>
      <c r="M232" t="s">
        <v>58</v>
      </c>
      <c r="N232" t="s">
        <v>59</v>
      </c>
      <c r="O232" t="s">
        <v>64</v>
      </c>
      <c r="P232" t="str">
        <f t="shared" si="21"/>
        <v>Individual</v>
      </c>
      <c r="Q232" t="str">
        <f t="shared" si="22"/>
        <v>North</v>
      </c>
      <c r="R232" t="str">
        <f>PROPER(TRIM(E232))</f>
        <v>Electronics</v>
      </c>
      <c r="S232" s="27">
        <f>IF(ISTEXT(B232),DATEVALUE(B232),B232)</f>
        <v>45976</v>
      </c>
      <c r="T232" s="27">
        <f>COUNTIF($A$2:$A$1986,A232)</f>
        <v>1</v>
      </c>
      <c r="U232" s="27" t="str">
        <f t="shared" si="23"/>
        <v>Webcam</v>
      </c>
      <c r="V232" s="27">
        <f t="shared" si="24"/>
        <v>43.077999999999996</v>
      </c>
      <c r="W232" s="27">
        <f t="shared" si="25"/>
        <v>26.89</v>
      </c>
      <c r="X232" s="27">
        <f>RawSalesTable3[[#This Row],[Revenue]]-RawSalesTable3[[#This Row],[Total_Cost]]</f>
        <v>16.187999999999995</v>
      </c>
      <c r="Y232" s="28">
        <f>RawSalesTable3[[#This Row],[Profit]]/RawSalesTable3[[#This Row],[Revenue]]</f>
        <v>0.37578346255629314</v>
      </c>
      <c r="Z232" s="27" t="str">
        <f>TEXT(RawSalesTable3[[#This Row],[Order_Date_Clean]],"MMM YYYY")</f>
        <v>Nov 2025</v>
      </c>
      <c r="AA232" s="27"/>
      <c r="AB232" s="27">
        <f t="shared" si="26"/>
        <v>0</v>
      </c>
      <c r="AC232" s="27">
        <f t="shared" si="27"/>
        <v>0</v>
      </c>
    </row>
    <row r="233" spans="1:29">
      <c r="A233" t="s">
        <v>329</v>
      </c>
      <c r="B233" s="3">
        <v>45693</v>
      </c>
      <c r="C233" t="s">
        <v>54</v>
      </c>
      <c r="D233" t="s">
        <v>62</v>
      </c>
      <c r="E233" t="s">
        <v>79</v>
      </c>
      <c r="F233" t="s">
        <v>80</v>
      </c>
      <c r="G233" s="6">
        <v>2</v>
      </c>
      <c r="H233" s="4">
        <v>76.84</v>
      </c>
      <c r="I233" s="4">
        <v>44.28</v>
      </c>
      <c r="J233" s="5">
        <v>0.05</v>
      </c>
      <c r="K233" s="6">
        <v>4</v>
      </c>
      <c r="L233" s="6">
        <v>5</v>
      </c>
      <c r="M233" t="s">
        <v>58</v>
      </c>
      <c r="N233" t="s">
        <v>59</v>
      </c>
      <c r="O233" t="s">
        <v>64</v>
      </c>
      <c r="P233" t="str">
        <f t="shared" si="21"/>
        <v>Individual</v>
      </c>
      <c r="Q233" t="str">
        <f t="shared" si="22"/>
        <v>North</v>
      </c>
      <c r="R233" t="str">
        <f>PROPER(TRIM(E233))</f>
        <v>Electronics</v>
      </c>
      <c r="S233" s="27">
        <f>IF(ISTEXT(B233),DATEVALUE(B233),B233)</f>
        <v>45693</v>
      </c>
      <c r="T233" s="27">
        <f>COUNTIF($A$2:$A$1986,A233)</f>
        <v>1</v>
      </c>
      <c r="U233" s="27" t="str">
        <f t="shared" si="23"/>
        <v>Portable Speaker</v>
      </c>
      <c r="V233" s="27">
        <f t="shared" si="24"/>
        <v>145.99600000000001</v>
      </c>
      <c r="W233" s="27">
        <f t="shared" si="25"/>
        <v>88.56</v>
      </c>
      <c r="X233" s="27">
        <f>RawSalesTable3[[#This Row],[Revenue]]-RawSalesTable3[[#This Row],[Total_Cost]]</f>
        <v>57.436000000000007</v>
      </c>
      <c r="Y233" s="28">
        <f>RawSalesTable3[[#This Row],[Profit]]/RawSalesTable3[[#This Row],[Revenue]]</f>
        <v>0.39340803857639939</v>
      </c>
      <c r="Z233" s="27" t="str">
        <f>TEXT(RawSalesTable3[[#This Row],[Order_Date_Clean]],"MMM YYYY")</f>
        <v>Feb 2025</v>
      </c>
      <c r="AA233" s="27"/>
      <c r="AB233" s="27">
        <f t="shared" si="26"/>
        <v>0</v>
      </c>
      <c r="AC233" s="27">
        <f t="shared" si="27"/>
        <v>0</v>
      </c>
    </row>
    <row r="234" spans="1:29">
      <c r="A234" t="s">
        <v>330</v>
      </c>
      <c r="B234" s="3">
        <v>45775</v>
      </c>
      <c r="C234" t="s">
        <v>66</v>
      </c>
      <c r="D234" t="s">
        <v>55</v>
      </c>
      <c r="E234" t="s">
        <v>79</v>
      </c>
      <c r="F234" t="s">
        <v>92</v>
      </c>
      <c r="G234" s="6">
        <v>5</v>
      </c>
      <c r="H234" s="4">
        <v>50.65</v>
      </c>
      <c r="I234" s="4">
        <v>25.57</v>
      </c>
      <c r="J234" s="5">
        <v>0.15000000000000002</v>
      </c>
      <c r="K234" s="6">
        <v>7</v>
      </c>
      <c r="L234" s="6">
        <v>4</v>
      </c>
      <c r="M234" t="s">
        <v>58</v>
      </c>
      <c r="N234" t="s">
        <v>87</v>
      </c>
      <c r="O234" t="s">
        <v>64</v>
      </c>
      <c r="P234" t="str">
        <f t="shared" si="21"/>
        <v>Small Business</v>
      </c>
      <c r="Q234" t="str">
        <f t="shared" si="22"/>
        <v>South</v>
      </c>
      <c r="R234" t="str">
        <f>PROPER(TRIM(E234))</f>
        <v>Electronics</v>
      </c>
      <c r="S234" s="27">
        <f>IF(ISTEXT(B234),DATEVALUE(B234),B234)</f>
        <v>45775</v>
      </c>
      <c r="T234" s="27">
        <f>COUNTIF($A$2:$A$1986,A234)</f>
        <v>1</v>
      </c>
      <c r="U234" s="27" t="str">
        <f t="shared" si="23"/>
        <v>Webcam</v>
      </c>
      <c r="V234" s="27">
        <f t="shared" si="24"/>
        <v>215.26249999999999</v>
      </c>
      <c r="W234" s="27">
        <f t="shared" si="25"/>
        <v>127.85</v>
      </c>
      <c r="X234" s="27">
        <f>RawSalesTable3[[#This Row],[Revenue]]-RawSalesTable3[[#This Row],[Total_Cost]]</f>
        <v>87.412499999999994</v>
      </c>
      <c r="Y234" s="28">
        <f>RawSalesTable3[[#This Row],[Profit]]/RawSalesTable3[[#This Row],[Revenue]]</f>
        <v>0.40607397944370244</v>
      </c>
      <c r="Z234" s="27" t="str">
        <f>TEXT(RawSalesTable3[[#This Row],[Order_Date_Clean]],"MMM YYYY")</f>
        <v>Apr 2025</v>
      </c>
      <c r="AA234" s="27"/>
      <c r="AB234" s="27">
        <f t="shared" si="26"/>
        <v>0</v>
      </c>
      <c r="AC234" s="27">
        <f t="shared" si="27"/>
        <v>0</v>
      </c>
    </row>
    <row r="235" spans="1:29">
      <c r="A235" t="s">
        <v>331</v>
      </c>
      <c r="B235" s="3">
        <v>45812</v>
      </c>
      <c r="C235" t="s">
        <v>78</v>
      </c>
      <c r="D235" t="s">
        <v>129</v>
      </c>
      <c r="E235" t="s">
        <v>67</v>
      </c>
      <c r="F235" t="s">
        <v>68</v>
      </c>
      <c r="G235" s="6">
        <v>6</v>
      </c>
      <c r="H235" s="4">
        <v>39.380000000000003</v>
      </c>
      <c r="I235" s="4">
        <v>19.940000000000001</v>
      </c>
      <c r="J235" s="5">
        <v>0.1</v>
      </c>
      <c r="K235" s="6">
        <v>0</v>
      </c>
      <c r="L235" s="6">
        <v>5</v>
      </c>
      <c r="M235" t="s">
        <v>58</v>
      </c>
      <c r="N235" t="s">
        <v>69</v>
      </c>
      <c r="O235" t="s">
        <v>73</v>
      </c>
      <c r="P235" t="str">
        <f t="shared" si="21"/>
        <v>Corporate</v>
      </c>
      <c r="Q235" t="str">
        <f t="shared" si="22"/>
        <v>London</v>
      </c>
      <c r="R235" t="str">
        <f>PROPER(TRIM(E235))</f>
        <v>Office</v>
      </c>
      <c r="S235" s="27">
        <f>IF(ISTEXT(B235),DATEVALUE(B235),B235)</f>
        <v>45812</v>
      </c>
      <c r="T235" s="27">
        <f>COUNTIF($A$2:$A$1986,A235)</f>
        <v>1</v>
      </c>
      <c r="U235" s="27" t="str">
        <f t="shared" si="23"/>
        <v>Desk Lamp</v>
      </c>
      <c r="V235" s="27">
        <f t="shared" si="24"/>
        <v>212.65200000000004</v>
      </c>
      <c r="W235" s="27">
        <f t="shared" si="25"/>
        <v>119.64000000000001</v>
      </c>
      <c r="X235" s="27">
        <f>RawSalesTable3[[#This Row],[Revenue]]-RawSalesTable3[[#This Row],[Total_Cost]]</f>
        <v>93.012000000000029</v>
      </c>
      <c r="Y235" s="28">
        <f>RawSalesTable3[[#This Row],[Profit]]/RawSalesTable3[[#This Row],[Revenue]]</f>
        <v>0.43739066644094582</v>
      </c>
      <c r="Z235" s="27" t="str">
        <f>TEXT(RawSalesTable3[[#This Row],[Order_Date_Clean]],"MMM YYYY")</f>
        <v>Jun 2025</v>
      </c>
      <c r="AA235" s="27"/>
      <c r="AB235" s="27">
        <f t="shared" si="26"/>
        <v>0</v>
      </c>
      <c r="AC235" s="27">
        <f t="shared" si="27"/>
        <v>0</v>
      </c>
    </row>
    <row r="236" spans="1:29">
      <c r="A236" t="s">
        <v>332</v>
      </c>
      <c r="B236" s="3">
        <v>45833</v>
      </c>
      <c r="C236" t="s">
        <v>82</v>
      </c>
      <c r="D236" t="s">
        <v>55</v>
      </c>
      <c r="E236" t="s">
        <v>56</v>
      </c>
      <c r="F236" t="s">
        <v>63</v>
      </c>
      <c r="G236" s="6">
        <v>3</v>
      </c>
      <c r="H236" s="4">
        <v>40.39</v>
      </c>
      <c r="I236" s="4">
        <v>20.309999999999999</v>
      </c>
      <c r="J236" s="5">
        <v>0</v>
      </c>
      <c r="K236" s="6">
        <v>7</v>
      </c>
      <c r="L236" s="6">
        <v>3</v>
      </c>
      <c r="M236" t="s">
        <v>58</v>
      </c>
      <c r="N236" t="s">
        <v>59</v>
      </c>
      <c r="O236" t="s">
        <v>64</v>
      </c>
      <c r="P236" t="str">
        <f t="shared" si="21"/>
        <v>Small Business</v>
      </c>
      <c r="Q236" t="str">
        <f t="shared" si="22"/>
        <v>Midlands</v>
      </c>
      <c r="R236" t="str">
        <f>PROPER(TRIM(E236))</f>
        <v>Home &amp; Kitchen</v>
      </c>
      <c r="S236" s="27">
        <f>IF(ISTEXT(B236),DATEVALUE(B236),B236)</f>
        <v>45833</v>
      </c>
      <c r="T236" s="27">
        <f>COUNTIF($A$2:$A$1986,A236)</f>
        <v>1</v>
      </c>
      <c r="U236" s="27" t="str">
        <f t="shared" si="23"/>
        <v>Electric Kettle</v>
      </c>
      <c r="V236" s="27">
        <f t="shared" si="24"/>
        <v>121.17</v>
      </c>
      <c r="W236" s="27">
        <f t="shared" si="25"/>
        <v>60.929999999999993</v>
      </c>
      <c r="X236" s="27">
        <f>RawSalesTable3[[#This Row],[Revenue]]-RawSalesTable3[[#This Row],[Total_Cost]]</f>
        <v>60.240000000000009</v>
      </c>
      <c r="Y236" s="28">
        <f>RawSalesTable3[[#This Row],[Profit]]/RawSalesTable3[[#This Row],[Revenue]]</f>
        <v>0.49715276058430313</v>
      </c>
      <c r="Z236" s="27" t="str">
        <f>TEXT(RawSalesTable3[[#This Row],[Order_Date_Clean]],"MMM YYYY")</f>
        <v>Jun 2025</v>
      </c>
      <c r="AA236" s="27"/>
      <c r="AB236" s="27">
        <f t="shared" si="26"/>
        <v>0</v>
      </c>
      <c r="AC236" s="27">
        <f t="shared" si="27"/>
        <v>0</v>
      </c>
    </row>
    <row r="237" spans="1:29">
      <c r="A237" t="s">
        <v>333</v>
      </c>
      <c r="B237" s="3">
        <v>45981</v>
      </c>
      <c r="C237" t="s">
        <v>54</v>
      </c>
      <c r="D237" t="s">
        <v>62</v>
      </c>
      <c r="E237" t="s">
        <v>79</v>
      </c>
      <c r="F237" t="s">
        <v>115</v>
      </c>
      <c r="G237" s="6">
        <v>2</v>
      </c>
      <c r="H237" s="4">
        <v>58.83</v>
      </c>
      <c r="I237" s="4">
        <v>34.090000000000003</v>
      </c>
      <c r="J237" s="5">
        <v>0.05</v>
      </c>
      <c r="K237" s="6">
        <v>5</v>
      </c>
      <c r="L237" s="6">
        <v>4</v>
      </c>
      <c r="M237" t="s">
        <v>58</v>
      </c>
      <c r="N237" t="s">
        <v>59</v>
      </c>
      <c r="O237" t="s">
        <v>73</v>
      </c>
      <c r="P237" t="str">
        <f t="shared" si="21"/>
        <v>Individual</v>
      </c>
      <c r="Q237" t="str">
        <f t="shared" si="22"/>
        <v>North</v>
      </c>
      <c r="R237" t="str">
        <f>PROPER(TRIM(E237))</f>
        <v>Electronics</v>
      </c>
      <c r="S237" s="27">
        <f>IF(ISTEXT(B237),DATEVALUE(B237),B237)</f>
        <v>45981</v>
      </c>
      <c r="T237" s="27">
        <f>COUNTIF($A$2:$A$1986,A237)</f>
        <v>1</v>
      </c>
      <c r="U237" s="27" t="str">
        <f t="shared" si="23"/>
        <v>Wireless Headset</v>
      </c>
      <c r="V237" s="27">
        <f t="shared" si="24"/>
        <v>111.77699999999999</v>
      </c>
      <c r="W237" s="27">
        <f t="shared" si="25"/>
        <v>68.180000000000007</v>
      </c>
      <c r="X237" s="27">
        <f>RawSalesTable3[[#This Row],[Revenue]]-RawSalesTable3[[#This Row],[Total_Cost]]</f>
        <v>43.59699999999998</v>
      </c>
      <c r="Y237" s="28">
        <f>RawSalesTable3[[#This Row],[Profit]]/RawSalesTable3[[#This Row],[Revenue]]</f>
        <v>0.39003551714574541</v>
      </c>
      <c r="Z237" s="27" t="str">
        <f>TEXT(RawSalesTable3[[#This Row],[Order_Date_Clean]],"MMM YYYY")</f>
        <v>Nov 2025</v>
      </c>
      <c r="AA237" s="27"/>
      <c r="AB237" s="27">
        <f t="shared" si="26"/>
        <v>0</v>
      </c>
      <c r="AC237" s="27">
        <f t="shared" si="27"/>
        <v>0</v>
      </c>
    </row>
    <row r="238" spans="1:29">
      <c r="A238" t="s">
        <v>334</v>
      </c>
      <c r="B238" s="3">
        <v>45792</v>
      </c>
      <c r="C238" t="s">
        <v>66</v>
      </c>
      <c r="D238" t="s">
        <v>55</v>
      </c>
      <c r="E238" t="s">
        <v>75</v>
      </c>
      <c r="F238" t="s">
        <v>146</v>
      </c>
      <c r="G238" s="6">
        <v>4</v>
      </c>
      <c r="H238" s="4">
        <v>178.6</v>
      </c>
      <c r="I238" s="4">
        <v>114.65</v>
      </c>
      <c r="J238" s="5">
        <v>0</v>
      </c>
      <c r="K238" s="6">
        <v>6</v>
      </c>
      <c r="L238" s="6">
        <v>3</v>
      </c>
      <c r="M238" t="s">
        <v>126</v>
      </c>
      <c r="N238" t="s">
        <v>69</v>
      </c>
      <c r="O238" t="s">
        <v>64</v>
      </c>
      <c r="P238" t="str">
        <f t="shared" si="21"/>
        <v>Small Business</v>
      </c>
      <c r="Q238" t="str">
        <f t="shared" si="22"/>
        <v>South</v>
      </c>
      <c r="R238" t="str">
        <f>PROPER(TRIM(E238))</f>
        <v>Furniture</v>
      </c>
      <c r="S238" s="27">
        <f>IF(ISTEXT(B238),DATEVALUE(B238),B238)</f>
        <v>45792</v>
      </c>
      <c r="T238" s="27">
        <f>COUNTIF($A$2:$A$1986,A238)</f>
        <v>1</v>
      </c>
      <c r="U238" s="27" t="str">
        <f t="shared" si="23"/>
        <v>Office Chair</v>
      </c>
      <c r="V238" s="27">
        <f t="shared" si="24"/>
        <v>714.4</v>
      </c>
      <c r="W238" s="27">
        <f t="shared" si="25"/>
        <v>458.6</v>
      </c>
      <c r="X238" s="27">
        <f>RawSalesTable3[[#This Row],[Revenue]]-RawSalesTable3[[#This Row],[Total_Cost]]</f>
        <v>255.79999999999995</v>
      </c>
      <c r="Y238" s="28">
        <f>RawSalesTable3[[#This Row],[Profit]]/RawSalesTable3[[#This Row],[Revenue]]</f>
        <v>0.35806270996640532</v>
      </c>
      <c r="Z238" s="27" t="str">
        <f>TEXT(RawSalesTable3[[#This Row],[Order_Date_Clean]],"MMM YYYY")</f>
        <v>May 2025</v>
      </c>
      <c r="AA238" s="27"/>
      <c r="AB238" s="27">
        <f t="shared" si="26"/>
        <v>0</v>
      </c>
      <c r="AC238" s="27">
        <f t="shared" si="27"/>
        <v>0</v>
      </c>
    </row>
    <row r="239" spans="1:29">
      <c r="A239" t="s">
        <v>335</v>
      </c>
      <c r="B239" s="3">
        <v>45967</v>
      </c>
      <c r="C239" t="s">
        <v>82</v>
      </c>
      <c r="D239" t="s">
        <v>62</v>
      </c>
      <c r="E239" t="s">
        <v>75</v>
      </c>
      <c r="F239" t="s">
        <v>76</v>
      </c>
      <c r="G239" s="6">
        <v>3</v>
      </c>
      <c r="H239" s="4">
        <v>121.61</v>
      </c>
      <c r="I239" s="4">
        <v>70.290000000000006</v>
      </c>
      <c r="J239" s="5">
        <v>0.05</v>
      </c>
      <c r="K239" s="6">
        <v>5</v>
      </c>
      <c r="L239" s="6">
        <v>4</v>
      </c>
      <c r="M239" t="s">
        <v>58</v>
      </c>
      <c r="N239" t="s">
        <v>59</v>
      </c>
      <c r="O239" t="s">
        <v>64</v>
      </c>
      <c r="P239" t="str">
        <f t="shared" si="21"/>
        <v>Individual</v>
      </c>
      <c r="Q239" t="str">
        <f t="shared" si="22"/>
        <v>Midlands</v>
      </c>
      <c r="R239" t="str">
        <f>PROPER(TRIM(E239))</f>
        <v>Furniture</v>
      </c>
      <c r="S239" s="27">
        <f>IF(ISTEXT(B239),DATEVALUE(B239),B239)</f>
        <v>45967</v>
      </c>
      <c r="T239" s="27">
        <f>COUNTIF($A$2:$A$1986,A239)</f>
        <v>1</v>
      </c>
      <c r="U239" s="27" t="str">
        <f t="shared" si="23"/>
        <v>Bookshelf</v>
      </c>
      <c r="V239" s="27">
        <f t="shared" si="24"/>
        <v>346.58849999999995</v>
      </c>
      <c r="W239" s="27">
        <f t="shared" si="25"/>
        <v>210.87</v>
      </c>
      <c r="X239" s="27">
        <f>RawSalesTable3[[#This Row],[Revenue]]-RawSalesTable3[[#This Row],[Total_Cost]]</f>
        <v>135.71849999999995</v>
      </c>
      <c r="Y239" s="28">
        <f>RawSalesTable3[[#This Row],[Profit]]/RawSalesTable3[[#This Row],[Revenue]]</f>
        <v>0.39158396773118542</v>
      </c>
      <c r="Z239" s="27" t="str">
        <f>TEXT(RawSalesTable3[[#This Row],[Order_Date_Clean]],"MMM YYYY")</f>
        <v>Nov 2025</v>
      </c>
      <c r="AA239" s="27"/>
      <c r="AB239" s="27">
        <f t="shared" si="26"/>
        <v>0</v>
      </c>
      <c r="AC239" s="27">
        <f t="shared" si="27"/>
        <v>0</v>
      </c>
    </row>
    <row r="240" spans="1:29">
      <c r="A240" t="s">
        <v>336</v>
      </c>
      <c r="B240" s="3">
        <v>45843</v>
      </c>
      <c r="C240" t="s">
        <v>66</v>
      </c>
      <c r="D240" t="s">
        <v>62</v>
      </c>
      <c r="E240" t="s">
        <v>67</v>
      </c>
      <c r="F240" t="s">
        <v>94</v>
      </c>
      <c r="G240" s="6">
        <v>3</v>
      </c>
      <c r="H240" s="4">
        <v>34.64</v>
      </c>
      <c r="I240" s="4">
        <v>17.64</v>
      </c>
      <c r="J240" s="5">
        <v>0.1</v>
      </c>
      <c r="K240" s="6">
        <v>0</v>
      </c>
      <c r="L240" s="6">
        <v>5</v>
      </c>
      <c r="M240" t="s">
        <v>58</v>
      </c>
      <c r="N240" t="s">
        <v>69</v>
      </c>
      <c r="O240" t="s">
        <v>64</v>
      </c>
      <c r="P240" t="str">
        <f t="shared" si="21"/>
        <v>Individual</v>
      </c>
      <c r="Q240" t="str">
        <f t="shared" si="22"/>
        <v>South</v>
      </c>
      <c r="R240" t="str">
        <f>PROPER(TRIM(E240))</f>
        <v>Office</v>
      </c>
      <c r="S240" s="27">
        <f>IF(ISTEXT(B240),DATEVALUE(B240),B240)</f>
        <v>45843</v>
      </c>
      <c r="T240" s="27">
        <f>COUNTIF($A$2:$A$1986,A240)</f>
        <v>1</v>
      </c>
      <c r="U240" s="27" t="str">
        <f t="shared" si="23"/>
        <v>Wireless Mouse</v>
      </c>
      <c r="V240" s="27">
        <f t="shared" si="24"/>
        <v>93.528000000000006</v>
      </c>
      <c r="W240" s="27">
        <f t="shared" si="25"/>
        <v>52.92</v>
      </c>
      <c r="X240" s="27">
        <f>RawSalesTable3[[#This Row],[Revenue]]-RawSalesTable3[[#This Row],[Total_Cost]]</f>
        <v>40.608000000000004</v>
      </c>
      <c r="Y240" s="28">
        <f>RawSalesTable3[[#This Row],[Profit]]/RawSalesTable3[[#This Row],[Revenue]]</f>
        <v>0.43418013856812937</v>
      </c>
      <c r="Z240" s="27" t="str">
        <f>TEXT(RawSalesTable3[[#This Row],[Order_Date_Clean]],"MMM YYYY")</f>
        <v>Jul 2025</v>
      </c>
      <c r="AA240" s="27"/>
      <c r="AB240" s="27">
        <f t="shared" si="26"/>
        <v>0</v>
      </c>
      <c r="AC240" s="27">
        <f t="shared" si="27"/>
        <v>0</v>
      </c>
    </row>
    <row r="241" spans="1:29">
      <c r="A241" t="s">
        <v>337</v>
      </c>
      <c r="B241" s="3">
        <v>45794</v>
      </c>
      <c r="C241" t="s">
        <v>66</v>
      </c>
      <c r="D241" t="s">
        <v>62</v>
      </c>
      <c r="E241" t="s">
        <v>79</v>
      </c>
      <c r="F241" t="s">
        <v>85</v>
      </c>
      <c r="G241" s="6">
        <v>1</v>
      </c>
      <c r="H241" s="4">
        <v>130.34</v>
      </c>
      <c r="I241" s="4">
        <v>81.489999999999995</v>
      </c>
      <c r="J241" s="5">
        <v>0.05</v>
      </c>
      <c r="K241" s="6">
        <v>3</v>
      </c>
      <c r="L241" s="6">
        <v>4</v>
      </c>
      <c r="M241" t="s">
        <v>58</v>
      </c>
      <c r="N241" t="s">
        <v>59</v>
      </c>
      <c r="O241" t="s">
        <v>60</v>
      </c>
      <c r="P241" t="str">
        <f t="shared" si="21"/>
        <v>Individual</v>
      </c>
      <c r="Q241" t="str">
        <f t="shared" si="22"/>
        <v>South</v>
      </c>
      <c r="R241" t="str">
        <f>PROPER(TRIM(E241))</f>
        <v>Electronics</v>
      </c>
      <c r="S241" s="27">
        <f>IF(ISTEXT(B241),DATEVALUE(B241),B241)</f>
        <v>45794</v>
      </c>
      <c r="T241" s="27">
        <f>COUNTIF($A$2:$A$1986,A241)</f>
        <v>1</v>
      </c>
      <c r="U241" s="27" t="str">
        <f t="shared" si="23"/>
        <v>SmartHome Hub</v>
      </c>
      <c r="V241" s="27">
        <f t="shared" si="24"/>
        <v>123.82299999999999</v>
      </c>
      <c r="W241" s="27">
        <f t="shared" si="25"/>
        <v>81.489999999999995</v>
      </c>
      <c r="X241" s="27">
        <f>RawSalesTable3[[#This Row],[Revenue]]-RawSalesTable3[[#This Row],[Total_Cost]]</f>
        <v>42.332999999999998</v>
      </c>
      <c r="Y241" s="28">
        <f>RawSalesTable3[[#This Row],[Profit]]/RawSalesTable3[[#This Row],[Revenue]]</f>
        <v>0.34188317194705348</v>
      </c>
      <c r="Z241" s="27" t="str">
        <f>TEXT(RawSalesTable3[[#This Row],[Order_Date_Clean]],"MMM YYYY")</f>
        <v>May 2025</v>
      </c>
      <c r="AA241" s="27"/>
      <c r="AB241" s="27">
        <f t="shared" si="26"/>
        <v>0</v>
      </c>
      <c r="AC241" s="27">
        <f t="shared" si="27"/>
        <v>0</v>
      </c>
    </row>
    <row r="242" spans="1:29">
      <c r="A242" t="s">
        <v>338</v>
      </c>
      <c r="B242" s="3">
        <v>45977</v>
      </c>
      <c r="C242" t="s">
        <v>66</v>
      </c>
      <c r="D242" t="s">
        <v>62</v>
      </c>
      <c r="E242" t="s">
        <v>75</v>
      </c>
      <c r="F242" t="s">
        <v>146</v>
      </c>
      <c r="G242" s="6">
        <v>4</v>
      </c>
      <c r="H242" s="4">
        <v>179.68</v>
      </c>
      <c r="I242" s="4">
        <v>114.14</v>
      </c>
      <c r="J242" s="5">
        <v>0.25</v>
      </c>
      <c r="K242" s="6">
        <v>3</v>
      </c>
      <c r="L242" s="6">
        <v>5</v>
      </c>
      <c r="M242" t="s">
        <v>58</v>
      </c>
      <c r="N242" t="s">
        <v>59</v>
      </c>
      <c r="O242" t="s">
        <v>60</v>
      </c>
      <c r="P242" t="str">
        <f t="shared" si="21"/>
        <v>Individual</v>
      </c>
      <c r="Q242" t="str">
        <f t="shared" si="22"/>
        <v>South</v>
      </c>
      <c r="R242" t="str">
        <f>PROPER(TRIM(E242))</f>
        <v>Furniture</v>
      </c>
      <c r="S242" s="27">
        <f>IF(ISTEXT(B242),DATEVALUE(B242),B242)</f>
        <v>45977</v>
      </c>
      <c r="T242" s="27">
        <f>COUNTIF($A$2:$A$1986,A242)</f>
        <v>1</v>
      </c>
      <c r="U242" s="27" t="str">
        <f t="shared" si="23"/>
        <v>Office Chair</v>
      </c>
      <c r="V242" s="27">
        <f t="shared" si="24"/>
        <v>539.04</v>
      </c>
      <c r="W242" s="27">
        <f t="shared" si="25"/>
        <v>456.56</v>
      </c>
      <c r="X242" s="27">
        <f>RawSalesTable3[[#This Row],[Revenue]]-RawSalesTable3[[#This Row],[Total_Cost]]</f>
        <v>82.479999999999961</v>
      </c>
      <c r="Y242" s="28">
        <f>RawSalesTable3[[#This Row],[Profit]]/RawSalesTable3[[#This Row],[Revenue]]</f>
        <v>0.1530127634312852</v>
      </c>
      <c r="Z242" s="27" t="str">
        <f>TEXT(RawSalesTable3[[#This Row],[Order_Date_Clean]],"MMM YYYY")</f>
        <v>Nov 2025</v>
      </c>
      <c r="AA242" s="27"/>
      <c r="AB242" s="27">
        <f t="shared" si="26"/>
        <v>0</v>
      </c>
      <c r="AC242" s="27">
        <f t="shared" si="27"/>
        <v>0</v>
      </c>
    </row>
    <row r="243" spans="1:29">
      <c r="A243" t="s">
        <v>339</v>
      </c>
      <c r="B243" s="3">
        <v>45943</v>
      </c>
      <c r="C243" t="s">
        <v>82</v>
      </c>
      <c r="D243" t="s">
        <v>55</v>
      </c>
      <c r="E243" t="s">
        <v>56</v>
      </c>
      <c r="F243" t="s">
        <v>63</v>
      </c>
      <c r="G243" s="6">
        <v>4</v>
      </c>
      <c r="H243" s="4">
        <v>40.229999999999997</v>
      </c>
      <c r="I243" s="4">
        <v>19.63</v>
      </c>
      <c r="J243" s="5">
        <v>0</v>
      </c>
      <c r="K243" s="6">
        <v>4</v>
      </c>
      <c r="L243" s="6">
        <v>5</v>
      </c>
      <c r="M243" t="s">
        <v>58</v>
      </c>
      <c r="N243" t="s">
        <v>69</v>
      </c>
      <c r="O243" t="s">
        <v>64</v>
      </c>
      <c r="P243" t="str">
        <f t="shared" si="21"/>
        <v>Small Business</v>
      </c>
      <c r="Q243" t="str">
        <f t="shared" si="22"/>
        <v>Midlands</v>
      </c>
      <c r="R243" t="str">
        <f>PROPER(TRIM(E243))</f>
        <v>Home &amp; Kitchen</v>
      </c>
      <c r="S243" s="27">
        <f>IF(ISTEXT(B243),DATEVALUE(B243),B243)</f>
        <v>45943</v>
      </c>
      <c r="T243" s="27">
        <f>COUNTIF($A$2:$A$1986,A243)</f>
        <v>1</v>
      </c>
      <c r="U243" s="27" t="str">
        <f t="shared" si="23"/>
        <v>Electric Kettle</v>
      </c>
      <c r="V243" s="27">
        <f t="shared" si="24"/>
        <v>160.91999999999999</v>
      </c>
      <c r="W243" s="27">
        <f t="shared" si="25"/>
        <v>78.52</v>
      </c>
      <c r="X243" s="27">
        <f>RawSalesTable3[[#This Row],[Revenue]]-RawSalesTable3[[#This Row],[Total_Cost]]</f>
        <v>82.399999999999991</v>
      </c>
      <c r="Y243" s="28">
        <f>RawSalesTable3[[#This Row],[Profit]]/RawSalesTable3[[#This Row],[Revenue]]</f>
        <v>0.51205567984091471</v>
      </c>
      <c r="Z243" s="27" t="str">
        <f>TEXT(RawSalesTable3[[#This Row],[Order_Date_Clean]],"MMM YYYY")</f>
        <v>Oct 2025</v>
      </c>
      <c r="AA243" s="27"/>
      <c r="AB243" s="27">
        <f t="shared" si="26"/>
        <v>0</v>
      </c>
      <c r="AC243" s="27">
        <f t="shared" si="27"/>
        <v>0</v>
      </c>
    </row>
    <row r="244" spans="1:29">
      <c r="A244" t="s">
        <v>340</v>
      </c>
      <c r="B244" s="3">
        <v>45888</v>
      </c>
      <c r="C244" t="s">
        <v>54</v>
      </c>
      <c r="D244" t="s">
        <v>62</v>
      </c>
      <c r="E244" t="s">
        <v>79</v>
      </c>
      <c r="F244" t="s">
        <v>115</v>
      </c>
      <c r="G244" s="6">
        <v>3</v>
      </c>
      <c r="H244" s="4">
        <v>60.58</v>
      </c>
      <c r="I244" s="4">
        <v>33.89</v>
      </c>
      <c r="J244" s="5">
        <v>0</v>
      </c>
      <c r="K244" s="6">
        <v>2</v>
      </c>
      <c r="L244" s="6">
        <v>4</v>
      </c>
      <c r="M244" t="s">
        <v>126</v>
      </c>
      <c r="N244" t="s">
        <v>59</v>
      </c>
      <c r="O244" t="s">
        <v>64</v>
      </c>
      <c r="P244" t="str">
        <f t="shared" si="21"/>
        <v>Individual</v>
      </c>
      <c r="Q244" t="str">
        <f t="shared" si="22"/>
        <v>North</v>
      </c>
      <c r="R244" t="str">
        <f>PROPER(TRIM(E244))</f>
        <v>Electronics</v>
      </c>
      <c r="S244" s="27">
        <f>IF(ISTEXT(B244),DATEVALUE(B244),B244)</f>
        <v>45888</v>
      </c>
      <c r="T244" s="27">
        <f>COUNTIF($A$2:$A$1986,A244)</f>
        <v>1</v>
      </c>
      <c r="U244" s="27" t="str">
        <f t="shared" si="23"/>
        <v>Wireless Headset</v>
      </c>
      <c r="V244" s="27">
        <f t="shared" si="24"/>
        <v>181.74</v>
      </c>
      <c r="W244" s="27">
        <f t="shared" si="25"/>
        <v>101.67</v>
      </c>
      <c r="X244" s="27">
        <f>RawSalesTable3[[#This Row],[Revenue]]-RawSalesTable3[[#This Row],[Total_Cost]]</f>
        <v>80.070000000000007</v>
      </c>
      <c r="Y244" s="28">
        <f>RawSalesTable3[[#This Row],[Profit]]/RawSalesTable3[[#This Row],[Revenue]]</f>
        <v>0.44057444701221526</v>
      </c>
      <c r="Z244" s="27" t="str">
        <f>TEXT(RawSalesTable3[[#This Row],[Order_Date_Clean]],"MMM YYYY")</f>
        <v>Aug 2025</v>
      </c>
      <c r="AA244" s="27"/>
      <c r="AB244" s="27">
        <f t="shared" si="26"/>
        <v>0</v>
      </c>
      <c r="AC244" s="27">
        <f t="shared" si="27"/>
        <v>0</v>
      </c>
    </row>
    <row r="245" spans="1:29">
      <c r="A245" t="s">
        <v>341</v>
      </c>
      <c r="B245" s="3">
        <v>45844</v>
      </c>
      <c r="C245" t="s">
        <v>54</v>
      </c>
      <c r="D245" t="s">
        <v>62</v>
      </c>
      <c r="E245" t="s">
        <v>75</v>
      </c>
      <c r="F245" t="s">
        <v>76</v>
      </c>
      <c r="G245" s="6">
        <v>1</v>
      </c>
      <c r="H245" s="4">
        <v>117.6</v>
      </c>
      <c r="I245" s="4">
        <v>72.069999999999993</v>
      </c>
      <c r="J245" s="5">
        <v>0</v>
      </c>
      <c r="K245" s="6">
        <v>5</v>
      </c>
      <c r="L245" s="6">
        <v>5</v>
      </c>
      <c r="M245" t="s">
        <v>58</v>
      </c>
      <c r="N245" t="s">
        <v>69</v>
      </c>
      <c r="O245" t="s">
        <v>64</v>
      </c>
      <c r="P245" t="str">
        <f t="shared" si="21"/>
        <v>Individual</v>
      </c>
      <c r="Q245" t="str">
        <f t="shared" si="22"/>
        <v>North</v>
      </c>
      <c r="R245" t="str">
        <f>PROPER(TRIM(E245))</f>
        <v>Furniture</v>
      </c>
      <c r="S245" s="27">
        <f>IF(ISTEXT(B245),DATEVALUE(B245),B245)</f>
        <v>45844</v>
      </c>
      <c r="T245" s="27">
        <f>COUNTIF($A$2:$A$1986,A245)</f>
        <v>1</v>
      </c>
      <c r="U245" s="27" t="str">
        <f t="shared" si="23"/>
        <v>Bookshelf</v>
      </c>
      <c r="V245" s="27">
        <f t="shared" si="24"/>
        <v>117.6</v>
      </c>
      <c r="W245" s="27">
        <f t="shared" si="25"/>
        <v>72.069999999999993</v>
      </c>
      <c r="X245" s="27">
        <f>RawSalesTable3[[#This Row],[Revenue]]-RawSalesTable3[[#This Row],[Total_Cost]]</f>
        <v>45.53</v>
      </c>
      <c r="Y245" s="28">
        <f>RawSalesTable3[[#This Row],[Profit]]/RawSalesTable3[[#This Row],[Revenue]]</f>
        <v>0.38715986394557828</v>
      </c>
      <c r="Z245" s="27" t="str">
        <f>TEXT(RawSalesTable3[[#This Row],[Order_Date_Clean]],"MMM YYYY")</f>
        <v>Jul 2025</v>
      </c>
      <c r="AA245" s="27"/>
      <c r="AB245" s="27">
        <f t="shared" si="26"/>
        <v>0</v>
      </c>
      <c r="AC245" s="27">
        <f t="shared" si="27"/>
        <v>0</v>
      </c>
    </row>
    <row r="246" spans="1:29">
      <c r="A246" t="s">
        <v>342</v>
      </c>
      <c r="B246" s="3">
        <v>45964</v>
      </c>
      <c r="C246" t="s">
        <v>78</v>
      </c>
      <c r="D246" t="s">
        <v>129</v>
      </c>
      <c r="E246" t="s">
        <v>79</v>
      </c>
      <c r="F246" t="s">
        <v>85</v>
      </c>
      <c r="G246" s="6">
        <v>5</v>
      </c>
      <c r="H246" s="4">
        <v>134.41</v>
      </c>
      <c r="I246" s="4">
        <v>83.01</v>
      </c>
      <c r="J246" s="5">
        <v>0.1</v>
      </c>
      <c r="K246" s="6">
        <v>3</v>
      </c>
      <c r="L246" s="6">
        <v>3</v>
      </c>
      <c r="M246" t="s">
        <v>126</v>
      </c>
      <c r="N246" t="s">
        <v>59</v>
      </c>
      <c r="O246" t="s">
        <v>64</v>
      </c>
      <c r="P246" t="str">
        <f t="shared" si="21"/>
        <v>Corporate</v>
      </c>
      <c r="Q246" t="str">
        <f t="shared" si="22"/>
        <v>London</v>
      </c>
      <c r="R246" t="str">
        <f>PROPER(TRIM(E246))</f>
        <v>Electronics</v>
      </c>
      <c r="S246" s="27">
        <f>IF(ISTEXT(B246),DATEVALUE(B246),B246)</f>
        <v>45964</v>
      </c>
      <c r="T246" s="27">
        <f>COUNTIF($A$2:$A$1986,A246)</f>
        <v>1</v>
      </c>
      <c r="U246" s="27" t="str">
        <f t="shared" si="23"/>
        <v>SmartHome Hub</v>
      </c>
      <c r="V246" s="27">
        <f t="shared" si="24"/>
        <v>604.84500000000003</v>
      </c>
      <c r="W246" s="27">
        <f t="shared" si="25"/>
        <v>415.05</v>
      </c>
      <c r="X246" s="27">
        <f>RawSalesTable3[[#This Row],[Revenue]]-RawSalesTable3[[#This Row],[Total_Cost]]</f>
        <v>189.79500000000002</v>
      </c>
      <c r="Y246" s="28">
        <f>RawSalesTable3[[#This Row],[Profit]]/RawSalesTable3[[#This Row],[Revenue]]</f>
        <v>0.31379113657217966</v>
      </c>
      <c r="Z246" s="27" t="str">
        <f>TEXT(RawSalesTable3[[#This Row],[Order_Date_Clean]],"MMM YYYY")</f>
        <v>Nov 2025</v>
      </c>
      <c r="AA246" s="27"/>
      <c r="AB246" s="27">
        <f t="shared" si="26"/>
        <v>0</v>
      </c>
      <c r="AC246" s="27">
        <f t="shared" si="27"/>
        <v>0</v>
      </c>
    </row>
    <row r="247" spans="1:29">
      <c r="A247" t="s">
        <v>343</v>
      </c>
      <c r="B247" s="3">
        <v>45667</v>
      </c>
      <c r="C247" t="s">
        <v>78</v>
      </c>
      <c r="D247" t="s">
        <v>62</v>
      </c>
      <c r="E247" t="s">
        <v>67</v>
      </c>
      <c r="F247" t="s">
        <v>94</v>
      </c>
      <c r="G247" s="6">
        <v>2</v>
      </c>
      <c r="H247" s="4">
        <v>35.25</v>
      </c>
      <c r="I247" s="4">
        <v>16.559999999999999</v>
      </c>
      <c r="J247" s="5">
        <v>0.05</v>
      </c>
      <c r="K247" s="6">
        <v>0</v>
      </c>
      <c r="L247" s="6">
        <v>4</v>
      </c>
      <c r="M247" t="s">
        <v>58</v>
      </c>
      <c r="N247" t="s">
        <v>69</v>
      </c>
      <c r="O247" t="s">
        <v>60</v>
      </c>
      <c r="P247" t="str">
        <f t="shared" si="21"/>
        <v>Individual</v>
      </c>
      <c r="Q247" t="str">
        <f t="shared" si="22"/>
        <v>London</v>
      </c>
      <c r="R247" t="str">
        <f>PROPER(TRIM(E247))</f>
        <v>Office</v>
      </c>
      <c r="S247" s="27">
        <f>IF(ISTEXT(B247),DATEVALUE(B247),B247)</f>
        <v>45667</v>
      </c>
      <c r="T247" s="27">
        <f>COUNTIF($A$2:$A$1986,A247)</f>
        <v>1</v>
      </c>
      <c r="U247" s="27" t="str">
        <f t="shared" si="23"/>
        <v>Wireless Mouse</v>
      </c>
      <c r="V247" s="27">
        <f t="shared" si="24"/>
        <v>66.974999999999994</v>
      </c>
      <c r="W247" s="27">
        <f t="shared" si="25"/>
        <v>33.119999999999997</v>
      </c>
      <c r="X247" s="27">
        <f>RawSalesTable3[[#This Row],[Revenue]]-RawSalesTable3[[#This Row],[Total_Cost]]</f>
        <v>33.854999999999997</v>
      </c>
      <c r="Y247" s="28">
        <f>RawSalesTable3[[#This Row],[Profit]]/RawSalesTable3[[#This Row],[Revenue]]</f>
        <v>0.50548712206047031</v>
      </c>
      <c r="Z247" s="27" t="str">
        <f>TEXT(RawSalesTable3[[#This Row],[Order_Date_Clean]],"MMM YYYY")</f>
        <v>Jan 2025</v>
      </c>
      <c r="AA247" s="27"/>
      <c r="AB247" s="27">
        <f t="shared" si="26"/>
        <v>0</v>
      </c>
      <c r="AC247" s="27">
        <f t="shared" si="27"/>
        <v>0</v>
      </c>
    </row>
    <row r="248" spans="1:29">
      <c r="A248" t="s">
        <v>344</v>
      </c>
      <c r="B248" s="3">
        <v>45968</v>
      </c>
      <c r="C248" t="s">
        <v>54</v>
      </c>
      <c r="D248" t="s">
        <v>62</v>
      </c>
      <c r="E248" t="s">
        <v>75</v>
      </c>
      <c r="F248" t="s">
        <v>76</v>
      </c>
      <c r="G248" s="6">
        <v>2</v>
      </c>
      <c r="H248" s="4">
        <v>120.86</v>
      </c>
      <c r="I248" s="4">
        <v>74.87</v>
      </c>
      <c r="J248" s="5">
        <v>0.05</v>
      </c>
      <c r="K248" s="6">
        <v>4</v>
      </c>
      <c r="L248" s="6">
        <v>5</v>
      </c>
      <c r="M248" t="s">
        <v>58</v>
      </c>
      <c r="N248" t="s">
        <v>59</v>
      </c>
      <c r="O248" t="s">
        <v>64</v>
      </c>
      <c r="P248" t="str">
        <f t="shared" si="21"/>
        <v>Individual</v>
      </c>
      <c r="Q248" t="str">
        <f t="shared" si="22"/>
        <v>North</v>
      </c>
      <c r="R248" t="str">
        <f>PROPER(TRIM(E248))</f>
        <v>Furniture</v>
      </c>
      <c r="S248" s="27">
        <f>IF(ISTEXT(B248),DATEVALUE(B248),B248)</f>
        <v>45968</v>
      </c>
      <c r="T248" s="27">
        <f>COUNTIF($A$2:$A$1986,A248)</f>
        <v>1</v>
      </c>
      <c r="U248" s="27" t="str">
        <f t="shared" si="23"/>
        <v>Bookshelf</v>
      </c>
      <c r="V248" s="27">
        <f t="shared" si="24"/>
        <v>229.63399999999999</v>
      </c>
      <c r="W248" s="27">
        <f t="shared" si="25"/>
        <v>149.74</v>
      </c>
      <c r="X248" s="27">
        <f>RawSalesTable3[[#This Row],[Revenue]]-RawSalesTable3[[#This Row],[Total_Cost]]</f>
        <v>79.893999999999977</v>
      </c>
      <c r="Y248" s="28">
        <f>RawSalesTable3[[#This Row],[Profit]]/RawSalesTable3[[#This Row],[Revenue]]</f>
        <v>0.34791886218939694</v>
      </c>
      <c r="Z248" s="27" t="str">
        <f>TEXT(RawSalesTable3[[#This Row],[Order_Date_Clean]],"MMM YYYY")</f>
        <v>Nov 2025</v>
      </c>
      <c r="AA248" s="27"/>
      <c r="AB248" s="27">
        <f t="shared" si="26"/>
        <v>0</v>
      </c>
      <c r="AC248" s="27">
        <f t="shared" si="27"/>
        <v>0</v>
      </c>
    </row>
    <row r="249" spans="1:29">
      <c r="A249" t="s">
        <v>345</v>
      </c>
      <c r="B249" s="3">
        <v>45924</v>
      </c>
      <c r="C249" t="s">
        <v>54</v>
      </c>
      <c r="D249" t="s">
        <v>62</v>
      </c>
      <c r="E249" t="s">
        <v>56</v>
      </c>
      <c r="F249" t="s">
        <v>83</v>
      </c>
      <c r="G249" s="6">
        <v>2</v>
      </c>
      <c r="H249" s="4">
        <v>65.540000000000006</v>
      </c>
      <c r="I249" s="4">
        <v>34.049999999999997</v>
      </c>
      <c r="J249" s="5">
        <v>0.05</v>
      </c>
      <c r="K249" s="6">
        <v>0</v>
      </c>
      <c r="L249" s="6">
        <v>5</v>
      </c>
      <c r="M249" t="s">
        <v>58</v>
      </c>
      <c r="N249" t="s">
        <v>69</v>
      </c>
      <c r="O249" t="s">
        <v>60</v>
      </c>
      <c r="P249" t="str">
        <f t="shared" si="21"/>
        <v>Individual</v>
      </c>
      <c r="Q249" t="str">
        <f t="shared" si="22"/>
        <v>North</v>
      </c>
      <c r="R249" t="str">
        <f>PROPER(TRIM(E249))</f>
        <v>Home &amp; Kitchen</v>
      </c>
      <c r="S249" s="27">
        <f>IF(ISTEXT(B249),DATEVALUE(B249),B249)</f>
        <v>45924</v>
      </c>
      <c r="T249" s="27">
        <f>COUNTIF($A$2:$A$1986,A249)</f>
        <v>1</v>
      </c>
      <c r="U249" s="27" t="str">
        <f t="shared" si="23"/>
        <v>Blender</v>
      </c>
      <c r="V249" s="27">
        <f t="shared" si="24"/>
        <v>124.52600000000001</v>
      </c>
      <c r="W249" s="27">
        <f t="shared" si="25"/>
        <v>68.099999999999994</v>
      </c>
      <c r="X249" s="27">
        <f>RawSalesTable3[[#This Row],[Revenue]]-RawSalesTable3[[#This Row],[Total_Cost]]</f>
        <v>56.426000000000016</v>
      </c>
      <c r="Y249" s="28">
        <f>RawSalesTable3[[#This Row],[Profit]]/RawSalesTable3[[#This Row],[Revenue]]</f>
        <v>0.45312625475804258</v>
      </c>
      <c r="Z249" s="27" t="str">
        <f>TEXT(RawSalesTable3[[#This Row],[Order_Date_Clean]],"MMM YYYY")</f>
        <v>Sep 2025</v>
      </c>
      <c r="AA249" s="27"/>
      <c r="AB249" s="27">
        <f t="shared" si="26"/>
        <v>0</v>
      </c>
      <c r="AC249" s="27">
        <f t="shared" si="27"/>
        <v>0</v>
      </c>
    </row>
    <row r="250" spans="1:29">
      <c r="A250" t="s">
        <v>346</v>
      </c>
      <c r="B250" s="3">
        <v>46012</v>
      </c>
      <c r="C250" t="s">
        <v>82</v>
      </c>
      <c r="D250" t="s">
        <v>62</v>
      </c>
      <c r="E250" t="s">
        <v>79</v>
      </c>
      <c r="F250" t="s">
        <v>115</v>
      </c>
      <c r="G250" s="6">
        <v>2</v>
      </c>
      <c r="H250" s="4">
        <v>59.43</v>
      </c>
      <c r="I250" s="4">
        <v>33.28</v>
      </c>
      <c r="J250" s="5">
        <v>0.05</v>
      </c>
      <c r="K250" s="6">
        <v>0</v>
      </c>
      <c r="L250" s="6">
        <v>5</v>
      </c>
      <c r="M250" t="s">
        <v>58</v>
      </c>
      <c r="N250" t="s">
        <v>69</v>
      </c>
      <c r="O250" t="s">
        <v>64</v>
      </c>
      <c r="P250" t="str">
        <f t="shared" si="21"/>
        <v>Individual</v>
      </c>
      <c r="Q250" t="str">
        <f t="shared" si="22"/>
        <v>Midlands</v>
      </c>
      <c r="R250" t="str">
        <f>PROPER(TRIM(E250))</f>
        <v>Electronics</v>
      </c>
      <c r="S250" s="27">
        <f>IF(ISTEXT(B250),DATEVALUE(B250),B250)</f>
        <v>46012</v>
      </c>
      <c r="T250" s="27">
        <f>COUNTIF($A$2:$A$1986,A250)</f>
        <v>1</v>
      </c>
      <c r="U250" s="27" t="str">
        <f t="shared" si="23"/>
        <v>Wireless Headset</v>
      </c>
      <c r="V250" s="27">
        <f t="shared" si="24"/>
        <v>112.91699999999999</v>
      </c>
      <c r="W250" s="27">
        <f t="shared" si="25"/>
        <v>66.56</v>
      </c>
      <c r="X250" s="27">
        <f>RawSalesTable3[[#This Row],[Revenue]]-RawSalesTable3[[#This Row],[Total_Cost]]</f>
        <v>46.356999999999985</v>
      </c>
      <c r="Y250" s="28">
        <f>RawSalesTable3[[#This Row],[Profit]]/RawSalesTable3[[#This Row],[Revenue]]</f>
        <v>0.41054048548934163</v>
      </c>
      <c r="Z250" s="27" t="str">
        <f>TEXT(RawSalesTable3[[#This Row],[Order_Date_Clean]],"MMM YYYY")</f>
        <v>Dec 2025</v>
      </c>
      <c r="AA250" s="27"/>
      <c r="AB250" s="27">
        <f t="shared" si="26"/>
        <v>0</v>
      </c>
      <c r="AC250" s="27">
        <f t="shared" si="27"/>
        <v>0</v>
      </c>
    </row>
    <row r="251" spans="1:29">
      <c r="A251" t="s">
        <v>347</v>
      </c>
      <c r="B251" s="3">
        <v>45993</v>
      </c>
      <c r="C251" t="s">
        <v>78</v>
      </c>
      <c r="D251" t="s">
        <v>55</v>
      </c>
      <c r="E251" t="s">
        <v>75</v>
      </c>
      <c r="F251" t="s">
        <v>110</v>
      </c>
      <c r="G251" s="6">
        <v>3</v>
      </c>
      <c r="H251" s="4">
        <v>156.74</v>
      </c>
      <c r="I251" s="4">
        <v>105.74</v>
      </c>
      <c r="J251" s="5">
        <v>0.15000000000000002</v>
      </c>
      <c r="K251" s="6">
        <v>1</v>
      </c>
      <c r="L251" s="6">
        <v>4</v>
      </c>
      <c r="M251" t="s">
        <v>58</v>
      </c>
      <c r="N251" t="s">
        <v>69</v>
      </c>
      <c r="O251" t="s">
        <v>73</v>
      </c>
      <c r="P251" t="str">
        <f t="shared" si="21"/>
        <v>Small Business</v>
      </c>
      <c r="Q251" t="str">
        <f t="shared" si="22"/>
        <v>London</v>
      </c>
      <c r="R251" t="str">
        <f>PROPER(TRIM(E251))</f>
        <v>Furniture</v>
      </c>
      <c r="S251" s="27">
        <f>IF(ISTEXT(B251),DATEVALUE(B251),B251)</f>
        <v>45993</v>
      </c>
      <c r="T251" s="27">
        <f>COUNTIF($A$2:$A$1986,A251)</f>
        <v>1</v>
      </c>
      <c r="U251" s="27" t="str">
        <f t="shared" si="23"/>
        <v>Storage Cabinet</v>
      </c>
      <c r="V251" s="27">
        <f t="shared" si="24"/>
        <v>399.68700000000001</v>
      </c>
      <c r="W251" s="27">
        <f t="shared" si="25"/>
        <v>317.21999999999997</v>
      </c>
      <c r="X251" s="27">
        <f>RawSalesTable3[[#This Row],[Revenue]]-RawSalesTable3[[#This Row],[Total_Cost]]</f>
        <v>82.467000000000041</v>
      </c>
      <c r="Y251" s="28">
        <f>RawSalesTable3[[#This Row],[Profit]]/RawSalesTable3[[#This Row],[Revenue]]</f>
        <v>0.2063289524052572</v>
      </c>
      <c r="Z251" s="27" t="str">
        <f>TEXT(RawSalesTable3[[#This Row],[Order_Date_Clean]],"MMM YYYY")</f>
        <v>Dec 2025</v>
      </c>
      <c r="AA251" s="27"/>
      <c r="AB251" s="27">
        <f t="shared" si="26"/>
        <v>0</v>
      </c>
      <c r="AC251" s="27">
        <f t="shared" si="27"/>
        <v>0</v>
      </c>
    </row>
    <row r="252" spans="1:29">
      <c r="A252" t="s">
        <v>348</v>
      </c>
      <c r="B252" s="3">
        <v>45951</v>
      </c>
      <c r="C252" t="s">
        <v>78</v>
      </c>
      <c r="D252" t="s">
        <v>62</v>
      </c>
      <c r="E252" t="s">
        <v>56</v>
      </c>
      <c r="F252" t="s">
        <v>89</v>
      </c>
      <c r="G252" s="6">
        <v>1</v>
      </c>
      <c r="H252" s="4">
        <v>78.77</v>
      </c>
      <c r="I252" s="4">
        <v>46.66</v>
      </c>
      <c r="J252" s="5">
        <v>0.05</v>
      </c>
      <c r="K252" s="6">
        <v>0</v>
      </c>
      <c r="L252" s="6">
        <v>4</v>
      </c>
      <c r="M252" t="s">
        <v>58</v>
      </c>
      <c r="N252" t="s">
        <v>69</v>
      </c>
      <c r="O252" t="s">
        <v>60</v>
      </c>
      <c r="P252" t="str">
        <f t="shared" si="21"/>
        <v>Individual</v>
      </c>
      <c r="Q252" t="str">
        <f t="shared" si="22"/>
        <v>London</v>
      </c>
      <c r="R252" t="str">
        <f>PROPER(TRIM(E252))</f>
        <v>Home &amp; Kitchen</v>
      </c>
      <c r="S252" s="27">
        <f>IF(ISTEXT(B252),DATEVALUE(B252),B252)</f>
        <v>45951</v>
      </c>
      <c r="T252" s="27">
        <f>COUNTIF($A$2:$A$1986,A252)</f>
        <v>1</v>
      </c>
      <c r="U252" s="27" t="str">
        <f t="shared" si="23"/>
        <v>Coffee Maker</v>
      </c>
      <c r="V252" s="27">
        <f t="shared" si="24"/>
        <v>74.831499999999991</v>
      </c>
      <c r="W252" s="27">
        <f t="shared" si="25"/>
        <v>46.66</v>
      </c>
      <c r="X252" s="27">
        <f>RawSalesTable3[[#This Row],[Revenue]]-RawSalesTable3[[#This Row],[Total_Cost]]</f>
        <v>28.171499999999995</v>
      </c>
      <c r="Y252" s="28">
        <f>RawSalesTable3[[#This Row],[Profit]]/RawSalesTable3[[#This Row],[Revenue]]</f>
        <v>0.37646579314860718</v>
      </c>
      <c r="Z252" s="27" t="str">
        <f>TEXT(RawSalesTable3[[#This Row],[Order_Date_Clean]],"MMM YYYY")</f>
        <v>Oct 2025</v>
      </c>
      <c r="AA252" s="27"/>
      <c r="AB252" s="27">
        <f t="shared" si="26"/>
        <v>0</v>
      </c>
      <c r="AC252" s="27">
        <f t="shared" si="27"/>
        <v>0</v>
      </c>
    </row>
    <row r="253" spans="1:29">
      <c r="A253" t="s">
        <v>349</v>
      </c>
      <c r="B253" s="3">
        <v>45854</v>
      </c>
      <c r="C253" t="s">
        <v>66</v>
      </c>
      <c r="D253" t="s">
        <v>55</v>
      </c>
      <c r="E253" t="s">
        <v>75</v>
      </c>
      <c r="F253" t="s">
        <v>146</v>
      </c>
      <c r="G253" s="6">
        <v>2</v>
      </c>
      <c r="H253" s="4">
        <v>177.82</v>
      </c>
      <c r="I253" s="4">
        <v>113.81</v>
      </c>
      <c r="J253" s="5">
        <v>0.05</v>
      </c>
      <c r="K253" s="6">
        <v>8</v>
      </c>
      <c r="L253" s="6">
        <v>3</v>
      </c>
      <c r="M253" t="s">
        <v>58</v>
      </c>
      <c r="N253" t="s">
        <v>59</v>
      </c>
      <c r="O253" t="s">
        <v>73</v>
      </c>
      <c r="P253" t="str">
        <f t="shared" si="21"/>
        <v>Small Business</v>
      </c>
      <c r="Q253" t="str">
        <f t="shared" si="22"/>
        <v>South</v>
      </c>
      <c r="R253" t="str">
        <f>PROPER(TRIM(E253))</f>
        <v>Furniture</v>
      </c>
      <c r="S253" s="27">
        <f>IF(ISTEXT(B253),DATEVALUE(B253),B253)</f>
        <v>45854</v>
      </c>
      <c r="T253" s="27">
        <f>COUNTIF($A$2:$A$1986,A253)</f>
        <v>1</v>
      </c>
      <c r="U253" s="27" t="str">
        <f t="shared" si="23"/>
        <v>Office Chair</v>
      </c>
      <c r="V253" s="27">
        <f t="shared" si="24"/>
        <v>337.85799999999995</v>
      </c>
      <c r="W253" s="27">
        <f t="shared" si="25"/>
        <v>227.62</v>
      </c>
      <c r="X253" s="27">
        <f>RawSalesTable3[[#This Row],[Revenue]]-RawSalesTable3[[#This Row],[Total_Cost]]</f>
        <v>110.23799999999994</v>
      </c>
      <c r="Y253" s="28">
        <f>RawSalesTable3[[#This Row],[Profit]]/RawSalesTable3[[#This Row],[Revenue]]</f>
        <v>0.3262850073107636</v>
      </c>
      <c r="Z253" s="27" t="str">
        <f>TEXT(RawSalesTable3[[#This Row],[Order_Date_Clean]],"MMM YYYY")</f>
        <v>Jul 2025</v>
      </c>
      <c r="AA253" s="27"/>
      <c r="AB253" s="27">
        <f t="shared" si="26"/>
        <v>0</v>
      </c>
      <c r="AC253" s="27">
        <f t="shared" si="27"/>
        <v>0</v>
      </c>
    </row>
    <row r="254" spans="1:29">
      <c r="A254" t="s">
        <v>350</v>
      </c>
      <c r="B254" s="3">
        <v>45670</v>
      </c>
      <c r="C254" t="s">
        <v>82</v>
      </c>
      <c r="D254" t="s">
        <v>62</v>
      </c>
      <c r="E254" t="s">
        <v>75</v>
      </c>
      <c r="F254" t="s">
        <v>110</v>
      </c>
      <c r="G254" s="6">
        <v>1</v>
      </c>
      <c r="H254" s="4">
        <v>165.54</v>
      </c>
      <c r="I254" s="4">
        <v>103.98</v>
      </c>
      <c r="J254" s="5">
        <v>0</v>
      </c>
      <c r="K254" s="6">
        <v>6</v>
      </c>
      <c r="L254" s="6">
        <v>4</v>
      </c>
      <c r="M254" t="s">
        <v>58</v>
      </c>
      <c r="N254" t="s">
        <v>87</v>
      </c>
      <c r="O254" t="s">
        <v>73</v>
      </c>
      <c r="P254" t="str">
        <f t="shared" si="21"/>
        <v>Individual</v>
      </c>
      <c r="Q254" t="str">
        <f t="shared" si="22"/>
        <v>Midlands</v>
      </c>
      <c r="R254" t="str">
        <f>PROPER(TRIM(E254))</f>
        <v>Furniture</v>
      </c>
      <c r="S254" s="27">
        <f>IF(ISTEXT(B254),DATEVALUE(B254),B254)</f>
        <v>45670</v>
      </c>
      <c r="T254" s="27">
        <f>COUNTIF($A$2:$A$1986,A254)</f>
        <v>1</v>
      </c>
      <c r="U254" s="27" t="str">
        <f t="shared" si="23"/>
        <v>Storage Cabinet</v>
      </c>
      <c r="V254" s="27">
        <f t="shared" si="24"/>
        <v>165.54</v>
      </c>
      <c r="W254" s="27">
        <f t="shared" si="25"/>
        <v>103.98</v>
      </c>
      <c r="X254" s="27">
        <f>RawSalesTable3[[#This Row],[Revenue]]-RawSalesTable3[[#This Row],[Total_Cost]]</f>
        <v>61.559999999999988</v>
      </c>
      <c r="Y254" s="28">
        <f>RawSalesTable3[[#This Row],[Profit]]/RawSalesTable3[[#This Row],[Revenue]]</f>
        <v>0.37187386734324024</v>
      </c>
      <c r="Z254" s="27" t="str">
        <f>TEXT(RawSalesTable3[[#This Row],[Order_Date_Clean]],"MMM YYYY")</f>
        <v>Jan 2025</v>
      </c>
      <c r="AA254" s="27"/>
      <c r="AB254" s="27">
        <f t="shared" si="26"/>
        <v>0</v>
      </c>
      <c r="AC254" s="27">
        <f t="shared" si="27"/>
        <v>0</v>
      </c>
    </row>
    <row r="255" spans="1:29">
      <c r="A255" t="s">
        <v>351</v>
      </c>
      <c r="B255" s="3">
        <v>45835</v>
      </c>
      <c r="C255" t="s">
        <v>82</v>
      </c>
      <c r="D255" t="s">
        <v>129</v>
      </c>
      <c r="E255" t="s">
        <v>67</v>
      </c>
      <c r="F255" t="s">
        <v>94</v>
      </c>
      <c r="G255" s="6">
        <v>8</v>
      </c>
      <c r="H255" s="4">
        <v>36.31</v>
      </c>
      <c r="I255" s="4">
        <v>17.68</v>
      </c>
      <c r="J255" s="5">
        <v>0.05</v>
      </c>
      <c r="K255" s="6">
        <v>4</v>
      </c>
      <c r="L255" s="6">
        <v>4</v>
      </c>
      <c r="M255" t="s">
        <v>58</v>
      </c>
      <c r="N255" t="s">
        <v>59</v>
      </c>
      <c r="O255" t="s">
        <v>60</v>
      </c>
      <c r="P255" t="str">
        <f t="shared" si="21"/>
        <v>Corporate</v>
      </c>
      <c r="Q255" t="str">
        <f t="shared" si="22"/>
        <v>Midlands</v>
      </c>
      <c r="R255" t="str">
        <f>PROPER(TRIM(E255))</f>
        <v>Office</v>
      </c>
      <c r="S255" s="27">
        <f>IF(ISTEXT(B255),DATEVALUE(B255),B255)</f>
        <v>45835</v>
      </c>
      <c r="T255" s="27">
        <f>COUNTIF($A$2:$A$1986,A255)</f>
        <v>1</v>
      </c>
      <c r="U255" s="27" t="str">
        <f t="shared" si="23"/>
        <v>Wireless Mouse</v>
      </c>
      <c r="V255" s="27">
        <f t="shared" si="24"/>
        <v>275.95600000000002</v>
      </c>
      <c r="W255" s="27">
        <f t="shared" si="25"/>
        <v>141.44</v>
      </c>
      <c r="X255" s="27">
        <f>RawSalesTable3[[#This Row],[Revenue]]-RawSalesTable3[[#This Row],[Total_Cost]]</f>
        <v>134.51600000000002</v>
      </c>
      <c r="Y255" s="28">
        <f>RawSalesTable3[[#This Row],[Profit]]/RawSalesTable3[[#This Row],[Revenue]]</f>
        <v>0.48745452173534914</v>
      </c>
      <c r="Z255" s="27" t="str">
        <f>TEXT(RawSalesTable3[[#This Row],[Order_Date_Clean]],"MMM YYYY")</f>
        <v>Jun 2025</v>
      </c>
      <c r="AA255" s="27"/>
      <c r="AB255" s="27">
        <f t="shared" si="26"/>
        <v>0</v>
      </c>
      <c r="AC255" s="27">
        <f t="shared" si="27"/>
        <v>0</v>
      </c>
    </row>
    <row r="256" spans="1:29">
      <c r="A256" t="s">
        <v>352</v>
      </c>
      <c r="B256" s="3">
        <v>45779</v>
      </c>
      <c r="C256" t="s">
        <v>54</v>
      </c>
      <c r="D256" t="s">
        <v>62</v>
      </c>
      <c r="E256" t="s">
        <v>79</v>
      </c>
      <c r="F256" t="s">
        <v>92</v>
      </c>
      <c r="G256" s="6">
        <v>1</v>
      </c>
      <c r="H256" s="4">
        <v>48.64</v>
      </c>
      <c r="I256" s="4">
        <v>26.42</v>
      </c>
      <c r="J256" s="5">
        <v>0.05</v>
      </c>
      <c r="K256" s="6">
        <v>4</v>
      </c>
      <c r="L256" s="6">
        <v>5</v>
      </c>
      <c r="M256" t="s">
        <v>58</v>
      </c>
      <c r="N256" t="s">
        <v>59</v>
      </c>
      <c r="O256" t="s">
        <v>64</v>
      </c>
      <c r="P256" t="str">
        <f t="shared" si="21"/>
        <v>Individual</v>
      </c>
      <c r="Q256" t="str">
        <f t="shared" si="22"/>
        <v>North</v>
      </c>
      <c r="R256" t="str">
        <f>PROPER(TRIM(E256))</f>
        <v>Electronics</v>
      </c>
      <c r="S256" s="27">
        <f>IF(ISTEXT(B256),DATEVALUE(B256),B256)</f>
        <v>45779</v>
      </c>
      <c r="T256" s="27">
        <f>COUNTIF($A$2:$A$1986,A256)</f>
        <v>1</v>
      </c>
      <c r="U256" s="27" t="str">
        <f t="shared" si="23"/>
        <v>Webcam</v>
      </c>
      <c r="V256" s="27">
        <f t="shared" si="24"/>
        <v>46.207999999999998</v>
      </c>
      <c r="W256" s="27">
        <f t="shared" si="25"/>
        <v>26.42</v>
      </c>
      <c r="X256" s="27">
        <f>RawSalesTable3[[#This Row],[Revenue]]-RawSalesTable3[[#This Row],[Total_Cost]]</f>
        <v>19.787999999999997</v>
      </c>
      <c r="Y256" s="28">
        <f>RawSalesTable3[[#This Row],[Profit]]/RawSalesTable3[[#This Row],[Revenue]]</f>
        <v>0.42823753462603875</v>
      </c>
      <c r="Z256" s="27" t="str">
        <f>TEXT(RawSalesTable3[[#This Row],[Order_Date_Clean]],"MMM YYYY")</f>
        <v>May 2025</v>
      </c>
      <c r="AA256" s="27"/>
      <c r="AB256" s="27">
        <f t="shared" si="26"/>
        <v>0</v>
      </c>
      <c r="AC256" s="27">
        <f t="shared" si="27"/>
        <v>0</v>
      </c>
    </row>
    <row r="257" spans="1:29">
      <c r="A257" t="s">
        <v>353</v>
      </c>
      <c r="B257" s="3">
        <v>45911</v>
      </c>
      <c r="C257" t="s">
        <v>66</v>
      </c>
      <c r="D257" t="s">
        <v>62</v>
      </c>
      <c r="E257" t="s">
        <v>67</v>
      </c>
      <c r="F257" t="s">
        <v>68</v>
      </c>
      <c r="G257" s="6">
        <v>2</v>
      </c>
      <c r="H257" s="4">
        <v>39.200000000000003</v>
      </c>
      <c r="I257" s="4">
        <v>18.87</v>
      </c>
      <c r="J257" s="5">
        <v>0.05</v>
      </c>
      <c r="K257" s="6">
        <v>4</v>
      </c>
      <c r="L257" s="6">
        <v>5</v>
      </c>
      <c r="M257" t="s">
        <v>58</v>
      </c>
      <c r="N257" t="s">
        <v>69</v>
      </c>
      <c r="O257" t="s">
        <v>64</v>
      </c>
      <c r="P257" t="str">
        <f t="shared" si="21"/>
        <v>Individual</v>
      </c>
      <c r="Q257" t="str">
        <f t="shared" si="22"/>
        <v>South</v>
      </c>
      <c r="R257" t="str">
        <f>PROPER(TRIM(E257))</f>
        <v>Office</v>
      </c>
      <c r="S257" s="27">
        <f>IF(ISTEXT(B257),DATEVALUE(B257),B257)</f>
        <v>45911</v>
      </c>
      <c r="T257" s="27">
        <f>COUNTIF($A$2:$A$1986,A257)</f>
        <v>1</v>
      </c>
      <c r="U257" s="27" t="str">
        <f t="shared" si="23"/>
        <v>Desk Lamp</v>
      </c>
      <c r="V257" s="27">
        <f t="shared" si="24"/>
        <v>74.48</v>
      </c>
      <c r="W257" s="27">
        <f t="shared" si="25"/>
        <v>37.74</v>
      </c>
      <c r="X257" s="27">
        <f>RawSalesTable3[[#This Row],[Revenue]]-RawSalesTable3[[#This Row],[Total_Cost]]</f>
        <v>36.74</v>
      </c>
      <c r="Y257" s="28">
        <f>RawSalesTable3[[#This Row],[Profit]]/RawSalesTable3[[#This Row],[Revenue]]</f>
        <v>0.49328678839957035</v>
      </c>
      <c r="Z257" s="27" t="str">
        <f>TEXT(RawSalesTable3[[#This Row],[Order_Date_Clean]],"MMM YYYY")</f>
        <v>Sep 2025</v>
      </c>
      <c r="AA257" s="27"/>
      <c r="AB257" s="27">
        <f t="shared" si="26"/>
        <v>0</v>
      </c>
      <c r="AC257" s="27">
        <f t="shared" si="27"/>
        <v>0</v>
      </c>
    </row>
    <row r="258" spans="1:29">
      <c r="A258" t="s">
        <v>354</v>
      </c>
      <c r="B258" s="3">
        <v>45760</v>
      </c>
      <c r="C258" t="s">
        <v>54</v>
      </c>
      <c r="D258" t="s">
        <v>62</v>
      </c>
      <c r="E258" t="s">
        <v>75</v>
      </c>
      <c r="F258" t="s">
        <v>110</v>
      </c>
      <c r="G258" s="6">
        <v>1</v>
      </c>
      <c r="H258" s="4">
        <v>160.69999999999999</v>
      </c>
      <c r="I258" s="4">
        <v>98.6</v>
      </c>
      <c r="J258" s="5">
        <v>0.1</v>
      </c>
      <c r="K258" s="6">
        <v>3</v>
      </c>
      <c r="L258" s="6">
        <v>4</v>
      </c>
      <c r="M258" t="s">
        <v>58</v>
      </c>
      <c r="N258" t="s">
        <v>69</v>
      </c>
      <c r="O258" t="s">
        <v>64</v>
      </c>
      <c r="P258" t="str">
        <f t="shared" ref="P258:P321" si="28">IF(TRIM(D258)="","Unknow",PROPER(TRIM(D258)))</f>
        <v>Individual</v>
      </c>
      <c r="Q258" t="str">
        <f t="shared" ref="Q258:Q321" si="29">IF(PROPER(TRIM(C258))="Mid Lands","Midlands",PROPER(TRIM(C258)))</f>
        <v>North</v>
      </c>
      <c r="R258" t="str">
        <f>PROPER(TRIM(E258))</f>
        <v>Furniture</v>
      </c>
      <c r="S258" s="27">
        <f>IF(ISTEXT(B258),DATEVALUE(B258),B258)</f>
        <v>45760</v>
      </c>
      <c r="T258" s="27">
        <f>COUNTIF($A$2:$A$1986,A258)</f>
        <v>1</v>
      </c>
      <c r="U258" s="27" t="str">
        <f t="shared" ref="U258:U321" si="30">TRIM(F258)</f>
        <v>Storage Cabinet</v>
      </c>
      <c r="V258" s="27">
        <f t="shared" ref="V258:V321" si="31">G258*H258*(1-J258)</f>
        <v>144.63</v>
      </c>
      <c r="W258" s="27">
        <f t="shared" ref="W258:W321" si="32">G258*I258</f>
        <v>98.6</v>
      </c>
      <c r="X258" s="27">
        <f>RawSalesTable3[[#This Row],[Revenue]]-RawSalesTable3[[#This Row],[Total_Cost]]</f>
        <v>46.03</v>
      </c>
      <c r="Y258" s="28">
        <f>RawSalesTable3[[#This Row],[Profit]]/RawSalesTable3[[#This Row],[Revenue]]</f>
        <v>0.31826038857775013</v>
      </c>
      <c r="Z258" s="27" t="str">
        <f>TEXT(RawSalesTable3[[#This Row],[Order_Date_Clean]],"MMM YYYY")</f>
        <v>Apr 2025</v>
      </c>
      <c r="AA258" s="27"/>
      <c r="AB258" s="27">
        <f t="shared" ref="AB258:AB321" si="33">SUMIF($Z:$Z,AA258,$V:$V)</f>
        <v>0</v>
      </c>
      <c r="AC258" s="27">
        <f t="shared" ref="AC258:AC321" si="34">SUMIF($Z:$Z,AA258,$X:$X)</f>
        <v>0</v>
      </c>
    </row>
    <row r="259" spans="1:29">
      <c r="A259" t="s">
        <v>355</v>
      </c>
      <c r="B259" s="3">
        <v>45922</v>
      </c>
      <c r="C259" t="s">
        <v>78</v>
      </c>
      <c r="D259" t="s">
        <v>62</v>
      </c>
      <c r="E259" t="s">
        <v>67</v>
      </c>
      <c r="F259" t="s">
        <v>68</v>
      </c>
      <c r="G259" s="6">
        <v>2</v>
      </c>
      <c r="H259" s="4">
        <v>40.130000000000003</v>
      </c>
      <c r="I259" s="4">
        <v>19</v>
      </c>
      <c r="J259" s="5">
        <v>0.1</v>
      </c>
      <c r="K259" s="6">
        <v>7</v>
      </c>
      <c r="L259" s="6">
        <v>4</v>
      </c>
      <c r="M259" t="s">
        <v>58</v>
      </c>
      <c r="N259" t="s">
        <v>59</v>
      </c>
      <c r="O259" t="s">
        <v>60</v>
      </c>
      <c r="P259" t="str">
        <f t="shared" si="28"/>
        <v>Individual</v>
      </c>
      <c r="Q259" t="str">
        <f t="shared" si="29"/>
        <v>London</v>
      </c>
      <c r="R259" t="str">
        <f>PROPER(TRIM(E259))</f>
        <v>Office</v>
      </c>
      <c r="S259" s="27">
        <f>IF(ISTEXT(B259),DATEVALUE(B259),B259)</f>
        <v>45922</v>
      </c>
      <c r="T259" s="27">
        <f>COUNTIF($A$2:$A$1986,A259)</f>
        <v>1</v>
      </c>
      <c r="U259" s="27" t="str">
        <f t="shared" si="30"/>
        <v>Desk Lamp</v>
      </c>
      <c r="V259" s="27">
        <f t="shared" si="31"/>
        <v>72.234000000000009</v>
      </c>
      <c r="W259" s="27">
        <f t="shared" si="32"/>
        <v>38</v>
      </c>
      <c r="X259" s="27">
        <f>RawSalesTable3[[#This Row],[Revenue]]-RawSalesTable3[[#This Row],[Total_Cost]]</f>
        <v>34.234000000000009</v>
      </c>
      <c r="Y259" s="28">
        <f>RawSalesTable3[[#This Row],[Profit]]/RawSalesTable3[[#This Row],[Revenue]]</f>
        <v>0.4739319434061523</v>
      </c>
      <c r="Z259" s="27" t="str">
        <f>TEXT(RawSalesTable3[[#This Row],[Order_Date_Clean]],"MMM YYYY")</f>
        <v>Sep 2025</v>
      </c>
      <c r="AA259" s="27"/>
      <c r="AB259" s="27">
        <f t="shared" si="33"/>
        <v>0</v>
      </c>
      <c r="AC259" s="27">
        <f t="shared" si="34"/>
        <v>0</v>
      </c>
    </row>
    <row r="260" spans="1:29">
      <c r="A260" t="s">
        <v>356</v>
      </c>
      <c r="B260" s="3">
        <v>45830</v>
      </c>
      <c r="C260" t="s">
        <v>66</v>
      </c>
      <c r="D260" t="s">
        <v>62</v>
      </c>
      <c r="E260" t="s">
        <v>56</v>
      </c>
      <c r="F260" t="s">
        <v>89</v>
      </c>
      <c r="G260" s="6">
        <v>2</v>
      </c>
      <c r="H260" s="4">
        <v>77.94</v>
      </c>
      <c r="I260" s="4">
        <v>45.36</v>
      </c>
      <c r="J260" s="5">
        <v>0.05</v>
      </c>
      <c r="K260" s="6">
        <v>2</v>
      </c>
      <c r="L260" s="6">
        <v>4</v>
      </c>
      <c r="M260" t="s">
        <v>58</v>
      </c>
      <c r="N260" t="s">
        <v>59</v>
      </c>
      <c r="O260" t="s">
        <v>64</v>
      </c>
      <c r="P260" t="str">
        <f t="shared" si="28"/>
        <v>Individual</v>
      </c>
      <c r="Q260" t="str">
        <f t="shared" si="29"/>
        <v>South</v>
      </c>
      <c r="R260" t="str">
        <f>PROPER(TRIM(E260))</f>
        <v>Home &amp; Kitchen</v>
      </c>
      <c r="S260" s="27">
        <f>IF(ISTEXT(B260),DATEVALUE(B260),B260)</f>
        <v>45830</v>
      </c>
      <c r="T260" s="27">
        <f>COUNTIF($A$2:$A$1986,A260)</f>
        <v>1</v>
      </c>
      <c r="U260" s="27" t="str">
        <f t="shared" si="30"/>
        <v>Coffee Maker</v>
      </c>
      <c r="V260" s="27">
        <f t="shared" si="31"/>
        <v>148.08599999999998</v>
      </c>
      <c r="W260" s="27">
        <f t="shared" si="32"/>
        <v>90.72</v>
      </c>
      <c r="X260" s="27">
        <f>RawSalesTable3[[#This Row],[Revenue]]-RawSalesTable3[[#This Row],[Total_Cost]]</f>
        <v>57.365999999999985</v>
      </c>
      <c r="Y260" s="28">
        <f>RawSalesTable3[[#This Row],[Profit]]/RawSalesTable3[[#This Row],[Revenue]]</f>
        <v>0.38738300717150836</v>
      </c>
      <c r="Z260" s="27" t="str">
        <f>TEXT(RawSalesTable3[[#This Row],[Order_Date_Clean]],"MMM YYYY")</f>
        <v>Jun 2025</v>
      </c>
      <c r="AA260" s="27"/>
      <c r="AB260" s="27">
        <f t="shared" si="33"/>
        <v>0</v>
      </c>
      <c r="AC260" s="27">
        <f t="shared" si="34"/>
        <v>0</v>
      </c>
    </row>
    <row r="261" spans="1:29">
      <c r="A261" t="s">
        <v>357</v>
      </c>
      <c r="B261" s="3">
        <v>45903</v>
      </c>
      <c r="C261" t="s">
        <v>54</v>
      </c>
      <c r="D261" t="s">
        <v>55</v>
      </c>
      <c r="E261" t="s">
        <v>79</v>
      </c>
      <c r="F261" t="s">
        <v>92</v>
      </c>
      <c r="G261" s="6">
        <v>4</v>
      </c>
      <c r="H261" s="4">
        <v>48.67</v>
      </c>
      <c r="I261" s="4">
        <v>26.86</v>
      </c>
      <c r="J261" s="5">
        <v>0</v>
      </c>
      <c r="K261" s="6">
        <v>2</v>
      </c>
      <c r="L261" s="6">
        <v>5</v>
      </c>
      <c r="M261" t="s">
        <v>58</v>
      </c>
      <c r="N261" t="s">
        <v>59</v>
      </c>
      <c r="O261" t="s">
        <v>73</v>
      </c>
      <c r="P261" t="str">
        <f t="shared" si="28"/>
        <v>Small Business</v>
      </c>
      <c r="Q261" t="str">
        <f t="shared" si="29"/>
        <v>North</v>
      </c>
      <c r="R261" t="str">
        <f>PROPER(TRIM(E261))</f>
        <v>Electronics</v>
      </c>
      <c r="S261" s="27">
        <f>IF(ISTEXT(B261),DATEVALUE(B261),B261)</f>
        <v>45903</v>
      </c>
      <c r="T261" s="27">
        <f>COUNTIF($A$2:$A$1986,A261)</f>
        <v>1</v>
      </c>
      <c r="U261" s="27" t="str">
        <f t="shared" si="30"/>
        <v>Webcam</v>
      </c>
      <c r="V261" s="27">
        <f t="shared" si="31"/>
        <v>194.68</v>
      </c>
      <c r="W261" s="27">
        <f t="shared" si="32"/>
        <v>107.44</v>
      </c>
      <c r="X261" s="27">
        <f>RawSalesTable3[[#This Row],[Revenue]]-RawSalesTable3[[#This Row],[Total_Cost]]</f>
        <v>87.240000000000009</v>
      </c>
      <c r="Y261" s="28">
        <f>RawSalesTable3[[#This Row],[Profit]]/RawSalesTable3[[#This Row],[Revenue]]</f>
        <v>0.44811999178138484</v>
      </c>
      <c r="Z261" s="27" t="str">
        <f>TEXT(RawSalesTable3[[#This Row],[Order_Date_Clean]],"MMM YYYY")</f>
        <v>Sep 2025</v>
      </c>
      <c r="AA261" s="27"/>
      <c r="AB261" s="27">
        <f t="shared" si="33"/>
        <v>0</v>
      </c>
      <c r="AC261" s="27">
        <f t="shared" si="34"/>
        <v>0</v>
      </c>
    </row>
    <row r="262" spans="1:29">
      <c r="A262" t="s">
        <v>358</v>
      </c>
      <c r="B262" s="3">
        <v>45665</v>
      </c>
      <c r="C262" t="s">
        <v>78</v>
      </c>
      <c r="D262" t="s">
        <v>62</v>
      </c>
      <c r="E262" t="s">
        <v>75</v>
      </c>
      <c r="F262" t="s">
        <v>146</v>
      </c>
      <c r="G262" s="6">
        <v>2</v>
      </c>
      <c r="H262" s="4">
        <v>185.61</v>
      </c>
      <c r="I262" s="4">
        <v>119.53</v>
      </c>
      <c r="J262" s="5">
        <v>0</v>
      </c>
      <c r="K262" s="6">
        <v>0</v>
      </c>
      <c r="L262" s="6">
        <v>4</v>
      </c>
      <c r="M262" t="s">
        <v>58</v>
      </c>
      <c r="N262" t="s">
        <v>69</v>
      </c>
      <c r="O262" t="s">
        <v>64</v>
      </c>
      <c r="P262" t="str">
        <f t="shared" si="28"/>
        <v>Individual</v>
      </c>
      <c r="Q262" t="str">
        <f t="shared" si="29"/>
        <v>London</v>
      </c>
      <c r="R262" t="str">
        <f>PROPER(TRIM(E262))</f>
        <v>Furniture</v>
      </c>
      <c r="S262" s="27">
        <f>IF(ISTEXT(B262),DATEVALUE(B262),B262)</f>
        <v>45665</v>
      </c>
      <c r="T262" s="27">
        <f>COUNTIF($A$2:$A$1986,A262)</f>
        <v>1</v>
      </c>
      <c r="U262" s="27" t="str">
        <f t="shared" si="30"/>
        <v>Office Chair</v>
      </c>
      <c r="V262" s="27">
        <f t="shared" si="31"/>
        <v>371.22</v>
      </c>
      <c r="W262" s="27">
        <f t="shared" si="32"/>
        <v>239.06</v>
      </c>
      <c r="X262" s="27">
        <f>RawSalesTable3[[#This Row],[Revenue]]-RawSalesTable3[[#This Row],[Total_Cost]]</f>
        <v>132.16000000000003</v>
      </c>
      <c r="Y262" s="28">
        <f>RawSalesTable3[[#This Row],[Profit]]/RawSalesTable3[[#This Row],[Revenue]]</f>
        <v>0.35601530089973604</v>
      </c>
      <c r="Z262" s="27" t="str">
        <f>TEXT(RawSalesTable3[[#This Row],[Order_Date_Clean]],"MMM YYYY")</f>
        <v>Jan 2025</v>
      </c>
      <c r="AA262" s="27"/>
      <c r="AB262" s="27">
        <f t="shared" si="33"/>
        <v>0</v>
      </c>
      <c r="AC262" s="27">
        <f t="shared" si="34"/>
        <v>0</v>
      </c>
    </row>
    <row r="263" spans="1:29">
      <c r="A263" t="s">
        <v>359</v>
      </c>
      <c r="B263" s="3">
        <v>45856</v>
      </c>
      <c r="C263" t="s">
        <v>82</v>
      </c>
      <c r="D263" t="s">
        <v>55</v>
      </c>
      <c r="E263" t="s">
        <v>56</v>
      </c>
      <c r="F263" t="s">
        <v>83</v>
      </c>
      <c r="G263" s="6">
        <v>6</v>
      </c>
      <c r="H263" s="4">
        <v>64.3</v>
      </c>
      <c r="I263" s="4">
        <v>34.92</v>
      </c>
      <c r="J263" s="5">
        <v>0.05</v>
      </c>
      <c r="K263" s="6">
        <v>2</v>
      </c>
      <c r="L263" s="6">
        <v>4</v>
      </c>
      <c r="M263" t="s">
        <v>58</v>
      </c>
      <c r="N263" t="s">
        <v>59</v>
      </c>
      <c r="O263" t="s">
        <v>64</v>
      </c>
      <c r="P263" t="str">
        <f t="shared" si="28"/>
        <v>Small Business</v>
      </c>
      <c r="Q263" t="str">
        <f t="shared" si="29"/>
        <v>Midlands</v>
      </c>
      <c r="R263" t="str">
        <f>PROPER(TRIM(E263))</f>
        <v>Home &amp; Kitchen</v>
      </c>
      <c r="S263" s="27">
        <f>IF(ISTEXT(B263),DATEVALUE(B263),B263)</f>
        <v>45856</v>
      </c>
      <c r="T263" s="27">
        <f>COUNTIF($A$2:$A$1986,A263)</f>
        <v>1</v>
      </c>
      <c r="U263" s="27" t="str">
        <f t="shared" si="30"/>
        <v>Blender</v>
      </c>
      <c r="V263" s="27">
        <f t="shared" si="31"/>
        <v>366.50999999999993</v>
      </c>
      <c r="W263" s="27">
        <f t="shared" si="32"/>
        <v>209.52</v>
      </c>
      <c r="X263" s="27">
        <f>RawSalesTable3[[#This Row],[Revenue]]-RawSalesTable3[[#This Row],[Total_Cost]]</f>
        <v>156.98999999999992</v>
      </c>
      <c r="Y263" s="28">
        <f>RawSalesTable3[[#This Row],[Profit]]/RawSalesTable3[[#This Row],[Revenue]]</f>
        <v>0.42833756241303089</v>
      </c>
      <c r="Z263" s="27" t="str">
        <f>TEXT(RawSalesTable3[[#This Row],[Order_Date_Clean]],"MMM YYYY")</f>
        <v>Jul 2025</v>
      </c>
      <c r="AA263" s="27"/>
      <c r="AB263" s="27">
        <f t="shared" si="33"/>
        <v>0</v>
      </c>
      <c r="AC263" s="27">
        <f t="shared" si="34"/>
        <v>0</v>
      </c>
    </row>
    <row r="264" spans="1:29">
      <c r="A264" t="s">
        <v>360</v>
      </c>
      <c r="B264" s="3">
        <v>45787</v>
      </c>
      <c r="C264" t="s">
        <v>66</v>
      </c>
      <c r="D264" t="s">
        <v>62</v>
      </c>
      <c r="E264" t="s">
        <v>67</v>
      </c>
      <c r="F264" t="s">
        <v>107</v>
      </c>
      <c r="G264" s="6">
        <v>2</v>
      </c>
      <c r="H264" s="4">
        <v>44.68</v>
      </c>
      <c r="I264" s="4">
        <v>21.92</v>
      </c>
      <c r="J264" s="5">
        <v>0.1</v>
      </c>
      <c r="K264" s="6">
        <v>6</v>
      </c>
      <c r="L264" s="6">
        <v>4</v>
      </c>
      <c r="M264" t="s">
        <v>58</v>
      </c>
      <c r="N264" t="s">
        <v>59</v>
      </c>
      <c r="O264" t="s">
        <v>64</v>
      </c>
      <c r="P264" t="str">
        <f t="shared" si="28"/>
        <v>Individual</v>
      </c>
      <c r="Q264" t="str">
        <f t="shared" si="29"/>
        <v>South</v>
      </c>
      <c r="R264" t="str">
        <f>PROPER(TRIM(E264))</f>
        <v>Office</v>
      </c>
      <c r="S264" s="27">
        <f>IF(ISTEXT(B264),DATEVALUE(B264),B264)</f>
        <v>45787</v>
      </c>
      <c r="T264" s="27">
        <f>COUNTIF($A$2:$A$1986,A264)</f>
        <v>1</v>
      </c>
      <c r="U264" s="27" t="str">
        <f t="shared" si="30"/>
        <v>Laptop Stand</v>
      </c>
      <c r="V264" s="27">
        <f t="shared" si="31"/>
        <v>80.424000000000007</v>
      </c>
      <c r="W264" s="27">
        <f t="shared" si="32"/>
        <v>43.84</v>
      </c>
      <c r="X264" s="27">
        <f>RawSalesTable3[[#This Row],[Revenue]]-RawSalesTable3[[#This Row],[Total_Cost]]</f>
        <v>36.584000000000003</v>
      </c>
      <c r="Y264" s="28">
        <f>RawSalesTable3[[#This Row],[Profit]]/RawSalesTable3[[#This Row],[Revenue]]</f>
        <v>0.45488908783447729</v>
      </c>
      <c r="Z264" s="27" t="str">
        <f>TEXT(RawSalesTable3[[#This Row],[Order_Date_Clean]],"MMM YYYY")</f>
        <v>May 2025</v>
      </c>
      <c r="AA264" s="27"/>
      <c r="AB264" s="27">
        <f t="shared" si="33"/>
        <v>0</v>
      </c>
      <c r="AC264" s="27">
        <f t="shared" si="34"/>
        <v>0</v>
      </c>
    </row>
    <row r="265" spans="1:29">
      <c r="A265" t="s">
        <v>361</v>
      </c>
      <c r="B265" s="3">
        <v>45778</v>
      </c>
      <c r="C265" t="s">
        <v>82</v>
      </c>
      <c r="D265" t="s">
        <v>62</v>
      </c>
      <c r="E265" t="s">
        <v>67</v>
      </c>
      <c r="F265" t="s">
        <v>71</v>
      </c>
      <c r="G265" s="6">
        <v>1</v>
      </c>
      <c r="H265" s="4">
        <v>67.92</v>
      </c>
      <c r="I265" s="4">
        <v>39.299999999999997</v>
      </c>
      <c r="J265" s="5">
        <v>0.05</v>
      </c>
      <c r="K265" s="6">
        <v>2</v>
      </c>
      <c r="L265" s="6">
        <v>5</v>
      </c>
      <c r="M265" t="s">
        <v>58</v>
      </c>
      <c r="N265" t="s">
        <v>59</v>
      </c>
      <c r="O265" t="s">
        <v>64</v>
      </c>
      <c r="P265" t="str">
        <f t="shared" si="28"/>
        <v>Individual</v>
      </c>
      <c r="Q265" t="str">
        <f t="shared" si="29"/>
        <v>Midlands</v>
      </c>
      <c r="R265" t="str">
        <f>PROPER(TRIM(E265))</f>
        <v>Office</v>
      </c>
      <c r="S265" s="27">
        <f>IF(ISTEXT(B265),DATEVALUE(B265),B265)</f>
        <v>45778</v>
      </c>
      <c r="T265" s="27">
        <f>COUNTIF($A$2:$A$1986,A265)</f>
        <v>1</v>
      </c>
      <c r="U265" s="27" t="str">
        <f t="shared" si="30"/>
        <v>Ergonomic Keyboard</v>
      </c>
      <c r="V265" s="27">
        <f t="shared" si="31"/>
        <v>64.524000000000001</v>
      </c>
      <c r="W265" s="27">
        <f t="shared" si="32"/>
        <v>39.299999999999997</v>
      </c>
      <c r="X265" s="27">
        <f>RawSalesTable3[[#This Row],[Revenue]]-RawSalesTable3[[#This Row],[Total_Cost]]</f>
        <v>25.224000000000004</v>
      </c>
      <c r="Y265" s="28">
        <f>RawSalesTable3[[#This Row],[Profit]]/RawSalesTable3[[#This Row],[Revenue]]</f>
        <v>0.39092430723451743</v>
      </c>
      <c r="Z265" s="27" t="str">
        <f>TEXT(RawSalesTable3[[#This Row],[Order_Date_Clean]],"MMM YYYY")</f>
        <v>May 2025</v>
      </c>
      <c r="AA265" s="27"/>
      <c r="AB265" s="27">
        <f t="shared" si="33"/>
        <v>0</v>
      </c>
      <c r="AC265" s="27">
        <f t="shared" si="34"/>
        <v>0</v>
      </c>
    </row>
    <row r="266" spans="1:29">
      <c r="A266" t="s">
        <v>362</v>
      </c>
      <c r="B266" s="3">
        <v>45979</v>
      </c>
      <c r="C266" t="s">
        <v>82</v>
      </c>
      <c r="D266" t="s">
        <v>62</v>
      </c>
      <c r="E266" t="s">
        <v>79</v>
      </c>
      <c r="F266" t="s">
        <v>115</v>
      </c>
      <c r="G266" s="6">
        <v>3</v>
      </c>
      <c r="H266" s="4">
        <v>62.2</v>
      </c>
      <c r="I266" s="4">
        <v>33.43</v>
      </c>
      <c r="J266" s="5">
        <v>0.05</v>
      </c>
      <c r="K266" s="6">
        <v>0</v>
      </c>
      <c r="L266" s="6">
        <v>5</v>
      </c>
      <c r="M266" t="s">
        <v>58</v>
      </c>
      <c r="N266" t="s">
        <v>69</v>
      </c>
      <c r="O266" t="s">
        <v>73</v>
      </c>
      <c r="P266" t="str">
        <f t="shared" si="28"/>
        <v>Individual</v>
      </c>
      <c r="Q266" t="str">
        <f t="shared" si="29"/>
        <v>Midlands</v>
      </c>
      <c r="R266" t="str">
        <f>PROPER(TRIM(E266))</f>
        <v>Electronics</v>
      </c>
      <c r="S266" s="27">
        <f>IF(ISTEXT(B266),DATEVALUE(B266),B266)</f>
        <v>45979</v>
      </c>
      <c r="T266" s="27">
        <f>COUNTIF($A$2:$A$1986,A266)</f>
        <v>1</v>
      </c>
      <c r="U266" s="27" t="str">
        <f t="shared" si="30"/>
        <v>Wireless Headset</v>
      </c>
      <c r="V266" s="27">
        <f t="shared" si="31"/>
        <v>177.27</v>
      </c>
      <c r="W266" s="27">
        <f t="shared" si="32"/>
        <v>100.28999999999999</v>
      </c>
      <c r="X266" s="27">
        <f>RawSalesTable3[[#This Row],[Revenue]]-RawSalesTable3[[#This Row],[Total_Cost]]</f>
        <v>76.980000000000018</v>
      </c>
      <c r="Y266" s="28">
        <f>RawSalesTable3[[#This Row],[Profit]]/RawSalesTable3[[#This Row],[Revenue]]</f>
        <v>0.43425283465899484</v>
      </c>
      <c r="Z266" s="27" t="str">
        <f>TEXT(RawSalesTable3[[#This Row],[Order_Date_Clean]],"MMM YYYY")</f>
        <v>Nov 2025</v>
      </c>
      <c r="AA266" s="27"/>
      <c r="AB266" s="27">
        <f t="shared" si="33"/>
        <v>0</v>
      </c>
      <c r="AC266" s="27">
        <f t="shared" si="34"/>
        <v>0</v>
      </c>
    </row>
    <row r="267" spans="1:29">
      <c r="A267" t="s">
        <v>363</v>
      </c>
      <c r="B267" s="3">
        <v>45879</v>
      </c>
      <c r="C267" t="s">
        <v>82</v>
      </c>
      <c r="D267" t="s">
        <v>62</v>
      </c>
      <c r="E267" t="s">
        <v>56</v>
      </c>
      <c r="F267" t="s">
        <v>57</v>
      </c>
      <c r="G267" s="6">
        <v>1</v>
      </c>
      <c r="H267" s="4">
        <v>106.77</v>
      </c>
      <c r="I267" s="4">
        <v>67.959999999999994</v>
      </c>
      <c r="J267" s="5">
        <v>0</v>
      </c>
      <c r="K267" s="6">
        <v>3</v>
      </c>
      <c r="L267" s="6">
        <v>4</v>
      </c>
      <c r="M267" t="s">
        <v>58</v>
      </c>
      <c r="N267" t="s">
        <v>59</v>
      </c>
      <c r="O267" t="s">
        <v>64</v>
      </c>
      <c r="P267" t="str">
        <f t="shared" si="28"/>
        <v>Individual</v>
      </c>
      <c r="Q267" t="str">
        <f t="shared" si="29"/>
        <v>Midlands</v>
      </c>
      <c r="R267" t="str">
        <f>PROPER(TRIM(E267))</f>
        <v>Home &amp; Kitchen</v>
      </c>
      <c r="S267" s="27">
        <f>IF(ISTEXT(B267),DATEVALUE(B267),B267)</f>
        <v>45879</v>
      </c>
      <c r="T267" s="27">
        <f>COUNTIF($A$2:$A$1986,A267)</f>
        <v>1</v>
      </c>
      <c r="U267" s="27" t="str">
        <f t="shared" si="30"/>
        <v>Air Fryer</v>
      </c>
      <c r="V267" s="27">
        <f t="shared" si="31"/>
        <v>106.77</v>
      </c>
      <c r="W267" s="27">
        <f t="shared" si="32"/>
        <v>67.959999999999994</v>
      </c>
      <c r="X267" s="27">
        <f>RawSalesTable3[[#This Row],[Revenue]]-RawSalesTable3[[#This Row],[Total_Cost]]</f>
        <v>38.81</v>
      </c>
      <c r="Y267" s="28">
        <f>RawSalesTable3[[#This Row],[Profit]]/RawSalesTable3[[#This Row],[Revenue]]</f>
        <v>0.3634916174955512</v>
      </c>
      <c r="Z267" s="27" t="str">
        <f>TEXT(RawSalesTable3[[#This Row],[Order_Date_Clean]],"MMM YYYY")</f>
        <v>Aug 2025</v>
      </c>
      <c r="AA267" s="27"/>
      <c r="AB267" s="27">
        <f t="shared" si="33"/>
        <v>0</v>
      </c>
      <c r="AC267" s="27">
        <f t="shared" si="34"/>
        <v>0</v>
      </c>
    </row>
    <row r="268" spans="1:29">
      <c r="A268" t="s">
        <v>364</v>
      </c>
      <c r="B268" s="3">
        <v>45868</v>
      </c>
      <c r="C268" t="s">
        <v>78</v>
      </c>
      <c r="D268" t="s">
        <v>62</v>
      </c>
      <c r="E268" t="s">
        <v>79</v>
      </c>
      <c r="F268" t="s">
        <v>80</v>
      </c>
      <c r="G268" s="6">
        <v>1</v>
      </c>
      <c r="H268" s="4">
        <v>73.02</v>
      </c>
      <c r="I268" s="4">
        <v>45.02</v>
      </c>
      <c r="J268" s="5">
        <v>0.05</v>
      </c>
      <c r="K268" s="6">
        <v>6</v>
      </c>
      <c r="L268" s="6">
        <v>3</v>
      </c>
      <c r="M268" t="s">
        <v>126</v>
      </c>
      <c r="N268" t="s">
        <v>59</v>
      </c>
      <c r="O268" t="s">
        <v>64</v>
      </c>
      <c r="P268" t="str">
        <f t="shared" si="28"/>
        <v>Individual</v>
      </c>
      <c r="Q268" t="str">
        <f t="shared" si="29"/>
        <v>London</v>
      </c>
      <c r="R268" t="str">
        <f>PROPER(TRIM(E268))</f>
        <v>Electronics</v>
      </c>
      <c r="S268" s="27">
        <f>IF(ISTEXT(B268),DATEVALUE(B268),B268)</f>
        <v>45868</v>
      </c>
      <c r="T268" s="27">
        <f>COUNTIF($A$2:$A$1986,A268)</f>
        <v>1</v>
      </c>
      <c r="U268" s="27" t="str">
        <f t="shared" si="30"/>
        <v>Portable Speaker</v>
      </c>
      <c r="V268" s="27">
        <f t="shared" si="31"/>
        <v>69.369</v>
      </c>
      <c r="W268" s="27">
        <f t="shared" si="32"/>
        <v>45.02</v>
      </c>
      <c r="X268" s="27">
        <f>RawSalesTable3[[#This Row],[Revenue]]-RawSalesTable3[[#This Row],[Total_Cost]]</f>
        <v>24.348999999999997</v>
      </c>
      <c r="Y268" s="28">
        <f>RawSalesTable3[[#This Row],[Profit]]/RawSalesTable3[[#This Row],[Revenue]]</f>
        <v>0.35100693393302479</v>
      </c>
      <c r="Z268" s="27" t="str">
        <f>TEXT(RawSalesTable3[[#This Row],[Order_Date_Clean]],"MMM YYYY")</f>
        <v>Jul 2025</v>
      </c>
      <c r="AA268" s="27"/>
      <c r="AB268" s="27">
        <f t="shared" si="33"/>
        <v>0</v>
      </c>
      <c r="AC268" s="27">
        <f t="shared" si="34"/>
        <v>0</v>
      </c>
    </row>
    <row r="269" spans="1:29">
      <c r="A269" t="s">
        <v>365</v>
      </c>
      <c r="B269" s="3">
        <v>45702</v>
      </c>
      <c r="C269" t="s">
        <v>78</v>
      </c>
      <c r="D269" t="s">
        <v>62</v>
      </c>
      <c r="E269" t="s">
        <v>56</v>
      </c>
      <c r="F269" t="s">
        <v>89</v>
      </c>
      <c r="G269" s="6">
        <v>4</v>
      </c>
      <c r="H269" s="4">
        <v>83.11</v>
      </c>
      <c r="I269" s="4">
        <v>47</v>
      </c>
      <c r="J269" s="5">
        <v>0.05</v>
      </c>
      <c r="K269" s="6">
        <v>2</v>
      </c>
      <c r="L269" s="6">
        <v>4</v>
      </c>
      <c r="M269" t="s">
        <v>58</v>
      </c>
      <c r="N269" t="s">
        <v>69</v>
      </c>
      <c r="O269" t="s">
        <v>60</v>
      </c>
      <c r="P269" t="str">
        <f t="shared" si="28"/>
        <v>Individual</v>
      </c>
      <c r="Q269" t="str">
        <f t="shared" si="29"/>
        <v>London</v>
      </c>
      <c r="R269" t="str">
        <f>PROPER(TRIM(E269))</f>
        <v>Home &amp; Kitchen</v>
      </c>
      <c r="S269" s="27">
        <f>IF(ISTEXT(B269),DATEVALUE(B269),B269)</f>
        <v>45702</v>
      </c>
      <c r="T269" s="27">
        <f>COUNTIF($A$2:$A$1986,A269)</f>
        <v>1</v>
      </c>
      <c r="U269" s="27" t="str">
        <f t="shared" si="30"/>
        <v>Coffee Maker</v>
      </c>
      <c r="V269" s="27">
        <f t="shared" si="31"/>
        <v>315.81799999999998</v>
      </c>
      <c r="W269" s="27">
        <f t="shared" si="32"/>
        <v>188</v>
      </c>
      <c r="X269" s="27">
        <f>RawSalesTable3[[#This Row],[Revenue]]-RawSalesTable3[[#This Row],[Total_Cost]]</f>
        <v>127.81799999999998</v>
      </c>
      <c r="Y269" s="28">
        <f>RawSalesTable3[[#This Row],[Profit]]/RawSalesTable3[[#This Row],[Revenue]]</f>
        <v>0.40472044025356374</v>
      </c>
      <c r="Z269" s="27" t="str">
        <f>TEXT(RawSalesTable3[[#This Row],[Order_Date_Clean]],"MMM YYYY")</f>
        <v>Feb 2025</v>
      </c>
      <c r="AA269" s="27"/>
      <c r="AB269" s="27">
        <f t="shared" si="33"/>
        <v>0</v>
      </c>
      <c r="AC269" s="27">
        <f t="shared" si="34"/>
        <v>0</v>
      </c>
    </row>
    <row r="270" spans="1:29">
      <c r="A270" t="s">
        <v>366</v>
      </c>
      <c r="B270" s="3">
        <v>45927</v>
      </c>
      <c r="C270" t="s">
        <v>66</v>
      </c>
      <c r="D270" t="s">
        <v>129</v>
      </c>
      <c r="E270" t="s">
        <v>79</v>
      </c>
      <c r="F270" t="s">
        <v>115</v>
      </c>
      <c r="G270" s="6">
        <v>4</v>
      </c>
      <c r="H270" s="4">
        <v>59.62</v>
      </c>
      <c r="I270" s="4">
        <v>34.450000000000003</v>
      </c>
      <c r="J270" s="5">
        <v>0.1</v>
      </c>
      <c r="K270" s="6">
        <v>4</v>
      </c>
      <c r="L270" s="6">
        <v>5</v>
      </c>
      <c r="M270" t="s">
        <v>58</v>
      </c>
      <c r="N270" t="s">
        <v>59</v>
      </c>
      <c r="O270" t="s">
        <v>60</v>
      </c>
      <c r="P270" t="str">
        <f t="shared" si="28"/>
        <v>Corporate</v>
      </c>
      <c r="Q270" t="str">
        <f t="shared" si="29"/>
        <v>South</v>
      </c>
      <c r="R270" t="str">
        <f>PROPER(TRIM(E270))</f>
        <v>Electronics</v>
      </c>
      <c r="S270" s="27">
        <f>IF(ISTEXT(B270),DATEVALUE(B270),B270)</f>
        <v>45927</v>
      </c>
      <c r="T270" s="27">
        <f>COUNTIF($A$2:$A$1986,A270)</f>
        <v>1</v>
      </c>
      <c r="U270" s="27" t="str">
        <f t="shared" si="30"/>
        <v>Wireless Headset</v>
      </c>
      <c r="V270" s="27">
        <f t="shared" si="31"/>
        <v>214.63200000000001</v>
      </c>
      <c r="W270" s="27">
        <f t="shared" si="32"/>
        <v>137.80000000000001</v>
      </c>
      <c r="X270" s="27">
        <f>RawSalesTable3[[#This Row],[Revenue]]-RawSalesTable3[[#This Row],[Total_Cost]]</f>
        <v>76.831999999999994</v>
      </c>
      <c r="Y270" s="28">
        <f>RawSalesTable3[[#This Row],[Profit]]/RawSalesTable3[[#This Row],[Revenue]]</f>
        <v>0.35797085243579707</v>
      </c>
      <c r="Z270" s="27" t="str">
        <f>TEXT(RawSalesTable3[[#This Row],[Order_Date_Clean]],"MMM YYYY")</f>
        <v>Sep 2025</v>
      </c>
      <c r="AA270" s="27"/>
      <c r="AB270" s="27">
        <f t="shared" si="33"/>
        <v>0</v>
      </c>
      <c r="AC270" s="27">
        <f t="shared" si="34"/>
        <v>0</v>
      </c>
    </row>
    <row r="271" spans="1:29">
      <c r="A271" t="s">
        <v>367</v>
      </c>
      <c r="B271" s="3">
        <v>45731</v>
      </c>
      <c r="C271" t="s">
        <v>82</v>
      </c>
      <c r="D271" t="s">
        <v>62</v>
      </c>
      <c r="E271" t="s">
        <v>75</v>
      </c>
      <c r="F271" t="s">
        <v>110</v>
      </c>
      <c r="G271" s="6">
        <v>2</v>
      </c>
      <c r="H271" s="4">
        <v>157.06</v>
      </c>
      <c r="I271" s="4">
        <v>99.99</v>
      </c>
      <c r="J271" s="5">
        <v>0</v>
      </c>
      <c r="K271" s="6">
        <v>5</v>
      </c>
      <c r="L271" s="6">
        <v>5</v>
      </c>
      <c r="M271" t="s">
        <v>58</v>
      </c>
      <c r="N271" t="s">
        <v>59</v>
      </c>
      <c r="O271" t="s">
        <v>60</v>
      </c>
      <c r="P271" t="str">
        <f t="shared" si="28"/>
        <v>Individual</v>
      </c>
      <c r="Q271" t="str">
        <f t="shared" si="29"/>
        <v>Midlands</v>
      </c>
      <c r="R271" t="str">
        <f>PROPER(TRIM(E271))</f>
        <v>Furniture</v>
      </c>
      <c r="S271" s="27">
        <f>IF(ISTEXT(B271),DATEVALUE(B271),B271)</f>
        <v>45731</v>
      </c>
      <c r="T271" s="27">
        <f>COUNTIF($A$2:$A$1986,A271)</f>
        <v>1</v>
      </c>
      <c r="U271" s="27" t="str">
        <f t="shared" si="30"/>
        <v>Storage Cabinet</v>
      </c>
      <c r="V271" s="27">
        <f t="shared" si="31"/>
        <v>314.12</v>
      </c>
      <c r="W271" s="27">
        <f t="shared" si="32"/>
        <v>199.98</v>
      </c>
      <c r="X271" s="27">
        <f>RawSalesTable3[[#This Row],[Revenue]]-RawSalesTable3[[#This Row],[Total_Cost]]</f>
        <v>114.14000000000001</v>
      </c>
      <c r="Y271" s="28">
        <f>RawSalesTable3[[#This Row],[Profit]]/RawSalesTable3[[#This Row],[Revenue]]</f>
        <v>0.36336431936839431</v>
      </c>
      <c r="Z271" s="27" t="str">
        <f>TEXT(RawSalesTable3[[#This Row],[Order_Date_Clean]],"MMM YYYY")</f>
        <v>Mar 2025</v>
      </c>
      <c r="AA271" s="27"/>
      <c r="AB271" s="27">
        <f t="shared" si="33"/>
        <v>0</v>
      </c>
      <c r="AC271" s="27">
        <f t="shared" si="34"/>
        <v>0</v>
      </c>
    </row>
    <row r="272" spans="1:29">
      <c r="A272" t="s">
        <v>368</v>
      </c>
      <c r="B272" s="3">
        <v>45969</v>
      </c>
      <c r="C272" t="s">
        <v>54</v>
      </c>
      <c r="D272" t="s">
        <v>62</v>
      </c>
      <c r="E272" t="s">
        <v>56</v>
      </c>
      <c r="F272" t="s">
        <v>57</v>
      </c>
      <c r="G272" s="6">
        <v>3</v>
      </c>
      <c r="H272" s="4">
        <v>109.3</v>
      </c>
      <c r="I272" s="4">
        <v>66.75</v>
      </c>
      <c r="J272" s="5">
        <v>0.1</v>
      </c>
      <c r="K272" s="6">
        <v>5</v>
      </c>
      <c r="L272" s="6">
        <v>4</v>
      </c>
      <c r="M272" t="s">
        <v>58</v>
      </c>
      <c r="N272" t="s">
        <v>59</v>
      </c>
      <c r="O272" t="s">
        <v>60</v>
      </c>
      <c r="P272" t="str">
        <f t="shared" si="28"/>
        <v>Individual</v>
      </c>
      <c r="Q272" t="str">
        <f t="shared" si="29"/>
        <v>North</v>
      </c>
      <c r="R272" t="str">
        <f>PROPER(TRIM(E272))</f>
        <v>Home &amp; Kitchen</v>
      </c>
      <c r="S272" s="27">
        <f>IF(ISTEXT(B272),DATEVALUE(B272),B272)</f>
        <v>45969</v>
      </c>
      <c r="T272" s="27">
        <f>COUNTIF($A$2:$A$1986,A272)</f>
        <v>1</v>
      </c>
      <c r="U272" s="27" t="str">
        <f t="shared" si="30"/>
        <v>Air Fryer</v>
      </c>
      <c r="V272" s="27">
        <f t="shared" si="31"/>
        <v>295.11</v>
      </c>
      <c r="W272" s="27">
        <f t="shared" si="32"/>
        <v>200.25</v>
      </c>
      <c r="X272" s="27">
        <f>RawSalesTable3[[#This Row],[Revenue]]-RawSalesTable3[[#This Row],[Total_Cost]]</f>
        <v>94.860000000000014</v>
      </c>
      <c r="Y272" s="28">
        <f>RawSalesTable3[[#This Row],[Profit]]/RawSalesTable3[[#This Row],[Revenue]]</f>
        <v>0.32143946325099121</v>
      </c>
      <c r="Z272" s="27" t="str">
        <f>TEXT(RawSalesTable3[[#This Row],[Order_Date_Clean]],"MMM YYYY")</f>
        <v>Nov 2025</v>
      </c>
      <c r="AA272" s="27"/>
      <c r="AB272" s="27">
        <f t="shared" si="33"/>
        <v>0</v>
      </c>
      <c r="AC272" s="27">
        <f t="shared" si="34"/>
        <v>0</v>
      </c>
    </row>
    <row r="273" spans="1:29">
      <c r="A273" t="s">
        <v>369</v>
      </c>
      <c r="B273" s="3">
        <v>45746</v>
      </c>
      <c r="C273" t="s">
        <v>78</v>
      </c>
      <c r="D273" t="s">
        <v>55</v>
      </c>
      <c r="E273" t="s">
        <v>67</v>
      </c>
      <c r="F273" t="s">
        <v>107</v>
      </c>
      <c r="G273" s="6">
        <v>1</v>
      </c>
      <c r="H273" s="4">
        <v>43.98</v>
      </c>
      <c r="I273" s="4">
        <v>21.76</v>
      </c>
      <c r="J273" s="5">
        <v>0.05</v>
      </c>
      <c r="K273" s="6">
        <v>3</v>
      </c>
      <c r="L273" s="6">
        <v>4</v>
      </c>
      <c r="M273" t="s">
        <v>58</v>
      </c>
      <c r="N273" t="s">
        <v>59</v>
      </c>
      <c r="O273" t="s">
        <v>64</v>
      </c>
      <c r="P273" t="str">
        <f t="shared" si="28"/>
        <v>Small Business</v>
      </c>
      <c r="Q273" t="str">
        <f t="shared" si="29"/>
        <v>London</v>
      </c>
      <c r="R273" t="str">
        <f>PROPER(TRIM(E273))</f>
        <v>Office</v>
      </c>
      <c r="S273" s="27">
        <f>IF(ISTEXT(B273),DATEVALUE(B273),B273)</f>
        <v>45746</v>
      </c>
      <c r="T273" s="27">
        <f>COUNTIF($A$2:$A$1986,A273)</f>
        <v>1</v>
      </c>
      <c r="U273" s="27" t="str">
        <f t="shared" si="30"/>
        <v>Laptop Stand</v>
      </c>
      <c r="V273" s="27">
        <f t="shared" si="31"/>
        <v>41.780999999999992</v>
      </c>
      <c r="W273" s="27">
        <f t="shared" si="32"/>
        <v>21.76</v>
      </c>
      <c r="X273" s="27">
        <f>RawSalesTable3[[#This Row],[Revenue]]-RawSalesTable3[[#This Row],[Total_Cost]]</f>
        <v>20.02099999999999</v>
      </c>
      <c r="Y273" s="28">
        <f>RawSalesTable3[[#This Row],[Profit]]/RawSalesTable3[[#This Row],[Revenue]]</f>
        <v>0.47918910509561746</v>
      </c>
      <c r="Z273" s="27" t="str">
        <f>TEXT(RawSalesTable3[[#This Row],[Order_Date_Clean]],"MMM YYYY")</f>
        <v>Mar 2025</v>
      </c>
      <c r="AA273" s="27"/>
      <c r="AB273" s="27">
        <f t="shared" si="33"/>
        <v>0</v>
      </c>
      <c r="AC273" s="27">
        <f t="shared" si="34"/>
        <v>0</v>
      </c>
    </row>
    <row r="274" spans="1:29">
      <c r="A274" t="s">
        <v>370</v>
      </c>
      <c r="B274" s="3">
        <v>45813</v>
      </c>
      <c r="C274" t="s">
        <v>54</v>
      </c>
      <c r="D274" t="s">
        <v>62</v>
      </c>
      <c r="E274" t="s">
        <v>75</v>
      </c>
      <c r="F274" t="s">
        <v>97</v>
      </c>
      <c r="G274" s="6">
        <v>2</v>
      </c>
      <c r="H274" s="4">
        <v>87.65</v>
      </c>
      <c r="I274" s="4">
        <v>52.44</v>
      </c>
      <c r="J274" s="5">
        <v>0.05</v>
      </c>
      <c r="K274" s="6">
        <v>5</v>
      </c>
      <c r="L274" s="6">
        <v>4</v>
      </c>
      <c r="M274" t="s">
        <v>58</v>
      </c>
      <c r="N274" t="s">
        <v>59</v>
      </c>
      <c r="O274" t="s">
        <v>73</v>
      </c>
      <c r="P274" t="str">
        <f t="shared" si="28"/>
        <v>Individual</v>
      </c>
      <c r="Q274" t="str">
        <f t="shared" si="29"/>
        <v>North</v>
      </c>
      <c r="R274" t="str">
        <f>PROPER(TRIM(E274))</f>
        <v>Furniture</v>
      </c>
      <c r="S274" s="27">
        <f>IF(ISTEXT(B274),DATEVALUE(B274),B274)</f>
        <v>45813</v>
      </c>
      <c r="T274" s="27">
        <f>COUNTIF($A$2:$A$1986,A274)</f>
        <v>1</v>
      </c>
      <c r="U274" s="27" t="str">
        <f t="shared" si="30"/>
        <v>Side Table</v>
      </c>
      <c r="V274" s="27">
        <f t="shared" si="31"/>
        <v>166.535</v>
      </c>
      <c r="W274" s="27">
        <f t="shared" si="32"/>
        <v>104.88</v>
      </c>
      <c r="X274" s="27">
        <f>RawSalesTable3[[#This Row],[Revenue]]-RawSalesTable3[[#This Row],[Total_Cost]]</f>
        <v>61.655000000000001</v>
      </c>
      <c r="Y274" s="28">
        <f>RawSalesTable3[[#This Row],[Profit]]/RawSalesTable3[[#This Row],[Revenue]]</f>
        <v>0.37022247575584716</v>
      </c>
      <c r="Z274" s="27" t="str">
        <f>TEXT(RawSalesTable3[[#This Row],[Order_Date_Clean]],"MMM YYYY")</f>
        <v>Jun 2025</v>
      </c>
      <c r="AA274" s="27"/>
      <c r="AB274" s="27">
        <f t="shared" si="33"/>
        <v>0</v>
      </c>
      <c r="AC274" s="27">
        <f t="shared" si="34"/>
        <v>0</v>
      </c>
    </row>
    <row r="275" spans="1:29">
      <c r="A275" t="s">
        <v>371</v>
      </c>
      <c r="B275" s="3">
        <v>45930</v>
      </c>
      <c r="C275" t="s">
        <v>54</v>
      </c>
      <c r="D275" t="s">
        <v>62</v>
      </c>
      <c r="E275" t="s">
        <v>67</v>
      </c>
      <c r="F275" t="s">
        <v>71</v>
      </c>
      <c r="G275" s="6">
        <v>1</v>
      </c>
      <c r="H275" s="4">
        <v>72.010000000000005</v>
      </c>
      <c r="I275" s="4">
        <v>36.950000000000003</v>
      </c>
      <c r="J275" s="5">
        <v>0</v>
      </c>
      <c r="K275" s="6">
        <v>3</v>
      </c>
      <c r="L275" s="6">
        <v>5</v>
      </c>
      <c r="M275" t="s">
        <v>58</v>
      </c>
      <c r="N275" t="s">
        <v>69</v>
      </c>
      <c r="O275" t="s">
        <v>64</v>
      </c>
      <c r="P275" t="str">
        <f t="shared" si="28"/>
        <v>Individual</v>
      </c>
      <c r="Q275" t="str">
        <f t="shared" si="29"/>
        <v>North</v>
      </c>
      <c r="R275" t="str">
        <f>PROPER(TRIM(E275))</f>
        <v>Office</v>
      </c>
      <c r="S275" s="27">
        <f>IF(ISTEXT(B275),DATEVALUE(B275),B275)</f>
        <v>45930</v>
      </c>
      <c r="T275" s="27">
        <f>COUNTIF($A$2:$A$1986,A275)</f>
        <v>1</v>
      </c>
      <c r="U275" s="27" t="str">
        <f t="shared" si="30"/>
        <v>Ergonomic Keyboard</v>
      </c>
      <c r="V275" s="27">
        <f t="shared" si="31"/>
        <v>72.010000000000005</v>
      </c>
      <c r="W275" s="27">
        <f t="shared" si="32"/>
        <v>36.950000000000003</v>
      </c>
      <c r="X275" s="27">
        <f>RawSalesTable3[[#This Row],[Revenue]]-RawSalesTable3[[#This Row],[Total_Cost]]</f>
        <v>35.06</v>
      </c>
      <c r="Y275" s="28">
        <f>RawSalesTable3[[#This Row],[Profit]]/RawSalesTable3[[#This Row],[Revenue]]</f>
        <v>0.48687682266351895</v>
      </c>
      <c r="Z275" s="27" t="str">
        <f>TEXT(RawSalesTable3[[#This Row],[Order_Date_Clean]],"MMM YYYY")</f>
        <v>Sep 2025</v>
      </c>
      <c r="AA275" s="27"/>
      <c r="AB275" s="27">
        <f t="shared" si="33"/>
        <v>0</v>
      </c>
      <c r="AC275" s="27">
        <f t="shared" si="34"/>
        <v>0</v>
      </c>
    </row>
    <row r="276" spans="1:29">
      <c r="A276" t="s">
        <v>372</v>
      </c>
      <c r="B276" s="3">
        <v>45794</v>
      </c>
      <c r="C276" t="s">
        <v>82</v>
      </c>
      <c r="D276" t="s">
        <v>62</v>
      </c>
      <c r="E276" t="s">
        <v>56</v>
      </c>
      <c r="F276" t="s">
        <v>63</v>
      </c>
      <c r="G276" s="6">
        <v>1</v>
      </c>
      <c r="H276" s="4">
        <v>40.29</v>
      </c>
      <c r="I276" s="4">
        <v>20.59</v>
      </c>
      <c r="J276" s="5">
        <v>0.1</v>
      </c>
      <c r="K276" s="6">
        <v>6</v>
      </c>
      <c r="L276" s="6">
        <v>3</v>
      </c>
      <c r="M276" t="s">
        <v>58</v>
      </c>
      <c r="N276" t="s">
        <v>59</v>
      </c>
      <c r="O276" t="s">
        <v>60</v>
      </c>
      <c r="P276" t="str">
        <f t="shared" si="28"/>
        <v>Individual</v>
      </c>
      <c r="Q276" t="str">
        <f t="shared" si="29"/>
        <v>Midlands</v>
      </c>
      <c r="R276" t="str">
        <f>PROPER(TRIM(E276))</f>
        <v>Home &amp; Kitchen</v>
      </c>
      <c r="S276" s="27">
        <f>IF(ISTEXT(B276),DATEVALUE(B276),B276)</f>
        <v>45794</v>
      </c>
      <c r="T276" s="27">
        <f>COUNTIF($A$2:$A$1986,A276)</f>
        <v>1</v>
      </c>
      <c r="U276" s="27" t="str">
        <f t="shared" si="30"/>
        <v>Electric Kettle</v>
      </c>
      <c r="V276" s="27">
        <f t="shared" si="31"/>
        <v>36.261000000000003</v>
      </c>
      <c r="W276" s="27">
        <f t="shared" si="32"/>
        <v>20.59</v>
      </c>
      <c r="X276" s="27">
        <f>RawSalesTable3[[#This Row],[Revenue]]-RawSalesTable3[[#This Row],[Total_Cost]]</f>
        <v>15.671000000000003</v>
      </c>
      <c r="Y276" s="28">
        <f>RawSalesTable3[[#This Row],[Profit]]/RawSalesTable3[[#This Row],[Revenue]]</f>
        <v>0.43217230633462955</v>
      </c>
      <c r="Z276" s="27" t="str">
        <f>TEXT(RawSalesTable3[[#This Row],[Order_Date_Clean]],"MMM YYYY")</f>
        <v>May 2025</v>
      </c>
      <c r="AA276" s="27"/>
      <c r="AB276" s="27">
        <f t="shared" si="33"/>
        <v>0</v>
      </c>
      <c r="AC276" s="27">
        <f t="shared" si="34"/>
        <v>0</v>
      </c>
    </row>
    <row r="277" spans="1:29">
      <c r="A277" t="s">
        <v>373</v>
      </c>
      <c r="B277" s="3">
        <v>45995</v>
      </c>
      <c r="C277" t="s">
        <v>66</v>
      </c>
      <c r="D277" t="s">
        <v>62</v>
      </c>
      <c r="E277" t="s">
        <v>75</v>
      </c>
      <c r="F277" t="s">
        <v>110</v>
      </c>
      <c r="G277" s="6">
        <v>2</v>
      </c>
      <c r="H277" s="4">
        <v>161.71</v>
      </c>
      <c r="I277" s="4">
        <v>103.72</v>
      </c>
      <c r="J277" s="5">
        <v>0.2</v>
      </c>
      <c r="K277" s="6">
        <v>4</v>
      </c>
      <c r="L277" s="6">
        <v>4</v>
      </c>
      <c r="M277" t="s">
        <v>58</v>
      </c>
      <c r="N277" t="s">
        <v>69</v>
      </c>
      <c r="O277" t="s">
        <v>64</v>
      </c>
      <c r="P277" t="str">
        <f t="shared" si="28"/>
        <v>Individual</v>
      </c>
      <c r="Q277" t="str">
        <f t="shared" si="29"/>
        <v>South</v>
      </c>
      <c r="R277" t="str">
        <f>PROPER(TRIM(E277))</f>
        <v>Furniture</v>
      </c>
      <c r="S277" s="27">
        <f>IF(ISTEXT(B277),DATEVALUE(B277),B277)</f>
        <v>45995</v>
      </c>
      <c r="T277" s="27">
        <f>COUNTIF($A$2:$A$1986,A277)</f>
        <v>1</v>
      </c>
      <c r="U277" s="27" t="str">
        <f t="shared" si="30"/>
        <v>Storage Cabinet</v>
      </c>
      <c r="V277" s="27">
        <f t="shared" si="31"/>
        <v>258.73600000000005</v>
      </c>
      <c r="W277" s="27">
        <f t="shared" si="32"/>
        <v>207.44</v>
      </c>
      <c r="X277" s="27">
        <f>RawSalesTable3[[#This Row],[Revenue]]-RawSalesTable3[[#This Row],[Total_Cost]]</f>
        <v>51.296000000000049</v>
      </c>
      <c r="Y277" s="28">
        <f>RawSalesTable3[[#This Row],[Profit]]/RawSalesTable3[[#This Row],[Revenue]]</f>
        <v>0.1982561375301467</v>
      </c>
      <c r="Z277" s="27" t="str">
        <f>TEXT(RawSalesTable3[[#This Row],[Order_Date_Clean]],"MMM YYYY")</f>
        <v>Dec 2025</v>
      </c>
      <c r="AA277" s="27"/>
      <c r="AB277" s="27">
        <f t="shared" si="33"/>
        <v>0</v>
      </c>
      <c r="AC277" s="27">
        <f t="shared" si="34"/>
        <v>0</v>
      </c>
    </row>
    <row r="278" spans="1:29">
      <c r="A278" t="s">
        <v>374</v>
      </c>
      <c r="B278" s="3">
        <v>45962</v>
      </c>
      <c r="C278" t="s">
        <v>66</v>
      </c>
      <c r="D278" t="s">
        <v>55</v>
      </c>
      <c r="E278" t="s">
        <v>79</v>
      </c>
      <c r="F278" t="s">
        <v>85</v>
      </c>
      <c r="G278" s="6">
        <v>3</v>
      </c>
      <c r="H278" s="4">
        <v>126.3</v>
      </c>
      <c r="I278" s="4">
        <v>85.92</v>
      </c>
      <c r="J278" s="5">
        <v>0.2</v>
      </c>
      <c r="K278" s="6">
        <v>4</v>
      </c>
      <c r="L278" s="6">
        <v>3</v>
      </c>
      <c r="M278" t="s">
        <v>126</v>
      </c>
      <c r="N278" t="s">
        <v>87</v>
      </c>
      <c r="O278" t="s">
        <v>60</v>
      </c>
      <c r="P278" t="str">
        <f t="shared" si="28"/>
        <v>Small Business</v>
      </c>
      <c r="Q278" t="str">
        <f t="shared" si="29"/>
        <v>South</v>
      </c>
      <c r="R278" t="str">
        <f>PROPER(TRIM(E278))</f>
        <v>Electronics</v>
      </c>
      <c r="S278" s="27">
        <f>IF(ISTEXT(B278),DATEVALUE(B278),B278)</f>
        <v>45962</v>
      </c>
      <c r="T278" s="27">
        <f>COUNTIF($A$2:$A$1986,A278)</f>
        <v>1</v>
      </c>
      <c r="U278" s="27" t="str">
        <f t="shared" si="30"/>
        <v>SmartHome Hub</v>
      </c>
      <c r="V278" s="27">
        <f t="shared" si="31"/>
        <v>303.12</v>
      </c>
      <c r="W278" s="27">
        <f t="shared" si="32"/>
        <v>257.76</v>
      </c>
      <c r="X278" s="27">
        <f>RawSalesTable3[[#This Row],[Revenue]]-RawSalesTable3[[#This Row],[Total_Cost]]</f>
        <v>45.360000000000014</v>
      </c>
      <c r="Y278" s="28">
        <f>RawSalesTable3[[#This Row],[Profit]]/RawSalesTable3[[#This Row],[Revenue]]</f>
        <v>0.14964370546318295</v>
      </c>
      <c r="Z278" s="27" t="str">
        <f>TEXT(RawSalesTable3[[#This Row],[Order_Date_Clean]],"MMM YYYY")</f>
        <v>Nov 2025</v>
      </c>
      <c r="AA278" s="27"/>
      <c r="AB278" s="27">
        <f t="shared" si="33"/>
        <v>0</v>
      </c>
      <c r="AC278" s="27">
        <f t="shared" si="34"/>
        <v>0</v>
      </c>
    </row>
    <row r="279" spans="1:29">
      <c r="A279" t="s">
        <v>375</v>
      </c>
      <c r="B279" s="3">
        <v>45964</v>
      </c>
      <c r="C279" t="s">
        <v>82</v>
      </c>
      <c r="D279" t="s">
        <v>55</v>
      </c>
      <c r="E279" t="s">
        <v>67</v>
      </c>
      <c r="F279" t="s">
        <v>107</v>
      </c>
      <c r="G279" s="6">
        <v>1</v>
      </c>
      <c r="H279" s="4">
        <v>46.13</v>
      </c>
      <c r="I279" s="4">
        <v>21.55</v>
      </c>
      <c r="J279" s="5">
        <v>0.05</v>
      </c>
      <c r="K279" s="6">
        <v>4</v>
      </c>
      <c r="L279" s="6">
        <v>4</v>
      </c>
      <c r="M279" t="s">
        <v>58</v>
      </c>
      <c r="N279" t="s">
        <v>87</v>
      </c>
      <c r="O279" t="s">
        <v>64</v>
      </c>
      <c r="P279" t="str">
        <f t="shared" si="28"/>
        <v>Small Business</v>
      </c>
      <c r="Q279" t="str">
        <f t="shared" si="29"/>
        <v>Midlands</v>
      </c>
      <c r="R279" t="str">
        <f>PROPER(TRIM(E279))</f>
        <v>Office</v>
      </c>
      <c r="S279" s="27">
        <f>IF(ISTEXT(B279),DATEVALUE(B279),B279)</f>
        <v>45964</v>
      </c>
      <c r="T279" s="27">
        <f>COUNTIF($A$2:$A$1986,A279)</f>
        <v>1</v>
      </c>
      <c r="U279" s="27" t="str">
        <f t="shared" si="30"/>
        <v>Laptop Stand</v>
      </c>
      <c r="V279" s="27">
        <f t="shared" si="31"/>
        <v>43.823500000000003</v>
      </c>
      <c r="W279" s="27">
        <f t="shared" si="32"/>
        <v>21.55</v>
      </c>
      <c r="X279" s="27">
        <f>RawSalesTable3[[#This Row],[Revenue]]-RawSalesTable3[[#This Row],[Total_Cost]]</f>
        <v>22.273500000000002</v>
      </c>
      <c r="Y279" s="28">
        <f>RawSalesTable3[[#This Row],[Profit]]/RawSalesTable3[[#This Row],[Revenue]]</f>
        <v>0.5082547035266467</v>
      </c>
      <c r="Z279" s="27" t="str">
        <f>TEXT(RawSalesTable3[[#This Row],[Order_Date_Clean]],"MMM YYYY")</f>
        <v>Nov 2025</v>
      </c>
      <c r="AA279" s="27"/>
      <c r="AB279" s="27">
        <f t="shared" si="33"/>
        <v>0</v>
      </c>
      <c r="AC279" s="27">
        <f t="shared" si="34"/>
        <v>0</v>
      </c>
    </row>
    <row r="280" spans="1:29">
      <c r="A280" t="s">
        <v>376</v>
      </c>
      <c r="B280" s="3">
        <v>45918</v>
      </c>
      <c r="C280" t="s">
        <v>66</v>
      </c>
      <c r="D280" t="s">
        <v>129</v>
      </c>
      <c r="E280" t="s">
        <v>79</v>
      </c>
      <c r="F280" t="s">
        <v>85</v>
      </c>
      <c r="G280" s="6">
        <v>10</v>
      </c>
      <c r="H280" s="4">
        <v>127.96</v>
      </c>
      <c r="I280" s="4">
        <v>84.86</v>
      </c>
      <c r="J280" s="5">
        <v>0.1</v>
      </c>
      <c r="K280" s="6">
        <v>4</v>
      </c>
      <c r="L280" s="6">
        <v>4</v>
      </c>
      <c r="M280" t="s">
        <v>58</v>
      </c>
      <c r="N280" t="s">
        <v>59</v>
      </c>
      <c r="O280" t="s">
        <v>64</v>
      </c>
      <c r="P280" t="str">
        <f t="shared" si="28"/>
        <v>Corporate</v>
      </c>
      <c r="Q280" t="str">
        <f t="shared" si="29"/>
        <v>South</v>
      </c>
      <c r="R280" t="str">
        <f>PROPER(TRIM(E280))</f>
        <v>Electronics</v>
      </c>
      <c r="S280" s="27">
        <f>IF(ISTEXT(B280),DATEVALUE(B280),B280)</f>
        <v>45918</v>
      </c>
      <c r="T280" s="27">
        <f>COUNTIF($A$2:$A$1986,A280)</f>
        <v>1</v>
      </c>
      <c r="U280" s="27" t="str">
        <f t="shared" si="30"/>
        <v>SmartHome Hub</v>
      </c>
      <c r="V280" s="27">
        <f t="shared" si="31"/>
        <v>1151.6399999999999</v>
      </c>
      <c r="W280" s="27">
        <f t="shared" si="32"/>
        <v>848.6</v>
      </c>
      <c r="X280" s="27">
        <f>RawSalesTable3[[#This Row],[Revenue]]-RawSalesTable3[[#This Row],[Total_Cost]]</f>
        <v>303.03999999999985</v>
      </c>
      <c r="Y280" s="28">
        <f>RawSalesTable3[[#This Row],[Profit]]/RawSalesTable3[[#This Row],[Revenue]]</f>
        <v>0.26313778611371597</v>
      </c>
      <c r="Z280" s="27" t="str">
        <f>TEXT(RawSalesTable3[[#This Row],[Order_Date_Clean]],"MMM YYYY")</f>
        <v>Sep 2025</v>
      </c>
      <c r="AA280" s="27"/>
      <c r="AB280" s="27">
        <f t="shared" si="33"/>
        <v>0</v>
      </c>
      <c r="AC280" s="27">
        <f t="shared" si="34"/>
        <v>0</v>
      </c>
    </row>
    <row r="281" spans="1:29">
      <c r="A281" t="s">
        <v>377</v>
      </c>
      <c r="B281" s="3">
        <v>45860</v>
      </c>
      <c r="C281" t="s">
        <v>54</v>
      </c>
      <c r="D281" t="s">
        <v>129</v>
      </c>
      <c r="E281" t="s">
        <v>56</v>
      </c>
      <c r="F281" t="s">
        <v>83</v>
      </c>
      <c r="G281" s="6">
        <v>6</v>
      </c>
      <c r="H281" s="4">
        <v>65.290000000000006</v>
      </c>
      <c r="I281" s="4">
        <v>34.19</v>
      </c>
      <c r="J281" s="5">
        <v>0.1</v>
      </c>
      <c r="K281" s="6">
        <v>3</v>
      </c>
      <c r="L281" s="6">
        <v>5</v>
      </c>
      <c r="M281" t="s">
        <v>58</v>
      </c>
      <c r="N281" t="s">
        <v>59</v>
      </c>
      <c r="O281" t="s">
        <v>64</v>
      </c>
      <c r="P281" t="str">
        <f t="shared" si="28"/>
        <v>Corporate</v>
      </c>
      <c r="Q281" t="str">
        <f t="shared" si="29"/>
        <v>North</v>
      </c>
      <c r="R281" t="str">
        <f>PROPER(TRIM(E281))</f>
        <v>Home &amp; Kitchen</v>
      </c>
      <c r="S281" s="27">
        <f>IF(ISTEXT(B281),DATEVALUE(B281),B281)</f>
        <v>45860</v>
      </c>
      <c r="T281" s="27">
        <f>COUNTIF($A$2:$A$1986,A281)</f>
        <v>1</v>
      </c>
      <c r="U281" s="27" t="str">
        <f t="shared" si="30"/>
        <v>Blender</v>
      </c>
      <c r="V281" s="27">
        <f t="shared" si="31"/>
        <v>352.56600000000003</v>
      </c>
      <c r="W281" s="27">
        <f t="shared" si="32"/>
        <v>205.14</v>
      </c>
      <c r="X281" s="27">
        <f>RawSalesTable3[[#This Row],[Revenue]]-RawSalesTable3[[#This Row],[Total_Cost]]</f>
        <v>147.42600000000004</v>
      </c>
      <c r="Y281" s="28">
        <f>RawSalesTable3[[#This Row],[Profit]]/RawSalesTable3[[#This Row],[Revenue]]</f>
        <v>0.41815149503922677</v>
      </c>
      <c r="Z281" s="27" t="str">
        <f>TEXT(RawSalesTable3[[#This Row],[Order_Date_Clean]],"MMM YYYY")</f>
        <v>Jul 2025</v>
      </c>
      <c r="AA281" s="27"/>
      <c r="AB281" s="27">
        <f t="shared" si="33"/>
        <v>0</v>
      </c>
      <c r="AC281" s="27">
        <f t="shared" si="34"/>
        <v>0</v>
      </c>
    </row>
    <row r="282" spans="1:29">
      <c r="A282" t="s">
        <v>378</v>
      </c>
      <c r="B282" s="3">
        <v>45850</v>
      </c>
      <c r="C282" t="s">
        <v>66</v>
      </c>
      <c r="D282" t="s">
        <v>62</v>
      </c>
      <c r="E282" t="s">
        <v>67</v>
      </c>
      <c r="F282" t="s">
        <v>107</v>
      </c>
      <c r="G282" s="6">
        <v>1</v>
      </c>
      <c r="H282" s="4">
        <v>43.79</v>
      </c>
      <c r="I282" s="4">
        <v>21.34</v>
      </c>
      <c r="J282" s="5">
        <v>0.1</v>
      </c>
      <c r="K282" s="6">
        <v>4</v>
      </c>
      <c r="L282" s="6">
        <v>4</v>
      </c>
      <c r="M282" t="s">
        <v>126</v>
      </c>
      <c r="N282" t="s">
        <v>59</v>
      </c>
      <c r="O282" t="s">
        <v>64</v>
      </c>
      <c r="P282" t="str">
        <f t="shared" si="28"/>
        <v>Individual</v>
      </c>
      <c r="Q282" t="str">
        <f t="shared" si="29"/>
        <v>South</v>
      </c>
      <c r="R282" t="str">
        <f>PROPER(TRIM(E282))</f>
        <v>Office</v>
      </c>
      <c r="S282" s="27">
        <f>IF(ISTEXT(B282),DATEVALUE(B282),B282)</f>
        <v>45850</v>
      </c>
      <c r="T282" s="27">
        <f>COUNTIF($A$2:$A$1986,A282)</f>
        <v>1</v>
      </c>
      <c r="U282" s="27" t="str">
        <f t="shared" si="30"/>
        <v>Laptop Stand</v>
      </c>
      <c r="V282" s="27">
        <f t="shared" si="31"/>
        <v>39.411000000000001</v>
      </c>
      <c r="W282" s="27">
        <f t="shared" si="32"/>
        <v>21.34</v>
      </c>
      <c r="X282" s="27">
        <f>RawSalesTable3[[#This Row],[Revenue]]-RawSalesTable3[[#This Row],[Total_Cost]]</f>
        <v>18.071000000000002</v>
      </c>
      <c r="Y282" s="28">
        <f>RawSalesTable3[[#This Row],[Profit]]/RawSalesTable3[[#This Row],[Revenue]]</f>
        <v>0.45852680723655836</v>
      </c>
      <c r="Z282" s="27" t="str">
        <f>TEXT(RawSalesTable3[[#This Row],[Order_Date_Clean]],"MMM YYYY")</f>
        <v>Jul 2025</v>
      </c>
      <c r="AA282" s="27"/>
      <c r="AB282" s="27">
        <f t="shared" si="33"/>
        <v>0</v>
      </c>
      <c r="AC282" s="27">
        <f t="shared" si="34"/>
        <v>0</v>
      </c>
    </row>
    <row r="283" spans="1:29">
      <c r="A283" t="s">
        <v>379</v>
      </c>
      <c r="B283" s="3">
        <v>45704</v>
      </c>
      <c r="C283" t="s">
        <v>66</v>
      </c>
      <c r="D283" t="s">
        <v>62</v>
      </c>
      <c r="E283" t="s">
        <v>56</v>
      </c>
      <c r="F283" t="s">
        <v>83</v>
      </c>
      <c r="G283" s="6">
        <v>1</v>
      </c>
      <c r="H283" s="4">
        <v>64.44</v>
      </c>
      <c r="I283" s="4">
        <v>33.97</v>
      </c>
      <c r="J283" s="5">
        <v>0</v>
      </c>
      <c r="K283" s="6">
        <v>0</v>
      </c>
      <c r="L283" s="6">
        <v>5</v>
      </c>
      <c r="M283" t="s">
        <v>58</v>
      </c>
      <c r="N283" t="s">
        <v>69</v>
      </c>
      <c r="O283" t="s">
        <v>64</v>
      </c>
      <c r="P283" t="str">
        <f t="shared" si="28"/>
        <v>Individual</v>
      </c>
      <c r="Q283" t="str">
        <f t="shared" si="29"/>
        <v>South</v>
      </c>
      <c r="R283" t="str">
        <f>PROPER(TRIM(E283))</f>
        <v>Home &amp; Kitchen</v>
      </c>
      <c r="S283" s="27">
        <f>IF(ISTEXT(B283),DATEVALUE(B283),B283)</f>
        <v>45704</v>
      </c>
      <c r="T283" s="27">
        <f>COUNTIF($A$2:$A$1986,A283)</f>
        <v>1</v>
      </c>
      <c r="U283" s="27" t="str">
        <f t="shared" si="30"/>
        <v>Blender</v>
      </c>
      <c r="V283" s="27">
        <f t="shared" si="31"/>
        <v>64.44</v>
      </c>
      <c r="W283" s="27">
        <f t="shared" si="32"/>
        <v>33.97</v>
      </c>
      <c r="X283" s="27">
        <f>RawSalesTable3[[#This Row],[Revenue]]-RawSalesTable3[[#This Row],[Total_Cost]]</f>
        <v>30.47</v>
      </c>
      <c r="Y283" s="28">
        <f>RawSalesTable3[[#This Row],[Profit]]/RawSalesTable3[[#This Row],[Revenue]]</f>
        <v>0.47284295468653009</v>
      </c>
      <c r="Z283" s="27" t="str">
        <f>TEXT(RawSalesTable3[[#This Row],[Order_Date_Clean]],"MMM YYYY")</f>
        <v>Feb 2025</v>
      </c>
      <c r="AA283" s="27"/>
      <c r="AB283" s="27">
        <f t="shared" si="33"/>
        <v>0</v>
      </c>
      <c r="AC283" s="27">
        <f t="shared" si="34"/>
        <v>0</v>
      </c>
    </row>
    <row r="284" spans="1:29">
      <c r="A284" t="s">
        <v>380</v>
      </c>
      <c r="B284" s="3">
        <v>45721</v>
      </c>
      <c r="C284" t="s">
        <v>66</v>
      </c>
      <c r="D284" t="s">
        <v>62</v>
      </c>
      <c r="E284" t="s">
        <v>79</v>
      </c>
      <c r="F284" t="s">
        <v>115</v>
      </c>
      <c r="G284" s="6">
        <v>4</v>
      </c>
      <c r="H284" s="4">
        <v>61.68</v>
      </c>
      <c r="I284" s="4">
        <v>35.090000000000003</v>
      </c>
      <c r="J284" s="5">
        <v>0.1</v>
      </c>
      <c r="K284" s="6">
        <v>0</v>
      </c>
      <c r="L284" s="6">
        <v>3</v>
      </c>
      <c r="M284" t="s">
        <v>126</v>
      </c>
      <c r="N284" t="s">
        <v>69</v>
      </c>
      <c r="O284" t="s">
        <v>64</v>
      </c>
      <c r="P284" t="str">
        <f t="shared" si="28"/>
        <v>Individual</v>
      </c>
      <c r="Q284" t="str">
        <f t="shared" si="29"/>
        <v>South</v>
      </c>
      <c r="R284" t="str">
        <f>PROPER(TRIM(E284))</f>
        <v>Electronics</v>
      </c>
      <c r="S284" s="27">
        <f>IF(ISTEXT(B284),DATEVALUE(B284),B284)</f>
        <v>45721</v>
      </c>
      <c r="T284" s="27">
        <f>COUNTIF($A$2:$A$1986,A284)</f>
        <v>1</v>
      </c>
      <c r="U284" s="27" t="str">
        <f t="shared" si="30"/>
        <v>Wireless Headset</v>
      </c>
      <c r="V284" s="27">
        <f t="shared" si="31"/>
        <v>222.048</v>
      </c>
      <c r="W284" s="27">
        <f t="shared" si="32"/>
        <v>140.36000000000001</v>
      </c>
      <c r="X284" s="27">
        <f>RawSalesTable3[[#This Row],[Revenue]]-RawSalesTable3[[#This Row],[Total_Cost]]</f>
        <v>81.687999999999988</v>
      </c>
      <c r="Y284" s="28">
        <f>RawSalesTable3[[#This Row],[Profit]]/RawSalesTable3[[#This Row],[Revenue]]</f>
        <v>0.36788442138636684</v>
      </c>
      <c r="Z284" s="27" t="str">
        <f>TEXT(RawSalesTable3[[#This Row],[Order_Date_Clean]],"MMM YYYY")</f>
        <v>Mar 2025</v>
      </c>
      <c r="AA284" s="27"/>
      <c r="AB284" s="27">
        <f t="shared" si="33"/>
        <v>0</v>
      </c>
      <c r="AC284" s="27">
        <f t="shared" si="34"/>
        <v>0</v>
      </c>
    </row>
    <row r="285" spans="1:29">
      <c r="A285" t="s">
        <v>381</v>
      </c>
      <c r="B285" s="3">
        <v>45906</v>
      </c>
      <c r="C285" t="s">
        <v>82</v>
      </c>
      <c r="D285" t="s">
        <v>62</v>
      </c>
      <c r="E285" t="s">
        <v>79</v>
      </c>
      <c r="F285" t="s">
        <v>115</v>
      </c>
      <c r="G285" s="6">
        <v>1</v>
      </c>
      <c r="H285" s="4">
        <v>61.17</v>
      </c>
      <c r="I285" s="4">
        <v>33.21</v>
      </c>
      <c r="J285" s="5">
        <v>0.1</v>
      </c>
      <c r="K285" s="6">
        <v>0</v>
      </c>
      <c r="L285" s="6">
        <v>4</v>
      </c>
      <c r="M285" t="s">
        <v>58</v>
      </c>
      <c r="N285" t="s">
        <v>69</v>
      </c>
      <c r="O285" t="s">
        <v>60</v>
      </c>
      <c r="P285" t="str">
        <f t="shared" si="28"/>
        <v>Individual</v>
      </c>
      <c r="Q285" t="str">
        <f t="shared" si="29"/>
        <v>Midlands</v>
      </c>
      <c r="R285" t="str">
        <f>PROPER(TRIM(E285))</f>
        <v>Electronics</v>
      </c>
      <c r="S285" s="27">
        <f>IF(ISTEXT(B285),DATEVALUE(B285),B285)</f>
        <v>45906</v>
      </c>
      <c r="T285" s="27">
        <f>COUNTIF($A$2:$A$1986,A285)</f>
        <v>1</v>
      </c>
      <c r="U285" s="27" t="str">
        <f t="shared" si="30"/>
        <v>Wireless Headset</v>
      </c>
      <c r="V285" s="27">
        <f t="shared" si="31"/>
        <v>55.053000000000004</v>
      </c>
      <c r="W285" s="27">
        <f t="shared" si="32"/>
        <v>33.21</v>
      </c>
      <c r="X285" s="27">
        <f>RawSalesTable3[[#This Row],[Revenue]]-RawSalesTable3[[#This Row],[Total_Cost]]</f>
        <v>21.843000000000004</v>
      </c>
      <c r="Y285" s="28">
        <f>RawSalesTable3[[#This Row],[Profit]]/RawSalesTable3[[#This Row],[Revenue]]</f>
        <v>0.39676311917606671</v>
      </c>
      <c r="Z285" s="27" t="str">
        <f>TEXT(RawSalesTable3[[#This Row],[Order_Date_Clean]],"MMM YYYY")</f>
        <v>Sep 2025</v>
      </c>
      <c r="AA285" s="27"/>
      <c r="AB285" s="27">
        <f t="shared" si="33"/>
        <v>0</v>
      </c>
      <c r="AC285" s="27">
        <f t="shared" si="34"/>
        <v>0</v>
      </c>
    </row>
    <row r="286" spans="1:29">
      <c r="A286" t="s">
        <v>382</v>
      </c>
      <c r="B286" s="3">
        <v>45663</v>
      </c>
      <c r="C286" t="s">
        <v>78</v>
      </c>
      <c r="D286" t="s">
        <v>62</v>
      </c>
      <c r="E286" t="s">
        <v>67</v>
      </c>
      <c r="F286" t="s">
        <v>94</v>
      </c>
      <c r="G286" s="6">
        <v>1</v>
      </c>
      <c r="H286" s="4">
        <v>34.64</v>
      </c>
      <c r="I286" s="4">
        <v>17.18</v>
      </c>
      <c r="J286" s="5">
        <v>0.05</v>
      </c>
      <c r="K286" s="6">
        <v>0</v>
      </c>
      <c r="L286" s="6"/>
      <c r="M286" t="s">
        <v>58</v>
      </c>
      <c r="N286" t="s">
        <v>69</v>
      </c>
      <c r="O286" t="s">
        <v>64</v>
      </c>
      <c r="P286" t="str">
        <f t="shared" si="28"/>
        <v>Individual</v>
      </c>
      <c r="Q286" t="str">
        <f t="shared" si="29"/>
        <v>London</v>
      </c>
      <c r="R286" t="str">
        <f>PROPER(TRIM(E286))</f>
        <v>Office</v>
      </c>
      <c r="S286" s="27">
        <f>IF(ISTEXT(B286),DATEVALUE(B286),B286)</f>
        <v>45663</v>
      </c>
      <c r="T286" s="27">
        <f>COUNTIF($A$2:$A$1986,A286)</f>
        <v>1</v>
      </c>
      <c r="U286" s="27" t="str">
        <f t="shared" si="30"/>
        <v>Wireless Mouse</v>
      </c>
      <c r="V286" s="27">
        <f t="shared" si="31"/>
        <v>32.908000000000001</v>
      </c>
      <c r="W286" s="27">
        <f t="shared" si="32"/>
        <v>17.18</v>
      </c>
      <c r="X286" s="27">
        <f>RawSalesTable3[[#This Row],[Revenue]]-RawSalesTable3[[#This Row],[Total_Cost]]</f>
        <v>15.728000000000002</v>
      </c>
      <c r="Y286" s="28">
        <f>RawSalesTable3[[#This Row],[Profit]]/RawSalesTable3[[#This Row],[Revenue]]</f>
        <v>0.47793849519873588</v>
      </c>
      <c r="Z286" s="27" t="str">
        <f>TEXT(RawSalesTable3[[#This Row],[Order_Date_Clean]],"MMM YYYY")</f>
        <v>Jan 2025</v>
      </c>
      <c r="AA286" s="27"/>
      <c r="AB286" s="27">
        <f t="shared" si="33"/>
        <v>0</v>
      </c>
      <c r="AC286" s="27">
        <f t="shared" si="34"/>
        <v>0</v>
      </c>
    </row>
    <row r="287" spans="1:29">
      <c r="A287" t="s">
        <v>383</v>
      </c>
      <c r="B287" s="3">
        <v>45870</v>
      </c>
      <c r="C287" t="s">
        <v>82</v>
      </c>
      <c r="D287" t="s">
        <v>62</v>
      </c>
      <c r="E287" t="s">
        <v>67</v>
      </c>
      <c r="F287" t="s">
        <v>71</v>
      </c>
      <c r="G287" s="6">
        <v>2</v>
      </c>
      <c r="H287" s="4">
        <v>68.14</v>
      </c>
      <c r="I287" s="4">
        <v>38.43</v>
      </c>
      <c r="J287" s="5">
        <v>0</v>
      </c>
      <c r="K287" s="6">
        <v>1</v>
      </c>
      <c r="L287" s="6">
        <v>5</v>
      </c>
      <c r="M287" t="s">
        <v>58</v>
      </c>
      <c r="N287" t="s">
        <v>59</v>
      </c>
      <c r="O287" t="s">
        <v>60</v>
      </c>
      <c r="P287" t="str">
        <f t="shared" si="28"/>
        <v>Individual</v>
      </c>
      <c r="Q287" t="str">
        <f t="shared" si="29"/>
        <v>Midlands</v>
      </c>
      <c r="R287" t="str">
        <f>PROPER(TRIM(E287))</f>
        <v>Office</v>
      </c>
      <c r="S287" s="27">
        <f>IF(ISTEXT(B287),DATEVALUE(B287),B287)</f>
        <v>45870</v>
      </c>
      <c r="T287" s="27">
        <f>COUNTIF($A$2:$A$1986,A287)</f>
        <v>1</v>
      </c>
      <c r="U287" s="27" t="str">
        <f t="shared" si="30"/>
        <v>Ergonomic Keyboard</v>
      </c>
      <c r="V287" s="27">
        <f t="shared" si="31"/>
        <v>136.28</v>
      </c>
      <c r="W287" s="27">
        <f t="shared" si="32"/>
        <v>76.86</v>
      </c>
      <c r="X287" s="27">
        <f>RawSalesTable3[[#This Row],[Revenue]]-RawSalesTable3[[#This Row],[Total_Cost]]</f>
        <v>59.42</v>
      </c>
      <c r="Y287" s="28">
        <f>RawSalesTable3[[#This Row],[Profit]]/RawSalesTable3[[#This Row],[Revenue]]</f>
        <v>0.43601408864103319</v>
      </c>
      <c r="Z287" s="27" t="str">
        <f>TEXT(RawSalesTable3[[#This Row],[Order_Date_Clean]],"MMM YYYY")</f>
        <v>Aug 2025</v>
      </c>
      <c r="AA287" s="27"/>
      <c r="AB287" s="27">
        <f t="shared" si="33"/>
        <v>0</v>
      </c>
      <c r="AC287" s="27">
        <f t="shared" si="34"/>
        <v>0</v>
      </c>
    </row>
    <row r="288" spans="1:29">
      <c r="A288" t="s">
        <v>384</v>
      </c>
      <c r="B288" s="3">
        <v>45940</v>
      </c>
      <c r="C288" t="s">
        <v>78</v>
      </c>
      <c r="D288" t="s">
        <v>62</v>
      </c>
      <c r="E288" t="s">
        <v>67</v>
      </c>
      <c r="F288" t="s">
        <v>68</v>
      </c>
      <c r="G288" s="6">
        <v>1</v>
      </c>
      <c r="H288" s="4">
        <v>41.34</v>
      </c>
      <c r="I288" s="4">
        <v>19.149999999999999</v>
      </c>
      <c r="J288" s="5">
        <v>0.05</v>
      </c>
      <c r="K288" s="6">
        <v>5</v>
      </c>
      <c r="L288" s="6">
        <v>5</v>
      </c>
      <c r="M288" t="s">
        <v>58</v>
      </c>
      <c r="N288" t="s">
        <v>59</v>
      </c>
      <c r="O288" t="s">
        <v>64</v>
      </c>
      <c r="P288" t="str">
        <f t="shared" si="28"/>
        <v>Individual</v>
      </c>
      <c r="Q288" t="str">
        <f t="shared" si="29"/>
        <v>London</v>
      </c>
      <c r="R288" t="str">
        <f>PROPER(TRIM(E288))</f>
        <v>Office</v>
      </c>
      <c r="S288" s="27">
        <f>IF(ISTEXT(B288),DATEVALUE(B288),B288)</f>
        <v>45940</v>
      </c>
      <c r="T288" s="27">
        <f>COUNTIF($A$2:$A$1986,A288)</f>
        <v>1</v>
      </c>
      <c r="U288" s="27" t="str">
        <f t="shared" si="30"/>
        <v>Desk Lamp</v>
      </c>
      <c r="V288" s="27">
        <f t="shared" si="31"/>
        <v>39.273000000000003</v>
      </c>
      <c r="W288" s="27">
        <f t="shared" si="32"/>
        <v>19.149999999999999</v>
      </c>
      <c r="X288" s="27">
        <f>RawSalesTable3[[#This Row],[Revenue]]-RawSalesTable3[[#This Row],[Total_Cost]]</f>
        <v>20.123000000000005</v>
      </c>
      <c r="Y288" s="28">
        <f>RawSalesTable3[[#This Row],[Profit]]/RawSalesTable3[[#This Row],[Revenue]]</f>
        <v>0.51238764545616589</v>
      </c>
      <c r="Z288" s="27" t="str">
        <f>TEXT(RawSalesTable3[[#This Row],[Order_Date_Clean]],"MMM YYYY")</f>
        <v>Oct 2025</v>
      </c>
      <c r="AA288" s="27"/>
      <c r="AB288" s="27">
        <f t="shared" si="33"/>
        <v>0</v>
      </c>
      <c r="AC288" s="27">
        <f t="shared" si="34"/>
        <v>0</v>
      </c>
    </row>
    <row r="289" spans="1:33">
      <c r="A289" t="s">
        <v>385</v>
      </c>
      <c r="B289" s="3">
        <v>45838</v>
      </c>
      <c r="C289" t="s">
        <v>66</v>
      </c>
      <c r="D289" t="s">
        <v>62</v>
      </c>
      <c r="E289" t="s">
        <v>67</v>
      </c>
      <c r="F289" t="s">
        <v>107</v>
      </c>
      <c r="G289" s="6">
        <v>3</v>
      </c>
      <c r="H289" s="4">
        <v>44.62</v>
      </c>
      <c r="I289" s="4">
        <v>20.86</v>
      </c>
      <c r="J289" s="5">
        <v>0.05</v>
      </c>
      <c r="K289" s="6">
        <v>1</v>
      </c>
      <c r="L289" s="6">
        <v>4</v>
      </c>
      <c r="M289" t="s">
        <v>58</v>
      </c>
      <c r="N289" t="s">
        <v>69</v>
      </c>
      <c r="O289" t="s">
        <v>64</v>
      </c>
      <c r="P289" t="str">
        <f t="shared" si="28"/>
        <v>Individual</v>
      </c>
      <c r="Q289" t="str">
        <f t="shared" si="29"/>
        <v>South</v>
      </c>
      <c r="R289" t="str">
        <f>PROPER(TRIM(E289))</f>
        <v>Office</v>
      </c>
      <c r="S289" s="27">
        <f>IF(ISTEXT(B289),DATEVALUE(B289),B289)</f>
        <v>45838</v>
      </c>
      <c r="T289" s="27">
        <f>COUNTIF($A$2:$A$1986,A289)</f>
        <v>1</v>
      </c>
      <c r="U289" s="27" t="str">
        <f t="shared" si="30"/>
        <v>Laptop Stand</v>
      </c>
      <c r="V289" s="27">
        <f t="shared" si="31"/>
        <v>127.16699999999997</v>
      </c>
      <c r="W289" s="27">
        <f t="shared" si="32"/>
        <v>62.58</v>
      </c>
      <c r="X289" s="27">
        <f>RawSalesTable3[[#This Row],[Revenue]]-RawSalesTable3[[#This Row],[Total_Cost]]</f>
        <v>64.586999999999975</v>
      </c>
      <c r="Y289" s="28">
        <f>RawSalesTable3[[#This Row],[Profit]]/RawSalesTable3[[#This Row],[Revenue]]</f>
        <v>0.50789119818820916</v>
      </c>
      <c r="Z289" s="27" t="str">
        <f>TEXT(RawSalesTable3[[#This Row],[Order_Date_Clean]],"MMM YYYY")</f>
        <v>Jun 2025</v>
      </c>
      <c r="AA289" s="27"/>
      <c r="AB289" s="27">
        <f t="shared" si="33"/>
        <v>0</v>
      </c>
      <c r="AC289" s="27">
        <f t="shared" si="34"/>
        <v>0</v>
      </c>
    </row>
    <row r="290" spans="1:33">
      <c r="A290" t="s">
        <v>386</v>
      </c>
      <c r="B290" s="3">
        <v>46018</v>
      </c>
      <c r="C290" t="s">
        <v>66</v>
      </c>
      <c r="D290" t="s">
        <v>62</v>
      </c>
      <c r="E290" t="s">
        <v>75</v>
      </c>
      <c r="F290" t="s">
        <v>110</v>
      </c>
      <c r="G290" s="6">
        <v>3</v>
      </c>
      <c r="H290" s="4">
        <v>162.84</v>
      </c>
      <c r="I290" s="4">
        <v>100.9</v>
      </c>
      <c r="J290" s="5">
        <v>0.1</v>
      </c>
      <c r="K290" s="6">
        <v>1</v>
      </c>
      <c r="L290" s="6">
        <v>4</v>
      </c>
      <c r="M290" t="s">
        <v>58</v>
      </c>
      <c r="N290" t="s">
        <v>69</v>
      </c>
      <c r="O290" t="s">
        <v>64</v>
      </c>
      <c r="P290" t="str">
        <f t="shared" si="28"/>
        <v>Individual</v>
      </c>
      <c r="Q290" t="str">
        <f t="shared" si="29"/>
        <v>South</v>
      </c>
      <c r="R290" t="str">
        <f>PROPER(TRIM(E290))</f>
        <v>Furniture</v>
      </c>
      <c r="S290" s="27">
        <f>IF(ISTEXT(B290),DATEVALUE(B290),B290)</f>
        <v>46018</v>
      </c>
      <c r="T290" s="27">
        <f>COUNTIF($A$2:$A$1986,A290)</f>
        <v>1</v>
      </c>
      <c r="U290" s="27" t="str">
        <f t="shared" si="30"/>
        <v>Storage Cabinet</v>
      </c>
      <c r="V290" s="27">
        <f t="shared" si="31"/>
        <v>439.66800000000001</v>
      </c>
      <c r="W290" s="27">
        <f t="shared" si="32"/>
        <v>302.70000000000005</v>
      </c>
      <c r="X290" s="27">
        <f>RawSalesTable3[[#This Row],[Revenue]]-RawSalesTable3[[#This Row],[Total_Cost]]</f>
        <v>136.96799999999996</v>
      </c>
      <c r="Y290" s="28">
        <f>RawSalesTable3[[#This Row],[Profit]]/RawSalesTable3[[#This Row],[Revenue]]</f>
        <v>0.31152596959523993</v>
      </c>
      <c r="Z290" s="27" t="str">
        <f>TEXT(RawSalesTable3[[#This Row],[Order_Date_Clean]],"MMM YYYY")</f>
        <v>Dec 2025</v>
      </c>
      <c r="AA290" s="27"/>
      <c r="AB290" s="27">
        <f t="shared" si="33"/>
        <v>0</v>
      </c>
      <c r="AC290" s="27">
        <f t="shared" si="34"/>
        <v>0</v>
      </c>
    </row>
    <row r="291" spans="1:33">
      <c r="A291" t="s">
        <v>387</v>
      </c>
      <c r="B291" s="3">
        <v>45753</v>
      </c>
      <c r="C291" t="s">
        <v>66</v>
      </c>
      <c r="D291" t="s">
        <v>62</v>
      </c>
      <c r="E291" t="s">
        <v>75</v>
      </c>
      <c r="F291" t="s">
        <v>97</v>
      </c>
      <c r="G291" s="6">
        <v>2</v>
      </c>
      <c r="H291" s="4">
        <v>92.11</v>
      </c>
      <c r="I291" s="4">
        <v>55.13</v>
      </c>
      <c r="J291" s="5">
        <v>0.05</v>
      </c>
      <c r="K291" s="6">
        <v>6</v>
      </c>
      <c r="L291" s="6">
        <v>4</v>
      </c>
      <c r="M291" t="s">
        <v>58</v>
      </c>
      <c r="N291" t="s">
        <v>69</v>
      </c>
      <c r="O291" t="s">
        <v>64</v>
      </c>
      <c r="P291" t="str">
        <f t="shared" si="28"/>
        <v>Individual</v>
      </c>
      <c r="Q291" t="str">
        <f t="shared" si="29"/>
        <v>South</v>
      </c>
      <c r="R291" t="str">
        <f>PROPER(TRIM(E291))</f>
        <v>Furniture</v>
      </c>
      <c r="S291" s="27">
        <f>IF(ISTEXT(B291),DATEVALUE(B291),B291)</f>
        <v>45753</v>
      </c>
      <c r="T291" s="27">
        <f>COUNTIF($A$2:$A$1986,A291)</f>
        <v>1</v>
      </c>
      <c r="U291" s="27" t="str">
        <f t="shared" si="30"/>
        <v>Side Table</v>
      </c>
      <c r="V291" s="27">
        <f t="shared" si="31"/>
        <v>175.00899999999999</v>
      </c>
      <c r="W291" s="27">
        <f t="shared" si="32"/>
        <v>110.26</v>
      </c>
      <c r="X291" s="27">
        <f>RawSalesTable3[[#This Row],[Revenue]]-RawSalesTable3[[#This Row],[Total_Cost]]</f>
        <v>64.748999999999981</v>
      </c>
      <c r="Y291" s="28">
        <f>RawSalesTable3[[#This Row],[Profit]]/RawSalesTable3[[#This Row],[Revenue]]</f>
        <v>0.36997525841528139</v>
      </c>
      <c r="Z291" s="27" t="str">
        <f>TEXT(RawSalesTable3[[#This Row],[Order_Date_Clean]],"MMM YYYY")</f>
        <v>Apr 2025</v>
      </c>
      <c r="AA291" s="27"/>
      <c r="AB291" s="27">
        <f t="shared" si="33"/>
        <v>0</v>
      </c>
      <c r="AC291" s="27">
        <f t="shared" si="34"/>
        <v>0</v>
      </c>
    </row>
    <row r="292" spans="1:33">
      <c r="A292" t="s">
        <v>388</v>
      </c>
      <c r="B292" s="3">
        <v>45924</v>
      </c>
      <c r="C292" t="s">
        <v>78</v>
      </c>
      <c r="D292" t="s">
        <v>129</v>
      </c>
      <c r="E292" t="s">
        <v>56</v>
      </c>
      <c r="F292" t="s">
        <v>83</v>
      </c>
      <c r="G292" s="6">
        <v>3</v>
      </c>
      <c r="H292" s="4">
        <v>64.61</v>
      </c>
      <c r="I292" s="4">
        <v>34.94</v>
      </c>
      <c r="J292" s="5">
        <v>0.05</v>
      </c>
      <c r="K292" s="6">
        <v>5</v>
      </c>
      <c r="L292" s="6">
        <v>4</v>
      </c>
      <c r="M292" t="s">
        <v>58</v>
      </c>
      <c r="N292" t="s">
        <v>87</v>
      </c>
      <c r="O292" t="s">
        <v>64</v>
      </c>
      <c r="P292" t="str">
        <f t="shared" si="28"/>
        <v>Corporate</v>
      </c>
      <c r="Q292" t="str">
        <f t="shared" si="29"/>
        <v>London</v>
      </c>
      <c r="R292" t="str">
        <f>PROPER(TRIM(E292))</f>
        <v>Home &amp; Kitchen</v>
      </c>
      <c r="S292" s="27">
        <f>IF(ISTEXT(B292),DATEVALUE(B292),B292)</f>
        <v>45924</v>
      </c>
      <c r="T292" s="27">
        <f>COUNTIF($A$2:$A$1986,A292)</f>
        <v>1</v>
      </c>
      <c r="U292" s="27" t="str">
        <f t="shared" si="30"/>
        <v>Blender</v>
      </c>
      <c r="V292" s="27">
        <f t="shared" si="31"/>
        <v>184.13849999999996</v>
      </c>
      <c r="W292" s="27">
        <f t="shared" si="32"/>
        <v>104.82</v>
      </c>
      <c r="X292" s="27">
        <f>RawSalesTable3[[#This Row],[Revenue]]-RawSalesTable3[[#This Row],[Total_Cost]]</f>
        <v>79.318499999999972</v>
      </c>
      <c r="Y292" s="28">
        <f>RawSalesTable3[[#This Row],[Profit]]/RawSalesTable3[[#This Row],[Revenue]]</f>
        <v>0.430754567893189</v>
      </c>
      <c r="Z292" s="27" t="str">
        <f>TEXT(RawSalesTable3[[#This Row],[Order_Date_Clean]],"MMM YYYY")</f>
        <v>Sep 2025</v>
      </c>
      <c r="AA292" s="27"/>
      <c r="AB292" s="27">
        <f t="shared" si="33"/>
        <v>0</v>
      </c>
      <c r="AC292" s="27">
        <f t="shared" si="34"/>
        <v>0</v>
      </c>
    </row>
    <row r="293" spans="1:33">
      <c r="A293" t="s">
        <v>389</v>
      </c>
      <c r="B293" s="3">
        <v>45733</v>
      </c>
      <c r="C293" t="s">
        <v>78</v>
      </c>
      <c r="D293" t="s">
        <v>62</v>
      </c>
      <c r="E293" t="s">
        <v>67</v>
      </c>
      <c r="F293" t="s">
        <v>68</v>
      </c>
      <c r="G293" s="6">
        <v>3</v>
      </c>
      <c r="H293" s="4">
        <v>40.659999999999997</v>
      </c>
      <c r="I293" s="4">
        <v>18.489999999999998</v>
      </c>
      <c r="J293" s="5">
        <v>0.1</v>
      </c>
      <c r="K293" s="6">
        <v>2</v>
      </c>
      <c r="L293" s="6">
        <v>5</v>
      </c>
      <c r="M293" t="s">
        <v>58</v>
      </c>
      <c r="N293" t="s">
        <v>59</v>
      </c>
      <c r="O293" t="s">
        <v>64</v>
      </c>
      <c r="P293" t="str">
        <f t="shared" si="28"/>
        <v>Individual</v>
      </c>
      <c r="Q293" t="str">
        <f t="shared" si="29"/>
        <v>London</v>
      </c>
      <c r="R293" t="str">
        <f>PROPER(TRIM(E293))</f>
        <v>Office</v>
      </c>
      <c r="S293" s="27">
        <f>IF(ISTEXT(B293),DATEVALUE(B293),B293)</f>
        <v>45733</v>
      </c>
      <c r="T293" s="27">
        <f>COUNTIF($A$2:$A$1986,A293)</f>
        <v>1</v>
      </c>
      <c r="U293" s="27" t="str">
        <f t="shared" si="30"/>
        <v>Desk Lamp</v>
      </c>
      <c r="V293" s="27">
        <f t="shared" si="31"/>
        <v>109.782</v>
      </c>
      <c r="W293" s="27">
        <f t="shared" si="32"/>
        <v>55.47</v>
      </c>
      <c r="X293" s="27">
        <f>RawSalesTable3[[#This Row],[Revenue]]-RawSalesTable3[[#This Row],[Total_Cost]]</f>
        <v>54.311999999999998</v>
      </c>
      <c r="Y293" s="28">
        <f>RawSalesTable3[[#This Row],[Profit]]/RawSalesTable3[[#This Row],[Revenue]]</f>
        <v>0.49472591135158767</v>
      </c>
      <c r="Z293" s="27" t="str">
        <f>TEXT(RawSalesTable3[[#This Row],[Order_Date_Clean]],"MMM YYYY")</f>
        <v>Mar 2025</v>
      </c>
      <c r="AA293" s="27"/>
      <c r="AB293" s="27">
        <f t="shared" si="33"/>
        <v>0</v>
      </c>
      <c r="AC293" s="27">
        <f t="shared" si="34"/>
        <v>0</v>
      </c>
    </row>
    <row r="294" spans="1:33">
      <c r="A294" t="s">
        <v>390</v>
      </c>
      <c r="B294" s="3">
        <v>45963</v>
      </c>
      <c r="C294" t="s">
        <v>54</v>
      </c>
      <c r="D294" t="s">
        <v>62</v>
      </c>
      <c r="E294" t="s">
        <v>75</v>
      </c>
      <c r="F294" t="s">
        <v>146</v>
      </c>
      <c r="G294" s="6">
        <v>2</v>
      </c>
      <c r="H294" s="4">
        <v>179.03</v>
      </c>
      <c r="I294" s="4">
        <v>119.63</v>
      </c>
      <c r="J294" s="5">
        <v>0.05</v>
      </c>
      <c r="K294" s="6">
        <v>8</v>
      </c>
      <c r="L294" s="6">
        <v>4</v>
      </c>
      <c r="M294" t="s">
        <v>58</v>
      </c>
      <c r="N294" t="s">
        <v>59</v>
      </c>
      <c r="O294" t="s">
        <v>64</v>
      </c>
      <c r="P294" t="str">
        <f t="shared" si="28"/>
        <v>Individual</v>
      </c>
      <c r="Q294" t="str">
        <f t="shared" si="29"/>
        <v>North</v>
      </c>
      <c r="R294" t="str">
        <f>PROPER(TRIM(E294))</f>
        <v>Furniture</v>
      </c>
      <c r="S294" s="27">
        <f>IF(ISTEXT(B294),DATEVALUE(B294),B294)</f>
        <v>45963</v>
      </c>
      <c r="T294" s="27">
        <f>COUNTIF($A$2:$A$1986,A294)</f>
        <v>1</v>
      </c>
      <c r="U294" s="27" t="str">
        <f t="shared" si="30"/>
        <v>Office Chair</v>
      </c>
      <c r="V294" s="27">
        <f t="shared" si="31"/>
        <v>340.15699999999998</v>
      </c>
      <c r="W294" s="27">
        <f t="shared" si="32"/>
        <v>239.26</v>
      </c>
      <c r="X294" s="27">
        <f>RawSalesTable3[[#This Row],[Revenue]]-RawSalesTable3[[#This Row],[Total_Cost]]</f>
        <v>100.89699999999999</v>
      </c>
      <c r="Y294" s="28">
        <f>RawSalesTable3[[#This Row],[Profit]]/RawSalesTable3[[#This Row],[Revenue]]</f>
        <v>0.29661891420726311</v>
      </c>
      <c r="Z294" s="27" t="str">
        <f>TEXT(RawSalesTable3[[#This Row],[Order_Date_Clean]],"MMM YYYY")</f>
        <v>Nov 2025</v>
      </c>
      <c r="AA294" s="27"/>
      <c r="AB294" s="27">
        <f t="shared" si="33"/>
        <v>0</v>
      </c>
      <c r="AC294" s="27">
        <f t="shared" si="34"/>
        <v>0</v>
      </c>
    </row>
    <row r="295" spans="1:33">
      <c r="A295" t="s">
        <v>391</v>
      </c>
      <c r="B295" s="3">
        <v>45772</v>
      </c>
      <c r="C295" t="s">
        <v>66</v>
      </c>
      <c r="D295" t="s">
        <v>62</v>
      </c>
      <c r="E295" t="s">
        <v>99</v>
      </c>
      <c r="F295" t="s">
        <v>63</v>
      </c>
      <c r="G295" s="6">
        <v>3</v>
      </c>
      <c r="H295" s="4">
        <v>41.41</v>
      </c>
      <c r="I295" s="4">
        <v>20.78</v>
      </c>
      <c r="J295" s="5">
        <v>0.1</v>
      </c>
      <c r="K295" s="6">
        <v>3</v>
      </c>
      <c r="L295" s="6">
        <v>5</v>
      </c>
      <c r="M295" t="s">
        <v>58</v>
      </c>
      <c r="N295" t="s">
        <v>59</v>
      </c>
      <c r="O295" t="s">
        <v>64</v>
      </c>
      <c r="P295" t="str">
        <f t="shared" si="28"/>
        <v>Individual</v>
      </c>
      <c r="Q295" t="str">
        <f t="shared" si="29"/>
        <v>South</v>
      </c>
      <c r="R295" t="str">
        <f>PROPER(TRIM(E295))</f>
        <v>Home &amp; Kitchen</v>
      </c>
      <c r="S295" s="27">
        <f>IF(ISTEXT(B295),DATEVALUE(B295),B295)</f>
        <v>45772</v>
      </c>
      <c r="T295" s="27">
        <f>COUNTIF($A$2:$A$1986,A295)</f>
        <v>1</v>
      </c>
      <c r="U295" s="27" t="str">
        <f t="shared" si="30"/>
        <v>Electric Kettle</v>
      </c>
      <c r="V295" s="27">
        <f t="shared" si="31"/>
        <v>111.80699999999999</v>
      </c>
      <c r="W295" s="27">
        <f t="shared" si="32"/>
        <v>62.34</v>
      </c>
      <c r="X295" s="27">
        <f>RawSalesTable3[[#This Row],[Revenue]]-RawSalesTable3[[#This Row],[Total_Cost]]</f>
        <v>49.466999999999985</v>
      </c>
      <c r="Y295" s="28">
        <f>RawSalesTable3[[#This Row],[Profit]]/RawSalesTable3[[#This Row],[Revenue]]</f>
        <v>0.44243204808285697</v>
      </c>
      <c r="Z295" s="27" t="str">
        <f>TEXT(RawSalesTable3[[#This Row],[Order_Date_Clean]],"MMM YYYY")</f>
        <v>Apr 2025</v>
      </c>
      <c r="AA295" s="27"/>
      <c r="AB295" s="27">
        <f t="shared" si="33"/>
        <v>0</v>
      </c>
      <c r="AC295" s="27">
        <f t="shared" si="34"/>
        <v>0</v>
      </c>
    </row>
    <row r="296" spans="1:33">
      <c r="A296" t="s">
        <v>392</v>
      </c>
      <c r="B296" s="3">
        <v>45717</v>
      </c>
      <c r="C296" t="s">
        <v>54</v>
      </c>
      <c r="D296" t="s">
        <v>62</v>
      </c>
      <c r="E296" t="s">
        <v>67</v>
      </c>
      <c r="F296" t="s">
        <v>71</v>
      </c>
      <c r="G296" s="6">
        <v>1</v>
      </c>
      <c r="H296" s="4">
        <v>70.05</v>
      </c>
      <c r="I296" s="4">
        <v>37.409999999999997</v>
      </c>
      <c r="J296" s="5">
        <v>0</v>
      </c>
      <c r="K296" s="6">
        <v>2</v>
      </c>
      <c r="L296" s="6">
        <v>5</v>
      </c>
      <c r="M296" t="s">
        <v>58</v>
      </c>
      <c r="N296" t="s">
        <v>59</v>
      </c>
      <c r="O296" t="s">
        <v>64</v>
      </c>
      <c r="P296" t="str">
        <f t="shared" si="28"/>
        <v>Individual</v>
      </c>
      <c r="Q296" t="str">
        <f t="shared" si="29"/>
        <v>North</v>
      </c>
      <c r="R296" t="str">
        <f>PROPER(TRIM(E296))</f>
        <v>Office</v>
      </c>
      <c r="S296" s="27">
        <f>IF(ISTEXT(B296),DATEVALUE(B296),B296)</f>
        <v>45717</v>
      </c>
      <c r="T296" s="27">
        <f>COUNTIF($A$2:$A$1986,A296)</f>
        <v>1</v>
      </c>
      <c r="U296" s="27" t="str">
        <f t="shared" si="30"/>
        <v>Ergonomic Keyboard</v>
      </c>
      <c r="V296" s="27">
        <f t="shared" si="31"/>
        <v>70.05</v>
      </c>
      <c r="W296" s="27">
        <f t="shared" si="32"/>
        <v>37.409999999999997</v>
      </c>
      <c r="X296" s="27">
        <f>RawSalesTable3[[#This Row],[Revenue]]-RawSalesTable3[[#This Row],[Total_Cost]]</f>
        <v>32.64</v>
      </c>
      <c r="Y296" s="28">
        <f>RawSalesTable3[[#This Row],[Profit]]/RawSalesTable3[[#This Row],[Revenue]]</f>
        <v>0.46595289079229124</v>
      </c>
      <c r="Z296" s="27" t="str">
        <f>TEXT(RawSalesTable3[[#This Row],[Order_Date_Clean]],"MMM YYYY")</f>
        <v>Mar 2025</v>
      </c>
      <c r="AA296" s="27"/>
      <c r="AB296" s="27">
        <f t="shared" si="33"/>
        <v>0</v>
      </c>
      <c r="AC296" s="27">
        <f t="shared" si="34"/>
        <v>0</v>
      </c>
      <c r="AG296">
        <f>SUBTOTAL(101,$L$2:$L$1986)</f>
        <v>4.153493115757267</v>
      </c>
    </row>
    <row r="297" spans="1:33">
      <c r="A297" t="s">
        <v>393</v>
      </c>
      <c r="B297" s="3">
        <v>45836</v>
      </c>
      <c r="C297" t="s">
        <v>54</v>
      </c>
      <c r="D297" t="s">
        <v>62</v>
      </c>
      <c r="E297" t="s">
        <v>67</v>
      </c>
      <c r="F297" t="s">
        <v>107</v>
      </c>
      <c r="G297" s="6">
        <v>1</v>
      </c>
      <c r="H297" s="4">
        <v>45.02</v>
      </c>
      <c r="I297" s="4">
        <v>21.17</v>
      </c>
      <c r="J297" s="5">
        <v>0.1</v>
      </c>
      <c r="K297" s="6">
        <v>5</v>
      </c>
      <c r="L297" s="6">
        <v>5</v>
      </c>
      <c r="M297" t="s">
        <v>58</v>
      </c>
      <c r="N297" t="s">
        <v>87</v>
      </c>
      <c r="O297" t="s">
        <v>64</v>
      </c>
      <c r="P297" t="str">
        <f t="shared" si="28"/>
        <v>Individual</v>
      </c>
      <c r="Q297" t="str">
        <f t="shared" si="29"/>
        <v>North</v>
      </c>
      <c r="R297" t="str">
        <f>PROPER(TRIM(E297))</f>
        <v>Office</v>
      </c>
      <c r="S297" s="27">
        <f>IF(ISTEXT(B297),DATEVALUE(B297),B297)</f>
        <v>45836</v>
      </c>
      <c r="T297" s="27">
        <f>COUNTIF($A$2:$A$1986,A297)</f>
        <v>1</v>
      </c>
      <c r="U297" s="27" t="str">
        <f t="shared" si="30"/>
        <v>Laptop Stand</v>
      </c>
      <c r="V297" s="27">
        <f t="shared" si="31"/>
        <v>40.518000000000001</v>
      </c>
      <c r="W297" s="27">
        <f t="shared" si="32"/>
        <v>21.17</v>
      </c>
      <c r="X297" s="27">
        <f>RawSalesTable3[[#This Row],[Revenue]]-RawSalesTable3[[#This Row],[Total_Cost]]</f>
        <v>19.347999999999999</v>
      </c>
      <c r="Y297" s="28">
        <f>RawSalesTable3[[#This Row],[Profit]]/RawSalesTable3[[#This Row],[Revenue]]</f>
        <v>0.47751616565477067</v>
      </c>
      <c r="Z297" s="27" t="str">
        <f>TEXT(RawSalesTable3[[#This Row],[Order_Date_Clean]],"MMM YYYY")</f>
        <v>Jun 2025</v>
      </c>
      <c r="AA297" s="27"/>
      <c r="AB297" s="27">
        <f t="shared" si="33"/>
        <v>0</v>
      </c>
      <c r="AC297" s="27">
        <f t="shared" si="34"/>
        <v>0</v>
      </c>
    </row>
    <row r="298" spans="1:33">
      <c r="A298" t="s">
        <v>394</v>
      </c>
      <c r="B298" s="3">
        <v>45861</v>
      </c>
      <c r="C298" t="s">
        <v>66</v>
      </c>
      <c r="D298" t="s">
        <v>62</v>
      </c>
      <c r="E298" t="s">
        <v>79</v>
      </c>
      <c r="F298" t="s">
        <v>115</v>
      </c>
      <c r="G298" s="6">
        <v>1</v>
      </c>
      <c r="H298" s="4">
        <v>61.79</v>
      </c>
      <c r="I298" s="4">
        <v>33.19</v>
      </c>
      <c r="J298" s="5">
        <v>0.1</v>
      </c>
      <c r="K298" s="6">
        <v>2</v>
      </c>
      <c r="L298" s="6">
        <v>4</v>
      </c>
      <c r="M298" t="s">
        <v>58</v>
      </c>
      <c r="N298" t="s">
        <v>59</v>
      </c>
      <c r="O298" t="s">
        <v>64</v>
      </c>
      <c r="P298" t="str">
        <f t="shared" si="28"/>
        <v>Individual</v>
      </c>
      <c r="Q298" t="str">
        <f t="shared" si="29"/>
        <v>South</v>
      </c>
      <c r="R298" t="str">
        <f>PROPER(TRIM(E298))</f>
        <v>Electronics</v>
      </c>
      <c r="S298" s="27">
        <f>IF(ISTEXT(B298),DATEVALUE(B298),B298)</f>
        <v>45861</v>
      </c>
      <c r="T298" s="27">
        <f>COUNTIF($A$2:$A$1986,A298)</f>
        <v>1</v>
      </c>
      <c r="U298" s="27" t="str">
        <f t="shared" si="30"/>
        <v>Wireless Headset</v>
      </c>
      <c r="V298" s="27">
        <f t="shared" si="31"/>
        <v>55.610999999999997</v>
      </c>
      <c r="W298" s="27">
        <f t="shared" si="32"/>
        <v>33.19</v>
      </c>
      <c r="X298" s="27">
        <f>RawSalesTable3[[#This Row],[Revenue]]-RawSalesTable3[[#This Row],[Total_Cost]]</f>
        <v>22.420999999999999</v>
      </c>
      <c r="Y298" s="28">
        <f>RawSalesTable3[[#This Row],[Profit]]/RawSalesTable3[[#This Row],[Revenue]]</f>
        <v>0.40317563072054091</v>
      </c>
      <c r="Z298" s="27" t="str">
        <f>TEXT(RawSalesTable3[[#This Row],[Order_Date_Clean]],"MMM YYYY")</f>
        <v>Jul 2025</v>
      </c>
      <c r="AA298" s="27"/>
      <c r="AB298" s="27">
        <f t="shared" si="33"/>
        <v>0</v>
      </c>
      <c r="AC298" s="27">
        <f t="shared" si="34"/>
        <v>0</v>
      </c>
    </row>
    <row r="299" spans="1:33">
      <c r="A299" t="s">
        <v>395</v>
      </c>
      <c r="B299" s="3">
        <v>45889</v>
      </c>
      <c r="C299" t="s">
        <v>78</v>
      </c>
      <c r="D299" t="s">
        <v>62</v>
      </c>
      <c r="E299" t="s">
        <v>67</v>
      </c>
      <c r="F299" t="s">
        <v>68</v>
      </c>
      <c r="G299" s="6">
        <v>2</v>
      </c>
      <c r="H299" s="4">
        <v>40.26</v>
      </c>
      <c r="I299" s="4">
        <v>18.82</v>
      </c>
      <c r="J299" s="5">
        <v>0.05</v>
      </c>
      <c r="K299" s="6">
        <v>4</v>
      </c>
      <c r="L299" s="6">
        <v>4</v>
      </c>
      <c r="M299" t="s">
        <v>126</v>
      </c>
      <c r="N299" t="s">
        <v>87</v>
      </c>
      <c r="O299" t="s">
        <v>64</v>
      </c>
      <c r="P299" t="str">
        <f t="shared" si="28"/>
        <v>Individual</v>
      </c>
      <c r="Q299" t="str">
        <f t="shared" si="29"/>
        <v>London</v>
      </c>
      <c r="R299" t="str">
        <f>PROPER(TRIM(E299))</f>
        <v>Office</v>
      </c>
      <c r="S299" s="27">
        <f>IF(ISTEXT(B299),DATEVALUE(B299),B299)</f>
        <v>45889</v>
      </c>
      <c r="T299" s="27">
        <f>COUNTIF($A$2:$A$1986,A299)</f>
        <v>1</v>
      </c>
      <c r="U299" s="27" t="str">
        <f t="shared" si="30"/>
        <v>Desk Lamp</v>
      </c>
      <c r="V299" s="27">
        <f t="shared" si="31"/>
        <v>76.493999999999986</v>
      </c>
      <c r="W299" s="27">
        <f t="shared" si="32"/>
        <v>37.64</v>
      </c>
      <c r="X299" s="27">
        <f>RawSalesTable3[[#This Row],[Revenue]]-RawSalesTable3[[#This Row],[Total_Cost]]</f>
        <v>38.853999999999985</v>
      </c>
      <c r="Y299" s="28">
        <f>RawSalesTable3[[#This Row],[Profit]]/RawSalesTable3[[#This Row],[Revenue]]</f>
        <v>0.5079352628964362</v>
      </c>
      <c r="Z299" s="27" t="str">
        <f>TEXT(RawSalesTable3[[#This Row],[Order_Date_Clean]],"MMM YYYY")</f>
        <v>Aug 2025</v>
      </c>
      <c r="AA299" s="27"/>
      <c r="AB299" s="27">
        <f t="shared" si="33"/>
        <v>0</v>
      </c>
      <c r="AC299" s="27">
        <f t="shared" si="34"/>
        <v>0</v>
      </c>
    </row>
    <row r="300" spans="1:33">
      <c r="A300" t="s">
        <v>396</v>
      </c>
      <c r="B300" s="3">
        <v>45993</v>
      </c>
      <c r="C300" t="s">
        <v>82</v>
      </c>
      <c r="D300" t="s">
        <v>55</v>
      </c>
      <c r="E300" t="s">
        <v>79</v>
      </c>
      <c r="F300" t="s">
        <v>85</v>
      </c>
      <c r="G300" s="6">
        <v>4</v>
      </c>
      <c r="H300" s="4">
        <v>130.33000000000001</v>
      </c>
      <c r="I300" s="4">
        <v>87.7</v>
      </c>
      <c r="J300" s="5">
        <v>0</v>
      </c>
      <c r="K300" s="6">
        <v>5</v>
      </c>
      <c r="L300" s="6">
        <v>4</v>
      </c>
      <c r="M300" t="s">
        <v>58</v>
      </c>
      <c r="N300" t="s">
        <v>59</v>
      </c>
      <c r="O300" t="s">
        <v>64</v>
      </c>
      <c r="P300" t="str">
        <f t="shared" si="28"/>
        <v>Small Business</v>
      </c>
      <c r="Q300" t="str">
        <f t="shared" si="29"/>
        <v>Midlands</v>
      </c>
      <c r="R300" t="str">
        <f>PROPER(TRIM(E300))</f>
        <v>Electronics</v>
      </c>
      <c r="S300" s="27">
        <f>IF(ISTEXT(B300),DATEVALUE(B300),B300)</f>
        <v>45993</v>
      </c>
      <c r="T300" s="27">
        <f>COUNTIF($A$2:$A$1986,A300)</f>
        <v>1</v>
      </c>
      <c r="U300" s="27" t="str">
        <f t="shared" si="30"/>
        <v>SmartHome Hub</v>
      </c>
      <c r="V300" s="27">
        <f t="shared" si="31"/>
        <v>521.32000000000005</v>
      </c>
      <c r="W300" s="27">
        <f t="shared" si="32"/>
        <v>350.8</v>
      </c>
      <c r="X300" s="27">
        <f>RawSalesTable3[[#This Row],[Revenue]]-RawSalesTable3[[#This Row],[Total_Cost]]</f>
        <v>170.52000000000004</v>
      </c>
      <c r="Y300" s="28">
        <f>RawSalesTable3[[#This Row],[Profit]]/RawSalesTable3[[#This Row],[Revenue]]</f>
        <v>0.3270927645208318</v>
      </c>
      <c r="Z300" s="27" t="str">
        <f>TEXT(RawSalesTable3[[#This Row],[Order_Date_Clean]],"MMM YYYY")</f>
        <v>Dec 2025</v>
      </c>
      <c r="AA300" s="27"/>
      <c r="AB300" s="27">
        <f t="shared" si="33"/>
        <v>0</v>
      </c>
      <c r="AC300" s="27">
        <f t="shared" si="34"/>
        <v>0</v>
      </c>
    </row>
    <row r="301" spans="1:33">
      <c r="A301" t="s">
        <v>397</v>
      </c>
      <c r="B301" s="3">
        <v>45721</v>
      </c>
      <c r="C301" t="s">
        <v>66</v>
      </c>
      <c r="D301" t="s">
        <v>62</v>
      </c>
      <c r="E301" t="s">
        <v>75</v>
      </c>
      <c r="F301" t="s">
        <v>146</v>
      </c>
      <c r="G301" s="6">
        <v>1</v>
      </c>
      <c r="H301" s="4">
        <v>181.14</v>
      </c>
      <c r="I301" s="4">
        <v>118.65</v>
      </c>
      <c r="J301" s="5">
        <v>0.05</v>
      </c>
      <c r="K301" s="6">
        <v>6</v>
      </c>
      <c r="L301" s="6">
        <v>4</v>
      </c>
      <c r="M301" t="s">
        <v>58</v>
      </c>
      <c r="N301" t="s">
        <v>69</v>
      </c>
      <c r="O301" t="s">
        <v>64</v>
      </c>
      <c r="P301" t="str">
        <f t="shared" si="28"/>
        <v>Individual</v>
      </c>
      <c r="Q301" t="str">
        <f t="shared" si="29"/>
        <v>South</v>
      </c>
      <c r="R301" t="str">
        <f>PROPER(TRIM(E301))</f>
        <v>Furniture</v>
      </c>
      <c r="S301" s="27">
        <f>IF(ISTEXT(B301),DATEVALUE(B301),B301)</f>
        <v>45721</v>
      </c>
      <c r="T301" s="27">
        <f>COUNTIF($A$2:$A$1986,A301)</f>
        <v>1</v>
      </c>
      <c r="U301" s="27" t="str">
        <f t="shared" si="30"/>
        <v>Office Chair</v>
      </c>
      <c r="V301" s="27">
        <f t="shared" si="31"/>
        <v>172.08299999999997</v>
      </c>
      <c r="W301" s="27">
        <f t="shared" si="32"/>
        <v>118.65</v>
      </c>
      <c r="X301" s="27">
        <f>RawSalesTable3[[#This Row],[Revenue]]-RawSalesTable3[[#This Row],[Total_Cost]]</f>
        <v>53.432999999999964</v>
      </c>
      <c r="Y301" s="28">
        <f>RawSalesTable3[[#This Row],[Profit]]/RawSalesTable3[[#This Row],[Revenue]]</f>
        <v>0.31050713899687926</v>
      </c>
      <c r="Z301" s="27" t="str">
        <f>TEXT(RawSalesTable3[[#This Row],[Order_Date_Clean]],"MMM YYYY")</f>
        <v>Mar 2025</v>
      </c>
      <c r="AA301" s="27"/>
      <c r="AB301" s="27">
        <f t="shared" si="33"/>
        <v>0</v>
      </c>
      <c r="AC301" s="27">
        <f t="shared" si="34"/>
        <v>0</v>
      </c>
    </row>
    <row r="302" spans="1:33">
      <c r="A302" t="s">
        <v>398</v>
      </c>
      <c r="B302" s="3">
        <v>45951</v>
      </c>
      <c r="C302" t="s">
        <v>78</v>
      </c>
      <c r="D302" t="s">
        <v>62</v>
      </c>
      <c r="E302" t="s">
        <v>79</v>
      </c>
      <c r="F302" t="s">
        <v>85</v>
      </c>
      <c r="G302" s="6">
        <v>2</v>
      </c>
      <c r="H302" s="4">
        <v>133.18</v>
      </c>
      <c r="I302" s="4">
        <v>84.16</v>
      </c>
      <c r="J302" s="5">
        <v>0</v>
      </c>
      <c r="K302" s="6">
        <v>5</v>
      </c>
      <c r="L302" s="6">
        <v>4</v>
      </c>
      <c r="M302" t="s">
        <v>58</v>
      </c>
      <c r="N302" t="s">
        <v>59</v>
      </c>
      <c r="O302" t="s">
        <v>64</v>
      </c>
      <c r="P302" t="str">
        <f t="shared" si="28"/>
        <v>Individual</v>
      </c>
      <c r="Q302" t="str">
        <f t="shared" si="29"/>
        <v>London</v>
      </c>
      <c r="R302" t="str">
        <f>PROPER(TRIM(E302))</f>
        <v>Electronics</v>
      </c>
      <c r="S302" s="27">
        <f>IF(ISTEXT(B302),DATEVALUE(B302),B302)</f>
        <v>45951</v>
      </c>
      <c r="T302" s="27">
        <f>COUNTIF($A$2:$A$1986,A302)</f>
        <v>1</v>
      </c>
      <c r="U302" s="27" t="str">
        <f t="shared" si="30"/>
        <v>SmartHome Hub</v>
      </c>
      <c r="V302" s="27">
        <f t="shared" si="31"/>
        <v>266.36</v>
      </c>
      <c r="W302" s="27">
        <f t="shared" si="32"/>
        <v>168.32</v>
      </c>
      <c r="X302" s="27">
        <f>RawSalesTable3[[#This Row],[Revenue]]-RawSalesTable3[[#This Row],[Total_Cost]]</f>
        <v>98.04000000000002</v>
      </c>
      <c r="Y302" s="28">
        <f>RawSalesTable3[[#This Row],[Profit]]/RawSalesTable3[[#This Row],[Revenue]]</f>
        <v>0.36807328427691849</v>
      </c>
      <c r="Z302" s="27" t="str">
        <f>TEXT(RawSalesTable3[[#This Row],[Order_Date_Clean]],"MMM YYYY")</f>
        <v>Oct 2025</v>
      </c>
      <c r="AA302" s="27"/>
      <c r="AB302" s="27">
        <f t="shared" si="33"/>
        <v>0</v>
      </c>
      <c r="AC302" s="27">
        <f t="shared" si="34"/>
        <v>0</v>
      </c>
    </row>
    <row r="303" spans="1:33">
      <c r="A303" t="s">
        <v>399</v>
      </c>
      <c r="B303" s="3">
        <v>45973</v>
      </c>
      <c r="C303" t="s">
        <v>66</v>
      </c>
      <c r="D303" t="s">
        <v>62</v>
      </c>
      <c r="E303" t="s">
        <v>79</v>
      </c>
      <c r="F303" t="s">
        <v>92</v>
      </c>
      <c r="G303" s="6">
        <v>1</v>
      </c>
      <c r="H303" s="4">
        <v>48.77</v>
      </c>
      <c r="I303" s="4">
        <v>25.63</v>
      </c>
      <c r="J303" s="5">
        <v>0.2</v>
      </c>
      <c r="K303" s="6">
        <v>7</v>
      </c>
      <c r="L303" s="6">
        <v>4</v>
      </c>
      <c r="M303" t="s">
        <v>58</v>
      </c>
      <c r="N303" t="s">
        <v>59</v>
      </c>
      <c r="O303" t="s">
        <v>60</v>
      </c>
      <c r="P303" t="str">
        <f t="shared" si="28"/>
        <v>Individual</v>
      </c>
      <c r="Q303" t="str">
        <f t="shared" si="29"/>
        <v>South</v>
      </c>
      <c r="R303" t="str">
        <f>PROPER(TRIM(E303))</f>
        <v>Electronics</v>
      </c>
      <c r="S303" s="27">
        <f>IF(ISTEXT(B303),DATEVALUE(B303),B303)</f>
        <v>45973</v>
      </c>
      <c r="T303" s="27">
        <f>COUNTIF($A$2:$A$1986,A303)</f>
        <v>1</v>
      </c>
      <c r="U303" s="27" t="str">
        <f t="shared" si="30"/>
        <v>Webcam</v>
      </c>
      <c r="V303" s="27">
        <f t="shared" si="31"/>
        <v>39.016000000000005</v>
      </c>
      <c r="W303" s="27">
        <f t="shared" si="32"/>
        <v>25.63</v>
      </c>
      <c r="X303" s="27">
        <f>RawSalesTable3[[#This Row],[Revenue]]-RawSalesTable3[[#This Row],[Total_Cost]]</f>
        <v>13.386000000000006</v>
      </c>
      <c r="Y303" s="28">
        <f>RawSalesTable3[[#This Row],[Profit]]/RawSalesTable3[[#This Row],[Revenue]]</f>
        <v>0.343090014353086</v>
      </c>
      <c r="Z303" s="27" t="str">
        <f>TEXT(RawSalesTable3[[#This Row],[Order_Date_Clean]],"MMM YYYY")</f>
        <v>Nov 2025</v>
      </c>
      <c r="AA303" s="27"/>
      <c r="AB303" s="27">
        <f t="shared" si="33"/>
        <v>0</v>
      </c>
      <c r="AC303" s="27">
        <f t="shared" si="34"/>
        <v>0</v>
      </c>
    </row>
    <row r="304" spans="1:33">
      <c r="A304" t="s">
        <v>400</v>
      </c>
      <c r="B304" s="3">
        <v>45987</v>
      </c>
      <c r="C304" t="s">
        <v>78</v>
      </c>
      <c r="D304" t="s">
        <v>62</v>
      </c>
      <c r="E304" t="s">
        <v>79</v>
      </c>
      <c r="F304" t="s">
        <v>115</v>
      </c>
      <c r="G304" s="6">
        <v>1</v>
      </c>
      <c r="H304" s="4">
        <v>60.43</v>
      </c>
      <c r="I304" s="4">
        <v>35.06</v>
      </c>
      <c r="J304" s="5">
        <v>0.15000000000000002</v>
      </c>
      <c r="K304" s="6">
        <v>3</v>
      </c>
      <c r="L304" s="6">
        <v>5</v>
      </c>
      <c r="M304" t="s">
        <v>58</v>
      </c>
      <c r="N304" t="s">
        <v>59</v>
      </c>
      <c r="O304" t="s">
        <v>64</v>
      </c>
      <c r="P304" t="str">
        <f t="shared" si="28"/>
        <v>Individual</v>
      </c>
      <c r="Q304" t="str">
        <f t="shared" si="29"/>
        <v>London</v>
      </c>
      <c r="R304" t="str">
        <f>PROPER(TRIM(E304))</f>
        <v>Electronics</v>
      </c>
      <c r="S304" s="27">
        <f>IF(ISTEXT(B304),DATEVALUE(B304),B304)</f>
        <v>45987</v>
      </c>
      <c r="T304" s="27">
        <f>COUNTIF($A$2:$A$1986,A304)</f>
        <v>1</v>
      </c>
      <c r="U304" s="27" t="str">
        <f t="shared" si="30"/>
        <v>Wireless Headset</v>
      </c>
      <c r="V304" s="27">
        <f t="shared" si="31"/>
        <v>51.365499999999997</v>
      </c>
      <c r="W304" s="27">
        <f t="shared" si="32"/>
        <v>35.06</v>
      </c>
      <c r="X304" s="27">
        <f>RawSalesTable3[[#This Row],[Revenue]]-RawSalesTable3[[#This Row],[Total_Cost]]</f>
        <v>16.305499999999995</v>
      </c>
      <c r="Y304" s="28">
        <f>RawSalesTable3[[#This Row],[Profit]]/RawSalesTable3[[#This Row],[Revenue]]</f>
        <v>0.31744069462966379</v>
      </c>
      <c r="Z304" s="27" t="str">
        <f>TEXT(RawSalesTable3[[#This Row],[Order_Date_Clean]],"MMM YYYY")</f>
        <v>Nov 2025</v>
      </c>
      <c r="AA304" s="27"/>
      <c r="AB304" s="27">
        <f t="shared" si="33"/>
        <v>0</v>
      </c>
      <c r="AC304" s="27">
        <f t="shared" si="34"/>
        <v>0</v>
      </c>
    </row>
    <row r="305" spans="1:29">
      <c r="A305" t="s">
        <v>401</v>
      </c>
      <c r="B305" s="3">
        <v>45854</v>
      </c>
      <c r="C305" t="s">
        <v>78</v>
      </c>
      <c r="D305" t="s">
        <v>62</v>
      </c>
      <c r="E305" t="s">
        <v>402</v>
      </c>
      <c r="F305" t="s">
        <v>107</v>
      </c>
      <c r="G305" s="6">
        <v>1</v>
      </c>
      <c r="H305" s="4">
        <v>44.03</v>
      </c>
      <c r="I305" s="4">
        <v>20.64</v>
      </c>
      <c r="J305" s="5">
        <v>0.05</v>
      </c>
      <c r="K305" s="6">
        <v>0</v>
      </c>
      <c r="L305" s="6">
        <v>5</v>
      </c>
      <c r="M305" t="s">
        <v>58</v>
      </c>
      <c r="N305" t="s">
        <v>69</v>
      </c>
      <c r="O305" t="s">
        <v>64</v>
      </c>
      <c r="P305" t="str">
        <f t="shared" si="28"/>
        <v>Individual</v>
      </c>
      <c r="Q305" t="str">
        <f t="shared" si="29"/>
        <v>London</v>
      </c>
      <c r="R305" t="str">
        <f>PROPER(TRIM(E305))</f>
        <v>Office</v>
      </c>
      <c r="S305" s="27">
        <f>IF(ISTEXT(B305),DATEVALUE(B305),B305)</f>
        <v>45854</v>
      </c>
      <c r="T305" s="27">
        <f>COUNTIF($A$2:$A$1986,A305)</f>
        <v>1</v>
      </c>
      <c r="U305" s="27" t="str">
        <f t="shared" si="30"/>
        <v>Laptop Stand</v>
      </c>
      <c r="V305" s="27">
        <f t="shared" si="31"/>
        <v>41.828499999999998</v>
      </c>
      <c r="W305" s="27">
        <f t="shared" si="32"/>
        <v>20.64</v>
      </c>
      <c r="X305" s="27">
        <f>RawSalesTable3[[#This Row],[Revenue]]-RawSalesTable3[[#This Row],[Total_Cost]]</f>
        <v>21.188499999999998</v>
      </c>
      <c r="Y305" s="28">
        <f>RawSalesTable3[[#This Row],[Profit]]/RawSalesTable3[[#This Row],[Revenue]]</f>
        <v>0.50655653442031146</v>
      </c>
      <c r="Z305" s="27" t="str">
        <f>TEXT(RawSalesTable3[[#This Row],[Order_Date_Clean]],"MMM YYYY")</f>
        <v>Jul 2025</v>
      </c>
      <c r="AA305" s="27"/>
      <c r="AB305" s="27">
        <f t="shared" si="33"/>
        <v>0</v>
      </c>
      <c r="AC305" s="27">
        <f t="shared" si="34"/>
        <v>0</v>
      </c>
    </row>
    <row r="306" spans="1:29">
      <c r="A306" t="s">
        <v>403</v>
      </c>
      <c r="B306" s="3">
        <v>45718</v>
      </c>
      <c r="C306" t="s">
        <v>78</v>
      </c>
      <c r="D306" t="s">
        <v>55</v>
      </c>
      <c r="E306" t="s">
        <v>75</v>
      </c>
      <c r="F306" t="s">
        <v>110</v>
      </c>
      <c r="G306" s="6">
        <v>2</v>
      </c>
      <c r="H306" s="4">
        <v>158.97999999999999</v>
      </c>
      <c r="I306" s="4">
        <v>105.73</v>
      </c>
      <c r="J306" s="5">
        <v>0</v>
      </c>
      <c r="K306" s="6">
        <v>4</v>
      </c>
      <c r="L306" s="6">
        <v>4</v>
      </c>
      <c r="M306" t="s">
        <v>58</v>
      </c>
      <c r="N306" t="s">
        <v>59</v>
      </c>
      <c r="O306" t="s">
        <v>64</v>
      </c>
      <c r="P306" t="str">
        <f t="shared" si="28"/>
        <v>Small Business</v>
      </c>
      <c r="Q306" t="str">
        <f t="shared" si="29"/>
        <v>London</v>
      </c>
      <c r="R306" t="str">
        <f>PROPER(TRIM(E306))</f>
        <v>Furniture</v>
      </c>
      <c r="S306" s="27">
        <f>IF(ISTEXT(B306),DATEVALUE(B306),B306)</f>
        <v>45718</v>
      </c>
      <c r="T306" s="27">
        <f>COUNTIF($A$2:$A$1986,A306)</f>
        <v>1</v>
      </c>
      <c r="U306" s="27" t="str">
        <f t="shared" si="30"/>
        <v>Storage Cabinet</v>
      </c>
      <c r="V306" s="27">
        <f t="shared" si="31"/>
        <v>317.95999999999998</v>
      </c>
      <c r="W306" s="27">
        <f t="shared" si="32"/>
        <v>211.46</v>
      </c>
      <c r="X306" s="27">
        <f>RawSalesTable3[[#This Row],[Revenue]]-RawSalesTable3[[#This Row],[Total_Cost]]</f>
        <v>106.49999999999997</v>
      </c>
      <c r="Y306" s="28">
        <f>RawSalesTable3[[#This Row],[Profit]]/RawSalesTable3[[#This Row],[Revenue]]</f>
        <v>0.33494779217511628</v>
      </c>
      <c r="Z306" s="27" t="str">
        <f>TEXT(RawSalesTable3[[#This Row],[Order_Date_Clean]],"MMM YYYY")</f>
        <v>Mar 2025</v>
      </c>
      <c r="AA306" s="27"/>
      <c r="AB306" s="27">
        <f t="shared" si="33"/>
        <v>0</v>
      </c>
      <c r="AC306" s="27">
        <f t="shared" si="34"/>
        <v>0</v>
      </c>
    </row>
    <row r="307" spans="1:29">
      <c r="A307" t="s">
        <v>404</v>
      </c>
      <c r="B307" s="3">
        <v>45805</v>
      </c>
      <c r="C307" t="s">
        <v>66</v>
      </c>
      <c r="D307" t="s">
        <v>62</v>
      </c>
      <c r="E307" t="s">
        <v>75</v>
      </c>
      <c r="F307" t="s">
        <v>110</v>
      </c>
      <c r="G307" s="6">
        <v>2</v>
      </c>
      <c r="H307" s="4">
        <v>155.88999999999999</v>
      </c>
      <c r="I307" s="4">
        <v>101.4</v>
      </c>
      <c r="J307" s="5">
        <v>0.05</v>
      </c>
      <c r="K307" s="6">
        <v>1</v>
      </c>
      <c r="L307" s="6">
        <v>4</v>
      </c>
      <c r="M307" t="s">
        <v>58</v>
      </c>
      <c r="N307" t="s">
        <v>69</v>
      </c>
      <c r="O307" t="s">
        <v>64</v>
      </c>
      <c r="P307" t="str">
        <f t="shared" si="28"/>
        <v>Individual</v>
      </c>
      <c r="Q307" t="str">
        <f t="shared" si="29"/>
        <v>South</v>
      </c>
      <c r="R307" t="str">
        <f>PROPER(TRIM(E307))</f>
        <v>Furniture</v>
      </c>
      <c r="S307" s="27">
        <f>IF(ISTEXT(B307),DATEVALUE(B307),B307)</f>
        <v>45805</v>
      </c>
      <c r="T307" s="27">
        <f>COUNTIF($A$2:$A$1986,A307)</f>
        <v>1</v>
      </c>
      <c r="U307" s="27" t="str">
        <f t="shared" si="30"/>
        <v>Storage Cabinet</v>
      </c>
      <c r="V307" s="27">
        <f t="shared" si="31"/>
        <v>296.19099999999997</v>
      </c>
      <c r="W307" s="27">
        <f t="shared" si="32"/>
        <v>202.8</v>
      </c>
      <c r="X307" s="27">
        <f>RawSalesTable3[[#This Row],[Revenue]]-RawSalesTable3[[#This Row],[Total_Cost]]</f>
        <v>93.390999999999963</v>
      </c>
      <c r="Y307" s="28">
        <f>RawSalesTable3[[#This Row],[Profit]]/RawSalesTable3[[#This Row],[Revenue]]</f>
        <v>0.31530667711037802</v>
      </c>
      <c r="Z307" s="27" t="str">
        <f>TEXT(RawSalesTable3[[#This Row],[Order_Date_Clean]],"MMM YYYY")</f>
        <v>May 2025</v>
      </c>
      <c r="AA307" s="27"/>
      <c r="AB307" s="27">
        <f t="shared" si="33"/>
        <v>0</v>
      </c>
      <c r="AC307" s="27">
        <f t="shared" si="34"/>
        <v>0</v>
      </c>
    </row>
    <row r="308" spans="1:29">
      <c r="A308" t="s">
        <v>405</v>
      </c>
      <c r="B308" s="3">
        <v>45953</v>
      </c>
      <c r="C308" t="s">
        <v>66</v>
      </c>
      <c r="D308" t="s">
        <v>62</v>
      </c>
      <c r="E308" t="s">
        <v>79</v>
      </c>
      <c r="F308" t="s">
        <v>92</v>
      </c>
      <c r="G308" s="6">
        <v>2</v>
      </c>
      <c r="H308" s="4">
        <v>51.82</v>
      </c>
      <c r="I308" s="4">
        <v>27.11</v>
      </c>
      <c r="J308" s="5">
        <v>0</v>
      </c>
      <c r="K308" s="6">
        <v>5</v>
      </c>
      <c r="L308" s="6">
        <v>3</v>
      </c>
      <c r="M308" t="s">
        <v>126</v>
      </c>
      <c r="N308" t="s">
        <v>59</v>
      </c>
      <c r="O308" t="s">
        <v>64</v>
      </c>
      <c r="P308" t="str">
        <f t="shared" si="28"/>
        <v>Individual</v>
      </c>
      <c r="Q308" t="str">
        <f t="shared" si="29"/>
        <v>South</v>
      </c>
      <c r="R308" t="str">
        <f>PROPER(TRIM(E308))</f>
        <v>Electronics</v>
      </c>
      <c r="S308" s="27">
        <f>IF(ISTEXT(B308),DATEVALUE(B308),B308)</f>
        <v>45953</v>
      </c>
      <c r="T308" s="27">
        <f>COUNTIF($A$2:$A$1986,A308)</f>
        <v>1</v>
      </c>
      <c r="U308" s="27" t="str">
        <f t="shared" si="30"/>
        <v>Webcam</v>
      </c>
      <c r="V308" s="27">
        <f t="shared" si="31"/>
        <v>103.64</v>
      </c>
      <c r="W308" s="27">
        <f t="shared" si="32"/>
        <v>54.22</v>
      </c>
      <c r="X308" s="27">
        <f>RawSalesTable3[[#This Row],[Revenue]]-RawSalesTable3[[#This Row],[Total_Cost]]</f>
        <v>49.42</v>
      </c>
      <c r="Y308" s="28">
        <f>RawSalesTable3[[#This Row],[Profit]]/RawSalesTable3[[#This Row],[Revenue]]</f>
        <v>0.47684291779235816</v>
      </c>
      <c r="Z308" s="27" t="str">
        <f>TEXT(RawSalesTable3[[#This Row],[Order_Date_Clean]],"MMM YYYY")</f>
        <v>Oct 2025</v>
      </c>
      <c r="AA308" s="27"/>
      <c r="AB308" s="27">
        <f t="shared" si="33"/>
        <v>0</v>
      </c>
      <c r="AC308" s="27">
        <f t="shared" si="34"/>
        <v>0</v>
      </c>
    </row>
    <row r="309" spans="1:29">
      <c r="A309" t="s">
        <v>406</v>
      </c>
      <c r="B309" s="3">
        <v>45989</v>
      </c>
      <c r="C309" t="s">
        <v>82</v>
      </c>
      <c r="D309" t="s">
        <v>62</v>
      </c>
      <c r="E309" t="s">
        <v>75</v>
      </c>
      <c r="F309" t="s">
        <v>146</v>
      </c>
      <c r="G309" s="6">
        <v>1</v>
      </c>
      <c r="H309" s="4">
        <v>183.78</v>
      </c>
      <c r="I309" s="4">
        <v>113.94</v>
      </c>
      <c r="J309" s="5">
        <v>0.1</v>
      </c>
      <c r="K309" s="6">
        <v>6</v>
      </c>
      <c r="L309" s="6">
        <v>3</v>
      </c>
      <c r="M309" t="s">
        <v>58</v>
      </c>
      <c r="N309" t="s">
        <v>59</v>
      </c>
      <c r="O309" t="s">
        <v>64</v>
      </c>
      <c r="P309" t="str">
        <f t="shared" si="28"/>
        <v>Individual</v>
      </c>
      <c r="Q309" t="str">
        <f t="shared" si="29"/>
        <v>Midlands</v>
      </c>
      <c r="R309" t="str">
        <f>PROPER(TRIM(E309))</f>
        <v>Furniture</v>
      </c>
      <c r="S309" s="27">
        <f>IF(ISTEXT(B309),DATEVALUE(B309),B309)</f>
        <v>45989</v>
      </c>
      <c r="T309" s="27">
        <f>COUNTIF($A$2:$A$1986,A309)</f>
        <v>1</v>
      </c>
      <c r="U309" s="27" t="str">
        <f t="shared" si="30"/>
        <v>Office Chair</v>
      </c>
      <c r="V309" s="27">
        <f t="shared" si="31"/>
        <v>165.40200000000002</v>
      </c>
      <c r="W309" s="27">
        <f t="shared" si="32"/>
        <v>113.94</v>
      </c>
      <c r="X309" s="27">
        <f>RawSalesTable3[[#This Row],[Revenue]]-RawSalesTable3[[#This Row],[Total_Cost]]</f>
        <v>51.462000000000018</v>
      </c>
      <c r="Y309" s="28">
        <f>RawSalesTable3[[#This Row],[Profit]]/RawSalesTable3[[#This Row],[Revenue]]</f>
        <v>0.31113287626509967</v>
      </c>
      <c r="Z309" s="27" t="str">
        <f>TEXT(RawSalesTable3[[#This Row],[Order_Date_Clean]],"MMM YYYY")</f>
        <v>Nov 2025</v>
      </c>
      <c r="AA309" s="27"/>
      <c r="AB309" s="27">
        <f t="shared" si="33"/>
        <v>0</v>
      </c>
      <c r="AC309" s="27">
        <f t="shared" si="34"/>
        <v>0</v>
      </c>
    </row>
    <row r="310" spans="1:29">
      <c r="A310" t="s">
        <v>407</v>
      </c>
      <c r="B310" s="3">
        <v>45709</v>
      </c>
      <c r="C310" t="s">
        <v>78</v>
      </c>
      <c r="D310" t="s">
        <v>62</v>
      </c>
      <c r="E310" t="s">
        <v>67</v>
      </c>
      <c r="F310" t="s">
        <v>107</v>
      </c>
      <c r="G310" s="6">
        <v>2</v>
      </c>
      <c r="H310" s="4">
        <v>44.35</v>
      </c>
      <c r="I310" s="4">
        <v>21.11</v>
      </c>
      <c r="J310" s="5">
        <v>0.1</v>
      </c>
      <c r="K310" s="6">
        <v>1</v>
      </c>
      <c r="L310" s="6">
        <v>5</v>
      </c>
      <c r="M310" t="s">
        <v>58</v>
      </c>
      <c r="N310" t="s">
        <v>69</v>
      </c>
      <c r="O310" t="s">
        <v>64</v>
      </c>
      <c r="P310" t="str">
        <f t="shared" si="28"/>
        <v>Individual</v>
      </c>
      <c r="Q310" t="str">
        <f t="shared" si="29"/>
        <v>London</v>
      </c>
      <c r="R310" t="str">
        <f>PROPER(TRIM(E310))</f>
        <v>Office</v>
      </c>
      <c r="S310" s="27">
        <f>IF(ISTEXT(B310),DATEVALUE(B310),B310)</f>
        <v>45709</v>
      </c>
      <c r="T310" s="27">
        <f>COUNTIF($A$2:$A$1986,A310)</f>
        <v>1</v>
      </c>
      <c r="U310" s="27" t="str">
        <f t="shared" si="30"/>
        <v>Laptop Stand</v>
      </c>
      <c r="V310" s="27">
        <f t="shared" si="31"/>
        <v>79.83</v>
      </c>
      <c r="W310" s="27">
        <f t="shared" si="32"/>
        <v>42.22</v>
      </c>
      <c r="X310" s="27">
        <f>RawSalesTable3[[#This Row],[Revenue]]-RawSalesTable3[[#This Row],[Total_Cost]]</f>
        <v>37.61</v>
      </c>
      <c r="Y310" s="28">
        <f>RawSalesTable3[[#This Row],[Profit]]/RawSalesTable3[[#This Row],[Revenue]]</f>
        <v>0.47112614305398975</v>
      </c>
      <c r="Z310" s="27" t="str">
        <f>TEXT(RawSalesTable3[[#This Row],[Order_Date_Clean]],"MMM YYYY")</f>
        <v>Feb 2025</v>
      </c>
      <c r="AA310" s="27"/>
      <c r="AB310" s="27">
        <f t="shared" si="33"/>
        <v>0</v>
      </c>
      <c r="AC310" s="27">
        <f t="shared" si="34"/>
        <v>0</v>
      </c>
    </row>
    <row r="311" spans="1:29">
      <c r="A311" t="s">
        <v>408</v>
      </c>
      <c r="B311" s="3">
        <v>45838</v>
      </c>
      <c r="C311" t="s">
        <v>66</v>
      </c>
      <c r="D311" t="s">
        <v>55</v>
      </c>
      <c r="E311" t="s">
        <v>75</v>
      </c>
      <c r="F311" t="s">
        <v>110</v>
      </c>
      <c r="G311" s="6">
        <v>2</v>
      </c>
      <c r="H311" s="4">
        <v>159.1</v>
      </c>
      <c r="I311" s="4">
        <v>98.33</v>
      </c>
      <c r="J311" s="5">
        <v>0.1</v>
      </c>
      <c r="K311" s="6">
        <v>4</v>
      </c>
      <c r="L311" s="6">
        <v>4</v>
      </c>
      <c r="M311" t="s">
        <v>58</v>
      </c>
      <c r="N311" t="s">
        <v>69</v>
      </c>
      <c r="O311" t="s">
        <v>73</v>
      </c>
      <c r="P311" t="str">
        <f t="shared" si="28"/>
        <v>Small Business</v>
      </c>
      <c r="Q311" t="str">
        <f t="shared" si="29"/>
        <v>South</v>
      </c>
      <c r="R311" t="str">
        <f>PROPER(TRIM(E311))</f>
        <v>Furniture</v>
      </c>
      <c r="S311" s="27">
        <f>IF(ISTEXT(B311),DATEVALUE(B311),B311)</f>
        <v>45838</v>
      </c>
      <c r="T311" s="27">
        <f>COUNTIF($A$2:$A$1986,A311)</f>
        <v>1</v>
      </c>
      <c r="U311" s="27" t="str">
        <f t="shared" si="30"/>
        <v>Storage Cabinet</v>
      </c>
      <c r="V311" s="27">
        <f t="shared" si="31"/>
        <v>286.38</v>
      </c>
      <c r="W311" s="27">
        <f t="shared" si="32"/>
        <v>196.66</v>
      </c>
      <c r="X311" s="27">
        <f>RawSalesTable3[[#This Row],[Revenue]]-RawSalesTable3[[#This Row],[Total_Cost]]</f>
        <v>89.72</v>
      </c>
      <c r="Y311" s="28">
        <f>RawSalesTable3[[#This Row],[Profit]]/RawSalesTable3[[#This Row],[Revenue]]</f>
        <v>0.3132900342202668</v>
      </c>
      <c r="Z311" s="27" t="str">
        <f>TEXT(RawSalesTable3[[#This Row],[Order_Date_Clean]],"MMM YYYY")</f>
        <v>Jun 2025</v>
      </c>
      <c r="AA311" s="27"/>
      <c r="AB311" s="27">
        <f t="shared" si="33"/>
        <v>0</v>
      </c>
      <c r="AC311" s="27">
        <f t="shared" si="34"/>
        <v>0</v>
      </c>
    </row>
    <row r="312" spans="1:29">
      <c r="A312" t="s">
        <v>409</v>
      </c>
      <c r="B312" s="3">
        <v>45731</v>
      </c>
      <c r="C312" t="s">
        <v>78</v>
      </c>
      <c r="D312" t="s">
        <v>62</v>
      </c>
      <c r="E312" t="s">
        <v>75</v>
      </c>
      <c r="F312" t="s">
        <v>146</v>
      </c>
      <c r="G312" s="6">
        <v>1</v>
      </c>
      <c r="H312" s="4">
        <v>174.6</v>
      </c>
      <c r="I312" s="4">
        <v>115.74</v>
      </c>
      <c r="J312" s="5">
        <v>0.05</v>
      </c>
      <c r="K312" s="6">
        <v>5</v>
      </c>
      <c r="L312" s="6">
        <v>5</v>
      </c>
      <c r="M312" t="s">
        <v>58</v>
      </c>
      <c r="N312" t="s">
        <v>59</v>
      </c>
      <c r="O312" t="s">
        <v>64</v>
      </c>
      <c r="P312" t="str">
        <f t="shared" si="28"/>
        <v>Individual</v>
      </c>
      <c r="Q312" t="str">
        <f t="shared" si="29"/>
        <v>London</v>
      </c>
      <c r="R312" t="str">
        <f>PROPER(TRIM(E312))</f>
        <v>Furniture</v>
      </c>
      <c r="S312" s="27">
        <f>IF(ISTEXT(B312),DATEVALUE(B312),B312)</f>
        <v>45731</v>
      </c>
      <c r="T312" s="27">
        <f>COUNTIF($A$2:$A$1986,A312)</f>
        <v>1</v>
      </c>
      <c r="U312" s="27" t="str">
        <f t="shared" si="30"/>
        <v>Office Chair</v>
      </c>
      <c r="V312" s="27">
        <f t="shared" si="31"/>
        <v>165.86999999999998</v>
      </c>
      <c r="W312" s="27">
        <f t="shared" si="32"/>
        <v>115.74</v>
      </c>
      <c r="X312" s="27">
        <f>RawSalesTable3[[#This Row],[Revenue]]-RawSalesTable3[[#This Row],[Total_Cost]]</f>
        <v>50.129999999999981</v>
      </c>
      <c r="Y312" s="28">
        <f>RawSalesTable3[[#This Row],[Profit]]/RawSalesTable3[[#This Row],[Revenue]]</f>
        <v>0.30222463374932168</v>
      </c>
      <c r="Z312" s="27" t="str">
        <f>TEXT(RawSalesTable3[[#This Row],[Order_Date_Clean]],"MMM YYYY")</f>
        <v>Mar 2025</v>
      </c>
      <c r="AA312" s="27"/>
      <c r="AB312" s="27">
        <f t="shared" si="33"/>
        <v>0</v>
      </c>
      <c r="AC312" s="27">
        <f t="shared" si="34"/>
        <v>0</v>
      </c>
    </row>
    <row r="313" spans="1:29">
      <c r="A313" t="s">
        <v>410</v>
      </c>
      <c r="B313" s="3">
        <v>46012</v>
      </c>
      <c r="C313" t="s">
        <v>78</v>
      </c>
      <c r="D313" t="s">
        <v>62</v>
      </c>
      <c r="E313" t="s">
        <v>79</v>
      </c>
      <c r="F313" t="s">
        <v>80</v>
      </c>
      <c r="G313" s="6">
        <v>1</v>
      </c>
      <c r="H313" s="4">
        <v>73.349999999999994</v>
      </c>
      <c r="I313" s="4">
        <v>44.73</v>
      </c>
      <c r="J313" s="5">
        <v>0.05</v>
      </c>
      <c r="K313" s="6">
        <v>1</v>
      </c>
      <c r="L313" s="6">
        <v>5</v>
      </c>
      <c r="M313" t="s">
        <v>58</v>
      </c>
      <c r="N313" t="s">
        <v>69</v>
      </c>
      <c r="O313" t="s">
        <v>64</v>
      </c>
      <c r="P313" t="str">
        <f t="shared" si="28"/>
        <v>Individual</v>
      </c>
      <c r="Q313" t="str">
        <f t="shared" si="29"/>
        <v>London</v>
      </c>
      <c r="R313" t="str">
        <f>PROPER(TRIM(E313))</f>
        <v>Electronics</v>
      </c>
      <c r="S313" s="27">
        <f>IF(ISTEXT(B313),DATEVALUE(B313),B313)</f>
        <v>46012</v>
      </c>
      <c r="T313" s="27">
        <f>COUNTIF($A$2:$A$1986,A313)</f>
        <v>1</v>
      </c>
      <c r="U313" s="27" t="str">
        <f t="shared" si="30"/>
        <v>Portable Speaker</v>
      </c>
      <c r="V313" s="27">
        <f t="shared" si="31"/>
        <v>69.68249999999999</v>
      </c>
      <c r="W313" s="27">
        <f t="shared" si="32"/>
        <v>44.73</v>
      </c>
      <c r="X313" s="27">
        <f>RawSalesTable3[[#This Row],[Revenue]]-RawSalesTable3[[#This Row],[Total_Cost]]</f>
        <v>24.952499999999993</v>
      </c>
      <c r="Y313" s="28">
        <f>RawSalesTable3[[#This Row],[Profit]]/RawSalesTable3[[#This Row],[Revenue]]</f>
        <v>0.35808847271553113</v>
      </c>
      <c r="Z313" s="27" t="str">
        <f>TEXT(RawSalesTable3[[#This Row],[Order_Date_Clean]],"MMM YYYY")</f>
        <v>Dec 2025</v>
      </c>
      <c r="AA313" s="27"/>
      <c r="AB313" s="27">
        <f t="shared" si="33"/>
        <v>0</v>
      </c>
      <c r="AC313" s="27">
        <f t="shared" si="34"/>
        <v>0</v>
      </c>
    </row>
    <row r="314" spans="1:29">
      <c r="A314" t="s">
        <v>411</v>
      </c>
      <c r="B314" s="3">
        <v>45925</v>
      </c>
      <c r="C314" t="s">
        <v>78</v>
      </c>
      <c r="D314" t="s">
        <v>62</v>
      </c>
      <c r="E314" t="s">
        <v>67</v>
      </c>
      <c r="F314" t="s">
        <v>107</v>
      </c>
      <c r="G314" s="6">
        <v>2</v>
      </c>
      <c r="H314" s="4">
        <v>45.16</v>
      </c>
      <c r="I314" s="4">
        <v>21.18</v>
      </c>
      <c r="J314" s="5">
        <v>0</v>
      </c>
      <c r="K314" s="6">
        <v>4</v>
      </c>
      <c r="L314" s="6">
        <v>4</v>
      </c>
      <c r="M314" t="s">
        <v>58</v>
      </c>
      <c r="N314" t="s">
        <v>59</v>
      </c>
      <c r="O314" t="s">
        <v>60</v>
      </c>
      <c r="P314" t="str">
        <f t="shared" si="28"/>
        <v>Individual</v>
      </c>
      <c r="Q314" t="str">
        <f t="shared" si="29"/>
        <v>London</v>
      </c>
      <c r="R314" t="str">
        <f>PROPER(TRIM(E314))</f>
        <v>Office</v>
      </c>
      <c r="S314" s="27">
        <f>IF(ISTEXT(B314),DATEVALUE(B314),B314)</f>
        <v>45925</v>
      </c>
      <c r="T314" s="27">
        <f>COUNTIF($A$2:$A$1986,A314)</f>
        <v>1</v>
      </c>
      <c r="U314" s="27" t="str">
        <f t="shared" si="30"/>
        <v>Laptop Stand</v>
      </c>
      <c r="V314" s="27">
        <f t="shared" si="31"/>
        <v>90.32</v>
      </c>
      <c r="W314" s="27">
        <f t="shared" si="32"/>
        <v>42.36</v>
      </c>
      <c r="X314" s="27">
        <f>RawSalesTable3[[#This Row],[Revenue]]-RawSalesTable3[[#This Row],[Total_Cost]]</f>
        <v>47.959999999999994</v>
      </c>
      <c r="Y314" s="28">
        <f>RawSalesTable3[[#This Row],[Profit]]/RawSalesTable3[[#This Row],[Revenue]]</f>
        <v>0.53100088573959248</v>
      </c>
      <c r="Z314" s="27" t="str">
        <f>TEXT(RawSalesTable3[[#This Row],[Order_Date_Clean]],"MMM YYYY")</f>
        <v>Sep 2025</v>
      </c>
      <c r="AA314" s="27"/>
      <c r="AB314" s="27">
        <f t="shared" si="33"/>
        <v>0</v>
      </c>
      <c r="AC314" s="27">
        <f t="shared" si="34"/>
        <v>0</v>
      </c>
    </row>
    <row r="315" spans="1:29">
      <c r="A315" t="s">
        <v>412</v>
      </c>
      <c r="B315" s="3">
        <v>45721</v>
      </c>
      <c r="C315" t="s">
        <v>82</v>
      </c>
      <c r="D315" t="s">
        <v>55</v>
      </c>
      <c r="E315" t="s">
        <v>75</v>
      </c>
      <c r="F315" t="s">
        <v>97</v>
      </c>
      <c r="G315" s="6">
        <v>3</v>
      </c>
      <c r="H315" s="4">
        <v>89.4</v>
      </c>
      <c r="I315" s="4">
        <v>56.38</v>
      </c>
      <c r="J315" s="5">
        <v>0</v>
      </c>
      <c r="K315" s="6">
        <v>2</v>
      </c>
      <c r="L315" s="6">
        <v>4</v>
      </c>
      <c r="M315" t="s">
        <v>58</v>
      </c>
      <c r="N315" t="s">
        <v>69</v>
      </c>
      <c r="O315" t="s">
        <v>64</v>
      </c>
      <c r="P315" t="str">
        <f t="shared" si="28"/>
        <v>Small Business</v>
      </c>
      <c r="Q315" t="str">
        <f t="shared" si="29"/>
        <v>Midlands</v>
      </c>
      <c r="R315" t="str">
        <f>PROPER(TRIM(E315))</f>
        <v>Furniture</v>
      </c>
      <c r="S315" s="27">
        <f>IF(ISTEXT(B315),DATEVALUE(B315),B315)</f>
        <v>45721</v>
      </c>
      <c r="T315" s="27">
        <f>COUNTIF($A$2:$A$1986,A315)</f>
        <v>1</v>
      </c>
      <c r="U315" s="27" t="str">
        <f t="shared" si="30"/>
        <v>Side Table</v>
      </c>
      <c r="V315" s="27">
        <f t="shared" si="31"/>
        <v>268.20000000000005</v>
      </c>
      <c r="W315" s="27">
        <f t="shared" si="32"/>
        <v>169.14000000000001</v>
      </c>
      <c r="X315" s="27">
        <f>RawSalesTable3[[#This Row],[Revenue]]-RawSalesTable3[[#This Row],[Total_Cost]]</f>
        <v>99.060000000000031</v>
      </c>
      <c r="Y315" s="28">
        <f>RawSalesTable3[[#This Row],[Profit]]/RawSalesTable3[[#This Row],[Revenue]]</f>
        <v>0.36935123042505597</v>
      </c>
      <c r="Z315" s="27" t="str">
        <f>TEXT(RawSalesTable3[[#This Row],[Order_Date_Clean]],"MMM YYYY")</f>
        <v>Mar 2025</v>
      </c>
      <c r="AA315" s="27"/>
      <c r="AB315" s="27">
        <f t="shared" si="33"/>
        <v>0</v>
      </c>
      <c r="AC315" s="27">
        <f t="shared" si="34"/>
        <v>0</v>
      </c>
    </row>
    <row r="316" spans="1:29">
      <c r="A316" t="s">
        <v>413</v>
      </c>
      <c r="B316" s="3">
        <v>45837</v>
      </c>
      <c r="C316" t="s">
        <v>82</v>
      </c>
      <c r="D316" t="s">
        <v>62</v>
      </c>
      <c r="E316" t="s">
        <v>75</v>
      </c>
      <c r="F316" t="s">
        <v>146</v>
      </c>
      <c r="G316" s="6">
        <v>1</v>
      </c>
      <c r="H316" s="4">
        <v>187.08</v>
      </c>
      <c r="I316" s="4">
        <v>113.36</v>
      </c>
      <c r="J316" s="5">
        <v>0</v>
      </c>
      <c r="K316" s="6">
        <v>7</v>
      </c>
      <c r="L316" s="6">
        <v>4</v>
      </c>
      <c r="M316" t="s">
        <v>58</v>
      </c>
      <c r="N316" t="s">
        <v>59</v>
      </c>
      <c r="O316" t="s">
        <v>64</v>
      </c>
      <c r="P316" t="str">
        <f t="shared" si="28"/>
        <v>Individual</v>
      </c>
      <c r="Q316" t="str">
        <f t="shared" si="29"/>
        <v>Midlands</v>
      </c>
      <c r="R316" t="str">
        <f>PROPER(TRIM(E316))</f>
        <v>Furniture</v>
      </c>
      <c r="S316" s="27">
        <f>IF(ISTEXT(B316),DATEVALUE(B316),B316)</f>
        <v>45837</v>
      </c>
      <c r="T316" s="27">
        <f>COUNTIF($A$2:$A$1986,A316)</f>
        <v>1</v>
      </c>
      <c r="U316" s="27" t="str">
        <f t="shared" si="30"/>
        <v>Office Chair</v>
      </c>
      <c r="V316" s="27">
        <f t="shared" si="31"/>
        <v>187.08</v>
      </c>
      <c r="W316" s="27">
        <f t="shared" si="32"/>
        <v>113.36</v>
      </c>
      <c r="X316" s="27">
        <f>RawSalesTable3[[#This Row],[Revenue]]-RawSalesTable3[[#This Row],[Total_Cost]]</f>
        <v>73.720000000000013</v>
      </c>
      <c r="Y316" s="28">
        <f>RawSalesTable3[[#This Row],[Profit]]/RawSalesTable3[[#This Row],[Revenue]]</f>
        <v>0.39405601881548002</v>
      </c>
      <c r="Z316" s="27" t="str">
        <f>TEXT(RawSalesTable3[[#This Row],[Order_Date_Clean]],"MMM YYYY")</f>
        <v>Jun 2025</v>
      </c>
      <c r="AA316" s="27"/>
      <c r="AB316" s="27">
        <f t="shared" si="33"/>
        <v>0</v>
      </c>
      <c r="AC316" s="27">
        <f t="shared" si="34"/>
        <v>0</v>
      </c>
    </row>
    <row r="317" spans="1:29">
      <c r="A317" t="s">
        <v>414</v>
      </c>
      <c r="B317" s="3">
        <v>45695</v>
      </c>
      <c r="C317" t="s">
        <v>66</v>
      </c>
      <c r="D317" t="s">
        <v>62</v>
      </c>
      <c r="E317" t="s">
        <v>79</v>
      </c>
      <c r="F317" t="s">
        <v>80</v>
      </c>
      <c r="G317" s="6">
        <v>1</v>
      </c>
      <c r="H317" s="4">
        <v>74.010000000000005</v>
      </c>
      <c r="I317" s="4">
        <v>44.44</v>
      </c>
      <c r="J317" s="5">
        <v>0.1</v>
      </c>
      <c r="K317" s="6">
        <v>3</v>
      </c>
      <c r="L317" s="6">
        <v>4</v>
      </c>
      <c r="M317" t="s">
        <v>58</v>
      </c>
      <c r="N317" t="s">
        <v>59</v>
      </c>
      <c r="O317" t="s">
        <v>73</v>
      </c>
      <c r="P317" t="str">
        <f t="shared" si="28"/>
        <v>Individual</v>
      </c>
      <c r="Q317" t="str">
        <f t="shared" si="29"/>
        <v>South</v>
      </c>
      <c r="R317" t="str">
        <f>PROPER(TRIM(E317))</f>
        <v>Electronics</v>
      </c>
      <c r="S317" s="27">
        <f>IF(ISTEXT(B317),DATEVALUE(B317),B317)</f>
        <v>45695</v>
      </c>
      <c r="T317" s="27">
        <f>COUNTIF($A$2:$A$1986,A317)</f>
        <v>1</v>
      </c>
      <c r="U317" s="27" t="str">
        <f t="shared" si="30"/>
        <v>Portable Speaker</v>
      </c>
      <c r="V317" s="27">
        <f t="shared" si="31"/>
        <v>66.609000000000009</v>
      </c>
      <c r="W317" s="27">
        <f t="shared" si="32"/>
        <v>44.44</v>
      </c>
      <c r="X317" s="27">
        <f>RawSalesTable3[[#This Row],[Revenue]]-RawSalesTable3[[#This Row],[Total_Cost]]</f>
        <v>22.169000000000011</v>
      </c>
      <c r="Y317" s="28">
        <f>RawSalesTable3[[#This Row],[Profit]]/RawSalesTable3[[#This Row],[Revenue]]</f>
        <v>0.33282289180140834</v>
      </c>
      <c r="Z317" s="27" t="str">
        <f>TEXT(RawSalesTable3[[#This Row],[Order_Date_Clean]],"MMM YYYY")</f>
        <v>Feb 2025</v>
      </c>
      <c r="AA317" s="27"/>
      <c r="AB317" s="27">
        <f t="shared" si="33"/>
        <v>0</v>
      </c>
      <c r="AC317" s="27">
        <f t="shared" si="34"/>
        <v>0</v>
      </c>
    </row>
    <row r="318" spans="1:29">
      <c r="A318" t="s">
        <v>415</v>
      </c>
      <c r="B318" s="3">
        <v>45895</v>
      </c>
      <c r="C318" t="s">
        <v>54</v>
      </c>
      <c r="D318" t="s">
        <v>62</v>
      </c>
      <c r="E318" t="s">
        <v>75</v>
      </c>
      <c r="F318" t="s">
        <v>76</v>
      </c>
      <c r="G318" s="6">
        <v>1</v>
      </c>
      <c r="H318" s="4">
        <v>122.8</v>
      </c>
      <c r="I318" s="4">
        <v>72.150000000000006</v>
      </c>
      <c r="J318" s="5">
        <v>0</v>
      </c>
      <c r="K318" s="6">
        <v>7</v>
      </c>
      <c r="L318" s="6">
        <v>4</v>
      </c>
      <c r="M318" t="s">
        <v>58</v>
      </c>
      <c r="N318" t="s">
        <v>87</v>
      </c>
      <c r="O318" t="s">
        <v>60</v>
      </c>
      <c r="P318" t="str">
        <f t="shared" si="28"/>
        <v>Individual</v>
      </c>
      <c r="Q318" t="str">
        <f t="shared" si="29"/>
        <v>North</v>
      </c>
      <c r="R318" t="str">
        <f>PROPER(TRIM(E318))</f>
        <v>Furniture</v>
      </c>
      <c r="S318" s="27">
        <f>IF(ISTEXT(B318),DATEVALUE(B318),B318)</f>
        <v>45895</v>
      </c>
      <c r="T318" s="27">
        <f>COUNTIF($A$2:$A$1986,A318)</f>
        <v>1</v>
      </c>
      <c r="U318" s="27" t="str">
        <f t="shared" si="30"/>
        <v>Bookshelf</v>
      </c>
      <c r="V318" s="27">
        <f t="shared" si="31"/>
        <v>122.8</v>
      </c>
      <c r="W318" s="27">
        <f t="shared" si="32"/>
        <v>72.150000000000006</v>
      </c>
      <c r="X318" s="27">
        <f>RawSalesTable3[[#This Row],[Revenue]]-RawSalesTable3[[#This Row],[Total_Cost]]</f>
        <v>50.649999999999991</v>
      </c>
      <c r="Y318" s="28">
        <f>RawSalesTable3[[#This Row],[Profit]]/RawSalesTable3[[#This Row],[Revenue]]</f>
        <v>0.41245928338762211</v>
      </c>
      <c r="Z318" s="27" t="str">
        <f>TEXT(RawSalesTable3[[#This Row],[Order_Date_Clean]],"MMM YYYY")</f>
        <v>Aug 2025</v>
      </c>
      <c r="AA318" s="27"/>
      <c r="AB318" s="27">
        <f t="shared" si="33"/>
        <v>0</v>
      </c>
      <c r="AC318" s="27">
        <f t="shared" si="34"/>
        <v>0</v>
      </c>
    </row>
    <row r="319" spans="1:29">
      <c r="A319" t="s">
        <v>416</v>
      </c>
      <c r="B319" s="3">
        <v>45975</v>
      </c>
      <c r="C319" t="s">
        <v>66</v>
      </c>
      <c r="D319" t="s">
        <v>55</v>
      </c>
      <c r="E319" t="s">
        <v>79</v>
      </c>
      <c r="F319" t="s">
        <v>115</v>
      </c>
      <c r="G319" s="6">
        <v>3</v>
      </c>
      <c r="H319" s="4">
        <v>62.18</v>
      </c>
      <c r="I319" s="4">
        <v>35.159999999999997</v>
      </c>
      <c r="J319" s="5">
        <v>0.15000000000000002</v>
      </c>
      <c r="K319" s="6">
        <v>4</v>
      </c>
      <c r="L319" s="6">
        <v>3</v>
      </c>
      <c r="M319" t="s">
        <v>126</v>
      </c>
      <c r="N319" t="s">
        <v>59</v>
      </c>
      <c r="O319" t="s">
        <v>64</v>
      </c>
      <c r="P319" t="str">
        <f t="shared" si="28"/>
        <v>Small Business</v>
      </c>
      <c r="Q319" t="str">
        <f t="shared" si="29"/>
        <v>South</v>
      </c>
      <c r="R319" t="str">
        <f>PROPER(TRIM(E319))</f>
        <v>Electronics</v>
      </c>
      <c r="S319" s="27">
        <f>IF(ISTEXT(B319),DATEVALUE(B319),B319)</f>
        <v>45975</v>
      </c>
      <c r="T319" s="27">
        <f>COUNTIF($A$2:$A$1986,A319)</f>
        <v>1</v>
      </c>
      <c r="U319" s="27" t="str">
        <f t="shared" si="30"/>
        <v>Wireless Headset</v>
      </c>
      <c r="V319" s="27">
        <f t="shared" si="31"/>
        <v>158.559</v>
      </c>
      <c r="W319" s="27">
        <f t="shared" si="32"/>
        <v>105.47999999999999</v>
      </c>
      <c r="X319" s="27">
        <f>RawSalesTable3[[#This Row],[Revenue]]-RawSalesTable3[[#This Row],[Total_Cost]]</f>
        <v>53.079000000000008</v>
      </c>
      <c r="Y319" s="28">
        <f>RawSalesTable3[[#This Row],[Profit]]/RawSalesTable3[[#This Row],[Revenue]]</f>
        <v>0.33475867027415668</v>
      </c>
      <c r="Z319" s="27" t="str">
        <f>TEXT(RawSalesTable3[[#This Row],[Order_Date_Clean]],"MMM YYYY")</f>
        <v>Nov 2025</v>
      </c>
      <c r="AA319" s="27"/>
      <c r="AB319" s="27">
        <f t="shared" si="33"/>
        <v>0</v>
      </c>
      <c r="AC319" s="27">
        <f t="shared" si="34"/>
        <v>0</v>
      </c>
    </row>
    <row r="320" spans="1:29">
      <c r="A320" t="s">
        <v>417</v>
      </c>
      <c r="B320" s="3">
        <v>45996</v>
      </c>
      <c r="C320" t="s">
        <v>78</v>
      </c>
      <c r="D320" t="s">
        <v>129</v>
      </c>
      <c r="E320" t="s">
        <v>79</v>
      </c>
      <c r="F320" t="s">
        <v>80</v>
      </c>
      <c r="G320" s="6">
        <v>6</v>
      </c>
      <c r="H320" s="4">
        <v>76.12</v>
      </c>
      <c r="I320" s="4">
        <v>41.86</v>
      </c>
      <c r="J320" s="5">
        <v>0.2</v>
      </c>
      <c r="K320" s="6">
        <v>2</v>
      </c>
      <c r="L320" s="6">
        <v>4</v>
      </c>
      <c r="M320" t="s">
        <v>58</v>
      </c>
      <c r="N320" t="s">
        <v>69</v>
      </c>
      <c r="O320" t="s">
        <v>64</v>
      </c>
      <c r="P320" t="str">
        <f t="shared" si="28"/>
        <v>Corporate</v>
      </c>
      <c r="Q320" t="str">
        <f t="shared" si="29"/>
        <v>London</v>
      </c>
      <c r="R320" t="str">
        <f>PROPER(TRIM(E320))</f>
        <v>Electronics</v>
      </c>
      <c r="S320" s="27">
        <f>IF(ISTEXT(B320),DATEVALUE(B320),B320)</f>
        <v>45996</v>
      </c>
      <c r="T320" s="27">
        <f>COUNTIF($A$2:$A$1986,A320)</f>
        <v>1</v>
      </c>
      <c r="U320" s="27" t="str">
        <f t="shared" si="30"/>
        <v>Portable Speaker</v>
      </c>
      <c r="V320" s="27">
        <f t="shared" si="31"/>
        <v>365.37600000000003</v>
      </c>
      <c r="W320" s="27">
        <f t="shared" si="32"/>
        <v>251.16</v>
      </c>
      <c r="X320" s="27">
        <f>RawSalesTable3[[#This Row],[Revenue]]-RawSalesTable3[[#This Row],[Total_Cost]]</f>
        <v>114.21600000000004</v>
      </c>
      <c r="Y320" s="28">
        <f>RawSalesTable3[[#This Row],[Profit]]/RawSalesTable3[[#This Row],[Revenue]]</f>
        <v>0.31259852863899112</v>
      </c>
      <c r="Z320" s="27" t="str">
        <f>TEXT(RawSalesTable3[[#This Row],[Order_Date_Clean]],"MMM YYYY")</f>
        <v>Dec 2025</v>
      </c>
      <c r="AA320" s="27"/>
      <c r="AB320" s="27">
        <f t="shared" si="33"/>
        <v>0</v>
      </c>
      <c r="AC320" s="27">
        <f t="shared" si="34"/>
        <v>0</v>
      </c>
    </row>
    <row r="321" spans="1:29">
      <c r="A321" t="s">
        <v>418</v>
      </c>
      <c r="B321" s="3">
        <v>45970</v>
      </c>
      <c r="C321" t="s">
        <v>66</v>
      </c>
      <c r="D321" t="s">
        <v>55</v>
      </c>
      <c r="E321" t="s">
        <v>56</v>
      </c>
      <c r="F321" t="s">
        <v>63</v>
      </c>
      <c r="G321" s="6">
        <v>3</v>
      </c>
      <c r="H321" s="4">
        <v>40.18</v>
      </c>
      <c r="I321" s="4">
        <v>20.96</v>
      </c>
      <c r="J321" s="5">
        <v>0.15000000000000002</v>
      </c>
      <c r="K321" s="6">
        <v>3</v>
      </c>
      <c r="L321" s="6">
        <v>4</v>
      </c>
      <c r="M321" t="s">
        <v>58</v>
      </c>
      <c r="N321" t="s">
        <v>59</v>
      </c>
      <c r="O321" t="s">
        <v>64</v>
      </c>
      <c r="P321" t="str">
        <f t="shared" si="28"/>
        <v>Small Business</v>
      </c>
      <c r="Q321" t="str">
        <f t="shared" si="29"/>
        <v>South</v>
      </c>
      <c r="R321" t="str">
        <f>PROPER(TRIM(E321))</f>
        <v>Home &amp; Kitchen</v>
      </c>
      <c r="S321" s="27">
        <f>IF(ISTEXT(B321),DATEVALUE(B321),B321)</f>
        <v>45970</v>
      </c>
      <c r="T321" s="27">
        <f>COUNTIF($A$2:$A$1986,A321)</f>
        <v>1</v>
      </c>
      <c r="U321" s="27" t="str">
        <f t="shared" si="30"/>
        <v>Electric Kettle</v>
      </c>
      <c r="V321" s="27">
        <f t="shared" si="31"/>
        <v>102.45899999999999</v>
      </c>
      <c r="W321" s="27">
        <f t="shared" si="32"/>
        <v>62.88</v>
      </c>
      <c r="X321" s="27">
        <f>RawSalesTable3[[#This Row],[Revenue]]-RawSalesTable3[[#This Row],[Total_Cost]]</f>
        <v>39.578999999999986</v>
      </c>
      <c r="Y321" s="28">
        <f>RawSalesTable3[[#This Row],[Profit]]/RawSalesTable3[[#This Row],[Revenue]]</f>
        <v>0.38629110180657622</v>
      </c>
      <c r="Z321" s="27" t="str">
        <f>TEXT(RawSalesTable3[[#This Row],[Order_Date_Clean]],"MMM YYYY")</f>
        <v>Nov 2025</v>
      </c>
      <c r="AA321" s="27"/>
      <c r="AB321" s="27">
        <f t="shared" si="33"/>
        <v>0</v>
      </c>
      <c r="AC321" s="27">
        <f t="shared" si="34"/>
        <v>0</v>
      </c>
    </row>
    <row r="322" spans="1:29">
      <c r="A322" t="s">
        <v>419</v>
      </c>
      <c r="B322" s="3">
        <v>45852</v>
      </c>
      <c r="C322" t="s">
        <v>78</v>
      </c>
      <c r="D322" t="s">
        <v>62</v>
      </c>
      <c r="E322" t="s">
        <v>79</v>
      </c>
      <c r="F322" t="s">
        <v>92</v>
      </c>
      <c r="G322" s="6">
        <v>2</v>
      </c>
      <c r="H322" s="4">
        <v>51.33</v>
      </c>
      <c r="I322" s="4">
        <v>26.36</v>
      </c>
      <c r="J322" s="5">
        <v>0.1</v>
      </c>
      <c r="K322" s="6">
        <v>3</v>
      </c>
      <c r="L322" s="6">
        <v>4</v>
      </c>
      <c r="M322" t="s">
        <v>58</v>
      </c>
      <c r="N322" t="s">
        <v>69</v>
      </c>
      <c r="O322" t="s">
        <v>64</v>
      </c>
      <c r="P322" t="str">
        <f t="shared" ref="P322:P385" si="35">IF(TRIM(D322)="","Unknow",PROPER(TRIM(D322)))</f>
        <v>Individual</v>
      </c>
      <c r="Q322" t="str">
        <f t="shared" ref="Q322:Q385" si="36">IF(PROPER(TRIM(C322))="Mid Lands","Midlands",PROPER(TRIM(C322)))</f>
        <v>London</v>
      </c>
      <c r="R322" t="str">
        <f>PROPER(TRIM(E322))</f>
        <v>Electronics</v>
      </c>
      <c r="S322" s="27">
        <f>IF(ISTEXT(B322),DATEVALUE(B322),B322)</f>
        <v>45852</v>
      </c>
      <c r="T322" s="27">
        <f>COUNTIF($A$2:$A$1986,A322)</f>
        <v>1</v>
      </c>
      <c r="U322" s="27" t="str">
        <f t="shared" ref="U322:U385" si="37">TRIM(F322)</f>
        <v>Webcam</v>
      </c>
      <c r="V322" s="27">
        <f t="shared" ref="V322:V385" si="38">G322*H322*(1-J322)</f>
        <v>92.394000000000005</v>
      </c>
      <c r="W322" s="27">
        <f t="shared" ref="W322:W385" si="39">G322*I322</f>
        <v>52.72</v>
      </c>
      <c r="X322" s="27">
        <f>RawSalesTable3[[#This Row],[Revenue]]-RawSalesTable3[[#This Row],[Total_Cost]]</f>
        <v>39.674000000000007</v>
      </c>
      <c r="Y322" s="28">
        <f>RawSalesTable3[[#This Row],[Profit]]/RawSalesTable3[[#This Row],[Revenue]]</f>
        <v>0.42940017750070353</v>
      </c>
      <c r="Z322" s="27" t="str">
        <f>TEXT(RawSalesTable3[[#This Row],[Order_Date_Clean]],"MMM YYYY")</f>
        <v>Jul 2025</v>
      </c>
      <c r="AA322" s="27"/>
      <c r="AB322" s="27">
        <f t="shared" ref="AB322:AB385" si="40">SUMIF($Z:$Z,AA322,$V:$V)</f>
        <v>0</v>
      </c>
      <c r="AC322" s="27">
        <f t="shared" ref="AC322:AC385" si="41">SUMIF($Z:$Z,AA322,$X:$X)</f>
        <v>0</v>
      </c>
    </row>
    <row r="323" spans="1:29">
      <c r="A323" t="s">
        <v>420</v>
      </c>
      <c r="B323" s="3">
        <v>46014</v>
      </c>
      <c r="C323" t="s">
        <v>66</v>
      </c>
      <c r="D323" t="s">
        <v>55</v>
      </c>
      <c r="E323" t="s">
        <v>67</v>
      </c>
      <c r="F323" t="s">
        <v>107</v>
      </c>
      <c r="G323" s="6">
        <v>6</v>
      </c>
      <c r="H323" s="4">
        <v>46.72</v>
      </c>
      <c r="I323" s="4">
        <v>21.3</v>
      </c>
      <c r="J323" s="5">
        <v>0.05</v>
      </c>
      <c r="K323" s="6">
        <v>3</v>
      </c>
      <c r="L323" s="6">
        <v>5</v>
      </c>
      <c r="M323" t="s">
        <v>58</v>
      </c>
      <c r="N323" t="s">
        <v>69</v>
      </c>
      <c r="O323" t="s">
        <v>73</v>
      </c>
      <c r="P323" t="str">
        <f t="shared" si="35"/>
        <v>Small Business</v>
      </c>
      <c r="Q323" t="str">
        <f t="shared" si="36"/>
        <v>South</v>
      </c>
      <c r="R323" t="str">
        <f>PROPER(TRIM(E323))</f>
        <v>Office</v>
      </c>
      <c r="S323" s="27">
        <f>IF(ISTEXT(B323),DATEVALUE(B323),B323)</f>
        <v>46014</v>
      </c>
      <c r="T323" s="27">
        <f>COUNTIF($A$2:$A$1986,A323)</f>
        <v>1</v>
      </c>
      <c r="U323" s="27" t="str">
        <f t="shared" si="37"/>
        <v>Laptop Stand</v>
      </c>
      <c r="V323" s="27">
        <f t="shared" si="38"/>
        <v>266.30399999999997</v>
      </c>
      <c r="W323" s="27">
        <f t="shared" si="39"/>
        <v>127.80000000000001</v>
      </c>
      <c r="X323" s="27">
        <f>RawSalesTable3[[#This Row],[Revenue]]-RawSalesTable3[[#This Row],[Total_Cost]]</f>
        <v>138.50399999999996</v>
      </c>
      <c r="Y323" s="28">
        <f>RawSalesTable3[[#This Row],[Profit]]/RawSalesTable3[[#This Row],[Revenue]]</f>
        <v>0.52009733237202582</v>
      </c>
      <c r="Z323" s="27" t="str">
        <f>TEXT(RawSalesTable3[[#This Row],[Order_Date_Clean]],"MMM YYYY")</f>
        <v>Dec 2025</v>
      </c>
      <c r="AA323" s="27"/>
      <c r="AB323" s="27">
        <f t="shared" si="40"/>
        <v>0</v>
      </c>
      <c r="AC323" s="27">
        <f t="shared" si="41"/>
        <v>0</v>
      </c>
    </row>
    <row r="324" spans="1:29">
      <c r="A324" t="s">
        <v>421</v>
      </c>
      <c r="B324" s="3">
        <v>45996</v>
      </c>
      <c r="C324" t="s">
        <v>54</v>
      </c>
      <c r="D324" t="s">
        <v>55</v>
      </c>
      <c r="E324" t="s">
        <v>75</v>
      </c>
      <c r="F324" t="s">
        <v>97</v>
      </c>
      <c r="G324" s="6">
        <v>2</v>
      </c>
      <c r="H324" s="4">
        <v>90.74</v>
      </c>
      <c r="I324" s="4">
        <v>56.19</v>
      </c>
      <c r="J324" s="5">
        <v>0.1</v>
      </c>
      <c r="K324" s="6">
        <v>7</v>
      </c>
      <c r="L324" s="6">
        <v>4</v>
      </c>
      <c r="M324" t="s">
        <v>58</v>
      </c>
      <c r="N324" t="s">
        <v>59</v>
      </c>
      <c r="O324" t="s">
        <v>64</v>
      </c>
      <c r="P324" t="str">
        <f t="shared" si="35"/>
        <v>Small Business</v>
      </c>
      <c r="Q324" t="str">
        <f t="shared" si="36"/>
        <v>North</v>
      </c>
      <c r="R324" t="str">
        <f>PROPER(TRIM(E324))</f>
        <v>Furniture</v>
      </c>
      <c r="S324" s="27">
        <f>IF(ISTEXT(B324),DATEVALUE(B324),B324)</f>
        <v>45996</v>
      </c>
      <c r="T324" s="27">
        <f>COUNTIF($A$2:$A$1986,A324)</f>
        <v>1</v>
      </c>
      <c r="U324" s="27" t="str">
        <f t="shared" si="37"/>
        <v>Side Table</v>
      </c>
      <c r="V324" s="27">
        <f t="shared" si="38"/>
        <v>163.33199999999999</v>
      </c>
      <c r="W324" s="27">
        <f t="shared" si="39"/>
        <v>112.38</v>
      </c>
      <c r="X324" s="27">
        <f>RawSalesTable3[[#This Row],[Revenue]]-RawSalesTable3[[#This Row],[Total_Cost]]</f>
        <v>50.951999999999998</v>
      </c>
      <c r="Y324" s="28">
        <f>RawSalesTable3[[#This Row],[Profit]]/RawSalesTable3[[#This Row],[Revenue]]</f>
        <v>0.31195356696789361</v>
      </c>
      <c r="Z324" s="27" t="str">
        <f>TEXT(RawSalesTable3[[#This Row],[Order_Date_Clean]],"MMM YYYY")</f>
        <v>Dec 2025</v>
      </c>
      <c r="AA324" s="27"/>
      <c r="AB324" s="27">
        <f t="shared" si="40"/>
        <v>0</v>
      </c>
      <c r="AC324" s="27">
        <f t="shared" si="41"/>
        <v>0</v>
      </c>
    </row>
    <row r="325" spans="1:29">
      <c r="A325" t="s">
        <v>422</v>
      </c>
      <c r="B325" s="3">
        <v>46017</v>
      </c>
      <c r="C325" t="s">
        <v>82</v>
      </c>
      <c r="D325" t="s">
        <v>62</v>
      </c>
      <c r="E325" t="s">
        <v>79</v>
      </c>
      <c r="F325" t="s">
        <v>115</v>
      </c>
      <c r="G325" s="6">
        <v>2</v>
      </c>
      <c r="H325" s="4">
        <v>58.79</v>
      </c>
      <c r="I325" s="4">
        <v>35.22</v>
      </c>
      <c r="J325" s="5">
        <v>0.05</v>
      </c>
      <c r="K325" s="6">
        <v>2</v>
      </c>
      <c r="L325" s="6"/>
      <c r="M325" t="s">
        <v>58</v>
      </c>
      <c r="N325" t="s">
        <v>59</v>
      </c>
      <c r="O325" t="s">
        <v>64</v>
      </c>
      <c r="P325" t="str">
        <f t="shared" si="35"/>
        <v>Individual</v>
      </c>
      <c r="Q325" t="str">
        <f t="shared" si="36"/>
        <v>Midlands</v>
      </c>
      <c r="R325" t="str">
        <f>PROPER(TRIM(E325))</f>
        <v>Electronics</v>
      </c>
      <c r="S325" s="27">
        <f>IF(ISTEXT(B325),DATEVALUE(B325),B325)</f>
        <v>46017</v>
      </c>
      <c r="T325" s="27">
        <f>COUNTIF($A$2:$A$1986,A325)</f>
        <v>1</v>
      </c>
      <c r="U325" s="27" t="str">
        <f t="shared" si="37"/>
        <v>Wireless Headset</v>
      </c>
      <c r="V325" s="27">
        <f t="shared" si="38"/>
        <v>111.70099999999999</v>
      </c>
      <c r="W325" s="27">
        <f t="shared" si="39"/>
        <v>70.44</v>
      </c>
      <c r="X325" s="27">
        <f>RawSalesTable3[[#This Row],[Revenue]]-RawSalesTable3[[#This Row],[Total_Cost]]</f>
        <v>41.260999999999996</v>
      </c>
      <c r="Y325" s="28">
        <f>RawSalesTable3[[#This Row],[Profit]]/RawSalesTable3[[#This Row],[Revenue]]</f>
        <v>0.36938791953518768</v>
      </c>
      <c r="Z325" s="27" t="str">
        <f>TEXT(RawSalesTable3[[#This Row],[Order_Date_Clean]],"MMM YYYY")</f>
        <v>Dec 2025</v>
      </c>
      <c r="AA325" s="27"/>
      <c r="AB325" s="27">
        <f t="shared" si="40"/>
        <v>0</v>
      </c>
      <c r="AC325" s="27">
        <f t="shared" si="41"/>
        <v>0</v>
      </c>
    </row>
    <row r="326" spans="1:29">
      <c r="A326" t="s">
        <v>423</v>
      </c>
      <c r="B326" s="3">
        <v>45846</v>
      </c>
      <c r="C326" t="s">
        <v>78</v>
      </c>
      <c r="D326" t="s">
        <v>62</v>
      </c>
      <c r="E326" t="s">
        <v>56</v>
      </c>
      <c r="F326" t="s">
        <v>57</v>
      </c>
      <c r="G326" s="6">
        <v>1</v>
      </c>
      <c r="H326" s="4">
        <v>108.32</v>
      </c>
      <c r="I326" s="4">
        <v>69.989999999999995</v>
      </c>
      <c r="J326" s="5">
        <v>0</v>
      </c>
      <c r="K326" s="6">
        <v>1</v>
      </c>
      <c r="L326" s="6">
        <v>4</v>
      </c>
      <c r="M326" t="s">
        <v>58</v>
      </c>
      <c r="N326" t="s">
        <v>59</v>
      </c>
      <c r="O326" t="s">
        <v>60</v>
      </c>
      <c r="P326" t="str">
        <f t="shared" si="35"/>
        <v>Individual</v>
      </c>
      <c r="Q326" t="str">
        <f t="shared" si="36"/>
        <v>London</v>
      </c>
      <c r="R326" t="str">
        <f>PROPER(TRIM(E326))</f>
        <v>Home &amp; Kitchen</v>
      </c>
      <c r="S326" s="27">
        <f>IF(ISTEXT(B326),DATEVALUE(B326),B326)</f>
        <v>45846</v>
      </c>
      <c r="T326" s="27">
        <f>COUNTIF($A$2:$A$1986,A326)</f>
        <v>1</v>
      </c>
      <c r="U326" s="27" t="str">
        <f t="shared" si="37"/>
        <v>Air Fryer</v>
      </c>
      <c r="V326" s="27">
        <f t="shared" si="38"/>
        <v>108.32</v>
      </c>
      <c r="W326" s="27">
        <f t="shared" si="39"/>
        <v>69.989999999999995</v>
      </c>
      <c r="X326" s="27">
        <f>RawSalesTable3[[#This Row],[Revenue]]-RawSalesTable3[[#This Row],[Total_Cost]]</f>
        <v>38.33</v>
      </c>
      <c r="Y326" s="28">
        <f>RawSalesTable3[[#This Row],[Profit]]/RawSalesTable3[[#This Row],[Revenue]]</f>
        <v>0.35385893648449041</v>
      </c>
      <c r="Z326" s="27" t="str">
        <f>TEXT(RawSalesTable3[[#This Row],[Order_Date_Clean]],"MMM YYYY")</f>
        <v>Jul 2025</v>
      </c>
      <c r="AA326" s="27"/>
      <c r="AB326" s="27">
        <f t="shared" si="40"/>
        <v>0</v>
      </c>
      <c r="AC326" s="27">
        <f t="shared" si="41"/>
        <v>0</v>
      </c>
    </row>
    <row r="327" spans="1:29">
      <c r="A327" t="s">
        <v>424</v>
      </c>
      <c r="B327" s="3">
        <v>45775</v>
      </c>
      <c r="C327" t="s">
        <v>82</v>
      </c>
      <c r="D327" t="s">
        <v>55</v>
      </c>
      <c r="E327" t="s">
        <v>56</v>
      </c>
      <c r="F327" t="s">
        <v>63</v>
      </c>
      <c r="G327" s="6">
        <v>5</v>
      </c>
      <c r="H327" s="4">
        <v>39.479999999999997</v>
      </c>
      <c r="I327" s="4">
        <v>20.67</v>
      </c>
      <c r="J327" s="5">
        <v>0.05</v>
      </c>
      <c r="K327" s="6">
        <v>7</v>
      </c>
      <c r="L327" s="6">
        <v>3</v>
      </c>
      <c r="M327" t="s">
        <v>126</v>
      </c>
      <c r="N327" t="s">
        <v>59</v>
      </c>
      <c r="O327" t="s">
        <v>64</v>
      </c>
      <c r="P327" t="str">
        <f t="shared" si="35"/>
        <v>Small Business</v>
      </c>
      <c r="Q327" t="str">
        <f t="shared" si="36"/>
        <v>Midlands</v>
      </c>
      <c r="R327" t="str">
        <f>PROPER(TRIM(E327))</f>
        <v>Home &amp; Kitchen</v>
      </c>
      <c r="S327" s="27">
        <f>IF(ISTEXT(B327),DATEVALUE(B327),B327)</f>
        <v>45775</v>
      </c>
      <c r="T327" s="27">
        <f>COUNTIF($A$2:$A$1986,A327)</f>
        <v>1</v>
      </c>
      <c r="U327" s="27" t="str">
        <f t="shared" si="37"/>
        <v>Electric Kettle</v>
      </c>
      <c r="V327" s="27">
        <f t="shared" si="38"/>
        <v>187.52999999999997</v>
      </c>
      <c r="W327" s="27">
        <f t="shared" si="39"/>
        <v>103.35000000000001</v>
      </c>
      <c r="X327" s="27">
        <f>RawSalesTable3[[#This Row],[Revenue]]-RawSalesTable3[[#This Row],[Total_Cost]]</f>
        <v>84.179999999999964</v>
      </c>
      <c r="Y327" s="28">
        <f>RawSalesTable3[[#This Row],[Profit]]/RawSalesTable3[[#This Row],[Revenue]]</f>
        <v>0.44888817789153723</v>
      </c>
      <c r="Z327" s="27" t="str">
        <f>TEXT(RawSalesTable3[[#This Row],[Order_Date_Clean]],"MMM YYYY")</f>
        <v>Apr 2025</v>
      </c>
      <c r="AA327" s="27"/>
      <c r="AB327" s="27">
        <f t="shared" si="40"/>
        <v>0</v>
      </c>
      <c r="AC327" s="27">
        <f t="shared" si="41"/>
        <v>0</v>
      </c>
    </row>
    <row r="328" spans="1:29">
      <c r="A328" t="s">
        <v>425</v>
      </c>
      <c r="B328" s="3">
        <v>45855</v>
      </c>
      <c r="C328" t="s">
        <v>82</v>
      </c>
      <c r="D328" t="s">
        <v>62</v>
      </c>
      <c r="E328" t="s">
        <v>56</v>
      </c>
      <c r="F328" t="s">
        <v>57</v>
      </c>
      <c r="G328" s="6">
        <v>1</v>
      </c>
      <c r="H328" s="4">
        <v>113.68</v>
      </c>
      <c r="I328" s="4">
        <v>69.87</v>
      </c>
      <c r="J328" s="5">
        <v>0.1</v>
      </c>
      <c r="K328" s="6">
        <v>2</v>
      </c>
      <c r="L328" s="6">
        <v>4</v>
      </c>
      <c r="M328" t="s">
        <v>58</v>
      </c>
      <c r="N328" t="s">
        <v>59</v>
      </c>
      <c r="O328" t="s">
        <v>73</v>
      </c>
      <c r="P328" t="str">
        <f t="shared" si="35"/>
        <v>Individual</v>
      </c>
      <c r="Q328" t="str">
        <f t="shared" si="36"/>
        <v>Midlands</v>
      </c>
      <c r="R328" t="str">
        <f>PROPER(TRIM(E328))</f>
        <v>Home &amp; Kitchen</v>
      </c>
      <c r="S328" s="27">
        <f>IF(ISTEXT(B328),DATEVALUE(B328),B328)</f>
        <v>45855</v>
      </c>
      <c r="T328" s="27">
        <f>COUNTIF($A$2:$A$1986,A328)</f>
        <v>1</v>
      </c>
      <c r="U328" s="27" t="str">
        <f t="shared" si="37"/>
        <v>Air Fryer</v>
      </c>
      <c r="V328" s="27">
        <f t="shared" si="38"/>
        <v>102.31200000000001</v>
      </c>
      <c r="W328" s="27">
        <f t="shared" si="39"/>
        <v>69.87</v>
      </c>
      <c r="X328" s="27">
        <f>RawSalesTable3[[#This Row],[Revenue]]-RawSalesTable3[[#This Row],[Total_Cost]]</f>
        <v>32.442000000000007</v>
      </c>
      <c r="Y328" s="28">
        <f>RawSalesTable3[[#This Row],[Profit]]/RawSalesTable3[[#This Row],[Revenue]]</f>
        <v>0.31708890452732819</v>
      </c>
      <c r="Z328" s="27" t="str">
        <f>TEXT(RawSalesTable3[[#This Row],[Order_Date_Clean]],"MMM YYYY")</f>
        <v>Jul 2025</v>
      </c>
      <c r="AA328" s="27"/>
      <c r="AB328" s="27">
        <f t="shared" si="40"/>
        <v>0</v>
      </c>
      <c r="AC328" s="27">
        <f t="shared" si="41"/>
        <v>0</v>
      </c>
    </row>
    <row r="329" spans="1:29">
      <c r="A329" t="s">
        <v>426</v>
      </c>
      <c r="B329" s="3">
        <v>45678</v>
      </c>
      <c r="C329" t="s">
        <v>66</v>
      </c>
      <c r="D329" t="s">
        <v>62</v>
      </c>
      <c r="E329" t="s">
        <v>75</v>
      </c>
      <c r="F329" t="s">
        <v>97</v>
      </c>
      <c r="G329" s="6">
        <v>2</v>
      </c>
      <c r="H329" s="4">
        <v>88.83</v>
      </c>
      <c r="I329" s="4">
        <v>54.45</v>
      </c>
      <c r="J329" s="5">
        <v>0.05</v>
      </c>
      <c r="K329" s="6">
        <v>4</v>
      </c>
      <c r="L329" s="6">
        <v>5</v>
      </c>
      <c r="M329" t="s">
        <v>58</v>
      </c>
      <c r="N329" t="s">
        <v>59</v>
      </c>
      <c r="O329" t="s">
        <v>60</v>
      </c>
      <c r="P329" t="str">
        <f t="shared" si="35"/>
        <v>Individual</v>
      </c>
      <c r="Q329" t="str">
        <f t="shared" si="36"/>
        <v>South</v>
      </c>
      <c r="R329" t="str">
        <f>PROPER(TRIM(E329))</f>
        <v>Furniture</v>
      </c>
      <c r="S329" s="27">
        <f>IF(ISTEXT(B329),DATEVALUE(B329),B329)</f>
        <v>45678</v>
      </c>
      <c r="T329" s="27">
        <f>COUNTIF($A$2:$A$1986,A329)</f>
        <v>1</v>
      </c>
      <c r="U329" s="27" t="str">
        <f t="shared" si="37"/>
        <v>Side Table</v>
      </c>
      <c r="V329" s="27">
        <f t="shared" si="38"/>
        <v>168.77699999999999</v>
      </c>
      <c r="W329" s="27">
        <f t="shared" si="39"/>
        <v>108.9</v>
      </c>
      <c r="X329" s="27">
        <f>RawSalesTable3[[#This Row],[Revenue]]-RawSalesTable3[[#This Row],[Total_Cost]]</f>
        <v>59.876999999999981</v>
      </c>
      <c r="Y329" s="28">
        <f>RawSalesTable3[[#This Row],[Profit]]/RawSalesTable3[[#This Row],[Revenue]]</f>
        <v>0.35476990348210946</v>
      </c>
      <c r="Z329" s="27" t="str">
        <f>TEXT(RawSalesTable3[[#This Row],[Order_Date_Clean]],"MMM YYYY")</f>
        <v>Jan 2025</v>
      </c>
      <c r="AA329" s="27"/>
      <c r="AB329" s="27">
        <f t="shared" si="40"/>
        <v>0</v>
      </c>
      <c r="AC329" s="27">
        <f t="shared" si="41"/>
        <v>0</v>
      </c>
    </row>
    <row r="330" spans="1:29">
      <c r="A330" t="s">
        <v>427</v>
      </c>
      <c r="B330" s="3">
        <v>45914</v>
      </c>
      <c r="C330" t="s">
        <v>78</v>
      </c>
      <c r="D330" t="s">
        <v>129</v>
      </c>
      <c r="E330" t="s">
        <v>56</v>
      </c>
      <c r="F330" t="s">
        <v>83</v>
      </c>
      <c r="G330" s="6">
        <v>5</v>
      </c>
      <c r="H330" s="4">
        <v>64.540000000000006</v>
      </c>
      <c r="I330" s="4">
        <v>35.01</v>
      </c>
      <c r="J330" s="5">
        <v>0.05</v>
      </c>
      <c r="K330" s="6">
        <v>1</v>
      </c>
      <c r="L330" s="6">
        <v>5</v>
      </c>
      <c r="M330" t="s">
        <v>58</v>
      </c>
      <c r="N330" t="s">
        <v>69</v>
      </c>
      <c r="O330" t="s">
        <v>64</v>
      </c>
      <c r="P330" t="str">
        <f t="shared" si="35"/>
        <v>Corporate</v>
      </c>
      <c r="Q330" t="str">
        <f t="shared" si="36"/>
        <v>London</v>
      </c>
      <c r="R330" t="str">
        <f>PROPER(TRIM(E330))</f>
        <v>Home &amp; Kitchen</v>
      </c>
      <c r="S330" s="27">
        <f>IF(ISTEXT(B330),DATEVALUE(B330),B330)</f>
        <v>45914</v>
      </c>
      <c r="T330" s="27">
        <f>COUNTIF($A$2:$A$1986,A330)</f>
        <v>1</v>
      </c>
      <c r="U330" s="27" t="str">
        <f t="shared" si="37"/>
        <v>Blender</v>
      </c>
      <c r="V330" s="27">
        <f t="shared" si="38"/>
        <v>306.56500000000005</v>
      </c>
      <c r="W330" s="27">
        <f t="shared" si="39"/>
        <v>175.04999999999998</v>
      </c>
      <c r="X330" s="27">
        <f>RawSalesTable3[[#This Row],[Revenue]]-RawSalesTable3[[#This Row],[Total_Cost]]</f>
        <v>131.51500000000007</v>
      </c>
      <c r="Y330" s="28">
        <f>RawSalesTable3[[#This Row],[Profit]]/RawSalesTable3[[#This Row],[Revenue]]</f>
        <v>0.42899548219790273</v>
      </c>
      <c r="Z330" s="27" t="str">
        <f>TEXT(RawSalesTable3[[#This Row],[Order_Date_Clean]],"MMM YYYY")</f>
        <v>Sep 2025</v>
      </c>
      <c r="AA330" s="27"/>
      <c r="AB330" s="27">
        <f t="shared" si="40"/>
        <v>0</v>
      </c>
      <c r="AC330" s="27">
        <f t="shared" si="41"/>
        <v>0</v>
      </c>
    </row>
    <row r="331" spans="1:29">
      <c r="A331" t="s">
        <v>428</v>
      </c>
      <c r="B331" s="3">
        <v>46004</v>
      </c>
      <c r="C331" t="s">
        <v>78</v>
      </c>
      <c r="D331" t="s">
        <v>129</v>
      </c>
      <c r="E331" t="s">
        <v>67</v>
      </c>
      <c r="F331" t="s">
        <v>71</v>
      </c>
      <c r="G331" s="6">
        <v>4</v>
      </c>
      <c r="H331" s="4">
        <v>70.11</v>
      </c>
      <c r="I331" s="4">
        <v>37.29</v>
      </c>
      <c r="J331" s="5">
        <v>0.2</v>
      </c>
      <c r="K331" s="6">
        <v>1</v>
      </c>
      <c r="L331" s="6">
        <v>5</v>
      </c>
      <c r="M331" t="s">
        <v>58</v>
      </c>
      <c r="N331" t="s">
        <v>69</v>
      </c>
      <c r="O331" t="s">
        <v>64</v>
      </c>
      <c r="P331" t="str">
        <f t="shared" si="35"/>
        <v>Corporate</v>
      </c>
      <c r="Q331" t="str">
        <f t="shared" si="36"/>
        <v>London</v>
      </c>
      <c r="R331" t="str">
        <f>PROPER(TRIM(E331))</f>
        <v>Office</v>
      </c>
      <c r="S331" s="27">
        <f>IF(ISTEXT(B331),DATEVALUE(B331),B331)</f>
        <v>46004</v>
      </c>
      <c r="T331" s="27">
        <f>COUNTIF($A$2:$A$1986,A331)</f>
        <v>1</v>
      </c>
      <c r="U331" s="27" t="str">
        <f t="shared" si="37"/>
        <v>Ergonomic Keyboard</v>
      </c>
      <c r="V331" s="27">
        <f t="shared" si="38"/>
        <v>224.352</v>
      </c>
      <c r="W331" s="27">
        <f t="shared" si="39"/>
        <v>149.16</v>
      </c>
      <c r="X331" s="27">
        <f>RawSalesTable3[[#This Row],[Revenue]]-RawSalesTable3[[#This Row],[Total_Cost]]</f>
        <v>75.192000000000007</v>
      </c>
      <c r="Y331" s="28">
        <f>RawSalesTable3[[#This Row],[Profit]]/RawSalesTable3[[#This Row],[Revenue]]</f>
        <v>0.33515190415062046</v>
      </c>
      <c r="Z331" s="27" t="str">
        <f>TEXT(RawSalesTable3[[#This Row],[Order_Date_Clean]],"MMM YYYY")</f>
        <v>Dec 2025</v>
      </c>
      <c r="AA331" s="27"/>
      <c r="AB331" s="27">
        <f t="shared" si="40"/>
        <v>0</v>
      </c>
      <c r="AC331" s="27">
        <f t="shared" si="41"/>
        <v>0</v>
      </c>
    </row>
    <row r="332" spans="1:29">
      <c r="A332" t="s">
        <v>429</v>
      </c>
      <c r="B332" s="3">
        <v>45849</v>
      </c>
      <c r="C332" t="s">
        <v>66</v>
      </c>
      <c r="D332" t="s">
        <v>55</v>
      </c>
      <c r="E332" t="s">
        <v>75</v>
      </c>
      <c r="F332" t="s">
        <v>97</v>
      </c>
      <c r="G332" s="6">
        <v>2</v>
      </c>
      <c r="H332" s="4">
        <v>89.78</v>
      </c>
      <c r="I332" s="4">
        <v>54.21</v>
      </c>
      <c r="J332" s="5">
        <v>0.1</v>
      </c>
      <c r="K332" s="6">
        <v>3</v>
      </c>
      <c r="L332" s="6">
        <v>3</v>
      </c>
      <c r="M332" t="s">
        <v>126</v>
      </c>
      <c r="N332" t="s">
        <v>69</v>
      </c>
      <c r="O332" t="s">
        <v>64</v>
      </c>
      <c r="P332" t="str">
        <f t="shared" si="35"/>
        <v>Small Business</v>
      </c>
      <c r="Q332" t="str">
        <f t="shared" si="36"/>
        <v>South</v>
      </c>
      <c r="R332" t="str">
        <f>PROPER(TRIM(E332))</f>
        <v>Furniture</v>
      </c>
      <c r="S332" s="27">
        <f>IF(ISTEXT(B332),DATEVALUE(B332),B332)</f>
        <v>45849</v>
      </c>
      <c r="T332" s="27">
        <f>COUNTIF($A$2:$A$1986,A332)</f>
        <v>1</v>
      </c>
      <c r="U332" s="27" t="str">
        <f t="shared" si="37"/>
        <v>Side Table</v>
      </c>
      <c r="V332" s="27">
        <f t="shared" si="38"/>
        <v>161.60400000000001</v>
      </c>
      <c r="W332" s="27">
        <f t="shared" si="39"/>
        <v>108.42</v>
      </c>
      <c r="X332" s="27">
        <f>RawSalesTable3[[#This Row],[Revenue]]-RawSalesTable3[[#This Row],[Total_Cost]]</f>
        <v>53.184000000000012</v>
      </c>
      <c r="Y332" s="28">
        <f>RawSalesTable3[[#This Row],[Profit]]/RawSalesTable3[[#This Row],[Revenue]]</f>
        <v>0.32910076483255368</v>
      </c>
      <c r="Z332" s="27" t="str">
        <f>TEXT(RawSalesTable3[[#This Row],[Order_Date_Clean]],"MMM YYYY")</f>
        <v>Jul 2025</v>
      </c>
      <c r="AA332" s="27"/>
      <c r="AB332" s="27">
        <f t="shared" si="40"/>
        <v>0</v>
      </c>
      <c r="AC332" s="27">
        <f t="shared" si="41"/>
        <v>0</v>
      </c>
    </row>
    <row r="333" spans="1:29">
      <c r="A333" t="s">
        <v>430</v>
      </c>
      <c r="B333" s="3">
        <v>46019</v>
      </c>
      <c r="C333" t="s">
        <v>66</v>
      </c>
      <c r="D333" t="s">
        <v>129</v>
      </c>
      <c r="E333" t="s">
        <v>56</v>
      </c>
      <c r="F333" t="s">
        <v>89</v>
      </c>
      <c r="G333" s="6">
        <v>2</v>
      </c>
      <c r="H333" s="4">
        <v>80.03</v>
      </c>
      <c r="I333" s="4">
        <v>44.09</v>
      </c>
      <c r="J333" s="5">
        <v>0.1</v>
      </c>
      <c r="K333" s="6">
        <v>3</v>
      </c>
      <c r="L333" s="6">
        <v>4</v>
      </c>
      <c r="M333" t="s">
        <v>58</v>
      </c>
      <c r="N333" t="s">
        <v>59</v>
      </c>
      <c r="O333" t="s">
        <v>60</v>
      </c>
      <c r="P333" t="str">
        <f t="shared" si="35"/>
        <v>Corporate</v>
      </c>
      <c r="Q333" t="str">
        <f t="shared" si="36"/>
        <v>South</v>
      </c>
      <c r="R333" t="str">
        <f>PROPER(TRIM(E333))</f>
        <v>Home &amp; Kitchen</v>
      </c>
      <c r="S333" s="27">
        <f>IF(ISTEXT(B333),DATEVALUE(B333),B333)</f>
        <v>46019</v>
      </c>
      <c r="T333" s="27">
        <f>COUNTIF($A$2:$A$1986,A333)</f>
        <v>1</v>
      </c>
      <c r="U333" s="27" t="str">
        <f t="shared" si="37"/>
        <v>Coffee Maker</v>
      </c>
      <c r="V333" s="27">
        <f t="shared" si="38"/>
        <v>144.054</v>
      </c>
      <c r="W333" s="27">
        <f t="shared" si="39"/>
        <v>88.18</v>
      </c>
      <c r="X333" s="27">
        <f>RawSalesTable3[[#This Row],[Revenue]]-RawSalesTable3[[#This Row],[Total_Cost]]</f>
        <v>55.873999999999995</v>
      </c>
      <c r="Y333" s="28">
        <f>RawSalesTable3[[#This Row],[Profit]]/RawSalesTable3[[#This Row],[Revenue]]</f>
        <v>0.38786843822455463</v>
      </c>
      <c r="Z333" s="27" t="str">
        <f>TEXT(RawSalesTable3[[#This Row],[Order_Date_Clean]],"MMM YYYY")</f>
        <v>Dec 2025</v>
      </c>
      <c r="AA333" s="27"/>
      <c r="AB333" s="27">
        <f t="shared" si="40"/>
        <v>0</v>
      </c>
      <c r="AC333" s="27">
        <f t="shared" si="41"/>
        <v>0</v>
      </c>
    </row>
    <row r="334" spans="1:29">
      <c r="A334" t="s">
        <v>431</v>
      </c>
      <c r="B334" s="3">
        <v>45667</v>
      </c>
      <c r="C334" t="s">
        <v>82</v>
      </c>
      <c r="D334" t="s">
        <v>62</v>
      </c>
      <c r="E334" t="s">
        <v>79</v>
      </c>
      <c r="F334" t="s">
        <v>92</v>
      </c>
      <c r="G334" s="6">
        <v>2</v>
      </c>
      <c r="H334" s="4">
        <v>51.34</v>
      </c>
      <c r="I334" s="4">
        <v>27.24</v>
      </c>
      <c r="J334" s="5">
        <v>0</v>
      </c>
      <c r="K334" s="6">
        <v>1</v>
      </c>
      <c r="L334" s="6">
        <v>5</v>
      </c>
      <c r="M334" t="s">
        <v>58</v>
      </c>
      <c r="N334" t="s">
        <v>69</v>
      </c>
      <c r="O334" t="s">
        <v>64</v>
      </c>
      <c r="P334" t="str">
        <f t="shared" si="35"/>
        <v>Individual</v>
      </c>
      <c r="Q334" t="str">
        <f t="shared" si="36"/>
        <v>Midlands</v>
      </c>
      <c r="R334" t="str">
        <f>PROPER(TRIM(E334))</f>
        <v>Electronics</v>
      </c>
      <c r="S334" s="27">
        <f>IF(ISTEXT(B334),DATEVALUE(B334),B334)</f>
        <v>45667</v>
      </c>
      <c r="T334" s="27">
        <f>COUNTIF($A$2:$A$1986,A334)</f>
        <v>1</v>
      </c>
      <c r="U334" s="27" t="str">
        <f t="shared" si="37"/>
        <v>Webcam</v>
      </c>
      <c r="V334" s="27">
        <f t="shared" si="38"/>
        <v>102.68</v>
      </c>
      <c r="W334" s="27">
        <f t="shared" si="39"/>
        <v>54.48</v>
      </c>
      <c r="X334" s="27">
        <f>RawSalesTable3[[#This Row],[Revenue]]-RawSalesTable3[[#This Row],[Total_Cost]]</f>
        <v>48.20000000000001</v>
      </c>
      <c r="Y334" s="28">
        <f>RawSalesTable3[[#This Row],[Profit]]/RawSalesTable3[[#This Row],[Revenue]]</f>
        <v>0.46941955590183099</v>
      </c>
      <c r="Z334" s="27" t="str">
        <f>TEXT(RawSalesTable3[[#This Row],[Order_Date_Clean]],"MMM YYYY")</f>
        <v>Jan 2025</v>
      </c>
      <c r="AA334" s="27"/>
      <c r="AB334" s="27">
        <f t="shared" si="40"/>
        <v>0</v>
      </c>
      <c r="AC334" s="27">
        <f t="shared" si="41"/>
        <v>0</v>
      </c>
    </row>
    <row r="335" spans="1:29">
      <c r="A335" t="s">
        <v>432</v>
      </c>
      <c r="B335" s="3">
        <v>45816</v>
      </c>
      <c r="C335" t="s">
        <v>66</v>
      </c>
      <c r="D335" t="s">
        <v>62</v>
      </c>
      <c r="E335" t="s">
        <v>56</v>
      </c>
      <c r="F335" t="s">
        <v>89</v>
      </c>
      <c r="G335" s="6">
        <v>1</v>
      </c>
      <c r="H335" s="4">
        <v>81.2</v>
      </c>
      <c r="I335" s="4">
        <v>44.38</v>
      </c>
      <c r="J335" s="5">
        <v>0</v>
      </c>
      <c r="K335" s="6">
        <v>1</v>
      </c>
      <c r="L335" s="6">
        <v>3</v>
      </c>
      <c r="M335" t="s">
        <v>126</v>
      </c>
      <c r="N335" t="s">
        <v>59</v>
      </c>
      <c r="O335" t="s">
        <v>64</v>
      </c>
      <c r="P335" t="str">
        <f t="shared" si="35"/>
        <v>Individual</v>
      </c>
      <c r="Q335" t="str">
        <f t="shared" si="36"/>
        <v>South</v>
      </c>
      <c r="R335" t="str">
        <f>PROPER(TRIM(E335))</f>
        <v>Home &amp; Kitchen</v>
      </c>
      <c r="S335" s="27">
        <f>IF(ISTEXT(B335),DATEVALUE(B335),B335)</f>
        <v>45816</v>
      </c>
      <c r="T335" s="27">
        <f>COUNTIF($A$2:$A$1986,A335)</f>
        <v>1</v>
      </c>
      <c r="U335" s="27" t="str">
        <f t="shared" si="37"/>
        <v>Coffee Maker</v>
      </c>
      <c r="V335" s="27">
        <f t="shared" si="38"/>
        <v>81.2</v>
      </c>
      <c r="W335" s="27">
        <f t="shared" si="39"/>
        <v>44.38</v>
      </c>
      <c r="X335" s="27">
        <f>RawSalesTable3[[#This Row],[Revenue]]-RawSalesTable3[[#This Row],[Total_Cost]]</f>
        <v>36.82</v>
      </c>
      <c r="Y335" s="28">
        <f>RawSalesTable3[[#This Row],[Profit]]/RawSalesTable3[[#This Row],[Revenue]]</f>
        <v>0.45344827586206893</v>
      </c>
      <c r="Z335" s="27" t="str">
        <f>TEXT(RawSalesTable3[[#This Row],[Order_Date_Clean]],"MMM YYYY")</f>
        <v>Jun 2025</v>
      </c>
      <c r="AA335" s="27"/>
      <c r="AB335" s="27">
        <f t="shared" si="40"/>
        <v>0</v>
      </c>
      <c r="AC335" s="27">
        <f t="shared" si="41"/>
        <v>0</v>
      </c>
    </row>
    <row r="336" spans="1:29">
      <c r="A336" t="s">
        <v>433</v>
      </c>
      <c r="B336" s="3">
        <v>45721</v>
      </c>
      <c r="C336" t="s">
        <v>78</v>
      </c>
      <c r="D336" t="s">
        <v>62</v>
      </c>
      <c r="E336" t="s">
        <v>227</v>
      </c>
      <c r="F336" t="s">
        <v>85</v>
      </c>
      <c r="G336" s="6">
        <v>3</v>
      </c>
      <c r="H336" s="4">
        <v>131.51</v>
      </c>
      <c r="I336" s="4">
        <v>82.5</v>
      </c>
      <c r="J336" s="5">
        <v>0.1</v>
      </c>
      <c r="K336" s="6">
        <v>1</v>
      </c>
      <c r="L336" s="6">
        <v>4</v>
      </c>
      <c r="M336" t="s">
        <v>58</v>
      </c>
      <c r="N336" t="s">
        <v>69</v>
      </c>
      <c r="O336" t="s">
        <v>64</v>
      </c>
      <c r="P336" t="str">
        <f t="shared" si="35"/>
        <v>Individual</v>
      </c>
      <c r="Q336" t="str">
        <f t="shared" si="36"/>
        <v>London</v>
      </c>
      <c r="R336" t="str">
        <f>PROPER(TRIM(E336))</f>
        <v>Electronics</v>
      </c>
      <c r="S336" s="27">
        <f>IF(ISTEXT(B336),DATEVALUE(B336),B336)</f>
        <v>45721</v>
      </c>
      <c r="T336" s="27">
        <f>COUNTIF($A$2:$A$1986,A336)</f>
        <v>1</v>
      </c>
      <c r="U336" s="27" t="str">
        <f t="shared" si="37"/>
        <v>SmartHome Hub</v>
      </c>
      <c r="V336" s="27">
        <f t="shared" si="38"/>
        <v>355.077</v>
      </c>
      <c r="W336" s="27">
        <f t="shared" si="39"/>
        <v>247.5</v>
      </c>
      <c r="X336" s="27">
        <f>RawSalesTable3[[#This Row],[Revenue]]-RawSalesTable3[[#This Row],[Total_Cost]]</f>
        <v>107.577</v>
      </c>
      <c r="Y336" s="28">
        <f>RawSalesTable3[[#This Row],[Profit]]/RawSalesTable3[[#This Row],[Revenue]]</f>
        <v>0.30296808861176588</v>
      </c>
      <c r="Z336" s="27" t="str">
        <f>TEXT(RawSalesTable3[[#This Row],[Order_Date_Clean]],"MMM YYYY")</f>
        <v>Mar 2025</v>
      </c>
      <c r="AA336" s="27"/>
      <c r="AB336" s="27">
        <f t="shared" si="40"/>
        <v>0</v>
      </c>
      <c r="AC336" s="27">
        <f t="shared" si="41"/>
        <v>0</v>
      </c>
    </row>
    <row r="337" spans="1:29">
      <c r="A337" t="s">
        <v>434</v>
      </c>
      <c r="B337" s="3">
        <v>46011</v>
      </c>
      <c r="C337" t="s">
        <v>78</v>
      </c>
      <c r="D337" t="s">
        <v>129</v>
      </c>
      <c r="E337" t="s">
        <v>75</v>
      </c>
      <c r="F337" t="s">
        <v>76</v>
      </c>
      <c r="G337" s="6">
        <v>4</v>
      </c>
      <c r="H337" s="4">
        <v>118.38</v>
      </c>
      <c r="I337" s="4">
        <v>71.77</v>
      </c>
      <c r="J337" s="5">
        <v>0.25</v>
      </c>
      <c r="K337" s="6">
        <v>6</v>
      </c>
      <c r="L337" s="6">
        <v>4</v>
      </c>
      <c r="M337" t="s">
        <v>58</v>
      </c>
      <c r="N337" t="s">
        <v>59</v>
      </c>
      <c r="O337" t="s">
        <v>73</v>
      </c>
      <c r="P337" t="str">
        <f t="shared" si="35"/>
        <v>Corporate</v>
      </c>
      <c r="Q337" t="str">
        <f t="shared" si="36"/>
        <v>London</v>
      </c>
      <c r="R337" t="str">
        <f>PROPER(TRIM(E337))</f>
        <v>Furniture</v>
      </c>
      <c r="S337" s="27">
        <f>IF(ISTEXT(B337),DATEVALUE(B337),B337)</f>
        <v>46011</v>
      </c>
      <c r="T337" s="27">
        <f>COUNTIF($A$2:$A$1986,A337)</f>
        <v>1</v>
      </c>
      <c r="U337" s="27" t="str">
        <f t="shared" si="37"/>
        <v>Bookshelf</v>
      </c>
      <c r="V337" s="27">
        <f t="shared" si="38"/>
        <v>355.14</v>
      </c>
      <c r="W337" s="27">
        <f t="shared" si="39"/>
        <v>287.08</v>
      </c>
      <c r="X337" s="27">
        <f>RawSalesTable3[[#This Row],[Revenue]]-RawSalesTable3[[#This Row],[Total_Cost]]</f>
        <v>68.06</v>
      </c>
      <c r="Y337" s="28">
        <f>RawSalesTable3[[#This Row],[Profit]]/RawSalesTable3[[#This Row],[Revenue]]</f>
        <v>0.19164273244354341</v>
      </c>
      <c r="Z337" s="27" t="str">
        <f>TEXT(RawSalesTable3[[#This Row],[Order_Date_Clean]],"MMM YYYY")</f>
        <v>Dec 2025</v>
      </c>
      <c r="AA337" s="27"/>
      <c r="AB337" s="27">
        <f t="shared" si="40"/>
        <v>0</v>
      </c>
      <c r="AC337" s="27">
        <f t="shared" si="41"/>
        <v>0</v>
      </c>
    </row>
    <row r="338" spans="1:29">
      <c r="A338" t="s">
        <v>435</v>
      </c>
      <c r="B338" s="3">
        <v>45902</v>
      </c>
      <c r="C338" t="s">
        <v>66</v>
      </c>
      <c r="D338" t="s">
        <v>62</v>
      </c>
      <c r="E338" t="s">
        <v>79</v>
      </c>
      <c r="F338" t="s">
        <v>80</v>
      </c>
      <c r="G338" s="6">
        <v>2</v>
      </c>
      <c r="H338" s="4">
        <v>76.08</v>
      </c>
      <c r="I338" s="4">
        <v>41.72</v>
      </c>
      <c r="J338" s="5">
        <v>0.1</v>
      </c>
      <c r="K338" s="6">
        <v>0</v>
      </c>
      <c r="L338" s="6">
        <v>4</v>
      </c>
      <c r="M338" t="s">
        <v>58</v>
      </c>
      <c r="N338" t="s">
        <v>69</v>
      </c>
      <c r="O338" t="s">
        <v>64</v>
      </c>
      <c r="P338" t="str">
        <f t="shared" si="35"/>
        <v>Individual</v>
      </c>
      <c r="Q338" t="str">
        <f t="shared" si="36"/>
        <v>South</v>
      </c>
      <c r="R338" t="str">
        <f>PROPER(TRIM(E338))</f>
        <v>Electronics</v>
      </c>
      <c r="S338" s="27">
        <f>IF(ISTEXT(B338),DATEVALUE(B338),B338)</f>
        <v>45902</v>
      </c>
      <c r="T338" s="27">
        <f>COUNTIF($A$2:$A$1986,A338)</f>
        <v>1</v>
      </c>
      <c r="U338" s="27" t="str">
        <f t="shared" si="37"/>
        <v>Portable Speaker</v>
      </c>
      <c r="V338" s="27">
        <f t="shared" si="38"/>
        <v>136.94399999999999</v>
      </c>
      <c r="W338" s="27">
        <f t="shared" si="39"/>
        <v>83.44</v>
      </c>
      <c r="X338" s="27">
        <f>RawSalesTable3[[#This Row],[Revenue]]-RawSalesTable3[[#This Row],[Total_Cost]]</f>
        <v>53.503999999999991</v>
      </c>
      <c r="Y338" s="28">
        <f>RawSalesTable3[[#This Row],[Profit]]/RawSalesTable3[[#This Row],[Revenue]]</f>
        <v>0.39069984811309727</v>
      </c>
      <c r="Z338" s="27" t="str">
        <f>TEXT(RawSalesTable3[[#This Row],[Order_Date_Clean]],"MMM YYYY")</f>
        <v>Sep 2025</v>
      </c>
      <c r="AA338" s="27"/>
      <c r="AB338" s="27">
        <f t="shared" si="40"/>
        <v>0</v>
      </c>
      <c r="AC338" s="27">
        <f t="shared" si="41"/>
        <v>0</v>
      </c>
    </row>
    <row r="339" spans="1:29">
      <c r="A339" t="s">
        <v>436</v>
      </c>
      <c r="B339" s="3">
        <v>45834</v>
      </c>
      <c r="C339" t="s">
        <v>66</v>
      </c>
      <c r="D339" t="s">
        <v>62</v>
      </c>
      <c r="E339" t="s">
        <v>56</v>
      </c>
      <c r="F339" t="s">
        <v>83</v>
      </c>
      <c r="G339" s="6">
        <v>1</v>
      </c>
      <c r="H339" s="4">
        <v>63.09</v>
      </c>
      <c r="I339" s="4">
        <v>35.840000000000003</v>
      </c>
      <c r="J339" s="5">
        <v>0.05</v>
      </c>
      <c r="K339" s="6">
        <v>4</v>
      </c>
      <c r="L339" s="6">
        <v>5</v>
      </c>
      <c r="M339" t="s">
        <v>58</v>
      </c>
      <c r="N339" t="s">
        <v>69</v>
      </c>
      <c r="O339" t="s">
        <v>64</v>
      </c>
      <c r="P339" t="str">
        <f t="shared" si="35"/>
        <v>Individual</v>
      </c>
      <c r="Q339" t="str">
        <f t="shared" si="36"/>
        <v>South</v>
      </c>
      <c r="R339" t="str">
        <f>PROPER(TRIM(E339))</f>
        <v>Home &amp; Kitchen</v>
      </c>
      <c r="S339" s="27">
        <f>IF(ISTEXT(B339),DATEVALUE(B339),B339)</f>
        <v>45834</v>
      </c>
      <c r="T339" s="27">
        <f>COUNTIF($A$2:$A$1986,A339)</f>
        <v>1</v>
      </c>
      <c r="U339" s="27" t="str">
        <f t="shared" si="37"/>
        <v>Blender</v>
      </c>
      <c r="V339" s="27">
        <f t="shared" si="38"/>
        <v>59.935499999999998</v>
      </c>
      <c r="W339" s="27">
        <f t="shared" si="39"/>
        <v>35.840000000000003</v>
      </c>
      <c r="X339" s="27">
        <f>RawSalesTable3[[#This Row],[Revenue]]-RawSalesTable3[[#This Row],[Total_Cost]]</f>
        <v>24.095499999999994</v>
      </c>
      <c r="Y339" s="28">
        <f>RawSalesTable3[[#This Row],[Profit]]/RawSalesTable3[[#This Row],[Revenue]]</f>
        <v>0.402023842297136</v>
      </c>
      <c r="Z339" s="27" t="str">
        <f>TEXT(RawSalesTable3[[#This Row],[Order_Date_Clean]],"MMM YYYY")</f>
        <v>Jun 2025</v>
      </c>
      <c r="AA339" s="27"/>
      <c r="AB339" s="27">
        <f t="shared" si="40"/>
        <v>0</v>
      </c>
      <c r="AC339" s="27">
        <f t="shared" si="41"/>
        <v>0</v>
      </c>
    </row>
    <row r="340" spans="1:29">
      <c r="A340" t="s">
        <v>437</v>
      </c>
      <c r="B340" s="3">
        <v>45899</v>
      </c>
      <c r="C340" t="s">
        <v>82</v>
      </c>
      <c r="D340" t="s">
        <v>62</v>
      </c>
      <c r="E340" t="s">
        <v>79</v>
      </c>
      <c r="F340" t="s">
        <v>80</v>
      </c>
      <c r="G340" s="6">
        <v>1</v>
      </c>
      <c r="H340" s="4">
        <v>76.17</v>
      </c>
      <c r="I340" s="4">
        <v>42.7</v>
      </c>
      <c r="J340" s="5">
        <v>0</v>
      </c>
      <c r="K340" s="6">
        <v>3</v>
      </c>
      <c r="L340" s="6">
        <v>5</v>
      </c>
      <c r="M340" t="s">
        <v>58</v>
      </c>
      <c r="N340" t="s">
        <v>59</v>
      </c>
      <c r="O340" t="s">
        <v>64</v>
      </c>
      <c r="P340" t="str">
        <f t="shared" si="35"/>
        <v>Individual</v>
      </c>
      <c r="Q340" t="str">
        <f t="shared" si="36"/>
        <v>Midlands</v>
      </c>
      <c r="R340" t="str">
        <f>PROPER(TRIM(E340))</f>
        <v>Electronics</v>
      </c>
      <c r="S340" s="27">
        <f>IF(ISTEXT(B340),DATEVALUE(B340),B340)</f>
        <v>45899</v>
      </c>
      <c r="T340" s="27">
        <f>COUNTIF($A$2:$A$1986,A340)</f>
        <v>1</v>
      </c>
      <c r="U340" s="27" t="str">
        <f t="shared" si="37"/>
        <v>Portable Speaker</v>
      </c>
      <c r="V340" s="27">
        <f t="shared" si="38"/>
        <v>76.17</v>
      </c>
      <c r="W340" s="27">
        <f t="shared" si="39"/>
        <v>42.7</v>
      </c>
      <c r="X340" s="27">
        <f>RawSalesTable3[[#This Row],[Revenue]]-RawSalesTable3[[#This Row],[Total_Cost]]</f>
        <v>33.47</v>
      </c>
      <c r="Y340" s="28">
        <f>RawSalesTable3[[#This Row],[Profit]]/RawSalesTable3[[#This Row],[Revenue]]</f>
        <v>0.43941184193251936</v>
      </c>
      <c r="Z340" s="27" t="str">
        <f>TEXT(RawSalesTable3[[#This Row],[Order_Date_Clean]],"MMM YYYY")</f>
        <v>Aug 2025</v>
      </c>
      <c r="AA340" s="27"/>
      <c r="AB340" s="27">
        <f t="shared" si="40"/>
        <v>0</v>
      </c>
      <c r="AC340" s="27">
        <f t="shared" si="41"/>
        <v>0</v>
      </c>
    </row>
    <row r="341" spans="1:29">
      <c r="A341" t="s">
        <v>438</v>
      </c>
      <c r="B341" s="3">
        <v>45662</v>
      </c>
      <c r="C341" t="s">
        <v>78</v>
      </c>
      <c r="D341" t="s">
        <v>62</v>
      </c>
      <c r="E341" t="s">
        <v>79</v>
      </c>
      <c r="F341" t="s">
        <v>80</v>
      </c>
      <c r="G341" s="6">
        <v>4</v>
      </c>
      <c r="H341" s="4">
        <v>76.37</v>
      </c>
      <c r="I341" s="4">
        <v>44.87</v>
      </c>
      <c r="J341" s="5">
        <v>0.05</v>
      </c>
      <c r="K341" s="6">
        <v>4</v>
      </c>
      <c r="L341" s="6">
        <v>4</v>
      </c>
      <c r="M341" t="s">
        <v>58</v>
      </c>
      <c r="N341" t="s">
        <v>59</v>
      </c>
      <c r="O341" t="s">
        <v>64</v>
      </c>
      <c r="P341" t="str">
        <f t="shared" si="35"/>
        <v>Individual</v>
      </c>
      <c r="Q341" t="str">
        <f t="shared" si="36"/>
        <v>London</v>
      </c>
      <c r="R341" t="str">
        <f>PROPER(TRIM(E341))</f>
        <v>Electronics</v>
      </c>
      <c r="S341" s="27">
        <f>IF(ISTEXT(B341),DATEVALUE(B341),B341)</f>
        <v>45662</v>
      </c>
      <c r="T341" s="27">
        <f>COUNTIF($A$2:$A$1986,A341)</f>
        <v>1</v>
      </c>
      <c r="U341" s="27" t="str">
        <f t="shared" si="37"/>
        <v>Portable Speaker</v>
      </c>
      <c r="V341" s="27">
        <f t="shared" si="38"/>
        <v>290.20600000000002</v>
      </c>
      <c r="W341" s="27">
        <f t="shared" si="39"/>
        <v>179.48</v>
      </c>
      <c r="X341" s="27">
        <f>RawSalesTable3[[#This Row],[Revenue]]-RawSalesTable3[[#This Row],[Total_Cost]]</f>
        <v>110.72600000000003</v>
      </c>
      <c r="Y341" s="28">
        <f>RawSalesTable3[[#This Row],[Profit]]/RawSalesTable3[[#This Row],[Revenue]]</f>
        <v>0.38154276617299443</v>
      </c>
      <c r="Z341" s="27" t="str">
        <f>TEXT(RawSalesTable3[[#This Row],[Order_Date_Clean]],"MMM YYYY")</f>
        <v>Jan 2025</v>
      </c>
      <c r="AA341" s="27"/>
      <c r="AB341" s="27">
        <f t="shared" si="40"/>
        <v>0</v>
      </c>
      <c r="AC341" s="27">
        <f t="shared" si="41"/>
        <v>0</v>
      </c>
    </row>
    <row r="342" spans="1:29">
      <c r="A342" t="s">
        <v>439</v>
      </c>
      <c r="B342" s="3">
        <v>45878</v>
      </c>
      <c r="C342" t="s">
        <v>78</v>
      </c>
      <c r="D342" t="s">
        <v>55</v>
      </c>
      <c r="E342" t="s">
        <v>67</v>
      </c>
      <c r="F342" t="s">
        <v>71</v>
      </c>
      <c r="G342" s="6">
        <v>1</v>
      </c>
      <c r="H342" s="4">
        <v>72.09</v>
      </c>
      <c r="I342" s="4">
        <v>37.869999999999997</v>
      </c>
      <c r="J342" s="5">
        <v>0.1</v>
      </c>
      <c r="K342" s="6">
        <v>5</v>
      </c>
      <c r="L342" s="6">
        <v>4</v>
      </c>
      <c r="M342" t="s">
        <v>58</v>
      </c>
      <c r="N342" t="s">
        <v>87</v>
      </c>
      <c r="O342" t="s">
        <v>64</v>
      </c>
      <c r="P342" t="str">
        <f t="shared" si="35"/>
        <v>Small Business</v>
      </c>
      <c r="Q342" t="str">
        <f t="shared" si="36"/>
        <v>London</v>
      </c>
      <c r="R342" t="str">
        <f>PROPER(TRIM(E342))</f>
        <v>Office</v>
      </c>
      <c r="S342" s="27">
        <f>IF(ISTEXT(B342),DATEVALUE(B342),B342)</f>
        <v>45878</v>
      </c>
      <c r="T342" s="27">
        <f>COUNTIF($A$2:$A$1986,A342)</f>
        <v>1</v>
      </c>
      <c r="U342" s="27" t="str">
        <f t="shared" si="37"/>
        <v>Ergonomic Keyboard</v>
      </c>
      <c r="V342" s="27">
        <f t="shared" si="38"/>
        <v>64.881</v>
      </c>
      <c r="W342" s="27">
        <f t="shared" si="39"/>
        <v>37.869999999999997</v>
      </c>
      <c r="X342" s="27">
        <f>RawSalesTable3[[#This Row],[Revenue]]-RawSalesTable3[[#This Row],[Total_Cost]]</f>
        <v>27.011000000000003</v>
      </c>
      <c r="Y342" s="28">
        <f>RawSalesTable3[[#This Row],[Profit]]/RawSalesTable3[[#This Row],[Revenue]]</f>
        <v>0.41631602472218371</v>
      </c>
      <c r="Z342" s="27" t="str">
        <f>TEXT(RawSalesTable3[[#This Row],[Order_Date_Clean]],"MMM YYYY")</f>
        <v>Aug 2025</v>
      </c>
      <c r="AA342" s="27"/>
      <c r="AB342" s="27">
        <f t="shared" si="40"/>
        <v>0</v>
      </c>
      <c r="AC342" s="27">
        <f t="shared" si="41"/>
        <v>0</v>
      </c>
    </row>
    <row r="343" spans="1:29">
      <c r="A343" t="s">
        <v>440</v>
      </c>
      <c r="B343" s="3">
        <v>45969</v>
      </c>
      <c r="C343" t="s">
        <v>66</v>
      </c>
      <c r="D343" t="s">
        <v>55</v>
      </c>
      <c r="E343" t="s">
        <v>75</v>
      </c>
      <c r="F343" t="s">
        <v>97</v>
      </c>
      <c r="G343" s="6">
        <v>2</v>
      </c>
      <c r="H343" s="4">
        <v>93.57</v>
      </c>
      <c r="I343" s="4">
        <v>53.82</v>
      </c>
      <c r="J343" s="5">
        <v>0.1</v>
      </c>
      <c r="K343" s="6">
        <v>3</v>
      </c>
      <c r="L343" s="6"/>
      <c r="M343" t="s">
        <v>58</v>
      </c>
      <c r="N343" t="s">
        <v>59</v>
      </c>
      <c r="O343" t="s">
        <v>64</v>
      </c>
      <c r="P343" t="str">
        <f t="shared" si="35"/>
        <v>Small Business</v>
      </c>
      <c r="Q343" t="str">
        <f t="shared" si="36"/>
        <v>South</v>
      </c>
      <c r="R343" t="str">
        <f>PROPER(TRIM(E343))</f>
        <v>Furniture</v>
      </c>
      <c r="S343" s="27">
        <f>IF(ISTEXT(B343),DATEVALUE(B343),B343)</f>
        <v>45969</v>
      </c>
      <c r="T343" s="27">
        <f>COUNTIF($A$2:$A$1986,A343)</f>
        <v>1</v>
      </c>
      <c r="U343" s="27" t="str">
        <f t="shared" si="37"/>
        <v>Side Table</v>
      </c>
      <c r="V343" s="27">
        <f t="shared" si="38"/>
        <v>168.42599999999999</v>
      </c>
      <c r="W343" s="27">
        <f t="shared" si="39"/>
        <v>107.64</v>
      </c>
      <c r="X343" s="27">
        <f>RawSalesTable3[[#This Row],[Revenue]]-RawSalesTable3[[#This Row],[Total_Cost]]</f>
        <v>60.785999999999987</v>
      </c>
      <c r="Y343" s="28">
        <f>RawSalesTable3[[#This Row],[Profit]]/RawSalesTable3[[#This Row],[Revenue]]</f>
        <v>0.36090627337821946</v>
      </c>
      <c r="Z343" s="27" t="str">
        <f>TEXT(RawSalesTable3[[#This Row],[Order_Date_Clean]],"MMM YYYY")</f>
        <v>Nov 2025</v>
      </c>
      <c r="AA343" s="27"/>
      <c r="AB343" s="27">
        <f t="shared" si="40"/>
        <v>0</v>
      </c>
      <c r="AC343" s="27">
        <f t="shared" si="41"/>
        <v>0</v>
      </c>
    </row>
    <row r="344" spans="1:29">
      <c r="A344" t="s">
        <v>441</v>
      </c>
      <c r="B344" s="3">
        <v>45761</v>
      </c>
      <c r="C344" t="s">
        <v>66</v>
      </c>
      <c r="D344" t="s">
        <v>62</v>
      </c>
      <c r="E344" t="s">
        <v>75</v>
      </c>
      <c r="F344" t="s">
        <v>76</v>
      </c>
      <c r="G344" s="6">
        <v>2</v>
      </c>
      <c r="H344" s="4">
        <v>123.88</v>
      </c>
      <c r="I344" s="4">
        <v>71.44</v>
      </c>
      <c r="J344" s="5">
        <v>0.15000000000000002</v>
      </c>
      <c r="K344" s="6">
        <v>4</v>
      </c>
      <c r="L344" s="6">
        <v>5</v>
      </c>
      <c r="M344" t="s">
        <v>58</v>
      </c>
      <c r="N344" t="s">
        <v>69</v>
      </c>
      <c r="O344" t="s">
        <v>60</v>
      </c>
      <c r="P344" t="str">
        <f t="shared" si="35"/>
        <v>Individual</v>
      </c>
      <c r="Q344" t="str">
        <f t="shared" si="36"/>
        <v>South</v>
      </c>
      <c r="R344" t="str">
        <f>PROPER(TRIM(E344))</f>
        <v>Furniture</v>
      </c>
      <c r="S344" s="27">
        <f>IF(ISTEXT(B344),DATEVALUE(B344),B344)</f>
        <v>45761</v>
      </c>
      <c r="T344" s="27">
        <f>COUNTIF($A$2:$A$1986,A344)</f>
        <v>1</v>
      </c>
      <c r="U344" s="27" t="str">
        <f t="shared" si="37"/>
        <v>Bookshelf</v>
      </c>
      <c r="V344" s="27">
        <f t="shared" si="38"/>
        <v>210.59599999999998</v>
      </c>
      <c r="W344" s="27">
        <f t="shared" si="39"/>
        <v>142.88</v>
      </c>
      <c r="X344" s="27">
        <f>RawSalesTable3[[#This Row],[Revenue]]-RawSalesTable3[[#This Row],[Total_Cost]]</f>
        <v>67.71599999999998</v>
      </c>
      <c r="Y344" s="28">
        <f>RawSalesTable3[[#This Row],[Profit]]/RawSalesTable3[[#This Row],[Revenue]]</f>
        <v>0.32154456874774445</v>
      </c>
      <c r="Z344" s="27" t="str">
        <f>TEXT(RawSalesTable3[[#This Row],[Order_Date_Clean]],"MMM YYYY")</f>
        <v>Apr 2025</v>
      </c>
      <c r="AA344" s="27"/>
      <c r="AB344" s="27">
        <f t="shared" si="40"/>
        <v>0</v>
      </c>
      <c r="AC344" s="27">
        <f t="shared" si="41"/>
        <v>0</v>
      </c>
    </row>
    <row r="345" spans="1:29">
      <c r="A345" t="s">
        <v>442</v>
      </c>
      <c r="B345" s="3">
        <v>45710</v>
      </c>
      <c r="C345" t="s">
        <v>78</v>
      </c>
      <c r="D345" t="s">
        <v>62</v>
      </c>
      <c r="E345" t="s">
        <v>79</v>
      </c>
      <c r="F345" t="s">
        <v>80</v>
      </c>
      <c r="G345" s="6">
        <v>1</v>
      </c>
      <c r="H345" s="4">
        <v>73.930000000000007</v>
      </c>
      <c r="I345" s="4">
        <v>43.15</v>
      </c>
      <c r="J345" s="5">
        <v>0.1</v>
      </c>
      <c r="K345" s="6">
        <v>3</v>
      </c>
      <c r="L345" s="6">
        <v>5</v>
      </c>
      <c r="M345" t="s">
        <v>58</v>
      </c>
      <c r="N345" t="s">
        <v>59</v>
      </c>
      <c r="O345" t="s">
        <v>64</v>
      </c>
      <c r="P345" t="str">
        <f t="shared" si="35"/>
        <v>Individual</v>
      </c>
      <c r="Q345" t="str">
        <f t="shared" si="36"/>
        <v>London</v>
      </c>
      <c r="R345" t="str">
        <f>PROPER(TRIM(E345))</f>
        <v>Electronics</v>
      </c>
      <c r="S345" s="27">
        <f>IF(ISTEXT(B345),DATEVALUE(B345),B345)</f>
        <v>45710</v>
      </c>
      <c r="T345" s="27">
        <f>COUNTIF($A$2:$A$1986,A345)</f>
        <v>1</v>
      </c>
      <c r="U345" s="27" t="str">
        <f t="shared" si="37"/>
        <v>Portable Speaker</v>
      </c>
      <c r="V345" s="27">
        <f t="shared" si="38"/>
        <v>66.537000000000006</v>
      </c>
      <c r="W345" s="27">
        <f t="shared" si="39"/>
        <v>43.15</v>
      </c>
      <c r="X345" s="27">
        <f>RawSalesTable3[[#This Row],[Revenue]]-RawSalesTable3[[#This Row],[Total_Cost]]</f>
        <v>23.387000000000008</v>
      </c>
      <c r="Y345" s="28">
        <f>RawSalesTable3[[#This Row],[Profit]]/RawSalesTable3[[#This Row],[Revenue]]</f>
        <v>0.35148864541533292</v>
      </c>
      <c r="Z345" s="27" t="str">
        <f>TEXT(RawSalesTable3[[#This Row],[Order_Date_Clean]],"MMM YYYY")</f>
        <v>Feb 2025</v>
      </c>
      <c r="AA345" s="27"/>
      <c r="AB345" s="27">
        <f t="shared" si="40"/>
        <v>0</v>
      </c>
      <c r="AC345" s="27">
        <f t="shared" si="41"/>
        <v>0</v>
      </c>
    </row>
    <row r="346" spans="1:29">
      <c r="A346" t="s">
        <v>443</v>
      </c>
      <c r="B346" s="3">
        <v>45892</v>
      </c>
      <c r="C346" t="s">
        <v>78</v>
      </c>
      <c r="D346" t="s">
        <v>62</v>
      </c>
      <c r="E346" t="s">
        <v>79</v>
      </c>
      <c r="F346" t="s">
        <v>115</v>
      </c>
      <c r="G346" s="6">
        <v>3</v>
      </c>
      <c r="H346" s="4">
        <v>61.92</v>
      </c>
      <c r="I346" s="4">
        <v>33.19</v>
      </c>
      <c r="J346" s="5">
        <v>0.05</v>
      </c>
      <c r="K346" s="6">
        <v>1</v>
      </c>
      <c r="L346" s="6">
        <v>3</v>
      </c>
      <c r="M346" t="s">
        <v>126</v>
      </c>
      <c r="N346" t="s">
        <v>59</v>
      </c>
      <c r="O346" t="s">
        <v>64</v>
      </c>
      <c r="P346" t="str">
        <f t="shared" si="35"/>
        <v>Individual</v>
      </c>
      <c r="Q346" t="str">
        <f t="shared" si="36"/>
        <v>London</v>
      </c>
      <c r="R346" t="str">
        <f>PROPER(TRIM(E346))</f>
        <v>Electronics</v>
      </c>
      <c r="S346" s="27">
        <f>IF(ISTEXT(B346),DATEVALUE(B346),B346)</f>
        <v>45892</v>
      </c>
      <c r="T346" s="27">
        <f>COUNTIF($A$2:$A$1986,A346)</f>
        <v>1</v>
      </c>
      <c r="U346" s="27" t="str">
        <f t="shared" si="37"/>
        <v>Wireless Headset</v>
      </c>
      <c r="V346" s="27">
        <f t="shared" si="38"/>
        <v>176.47199999999998</v>
      </c>
      <c r="W346" s="27">
        <f t="shared" si="39"/>
        <v>99.57</v>
      </c>
      <c r="X346" s="27">
        <f>RawSalesTable3[[#This Row],[Revenue]]-RawSalesTable3[[#This Row],[Total_Cost]]</f>
        <v>76.901999999999987</v>
      </c>
      <c r="Y346" s="28">
        <f>RawSalesTable3[[#This Row],[Profit]]/RawSalesTable3[[#This Row],[Revenue]]</f>
        <v>0.43577451380388954</v>
      </c>
      <c r="Z346" s="27" t="str">
        <f>TEXT(RawSalesTable3[[#This Row],[Order_Date_Clean]],"MMM YYYY")</f>
        <v>Aug 2025</v>
      </c>
      <c r="AA346" s="27"/>
      <c r="AB346" s="27">
        <f t="shared" si="40"/>
        <v>0</v>
      </c>
      <c r="AC346" s="27">
        <f t="shared" si="41"/>
        <v>0</v>
      </c>
    </row>
    <row r="347" spans="1:29">
      <c r="A347" t="s">
        <v>444</v>
      </c>
      <c r="B347" s="3">
        <v>45968</v>
      </c>
      <c r="C347" t="s">
        <v>78</v>
      </c>
      <c r="D347" t="s">
        <v>62</v>
      </c>
      <c r="E347" t="s">
        <v>79</v>
      </c>
      <c r="F347" t="s">
        <v>115</v>
      </c>
      <c r="G347" s="6">
        <v>2</v>
      </c>
      <c r="H347" s="4">
        <v>58.27</v>
      </c>
      <c r="I347" s="4">
        <v>33.9</v>
      </c>
      <c r="J347" s="5">
        <v>0.05</v>
      </c>
      <c r="K347" s="6">
        <v>1</v>
      </c>
      <c r="L347" s="6">
        <v>4</v>
      </c>
      <c r="M347" t="s">
        <v>58</v>
      </c>
      <c r="N347" t="s">
        <v>87</v>
      </c>
      <c r="O347" t="s">
        <v>64</v>
      </c>
      <c r="P347" t="str">
        <f t="shared" si="35"/>
        <v>Individual</v>
      </c>
      <c r="Q347" t="str">
        <f t="shared" si="36"/>
        <v>London</v>
      </c>
      <c r="R347" t="str">
        <f>PROPER(TRIM(E347))</f>
        <v>Electronics</v>
      </c>
      <c r="S347" s="27">
        <f>IF(ISTEXT(B347),DATEVALUE(B347),B347)</f>
        <v>45968</v>
      </c>
      <c r="T347" s="27">
        <f>COUNTIF($A$2:$A$1986,A347)</f>
        <v>1</v>
      </c>
      <c r="U347" s="27" t="str">
        <f t="shared" si="37"/>
        <v>Wireless Headset</v>
      </c>
      <c r="V347" s="27">
        <f t="shared" si="38"/>
        <v>110.71299999999999</v>
      </c>
      <c r="W347" s="27">
        <f t="shared" si="39"/>
        <v>67.8</v>
      </c>
      <c r="X347" s="27">
        <f>RawSalesTable3[[#This Row],[Revenue]]-RawSalesTable3[[#This Row],[Total_Cost]]</f>
        <v>42.912999999999997</v>
      </c>
      <c r="Y347" s="28">
        <f>RawSalesTable3[[#This Row],[Profit]]/RawSalesTable3[[#This Row],[Revenue]]</f>
        <v>0.38760579155112768</v>
      </c>
      <c r="Z347" s="27" t="str">
        <f>TEXT(RawSalesTable3[[#This Row],[Order_Date_Clean]],"MMM YYYY")</f>
        <v>Nov 2025</v>
      </c>
      <c r="AA347" s="27"/>
      <c r="AB347" s="27">
        <f t="shared" si="40"/>
        <v>0</v>
      </c>
      <c r="AC347" s="27">
        <f t="shared" si="41"/>
        <v>0</v>
      </c>
    </row>
    <row r="348" spans="1:29">
      <c r="A348" t="s">
        <v>445</v>
      </c>
      <c r="B348" s="3">
        <v>45721</v>
      </c>
      <c r="C348" t="s">
        <v>66</v>
      </c>
      <c r="D348" t="s">
        <v>62</v>
      </c>
      <c r="E348" t="s">
        <v>75</v>
      </c>
      <c r="F348" t="s">
        <v>146</v>
      </c>
      <c r="G348" s="6">
        <v>1</v>
      </c>
      <c r="H348" s="4">
        <v>185.6</v>
      </c>
      <c r="I348" s="4">
        <v>119.45</v>
      </c>
      <c r="J348" s="5">
        <v>0.15000000000000002</v>
      </c>
      <c r="K348" s="6">
        <v>6</v>
      </c>
      <c r="L348" s="6">
        <v>3</v>
      </c>
      <c r="M348" t="s">
        <v>58</v>
      </c>
      <c r="N348" t="s">
        <v>59</v>
      </c>
      <c r="O348" t="s">
        <v>64</v>
      </c>
      <c r="P348" t="str">
        <f t="shared" si="35"/>
        <v>Individual</v>
      </c>
      <c r="Q348" t="str">
        <f t="shared" si="36"/>
        <v>South</v>
      </c>
      <c r="R348" t="str">
        <f>PROPER(TRIM(E348))</f>
        <v>Furniture</v>
      </c>
      <c r="S348" s="27">
        <f>IF(ISTEXT(B348),DATEVALUE(B348),B348)</f>
        <v>45721</v>
      </c>
      <c r="T348" s="27">
        <f>COUNTIF($A$2:$A$1986,A348)</f>
        <v>1</v>
      </c>
      <c r="U348" s="27" t="str">
        <f t="shared" si="37"/>
        <v>Office Chair</v>
      </c>
      <c r="V348" s="27">
        <f t="shared" si="38"/>
        <v>157.76</v>
      </c>
      <c r="W348" s="27">
        <f t="shared" si="39"/>
        <v>119.45</v>
      </c>
      <c r="X348" s="27">
        <f>RawSalesTable3[[#This Row],[Revenue]]-RawSalesTable3[[#This Row],[Total_Cost]]</f>
        <v>38.309999999999988</v>
      </c>
      <c r="Y348" s="28">
        <f>RawSalesTable3[[#This Row],[Profit]]/RawSalesTable3[[#This Row],[Revenue]]</f>
        <v>0.24283722109533462</v>
      </c>
      <c r="Z348" s="27" t="str">
        <f>TEXT(RawSalesTable3[[#This Row],[Order_Date_Clean]],"MMM YYYY")</f>
        <v>Mar 2025</v>
      </c>
      <c r="AA348" s="27"/>
      <c r="AB348" s="27">
        <f t="shared" si="40"/>
        <v>0</v>
      </c>
      <c r="AC348" s="27">
        <f t="shared" si="41"/>
        <v>0</v>
      </c>
    </row>
    <row r="349" spans="1:29">
      <c r="A349" t="s">
        <v>446</v>
      </c>
      <c r="B349" s="3">
        <v>45978</v>
      </c>
      <c r="C349" t="s">
        <v>54</v>
      </c>
      <c r="D349" t="s">
        <v>55</v>
      </c>
      <c r="E349" t="s">
        <v>67</v>
      </c>
      <c r="F349" t="s">
        <v>107</v>
      </c>
      <c r="G349" s="6">
        <v>1</v>
      </c>
      <c r="H349" s="4">
        <v>44.43</v>
      </c>
      <c r="I349" s="4">
        <v>20.68</v>
      </c>
      <c r="J349" s="5">
        <v>0.05</v>
      </c>
      <c r="K349" s="6">
        <v>4</v>
      </c>
      <c r="L349" s="6">
        <v>5</v>
      </c>
      <c r="M349" t="s">
        <v>58</v>
      </c>
      <c r="N349" t="s">
        <v>59</v>
      </c>
      <c r="O349" t="s">
        <v>64</v>
      </c>
      <c r="P349" t="str">
        <f t="shared" si="35"/>
        <v>Small Business</v>
      </c>
      <c r="Q349" t="str">
        <f t="shared" si="36"/>
        <v>North</v>
      </c>
      <c r="R349" t="str">
        <f>PROPER(TRIM(E349))</f>
        <v>Office</v>
      </c>
      <c r="S349" s="27">
        <f>IF(ISTEXT(B349),DATEVALUE(B349),B349)</f>
        <v>45978</v>
      </c>
      <c r="T349" s="27">
        <f>COUNTIF($A$2:$A$1986,A349)</f>
        <v>1</v>
      </c>
      <c r="U349" s="27" t="str">
        <f t="shared" si="37"/>
        <v>Laptop Stand</v>
      </c>
      <c r="V349" s="27">
        <f t="shared" si="38"/>
        <v>42.208500000000001</v>
      </c>
      <c r="W349" s="27">
        <f t="shared" si="39"/>
        <v>20.68</v>
      </c>
      <c r="X349" s="27">
        <f>RawSalesTable3[[#This Row],[Revenue]]-RawSalesTable3[[#This Row],[Total_Cost]]</f>
        <v>21.528500000000001</v>
      </c>
      <c r="Y349" s="28">
        <f>RawSalesTable3[[#This Row],[Profit]]/RawSalesTable3[[#This Row],[Revenue]]</f>
        <v>0.51005129298600993</v>
      </c>
      <c r="Z349" s="27" t="str">
        <f>TEXT(RawSalesTable3[[#This Row],[Order_Date_Clean]],"MMM YYYY")</f>
        <v>Nov 2025</v>
      </c>
      <c r="AA349" s="27"/>
      <c r="AB349" s="27">
        <f t="shared" si="40"/>
        <v>0</v>
      </c>
      <c r="AC349" s="27">
        <f t="shared" si="41"/>
        <v>0</v>
      </c>
    </row>
    <row r="350" spans="1:29">
      <c r="A350" t="s">
        <v>447</v>
      </c>
      <c r="B350" s="3">
        <v>45770</v>
      </c>
      <c r="C350" t="s">
        <v>78</v>
      </c>
      <c r="D350" t="s">
        <v>62</v>
      </c>
      <c r="E350" t="s">
        <v>75</v>
      </c>
      <c r="F350" t="s">
        <v>110</v>
      </c>
      <c r="G350" s="6">
        <v>3</v>
      </c>
      <c r="H350" s="4">
        <v>155.69999999999999</v>
      </c>
      <c r="I350" s="4">
        <v>103.32</v>
      </c>
      <c r="J350" s="5">
        <v>0.1</v>
      </c>
      <c r="K350" s="6">
        <v>2</v>
      </c>
      <c r="L350" s="6">
        <v>4</v>
      </c>
      <c r="M350" t="s">
        <v>58</v>
      </c>
      <c r="N350" t="s">
        <v>69</v>
      </c>
      <c r="O350" t="s">
        <v>73</v>
      </c>
      <c r="P350" t="str">
        <f t="shared" si="35"/>
        <v>Individual</v>
      </c>
      <c r="Q350" t="str">
        <f t="shared" si="36"/>
        <v>London</v>
      </c>
      <c r="R350" t="str">
        <f>PROPER(TRIM(E350))</f>
        <v>Furniture</v>
      </c>
      <c r="S350" s="27">
        <f>IF(ISTEXT(B350),DATEVALUE(B350),B350)</f>
        <v>45770</v>
      </c>
      <c r="T350" s="27">
        <f>COUNTIF($A$2:$A$1986,A350)</f>
        <v>1</v>
      </c>
      <c r="U350" s="27" t="str">
        <f t="shared" si="37"/>
        <v>Storage Cabinet</v>
      </c>
      <c r="V350" s="27">
        <f t="shared" si="38"/>
        <v>420.39</v>
      </c>
      <c r="W350" s="27">
        <f t="shared" si="39"/>
        <v>309.95999999999998</v>
      </c>
      <c r="X350" s="27">
        <f>RawSalesTable3[[#This Row],[Revenue]]-RawSalesTable3[[#This Row],[Total_Cost]]</f>
        <v>110.43</v>
      </c>
      <c r="Y350" s="28">
        <f>RawSalesTable3[[#This Row],[Profit]]/RawSalesTable3[[#This Row],[Revenue]]</f>
        <v>0.26268464996788699</v>
      </c>
      <c r="Z350" s="27" t="str">
        <f>TEXT(RawSalesTable3[[#This Row],[Order_Date_Clean]],"MMM YYYY")</f>
        <v>Apr 2025</v>
      </c>
      <c r="AA350" s="27"/>
      <c r="AB350" s="27">
        <f t="shared" si="40"/>
        <v>0</v>
      </c>
      <c r="AC350" s="27">
        <f t="shared" si="41"/>
        <v>0</v>
      </c>
    </row>
    <row r="351" spans="1:29">
      <c r="A351" t="s">
        <v>448</v>
      </c>
      <c r="B351" s="3">
        <v>45975</v>
      </c>
      <c r="C351" t="s">
        <v>82</v>
      </c>
      <c r="D351" t="s">
        <v>62</v>
      </c>
      <c r="E351" t="s">
        <v>79</v>
      </c>
      <c r="F351" t="s">
        <v>92</v>
      </c>
      <c r="G351" s="6">
        <v>1</v>
      </c>
      <c r="H351" s="4">
        <v>51.92</v>
      </c>
      <c r="I351" s="4">
        <v>26.33</v>
      </c>
      <c r="J351" s="5">
        <v>0</v>
      </c>
      <c r="K351" s="6">
        <v>1</v>
      </c>
      <c r="L351" s="6">
        <v>5</v>
      </c>
      <c r="M351" t="s">
        <v>58</v>
      </c>
      <c r="N351" t="s">
        <v>59</v>
      </c>
      <c r="O351" t="s">
        <v>64</v>
      </c>
      <c r="P351" t="str">
        <f t="shared" si="35"/>
        <v>Individual</v>
      </c>
      <c r="Q351" t="str">
        <f t="shared" si="36"/>
        <v>Midlands</v>
      </c>
      <c r="R351" t="str">
        <f>PROPER(TRIM(E351))</f>
        <v>Electronics</v>
      </c>
      <c r="S351" s="27">
        <f>IF(ISTEXT(B351),DATEVALUE(B351),B351)</f>
        <v>45975</v>
      </c>
      <c r="T351" s="27">
        <f>COUNTIF($A$2:$A$1986,A351)</f>
        <v>1</v>
      </c>
      <c r="U351" s="27" t="str">
        <f t="shared" si="37"/>
        <v>Webcam</v>
      </c>
      <c r="V351" s="27">
        <f t="shared" si="38"/>
        <v>51.92</v>
      </c>
      <c r="W351" s="27">
        <f t="shared" si="39"/>
        <v>26.33</v>
      </c>
      <c r="X351" s="27">
        <f>RawSalesTable3[[#This Row],[Revenue]]-RawSalesTable3[[#This Row],[Total_Cost]]</f>
        <v>25.590000000000003</v>
      </c>
      <c r="Y351" s="28">
        <f>RawSalesTable3[[#This Row],[Profit]]/RawSalesTable3[[#This Row],[Revenue]]</f>
        <v>0.49287365177195691</v>
      </c>
      <c r="Z351" s="27" t="str">
        <f>TEXT(RawSalesTable3[[#This Row],[Order_Date_Clean]],"MMM YYYY")</f>
        <v>Nov 2025</v>
      </c>
      <c r="AA351" s="27"/>
      <c r="AB351" s="27">
        <f t="shared" si="40"/>
        <v>0</v>
      </c>
      <c r="AC351" s="27">
        <f t="shared" si="41"/>
        <v>0</v>
      </c>
    </row>
    <row r="352" spans="1:29">
      <c r="A352" t="s">
        <v>449</v>
      </c>
      <c r="B352" s="3">
        <v>45804</v>
      </c>
      <c r="C352" t="s">
        <v>78</v>
      </c>
      <c r="D352" t="s">
        <v>62</v>
      </c>
      <c r="E352" t="s">
        <v>79</v>
      </c>
      <c r="F352" t="s">
        <v>85</v>
      </c>
      <c r="G352" s="6">
        <v>1</v>
      </c>
      <c r="H352" s="4">
        <v>132.72</v>
      </c>
      <c r="I352" s="4">
        <v>83.94</v>
      </c>
      <c r="J352" s="5">
        <v>0.1</v>
      </c>
      <c r="K352" s="6">
        <v>0</v>
      </c>
      <c r="L352" s="6">
        <v>4</v>
      </c>
      <c r="M352" t="s">
        <v>58</v>
      </c>
      <c r="N352" t="s">
        <v>69</v>
      </c>
      <c r="O352" t="s">
        <v>64</v>
      </c>
      <c r="P352" t="str">
        <f t="shared" si="35"/>
        <v>Individual</v>
      </c>
      <c r="Q352" t="str">
        <f t="shared" si="36"/>
        <v>London</v>
      </c>
      <c r="R352" t="str">
        <f>PROPER(TRIM(E352))</f>
        <v>Electronics</v>
      </c>
      <c r="S352" s="27">
        <f>IF(ISTEXT(B352),DATEVALUE(B352),B352)</f>
        <v>45804</v>
      </c>
      <c r="T352" s="27">
        <f>COUNTIF($A$2:$A$1986,A352)</f>
        <v>1</v>
      </c>
      <c r="U352" s="27" t="str">
        <f t="shared" si="37"/>
        <v>SmartHome Hub</v>
      </c>
      <c r="V352" s="27">
        <f t="shared" si="38"/>
        <v>119.44800000000001</v>
      </c>
      <c r="W352" s="27">
        <f t="shared" si="39"/>
        <v>83.94</v>
      </c>
      <c r="X352" s="27">
        <f>RawSalesTable3[[#This Row],[Revenue]]-RawSalesTable3[[#This Row],[Total_Cost]]</f>
        <v>35.50800000000001</v>
      </c>
      <c r="Y352" s="28">
        <f>RawSalesTable3[[#This Row],[Profit]]/RawSalesTable3[[#This Row],[Revenue]]</f>
        <v>0.29726743017882262</v>
      </c>
      <c r="Z352" s="27" t="str">
        <f>TEXT(RawSalesTable3[[#This Row],[Order_Date_Clean]],"MMM YYYY")</f>
        <v>May 2025</v>
      </c>
      <c r="AA352" s="27"/>
      <c r="AB352" s="27">
        <f t="shared" si="40"/>
        <v>0</v>
      </c>
      <c r="AC352" s="27">
        <f t="shared" si="41"/>
        <v>0</v>
      </c>
    </row>
    <row r="353" spans="1:29">
      <c r="A353" t="s">
        <v>450</v>
      </c>
      <c r="B353" s="3">
        <v>45927</v>
      </c>
      <c r="C353" t="s">
        <v>66</v>
      </c>
      <c r="D353" t="s">
        <v>62</v>
      </c>
      <c r="E353" t="s">
        <v>56</v>
      </c>
      <c r="F353" t="s">
        <v>89</v>
      </c>
      <c r="G353" s="6">
        <v>1</v>
      </c>
      <c r="H353" s="4">
        <v>80.52</v>
      </c>
      <c r="I353" s="4">
        <v>46.98</v>
      </c>
      <c r="J353" s="5">
        <v>0.1</v>
      </c>
      <c r="K353" s="6">
        <v>3</v>
      </c>
      <c r="L353" s="6">
        <v>4</v>
      </c>
      <c r="M353" t="s">
        <v>58</v>
      </c>
      <c r="N353" t="s">
        <v>59</v>
      </c>
      <c r="O353" t="s">
        <v>73</v>
      </c>
      <c r="P353" t="str">
        <f t="shared" si="35"/>
        <v>Individual</v>
      </c>
      <c r="Q353" t="str">
        <f t="shared" si="36"/>
        <v>South</v>
      </c>
      <c r="R353" t="str">
        <f>PROPER(TRIM(E353))</f>
        <v>Home &amp; Kitchen</v>
      </c>
      <c r="S353" s="27">
        <f>IF(ISTEXT(B353),DATEVALUE(B353),B353)</f>
        <v>45927</v>
      </c>
      <c r="T353" s="27">
        <f>COUNTIF($A$2:$A$1986,A353)</f>
        <v>1</v>
      </c>
      <c r="U353" s="27" t="str">
        <f t="shared" si="37"/>
        <v>Coffee Maker</v>
      </c>
      <c r="V353" s="27">
        <f t="shared" si="38"/>
        <v>72.468000000000004</v>
      </c>
      <c r="W353" s="27">
        <f t="shared" si="39"/>
        <v>46.98</v>
      </c>
      <c r="X353" s="27">
        <f>RawSalesTable3[[#This Row],[Revenue]]-RawSalesTable3[[#This Row],[Total_Cost]]</f>
        <v>25.488000000000007</v>
      </c>
      <c r="Y353" s="28">
        <f>RawSalesTable3[[#This Row],[Profit]]/RawSalesTable3[[#This Row],[Revenue]]</f>
        <v>0.35171385991058129</v>
      </c>
      <c r="Z353" s="27" t="str">
        <f>TEXT(RawSalesTable3[[#This Row],[Order_Date_Clean]],"MMM YYYY")</f>
        <v>Sep 2025</v>
      </c>
      <c r="AA353" s="27"/>
      <c r="AB353" s="27">
        <f t="shared" si="40"/>
        <v>0</v>
      </c>
      <c r="AC353" s="27">
        <f t="shared" si="41"/>
        <v>0</v>
      </c>
    </row>
    <row r="354" spans="1:29">
      <c r="A354" t="s">
        <v>451</v>
      </c>
      <c r="B354" s="3">
        <v>45677</v>
      </c>
      <c r="C354" t="s">
        <v>66</v>
      </c>
      <c r="D354" t="s">
        <v>129</v>
      </c>
      <c r="E354" t="s">
        <v>75</v>
      </c>
      <c r="F354" t="s">
        <v>146</v>
      </c>
      <c r="G354" s="6">
        <v>6</v>
      </c>
      <c r="H354" s="4">
        <v>185.89</v>
      </c>
      <c r="I354" s="4">
        <v>119.12</v>
      </c>
      <c r="J354" s="5">
        <v>0.15000000000000002</v>
      </c>
      <c r="K354" s="6">
        <v>0</v>
      </c>
      <c r="L354" s="6">
        <v>4</v>
      </c>
      <c r="M354" t="s">
        <v>58</v>
      </c>
      <c r="N354" t="s">
        <v>69</v>
      </c>
      <c r="O354" t="s">
        <v>60</v>
      </c>
      <c r="P354" t="str">
        <f t="shared" si="35"/>
        <v>Corporate</v>
      </c>
      <c r="Q354" t="str">
        <f t="shared" si="36"/>
        <v>South</v>
      </c>
      <c r="R354" t="str">
        <f>PROPER(TRIM(E354))</f>
        <v>Furniture</v>
      </c>
      <c r="S354" s="27">
        <f>IF(ISTEXT(B354),DATEVALUE(B354),B354)</f>
        <v>45677</v>
      </c>
      <c r="T354" s="27">
        <f>COUNTIF($A$2:$A$1986,A354)</f>
        <v>1</v>
      </c>
      <c r="U354" s="27" t="str">
        <f t="shared" si="37"/>
        <v>Office Chair</v>
      </c>
      <c r="V354" s="27">
        <f t="shared" si="38"/>
        <v>948.03899999999987</v>
      </c>
      <c r="W354" s="27">
        <f t="shared" si="39"/>
        <v>714.72</v>
      </c>
      <c r="X354" s="27">
        <f>RawSalesTable3[[#This Row],[Revenue]]-RawSalesTable3[[#This Row],[Total_Cost]]</f>
        <v>233.31899999999985</v>
      </c>
      <c r="Y354" s="28">
        <f>RawSalesTable3[[#This Row],[Profit]]/RawSalesTable3[[#This Row],[Revenue]]</f>
        <v>0.24610696395401441</v>
      </c>
      <c r="Z354" s="27" t="str">
        <f>TEXT(RawSalesTable3[[#This Row],[Order_Date_Clean]],"MMM YYYY")</f>
        <v>Jan 2025</v>
      </c>
      <c r="AA354" s="27"/>
      <c r="AB354" s="27">
        <f t="shared" si="40"/>
        <v>0</v>
      </c>
      <c r="AC354" s="27">
        <f t="shared" si="41"/>
        <v>0</v>
      </c>
    </row>
    <row r="355" spans="1:29">
      <c r="A355" t="s">
        <v>452</v>
      </c>
      <c r="B355" s="3">
        <v>45784</v>
      </c>
      <c r="C355" t="s">
        <v>54</v>
      </c>
      <c r="D355" t="s">
        <v>55</v>
      </c>
      <c r="E355" t="s">
        <v>79</v>
      </c>
      <c r="F355" t="s">
        <v>92</v>
      </c>
      <c r="G355" s="6">
        <v>2</v>
      </c>
      <c r="H355" s="4">
        <v>50.65</v>
      </c>
      <c r="I355" s="4">
        <v>26.75</v>
      </c>
      <c r="J355" s="5">
        <v>0.05</v>
      </c>
      <c r="K355" s="6">
        <v>1</v>
      </c>
      <c r="L355" s="6">
        <v>4</v>
      </c>
      <c r="M355" t="s">
        <v>58</v>
      </c>
      <c r="N355" t="s">
        <v>59</v>
      </c>
      <c r="O355" t="s">
        <v>64</v>
      </c>
      <c r="P355" t="str">
        <f t="shared" si="35"/>
        <v>Small Business</v>
      </c>
      <c r="Q355" t="str">
        <f t="shared" si="36"/>
        <v>North</v>
      </c>
      <c r="R355" t="str">
        <f>PROPER(TRIM(E355))</f>
        <v>Electronics</v>
      </c>
      <c r="S355" s="27">
        <f>IF(ISTEXT(B355),DATEVALUE(B355),B355)</f>
        <v>45784</v>
      </c>
      <c r="T355" s="27">
        <f>COUNTIF($A$2:$A$1986,A355)</f>
        <v>1</v>
      </c>
      <c r="U355" s="27" t="str">
        <f t="shared" si="37"/>
        <v>Webcam</v>
      </c>
      <c r="V355" s="27">
        <f t="shared" si="38"/>
        <v>96.234999999999999</v>
      </c>
      <c r="W355" s="27">
        <f t="shared" si="39"/>
        <v>53.5</v>
      </c>
      <c r="X355" s="27">
        <f>RawSalesTable3[[#This Row],[Revenue]]-RawSalesTable3[[#This Row],[Total_Cost]]</f>
        <v>42.734999999999999</v>
      </c>
      <c r="Y355" s="28">
        <f>RawSalesTable3[[#This Row],[Profit]]/RawSalesTable3[[#This Row],[Revenue]]</f>
        <v>0.44406920559048163</v>
      </c>
      <c r="Z355" s="27" t="str">
        <f>TEXT(RawSalesTable3[[#This Row],[Order_Date_Clean]],"MMM YYYY")</f>
        <v>May 2025</v>
      </c>
      <c r="AA355" s="27"/>
      <c r="AB355" s="27">
        <f t="shared" si="40"/>
        <v>0</v>
      </c>
      <c r="AC355" s="27">
        <f t="shared" si="41"/>
        <v>0</v>
      </c>
    </row>
    <row r="356" spans="1:29">
      <c r="A356" t="s">
        <v>453</v>
      </c>
      <c r="B356" s="3">
        <v>45905</v>
      </c>
      <c r="C356" t="s">
        <v>82</v>
      </c>
      <c r="D356" t="s">
        <v>55</v>
      </c>
      <c r="E356" t="s">
        <v>79</v>
      </c>
      <c r="F356" t="s">
        <v>92</v>
      </c>
      <c r="G356" s="6">
        <v>2</v>
      </c>
      <c r="H356" s="4">
        <v>48.84</v>
      </c>
      <c r="I356" s="4">
        <v>26.95</v>
      </c>
      <c r="J356" s="5">
        <v>0</v>
      </c>
      <c r="K356" s="6">
        <v>1</v>
      </c>
      <c r="L356" s="6">
        <v>5</v>
      </c>
      <c r="M356" t="s">
        <v>58</v>
      </c>
      <c r="N356" t="s">
        <v>59</v>
      </c>
      <c r="O356" t="s">
        <v>64</v>
      </c>
      <c r="P356" t="str">
        <f t="shared" si="35"/>
        <v>Small Business</v>
      </c>
      <c r="Q356" t="str">
        <f t="shared" si="36"/>
        <v>Midlands</v>
      </c>
      <c r="R356" t="str">
        <f>PROPER(TRIM(E356))</f>
        <v>Electronics</v>
      </c>
      <c r="S356" s="27">
        <f>IF(ISTEXT(B356),DATEVALUE(B356),B356)</f>
        <v>45905</v>
      </c>
      <c r="T356" s="27">
        <f>COUNTIF($A$2:$A$1986,A356)</f>
        <v>1</v>
      </c>
      <c r="U356" s="27" t="str">
        <f t="shared" si="37"/>
        <v>Webcam</v>
      </c>
      <c r="V356" s="27">
        <f t="shared" si="38"/>
        <v>97.68</v>
      </c>
      <c r="W356" s="27">
        <f t="shared" si="39"/>
        <v>53.9</v>
      </c>
      <c r="X356" s="27">
        <f>RawSalesTable3[[#This Row],[Revenue]]-RawSalesTable3[[#This Row],[Total_Cost]]</f>
        <v>43.780000000000008</v>
      </c>
      <c r="Y356" s="28">
        <f>RawSalesTable3[[#This Row],[Profit]]/RawSalesTable3[[#This Row],[Revenue]]</f>
        <v>0.44819819819819823</v>
      </c>
      <c r="Z356" s="27" t="str">
        <f>TEXT(RawSalesTable3[[#This Row],[Order_Date_Clean]],"MMM YYYY")</f>
        <v>Sep 2025</v>
      </c>
      <c r="AA356" s="27"/>
      <c r="AB356" s="27">
        <f t="shared" si="40"/>
        <v>0</v>
      </c>
      <c r="AC356" s="27">
        <f t="shared" si="41"/>
        <v>0</v>
      </c>
    </row>
    <row r="357" spans="1:29">
      <c r="A357" t="s">
        <v>454</v>
      </c>
      <c r="B357" s="3">
        <v>45741</v>
      </c>
      <c r="C357" t="s">
        <v>82</v>
      </c>
      <c r="D357" t="s">
        <v>129</v>
      </c>
      <c r="E357" t="s">
        <v>56</v>
      </c>
      <c r="F357" t="s">
        <v>89</v>
      </c>
      <c r="G357" s="6">
        <v>4</v>
      </c>
      <c r="H357" s="4">
        <v>82.58</v>
      </c>
      <c r="I357" s="4">
        <v>47.05</v>
      </c>
      <c r="J357" s="5">
        <v>0.1</v>
      </c>
      <c r="K357" s="6">
        <v>3</v>
      </c>
      <c r="L357" s="6">
        <v>5</v>
      </c>
      <c r="M357" t="s">
        <v>58</v>
      </c>
      <c r="N357" t="s">
        <v>59</v>
      </c>
      <c r="O357" t="s">
        <v>64</v>
      </c>
      <c r="P357" t="str">
        <f t="shared" si="35"/>
        <v>Corporate</v>
      </c>
      <c r="Q357" t="str">
        <f t="shared" si="36"/>
        <v>Midlands</v>
      </c>
      <c r="R357" t="str">
        <f>PROPER(TRIM(E357))</f>
        <v>Home &amp; Kitchen</v>
      </c>
      <c r="S357" s="27">
        <f>IF(ISTEXT(B357),DATEVALUE(B357),B357)</f>
        <v>45741</v>
      </c>
      <c r="T357" s="27">
        <f>COUNTIF($A$2:$A$1986,A357)</f>
        <v>1</v>
      </c>
      <c r="U357" s="27" t="str">
        <f t="shared" si="37"/>
        <v>Coffee Maker</v>
      </c>
      <c r="V357" s="27">
        <f t="shared" si="38"/>
        <v>297.28800000000001</v>
      </c>
      <c r="W357" s="27">
        <f t="shared" si="39"/>
        <v>188.2</v>
      </c>
      <c r="X357" s="27">
        <f>RawSalesTable3[[#This Row],[Revenue]]-RawSalesTable3[[#This Row],[Total_Cost]]</f>
        <v>109.08800000000002</v>
      </c>
      <c r="Y357" s="28">
        <f>RawSalesTable3[[#This Row],[Profit]]/RawSalesTable3[[#This Row],[Revenue]]</f>
        <v>0.36694383897096422</v>
      </c>
      <c r="Z357" s="27" t="str">
        <f>TEXT(RawSalesTable3[[#This Row],[Order_Date_Clean]],"MMM YYYY")</f>
        <v>Mar 2025</v>
      </c>
      <c r="AA357" s="27"/>
      <c r="AB357" s="27">
        <f t="shared" si="40"/>
        <v>0</v>
      </c>
      <c r="AC357" s="27">
        <f t="shared" si="41"/>
        <v>0</v>
      </c>
    </row>
    <row r="358" spans="1:29">
      <c r="A358" t="s">
        <v>455</v>
      </c>
      <c r="B358" s="3">
        <v>45895</v>
      </c>
      <c r="C358" t="s">
        <v>66</v>
      </c>
      <c r="D358" t="s">
        <v>62</v>
      </c>
      <c r="E358" t="s">
        <v>75</v>
      </c>
      <c r="F358" t="s">
        <v>146</v>
      </c>
      <c r="G358" s="6">
        <v>1</v>
      </c>
      <c r="H358" s="4">
        <v>185.23</v>
      </c>
      <c r="I358" s="4">
        <v>112.38</v>
      </c>
      <c r="J358" s="5">
        <v>0.05</v>
      </c>
      <c r="K358" s="6">
        <v>3</v>
      </c>
      <c r="L358" s="6">
        <v>5</v>
      </c>
      <c r="M358" t="s">
        <v>58</v>
      </c>
      <c r="N358" t="s">
        <v>87</v>
      </c>
      <c r="O358" t="s">
        <v>64</v>
      </c>
      <c r="P358" t="str">
        <f t="shared" si="35"/>
        <v>Individual</v>
      </c>
      <c r="Q358" t="str">
        <f t="shared" si="36"/>
        <v>South</v>
      </c>
      <c r="R358" t="str">
        <f>PROPER(TRIM(E358))</f>
        <v>Furniture</v>
      </c>
      <c r="S358" s="27">
        <f>IF(ISTEXT(B358),DATEVALUE(B358),B358)</f>
        <v>45895</v>
      </c>
      <c r="T358" s="27">
        <f>COUNTIF($A$2:$A$1986,A358)</f>
        <v>1</v>
      </c>
      <c r="U358" s="27" t="str">
        <f t="shared" si="37"/>
        <v>Office Chair</v>
      </c>
      <c r="V358" s="27">
        <f t="shared" si="38"/>
        <v>175.96849999999998</v>
      </c>
      <c r="W358" s="27">
        <f t="shared" si="39"/>
        <v>112.38</v>
      </c>
      <c r="X358" s="27">
        <f>RawSalesTable3[[#This Row],[Revenue]]-RawSalesTable3[[#This Row],[Total_Cost]]</f>
        <v>63.588499999999982</v>
      </c>
      <c r="Y358" s="28">
        <f>RawSalesTable3[[#This Row],[Profit]]/RawSalesTable3[[#This Row],[Revenue]]</f>
        <v>0.36136297121359784</v>
      </c>
      <c r="Z358" s="27" t="str">
        <f>TEXT(RawSalesTable3[[#This Row],[Order_Date_Clean]],"MMM YYYY")</f>
        <v>Aug 2025</v>
      </c>
      <c r="AA358" s="27"/>
      <c r="AB358" s="27">
        <f t="shared" si="40"/>
        <v>0</v>
      </c>
      <c r="AC358" s="27">
        <f t="shared" si="41"/>
        <v>0</v>
      </c>
    </row>
    <row r="359" spans="1:29">
      <c r="A359" t="s">
        <v>456</v>
      </c>
      <c r="B359" s="3">
        <v>45798</v>
      </c>
      <c r="C359" t="s">
        <v>82</v>
      </c>
      <c r="D359" t="s">
        <v>62</v>
      </c>
      <c r="E359" t="s">
        <v>67</v>
      </c>
      <c r="F359" t="s">
        <v>71</v>
      </c>
      <c r="G359" s="6">
        <v>1</v>
      </c>
      <c r="H359" s="4">
        <v>70.900000000000006</v>
      </c>
      <c r="I359" s="4">
        <v>39.090000000000003</v>
      </c>
      <c r="J359" s="5">
        <v>0.05</v>
      </c>
      <c r="K359" s="6">
        <v>2</v>
      </c>
      <c r="L359" s="6">
        <v>3</v>
      </c>
      <c r="M359" t="s">
        <v>126</v>
      </c>
      <c r="N359" t="s">
        <v>69</v>
      </c>
      <c r="O359" t="s">
        <v>60</v>
      </c>
      <c r="P359" t="str">
        <f t="shared" si="35"/>
        <v>Individual</v>
      </c>
      <c r="Q359" t="str">
        <f t="shared" si="36"/>
        <v>Midlands</v>
      </c>
      <c r="R359" t="str">
        <f>PROPER(TRIM(E359))</f>
        <v>Office</v>
      </c>
      <c r="S359" s="27">
        <f>IF(ISTEXT(B359),DATEVALUE(B359),B359)</f>
        <v>45798</v>
      </c>
      <c r="T359" s="27">
        <f>COUNTIF($A$2:$A$1986,A359)</f>
        <v>1</v>
      </c>
      <c r="U359" s="27" t="str">
        <f t="shared" si="37"/>
        <v>Ergonomic Keyboard</v>
      </c>
      <c r="V359" s="27">
        <f t="shared" si="38"/>
        <v>67.355000000000004</v>
      </c>
      <c r="W359" s="27">
        <f t="shared" si="39"/>
        <v>39.090000000000003</v>
      </c>
      <c r="X359" s="27">
        <f>RawSalesTable3[[#This Row],[Revenue]]-RawSalesTable3[[#This Row],[Total_Cost]]</f>
        <v>28.265000000000001</v>
      </c>
      <c r="Y359" s="28">
        <f>RawSalesTable3[[#This Row],[Profit]]/RawSalesTable3[[#This Row],[Revenue]]</f>
        <v>0.41964219434340433</v>
      </c>
      <c r="Z359" s="27" t="str">
        <f>TEXT(RawSalesTable3[[#This Row],[Order_Date_Clean]],"MMM YYYY")</f>
        <v>May 2025</v>
      </c>
      <c r="AA359" s="27"/>
      <c r="AB359" s="27">
        <f t="shared" si="40"/>
        <v>0</v>
      </c>
      <c r="AC359" s="27">
        <f t="shared" si="41"/>
        <v>0</v>
      </c>
    </row>
    <row r="360" spans="1:29">
      <c r="A360" t="s">
        <v>457</v>
      </c>
      <c r="B360" s="3">
        <v>45831</v>
      </c>
      <c r="C360" t="s">
        <v>78</v>
      </c>
      <c r="D360" t="s">
        <v>62</v>
      </c>
      <c r="E360" t="s">
        <v>56</v>
      </c>
      <c r="F360" t="s">
        <v>83</v>
      </c>
      <c r="G360" s="6">
        <v>4</v>
      </c>
      <c r="H360" s="4">
        <v>67.34</v>
      </c>
      <c r="I360" s="4">
        <v>35.18</v>
      </c>
      <c r="J360" s="5">
        <v>0</v>
      </c>
      <c r="K360" s="6">
        <v>7</v>
      </c>
      <c r="L360" s="6">
        <v>3</v>
      </c>
      <c r="M360" t="s">
        <v>126</v>
      </c>
      <c r="N360" t="s">
        <v>59</v>
      </c>
      <c r="O360" t="s">
        <v>60</v>
      </c>
      <c r="P360" t="str">
        <f t="shared" si="35"/>
        <v>Individual</v>
      </c>
      <c r="Q360" t="str">
        <f t="shared" si="36"/>
        <v>London</v>
      </c>
      <c r="R360" t="str">
        <f>PROPER(TRIM(E360))</f>
        <v>Home &amp; Kitchen</v>
      </c>
      <c r="S360" s="27">
        <f>IF(ISTEXT(B360),DATEVALUE(B360),B360)</f>
        <v>45831</v>
      </c>
      <c r="T360" s="27">
        <f>COUNTIF($A$2:$A$1986,A360)</f>
        <v>1</v>
      </c>
      <c r="U360" s="27" t="str">
        <f t="shared" si="37"/>
        <v>Blender</v>
      </c>
      <c r="V360" s="27">
        <f t="shared" si="38"/>
        <v>269.36</v>
      </c>
      <c r="W360" s="27">
        <f t="shared" si="39"/>
        <v>140.72</v>
      </c>
      <c r="X360" s="27">
        <f>RawSalesTable3[[#This Row],[Revenue]]-RawSalesTable3[[#This Row],[Total_Cost]]</f>
        <v>128.64000000000001</v>
      </c>
      <c r="Y360" s="28">
        <f>RawSalesTable3[[#This Row],[Profit]]/RawSalesTable3[[#This Row],[Revenue]]</f>
        <v>0.47757647757647759</v>
      </c>
      <c r="Z360" s="27" t="str">
        <f>TEXT(RawSalesTable3[[#This Row],[Order_Date_Clean]],"MMM YYYY")</f>
        <v>Jun 2025</v>
      </c>
      <c r="AA360" s="27"/>
      <c r="AB360" s="27">
        <f t="shared" si="40"/>
        <v>0</v>
      </c>
      <c r="AC360" s="27">
        <f t="shared" si="41"/>
        <v>0</v>
      </c>
    </row>
    <row r="361" spans="1:29">
      <c r="A361" t="s">
        <v>458</v>
      </c>
      <c r="B361" s="3">
        <v>45745</v>
      </c>
      <c r="C361" t="s">
        <v>66</v>
      </c>
      <c r="D361" t="s">
        <v>62</v>
      </c>
      <c r="E361" t="s">
        <v>67</v>
      </c>
      <c r="F361" t="s">
        <v>94</v>
      </c>
      <c r="G361" s="6">
        <v>1</v>
      </c>
      <c r="H361" s="4">
        <v>35.18</v>
      </c>
      <c r="I361" s="4">
        <v>17.09</v>
      </c>
      <c r="J361" s="5">
        <v>0.05</v>
      </c>
      <c r="K361" s="6">
        <v>6</v>
      </c>
      <c r="L361" s="6">
        <v>3</v>
      </c>
      <c r="M361" t="s">
        <v>58</v>
      </c>
      <c r="N361" t="s">
        <v>69</v>
      </c>
      <c r="O361" t="s">
        <v>64</v>
      </c>
      <c r="P361" t="str">
        <f t="shared" si="35"/>
        <v>Individual</v>
      </c>
      <c r="Q361" t="str">
        <f t="shared" si="36"/>
        <v>South</v>
      </c>
      <c r="R361" t="str">
        <f>PROPER(TRIM(E361))</f>
        <v>Office</v>
      </c>
      <c r="S361" s="27">
        <f>IF(ISTEXT(B361),DATEVALUE(B361),B361)</f>
        <v>45745</v>
      </c>
      <c r="T361" s="27">
        <f>COUNTIF($A$2:$A$1986,A361)</f>
        <v>1</v>
      </c>
      <c r="U361" s="27" t="str">
        <f t="shared" si="37"/>
        <v>Wireless Mouse</v>
      </c>
      <c r="V361" s="27">
        <f t="shared" si="38"/>
        <v>33.420999999999999</v>
      </c>
      <c r="W361" s="27">
        <f t="shared" si="39"/>
        <v>17.09</v>
      </c>
      <c r="X361" s="27">
        <f>RawSalesTable3[[#This Row],[Revenue]]-RawSalesTable3[[#This Row],[Total_Cost]]</f>
        <v>16.331</v>
      </c>
      <c r="Y361" s="28">
        <f>RawSalesTable3[[#This Row],[Profit]]/RawSalesTable3[[#This Row],[Revenue]]</f>
        <v>0.48864486400765983</v>
      </c>
      <c r="Z361" s="27" t="str">
        <f>TEXT(RawSalesTable3[[#This Row],[Order_Date_Clean]],"MMM YYYY")</f>
        <v>Mar 2025</v>
      </c>
      <c r="AA361" s="27"/>
      <c r="AB361" s="27">
        <f t="shared" si="40"/>
        <v>0</v>
      </c>
      <c r="AC361" s="27">
        <f t="shared" si="41"/>
        <v>0</v>
      </c>
    </row>
    <row r="362" spans="1:29">
      <c r="A362" t="s">
        <v>459</v>
      </c>
      <c r="B362" s="3">
        <v>45919</v>
      </c>
      <c r="C362" t="s">
        <v>66</v>
      </c>
      <c r="D362" t="s">
        <v>55</v>
      </c>
      <c r="E362" t="s">
        <v>56</v>
      </c>
      <c r="F362" t="s">
        <v>63</v>
      </c>
      <c r="G362" s="6">
        <v>6</v>
      </c>
      <c r="H362" s="4">
        <v>40.65</v>
      </c>
      <c r="I362" s="4">
        <v>20.16</v>
      </c>
      <c r="J362" s="5">
        <v>0.05</v>
      </c>
      <c r="K362" s="6">
        <v>6</v>
      </c>
      <c r="L362" s="6">
        <v>4</v>
      </c>
      <c r="M362" t="s">
        <v>58</v>
      </c>
      <c r="N362" t="s">
        <v>59</v>
      </c>
      <c r="O362" t="s">
        <v>64</v>
      </c>
      <c r="P362" t="str">
        <f t="shared" si="35"/>
        <v>Small Business</v>
      </c>
      <c r="Q362" t="str">
        <f t="shared" si="36"/>
        <v>South</v>
      </c>
      <c r="R362" t="str">
        <f>PROPER(TRIM(E362))</f>
        <v>Home &amp; Kitchen</v>
      </c>
      <c r="S362" s="27">
        <f>IF(ISTEXT(B362),DATEVALUE(B362),B362)</f>
        <v>45919</v>
      </c>
      <c r="T362" s="27">
        <f>COUNTIF($A$2:$A$1986,A362)</f>
        <v>1</v>
      </c>
      <c r="U362" s="27" t="str">
        <f t="shared" si="37"/>
        <v>Electric Kettle</v>
      </c>
      <c r="V362" s="27">
        <f t="shared" si="38"/>
        <v>231.70499999999996</v>
      </c>
      <c r="W362" s="27">
        <f t="shared" si="39"/>
        <v>120.96000000000001</v>
      </c>
      <c r="X362" s="27">
        <f>RawSalesTable3[[#This Row],[Revenue]]-RawSalesTable3[[#This Row],[Total_Cost]]</f>
        <v>110.74499999999995</v>
      </c>
      <c r="Y362" s="28">
        <f>RawSalesTable3[[#This Row],[Profit]]/RawSalesTable3[[#This Row],[Revenue]]</f>
        <v>0.4779568848320061</v>
      </c>
      <c r="Z362" s="27" t="str">
        <f>TEXT(RawSalesTable3[[#This Row],[Order_Date_Clean]],"MMM YYYY")</f>
        <v>Sep 2025</v>
      </c>
      <c r="AA362" s="27"/>
      <c r="AB362" s="27">
        <f t="shared" si="40"/>
        <v>0</v>
      </c>
      <c r="AC362" s="27">
        <f t="shared" si="41"/>
        <v>0</v>
      </c>
    </row>
    <row r="363" spans="1:29">
      <c r="A363" t="s">
        <v>460</v>
      </c>
      <c r="B363" s="3">
        <v>45997</v>
      </c>
      <c r="C363" t="s">
        <v>54</v>
      </c>
      <c r="D363" t="s">
        <v>62</v>
      </c>
      <c r="E363" t="s">
        <v>79</v>
      </c>
      <c r="F363" t="s">
        <v>92</v>
      </c>
      <c r="G363" s="6">
        <v>1</v>
      </c>
      <c r="H363" s="4">
        <v>49.86</v>
      </c>
      <c r="I363" s="4">
        <v>26.09</v>
      </c>
      <c r="J363" s="5">
        <v>0</v>
      </c>
      <c r="K363" s="6">
        <v>0</v>
      </c>
      <c r="L363" s="6">
        <v>4</v>
      </c>
      <c r="M363" t="s">
        <v>58</v>
      </c>
      <c r="N363" t="s">
        <v>69</v>
      </c>
      <c r="O363" t="s">
        <v>64</v>
      </c>
      <c r="P363" t="str">
        <f t="shared" si="35"/>
        <v>Individual</v>
      </c>
      <c r="Q363" t="str">
        <f t="shared" si="36"/>
        <v>North</v>
      </c>
      <c r="R363" t="str">
        <f>PROPER(TRIM(E363))</f>
        <v>Electronics</v>
      </c>
      <c r="S363" s="27">
        <f>IF(ISTEXT(B363),DATEVALUE(B363),B363)</f>
        <v>45997</v>
      </c>
      <c r="T363" s="27">
        <f>COUNTIF($A$2:$A$1986,A363)</f>
        <v>1</v>
      </c>
      <c r="U363" s="27" t="str">
        <f t="shared" si="37"/>
        <v>Webcam</v>
      </c>
      <c r="V363" s="27">
        <f t="shared" si="38"/>
        <v>49.86</v>
      </c>
      <c r="W363" s="27">
        <f t="shared" si="39"/>
        <v>26.09</v>
      </c>
      <c r="X363" s="27">
        <f>RawSalesTable3[[#This Row],[Revenue]]-RawSalesTable3[[#This Row],[Total_Cost]]</f>
        <v>23.77</v>
      </c>
      <c r="Y363" s="28">
        <f>RawSalesTable3[[#This Row],[Profit]]/RawSalesTable3[[#This Row],[Revenue]]</f>
        <v>0.47673485760128359</v>
      </c>
      <c r="Z363" s="27" t="str">
        <f>TEXT(RawSalesTable3[[#This Row],[Order_Date_Clean]],"MMM YYYY")</f>
        <v>Dec 2025</v>
      </c>
      <c r="AA363" s="27"/>
      <c r="AB363" s="27">
        <f t="shared" si="40"/>
        <v>0</v>
      </c>
      <c r="AC363" s="27">
        <f t="shared" si="41"/>
        <v>0</v>
      </c>
    </row>
    <row r="364" spans="1:29">
      <c r="A364" t="s">
        <v>461</v>
      </c>
      <c r="B364" s="3">
        <v>45775</v>
      </c>
      <c r="C364" t="s">
        <v>82</v>
      </c>
      <c r="D364" t="s">
        <v>62</v>
      </c>
      <c r="E364" t="s">
        <v>75</v>
      </c>
      <c r="F364" t="s">
        <v>76</v>
      </c>
      <c r="G364" s="6">
        <v>1</v>
      </c>
      <c r="H364" s="4">
        <v>120.35</v>
      </c>
      <c r="I364" s="4">
        <v>75.27</v>
      </c>
      <c r="J364" s="5">
        <v>0.05</v>
      </c>
      <c r="K364" s="6">
        <v>4</v>
      </c>
      <c r="L364" s="6">
        <v>4</v>
      </c>
      <c r="M364" t="s">
        <v>58</v>
      </c>
      <c r="N364" t="s">
        <v>59</v>
      </c>
      <c r="O364" t="s">
        <v>64</v>
      </c>
      <c r="P364" t="str">
        <f t="shared" si="35"/>
        <v>Individual</v>
      </c>
      <c r="Q364" t="str">
        <f t="shared" si="36"/>
        <v>Midlands</v>
      </c>
      <c r="R364" t="str">
        <f>PROPER(TRIM(E364))</f>
        <v>Furniture</v>
      </c>
      <c r="S364" s="27">
        <f>IF(ISTEXT(B364),DATEVALUE(B364),B364)</f>
        <v>45775</v>
      </c>
      <c r="T364" s="27">
        <f>COUNTIF($A$2:$A$1986,A364)</f>
        <v>1</v>
      </c>
      <c r="U364" s="27" t="str">
        <f t="shared" si="37"/>
        <v>Bookshelf</v>
      </c>
      <c r="V364" s="27">
        <f t="shared" si="38"/>
        <v>114.3325</v>
      </c>
      <c r="W364" s="27">
        <f t="shared" si="39"/>
        <v>75.27</v>
      </c>
      <c r="X364" s="27">
        <f>RawSalesTable3[[#This Row],[Revenue]]-RawSalesTable3[[#This Row],[Total_Cost]]</f>
        <v>39.0625</v>
      </c>
      <c r="Y364" s="28">
        <f>RawSalesTable3[[#This Row],[Profit]]/RawSalesTable3[[#This Row],[Revenue]]</f>
        <v>0.34165700916187436</v>
      </c>
      <c r="Z364" s="27" t="str">
        <f>TEXT(RawSalesTable3[[#This Row],[Order_Date_Clean]],"MMM YYYY")</f>
        <v>Apr 2025</v>
      </c>
      <c r="AA364" s="27"/>
      <c r="AB364" s="27">
        <f t="shared" si="40"/>
        <v>0</v>
      </c>
      <c r="AC364" s="27">
        <f t="shared" si="41"/>
        <v>0</v>
      </c>
    </row>
    <row r="365" spans="1:29">
      <c r="A365" t="s">
        <v>462</v>
      </c>
      <c r="B365" s="3">
        <v>45685</v>
      </c>
      <c r="C365" t="s">
        <v>66</v>
      </c>
      <c r="D365" t="s">
        <v>62</v>
      </c>
      <c r="E365" t="s">
        <v>67</v>
      </c>
      <c r="F365" t="s">
        <v>71</v>
      </c>
      <c r="G365" s="6">
        <v>1</v>
      </c>
      <c r="H365" s="4">
        <v>70.849999999999994</v>
      </c>
      <c r="I365" s="4">
        <v>38.35</v>
      </c>
      <c r="J365" s="5">
        <v>0.05</v>
      </c>
      <c r="K365" s="6">
        <v>2</v>
      </c>
      <c r="L365" s="6">
        <v>4</v>
      </c>
      <c r="M365" t="s">
        <v>58</v>
      </c>
      <c r="N365" t="s">
        <v>87</v>
      </c>
      <c r="O365" t="s">
        <v>64</v>
      </c>
      <c r="P365" t="str">
        <f t="shared" si="35"/>
        <v>Individual</v>
      </c>
      <c r="Q365" t="str">
        <f t="shared" si="36"/>
        <v>South</v>
      </c>
      <c r="R365" t="str">
        <f>PROPER(TRIM(E365))</f>
        <v>Office</v>
      </c>
      <c r="S365" s="27">
        <f>IF(ISTEXT(B365),DATEVALUE(B365),B365)</f>
        <v>45685</v>
      </c>
      <c r="T365" s="27">
        <f>COUNTIF($A$2:$A$1986,A365)</f>
        <v>1</v>
      </c>
      <c r="U365" s="27" t="str">
        <f t="shared" si="37"/>
        <v>Ergonomic Keyboard</v>
      </c>
      <c r="V365" s="27">
        <f t="shared" si="38"/>
        <v>67.30749999999999</v>
      </c>
      <c r="W365" s="27">
        <f t="shared" si="39"/>
        <v>38.35</v>
      </c>
      <c r="X365" s="27">
        <f>RawSalesTable3[[#This Row],[Revenue]]-RawSalesTable3[[#This Row],[Total_Cost]]</f>
        <v>28.957499999999989</v>
      </c>
      <c r="Y365" s="28">
        <f>RawSalesTable3[[#This Row],[Profit]]/RawSalesTable3[[#This Row],[Revenue]]</f>
        <v>0.43022694350555279</v>
      </c>
      <c r="Z365" s="27" t="str">
        <f>TEXT(RawSalesTable3[[#This Row],[Order_Date_Clean]],"MMM YYYY")</f>
        <v>Jan 2025</v>
      </c>
      <c r="AA365" s="27"/>
      <c r="AB365" s="27">
        <f t="shared" si="40"/>
        <v>0</v>
      </c>
      <c r="AC365" s="27">
        <f t="shared" si="41"/>
        <v>0</v>
      </c>
    </row>
    <row r="366" spans="1:29">
      <c r="A366" t="s">
        <v>463</v>
      </c>
      <c r="B366" s="3">
        <v>45826</v>
      </c>
      <c r="C366" t="s">
        <v>54</v>
      </c>
      <c r="D366" t="s">
        <v>62</v>
      </c>
      <c r="E366" t="s">
        <v>79</v>
      </c>
      <c r="F366" t="s">
        <v>115</v>
      </c>
      <c r="G366" s="6">
        <v>1</v>
      </c>
      <c r="H366" s="4">
        <v>58.67</v>
      </c>
      <c r="I366" s="4">
        <v>34.97</v>
      </c>
      <c r="J366" s="5">
        <v>0</v>
      </c>
      <c r="K366" s="6">
        <v>3</v>
      </c>
      <c r="L366" s="6">
        <v>5</v>
      </c>
      <c r="M366" t="s">
        <v>58</v>
      </c>
      <c r="N366" t="s">
        <v>59</v>
      </c>
      <c r="O366" t="s">
        <v>64</v>
      </c>
      <c r="P366" t="str">
        <f t="shared" si="35"/>
        <v>Individual</v>
      </c>
      <c r="Q366" t="str">
        <f t="shared" si="36"/>
        <v>North</v>
      </c>
      <c r="R366" t="str">
        <f>PROPER(TRIM(E366))</f>
        <v>Electronics</v>
      </c>
      <c r="S366" s="27">
        <f>IF(ISTEXT(B366),DATEVALUE(B366),B366)</f>
        <v>45826</v>
      </c>
      <c r="T366" s="27">
        <f>COUNTIF($A$2:$A$1986,A366)</f>
        <v>1</v>
      </c>
      <c r="U366" s="27" t="str">
        <f t="shared" si="37"/>
        <v>Wireless Headset</v>
      </c>
      <c r="V366" s="27">
        <f t="shared" si="38"/>
        <v>58.67</v>
      </c>
      <c r="W366" s="27">
        <f t="shared" si="39"/>
        <v>34.97</v>
      </c>
      <c r="X366" s="27">
        <f>RawSalesTable3[[#This Row],[Revenue]]-RawSalesTable3[[#This Row],[Total_Cost]]</f>
        <v>23.700000000000003</v>
      </c>
      <c r="Y366" s="28">
        <f>RawSalesTable3[[#This Row],[Profit]]/RawSalesTable3[[#This Row],[Revenue]]</f>
        <v>0.40395432077722859</v>
      </c>
      <c r="Z366" s="27" t="str">
        <f>TEXT(RawSalesTable3[[#This Row],[Order_Date_Clean]],"MMM YYYY")</f>
        <v>Jun 2025</v>
      </c>
      <c r="AA366" s="27"/>
      <c r="AB366" s="27">
        <f t="shared" si="40"/>
        <v>0</v>
      </c>
      <c r="AC366" s="27">
        <f t="shared" si="41"/>
        <v>0</v>
      </c>
    </row>
    <row r="367" spans="1:29">
      <c r="A367" t="s">
        <v>464</v>
      </c>
      <c r="B367" s="3">
        <v>45747</v>
      </c>
      <c r="C367" t="s">
        <v>66</v>
      </c>
      <c r="D367" t="s">
        <v>62</v>
      </c>
      <c r="E367" t="s">
        <v>75</v>
      </c>
      <c r="F367" t="s">
        <v>146</v>
      </c>
      <c r="G367" s="6">
        <v>1</v>
      </c>
      <c r="H367" s="4">
        <v>183.13</v>
      </c>
      <c r="I367" s="4">
        <v>120.43</v>
      </c>
      <c r="J367" s="5">
        <v>0.05</v>
      </c>
      <c r="K367" s="6">
        <v>5</v>
      </c>
      <c r="L367" s="6">
        <v>4</v>
      </c>
      <c r="M367" t="s">
        <v>58</v>
      </c>
      <c r="N367" t="s">
        <v>59</v>
      </c>
      <c r="O367" t="s">
        <v>64</v>
      </c>
      <c r="P367" t="str">
        <f t="shared" si="35"/>
        <v>Individual</v>
      </c>
      <c r="Q367" t="str">
        <f t="shared" si="36"/>
        <v>South</v>
      </c>
      <c r="R367" t="str">
        <f>PROPER(TRIM(E367))</f>
        <v>Furniture</v>
      </c>
      <c r="S367" s="27">
        <f>IF(ISTEXT(B367),DATEVALUE(B367),B367)</f>
        <v>45747</v>
      </c>
      <c r="T367" s="27">
        <f>COUNTIF($A$2:$A$1986,A367)</f>
        <v>1</v>
      </c>
      <c r="U367" s="27" t="str">
        <f t="shared" si="37"/>
        <v>Office Chair</v>
      </c>
      <c r="V367" s="27">
        <f t="shared" si="38"/>
        <v>173.9735</v>
      </c>
      <c r="W367" s="27">
        <f t="shared" si="39"/>
        <v>120.43</v>
      </c>
      <c r="X367" s="27">
        <f>RawSalesTable3[[#This Row],[Revenue]]-RawSalesTable3[[#This Row],[Total_Cost]]</f>
        <v>53.543499999999995</v>
      </c>
      <c r="Y367" s="28">
        <f>RawSalesTable3[[#This Row],[Profit]]/RawSalesTable3[[#This Row],[Revenue]]</f>
        <v>0.3077681371013401</v>
      </c>
      <c r="Z367" s="27" t="str">
        <f>TEXT(RawSalesTable3[[#This Row],[Order_Date_Clean]],"MMM YYYY")</f>
        <v>Mar 2025</v>
      </c>
      <c r="AA367" s="27"/>
      <c r="AB367" s="27">
        <f t="shared" si="40"/>
        <v>0</v>
      </c>
      <c r="AC367" s="27">
        <f t="shared" si="41"/>
        <v>0</v>
      </c>
    </row>
    <row r="368" spans="1:29">
      <c r="A368" t="s">
        <v>465</v>
      </c>
      <c r="B368" s="3">
        <v>45930</v>
      </c>
      <c r="C368" t="s">
        <v>54</v>
      </c>
      <c r="D368" t="s">
        <v>62</v>
      </c>
      <c r="E368" t="s">
        <v>79</v>
      </c>
      <c r="F368" t="s">
        <v>85</v>
      </c>
      <c r="G368" s="6">
        <v>1</v>
      </c>
      <c r="H368" s="4">
        <v>133.74</v>
      </c>
      <c r="I368" s="4">
        <v>83</v>
      </c>
      <c r="J368" s="5">
        <v>0.1</v>
      </c>
      <c r="K368" s="6">
        <v>1</v>
      </c>
      <c r="L368" s="6">
        <v>4</v>
      </c>
      <c r="M368" t="s">
        <v>58</v>
      </c>
      <c r="N368" t="s">
        <v>87</v>
      </c>
      <c r="O368" t="s">
        <v>64</v>
      </c>
      <c r="P368" t="str">
        <f t="shared" si="35"/>
        <v>Individual</v>
      </c>
      <c r="Q368" t="str">
        <f t="shared" si="36"/>
        <v>North</v>
      </c>
      <c r="R368" t="str">
        <f>PROPER(TRIM(E368))</f>
        <v>Electronics</v>
      </c>
      <c r="S368" s="27">
        <f>IF(ISTEXT(B368),DATEVALUE(B368),B368)</f>
        <v>45930</v>
      </c>
      <c r="T368" s="27">
        <f>COUNTIF($A$2:$A$1986,A368)</f>
        <v>1</v>
      </c>
      <c r="U368" s="27" t="str">
        <f t="shared" si="37"/>
        <v>SmartHome Hub</v>
      </c>
      <c r="V368" s="27">
        <f t="shared" si="38"/>
        <v>120.36600000000001</v>
      </c>
      <c r="W368" s="27">
        <f t="shared" si="39"/>
        <v>83</v>
      </c>
      <c r="X368" s="27">
        <f>RawSalesTable3[[#This Row],[Revenue]]-RawSalesTable3[[#This Row],[Total_Cost]]</f>
        <v>37.366000000000014</v>
      </c>
      <c r="Y368" s="28">
        <f>RawSalesTable3[[#This Row],[Profit]]/RawSalesTable3[[#This Row],[Revenue]]</f>
        <v>0.31043650200222661</v>
      </c>
      <c r="Z368" s="27" t="str">
        <f>TEXT(RawSalesTable3[[#This Row],[Order_Date_Clean]],"MMM YYYY")</f>
        <v>Sep 2025</v>
      </c>
      <c r="AA368" s="27"/>
      <c r="AB368" s="27">
        <f t="shared" si="40"/>
        <v>0</v>
      </c>
      <c r="AC368" s="27">
        <f t="shared" si="41"/>
        <v>0</v>
      </c>
    </row>
    <row r="369" spans="1:29">
      <c r="A369" t="s">
        <v>466</v>
      </c>
      <c r="B369" s="3">
        <v>45952</v>
      </c>
      <c r="C369" t="s">
        <v>78</v>
      </c>
      <c r="D369" t="s">
        <v>55</v>
      </c>
      <c r="E369" t="s">
        <v>75</v>
      </c>
      <c r="F369" t="s">
        <v>76</v>
      </c>
      <c r="G369" s="6">
        <v>4</v>
      </c>
      <c r="H369" s="4">
        <v>122.61</v>
      </c>
      <c r="I369" s="4">
        <v>73.44</v>
      </c>
      <c r="J369" s="5">
        <v>0</v>
      </c>
      <c r="K369" s="6">
        <v>2</v>
      </c>
      <c r="L369" s="6">
        <v>4</v>
      </c>
      <c r="M369" t="s">
        <v>58</v>
      </c>
      <c r="N369" t="s">
        <v>59</v>
      </c>
      <c r="O369" t="s">
        <v>64</v>
      </c>
      <c r="P369" t="str">
        <f t="shared" si="35"/>
        <v>Small Business</v>
      </c>
      <c r="Q369" t="str">
        <f t="shared" si="36"/>
        <v>London</v>
      </c>
      <c r="R369" t="str">
        <f>PROPER(TRIM(E369))</f>
        <v>Furniture</v>
      </c>
      <c r="S369" s="27">
        <f>IF(ISTEXT(B369),DATEVALUE(B369),B369)</f>
        <v>45952</v>
      </c>
      <c r="T369" s="27">
        <f>COUNTIF($A$2:$A$1986,A369)</f>
        <v>1</v>
      </c>
      <c r="U369" s="27" t="str">
        <f t="shared" si="37"/>
        <v>Bookshelf</v>
      </c>
      <c r="V369" s="27">
        <f t="shared" si="38"/>
        <v>490.44</v>
      </c>
      <c r="W369" s="27">
        <f t="shared" si="39"/>
        <v>293.76</v>
      </c>
      <c r="X369" s="27">
        <f>RawSalesTable3[[#This Row],[Revenue]]-RawSalesTable3[[#This Row],[Total_Cost]]</f>
        <v>196.68</v>
      </c>
      <c r="Y369" s="28">
        <f>RawSalesTable3[[#This Row],[Profit]]/RawSalesTable3[[#This Row],[Revenue]]</f>
        <v>0.40102764864203572</v>
      </c>
      <c r="Z369" s="27" t="str">
        <f>TEXT(RawSalesTable3[[#This Row],[Order_Date_Clean]],"MMM YYYY")</f>
        <v>Oct 2025</v>
      </c>
      <c r="AA369" s="27"/>
      <c r="AB369" s="27">
        <f t="shared" si="40"/>
        <v>0</v>
      </c>
      <c r="AC369" s="27">
        <f t="shared" si="41"/>
        <v>0</v>
      </c>
    </row>
    <row r="370" spans="1:29">
      <c r="A370" t="s">
        <v>467</v>
      </c>
      <c r="B370" s="3">
        <v>45721</v>
      </c>
      <c r="C370" t="s">
        <v>66</v>
      </c>
      <c r="D370" t="s">
        <v>62</v>
      </c>
      <c r="E370" t="s">
        <v>56</v>
      </c>
      <c r="F370" t="s">
        <v>57</v>
      </c>
      <c r="G370" s="6">
        <v>1</v>
      </c>
      <c r="H370" s="4">
        <v>113.27</v>
      </c>
      <c r="I370" s="4">
        <v>65.27</v>
      </c>
      <c r="J370" s="5">
        <v>0</v>
      </c>
      <c r="K370" s="6">
        <v>6</v>
      </c>
      <c r="L370" s="6">
        <v>2</v>
      </c>
      <c r="M370" t="s">
        <v>126</v>
      </c>
      <c r="N370" t="s">
        <v>59</v>
      </c>
      <c r="O370" t="s">
        <v>64</v>
      </c>
      <c r="P370" t="str">
        <f t="shared" si="35"/>
        <v>Individual</v>
      </c>
      <c r="Q370" t="str">
        <f t="shared" si="36"/>
        <v>South</v>
      </c>
      <c r="R370" t="str">
        <f>PROPER(TRIM(E370))</f>
        <v>Home &amp; Kitchen</v>
      </c>
      <c r="S370" s="27">
        <f>IF(ISTEXT(B370),DATEVALUE(B370),B370)</f>
        <v>45721</v>
      </c>
      <c r="T370" s="27">
        <f>COUNTIF($A$2:$A$1986,A370)</f>
        <v>1</v>
      </c>
      <c r="U370" s="27" t="str">
        <f t="shared" si="37"/>
        <v>Air Fryer</v>
      </c>
      <c r="V370" s="27">
        <f t="shared" si="38"/>
        <v>113.27</v>
      </c>
      <c r="W370" s="27">
        <f t="shared" si="39"/>
        <v>65.27</v>
      </c>
      <c r="X370" s="27">
        <f>RawSalesTable3[[#This Row],[Revenue]]-RawSalesTable3[[#This Row],[Total_Cost]]</f>
        <v>48</v>
      </c>
      <c r="Y370" s="28">
        <f>RawSalesTable3[[#This Row],[Profit]]/RawSalesTable3[[#This Row],[Revenue]]</f>
        <v>0.42376622230069744</v>
      </c>
      <c r="Z370" s="27" t="str">
        <f>TEXT(RawSalesTable3[[#This Row],[Order_Date_Clean]],"MMM YYYY")</f>
        <v>Mar 2025</v>
      </c>
      <c r="AA370" s="27"/>
      <c r="AB370" s="27">
        <f t="shared" si="40"/>
        <v>0</v>
      </c>
      <c r="AC370" s="27">
        <f t="shared" si="41"/>
        <v>0</v>
      </c>
    </row>
    <row r="371" spans="1:29">
      <c r="A371" t="s">
        <v>468</v>
      </c>
      <c r="B371" s="3">
        <v>46007</v>
      </c>
      <c r="C371" t="s">
        <v>82</v>
      </c>
      <c r="D371" t="s">
        <v>62</v>
      </c>
      <c r="E371" t="s">
        <v>67</v>
      </c>
      <c r="F371" t="s">
        <v>71</v>
      </c>
      <c r="G371" s="6">
        <v>1</v>
      </c>
      <c r="H371" s="4">
        <v>72.319999999999993</v>
      </c>
      <c r="I371" s="4">
        <v>39.869999999999997</v>
      </c>
      <c r="J371" s="5">
        <v>0.05</v>
      </c>
      <c r="K371" s="6">
        <v>4</v>
      </c>
      <c r="L371" s="6">
        <v>4</v>
      </c>
      <c r="M371" t="s">
        <v>58</v>
      </c>
      <c r="N371" t="s">
        <v>59</v>
      </c>
      <c r="O371" t="s">
        <v>60</v>
      </c>
      <c r="P371" t="str">
        <f t="shared" si="35"/>
        <v>Individual</v>
      </c>
      <c r="Q371" t="str">
        <f t="shared" si="36"/>
        <v>Midlands</v>
      </c>
      <c r="R371" t="str">
        <f>PROPER(TRIM(E371))</f>
        <v>Office</v>
      </c>
      <c r="S371" s="27">
        <f>IF(ISTEXT(B371),DATEVALUE(B371),B371)</f>
        <v>46007</v>
      </c>
      <c r="T371" s="27">
        <f>COUNTIF($A$2:$A$1986,A371)</f>
        <v>1</v>
      </c>
      <c r="U371" s="27" t="str">
        <f t="shared" si="37"/>
        <v>Ergonomic Keyboard</v>
      </c>
      <c r="V371" s="27">
        <f t="shared" si="38"/>
        <v>68.703999999999994</v>
      </c>
      <c r="W371" s="27">
        <f t="shared" si="39"/>
        <v>39.869999999999997</v>
      </c>
      <c r="X371" s="27">
        <f>RawSalesTable3[[#This Row],[Revenue]]-RawSalesTable3[[#This Row],[Total_Cost]]</f>
        <v>28.833999999999996</v>
      </c>
      <c r="Y371" s="28">
        <f>RawSalesTable3[[#This Row],[Profit]]/RawSalesTable3[[#This Row],[Revenue]]</f>
        <v>0.41968444340940847</v>
      </c>
      <c r="Z371" s="27" t="str">
        <f>TEXT(RawSalesTable3[[#This Row],[Order_Date_Clean]],"MMM YYYY")</f>
        <v>Dec 2025</v>
      </c>
      <c r="AA371" s="27"/>
      <c r="AB371" s="27">
        <f t="shared" si="40"/>
        <v>0</v>
      </c>
      <c r="AC371" s="27">
        <f t="shared" si="41"/>
        <v>0</v>
      </c>
    </row>
    <row r="372" spans="1:29">
      <c r="A372" t="s">
        <v>469</v>
      </c>
      <c r="B372" s="3">
        <v>45720</v>
      </c>
      <c r="C372" t="s">
        <v>78</v>
      </c>
      <c r="D372" t="s">
        <v>62</v>
      </c>
      <c r="E372" t="s">
        <v>79</v>
      </c>
      <c r="F372" t="s">
        <v>115</v>
      </c>
      <c r="G372" s="6">
        <v>1</v>
      </c>
      <c r="H372" s="4">
        <v>59.41</v>
      </c>
      <c r="I372" s="4">
        <v>34.880000000000003</v>
      </c>
      <c r="J372" s="5">
        <v>0.05</v>
      </c>
      <c r="K372" s="6">
        <v>2</v>
      </c>
      <c r="L372" s="6">
        <v>4</v>
      </c>
      <c r="M372" t="s">
        <v>58</v>
      </c>
      <c r="N372" t="s">
        <v>59</v>
      </c>
      <c r="O372" t="s">
        <v>60</v>
      </c>
      <c r="P372" t="str">
        <f t="shared" si="35"/>
        <v>Individual</v>
      </c>
      <c r="Q372" t="str">
        <f t="shared" si="36"/>
        <v>London</v>
      </c>
      <c r="R372" t="str">
        <f>PROPER(TRIM(E372))</f>
        <v>Electronics</v>
      </c>
      <c r="S372" s="27">
        <f>IF(ISTEXT(B372),DATEVALUE(B372),B372)</f>
        <v>45720</v>
      </c>
      <c r="T372" s="27">
        <f>COUNTIF($A$2:$A$1986,A372)</f>
        <v>1</v>
      </c>
      <c r="U372" s="27" t="str">
        <f t="shared" si="37"/>
        <v>Wireless Headset</v>
      </c>
      <c r="V372" s="27">
        <f t="shared" si="38"/>
        <v>56.439499999999995</v>
      </c>
      <c r="W372" s="27">
        <f t="shared" si="39"/>
        <v>34.880000000000003</v>
      </c>
      <c r="X372" s="27">
        <f>RawSalesTable3[[#This Row],[Revenue]]-RawSalesTable3[[#This Row],[Total_Cost]]</f>
        <v>21.559499999999993</v>
      </c>
      <c r="Y372" s="28">
        <f>RawSalesTable3[[#This Row],[Profit]]/RawSalesTable3[[#This Row],[Revenue]]</f>
        <v>0.38199310766395866</v>
      </c>
      <c r="Z372" s="27" t="str">
        <f>TEXT(RawSalesTable3[[#This Row],[Order_Date_Clean]],"MMM YYYY")</f>
        <v>Mar 2025</v>
      </c>
      <c r="AA372" s="27"/>
      <c r="AB372" s="27">
        <f t="shared" si="40"/>
        <v>0</v>
      </c>
      <c r="AC372" s="27">
        <f t="shared" si="41"/>
        <v>0</v>
      </c>
    </row>
    <row r="373" spans="1:29">
      <c r="A373" t="s">
        <v>470</v>
      </c>
      <c r="B373" s="3">
        <v>45986</v>
      </c>
      <c r="C373" t="s">
        <v>78</v>
      </c>
      <c r="D373" t="s">
        <v>62</v>
      </c>
      <c r="E373" t="s">
        <v>79</v>
      </c>
      <c r="F373" t="s">
        <v>115</v>
      </c>
      <c r="G373" s="6">
        <v>2</v>
      </c>
      <c r="H373" s="4">
        <v>59.24</v>
      </c>
      <c r="I373" s="4">
        <v>33.03</v>
      </c>
      <c r="J373" s="5">
        <v>0.05</v>
      </c>
      <c r="K373" s="6">
        <v>2</v>
      </c>
      <c r="L373" s="6">
        <v>5</v>
      </c>
      <c r="M373" t="s">
        <v>58</v>
      </c>
      <c r="N373" t="s">
        <v>69</v>
      </c>
      <c r="O373" t="s">
        <v>64</v>
      </c>
      <c r="P373" t="str">
        <f t="shared" si="35"/>
        <v>Individual</v>
      </c>
      <c r="Q373" t="str">
        <f t="shared" si="36"/>
        <v>London</v>
      </c>
      <c r="R373" t="str">
        <f>PROPER(TRIM(E373))</f>
        <v>Electronics</v>
      </c>
      <c r="S373" s="27">
        <f>IF(ISTEXT(B373),DATEVALUE(B373),B373)</f>
        <v>45986</v>
      </c>
      <c r="T373" s="27">
        <f>COUNTIF($A$2:$A$1986,A373)</f>
        <v>1</v>
      </c>
      <c r="U373" s="27" t="str">
        <f t="shared" si="37"/>
        <v>Wireless Headset</v>
      </c>
      <c r="V373" s="27">
        <f t="shared" si="38"/>
        <v>112.556</v>
      </c>
      <c r="W373" s="27">
        <f t="shared" si="39"/>
        <v>66.06</v>
      </c>
      <c r="X373" s="27">
        <f>RawSalesTable3[[#This Row],[Revenue]]-RawSalesTable3[[#This Row],[Total_Cost]]</f>
        <v>46.495999999999995</v>
      </c>
      <c r="Y373" s="28">
        <f>RawSalesTable3[[#This Row],[Profit]]/RawSalesTable3[[#This Row],[Revenue]]</f>
        <v>0.41309214968548985</v>
      </c>
      <c r="Z373" s="27" t="str">
        <f>TEXT(RawSalesTable3[[#This Row],[Order_Date_Clean]],"MMM YYYY")</f>
        <v>Nov 2025</v>
      </c>
      <c r="AA373" s="27"/>
      <c r="AB373" s="27">
        <f t="shared" si="40"/>
        <v>0</v>
      </c>
      <c r="AC373" s="27">
        <f t="shared" si="41"/>
        <v>0</v>
      </c>
    </row>
    <row r="374" spans="1:29">
      <c r="A374" t="s">
        <v>471</v>
      </c>
      <c r="B374" s="3">
        <v>46013</v>
      </c>
      <c r="C374" t="s">
        <v>54</v>
      </c>
      <c r="D374" t="s">
        <v>62</v>
      </c>
      <c r="E374" t="s">
        <v>79</v>
      </c>
      <c r="F374" t="s">
        <v>92</v>
      </c>
      <c r="G374" s="6">
        <v>1</v>
      </c>
      <c r="H374" s="4">
        <v>48.8</v>
      </c>
      <c r="I374" s="4">
        <v>26.08</v>
      </c>
      <c r="J374" s="5">
        <v>0.05</v>
      </c>
      <c r="K374" s="6">
        <v>1</v>
      </c>
      <c r="L374" s="6">
        <v>4</v>
      </c>
      <c r="M374" t="s">
        <v>58</v>
      </c>
      <c r="N374" t="s">
        <v>69</v>
      </c>
      <c r="O374" t="s">
        <v>60</v>
      </c>
      <c r="P374" t="str">
        <f t="shared" si="35"/>
        <v>Individual</v>
      </c>
      <c r="Q374" t="str">
        <f t="shared" si="36"/>
        <v>North</v>
      </c>
      <c r="R374" t="str">
        <f>PROPER(TRIM(E374))</f>
        <v>Electronics</v>
      </c>
      <c r="S374" s="27">
        <f>IF(ISTEXT(B374),DATEVALUE(B374),B374)</f>
        <v>46013</v>
      </c>
      <c r="T374" s="27">
        <f>COUNTIF($A$2:$A$1986,A374)</f>
        <v>1</v>
      </c>
      <c r="U374" s="27" t="str">
        <f t="shared" si="37"/>
        <v>Webcam</v>
      </c>
      <c r="V374" s="27">
        <f t="shared" si="38"/>
        <v>46.359999999999992</v>
      </c>
      <c r="W374" s="27">
        <f t="shared" si="39"/>
        <v>26.08</v>
      </c>
      <c r="X374" s="27">
        <f>RawSalesTable3[[#This Row],[Revenue]]-RawSalesTable3[[#This Row],[Total_Cost]]</f>
        <v>20.279999999999994</v>
      </c>
      <c r="Y374" s="28">
        <f>RawSalesTable3[[#This Row],[Profit]]/RawSalesTable3[[#This Row],[Revenue]]</f>
        <v>0.43744607420189813</v>
      </c>
      <c r="Z374" s="27" t="str">
        <f>TEXT(RawSalesTable3[[#This Row],[Order_Date_Clean]],"MMM YYYY")</f>
        <v>Dec 2025</v>
      </c>
      <c r="AA374" s="27"/>
      <c r="AB374" s="27">
        <f t="shared" si="40"/>
        <v>0</v>
      </c>
      <c r="AC374" s="27">
        <f t="shared" si="41"/>
        <v>0</v>
      </c>
    </row>
    <row r="375" spans="1:29">
      <c r="A375" t="s">
        <v>472</v>
      </c>
      <c r="B375" s="3">
        <v>45685</v>
      </c>
      <c r="C375" t="s">
        <v>66</v>
      </c>
      <c r="D375" t="s">
        <v>55</v>
      </c>
      <c r="E375" t="s">
        <v>75</v>
      </c>
      <c r="F375" t="s">
        <v>97</v>
      </c>
      <c r="G375" s="6">
        <v>1</v>
      </c>
      <c r="H375" s="4">
        <v>88.17</v>
      </c>
      <c r="I375" s="4">
        <v>53.4</v>
      </c>
      <c r="J375" s="5">
        <v>0</v>
      </c>
      <c r="K375" s="6">
        <v>2</v>
      </c>
      <c r="L375" s="6">
        <v>4</v>
      </c>
      <c r="M375" t="s">
        <v>58</v>
      </c>
      <c r="N375" t="s">
        <v>69</v>
      </c>
      <c r="O375" t="s">
        <v>73</v>
      </c>
      <c r="P375" t="str">
        <f t="shared" si="35"/>
        <v>Small Business</v>
      </c>
      <c r="Q375" t="str">
        <f t="shared" si="36"/>
        <v>South</v>
      </c>
      <c r="R375" t="str">
        <f>PROPER(TRIM(E375))</f>
        <v>Furniture</v>
      </c>
      <c r="S375" s="27">
        <f>IF(ISTEXT(B375),DATEVALUE(B375),B375)</f>
        <v>45685</v>
      </c>
      <c r="T375" s="27">
        <f>COUNTIF($A$2:$A$1986,A375)</f>
        <v>1</v>
      </c>
      <c r="U375" s="27" t="str">
        <f t="shared" si="37"/>
        <v>Side Table</v>
      </c>
      <c r="V375" s="27">
        <f t="shared" si="38"/>
        <v>88.17</v>
      </c>
      <c r="W375" s="27">
        <f t="shared" si="39"/>
        <v>53.4</v>
      </c>
      <c r="X375" s="27">
        <f>RawSalesTable3[[#This Row],[Revenue]]-RawSalesTable3[[#This Row],[Total_Cost]]</f>
        <v>34.770000000000003</v>
      </c>
      <c r="Y375" s="28">
        <f>RawSalesTable3[[#This Row],[Profit]]/RawSalesTable3[[#This Row],[Revenue]]</f>
        <v>0.39435182034705685</v>
      </c>
      <c r="Z375" s="27" t="str">
        <f>TEXT(RawSalesTable3[[#This Row],[Order_Date_Clean]],"MMM YYYY")</f>
        <v>Jan 2025</v>
      </c>
      <c r="AA375" s="27"/>
      <c r="AB375" s="27">
        <f t="shared" si="40"/>
        <v>0</v>
      </c>
      <c r="AC375" s="27">
        <f t="shared" si="41"/>
        <v>0</v>
      </c>
    </row>
    <row r="376" spans="1:29">
      <c r="A376" t="s">
        <v>473</v>
      </c>
      <c r="B376" s="3">
        <v>45825</v>
      </c>
      <c r="C376" t="s">
        <v>78</v>
      </c>
      <c r="D376" t="s">
        <v>55</v>
      </c>
      <c r="E376" t="s">
        <v>56</v>
      </c>
      <c r="F376" t="s">
        <v>89</v>
      </c>
      <c r="G376" s="6">
        <v>4</v>
      </c>
      <c r="H376" s="4">
        <v>79.599999999999994</v>
      </c>
      <c r="I376" s="4">
        <v>45.53</v>
      </c>
      <c r="J376" s="5">
        <v>0</v>
      </c>
      <c r="K376" s="6">
        <v>3</v>
      </c>
      <c r="L376" s="6">
        <v>5</v>
      </c>
      <c r="M376" t="s">
        <v>58</v>
      </c>
      <c r="N376" t="s">
        <v>59</v>
      </c>
      <c r="O376" t="s">
        <v>64</v>
      </c>
      <c r="P376" t="str">
        <f t="shared" si="35"/>
        <v>Small Business</v>
      </c>
      <c r="Q376" t="str">
        <f t="shared" si="36"/>
        <v>London</v>
      </c>
      <c r="R376" t="str">
        <f>PROPER(TRIM(E376))</f>
        <v>Home &amp; Kitchen</v>
      </c>
      <c r="S376" s="27">
        <f>IF(ISTEXT(B376),DATEVALUE(B376),B376)</f>
        <v>45825</v>
      </c>
      <c r="T376" s="27">
        <f>COUNTIF($A$2:$A$1986,A376)</f>
        <v>1</v>
      </c>
      <c r="U376" s="27" t="str">
        <f t="shared" si="37"/>
        <v>Coffee Maker</v>
      </c>
      <c r="V376" s="27">
        <f t="shared" si="38"/>
        <v>318.39999999999998</v>
      </c>
      <c r="W376" s="27">
        <f t="shared" si="39"/>
        <v>182.12</v>
      </c>
      <c r="X376" s="27">
        <f>RawSalesTable3[[#This Row],[Revenue]]-RawSalesTable3[[#This Row],[Total_Cost]]</f>
        <v>136.27999999999997</v>
      </c>
      <c r="Y376" s="28">
        <f>RawSalesTable3[[#This Row],[Profit]]/RawSalesTable3[[#This Row],[Revenue]]</f>
        <v>0.42801507537688438</v>
      </c>
      <c r="Z376" s="27" t="str">
        <f>TEXT(RawSalesTable3[[#This Row],[Order_Date_Clean]],"MMM YYYY")</f>
        <v>Jun 2025</v>
      </c>
      <c r="AA376" s="27"/>
      <c r="AB376" s="27">
        <f t="shared" si="40"/>
        <v>0</v>
      </c>
      <c r="AC376" s="27">
        <f t="shared" si="41"/>
        <v>0</v>
      </c>
    </row>
    <row r="377" spans="1:29">
      <c r="A377" t="s">
        <v>474</v>
      </c>
      <c r="B377" s="3">
        <v>45777</v>
      </c>
      <c r="C377" t="s">
        <v>78</v>
      </c>
      <c r="D377" t="s">
        <v>62</v>
      </c>
      <c r="E377" t="s">
        <v>75</v>
      </c>
      <c r="F377" t="s">
        <v>110</v>
      </c>
      <c r="G377" s="6">
        <v>1</v>
      </c>
      <c r="H377" s="4">
        <v>157.41</v>
      </c>
      <c r="I377" s="4">
        <v>99.69</v>
      </c>
      <c r="J377" s="5">
        <v>0.05</v>
      </c>
      <c r="K377" s="6">
        <v>5</v>
      </c>
      <c r="L377" s="6">
        <v>4</v>
      </c>
      <c r="M377" t="s">
        <v>58</v>
      </c>
      <c r="N377" t="s">
        <v>59</v>
      </c>
      <c r="O377" t="s">
        <v>60</v>
      </c>
      <c r="P377" t="str">
        <f t="shared" si="35"/>
        <v>Individual</v>
      </c>
      <c r="Q377" t="str">
        <f t="shared" si="36"/>
        <v>London</v>
      </c>
      <c r="R377" t="str">
        <f>PROPER(TRIM(E377))</f>
        <v>Furniture</v>
      </c>
      <c r="S377" s="27">
        <f>IF(ISTEXT(B377),DATEVALUE(B377),B377)</f>
        <v>45777</v>
      </c>
      <c r="T377" s="27">
        <f>COUNTIF($A$2:$A$1986,A377)</f>
        <v>1</v>
      </c>
      <c r="U377" s="27" t="str">
        <f t="shared" si="37"/>
        <v>Storage Cabinet</v>
      </c>
      <c r="V377" s="27">
        <f t="shared" si="38"/>
        <v>149.5395</v>
      </c>
      <c r="W377" s="27">
        <f t="shared" si="39"/>
        <v>99.69</v>
      </c>
      <c r="X377" s="27">
        <f>RawSalesTable3[[#This Row],[Revenue]]-RawSalesTable3[[#This Row],[Total_Cost]]</f>
        <v>49.849500000000006</v>
      </c>
      <c r="Y377" s="28">
        <f>RawSalesTable3[[#This Row],[Profit]]/RawSalesTable3[[#This Row],[Revenue]]</f>
        <v>0.33335339492241184</v>
      </c>
      <c r="Z377" s="27" t="str">
        <f>TEXT(RawSalesTable3[[#This Row],[Order_Date_Clean]],"MMM YYYY")</f>
        <v>Apr 2025</v>
      </c>
      <c r="AA377" s="27"/>
      <c r="AB377" s="27">
        <f t="shared" si="40"/>
        <v>0</v>
      </c>
      <c r="AC377" s="27">
        <f t="shared" si="41"/>
        <v>0</v>
      </c>
    </row>
    <row r="378" spans="1:29">
      <c r="A378" t="s">
        <v>475</v>
      </c>
      <c r="B378" s="3">
        <v>45742</v>
      </c>
      <c r="C378" t="s">
        <v>66</v>
      </c>
      <c r="D378" t="s">
        <v>55</v>
      </c>
      <c r="E378" t="s">
        <v>67</v>
      </c>
      <c r="F378" t="s">
        <v>71</v>
      </c>
      <c r="G378" s="6">
        <v>3</v>
      </c>
      <c r="H378" s="4">
        <v>72.77</v>
      </c>
      <c r="I378" s="4">
        <v>37.79</v>
      </c>
      <c r="J378" s="5">
        <v>0.1</v>
      </c>
      <c r="K378" s="6">
        <v>2</v>
      </c>
      <c r="L378" s="6">
        <v>3</v>
      </c>
      <c r="M378" t="s">
        <v>126</v>
      </c>
      <c r="N378" t="s">
        <v>59</v>
      </c>
      <c r="O378" t="s">
        <v>73</v>
      </c>
      <c r="P378" t="str">
        <f t="shared" si="35"/>
        <v>Small Business</v>
      </c>
      <c r="Q378" t="str">
        <f t="shared" si="36"/>
        <v>South</v>
      </c>
      <c r="R378" t="str">
        <f>PROPER(TRIM(E378))</f>
        <v>Office</v>
      </c>
      <c r="S378" s="27">
        <f>IF(ISTEXT(B378),DATEVALUE(B378),B378)</f>
        <v>45742</v>
      </c>
      <c r="T378" s="27">
        <f>COUNTIF($A$2:$A$1986,A378)</f>
        <v>1</v>
      </c>
      <c r="U378" s="27" t="str">
        <f t="shared" si="37"/>
        <v>Ergonomic Keyboard</v>
      </c>
      <c r="V378" s="27">
        <f t="shared" si="38"/>
        <v>196.47900000000001</v>
      </c>
      <c r="W378" s="27">
        <f t="shared" si="39"/>
        <v>113.37</v>
      </c>
      <c r="X378" s="27">
        <f>RawSalesTable3[[#This Row],[Revenue]]-RawSalesTable3[[#This Row],[Total_Cost]]</f>
        <v>83.109000000000009</v>
      </c>
      <c r="Y378" s="28">
        <f>RawSalesTable3[[#This Row],[Profit]]/RawSalesTable3[[#This Row],[Revenue]]</f>
        <v>0.42299177011283651</v>
      </c>
      <c r="Z378" s="27" t="str">
        <f>TEXT(RawSalesTable3[[#This Row],[Order_Date_Clean]],"MMM YYYY")</f>
        <v>Mar 2025</v>
      </c>
      <c r="AA378" s="27"/>
      <c r="AB378" s="27">
        <f t="shared" si="40"/>
        <v>0</v>
      </c>
      <c r="AC378" s="27">
        <f t="shared" si="41"/>
        <v>0</v>
      </c>
    </row>
    <row r="379" spans="1:29">
      <c r="A379" t="s">
        <v>476</v>
      </c>
      <c r="B379" s="3">
        <v>45751</v>
      </c>
      <c r="C379" t="s">
        <v>54</v>
      </c>
      <c r="D379" t="s">
        <v>55</v>
      </c>
      <c r="E379" t="s">
        <v>67</v>
      </c>
      <c r="F379" t="s">
        <v>107</v>
      </c>
      <c r="G379" s="6">
        <v>4</v>
      </c>
      <c r="H379" s="4">
        <v>43.91</v>
      </c>
      <c r="I379" s="4">
        <v>20.46</v>
      </c>
      <c r="J379" s="5">
        <v>0</v>
      </c>
      <c r="K379" s="6">
        <v>3</v>
      </c>
      <c r="L379" s="6">
        <v>5</v>
      </c>
      <c r="M379" t="s">
        <v>58</v>
      </c>
      <c r="N379" t="s">
        <v>59</v>
      </c>
      <c r="O379" t="s">
        <v>73</v>
      </c>
      <c r="P379" t="str">
        <f t="shared" si="35"/>
        <v>Small Business</v>
      </c>
      <c r="Q379" t="str">
        <f t="shared" si="36"/>
        <v>North</v>
      </c>
      <c r="R379" t="str">
        <f>PROPER(TRIM(E379))</f>
        <v>Office</v>
      </c>
      <c r="S379" s="27">
        <f>IF(ISTEXT(B379),DATEVALUE(B379),B379)</f>
        <v>45751</v>
      </c>
      <c r="T379" s="27">
        <f>COUNTIF($A$2:$A$1986,A379)</f>
        <v>1</v>
      </c>
      <c r="U379" s="27" t="str">
        <f t="shared" si="37"/>
        <v>Laptop Stand</v>
      </c>
      <c r="V379" s="27">
        <f t="shared" si="38"/>
        <v>175.64</v>
      </c>
      <c r="W379" s="27">
        <f t="shared" si="39"/>
        <v>81.84</v>
      </c>
      <c r="X379" s="27">
        <f>RawSalesTable3[[#This Row],[Revenue]]-RawSalesTable3[[#This Row],[Total_Cost]]</f>
        <v>93.799999999999983</v>
      </c>
      <c r="Y379" s="28">
        <f>RawSalesTable3[[#This Row],[Profit]]/RawSalesTable3[[#This Row],[Revenue]]</f>
        <v>0.53404691414256433</v>
      </c>
      <c r="Z379" s="27" t="str">
        <f>TEXT(RawSalesTable3[[#This Row],[Order_Date_Clean]],"MMM YYYY")</f>
        <v>Apr 2025</v>
      </c>
      <c r="AA379" s="27"/>
      <c r="AB379" s="27">
        <f t="shared" si="40"/>
        <v>0</v>
      </c>
      <c r="AC379" s="27">
        <f t="shared" si="41"/>
        <v>0</v>
      </c>
    </row>
    <row r="380" spans="1:29">
      <c r="A380" t="s">
        <v>477</v>
      </c>
      <c r="B380" s="3">
        <v>45774</v>
      </c>
      <c r="C380" t="s">
        <v>78</v>
      </c>
      <c r="D380" t="s">
        <v>62</v>
      </c>
      <c r="E380" t="s">
        <v>56</v>
      </c>
      <c r="F380" t="s">
        <v>57</v>
      </c>
      <c r="G380" s="6">
        <v>3</v>
      </c>
      <c r="H380" s="4">
        <v>111.22</v>
      </c>
      <c r="I380" s="4">
        <v>68.3</v>
      </c>
      <c r="J380" s="5">
        <v>0.05</v>
      </c>
      <c r="K380" s="6">
        <v>2</v>
      </c>
      <c r="L380" s="6">
        <v>4</v>
      </c>
      <c r="M380" t="s">
        <v>58</v>
      </c>
      <c r="N380" t="s">
        <v>87</v>
      </c>
      <c r="O380" t="s">
        <v>64</v>
      </c>
      <c r="P380" t="str">
        <f t="shared" si="35"/>
        <v>Individual</v>
      </c>
      <c r="Q380" t="str">
        <f t="shared" si="36"/>
        <v>London</v>
      </c>
      <c r="R380" t="str">
        <f>PROPER(TRIM(E380))</f>
        <v>Home &amp; Kitchen</v>
      </c>
      <c r="S380" s="27">
        <f>IF(ISTEXT(B380),DATEVALUE(B380),B380)</f>
        <v>45774</v>
      </c>
      <c r="T380" s="27">
        <f>COUNTIF($A$2:$A$1986,A380)</f>
        <v>1</v>
      </c>
      <c r="U380" s="27" t="str">
        <f t="shared" si="37"/>
        <v>Air Fryer</v>
      </c>
      <c r="V380" s="27">
        <f t="shared" si="38"/>
        <v>316.97699999999998</v>
      </c>
      <c r="W380" s="27">
        <f t="shared" si="39"/>
        <v>204.89999999999998</v>
      </c>
      <c r="X380" s="27">
        <f>RawSalesTable3[[#This Row],[Revenue]]-RawSalesTable3[[#This Row],[Total_Cost]]</f>
        <v>112.077</v>
      </c>
      <c r="Y380" s="28">
        <f>RawSalesTable3[[#This Row],[Profit]]/RawSalesTable3[[#This Row],[Revenue]]</f>
        <v>0.35358085917905718</v>
      </c>
      <c r="Z380" s="27" t="str">
        <f>TEXT(RawSalesTable3[[#This Row],[Order_Date_Clean]],"MMM YYYY")</f>
        <v>Apr 2025</v>
      </c>
      <c r="AA380" s="27"/>
      <c r="AB380" s="27">
        <f t="shared" si="40"/>
        <v>0</v>
      </c>
      <c r="AC380" s="27">
        <f t="shared" si="41"/>
        <v>0</v>
      </c>
    </row>
    <row r="381" spans="1:29">
      <c r="A381" t="s">
        <v>478</v>
      </c>
      <c r="B381" s="3">
        <v>45802</v>
      </c>
      <c r="C381" t="s">
        <v>78</v>
      </c>
      <c r="D381" t="s">
        <v>62</v>
      </c>
      <c r="E381" t="s">
        <v>79</v>
      </c>
      <c r="F381" t="s">
        <v>92</v>
      </c>
      <c r="G381" s="6">
        <v>2</v>
      </c>
      <c r="H381" s="4">
        <v>48.97</v>
      </c>
      <c r="I381" s="4">
        <v>25.86</v>
      </c>
      <c r="J381" s="5">
        <v>0.1</v>
      </c>
      <c r="K381" s="6">
        <v>3</v>
      </c>
      <c r="L381" s="6">
        <v>4</v>
      </c>
      <c r="M381" t="s">
        <v>58</v>
      </c>
      <c r="N381" t="s">
        <v>59</v>
      </c>
      <c r="O381" t="s">
        <v>64</v>
      </c>
      <c r="P381" t="str">
        <f t="shared" si="35"/>
        <v>Individual</v>
      </c>
      <c r="Q381" t="str">
        <f t="shared" si="36"/>
        <v>London</v>
      </c>
      <c r="R381" t="str">
        <f>PROPER(TRIM(E381))</f>
        <v>Electronics</v>
      </c>
      <c r="S381" s="27">
        <f>IF(ISTEXT(B381),DATEVALUE(B381),B381)</f>
        <v>45802</v>
      </c>
      <c r="T381" s="27">
        <f>COUNTIF($A$2:$A$1986,A381)</f>
        <v>1</v>
      </c>
      <c r="U381" s="27" t="str">
        <f t="shared" si="37"/>
        <v>Webcam</v>
      </c>
      <c r="V381" s="27">
        <f t="shared" si="38"/>
        <v>88.146000000000001</v>
      </c>
      <c r="W381" s="27">
        <f t="shared" si="39"/>
        <v>51.72</v>
      </c>
      <c r="X381" s="27">
        <f>RawSalesTable3[[#This Row],[Revenue]]-RawSalesTable3[[#This Row],[Total_Cost]]</f>
        <v>36.426000000000002</v>
      </c>
      <c r="Y381" s="28">
        <f>RawSalesTable3[[#This Row],[Profit]]/RawSalesTable3[[#This Row],[Revenue]]</f>
        <v>0.41324620515962157</v>
      </c>
      <c r="Z381" s="27" t="str">
        <f>TEXT(RawSalesTable3[[#This Row],[Order_Date_Clean]],"MMM YYYY")</f>
        <v>May 2025</v>
      </c>
      <c r="AA381" s="27"/>
      <c r="AB381" s="27">
        <f t="shared" si="40"/>
        <v>0</v>
      </c>
      <c r="AC381" s="27">
        <f t="shared" si="41"/>
        <v>0</v>
      </c>
    </row>
    <row r="382" spans="1:29">
      <c r="A382" t="s">
        <v>479</v>
      </c>
      <c r="B382" s="3">
        <v>45905</v>
      </c>
      <c r="C382" t="s">
        <v>78</v>
      </c>
      <c r="D382" t="s">
        <v>62</v>
      </c>
      <c r="E382" t="s">
        <v>56</v>
      </c>
      <c r="F382" t="s">
        <v>83</v>
      </c>
      <c r="G382" s="6">
        <v>2</v>
      </c>
      <c r="H382" s="4">
        <v>65.16</v>
      </c>
      <c r="I382" s="4">
        <v>36.72</v>
      </c>
      <c r="J382" s="5">
        <v>0</v>
      </c>
      <c r="K382" s="6">
        <v>3</v>
      </c>
      <c r="L382" s="6">
        <v>4</v>
      </c>
      <c r="M382" t="s">
        <v>58</v>
      </c>
      <c r="N382" t="s">
        <v>59</v>
      </c>
      <c r="O382" t="s">
        <v>64</v>
      </c>
      <c r="P382" t="str">
        <f t="shared" si="35"/>
        <v>Individual</v>
      </c>
      <c r="Q382" t="str">
        <f t="shared" si="36"/>
        <v>London</v>
      </c>
      <c r="R382" t="str">
        <f>PROPER(TRIM(E382))</f>
        <v>Home &amp; Kitchen</v>
      </c>
      <c r="S382" s="27">
        <f>IF(ISTEXT(B382),DATEVALUE(B382),B382)</f>
        <v>45905</v>
      </c>
      <c r="T382" s="27">
        <f>COUNTIF($A$2:$A$1986,A382)</f>
        <v>1</v>
      </c>
      <c r="U382" s="27" t="str">
        <f t="shared" si="37"/>
        <v>Blender</v>
      </c>
      <c r="V382" s="27">
        <f t="shared" si="38"/>
        <v>130.32</v>
      </c>
      <c r="W382" s="27">
        <f t="shared" si="39"/>
        <v>73.44</v>
      </c>
      <c r="X382" s="27">
        <f>RawSalesTable3[[#This Row],[Revenue]]-RawSalesTable3[[#This Row],[Total_Cost]]</f>
        <v>56.879999999999995</v>
      </c>
      <c r="Y382" s="28">
        <f>RawSalesTable3[[#This Row],[Profit]]/RawSalesTable3[[#This Row],[Revenue]]</f>
        <v>0.43646408839779005</v>
      </c>
      <c r="Z382" s="27" t="str">
        <f>TEXT(RawSalesTable3[[#This Row],[Order_Date_Clean]],"MMM YYYY")</f>
        <v>Sep 2025</v>
      </c>
      <c r="AA382" s="27"/>
      <c r="AB382" s="27">
        <f t="shared" si="40"/>
        <v>0</v>
      </c>
      <c r="AC382" s="27">
        <f t="shared" si="41"/>
        <v>0</v>
      </c>
    </row>
    <row r="383" spans="1:29">
      <c r="A383" t="s">
        <v>480</v>
      </c>
      <c r="B383" s="3">
        <v>45866</v>
      </c>
      <c r="C383" t="s">
        <v>54</v>
      </c>
      <c r="D383" t="s">
        <v>62</v>
      </c>
      <c r="E383" t="s">
        <v>56</v>
      </c>
      <c r="F383" t="s">
        <v>89</v>
      </c>
      <c r="G383" s="6">
        <v>1</v>
      </c>
      <c r="H383" s="4">
        <v>79.260000000000005</v>
      </c>
      <c r="I383" s="4">
        <v>45.3</v>
      </c>
      <c r="J383" s="5">
        <v>0.05</v>
      </c>
      <c r="K383" s="6">
        <v>4</v>
      </c>
      <c r="L383" s="6">
        <v>4</v>
      </c>
      <c r="M383" t="s">
        <v>58</v>
      </c>
      <c r="N383" t="s">
        <v>59</v>
      </c>
      <c r="O383" t="s">
        <v>73</v>
      </c>
      <c r="P383" t="str">
        <f t="shared" si="35"/>
        <v>Individual</v>
      </c>
      <c r="Q383" t="str">
        <f t="shared" si="36"/>
        <v>North</v>
      </c>
      <c r="R383" t="str">
        <f>PROPER(TRIM(E383))</f>
        <v>Home &amp; Kitchen</v>
      </c>
      <c r="S383" s="27">
        <f>IF(ISTEXT(B383),DATEVALUE(B383),B383)</f>
        <v>45866</v>
      </c>
      <c r="T383" s="27">
        <f>COUNTIF($A$2:$A$1986,A383)</f>
        <v>1</v>
      </c>
      <c r="U383" s="27" t="str">
        <f t="shared" si="37"/>
        <v>Coffee Maker</v>
      </c>
      <c r="V383" s="27">
        <f t="shared" si="38"/>
        <v>75.296999999999997</v>
      </c>
      <c r="W383" s="27">
        <f t="shared" si="39"/>
        <v>45.3</v>
      </c>
      <c r="X383" s="27">
        <f>RawSalesTable3[[#This Row],[Revenue]]-RawSalesTable3[[#This Row],[Total_Cost]]</f>
        <v>29.997</v>
      </c>
      <c r="Y383" s="28">
        <f>RawSalesTable3[[#This Row],[Profit]]/RawSalesTable3[[#This Row],[Revenue]]</f>
        <v>0.39838240567353284</v>
      </c>
      <c r="Z383" s="27" t="str">
        <f>TEXT(RawSalesTable3[[#This Row],[Order_Date_Clean]],"MMM YYYY")</f>
        <v>Jul 2025</v>
      </c>
      <c r="AA383" s="27"/>
      <c r="AB383" s="27">
        <f t="shared" si="40"/>
        <v>0</v>
      </c>
      <c r="AC383" s="27">
        <f t="shared" si="41"/>
        <v>0</v>
      </c>
    </row>
    <row r="384" spans="1:29">
      <c r="A384" t="s">
        <v>481</v>
      </c>
      <c r="B384" s="3">
        <v>45782</v>
      </c>
      <c r="C384" t="s">
        <v>78</v>
      </c>
      <c r="D384" t="s">
        <v>55</v>
      </c>
      <c r="E384" t="s">
        <v>56</v>
      </c>
      <c r="F384" t="s">
        <v>63</v>
      </c>
      <c r="G384" s="6">
        <v>2</v>
      </c>
      <c r="H384" s="4">
        <v>38.99</v>
      </c>
      <c r="I384" s="4">
        <v>20.350000000000001</v>
      </c>
      <c r="J384" s="5">
        <v>0.05</v>
      </c>
      <c r="K384" s="6">
        <v>7</v>
      </c>
      <c r="L384" s="6">
        <v>4</v>
      </c>
      <c r="M384" t="s">
        <v>58</v>
      </c>
      <c r="N384" t="s">
        <v>59</v>
      </c>
      <c r="O384" t="s">
        <v>64</v>
      </c>
      <c r="P384" t="str">
        <f t="shared" si="35"/>
        <v>Small Business</v>
      </c>
      <c r="Q384" t="str">
        <f t="shared" si="36"/>
        <v>London</v>
      </c>
      <c r="R384" t="str">
        <f>PROPER(TRIM(E384))</f>
        <v>Home &amp; Kitchen</v>
      </c>
      <c r="S384" s="27">
        <f>IF(ISTEXT(B384),DATEVALUE(B384),B384)</f>
        <v>45782</v>
      </c>
      <c r="T384" s="27">
        <f>COUNTIF($A$2:$A$1986,A384)</f>
        <v>1</v>
      </c>
      <c r="U384" s="27" t="str">
        <f t="shared" si="37"/>
        <v>Electric Kettle</v>
      </c>
      <c r="V384" s="27">
        <f t="shared" si="38"/>
        <v>74.081000000000003</v>
      </c>
      <c r="W384" s="27">
        <f t="shared" si="39"/>
        <v>40.700000000000003</v>
      </c>
      <c r="X384" s="27">
        <f>RawSalesTable3[[#This Row],[Revenue]]-RawSalesTable3[[#This Row],[Total_Cost]]</f>
        <v>33.381</v>
      </c>
      <c r="Y384" s="28">
        <f>RawSalesTable3[[#This Row],[Profit]]/RawSalesTable3[[#This Row],[Revenue]]</f>
        <v>0.45060136877201978</v>
      </c>
      <c r="Z384" s="27" t="str">
        <f>TEXT(RawSalesTable3[[#This Row],[Order_Date_Clean]],"MMM YYYY")</f>
        <v>May 2025</v>
      </c>
      <c r="AA384" s="27"/>
      <c r="AB384" s="27">
        <f t="shared" si="40"/>
        <v>0</v>
      </c>
      <c r="AC384" s="27">
        <f t="shared" si="41"/>
        <v>0</v>
      </c>
    </row>
    <row r="385" spans="1:29">
      <c r="A385" t="s">
        <v>482</v>
      </c>
      <c r="B385" s="3">
        <v>45814</v>
      </c>
      <c r="C385" t="s">
        <v>78</v>
      </c>
      <c r="D385" t="s">
        <v>62</v>
      </c>
      <c r="E385" t="s">
        <v>75</v>
      </c>
      <c r="F385" t="s">
        <v>110</v>
      </c>
      <c r="G385" s="6">
        <v>1</v>
      </c>
      <c r="H385" s="4">
        <v>163.75</v>
      </c>
      <c r="I385" s="4">
        <v>102.5</v>
      </c>
      <c r="J385" s="5">
        <v>0.05</v>
      </c>
      <c r="K385" s="6">
        <v>5</v>
      </c>
      <c r="L385" s="6">
        <v>4</v>
      </c>
      <c r="M385" t="s">
        <v>58</v>
      </c>
      <c r="N385" t="s">
        <v>59</v>
      </c>
      <c r="O385" t="s">
        <v>60</v>
      </c>
      <c r="P385" t="str">
        <f t="shared" si="35"/>
        <v>Individual</v>
      </c>
      <c r="Q385" t="str">
        <f t="shared" si="36"/>
        <v>London</v>
      </c>
      <c r="R385" t="str">
        <f>PROPER(TRIM(E385))</f>
        <v>Furniture</v>
      </c>
      <c r="S385" s="27">
        <f>IF(ISTEXT(B385),DATEVALUE(B385),B385)</f>
        <v>45814</v>
      </c>
      <c r="T385" s="27">
        <f>COUNTIF($A$2:$A$1986,A385)</f>
        <v>1</v>
      </c>
      <c r="U385" s="27" t="str">
        <f t="shared" si="37"/>
        <v>Storage Cabinet</v>
      </c>
      <c r="V385" s="27">
        <f t="shared" si="38"/>
        <v>155.5625</v>
      </c>
      <c r="W385" s="27">
        <f t="shared" si="39"/>
        <v>102.5</v>
      </c>
      <c r="X385" s="27">
        <f>RawSalesTable3[[#This Row],[Revenue]]-RawSalesTable3[[#This Row],[Total_Cost]]</f>
        <v>53.0625</v>
      </c>
      <c r="Y385" s="28">
        <f>RawSalesTable3[[#This Row],[Profit]]/RawSalesTable3[[#This Row],[Revenue]]</f>
        <v>0.34110084371233429</v>
      </c>
      <c r="Z385" s="27" t="str">
        <f>TEXT(RawSalesTable3[[#This Row],[Order_Date_Clean]],"MMM YYYY")</f>
        <v>Jun 2025</v>
      </c>
      <c r="AA385" s="27"/>
      <c r="AB385" s="27">
        <f t="shared" si="40"/>
        <v>0</v>
      </c>
      <c r="AC385" s="27">
        <f t="shared" si="41"/>
        <v>0</v>
      </c>
    </row>
    <row r="386" spans="1:29">
      <c r="A386" t="s">
        <v>483</v>
      </c>
      <c r="B386" s="3">
        <v>45683</v>
      </c>
      <c r="C386" t="s">
        <v>54</v>
      </c>
      <c r="D386" t="s">
        <v>62</v>
      </c>
      <c r="E386" t="s">
        <v>56</v>
      </c>
      <c r="F386" t="s">
        <v>63</v>
      </c>
      <c r="G386" s="6">
        <v>2</v>
      </c>
      <c r="H386" s="4">
        <v>41.26</v>
      </c>
      <c r="I386" s="4">
        <v>20.99</v>
      </c>
      <c r="J386" s="5">
        <v>0</v>
      </c>
      <c r="K386" s="6">
        <v>4</v>
      </c>
      <c r="L386" s="6">
        <v>4</v>
      </c>
      <c r="M386" t="s">
        <v>58</v>
      </c>
      <c r="N386" t="s">
        <v>59</v>
      </c>
      <c r="O386" t="s">
        <v>64</v>
      </c>
      <c r="P386" t="str">
        <f t="shared" ref="P386:P449" si="42">IF(TRIM(D386)="","Unknow",PROPER(TRIM(D386)))</f>
        <v>Individual</v>
      </c>
      <c r="Q386" t="str">
        <f t="shared" ref="Q386:Q449" si="43">IF(PROPER(TRIM(C386))="Mid Lands","Midlands",PROPER(TRIM(C386)))</f>
        <v>North</v>
      </c>
      <c r="R386" t="str">
        <f>PROPER(TRIM(E386))</f>
        <v>Home &amp; Kitchen</v>
      </c>
      <c r="S386" s="27">
        <f>IF(ISTEXT(B386),DATEVALUE(B386),B386)</f>
        <v>45683</v>
      </c>
      <c r="T386" s="27">
        <f>COUNTIF($A$2:$A$1986,A386)</f>
        <v>1</v>
      </c>
      <c r="U386" s="27" t="str">
        <f t="shared" ref="U386:U449" si="44">TRIM(F386)</f>
        <v>Electric Kettle</v>
      </c>
      <c r="V386" s="27">
        <f t="shared" ref="V386:V449" si="45">G386*H386*(1-J386)</f>
        <v>82.52</v>
      </c>
      <c r="W386" s="27">
        <f t="shared" ref="W386:W449" si="46">G386*I386</f>
        <v>41.98</v>
      </c>
      <c r="X386" s="27">
        <f>RawSalesTable3[[#This Row],[Revenue]]-RawSalesTable3[[#This Row],[Total_Cost]]</f>
        <v>40.54</v>
      </c>
      <c r="Y386" s="28">
        <f>RawSalesTable3[[#This Row],[Profit]]/RawSalesTable3[[#This Row],[Revenue]]</f>
        <v>0.49127484246243336</v>
      </c>
      <c r="Z386" s="27" t="str">
        <f>TEXT(RawSalesTable3[[#This Row],[Order_Date_Clean]],"MMM YYYY")</f>
        <v>Jan 2025</v>
      </c>
      <c r="AA386" s="27"/>
      <c r="AB386" s="27">
        <f t="shared" ref="AB386:AB449" si="47">SUMIF($Z:$Z,AA386,$V:$V)</f>
        <v>0</v>
      </c>
      <c r="AC386" s="27">
        <f t="shared" ref="AC386:AC449" si="48">SUMIF($Z:$Z,AA386,$X:$X)</f>
        <v>0</v>
      </c>
    </row>
    <row r="387" spans="1:29">
      <c r="A387" t="s">
        <v>484</v>
      </c>
      <c r="B387" s="3">
        <v>45834</v>
      </c>
      <c r="C387" t="s">
        <v>78</v>
      </c>
      <c r="D387" t="s">
        <v>55</v>
      </c>
      <c r="E387" t="s">
        <v>56</v>
      </c>
      <c r="F387" t="s">
        <v>83</v>
      </c>
      <c r="G387" s="6">
        <v>5</v>
      </c>
      <c r="H387" s="4">
        <v>66.430000000000007</v>
      </c>
      <c r="I387" s="4">
        <v>35.82</v>
      </c>
      <c r="J387" s="5">
        <v>0.05</v>
      </c>
      <c r="K387" s="6">
        <v>1</v>
      </c>
      <c r="L387" s="6">
        <v>4</v>
      </c>
      <c r="M387" t="s">
        <v>58</v>
      </c>
      <c r="N387" t="s">
        <v>69</v>
      </c>
      <c r="O387" t="s">
        <v>60</v>
      </c>
      <c r="P387" t="str">
        <f t="shared" si="42"/>
        <v>Small Business</v>
      </c>
      <c r="Q387" t="str">
        <f t="shared" si="43"/>
        <v>London</v>
      </c>
      <c r="R387" t="str">
        <f>PROPER(TRIM(E387))</f>
        <v>Home &amp; Kitchen</v>
      </c>
      <c r="S387" s="27">
        <f>IF(ISTEXT(B387),DATEVALUE(B387),B387)</f>
        <v>45834</v>
      </c>
      <c r="T387" s="27">
        <f>COUNTIF($A$2:$A$1986,A387)</f>
        <v>1</v>
      </c>
      <c r="U387" s="27" t="str">
        <f t="shared" si="44"/>
        <v>Blender</v>
      </c>
      <c r="V387" s="27">
        <f t="shared" si="45"/>
        <v>315.54250000000002</v>
      </c>
      <c r="W387" s="27">
        <f t="shared" si="46"/>
        <v>179.1</v>
      </c>
      <c r="X387" s="27">
        <f>RawSalesTable3[[#This Row],[Revenue]]-RawSalesTable3[[#This Row],[Total_Cost]]</f>
        <v>136.44250000000002</v>
      </c>
      <c r="Y387" s="28">
        <f>RawSalesTable3[[#This Row],[Profit]]/RawSalesTable3[[#This Row],[Revenue]]</f>
        <v>0.43240609426622412</v>
      </c>
      <c r="Z387" s="27" t="str">
        <f>TEXT(RawSalesTable3[[#This Row],[Order_Date_Clean]],"MMM YYYY")</f>
        <v>Jun 2025</v>
      </c>
      <c r="AA387" s="27"/>
      <c r="AB387" s="27">
        <f t="shared" si="47"/>
        <v>0</v>
      </c>
      <c r="AC387" s="27">
        <f t="shared" si="48"/>
        <v>0</v>
      </c>
    </row>
    <row r="388" spans="1:29">
      <c r="A388" t="s">
        <v>485</v>
      </c>
      <c r="B388" s="3">
        <v>45839</v>
      </c>
      <c r="C388" t="s">
        <v>82</v>
      </c>
      <c r="D388" t="s">
        <v>55</v>
      </c>
      <c r="E388" t="s">
        <v>56</v>
      </c>
      <c r="F388" t="s">
        <v>57</v>
      </c>
      <c r="G388" s="6">
        <v>2</v>
      </c>
      <c r="H388" s="4">
        <v>111.52</v>
      </c>
      <c r="I388" s="4">
        <v>69.31</v>
      </c>
      <c r="J388" s="5">
        <v>0</v>
      </c>
      <c r="K388" s="6">
        <v>6</v>
      </c>
      <c r="L388" s="6">
        <v>4</v>
      </c>
      <c r="M388" t="s">
        <v>58</v>
      </c>
      <c r="N388" t="s">
        <v>59</v>
      </c>
      <c r="O388" t="s">
        <v>64</v>
      </c>
      <c r="P388" t="str">
        <f t="shared" si="42"/>
        <v>Small Business</v>
      </c>
      <c r="Q388" t="str">
        <f t="shared" si="43"/>
        <v>Midlands</v>
      </c>
      <c r="R388" t="str">
        <f>PROPER(TRIM(E388))</f>
        <v>Home &amp; Kitchen</v>
      </c>
      <c r="S388" s="27">
        <f>IF(ISTEXT(B388),DATEVALUE(B388),B388)</f>
        <v>45839</v>
      </c>
      <c r="T388" s="27">
        <f>COUNTIF($A$2:$A$1986,A388)</f>
        <v>1</v>
      </c>
      <c r="U388" s="27" t="str">
        <f t="shared" si="44"/>
        <v>Air Fryer</v>
      </c>
      <c r="V388" s="27">
        <f t="shared" si="45"/>
        <v>223.04</v>
      </c>
      <c r="W388" s="27">
        <f t="shared" si="46"/>
        <v>138.62</v>
      </c>
      <c r="X388" s="27">
        <f>RawSalesTable3[[#This Row],[Revenue]]-RawSalesTable3[[#This Row],[Total_Cost]]</f>
        <v>84.419999999999987</v>
      </c>
      <c r="Y388" s="28">
        <f>RawSalesTable3[[#This Row],[Profit]]/RawSalesTable3[[#This Row],[Revenue]]</f>
        <v>0.37849713055954087</v>
      </c>
      <c r="Z388" s="27" t="str">
        <f>TEXT(RawSalesTable3[[#This Row],[Order_Date_Clean]],"MMM YYYY")</f>
        <v>Jul 2025</v>
      </c>
      <c r="AA388" s="27"/>
      <c r="AB388" s="27">
        <f t="shared" si="47"/>
        <v>0</v>
      </c>
      <c r="AC388" s="27">
        <f t="shared" si="48"/>
        <v>0</v>
      </c>
    </row>
    <row r="389" spans="1:29">
      <c r="A389" t="s">
        <v>486</v>
      </c>
      <c r="B389" s="3">
        <v>45697</v>
      </c>
      <c r="C389" t="s">
        <v>66</v>
      </c>
      <c r="D389" t="s">
        <v>62</v>
      </c>
      <c r="E389" t="s">
        <v>79</v>
      </c>
      <c r="F389" t="s">
        <v>115</v>
      </c>
      <c r="G389" s="6">
        <v>2</v>
      </c>
      <c r="H389" s="4">
        <v>61.69</v>
      </c>
      <c r="I389" s="4">
        <v>34.200000000000003</v>
      </c>
      <c r="J389" s="5">
        <v>0.15000000000000002</v>
      </c>
      <c r="K389" s="6">
        <v>7</v>
      </c>
      <c r="L389" s="6">
        <v>3</v>
      </c>
      <c r="M389" t="s">
        <v>126</v>
      </c>
      <c r="N389" t="s">
        <v>59</v>
      </c>
      <c r="O389" t="s">
        <v>73</v>
      </c>
      <c r="P389" t="str">
        <f t="shared" si="42"/>
        <v>Individual</v>
      </c>
      <c r="Q389" t="str">
        <f t="shared" si="43"/>
        <v>South</v>
      </c>
      <c r="R389" t="str">
        <f>PROPER(TRIM(E389))</f>
        <v>Electronics</v>
      </c>
      <c r="S389" s="27">
        <f>IF(ISTEXT(B389),DATEVALUE(B389),B389)</f>
        <v>45697</v>
      </c>
      <c r="T389" s="27">
        <f>COUNTIF($A$2:$A$1986,A389)</f>
        <v>1</v>
      </c>
      <c r="U389" s="27" t="str">
        <f t="shared" si="44"/>
        <v>Wireless Headset</v>
      </c>
      <c r="V389" s="27">
        <f t="shared" si="45"/>
        <v>104.87299999999999</v>
      </c>
      <c r="W389" s="27">
        <f t="shared" si="46"/>
        <v>68.400000000000006</v>
      </c>
      <c r="X389" s="27">
        <f>RawSalesTable3[[#This Row],[Revenue]]-RawSalesTable3[[#This Row],[Total_Cost]]</f>
        <v>36.472999999999985</v>
      </c>
      <c r="Y389" s="28">
        <f>RawSalesTable3[[#This Row],[Profit]]/RawSalesTable3[[#This Row],[Revenue]]</f>
        <v>0.3477825560439769</v>
      </c>
      <c r="Z389" s="27" t="str">
        <f>TEXT(RawSalesTable3[[#This Row],[Order_Date_Clean]],"MMM YYYY")</f>
        <v>Feb 2025</v>
      </c>
      <c r="AA389" s="27"/>
      <c r="AB389" s="27">
        <f t="shared" si="47"/>
        <v>0</v>
      </c>
      <c r="AC389" s="27">
        <f t="shared" si="48"/>
        <v>0</v>
      </c>
    </row>
    <row r="390" spans="1:29">
      <c r="A390" t="s">
        <v>487</v>
      </c>
      <c r="B390" s="3">
        <v>45853</v>
      </c>
      <c r="C390" t="s">
        <v>148</v>
      </c>
      <c r="D390" t="s">
        <v>55</v>
      </c>
      <c r="E390" t="s">
        <v>79</v>
      </c>
      <c r="F390" t="s">
        <v>85</v>
      </c>
      <c r="G390" s="6">
        <v>3</v>
      </c>
      <c r="H390" s="4">
        <v>130.22999999999999</v>
      </c>
      <c r="I390" s="4">
        <v>85.78</v>
      </c>
      <c r="J390" s="5">
        <v>0.05</v>
      </c>
      <c r="K390" s="6">
        <v>0</v>
      </c>
      <c r="L390" s="6">
        <v>4</v>
      </c>
      <c r="M390" t="s">
        <v>58</v>
      </c>
      <c r="N390" t="s">
        <v>69</v>
      </c>
      <c r="O390" t="s">
        <v>73</v>
      </c>
      <c r="P390" t="str">
        <f t="shared" si="42"/>
        <v>Small Business</v>
      </c>
      <c r="Q390" t="str">
        <f t="shared" si="43"/>
        <v>Midlands</v>
      </c>
      <c r="R390" t="str">
        <f>PROPER(TRIM(E390))</f>
        <v>Electronics</v>
      </c>
      <c r="S390" s="27">
        <f>IF(ISTEXT(B390),DATEVALUE(B390),B390)</f>
        <v>45853</v>
      </c>
      <c r="T390" s="27">
        <f>COUNTIF($A$2:$A$1986,A390)</f>
        <v>1</v>
      </c>
      <c r="U390" s="27" t="str">
        <f t="shared" si="44"/>
        <v>SmartHome Hub</v>
      </c>
      <c r="V390" s="27">
        <f t="shared" si="45"/>
        <v>371.1554999999999</v>
      </c>
      <c r="W390" s="27">
        <f t="shared" si="46"/>
        <v>257.34000000000003</v>
      </c>
      <c r="X390" s="27">
        <f>RawSalesTable3[[#This Row],[Revenue]]-RawSalesTable3[[#This Row],[Total_Cost]]</f>
        <v>113.81549999999987</v>
      </c>
      <c r="Y390" s="28">
        <f>RawSalesTable3[[#This Row],[Profit]]/RawSalesTable3[[#This Row],[Revenue]]</f>
        <v>0.3066517941940774</v>
      </c>
      <c r="Z390" s="27" t="str">
        <f>TEXT(RawSalesTable3[[#This Row],[Order_Date_Clean]],"MMM YYYY")</f>
        <v>Jul 2025</v>
      </c>
      <c r="AA390" s="27"/>
      <c r="AB390" s="27">
        <f t="shared" si="47"/>
        <v>0</v>
      </c>
      <c r="AC390" s="27">
        <f t="shared" si="48"/>
        <v>0</v>
      </c>
    </row>
    <row r="391" spans="1:29">
      <c r="A391" t="s">
        <v>488</v>
      </c>
      <c r="B391" s="3">
        <v>45829</v>
      </c>
      <c r="C391" t="s">
        <v>54</v>
      </c>
      <c r="D391" t="s">
        <v>62</v>
      </c>
      <c r="E391" t="s">
        <v>67</v>
      </c>
      <c r="F391" t="s">
        <v>107</v>
      </c>
      <c r="G391" s="6">
        <v>2</v>
      </c>
      <c r="H391" s="4">
        <v>46.35</v>
      </c>
      <c r="I391" s="4">
        <v>21.58</v>
      </c>
      <c r="J391" s="5">
        <v>0.05</v>
      </c>
      <c r="K391" s="6">
        <v>3</v>
      </c>
      <c r="L391" s="6">
        <v>5</v>
      </c>
      <c r="M391" t="s">
        <v>58</v>
      </c>
      <c r="N391" t="s">
        <v>59</v>
      </c>
      <c r="O391" t="s">
        <v>64</v>
      </c>
      <c r="P391" t="str">
        <f t="shared" si="42"/>
        <v>Individual</v>
      </c>
      <c r="Q391" t="str">
        <f t="shared" si="43"/>
        <v>North</v>
      </c>
      <c r="R391" t="str">
        <f>PROPER(TRIM(E391))</f>
        <v>Office</v>
      </c>
      <c r="S391" s="27">
        <f>IF(ISTEXT(B391),DATEVALUE(B391),B391)</f>
        <v>45829</v>
      </c>
      <c r="T391" s="27">
        <f>COUNTIF($A$2:$A$1986,A391)</f>
        <v>1</v>
      </c>
      <c r="U391" s="27" t="str">
        <f t="shared" si="44"/>
        <v>Laptop Stand</v>
      </c>
      <c r="V391" s="27">
        <f t="shared" si="45"/>
        <v>88.064999999999998</v>
      </c>
      <c r="W391" s="27">
        <f t="shared" si="46"/>
        <v>43.16</v>
      </c>
      <c r="X391" s="27">
        <f>RawSalesTable3[[#This Row],[Revenue]]-RawSalesTable3[[#This Row],[Total_Cost]]</f>
        <v>44.905000000000001</v>
      </c>
      <c r="Y391" s="28">
        <f>RawSalesTable3[[#This Row],[Profit]]/RawSalesTable3[[#This Row],[Revenue]]</f>
        <v>0.50990745472094479</v>
      </c>
      <c r="Z391" s="27" t="str">
        <f>TEXT(RawSalesTable3[[#This Row],[Order_Date_Clean]],"MMM YYYY")</f>
        <v>Jun 2025</v>
      </c>
      <c r="AA391" s="27"/>
      <c r="AB391" s="27">
        <f t="shared" si="47"/>
        <v>0</v>
      </c>
      <c r="AC391" s="27">
        <f t="shared" si="48"/>
        <v>0</v>
      </c>
    </row>
    <row r="392" spans="1:29">
      <c r="A392" t="s">
        <v>489</v>
      </c>
      <c r="B392" s="3">
        <v>45755</v>
      </c>
      <c r="C392" t="s">
        <v>66</v>
      </c>
      <c r="D392" t="s">
        <v>62</v>
      </c>
      <c r="E392" t="s">
        <v>79</v>
      </c>
      <c r="F392" t="s">
        <v>85</v>
      </c>
      <c r="G392" s="6">
        <v>1</v>
      </c>
      <c r="H392" s="4">
        <v>127.26</v>
      </c>
      <c r="I392" s="4">
        <v>87.28</v>
      </c>
      <c r="J392" s="5">
        <v>0</v>
      </c>
      <c r="K392" s="6">
        <v>0</v>
      </c>
      <c r="L392" s="6">
        <v>4</v>
      </c>
      <c r="M392" t="s">
        <v>58</v>
      </c>
      <c r="N392" t="s">
        <v>69</v>
      </c>
      <c r="O392" t="s">
        <v>64</v>
      </c>
      <c r="P392" t="str">
        <f t="shared" si="42"/>
        <v>Individual</v>
      </c>
      <c r="Q392" t="str">
        <f t="shared" si="43"/>
        <v>South</v>
      </c>
      <c r="R392" t="str">
        <f>PROPER(TRIM(E392))</f>
        <v>Electronics</v>
      </c>
      <c r="S392" s="27">
        <f>IF(ISTEXT(B392),DATEVALUE(B392),B392)</f>
        <v>45755</v>
      </c>
      <c r="T392" s="27">
        <f>COUNTIF($A$2:$A$1986,A392)</f>
        <v>1</v>
      </c>
      <c r="U392" s="27" t="str">
        <f t="shared" si="44"/>
        <v>SmartHome Hub</v>
      </c>
      <c r="V392" s="27">
        <f t="shared" si="45"/>
        <v>127.26</v>
      </c>
      <c r="W392" s="27">
        <f t="shared" si="46"/>
        <v>87.28</v>
      </c>
      <c r="X392" s="27">
        <f>RawSalesTable3[[#This Row],[Revenue]]-RawSalesTable3[[#This Row],[Total_Cost]]</f>
        <v>39.980000000000004</v>
      </c>
      <c r="Y392" s="28">
        <f>RawSalesTable3[[#This Row],[Profit]]/RawSalesTable3[[#This Row],[Revenue]]</f>
        <v>0.31415998742731416</v>
      </c>
      <c r="Z392" s="27" t="str">
        <f>TEXT(RawSalesTable3[[#This Row],[Order_Date_Clean]],"MMM YYYY")</f>
        <v>Apr 2025</v>
      </c>
      <c r="AA392" s="27"/>
      <c r="AB392" s="27">
        <f t="shared" si="47"/>
        <v>0</v>
      </c>
      <c r="AC392" s="27">
        <f t="shared" si="48"/>
        <v>0</v>
      </c>
    </row>
    <row r="393" spans="1:29">
      <c r="A393" t="s">
        <v>490</v>
      </c>
      <c r="B393" s="3">
        <v>45878</v>
      </c>
      <c r="C393" t="s">
        <v>82</v>
      </c>
      <c r="D393" t="s">
        <v>62</v>
      </c>
      <c r="E393" t="s">
        <v>67</v>
      </c>
      <c r="F393" t="s">
        <v>94</v>
      </c>
      <c r="G393" s="6">
        <v>1</v>
      </c>
      <c r="H393" s="4">
        <v>35.83</v>
      </c>
      <c r="I393" s="4">
        <v>16.64</v>
      </c>
      <c r="J393" s="5">
        <v>0.05</v>
      </c>
      <c r="K393" s="6">
        <v>4</v>
      </c>
      <c r="L393" s="6">
        <v>4</v>
      </c>
      <c r="M393" t="s">
        <v>58</v>
      </c>
      <c r="N393" t="s">
        <v>59</v>
      </c>
      <c r="O393" t="s">
        <v>64</v>
      </c>
      <c r="P393" t="str">
        <f t="shared" si="42"/>
        <v>Individual</v>
      </c>
      <c r="Q393" t="str">
        <f t="shared" si="43"/>
        <v>Midlands</v>
      </c>
      <c r="R393" t="str">
        <f>PROPER(TRIM(E393))</f>
        <v>Office</v>
      </c>
      <c r="S393" s="27">
        <f>IF(ISTEXT(B393),DATEVALUE(B393),B393)</f>
        <v>45878</v>
      </c>
      <c r="T393" s="27">
        <f>COUNTIF($A$2:$A$1986,A393)</f>
        <v>1</v>
      </c>
      <c r="U393" s="27" t="str">
        <f t="shared" si="44"/>
        <v>Wireless Mouse</v>
      </c>
      <c r="V393" s="27">
        <f t="shared" si="45"/>
        <v>34.038499999999999</v>
      </c>
      <c r="W393" s="27">
        <f t="shared" si="46"/>
        <v>16.64</v>
      </c>
      <c r="X393" s="27">
        <f>RawSalesTable3[[#This Row],[Revenue]]-RawSalesTable3[[#This Row],[Total_Cost]]</f>
        <v>17.398499999999999</v>
      </c>
      <c r="Y393" s="28">
        <f>RawSalesTable3[[#This Row],[Profit]]/RawSalesTable3[[#This Row],[Revenue]]</f>
        <v>0.51114179532000525</v>
      </c>
      <c r="Z393" s="27" t="str">
        <f>TEXT(RawSalesTable3[[#This Row],[Order_Date_Clean]],"MMM YYYY")</f>
        <v>Aug 2025</v>
      </c>
      <c r="AA393" s="27"/>
      <c r="AB393" s="27">
        <f t="shared" si="47"/>
        <v>0</v>
      </c>
      <c r="AC393" s="27">
        <f t="shared" si="48"/>
        <v>0</v>
      </c>
    </row>
    <row r="394" spans="1:29">
      <c r="A394" t="s">
        <v>491</v>
      </c>
      <c r="B394" s="3">
        <v>45920</v>
      </c>
      <c r="C394" t="s">
        <v>78</v>
      </c>
      <c r="D394" t="s">
        <v>62</v>
      </c>
      <c r="E394" t="s">
        <v>79</v>
      </c>
      <c r="F394" t="s">
        <v>92</v>
      </c>
      <c r="G394" s="6">
        <v>2</v>
      </c>
      <c r="H394" s="4">
        <v>50.06</v>
      </c>
      <c r="I394" s="4">
        <v>27.17</v>
      </c>
      <c r="J394" s="5">
        <v>0</v>
      </c>
      <c r="K394" s="6">
        <v>0</v>
      </c>
      <c r="L394" s="6">
        <v>5</v>
      </c>
      <c r="M394" t="s">
        <v>58</v>
      </c>
      <c r="N394" t="s">
        <v>69</v>
      </c>
      <c r="O394" t="s">
        <v>64</v>
      </c>
      <c r="P394" t="str">
        <f t="shared" si="42"/>
        <v>Individual</v>
      </c>
      <c r="Q394" t="str">
        <f t="shared" si="43"/>
        <v>London</v>
      </c>
      <c r="R394" t="str">
        <f>PROPER(TRIM(E394))</f>
        <v>Electronics</v>
      </c>
      <c r="S394" s="27">
        <f>IF(ISTEXT(B394),DATEVALUE(B394),B394)</f>
        <v>45920</v>
      </c>
      <c r="T394" s="27">
        <f>COUNTIF($A$2:$A$1986,A394)</f>
        <v>1</v>
      </c>
      <c r="U394" s="27" t="str">
        <f t="shared" si="44"/>
        <v>Webcam</v>
      </c>
      <c r="V394" s="27">
        <f t="shared" si="45"/>
        <v>100.12</v>
      </c>
      <c r="W394" s="27">
        <f t="shared" si="46"/>
        <v>54.34</v>
      </c>
      <c r="X394" s="27">
        <f>RawSalesTable3[[#This Row],[Revenue]]-RawSalesTable3[[#This Row],[Total_Cost]]</f>
        <v>45.78</v>
      </c>
      <c r="Y394" s="28">
        <f>RawSalesTable3[[#This Row],[Profit]]/RawSalesTable3[[#This Row],[Revenue]]</f>
        <v>0.45725129844186974</v>
      </c>
      <c r="Z394" s="27" t="str">
        <f>TEXT(RawSalesTable3[[#This Row],[Order_Date_Clean]],"MMM YYYY")</f>
        <v>Sep 2025</v>
      </c>
      <c r="AA394" s="27"/>
      <c r="AB394" s="27">
        <f t="shared" si="47"/>
        <v>0</v>
      </c>
      <c r="AC394" s="27">
        <f t="shared" si="48"/>
        <v>0</v>
      </c>
    </row>
    <row r="395" spans="1:29">
      <c r="A395" t="s">
        <v>492</v>
      </c>
      <c r="B395" s="3">
        <v>45863</v>
      </c>
      <c r="C395" t="s">
        <v>66</v>
      </c>
      <c r="D395" t="s">
        <v>55</v>
      </c>
      <c r="E395" t="s">
        <v>67</v>
      </c>
      <c r="F395" t="s">
        <v>71</v>
      </c>
      <c r="G395" s="6">
        <v>6</v>
      </c>
      <c r="H395" s="4">
        <v>72.37</v>
      </c>
      <c r="I395" s="4">
        <v>39.81</v>
      </c>
      <c r="J395" s="5">
        <v>0.1</v>
      </c>
      <c r="K395" s="6">
        <v>3</v>
      </c>
      <c r="L395" s="6">
        <v>4</v>
      </c>
      <c r="M395" t="s">
        <v>58</v>
      </c>
      <c r="N395" t="s">
        <v>59</v>
      </c>
      <c r="O395" t="s">
        <v>64</v>
      </c>
      <c r="P395" t="str">
        <f t="shared" si="42"/>
        <v>Small Business</v>
      </c>
      <c r="Q395" t="str">
        <f t="shared" si="43"/>
        <v>South</v>
      </c>
      <c r="R395" t="str">
        <f>PROPER(TRIM(E395))</f>
        <v>Office</v>
      </c>
      <c r="S395" s="27">
        <f>IF(ISTEXT(B395),DATEVALUE(B395),B395)</f>
        <v>45863</v>
      </c>
      <c r="T395" s="27">
        <f>COUNTIF($A$2:$A$1986,A395)</f>
        <v>1</v>
      </c>
      <c r="U395" s="27" t="str">
        <f t="shared" si="44"/>
        <v>Ergonomic Keyboard</v>
      </c>
      <c r="V395" s="27">
        <f t="shared" si="45"/>
        <v>390.79800000000006</v>
      </c>
      <c r="W395" s="27">
        <f t="shared" si="46"/>
        <v>238.86</v>
      </c>
      <c r="X395" s="27">
        <f>RawSalesTable3[[#This Row],[Revenue]]-RawSalesTable3[[#This Row],[Total_Cost]]</f>
        <v>151.93800000000005</v>
      </c>
      <c r="Y395" s="28">
        <f>RawSalesTable3[[#This Row],[Profit]]/RawSalesTable3[[#This Row],[Revenue]]</f>
        <v>0.38878909308645393</v>
      </c>
      <c r="Z395" s="27" t="str">
        <f>TEXT(RawSalesTable3[[#This Row],[Order_Date_Clean]],"MMM YYYY")</f>
        <v>Jul 2025</v>
      </c>
      <c r="AA395" s="27"/>
      <c r="AB395" s="27">
        <f t="shared" si="47"/>
        <v>0</v>
      </c>
      <c r="AC395" s="27">
        <f t="shared" si="48"/>
        <v>0</v>
      </c>
    </row>
    <row r="396" spans="1:29">
      <c r="A396" t="s">
        <v>493</v>
      </c>
      <c r="B396" s="3">
        <v>46000</v>
      </c>
      <c r="C396" t="s">
        <v>78</v>
      </c>
      <c r="D396" t="s">
        <v>55</v>
      </c>
      <c r="E396" t="s">
        <v>67</v>
      </c>
      <c r="F396" t="s">
        <v>107</v>
      </c>
      <c r="G396" s="6">
        <v>2</v>
      </c>
      <c r="H396" s="4">
        <v>46.33</v>
      </c>
      <c r="I396" s="4">
        <v>21.01</v>
      </c>
      <c r="J396" s="5">
        <v>0.05</v>
      </c>
      <c r="K396" s="6">
        <v>0</v>
      </c>
      <c r="L396" s="6">
        <v>4</v>
      </c>
      <c r="M396" t="s">
        <v>58</v>
      </c>
      <c r="N396" t="s">
        <v>69</v>
      </c>
      <c r="O396" t="s">
        <v>64</v>
      </c>
      <c r="P396" t="str">
        <f t="shared" si="42"/>
        <v>Small Business</v>
      </c>
      <c r="Q396" t="str">
        <f t="shared" si="43"/>
        <v>London</v>
      </c>
      <c r="R396" t="str">
        <f>PROPER(TRIM(E396))</f>
        <v>Office</v>
      </c>
      <c r="S396" s="27">
        <f>IF(ISTEXT(B396),DATEVALUE(B396),B396)</f>
        <v>46000</v>
      </c>
      <c r="T396" s="27">
        <f>COUNTIF($A$2:$A$1986,A396)</f>
        <v>1</v>
      </c>
      <c r="U396" s="27" t="str">
        <f t="shared" si="44"/>
        <v>Laptop Stand</v>
      </c>
      <c r="V396" s="27">
        <f t="shared" si="45"/>
        <v>88.026999999999987</v>
      </c>
      <c r="W396" s="27">
        <f t="shared" si="46"/>
        <v>42.02</v>
      </c>
      <c r="X396" s="27">
        <f>RawSalesTable3[[#This Row],[Revenue]]-RawSalesTable3[[#This Row],[Total_Cost]]</f>
        <v>46.006999999999984</v>
      </c>
      <c r="Y396" s="28">
        <f>RawSalesTable3[[#This Row],[Profit]]/RawSalesTable3[[#This Row],[Revenue]]</f>
        <v>0.52264646074499854</v>
      </c>
      <c r="Z396" s="27" t="str">
        <f>TEXT(RawSalesTable3[[#This Row],[Order_Date_Clean]],"MMM YYYY")</f>
        <v>Dec 2025</v>
      </c>
      <c r="AA396" s="27"/>
      <c r="AB396" s="27">
        <f t="shared" si="47"/>
        <v>0</v>
      </c>
      <c r="AC396" s="27">
        <f t="shared" si="48"/>
        <v>0</v>
      </c>
    </row>
    <row r="397" spans="1:29">
      <c r="A397" t="s">
        <v>494</v>
      </c>
      <c r="B397" s="3">
        <v>45739</v>
      </c>
      <c r="C397" t="s">
        <v>78</v>
      </c>
      <c r="D397" t="s">
        <v>62</v>
      </c>
      <c r="E397" t="s">
        <v>67</v>
      </c>
      <c r="F397" t="s">
        <v>107</v>
      </c>
      <c r="G397" s="6">
        <v>1</v>
      </c>
      <c r="H397" s="4">
        <v>46.04</v>
      </c>
      <c r="I397" s="4">
        <v>21.79</v>
      </c>
      <c r="J397" s="5">
        <v>0</v>
      </c>
      <c r="K397" s="6">
        <v>3</v>
      </c>
      <c r="L397" s="6">
        <v>4</v>
      </c>
      <c r="M397" t="s">
        <v>58</v>
      </c>
      <c r="N397" t="s">
        <v>59</v>
      </c>
      <c r="O397" t="s">
        <v>60</v>
      </c>
      <c r="P397" t="str">
        <f t="shared" si="42"/>
        <v>Individual</v>
      </c>
      <c r="Q397" t="str">
        <f t="shared" si="43"/>
        <v>London</v>
      </c>
      <c r="R397" t="str">
        <f>PROPER(TRIM(E397))</f>
        <v>Office</v>
      </c>
      <c r="S397" s="27">
        <f>IF(ISTEXT(B397),DATEVALUE(B397),B397)</f>
        <v>45739</v>
      </c>
      <c r="T397" s="27">
        <f>COUNTIF($A$2:$A$1986,A397)</f>
        <v>1</v>
      </c>
      <c r="U397" s="27" t="str">
        <f t="shared" si="44"/>
        <v>Laptop Stand</v>
      </c>
      <c r="V397" s="27">
        <f t="shared" si="45"/>
        <v>46.04</v>
      </c>
      <c r="W397" s="27">
        <f t="shared" si="46"/>
        <v>21.79</v>
      </c>
      <c r="X397" s="27">
        <f>RawSalesTable3[[#This Row],[Revenue]]-RawSalesTable3[[#This Row],[Total_Cost]]</f>
        <v>24.25</v>
      </c>
      <c r="Y397" s="28">
        <f>RawSalesTable3[[#This Row],[Profit]]/RawSalesTable3[[#This Row],[Revenue]]</f>
        <v>0.52671589921807127</v>
      </c>
      <c r="Z397" s="27" t="str">
        <f>TEXT(RawSalesTable3[[#This Row],[Order_Date_Clean]],"MMM YYYY")</f>
        <v>Mar 2025</v>
      </c>
      <c r="AA397" s="27"/>
      <c r="AB397" s="27">
        <f t="shared" si="47"/>
        <v>0</v>
      </c>
      <c r="AC397" s="27">
        <f t="shared" si="48"/>
        <v>0</v>
      </c>
    </row>
    <row r="398" spans="1:29">
      <c r="A398" t="s">
        <v>495</v>
      </c>
      <c r="B398" s="3">
        <v>45981</v>
      </c>
      <c r="C398" t="s">
        <v>66</v>
      </c>
      <c r="D398" t="s">
        <v>62</v>
      </c>
      <c r="E398" t="s">
        <v>79</v>
      </c>
      <c r="F398" t="s">
        <v>92</v>
      </c>
      <c r="G398" s="6">
        <v>2</v>
      </c>
      <c r="H398" s="4">
        <v>51.56</v>
      </c>
      <c r="I398" s="4">
        <v>25.63</v>
      </c>
      <c r="J398" s="5">
        <v>0.15000000000000002</v>
      </c>
      <c r="K398" s="6">
        <v>5</v>
      </c>
      <c r="L398" s="6">
        <v>4</v>
      </c>
      <c r="M398" t="s">
        <v>58</v>
      </c>
      <c r="N398" t="s">
        <v>87</v>
      </c>
      <c r="O398" t="s">
        <v>64</v>
      </c>
      <c r="P398" t="str">
        <f t="shared" si="42"/>
        <v>Individual</v>
      </c>
      <c r="Q398" t="str">
        <f t="shared" si="43"/>
        <v>South</v>
      </c>
      <c r="R398" t="str">
        <f>PROPER(TRIM(E398))</f>
        <v>Electronics</v>
      </c>
      <c r="S398" s="27">
        <f>IF(ISTEXT(B398),DATEVALUE(B398),B398)</f>
        <v>45981</v>
      </c>
      <c r="T398" s="27">
        <f>COUNTIF($A$2:$A$1986,A398)</f>
        <v>1</v>
      </c>
      <c r="U398" s="27" t="str">
        <f t="shared" si="44"/>
        <v>Webcam</v>
      </c>
      <c r="V398" s="27">
        <f t="shared" si="45"/>
        <v>87.652000000000001</v>
      </c>
      <c r="W398" s="27">
        <f t="shared" si="46"/>
        <v>51.26</v>
      </c>
      <c r="X398" s="27">
        <f>RawSalesTable3[[#This Row],[Revenue]]-RawSalesTable3[[#This Row],[Total_Cost]]</f>
        <v>36.392000000000003</v>
      </c>
      <c r="Y398" s="28">
        <f>RawSalesTable3[[#This Row],[Profit]]/RawSalesTable3[[#This Row],[Revenue]]</f>
        <v>0.41518733172089628</v>
      </c>
      <c r="Z398" s="27" t="str">
        <f>TEXT(RawSalesTable3[[#This Row],[Order_Date_Clean]],"MMM YYYY")</f>
        <v>Nov 2025</v>
      </c>
      <c r="AA398" s="27"/>
      <c r="AB398" s="27">
        <f t="shared" si="47"/>
        <v>0</v>
      </c>
      <c r="AC398" s="27">
        <f t="shared" si="48"/>
        <v>0</v>
      </c>
    </row>
    <row r="399" spans="1:29">
      <c r="A399" t="s">
        <v>496</v>
      </c>
      <c r="B399" s="3">
        <v>45903</v>
      </c>
      <c r="C399" t="s">
        <v>82</v>
      </c>
      <c r="D399" t="s">
        <v>129</v>
      </c>
      <c r="E399" t="s">
        <v>67</v>
      </c>
      <c r="F399" t="s">
        <v>68</v>
      </c>
      <c r="G399" s="6">
        <v>10</v>
      </c>
      <c r="H399" s="4">
        <v>41.51</v>
      </c>
      <c r="I399" s="4">
        <v>19.59</v>
      </c>
      <c r="J399" s="5">
        <v>0.05</v>
      </c>
      <c r="K399" s="6">
        <v>3</v>
      </c>
      <c r="L399" s="6">
        <v>3</v>
      </c>
      <c r="M399" t="s">
        <v>126</v>
      </c>
      <c r="N399" t="s">
        <v>59</v>
      </c>
      <c r="O399" t="s">
        <v>64</v>
      </c>
      <c r="P399" t="str">
        <f t="shared" si="42"/>
        <v>Corporate</v>
      </c>
      <c r="Q399" t="str">
        <f t="shared" si="43"/>
        <v>Midlands</v>
      </c>
      <c r="R399" t="str">
        <f>PROPER(TRIM(E399))</f>
        <v>Office</v>
      </c>
      <c r="S399" s="27">
        <f>IF(ISTEXT(B399),DATEVALUE(B399),B399)</f>
        <v>45903</v>
      </c>
      <c r="T399" s="27">
        <f>COUNTIF($A$2:$A$1986,A399)</f>
        <v>1</v>
      </c>
      <c r="U399" s="27" t="str">
        <f t="shared" si="44"/>
        <v>Desk Lamp</v>
      </c>
      <c r="V399" s="27">
        <f t="shared" si="45"/>
        <v>394.34499999999997</v>
      </c>
      <c r="W399" s="27">
        <f t="shared" si="46"/>
        <v>195.9</v>
      </c>
      <c r="X399" s="27">
        <f>RawSalesTable3[[#This Row],[Revenue]]-RawSalesTable3[[#This Row],[Total_Cost]]</f>
        <v>198.44499999999996</v>
      </c>
      <c r="Y399" s="28">
        <f>RawSalesTable3[[#This Row],[Profit]]/RawSalesTable3[[#This Row],[Revenue]]</f>
        <v>0.50322686987282705</v>
      </c>
      <c r="Z399" s="27" t="str">
        <f>TEXT(RawSalesTable3[[#This Row],[Order_Date_Clean]],"MMM YYYY")</f>
        <v>Sep 2025</v>
      </c>
      <c r="AA399" s="27"/>
      <c r="AB399" s="27">
        <f t="shared" si="47"/>
        <v>0</v>
      </c>
      <c r="AC399" s="27">
        <f t="shared" si="48"/>
        <v>0</v>
      </c>
    </row>
    <row r="400" spans="1:29">
      <c r="A400" t="s">
        <v>497</v>
      </c>
      <c r="B400" s="3">
        <v>46017</v>
      </c>
      <c r="C400" t="s">
        <v>78</v>
      </c>
      <c r="D400" t="s">
        <v>55</v>
      </c>
      <c r="E400" t="s">
        <v>79</v>
      </c>
      <c r="F400" t="s">
        <v>85</v>
      </c>
      <c r="G400" s="6">
        <v>2</v>
      </c>
      <c r="H400" s="4">
        <v>129.84</v>
      </c>
      <c r="I400" s="4">
        <v>86.14</v>
      </c>
      <c r="J400" s="5">
        <v>0.15000000000000002</v>
      </c>
      <c r="K400" s="6">
        <v>0</v>
      </c>
      <c r="L400" s="6">
        <v>4</v>
      </c>
      <c r="M400" t="s">
        <v>58</v>
      </c>
      <c r="N400" t="s">
        <v>69</v>
      </c>
      <c r="O400" t="s">
        <v>64</v>
      </c>
      <c r="P400" t="str">
        <f t="shared" si="42"/>
        <v>Small Business</v>
      </c>
      <c r="Q400" t="str">
        <f t="shared" si="43"/>
        <v>London</v>
      </c>
      <c r="R400" t="str">
        <f>PROPER(TRIM(E400))</f>
        <v>Electronics</v>
      </c>
      <c r="S400" s="27">
        <f>IF(ISTEXT(B400),DATEVALUE(B400),B400)</f>
        <v>46017</v>
      </c>
      <c r="T400" s="27">
        <f>COUNTIF($A$2:$A$1986,A400)</f>
        <v>1</v>
      </c>
      <c r="U400" s="27" t="str">
        <f t="shared" si="44"/>
        <v>SmartHome Hub</v>
      </c>
      <c r="V400" s="27">
        <f t="shared" si="45"/>
        <v>220.72800000000001</v>
      </c>
      <c r="W400" s="27">
        <f t="shared" si="46"/>
        <v>172.28</v>
      </c>
      <c r="X400" s="27">
        <f>RawSalesTable3[[#This Row],[Revenue]]-RawSalesTable3[[#This Row],[Total_Cost]]</f>
        <v>48.448000000000008</v>
      </c>
      <c r="Y400" s="28">
        <f>RawSalesTable3[[#This Row],[Profit]]/RawSalesTable3[[#This Row],[Revenue]]</f>
        <v>0.21949186328875361</v>
      </c>
      <c r="Z400" s="27" t="str">
        <f>TEXT(RawSalesTable3[[#This Row],[Order_Date_Clean]],"MMM YYYY")</f>
        <v>Dec 2025</v>
      </c>
      <c r="AA400" s="27"/>
      <c r="AB400" s="27">
        <f t="shared" si="47"/>
        <v>0</v>
      </c>
      <c r="AC400" s="27">
        <f t="shared" si="48"/>
        <v>0</v>
      </c>
    </row>
    <row r="401" spans="1:29">
      <c r="A401" t="s">
        <v>498</v>
      </c>
      <c r="B401" s="3">
        <v>45799</v>
      </c>
      <c r="C401" t="s">
        <v>82</v>
      </c>
      <c r="D401" t="s">
        <v>62</v>
      </c>
      <c r="E401" t="s">
        <v>79</v>
      </c>
      <c r="F401" t="s">
        <v>80</v>
      </c>
      <c r="G401" s="6">
        <v>1</v>
      </c>
      <c r="H401" s="4">
        <v>74.180000000000007</v>
      </c>
      <c r="I401" s="4">
        <v>43.81</v>
      </c>
      <c r="J401" s="5">
        <v>0.05</v>
      </c>
      <c r="K401" s="6">
        <v>0</v>
      </c>
      <c r="L401" s="6">
        <v>4</v>
      </c>
      <c r="M401" t="s">
        <v>58</v>
      </c>
      <c r="N401" t="s">
        <v>69</v>
      </c>
      <c r="O401" t="s">
        <v>64</v>
      </c>
      <c r="P401" t="str">
        <f t="shared" si="42"/>
        <v>Individual</v>
      </c>
      <c r="Q401" t="str">
        <f t="shared" si="43"/>
        <v>Midlands</v>
      </c>
      <c r="R401" t="str">
        <f>PROPER(TRIM(E401))</f>
        <v>Electronics</v>
      </c>
      <c r="S401" s="27">
        <f>IF(ISTEXT(B401),DATEVALUE(B401),B401)</f>
        <v>45799</v>
      </c>
      <c r="T401" s="27">
        <f>COUNTIF($A$2:$A$1986,A401)</f>
        <v>1</v>
      </c>
      <c r="U401" s="27" t="str">
        <f t="shared" si="44"/>
        <v>Portable Speaker</v>
      </c>
      <c r="V401" s="27">
        <f t="shared" si="45"/>
        <v>70.471000000000004</v>
      </c>
      <c r="W401" s="27">
        <f t="shared" si="46"/>
        <v>43.81</v>
      </c>
      <c r="X401" s="27">
        <f>RawSalesTable3[[#This Row],[Revenue]]-RawSalesTable3[[#This Row],[Total_Cost]]</f>
        <v>26.661000000000001</v>
      </c>
      <c r="Y401" s="28">
        <f>RawSalesTable3[[#This Row],[Profit]]/RawSalesTable3[[#This Row],[Revenue]]</f>
        <v>0.37832583615955501</v>
      </c>
      <c r="Z401" s="27" t="str">
        <f>TEXT(RawSalesTable3[[#This Row],[Order_Date_Clean]],"MMM YYYY")</f>
        <v>May 2025</v>
      </c>
      <c r="AA401" s="27"/>
      <c r="AB401" s="27">
        <f t="shared" si="47"/>
        <v>0</v>
      </c>
      <c r="AC401" s="27">
        <f t="shared" si="48"/>
        <v>0</v>
      </c>
    </row>
    <row r="402" spans="1:29">
      <c r="A402" t="s">
        <v>499</v>
      </c>
      <c r="B402" s="3">
        <v>45816</v>
      </c>
      <c r="C402" t="s">
        <v>82</v>
      </c>
      <c r="D402" t="s">
        <v>62</v>
      </c>
      <c r="E402" t="s">
        <v>75</v>
      </c>
      <c r="F402" t="s">
        <v>110</v>
      </c>
      <c r="G402" s="6">
        <v>2</v>
      </c>
      <c r="H402" s="4">
        <v>166.07</v>
      </c>
      <c r="I402" s="4">
        <v>98.65</v>
      </c>
      <c r="J402" s="5">
        <v>0</v>
      </c>
      <c r="K402" s="6">
        <v>5</v>
      </c>
      <c r="L402" s="6">
        <v>4</v>
      </c>
      <c r="M402" t="s">
        <v>58</v>
      </c>
      <c r="N402" t="s">
        <v>59</v>
      </c>
      <c r="O402" t="s">
        <v>64</v>
      </c>
      <c r="P402" t="str">
        <f t="shared" si="42"/>
        <v>Individual</v>
      </c>
      <c r="Q402" t="str">
        <f t="shared" si="43"/>
        <v>Midlands</v>
      </c>
      <c r="R402" t="str">
        <f>PROPER(TRIM(E402))</f>
        <v>Furniture</v>
      </c>
      <c r="S402" s="27">
        <f>IF(ISTEXT(B402),DATEVALUE(B402),B402)</f>
        <v>45816</v>
      </c>
      <c r="T402" s="27">
        <f>COUNTIF($A$2:$A$1986,A402)</f>
        <v>1</v>
      </c>
      <c r="U402" s="27" t="str">
        <f t="shared" si="44"/>
        <v>Storage Cabinet</v>
      </c>
      <c r="V402" s="27">
        <f t="shared" si="45"/>
        <v>332.14</v>
      </c>
      <c r="W402" s="27">
        <f t="shared" si="46"/>
        <v>197.3</v>
      </c>
      <c r="X402" s="27">
        <f>RawSalesTable3[[#This Row],[Revenue]]-RawSalesTable3[[#This Row],[Total_Cost]]</f>
        <v>134.83999999999997</v>
      </c>
      <c r="Y402" s="28">
        <f>RawSalesTable3[[#This Row],[Profit]]/RawSalesTable3[[#This Row],[Revenue]]</f>
        <v>0.40597338471728783</v>
      </c>
      <c r="Z402" s="27" t="str">
        <f>TEXT(RawSalesTable3[[#This Row],[Order_Date_Clean]],"MMM YYYY")</f>
        <v>Jun 2025</v>
      </c>
      <c r="AA402" s="27"/>
      <c r="AB402" s="27">
        <f t="shared" si="47"/>
        <v>0</v>
      </c>
      <c r="AC402" s="27">
        <f t="shared" si="48"/>
        <v>0</v>
      </c>
    </row>
    <row r="403" spans="1:29">
      <c r="A403" t="s">
        <v>500</v>
      </c>
      <c r="B403" s="3">
        <v>45673</v>
      </c>
      <c r="C403" t="s">
        <v>78</v>
      </c>
      <c r="D403" t="s">
        <v>62</v>
      </c>
      <c r="E403" t="s">
        <v>56</v>
      </c>
      <c r="F403" t="s">
        <v>83</v>
      </c>
      <c r="G403" s="6">
        <v>1</v>
      </c>
      <c r="H403" s="4">
        <v>65.11</v>
      </c>
      <c r="I403" s="4">
        <v>36.68</v>
      </c>
      <c r="J403" s="5">
        <v>0.05</v>
      </c>
      <c r="K403" s="6">
        <v>4</v>
      </c>
      <c r="L403" s="6">
        <v>4</v>
      </c>
      <c r="M403" t="s">
        <v>58</v>
      </c>
      <c r="N403" t="s">
        <v>59</v>
      </c>
      <c r="O403" t="s">
        <v>64</v>
      </c>
      <c r="P403" t="str">
        <f t="shared" si="42"/>
        <v>Individual</v>
      </c>
      <c r="Q403" t="str">
        <f t="shared" si="43"/>
        <v>London</v>
      </c>
      <c r="R403" t="str">
        <f>PROPER(TRIM(E403))</f>
        <v>Home &amp; Kitchen</v>
      </c>
      <c r="S403" s="27">
        <f>IF(ISTEXT(B403),DATEVALUE(B403),B403)</f>
        <v>45673</v>
      </c>
      <c r="T403" s="27">
        <f>COUNTIF($A$2:$A$1986,A403)</f>
        <v>1</v>
      </c>
      <c r="U403" s="27" t="str">
        <f t="shared" si="44"/>
        <v>Blender</v>
      </c>
      <c r="V403" s="27">
        <f t="shared" si="45"/>
        <v>61.854499999999994</v>
      </c>
      <c r="W403" s="27">
        <f t="shared" si="46"/>
        <v>36.68</v>
      </c>
      <c r="X403" s="27">
        <f>RawSalesTable3[[#This Row],[Revenue]]-RawSalesTable3[[#This Row],[Total_Cost]]</f>
        <v>25.174499999999995</v>
      </c>
      <c r="Y403" s="28">
        <f>RawSalesTable3[[#This Row],[Profit]]/RawSalesTable3[[#This Row],[Revenue]]</f>
        <v>0.40699544899724349</v>
      </c>
      <c r="Z403" s="27" t="str">
        <f>TEXT(RawSalesTable3[[#This Row],[Order_Date_Clean]],"MMM YYYY")</f>
        <v>Jan 2025</v>
      </c>
      <c r="AA403" s="27"/>
      <c r="AB403" s="27">
        <f t="shared" si="47"/>
        <v>0</v>
      </c>
      <c r="AC403" s="27">
        <f t="shared" si="48"/>
        <v>0</v>
      </c>
    </row>
    <row r="404" spans="1:29">
      <c r="A404" t="s">
        <v>501</v>
      </c>
      <c r="B404" s="3">
        <v>45774</v>
      </c>
      <c r="C404" t="s">
        <v>66</v>
      </c>
      <c r="D404" t="s">
        <v>55</v>
      </c>
      <c r="E404" t="s">
        <v>75</v>
      </c>
      <c r="F404" t="s">
        <v>146</v>
      </c>
      <c r="G404" s="6">
        <v>5</v>
      </c>
      <c r="H404" s="4">
        <v>184.79</v>
      </c>
      <c r="I404" s="4">
        <v>112.51</v>
      </c>
      <c r="J404" s="5">
        <v>0</v>
      </c>
      <c r="K404" s="6">
        <v>4</v>
      </c>
      <c r="L404" s="6">
        <v>5</v>
      </c>
      <c r="M404" t="s">
        <v>58</v>
      </c>
      <c r="N404" t="s">
        <v>59</v>
      </c>
      <c r="O404" t="s">
        <v>64</v>
      </c>
      <c r="P404" t="str">
        <f t="shared" si="42"/>
        <v>Small Business</v>
      </c>
      <c r="Q404" t="str">
        <f t="shared" si="43"/>
        <v>South</v>
      </c>
      <c r="R404" t="str">
        <f>PROPER(TRIM(E404))</f>
        <v>Furniture</v>
      </c>
      <c r="S404" s="27">
        <f>IF(ISTEXT(B404),DATEVALUE(B404),B404)</f>
        <v>45774</v>
      </c>
      <c r="T404" s="27">
        <f>COUNTIF($A$2:$A$1986,A404)</f>
        <v>1</v>
      </c>
      <c r="U404" s="27" t="str">
        <f t="shared" si="44"/>
        <v>Office Chair</v>
      </c>
      <c r="V404" s="27">
        <f t="shared" si="45"/>
        <v>923.94999999999993</v>
      </c>
      <c r="W404" s="27">
        <f t="shared" si="46"/>
        <v>562.55000000000007</v>
      </c>
      <c r="X404" s="27">
        <f>RawSalesTable3[[#This Row],[Revenue]]-RawSalesTable3[[#This Row],[Total_Cost]]</f>
        <v>361.39999999999986</v>
      </c>
      <c r="Y404" s="28">
        <f>RawSalesTable3[[#This Row],[Profit]]/RawSalesTable3[[#This Row],[Revenue]]</f>
        <v>0.39114670707289345</v>
      </c>
      <c r="Z404" s="27" t="str">
        <f>TEXT(RawSalesTable3[[#This Row],[Order_Date_Clean]],"MMM YYYY")</f>
        <v>Apr 2025</v>
      </c>
      <c r="AA404" s="27"/>
      <c r="AB404" s="27">
        <f t="shared" si="47"/>
        <v>0</v>
      </c>
      <c r="AC404" s="27">
        <f t="shared" si="48"/>
        <v>0</v>
      </c>
    </row>
    <row r="405" spans="1:29">
      <c r="A405" t="s">
        <v>502</v>
      </c>
      <c r="B405" s="3">
        <v>45737</v>
      </c>
      <c r="C405" t="s">
        <v>78</v>
      </c>
      <c r="D405" t="s">
        <v>62</v>
      </c>
      <c r="E405" t="s">
        <v>56</v>
      </c>
      <c r="F405" t="s">
        <v>57</v>
      </c>
      <c r="G405" s="6">
        <v>2</v>
      </c>
      <c r="H405" s="4">
        <v>109.09</v>
      </c>
      <c r="I405" s="4">
        <v>66.430000000000007</v>
      </c>
      <c r="J405" s="5">
        <v>0</v>
      </c>
      <c r="K405" s="6">
        <v>0</v>
      </c>
      <c r="L405" s="6">
        <v>5</v>
      </c>
      <c r="M405" t="s">
        <v>58</v>
      </c>
      <c r="N405" t="s">
        <v>69</v>
      </c>
      <c r="O405" t="s">
        <v>64</v>
      </c>
      <c r="P405" t="str">
        <f t="shared" si="42"/>
        <v>Individual</v>
      </c>
      <c r="Q405" t="str">
        <f t="shared" si="43"/>
        <v>London</v>
      </c>
      <c r="R405" t="str">
        <f>PROPER(TRIM(E405))</f>
        <v>Home &amp; Kitchen</v>
      </c>
      <c r="S405" s="27">
        <f>IF(ISTEXT(B405),DATEVALUE(B405),B405)</f>
        <v>45737</v>
      </c>
      <c r="T405" s="27">
        <f>COUNTIF($A$2:$A$1986,A405)</f>
        <v>1</v>
      </c>
      <c r="U405" s="27" t="str">
        <f t="shared" si="44"/>
        <v>Air Fryer</v>
      </c>
      <c r="V405" s="27">
        <f t="shared" si="45"/>
        <v>218.18</v>
      </c>
      <c r="W405" s="27">
        <f t="shared" si="46"/>
        <v>132.86000000000001</v>
      </c>
      <c r="X405" s="27">
        <f>RawSalesTable3[[#This Row],[Revenue]]-RawSalesTable3[[#This Row],[Total_Cost]]</f>
        <v>85.32</v>
      </c>
      <c r="Y405" s="28">
        <f>RawSalesTable3[[#This Row],[Profit]]/RawSalesTable3[[#This Row],[Revenue]]</f>
        <v>0.39105325877715641</v>
      </c>
      <c r="Z405" s="27" t="str">
        <f>TEXT(RawSalesTable3[[#This Row],[Order_Date_Clean]],"MMM YYYY")</f>
        <v>Mar 2025</v>
      </c>
      <c r="AA405" s="27"/>
      <c r="AB405" s="27">
        <f t="shared" si="47"/>
        <v>0</v>
      </c>
      <c r="AC405" s="27">
        <f t="shared" si="48"/>
        <v>0</v>
      </c>
    </row>
    <row r="406" spans="1:29">
      <c r="A406" t="s">
        <v>503</v>
      </c>
      <c r="B406" s="3">
        <v>45981</v>
      </c>
      <c r="C406" t="s">
        <v>66</v>
      </c>
      <c r="D406" t="s">
        <v>55</v>
      </c>
      <c r="E406" t="s">
        <v>75</v>
      </c>
      <c r="F406" t="s">
        <v>97</v>
      </c>
      <c r="G406" s="6">
        <v>3</v>
      </c>
      <c r="H406" s="4">
        <v>92.18</v>
      </c>
      <c r="I406" s="4">
        <v>54.11</v>
      </c>
      <c r="J406" s="5">
        <v>0</v>
      </c>
      <c r="K406" s="6">
        <v>3</v>
      </c>
      <c r="L406" s="6">
        <v>4</v>
      </c>
      <c r="M406" t="s">
        <v>58</v>
      </c>
      <c r="N406" t="s">
        <v>69</v>
      </c>
      <c r="O406" t="s">
        <v>64</v>
      </c>
      <c r="P406" t="str">
        <f t="shared" si="42"/>
        <v>Small Business</v>
      </c>
      <c r="Q406" t="str">
        <f t="shared" si="43"/>
        <v>South</v>
      </c>
      <c r="R406" t="str">
        <f>PROPER(TRIM(E406))</f>
        <v>Furniture</v>
      </c>
      <c r="S406" s="27">
        <f>IF(ISTEXT(B406),DATEVALUE(B406),B406)</f>
        <v>45981</v>
      </c>
      <c r="T406" s="27">
        <f>COUNTIF($A$2:$A$1986,A406)</f>
        <v>1</v>
      </c>
      <c r="U406" s="27" t="str">
        <f t="shared" si="44"/>
        <v>Side Table</v>
      </c>
      <c r="V406" s="27">
        <f t="shared" si="45"/>
        <v>276.54000000000002</v>
      </c>
      <c r="W406" s="27">
        <f t="shared" si="46"/>
        <v>162.32999999999998</v>
      </c>
      <c r="X406" s="27">
        <f>RawSalesTable3[[#This Row],[Revenue]]-RawSalesTable3[[#This Row],[Total_Cost]]</f>
        <v>114.21000000000004</v>
      </c>
      <c r="Y406" s="28">
        <f>RawSalesTable3[[#This Row],[Profit]]/RawSalesTable3[[#This Row],[Revenue]]</f>
        <v>0.41299631156433075</v>
      </c>
      <c r="Z406" s="27" t="str">
        <f>TEXT(RawSalesTable3[[#This Row],[Order_Date_Clean]],"MMM YYYY")</f>
        <v>Nov 2025</v>
      </c>
      <c r="AA406" s="27"/>
      <c r="AB406" s="27">
        <f t="shared" si="47"/>
        <v>0</v>
      </c>
      <c r="AC406" s="27">
        <f t="shared" si="48"/>
        <v>0</v>
      </c>
    </row>
    <row r="407" spans="1:29">
      <c r="A407" t="s">
        <v>504</v>
      </c>
      <c r="B407" s="3">
        <v>45863</v>
      </c>
      <c r="C407" t="s">
        <v>78</v>
      </c>
      <c r="D407" t="s">
        <v>62</v>
      </c>
      <c r="E407" t="s">
        <v>75</v>
      </c>
      <c r="F407" t="s">
        <v>146</v>
      </c>
      <c r="G407" s="6">
        <v>1</v>
      </c>
      <c r="H407" s="4">
        <v>180.85</v>
      </c>
      <c r="I407" s="4">
        <v>118.29</v>
      </c>
      <c r="J407" s="5">
        <v>0.05</v>
      </c>
      <c r="K407" s="6">
        <v>4</v>
      </c>
      <c r="L407" s="6">
        <v>4</v>
      </c>
      <c r="M407" t="s">
        <v>58</v>
      </c>
      <c r="N407" t="s">
        <v>69</v>
      </c>
      <c r="O407" t="s">
        <v>60</v>
      </c>
      <c r="P407" t="str">
        <f t="shared" si="42"/>
        <v>Individual</v>
      </c>
      <c r="Q407" t="str">
        <f t="shared" si="43"/>
        <v>London</v>
      </c>
      <c r="R407" t="str">
        <f>PROPER(TRIM(E407))</f>
        <v>Furniture</v>
      </c>
      <c r="S407" s="27">
        <f>IF(ISTEXT(B407),DATEVALUE(B407),B407)</f>
        <v>45863</v>
      </c>
      <c r="T407" s="27">
        <f>COUNTIF($A$2:$A$1986,A407)</f>
        <v>1</v>
      </c>
      <c r="U407" s="27" t="str">
        <f t="shared" si="44"/>
        <v>Office Chair</v>
      </c>
      <c r="V407" s="27">
        <f t="shared" si="45"/>
        <v>171.80749999999998</v>
      </c>
      <c r="W407" s="27">
        <f t="shared" si="46"/>
        <v>118.29</v>
      </c>
      <c r="X407" s="27">
        <f>RawSalesTable3[[#This Row],[Revenue]]-RawSalesTable3[[#This Row],[Total_Cost]]</f>
        <v>53.51749999999997</v>
      </c>
      <c r="Y407" s="28">
        <f>RawSalesTable3[[#This Row],[Profit]]/RawSalesTable3[[#This Row],[Revenue]]</f>
        <v>0.3114968787742094</v>
      </c>
      <c r="Z407" s="27" t="str">
        <f>TEXT(RawSalesTable3[[#This Row],[Order_Date_Clean]],"MMM YYYY")</f>
        <v>Jul 2025</v>
      </c>
      <c r="AA407" s="27"/>
      <c r="AB407" s="27">
        <f t="shared" si="47"/>
        <v>0</v>
      </c>
      <c r="AC407" s="27">
        <f t="shared" si="48"/>
        <v>0</v>
      </c>
    </row>
    <row r="408" spans="1:29">
      <c r="A408" t="s">
        <v>505</v>
      </c>
      <c r="B408" s="3">
        <v>45806</v>
      </c>
      <c r="C408" t="s">
        <v>78</v>
      </c>
      <c r="D408" t="s">
        <v>55</v>
      </c>
      <c r="E408" t="s">
        <v>79</v>
      </c>
      <c r="F408" t="s">
        <v>92</v>
      </c>
      <c r="G408" s="6">
        <v>5</v>
      </c>
      <c r="H408" s="4">
        <v>49.43</v>
      </c>
      <c r="I408" s="4">
        <v>26.46</v>
      </c>
      <c r="J408" s="5">
        <v>0.1</v>
      </c>
      <c r="K408" s="6">
        <v>0</v>
      </c>
      <c r="L408" s="6">
        <v>4</v>
      </c>
      <c r="M408" t="s">
        <v>58</v>
      </c>
      <c r="N408" t="s">
        <v>69</v>
      </c>
      <c r="O408" t="s">
        <v>64</v>
      </c>
      <c r="P408" t="str">
        <f t="shared" si="42"/>
        <v>Small Business</v>
      </c>
      <c r="Q408" t="str">
        <f t="shared" si="43"/>
        <v>London</v>
      </c>
      <c r="R408" t="str">
        <f>PROPER(TRIM(E408))</f>
        <v>Electronics</v>
      </c>
      <c r="S408" s="27">
        <f>IF(ISTEXT(B408),DATEVALUE(B408),B408)</f>
        <v>45806</v>
      </c>
      <c r="T408" s="27">
        <f>COUNTIF($A$2:$A$1986,A408)</f>
        <v>1</v>
      </c>
      <c r="U408" s="27" t="str">
        <f t="shared" si="44"/>
        <v>Webcam</v>
      </c>
      <c r="V408" s="27">
        <f t="shared" si="45"/>
        <v>222.435</v>
      </c>
      <c r="W408" s="27">
        <f t="shared" si="46"/>
        <v>132.30000000000001</v>
      </c>
      <c r="X408" s="27">
        <f>RawSalesTable3[[#This Row],[Revenue]]-RawSalesTable3[[#This Row],[Total_Cost]]</f>
        <v>90.134999999999991</v>
      </c>
      <c r="Y408" s="28">
        <f>RawSalesTable3[[#This Row],[Profit]]/RawSalesTable3[[#This Row],[Revenue]]</f>
        <v>0.40521950232652232</v>
      </c>
      <c r="Z408" s="27" t="str">
        <f>TEXT(RawSalesTable3[[#This Row],[Order_Date_Clean]],"MMM YYYY")</f>
        <v>May 2025</v>
      </c>
      <c r="AA408" s="27"/>
      <c r="AB408" s="27">
        <f t="shared" si="47"/>
        <v>0</v>
      </c>
      <c r="AC408" s="27">
        <f t="shared" si="48"/>
        <v>0</v>
      </c>
    </row>
    <row r="409" spans="1:29">
      <c r="A409" t="s">
        <v>506</v>
      </c>
      <c r="B409" s="3">
        <v>45999</v>
      </c>
      <c r="C409" t="s">
        <v>82</v>
      </c>
      <c r="D409" t="s">
        <v>55</v>
      </c>
      <c r="E409" t="s">
        <v>56</v>
      </c>
      <c r="F409" t="s">
        <v>63</v>
      </c>
      <c r="G409" s="6">
        <v>6</v>
      </c>
      <c r="H409" s="4">
        <v>39.96</v>
      </c>
      <c r="I409" s="4">
        <v>19.63</v>
      </c>
      <c r="J409" s="5">
        <v>0.05</v>
      </c>
      <c r="K409" s="6">
        <v>3</v>
      </c>
      <c r="L409" s="6">
        <v>4</v>
      </c>
      <c r="M409" t="s">
        <v>58</v>
      </c>
      <c r="N409" t="s">
        <v>87</v>
      </c>
      <c r="O409" t="s">
        <v>64</v>
      </c>
      <c r="P409" t="str">
        <f t="shared" si="42"/>
        <v>Small Business</v>
      </c>
      <c r="Q409" t="str">
        <f t="shared" si="43"/>
        <v>Midlands</v>
      </c>
      <c r="R409" t="str">
        <f>PROPER(TRIM(E409))</f>
        <v>Home &amp; Kitchen</v>
      </c>
      <c r="S409" s="27">
        <f>IF(ISTEXT(B409),DATEVALUE(B409),B409)</f>
        <v>45999</v>
      </c>
      <c r="T409" s="27">
        <f>COUNTIF($A$2:$A$1986,A409)</f>
        <v>1</v>
      </c>
      <c r="U409" s="27" t="str">
        <f t="shared" si="44"/>
        <v>Electric Kettle</v>
      </c>
      <c r="V409" s="27">
        <f t="shared" si="45"/>
        <v>227.77199999999999</v>
      </c>
      <c r="W409" s="27">
        <f t="shared" si="46"/>
        <v>117.78</v>
      </c>
      <c r="X409" s="27">
        <f>RawSalesTable3[[#This Row],[Revenue]]-RawSalesTable3[[#This Row],[Total_Cost]]</f>
        <v>109.99199999999999</v>
      </c>
      <c r="Y409" s="28">
        <f>RawSalesTable3[[#This Row],[Profit]]/RawSalesTable3[[#This Row],[Revenue]]</f>
        <v>0.48290395658816709</v>
      </c>
      <c r="Z409" s="27" t="str">
        <f>TEXT(RawSalesTable3[[#This Row],[Order_Date_Clean]],"MMM YYYY")</f>
        <v>Dec 2025</v>
      </c>
      <c r="AA409" s="27"/>
      <c r="AB409" s="27">
        <f t="shared" si="47"/>
        <v>0</v>
      </c>
      <c r="AC409" s="27">
        <f t="shared" si="48"/>
        <v>0</v>
      </c>
    </row>
    <row r="410" spans="1:29">
      <c r="A410" t="s">
        <v>507</v>
      </c>
      <c r="B410" s="3">
        <v>45776</v>
      </c>
      <c r="C410" t="s">
        <v>54</v>
      </c>
      <c r="D410" t="s">
        <v>55</v>
      </c>
      <c r="E410" t="s">
        <v>79</v>
      </c>
      <c r="F410" t="s">
        <v>85</v>
      </c>
      <c r="G410" s="6">
        <v>4</v>
      </c>
      <c r="H410" s="4">
        <v>129.69</v>
      </c>
      <c r="I410" s="4">
        <v>82.63</v>
      </c>
      <c r="J410" s="5">
        <v>0</v>
      </c>
      <c r="K410" s="6">
        <v>0</v>
      </c>
      <c r="L410" s="6">
        <v>4</v>
      </c>
      <c r="M410" t="s">
        <v>58</v>
      </c>
      <c r="N410" t="s">
        <v>69</v>
      </c>
      <c r="O410" t="s">
        <v>64</v>
      </c>
      <c r="P410" t="str">
        <f t="shared" si="42"/>
        <v>Small Business</v>
      </c>
      <c r="Q410" t="str">
        <f t="shared" si="43"/>
        <v>North</v>
      </c>
      <c r="R410" t="str">
        <f>PROPER(TRIM(E410))</f>
        <v>Electronics</v>
      </c>
      <c r="S410" s="27">
        <f>IF(ISTEXT(B410),DATEVALUE(B410),B410)</f>
        <v>45776</v>
      </c>
      <c r="T410" s="27">
        <f>COUNTIF($A$2:$A$1986,A410)</f>
        <v>1</v>
      </c>
      <c r="U410" s="27" t="str">
        <f t="shared" si="44"/>
        <v>SmartHome Hub</v>
      </c>
      <c r="V410" s="27">
        <f t="shared" si="45"/>
        <v>518.76</v>
      </c>
      <c r="W410" s="27">
        <f t="shared" si="46"/>
        <v>330.52</v>
      </c>
      <c r="X410" s="27">
        <f>RawSalesTable3[[#This Row],[Revenue]]-RawSalesTable3[[#This Row],[Total_Cost]]</f>
        <v>188.24</v>
      </c>
      <c r="Y410" s="28">
        <f>RawSalesTable3[[#This Row],[Profit]]/RawSalesTable3[[#This Row],[Revenue]]</f>
        <v>0.36286529416300412</v>
      </c>
      <c r="Z410" s="27" t="str">
        <f>TEXT(RawSalesTable3[[#This Row],[Order_Date_Clean]],"MMM YYYY")</f>
        <v>Apr 2025</v>
      </c>
      <c r="AA410" s="27"/>
      <c r="AB410" s="27">
        <f t="shared" si="47"/>
        <v>0</v>
      </c>
      <c r="AC410" s="27">
        <f t="shared" si="48"/>
        <v>0</v>
      </c>
    </row>
    <row r="411" spans="1:29">
      <c r="A411" t="s">
        <v>508</v>
      </c>
      <c r="B411" s="3">
        <v>45832</v>
      </c>
      <c r="C411" t="s">
        <v>54</v>
      </c>
      <c r="D411" t="s">
        <v>62</v>
      </c>
      <c r="E411" t="s">
        <v>56</v>
      </c>
      <c r="F411" t="s">
        <v>83</v>
      </c>
      <c r="G411" s="6">
        <v>3</v>
      </c>
      <c r="H411" s="4">
        <v>64.010000000000005</v>
      </c>
      <c r="I411" s="4">
        <v>34.979999999999997</v>
      </c>
      <c r="J411" s="5">
        <v>0</v>
      </c>
      <c r="K411" s="6">
        <v>3</v>
      </c>
      <c r="L411" s="6">
        <v>4</v>
      </c>
      <c r="M411" t="s">
        <v>58</v>
      </c>
      <c r="N411" t="s">
        <v>87</v>
      </c>
      <c r="O411" t="s">
        <v>64</v>
      </c>
      <c r="P411" t="str">
        <f t="shared" si="42"/>
        <v>Individual</v>
      </c>
      <c r="Q411" t="str">
        <f t="shared" si="43"/>
        <v>North</v>
      </c>
      <c r="R411" t="str">
        <f>PROPER(TRIM(E411))</f>
        <v>Home &amp; Kitchen</v>
      </c>
      <c r="S411" s="27">
        <f>IF(ISTEXT(B411),DATEVALUE(B411),B411)</f>
        <v>45832</v>
      </c>
      <c r="T411" s="27">
        <f>COUNTIF($A$2:$A$1986,A411)</f>
        <v>1</v>
      </c>
      <c r="U411" s="27" t="str">
        <f t="shared" si="44"/>
        <v>Blender</v>
      </c>
      <c r="V411" s="27">
        <f t="shared" si="45"/>
        <v>192.03000000000003</v>
      </c>
      <c r="W411" s="27">
        <f t="shared" si="46"/>
        <v>104.94</v>
      </c>
      <c r="X411" s="27">
        <f>RawSalesTable3[[#This Row],[Revenue]]-RawSalesTable3[[#This Row],[Total_Cost]]</f>
        <v>87.090000000000032</v>
      </c>
      <c r="Y411" s="28">
        <f>RawSalesTable3[[#This Row],[Profit]]/RawSalesTable3[[#This Row],[Revenue]]</f>
        <v>0.4535228870488987</v>
      </c>
      <c r="Z411" s="27" t="str">
        <f>TEXT(RawSalesTable3[[#This Row],[Order_Date_Clean]],"MMM YYYY")</f>
        <v>Jun 2025</v>
      </c>
      <c r="AA411" s="27"/>
      <c r="AB411" s="27">
        <f t="shared" si="47"/>
        <v>0</v>
      </c>
      <c r="AC411" s="27">
        <f t="shared" si="48"/>
        <v>0</v>
      </c>
    </row>
    <row r="412" spans="1:29">
      <c r="A412" t="s">
        <v>509</v>
      </c>
      <c r="B412" s="3">
        <v>45792</v>
      </c>
      <c r="C412" t="s">
        <v>66</v>
      </c>
      <c r="D412" t="s">
        <v>62</v>
      </c>
      <c r="E412" t="s">
        <v>67</v>
      </c>
      <c r="F412" t="s">
        <v>71</v>
      </c>
      <c r="G412" s="6">
        <v>1</v>
      </c>
      <c r="H412" s="4">
        <v>72.25</v>
      </c>
      <c r="I412" s="4">
        <v>38.04</v>
      </c>
      <c r="J412" s="5">
        <v>0.15000000000000002</v>
      </c>
      <c r="K412" s="6">
        <v>3</v>
      </c>
      <c r="L412" s="6">
        <v>5</v>
      </c>
      <c r="M412" t="s">
        <v>58</v>
      </c>
      <c r="N412" t="s">
        <v>59</v>
      </c>
      <c r="O412" t="s">
        <v>64</v>
      </c>
      <c r="P412" t="str">
        <f t="shared" si="42"/>
        <v>Individual</v>
      </c>
      <c r="Q412" t="str">
        <f t="shared" si="43"/>
        <v>South</v>
      </c>
      <c r="R412" t="str">
        <f>PROPER(TRIM(E412))</f>
        <v>Office</v>
      </c>
      <c r="S412" s="27">
        <f>IF(ISTEXT(B412),DATEVALUE(B412),B412)</f>
        <v>45792</v>
      </c>
      <c r="T412" s="27">
        <f>COUNTIF($A$2:$A$1986,A412)</f>
        <v>1</v>
      </c>
      <c r="U412" s="27" t="str">
        <f t="shared" si="44"/>
        <v>Ergonomic Keyboard</v>
      </c>
      <c r="V412" s="27">
        <f t="shared" si="45"/>
        <v>61.412500000000001</v>
      </c>
      <c r="W412" s="27">
        <f t="shared" si="46"/>
        <v>38.04</v>
      </c>
      <c r="X412" s="27">
        <f>RawSalesTable3[[#This Row],[Revenue]]-RawSalesTable3[[#This Row],[Total_Cost]]</f>
        <v>23.372500000000002</v>
      </c>
      <c r="Y412" s="28">
        <f>RawSalesTable3[[#This Row],[Profit]]/RawSalesTable3[[#This Row],[Revenue]]</f>
        <v>0.38058212904538979</v>
      </c>
      <c r="Z412" s="27" t="str">
        <f>TEXT(RawSalesTable3[[#This Row],[Order_Date_Clean]],"MMM YYYY")</f>
        <v>May 2025</v>
      </c>
      <c r="AA412" s="27"/>
      <c r="AB412" s="27">
        <f t="shared" si="47"/>
        <v>0</v>
      </c>
      <c r="AC412" s="27">
        <f t="shared" si="48"/>
        <v>0</v>
      </c>
    </row>
    <row r="413" spans="1:29">
      <c r="A413" t="s">
        <v>510</v>
      </c>
      <c r="B413" s="3">
        <v>45895</v>
      </c>
      <c r="C413" t="s">
        <v>66</v>
      </c>
      <c r="D413" t="s">
        <v>62</v>
      </c>
      <c r="E413" t="s">
        <v>56</v>
      </c>
      <c r="F413" t="s">
        <v>89</v>
      </c>
      <c r="G413" s="6">
        <v>2</v>
      </c>
      <c r="H413" s="4">
        <v>81.05</v>
      </c>
      <c r="I413" s="4">
        <v>46.18</v>
      </c>
      <c r="J413" s="5">
        <v>0</v>
      </c>
      <c r="K413" s="6">
        <v>5</v>
      </c>
      <c r="L413" s="6">
        <v>3</v>
      </c>
      <c r="M413" t="s">
        <v>126</v>
      </c>
      <c r="N413" t="s">
        <v>59</v>
      </c>
      <c r="O413" t="s">
        <v>64</v>
      </c>
      <c r="P413" t="str">
        <f t="shared" si="42"/>
        <v>Individual</v>
      </c>
      <c r="Q413" t="str">
        <f t="shared" si="43"/>
        <v>South</v>
      </c>
      <c r="R413" t="str">
        <f>PROPER(TRIM(E413))</f>
        <v>Home &amp; Kitchen</v>
      </c>
      <c r="S413" s="27">
        <f>IF(ISTEXT(B413),DATEVALUE(B413),B413)</f>
        <v>45895</v>
      </c>
      <c r="T413" s="27">
        <f>COUNTIF($A$2:$A$1986,A413)</f>
        <v>1</v>
      </c>
      <c r="U413" s="27" t="str">
        <f t="shared" si="44"/>
        <v>Coffee Maker</v>
      </c>
      <c r="V413" s="27">
        <f t="shared" si="45"/>
        <v>162.1</v>
      </c>
      <c r="W413" s="27">
        <f t="shared" si="46"/>
        <v>92.36</v>
      </c>
      <c r="X413" s="27">
        <f>RawSalesTable3[[#This Row],[Revenue]]-RawSalesTable3[[#This Row],[Total_Cost]]</f>
        <v>69.739999999999995</v>
      </c>
      <c r="Y413" s="28">
        <f>RawSalesTable3[[#This Row],[Profit]]/RawSalesTable3[[#This Row],[Revenue]]</f>
        <v>0.43022825416409621</v>
      </c>
      <c r="Z413" s="27" t="str">
        <f>TEXT(RawSalesTable3[[#This Row],[Order_Date_Clean]],"MMM YYYY")</f>
        <v>Aug 2025</v>
      </c>
      <c r="AA413" s="27"/>
      <c r="AB413" s="27">
        <f t="shared" si="47"/>
        <v>0</v>
      </c>
      <c r="AC413" s="27">
        <f t="shared" si="48"/>
        <v>0</v>
      </c>
    </row>
    <row r="414" spans="1:29">
      <c r="A414" t="s">
        <v>511</v>
      </c>
      <c r="B414" s="3">
        <v>45851</v>
      </c>
      <c r="C414" t="s">
        <v>66</v>
      </c>
      <c r="D414" t="s">
        <v>129</v>
      </c>
      <c r="E414" t="s">
        <v>56</v>
      </c>
      <c r="F414" t="s">
        <v>83</v>
      </c>
      <c r="G414" s="6">
        <v>4</v>
      </c>
      <c r="H414" s="4">
        <v>63.66</v>
      </c>
      <c r="I414" s="4">
        <v>36.74</v>
      </c>
      <c r="J414" s="5">
        <v>0.05</v>
      </c>
      <c r="K414" s="6">
        <v>3</v>
      </c>
      <c r="L414" s="6">
        <v>4</v>
      </c>
      <c r="M414" t="s">
        <v>58</v>
      </c>
      <c r="N414" t="s">
        <v>59</v>
      </c>
      <c r="O414" t="s">
        <v>64</v>
      </c>
      <c r="P414" t="str">
        <f t="shared" si="42"/>
        <v>Corporate</v>
      </c>
      <c r="Q414" t="str">
        <f t="shared" si="43"/>
        <v>South</v>
      </c>
      <c r="R414" t="str">
        <f>PROPER(TRIM(E414))</f>
        <v>Home &amp; Kitchen</v>
      </c>
      <c r="S414" s="27">
        <f>IF(ISTEXT(B414),DATEVALUE(B414),B414)</f>
        <v>45851</v>
      </c>
      <c r="T414" s="27">
        <f>COUNTIF($A$2:$A$1986,A414)</f>
        <v>1</v>
      </c>
      <c r="U414" s="27" t="str">
        <f t="shared" si="44"/>
        <v>Blender</v>
      </c>
      <c r="V414" s="27">
        <f t="shared" si="45"/>
        <v>241.90799999999999</v>
      </c>
      <c r="W414" s="27">
        <f t="shared" si="46"/>
        <v>146.96</v>
      </c>
      <c r="X414" s="27">
        <f>RawSalesTable3[[#This Row],[Revenue]]-RawSalesTable3[[#This Row],[Total_Cost]]</f>
        <v>94.947999999999979</v>
      </c>
      <c r="Y414" s="28">
        <f>RawSalesTable3[[#This Row],[Profit]]/RawSalesTable3[[#This Row],[Revenue]]</f>
        <v>0.39249632091538927</v>
      </c>
      <c r="Z414" s="27" t="str">
        <f>TEXT(RawSalesTable3[[#This Row],[Order_Date_Clean]],"MMM YYYY")</f>
        <v>Jul 2025</v>
      </c>
      <c r="AA414" s="27"/>
      <c r="AB414" s="27">
        <f t="shared" si="47"/>
        <v>0</v>
      </c>
      <c r="AC414" s="27">
        <f t="shared" si="48"/>
        <v>0</v>
      </c>
    </row>
    <row r="415" spans="1:29">
      <c r="A415" t="s">
        <v>512</v>
      </c>
      <c r="B415" s="3">
        <v>45871</v>
      </c>
      <c r="C415" t="s">
        <v>66</v>
      </c>
      <c r="D415" t="s">
        <v>62</v>
      </c>
      <c r="E415" t="s">
        <v>67</v>
      </c>
      <c r="F415" t="s">
        <v>68</v>
      </c>
      <c r="G415" s="6">
        <v>1</v>
      </c>
      <c r="H415" s="4">
        <v>41.47</v>
      </c>
      <c r="I415" s="4">
        <v>19.53</v>
      </c>
      <c r="J415" s="5">
        <v>0.05</v>
      </c>
      <c r="K415" s="6">
        <v>5</v>
      </c>
      <c r="L415" s="6">
        <v>4</v>
      </c>
      <c r="M415" t="s">
        <v>58</v>
      </c>
      <c r="N415" t="s">
        <v>59</v>
      </c>
      <c r="O415" t="s">
        <v>64</v>
      </c>
      <c r="P415" t="str">
        <f t="shared" si="42"/>
        <v>Individual</v>
      </c>
      <c r="Q415" t="str">
        <f t="shared" si="43"/>
        <v>South</v>
      </c>
      <c r="R415" t="str">
        <f>PROPER(TRIM(E415))</f>
        <v>Office</v>
      </c>
      <c r="S415" s="27">
        <f>IF(ISTEXT(B415),DATEVALUE(B415),B415)</f>
        <v>45871</v>
      </c>
      <c r="T415" s="27">
        <f>COUNTIF($A$2:$A$1986,A415)</f>
        <v>1</v>
      </c>
      <c r="U415" s="27" t="str">
        <f t="shared" si="44"/>
        <v>Desk Lamp</v>
      </c>
      <c r="V415" s="27">
        <f t="shared" si="45"/>
        <v>39.396499999999996</v>
      </c>
      <c r="W415" s="27">
        <f t="shared" si="46"/>
        <v>19.53</v>
      </c>
      <c r="X415" s="27">
        <f>RawSalesTable3[[#This Row],[Revenue]]-RawSalesTable3[[#This Row],[Total_Cost]]</f>
        <v>19.866499999999995</v>
      </c>
      <c r="Y415" s="28">
        <f>RawSalesTable3[[#This Row],[Profit]]/RawSalesTable3[[#This Row],[Revenue]]</f>
        <v>0.50427068394400509</v>
      </c>
      <c r="Z415" s="27" t="str">
        <f>TEXT(RawSalesTable3[[#This Row],[Order_Date_Clean]],"MMM YYYY")</f>
        <v>Aug 2025</v>
      </c>
      <c r="AA415" s="27"/>
      <c r="AB415" s="27">
        <f t="shared" si="47"/>
        <v>0</v>
      </c>
      <c r="AC415" s="27">
        <f t="shared" si="48"/>
        <v>0</v>
      </c>
    </row>
    <row r="416" spans="1:29">
      <c r="A416" t="s">
        <v>513</v>
      </c>
      <c r="B416" s="3">
        <v>45992</v>
      </c>
      <c r="C416" t="s">
        <v>82</v>
      </c>
      <c r="D416" t="s">
        <v>62</v>
      </c>
      <c r="E416" t="s">
        <v>67</v>
      </c>
      <c r="F416" t="s">
        <v>94</v>
      </c>
      <c r="G416" s="6">
        <v>1</v>
      </c>
      <c r="H416" s="4">
        <v>35.47</v>
      </c>
      <c r="I416" s="4">
        <v>17.59</v>
      </c>
      <c r="J416" s="5">
        <v>0.05</v>
      </c>
      <c r="K416" s="6">
        <v>5</v>
      </c>
      <c r="L416" s="6">
        <v>4</v>
      </c>
      <c r="M416" t="s">
        <v>58</v>
      </c>
      <c r="N416" t="s">
        <v>59</v>
      </c>
      <c r="O416" t="s">
        <v>73</v>
      </c>
      <c r="P416" t="str">
        <f t="shared" si="42"/>
        <v>Individual</v>
      </c>
      <c r="Q416" t="str">
        <f t="shared" si="43"/>
        <v>Midlands</v>
      </c>
      <c r="R416" t="str">
        <f>PROPER(TRIM(E416))</f>
        <v>Office</v>
      </c>
      <c r="S416" s="27">
        <f>IF(ISTEXT(B416),DATEVALUE(B416),B416)</f>
        <v>45992</v>
      </c>
      <c r="T416" s="27">
        <f>COUNTIF($A$2:$A$1986,A416)</f>
        <v>1</v>
      </c>
      <c r="U416" s="27" t="str">
        <f t="shared" si="44"/>
        <v>Wireless Mouse</v>
      </c>
      <c r="V416" s="27">
        <f t="shared" si="45"/>
        <v>33.6965</v>
      </c>
      <c r="W416" s="27">
        <f t="shared" si="46"/>
        <v>17.59</v>
      </c>
      <c r="X416" s="27">
        <f>RawSalesTable3[[#This Row],[Revenue]]-RawSalesTable3[[#This Row],[Total_Cost]]</f>
        <v>16.1065</v>
      </c>
      <c r="Y416" s="28">
        <f>RawSalesTable3[[#This Row],[Profit]]/RawSalesTable3[[#This Row],[Revenue]]</f>
        <v>0.47798732806077782</v>
      </c>
      <c r="Z416" s="27" t="str">
        <f>TEXT(RawSalesTable3[[#This Row],[Order_Date_Clean]],"MMM YYYY")</f>
        <v>Dec 2025</v>
      </c>
      <c r="AA416" s="27"/>
      <c r="AB416" s="27">
        <f t="shared" si="47"/>
        <v>0</v>
      </c>
      <c r="AC416" s="27">
        <f t="shared" si="48"/>
        <v>0</v>
      </c>
    </row>
    <row r="417" spans="1:29">
      <c r="A417" t="s">
        <v>514</v>
      </c>
      <c r="B417" s="3">
        <v>45974</v>
      </c>
      <c r="C417" t="s">
        <v>66</v>
      </c>
      <c r="D417" t="s">
        <v>55</v>
      </c>
      <c r="E417" t="s">
        <v>79</v>
      </c>
      <c r="F417" t="s">
        <v>80</v>
      </c>
      <c r="G417" s="6">
        <v>3</v>
      </c>
      <c r="H417" s="4">
        <v>73.75</v>
      </c>
      <c r="I417" s="4">
        <v>43.66</v>
      </c>
      <c r="J417" s="5">
        <v>0.25</v>
      </c>
      <c r="K417" s="6">
        <v>0</v>
      </c>
      <c r="L417" s="6">
        <v>4</v>
      </c>
      <c r="M417" t="s">
        <v>58</v>
      </c>
      <c r="N417" t="s">
        <v>69</v>
      </c>
      <c r="O417" t="s">
        <v>64</v>
      </c>
      <c r="P417" t="str">
        <f t="shared" si="42"/>
        <v>Small Business</v>
      </c>
      <c r="Q417" t="str">
        <f t="shared" si="43"/>
        <v>South</v>
      </c>
      <c r="R417" t="str">
        <f>PROPER(TRIM(E417))</f>
        <v>Electronics</v>
      </c>
      <c r="S417" s="27">
        <f>IF(ISTEXT(B417),DATEVALUE(B417),B417)</f>
        <v>45974</v>
      </c>
      <c r="T417" s="27">
        <f>COUNTIF($A$2:$A$1986,A417)</f>
        <v>1</v>
      </c>
      <c r="U417" s="27" t="str">
        <f t="shared" si="44"/>
        <v>Portable Speaker</v>
      </c>
      <c r="V417" s="27">
        <f t="shared" si="45"/>
        <v>165.9375</v>
      </c>
      <c r="W417" s="27">
        <f t="shared" si="46"/>
        <v>130.97999999999999</v>
      </c>
      <c r="X417" s="27">
        <f>RawSalesTable3[[#This Row],[Revenue]]-RawSalesTable3[[#This Row],[Total_Cost]]</f>
        <v>34.95750000000001</v>
      </c>
      <c r="Y417" s="28">
        <f>RawSalesTable3[[#This Row],[Profit]]/RawSalesTable3[[#This Row],[Revenue]]</f>
        <v>0.21066666666666672</v>
      </c>
      <c r="Z417" s="27" t="str">
        <f>TEXT(RawSalesTable3[[#This Row],[Order_Date_Clean]],"MMM YYYY")</f>
        <v>Nov 2025</v>
      </c>
      <c r="AA417" s="27"/>
      <c r="AB417" s="27">
        <f t="shared" si="47"/>
        <v>0</v>
      </c>
      <c r="AC417" s="27">
        <f t="shared" si="48"/>
        <v>0</v>
      </c>
    </row>
    <row r="418" spans="1:29">
      <c r="A418" t="s">
        <v>515</v>
      </c>
      <c r="B418" s="3">
        <v>45847</v>
      </c>
      <c r="C418" t="s">
        <v>66</v>
      </c>
      <c r="D418" t="s">
        <v>62</v>
      </c>
      <c r="E418" t="s">
        <v>79</v>
      </c>
      <c r="F418" t="s">
        <v>80</v>
      </c>
      <c r="G418" s="6">
        <v>2</v>
      </c>
      <c r="H418" s="4">
        <v>72.97</v>
      </c>
      <c r="I418" s="4">
        <v>43.85</v>
      </c>
      <c r="J418" s="5">
        <v>0.05</v>
      </c>
      <c r="K418" s="6">
        <v>9</v>
      </c>
      <c r="L418" s="6">
        <v>3</v>
      </c>
      <c r="M418" t="s">
        <v>58</v>
      </c>
      <c r="N418" t="s">
        <v>59</v>
      </c>
      <c r="O418" t="s">
        <v>64</v>
      </c>
      <c r="P418" t="str">
        <f t="shared" si="42"/>
        <v>Individual</v>
      </c>
      <c r="Q418" t="str">
        <f t="shared" si="43"/>
        <v>South</v>
      </c>
      <c r="R418" t="str">
        <f>PROPER(TRIM(E418))</f>
        <v>Electronics</v>
      </c>
      <c r="S418" s="27">
        <f>IF(ISTEXT(B418),DATEVALUE(B418),B418)</f>
        <v>45847</v>
      </c>
      <c r="T418" s="27">
        <f>COUNTIF($A$2:$A$1986,A418)</f>
        <v>1</v>
      </c>
      <c r="U418" s="27" t="str">
        <f t="shared" si="44"/>
        <v>Portable Speaker</v>
      </c>
      <c r="V418" s="27">
        <f t="shared" si="45"/>
        <v>138.643</v>
      </c>
      <c r="W418" s="27">
        <f t="shared" si="46"/>
        <v>87.7</v>
      </c>
      <c r="X418" s="27">
        <f>RawSalesTable3[[#This Row],[Revenue]]-RawSalesTable3[[#This Row],[Total_Cost]]</f>
        <v>50.942999999999998</v>
      </c>
      <c r="Y418" s="28">
        <f>RawSalesTable3[[#This Row],[Profit]]/RawSalesTable3[[#This Row],[Revenue]]</f>
        <v>0.36744011598133336</v>
      </c>
      <c r="Z418" s="27" t="str">
        <f>TEXT(RawSalesTable3[[#This Row],[Order_Date_Clean]],"MMM YYYY")</f>
        <v>Jul 2025</v>
      </c>
      <c r="AA418" s="27"/>
      <c r="AB418" s="27">
        <f t="shared" si="47"/>
        <v>0</v>
      </c>
      <c r="AC418" s="27">
        <f t="shared" si="48"/>
        <v>0</v>
      </c>
    </row>
    <row r="419" spans="1:29">
      <c r="A419" t="s">
        <v>516</v>
      </c>
      <c r="B419" s="3">
        <v>45981</v>
      </c>
      <c r="C419" t="s">
        <v>66</v>
      </c>
      <c r="D419" t="s">
        <v>55</v>
      </c>
      <c r="E419" t="s">
        <v>75</v>
      </c>
      <c r="F419" t="s">
        <v>97</v>
      </c>
      <c r="G419" s="6">
        <v>5</v>
      </c>
      <c r="H419" s="4">
        <v>92.09</v>
      </c>
      <c r="I419" s="4">
        <v>56.34</v>
      </c>
      <c r="J419" s="5">
        <v>0.1</v>
      </c>
      <c r="K419" s="6">
        <v>4</v>
      </c>
      <c r="L419" s="6">
        <v>5</v>
      </c>
      <c r="M419" t="s">
        <v>58</v>
      </c>
      <c r="N419" t="s">
        <v>87</v>
      </c>
      <c r="O419" t="s">
        <v>64</v>
      </c>
      <c r="P419" t="str">
        <f t="shared" si="42"/>
        <v>Small Business</v>
      </c>
      <c r="Q419" t="str">
        <f t="shared" si="43"/>
        <v>South</v>
      </c>
      <c r="R419" t="str">
        <f>PROPER(TRIM(E419))</f>
        <v>Furniture</v>
      </c>
      <c r="S419" s="27">
        <f>IF(ISTEXT(B419),DATEVALUE(B419),B419)</f>
        <v>45981</v>
      </c>
      <c r="T419" s="27">
        <f>COUNTIF($A$2:$A$1986,A419)</f>
        <v>1</v>
      </c>
      <c r="U419" s="27" t="str">
        <f t="shared" si="44"/>
        <v>Side Table</v>
      </c>
      <c r="V419" s="27">
        <f t="shared" si="45"/>
        <v>414.40500000000003</v>
      </c>
      <c r="W419" s="27">
        <f t="shared" si="46"/>
        <v>281.70000000000005</v>
      </c>
      <c r="X419" s="27">
        <f>RawSalesTable3[[#This Row],[Revenue]]-RawSalesTable3[[#This Row],[Total_Cost]]</f>
        <v>132.70499999999998</v>
      </c>
      <c r="Y419" s="28">
        <f>RawSalesTable3[[#This Row],[Profit]]/RawSalesTable3[[#This Row],[Revenue]]</f>
        <v>0.32023020957758708</v>
      </c>
      <c r="Z419" s="27" t="str">
        <f>TEXT(RawSalesTable3[[#This Row],[Order_Date_Clean]],"MMM YYYY")</f>
        <v>Nov 2025</v>
      </c>
      <c r="AA419" s="27"/>
      <c r="AB419" s="27">
        <f t="shared" si="47"/>
        <v>0</v>
      </c>
      <c r="AC419" s="27">
        <f t="shared" si="48"/>
        <v>0</v>
      </c>
    </row>
    <row r="420" spans="1:29">
      <c r="A420" t="s">
        <v>517</v>
      </c>
      <c r="B420" s="3">
        <v>45728</v>
      </c>
      <c r="C420" t="s">
        <v>78</v>
      </c>
      <c r="D420" t="s">
        <v>62</v>
      </c>
      <c r="E420" t="s">
        <v>75</v>
      </c>
      <c r="F420" t="s">
        <v>97</v>
      </c>
      <c r="G420" s="6">
        <v>1</v>
      </c>
      <c r="H420" s="4">
        <v>87.52</v>
      </c>
      <c r="I420" s="4">
        <v>52.93</v>
      </c>
      <c r="J420" s="5">
        <v>0.05</v>
      </c>
      <c r="K420" s="6">
        <v>8</v>
      </c>
      <c r="L420" s="6">
        <v>3</v>
      </c>
      <c r="M420" t="s">
        <v>58</v>
      </c>
      <c r="N420" t="s">
        <v>59</v>
      </c>
      <c r="O420" t="s">
        <v>64</v>
      </c>
      <c r="P420" t="str">
        <f t="shared" si="42"/>
        <v>Individual</v>
      </c>
      <c r="Q420" t="str">
        <f t="shared" si="43"/>
        <v>London</v>
      </c>
      <c r="R420" t="str">
        <f>PROPER(TRIM(E420))</f>
        <v>Furniture</v>
      </c>
      <c r="S420" s="27">
        <f>IF(ISTEXT(B420),DATEVALUE(B420),B420)</f>
        <v>45728</v>
      </c>
      <c r="T420" s="27">
        <f>COUNTIF($A$2:$A$1986,A420)</f>
        <v>1</v>
      </c>
      <c r="U420" s="27" t="str">
        <f t="shared" si="44"/>
        <v>Side Table</v>
      </c>
      <c r="V420" s="27">
        <f t="shared" si="45"/>
        <v>83.143999999999991</v>
      </c>
      <c r="W420" s="27">
        <f t="shared" si="46"/>
        <v>52.93</v>
      </c>
      <c r="X420" s="27">
        <f>RawSalesTable3[[#This Row],[Revenue]]-RawSalesTable3[[#This Row],[Total_Cost]]</f>
        <v>30.213999999999992</v>
      </c>
      <c r="Y420" s="28">
        <f>RawSalesTable3[[#This Row],[Profit]]/RawSalesTable3[[#This Row],[Revenue]]</f>
        <v>0.3633936303281054</v>
      </c>
      <c r="Z420" s="27" t="str">
        <f>TEXT(RawSalesTable3[[#This Row],[Order_Date_Clean]],"MMM YYYY")</f>
        <v>Mar 2025</v>
      </c>
      <c r="AA420" s="27"/>
      <c r="AB420" s="27">
        <f t="shared" si="47"/>
        <v>0</v>
      </c>
      <c r="AC420" s="27">
        <f t="shared" si="48"/>
        <v>0</v>
      </c>
    </row>
    <row r="421" spans="1:29">
      <c r="A421" t="s">
        <v>518</v>
      </c>
      <c r="B421" s="3">
        <v>45797</v>
      </c>
      <c r="C421" t="s">
        <v>66</v>
      </c>
      <c r="D421" t="s">
        <v>55</v>
      </c>
      <c r="E421" t="s">
        <v>56</v>
      </c>
      <c r="F421" t="s">
        <v>63</v>
      </c>
      <c r="G421" s="6">
        <v>6</v>
      </c>
      <c r="H421" s="4">
        <v>41.07</v>
      </c>
      <c r="I421" s="4">
        <v>20.49</v>
      </c>
      <c r="J421" s="5">
        <v>0.05</v>
      </c>
      <c r="K421" s="6">
        <v>5</v>
      </c>
      <c r="L421" s="6">
        <v>4</v>
      </c>
      <c r="M421" t="s">
        <v>58</v>
      </c>
      <c r="N421" t="s">
        <v>59</v>
      </c>
      <c r="O421" t="s">
        <v>64</v>
      </c>
      <c r="P421" t="str">
        <f t="shared" si="42"/>
        <v>Small Business</v>
      </c>
      <c r="Q421" t="str">
        <f t="shared" si="43"/>
        <v>South</v>
      </c>
      <c r="R421" t="str">
        <f>PROPER(TRIM(E421))</f>
        <v>Home &amp; Kitchen</v>
      </c>
      <c r="S421" s="27">
        <f>IF(ISTEXT(B421),DATEVALUE(B421),B421)</f>
        <v>45797</v>
      </c>
      <c r="T421" s="27">
        <f>COUNTIF($A$2:$A$1986,A421)</f>
        <v>1</v>
      </c>
      <c r="U421" s="27" t="str">
        <f t="shared" si="44"/>
        <v>Electric Kettle</v>
      </c>
      <c r="V421" s="27">
        <f t="shared" si="45"/>
        <v>234.09900000000002</v>
      </c>
      <c r="W421" s="27">
        <f t="shared" si="46"/>
        <v>122.94</v>
      </c>
      <c r="X421" s="27">
        <f>RawSalesTable3[[#This Row],[Revenue]]-RawSalesTable3[[#This Row],[Total_Cost]]</f>
        <v>111.15900000000002</v>
      </c>
      <c r="Y421" s="28">
        <f>RawSalesTable3[[#This Row],[Profit]]/RawSalesTable3[[#This Row],[Revenue]]</f>
        <v>0.47483756872092581</v>
      </c>
      <c r="Z421" s="27" t="str">
        <f>TEXT(RawSalesTable3[[#This Row],[Order_Date_Clean]],"MMM YYYY")</f>
        <v>May 2025</v>
      </c>
      <c r="AA421" s="27"/>
      <c r="AB421" s="27">
        <f t="shared" si="47"/>
        <v>0</v>
      </c>
      <c r="AC421" s="27">
        <f t="shared" si="48"/>
        <v>0</v>
      </c>
    </row>
    <row r="422" spans="1:29">
      <c r="A422" t="s">
        <v>519</v>
      </c>
      <c r="B422" s="3">
        <v>46012</v>
      </c>
      <c r="C422" t="s">
        <v>66</v>
      </c>
      <c r="D422" t="s">
        <v>62</v>
      </c>
      <c r="E422" t="s">
        <v>67</v>
      </c>
      <c r="F422" t="s">
        <v>68</v>
      </c>
      <c r="G422" s="6">
        <v>1</v>
      </c>
      <c r="H422" s="4">
        <v>41.51</v>
      </c>
      <c r="I422" s="4">
        <v>19.920000000000002</v>
      </c>
      <c r="J422" s="5">
        <v>0.2</v>
      </c>
      <c r="K422" s="6">
        <v>5</v>
      </c>
      <c r="L422" s="6">
        <v>3</v>
      </c>
      <c r="M422" t="s">
        <v>126</v>
      </c>
      <c r="N422" t="s">
        <v>59</v>
      </c>
      <c r="O422" t="s">
        <v>73</v>
      </c>
      <c r="P422" t="str">
        <f t="shared" si="42"/>
        <v>Individual</v>
      </c>
      <c r="Q422" t="str">
        <f t="shared" si="43"/>
        <v>South</v>
      </c>
      <c r="R422" t="str">
        <f>PROPER(TRIM(E422))</f>
        <v>Office</v>
      </c>
      <c r="S422" s="27">
        <f>IF(ISTEXT(B422),DATEVALUE(B422),B422)</f>
        <v>46012</v>
      </c>
      <c r="T422" s="27">
        <f>COUNTIF($A$2:$A$1986,A422)</f>
        <v>1</v>
      </c>
      <c r="U422" s="27" t="str">
        <f t="shared" si="44"/>
        <v>Desk Lamp</v>
      </c>
      <c r="V422" s="27">
        <f t="shared" si="45"/>
        <v>33.207999999999998</v>
      </c>
      <c r="W422" s="27">
        <f t="shared" si="46"/>
        <v>19.920000000000002</v>
      </c>
      <c r="X422" s="27">
        <f>RawSalesTable3[[#This Row],[Revenue]]-RawSalesTable3[[#This Row],[Total_Cost]]</f>
        <v>13.287999999999997</v>
      </c>
      <c r="Y422" s="28">
        <f>RawSalesTable3[[#This Row],[Profit]]/RawSalesTable3[[#This Row],[Revenue]]</f>
        <v>0.40014454348349787</v>
      </c>
      <c r="Z422" s="27" t="str">
        <f>TEXT(RawSalesTable3[[#This Row],[Order_Date_Clean]],"MMM YYYY")</f>
        <v>Dec 2025</v>
      </c>
      <c r="AA422" s="27"/>
      <c r="AB422" s="27">
        <f t="shared" si="47"/>
        <v>0</v>
      </c>
      <c r="AC422" s="27">
        <f t="shared" si="48"/>
        <v>0</v>
      </c>
    </row>
    <row r="423" spans="1:29">
      <c r="A423" t="s">
        <v>520</v>
      </c>
      <c r="B423" s="3">
        <v>45743</v>
      </c>
      <c r="C423" t="s">
        <v>78</v>
      </c>
      <c r="D423" t="s">
        <v>62</v>
      </c>
      <c r="E423" t="s">
        <v>75</v>
      </c>
      <c r="F423" t="s">
        <v>97</v>
      </c>
      <c r="G423" s="6">
        <v>2</v>
      </c>
      <c r="H423" s="4">
        <v>89.16</v>
      </c>
      <c r="I423" s="4">
        <v>52.69</v>
      </c>
      <c r="J423" s="5">
        <v>0</v>
      </c>
      <c r="K423" s="6">
        <v>5</v>
      </c>
      <c r="L423" s="6">
        <v>5</v>
      </c>
      <c r="M423" t="s">
        <v>58</v>
      </c>
      <c r="N423" t="s">
        <v>59</v>
      </c>
      <c r="O423" t="s">
        <v>73</v>
      </c>
      <c r="P423" t="str">
        <f t="shared" si="42"/>
        <v>Individual</v>
      </c>
      <c r="Q423" t="str">
        <f t="shared" si="43"/>
        <v>London</v>
      </c>
      <c r="R423" t="str">
        <f>PROPER(TRIM(E423))</f>
        <v>Furniture</v>
      </c>
      <c r="S423" s="27">
        <f>IF(ISTEXT(B423),DATEVALUE(B423),B423)</f>
        <v>45743</v>
      </c>
      <c r="T423" s="27">
        <f>COUNTIF($A$2:$A$1986,A423)</f>
        <v>1</v>
      </c>
      <c r="U423" s="27" t="str">
        <f t="shared" si="44"/>
        <v>Side Table</v>
      </c>
      <c r="V423" s="27">
        <f t="shared" si="45"/>
        <v>178.32</v>
      </c>
      <c r="W423" s="27">
        <f t="shared" si="46"/>
        <v>105.38</v>
      </c>
      <c r="X423" s="27">
        <f>RawSalesTable3[[#This Row],[Revenue]]-RawSalesTable3[[#This Row],[Total_Cost]]</f>
        <v>72.94</v>
      </c>
      <c r="Y423" s="28">
        <f>RawSalesTable3[[#This Row],[Profit]]/RawSalesTable3[[#This Row],[Revenue]]</f>
        <v>0.40903992821893226</v>
      </c>
      <c r="Z423" s="27" t="str">
        <f>TEXT(RawSalesTable3[[#This Row],[Order_Date_Clean]],"MMM YYYY")</f>
        <v>Mar 2025</v>
      </c>
      <c r="AA423" s="27"/>
      <c r="AB423" s="27">
        <f t="shared" si="47"/>
        <v>0</v>
      </c>
      <c r="AC423" s="27">
        <f t="shared" si="48"/>
        <v>0</v>
      </c>
    </row>
    <row r="424" spans="1:29">
      <c r="A424" t="s">
        <v>521</v>
      </c>
      <c r="B424" s="3">
        <v>45861</v>
      </c>
      <c r="C424" t="s">
        <v>78</v>
      </c>
      <c r="D424" t="s">
        <v>62</v>
      </c>
      <c r="E424" t="s">
        <v>67</v>
      </c>
      <c r="F424" t="s">
        <v>94</v>
      </c>
      <c r="G424" s="6">
        <v>2</v>
      </c>
      <c r="H424" s="4">
        <v>35.29</v>
      </c>
      <c r="I424" s="4">
        <v>16.73</v>
      </c>
      <c r="J424" s="5">
        <v>0</v>
      </c>
      <c r="K424" s="6">
        <v>4</v>
      </c>
      <c r="L424" s="6">
        <v>4</v>
      </c>
      <c r="M424" t="s">
        <v>58</v>
      </c>
      <c r="N424" t="s">
        <v>59</v>
      </c>
      <c r="O424" t="s">
        <v>64</v>
      </c>
      <c r="P424" t="str">
        <f t="shared" si="42"/>
        <v>Individual</v>
      </c>
      <c r="Q424" t="str">
        <f t="shared" si="43"/>
        <v>London</v>
      </c>
      <c r="R424" t="str">
        <f>PROPER(TRIM(E424))</f>
        <v>Office</v>
      </c>
      <c r="S424" s="27">
        <f>IF(ISTEXT(B424),DATEVALUE(B424),B424)</f>
        <v>45861</v>
      </c>
      <c r="T424" s="27">
        <f>COUNTIF($A$2:$A$1986,A424)</f>
        <v>1</v>
      </c>
      <c r="U424" s="27" t="str">
        <f t="shared" si="44"/>
        <v>Wireless Mouse</v>
      </c>
      <c r="V424" s="27">
        <f t="shared" si="45"/>
        <v>70.58</v>
      </c>
      <c r="W424" s="27">
        <f t="shared" si="46"/>
        <v>33.46</v>
      </c>
      <c r="X424" s="27">
        <f>RawSalesTable3[[#This Row],[Revenue]]-RawSalesTable3[[#This Row],[Total_Cost]]</f>
        <v>37.119999999999997</v>
      </c>
      <c r="Y424" s="28">
        <f>RawSalesTable3[[#This Row],[Profit]]/RawSalesTable3[[#This Row],[Revenue]]</f>
        <v>0.52592802493624258</v>
      </c>
      <c r="Z424" s="27" t="str">
        <f>TEXT(RawSalesTable3[[#This Row],[Order_Date_Clean]],"MMM YYYY")</f>
        <v>Jul 2025</v>
      </c>
      <c r="AA424" s="27"/>
      <c r="AB424" s="27">
        <f t="shared" si="47"/>
        <v>0</v>
      </c>
      <c r="AC424" s="27">
        <f t="shared" si="48"/>
        <v>0</v>
      </c>
    </row>
    <row r="425" spans="1:29">
      <c r="A425" t="s">
        <v>522</v>
      </c>
      <c r="B425" s="3">
        <v>46019</v>
      </c>
      <c r="C425" t="s">
        <v>54</v>
      </c>
      <c r="D425" t="s">
        <v>55</v>
      </c>
      <c r="E425" t="s">
        <v>75</v>
      </c>
      <c r="F425" t="s">
        <v>97</v>
      </c>
      <c r="G425" s="6">
        <v>1</v>
      </c>
      <c r="H425" s="4">
        <v>89.78</v>
      </c>
      <c r="I425" s="4">
        <v>55.27</v>
      </c>
      <c r="J425" s="5">
        <v>0.05</v>
      </c>
      <c r="K425" s="6">
        <v>7</v>
      </c>
      <c r="L425" s="6">
        <v>3</v>
      </c>
      <c r="M425" t="s">
        <v>126</v>
      </c>
      <c r="N425" t="s">
        <v>59</v>
      </c>
      <c r="O425" t="s">
        <v>64</v>
      </c>
      <c r="P425" t="str">
        <f t="shared" si="42"/>
        <v>Small Business</v>
      </c>
      <c r="Q425" t="str">
        <f t="shared" si="43"/>
        <v>North</v>
      </c>
      <c r="R425" t="str">
        <f>PROPER(TRIM(E425))</f>
        <v>Furniture</v>
      </c>
      <c r="S425" s="27">
        <f>IF(ISTEXT(B425),DATEVALUE(B425),B425)</f>
        <v>46019</v>
      </c>
      <c r="T425" s="27">
        <f>COUNTIF($A$2:$A$1986,A425)</f>
        <v>1</v>
      </c>
      <c r="U425" s="27" t="str">
        <f t="shared" si="44"/>
        <v>Side Table</v>
      </c>
      <c r="V425" s="27">
        <f t="shared" si="45"/>
        <v>85.290999999999997</v>
      </c>
      <c r="W425" s="27">
        <f t="shared" si="46"/>
        <v>55.27</v>
      </c>
      <c r="X425" s="27">
        <f>RawSalesTable3[[#This Row],[Revenue]]-RawSalesTable3[[#This Row],[Total_Cost]]</f>
        <v>30.020999999999994</v>
      </c>
      <c r="Y425" s="28">
        <f>RawSalesTable3[[#This Row],[Profit]]/RawSalesTable3[[#This Row],[Revenue]]</f>
        <v>0.35198321042079461</v>
      </c>
      <c r="Z425" s="27" t="str">
        <f>TEXT(RawSalesTable3[[#This Row],[Order_Date_Clean]],"MMM YYYY")</f>
        <v>Dec 2025</v>
      </c>
      <c r="AA425" s="27"/>
      <c r="AB425" s="27">
        <f t="shared" si="47"/>
        <v>0</v>
      </c>
      <c r="AC425" s="27">
        <f t="shared" si="48"/>
        <v>0</v>
      </c>
    </row>
    <row r="426" spans="1:29">
      <c r="A426" t="s">
        <v>523</v>
      </c>
      <c r="B426" s="3">
        <v>46018</v>
      </c>
      <c r="C426" t="s">
        <v>66</v>
      </c>
      <c r="D426" t="s">
        <v>62</v>
      </c>
      <c r="E426" t="s">
        <v>56</v>
      </c>
      <c r="F426" t="s">
        <v>89</v>
      </c>
      <c r="G426" s="6">
        <v>1</v>
      </c>
      <c r="H426" s="4">
        <v>79.84</v>
      </c>
      <c r="I426" s="4">
        <v>46.84</v>
      </c>
      <c r="J426" s="5">
        <v>0.15000000000000002</v>
      </c>
      <c r="K426" s="6">
        <v>4</v>
      </c>
      <c r="L426" s="6">
        <v>4</v>
      </c>
      <c r="M426" t="s">
        <v>58</v>
      </c>
      <c r="N426" t="s">
        <v>69</v>
      </c>
      <c r="O426" t="s">
        <v>64</v>
      </c>
      <c r="P426" t="str">
        <f t="shared" si="42"/>
        <v>Individual</v>
      </c>
      <c r="Q426" t="str">
        <f t="shared" si="43"/>
        <v>South</v>
      </c>
      <c r="R426" t="str">
        <f>PROPER(TRIM(E426))</f>
        <v>Home &amp; Kitchen</v>
      </c>
      <c r="S426" s="27">
        <f>IF(ISTEXT(B426),DATEVALUE(B426),B426)</f>
        <v>46018</v>
      </c>
      <c r="T426" s="27">
        <f>COUNTIF($A$2:$A$1986,A426)</f>
        <v>1</v>
      </c>
      <c r="U426" s="27" t="str">
        <f t="shared" si="44"/>
        <v>Coffee Maker</v>
      </c>
      <c r="V426" s="27">
        <f t="shared" si="45"/>
        <v>67.864000000000004</v>
      </c>
      <c r="W426" s="27">
        <f t="shared" si="46"/>
        <v>46.84</v>
      </c>
      <c r="X426" s="27">
        <f>RawSalesTable3[[#This Row],[Revenue]]-RawSalesTable3[[#This Row],[Total_Cost]]</f>
        <v>21.024000000000001</v>
      </c>
      <c r="Y426" s="28">
        <f>RawSalesTable3[[#This Row],[Profit]]/RawSalesTable3[[#This Row],[Revenue]]</f>
        <v>0.30979606271366261</v>
      </c>
      <c r="Z426" s="27" t="str">
        <f>TEXT(RawSalesTable3[[#This Row],[Order_Date_Clean]],"MMM YYYY")</f>
        <v>Dec 2025</v>
      </c>
      <c r="AA426" s="27"/>
      <c r="AB426" s="27">
        <f t="shared" si="47"/>
        <v>0</v>
      </c>
      <c r="AC426" s="27">
        <f t="shared" si="48"/>
        <v>0</v>
      </c>
    </row>
    <row r="427" spans="1:29">
      <c r="A427" t="s">
        <v>524</v>
      </c>
      <c r="B427" s="3">
        <v>46012</v>
      </c>
      <c r="C427" t="s">
        <v>78</v>
      </c>
      <c r="D427" t="s">
        <v>62</v>
      </c>
      <c r="E427" t="s">
        <v>56</v>
      </c>
      <c r="F427" t="s">
        <v>83</v>
      </c>
      <c r="G427" s="6">
        <v>1</v>
      </c>
      <c r="H427" s="4">
        <v>66.63</v>
      </c>
      <c r="I427" s="4">
        <v>34.08</v>
      </c>
      <c r="J427" s="5">
        <v>0.05</v>
      </c>
      <c r="K427" s="6">
        <v>1</v>
      </c>
      <c r="L427" s="6">
        <v>4</v>
      </c>
      <c r="M427" t="s">
        <v>58</v>
      </c>
      <c r="N427" t="s">
        <v>59</v>
      </c>
      <c r="O427" t="s">
        <v>64</v>
      </c>
      <c r="P427" t="str">
        <f t="shared" si="42"/>
        <v>Individual</v>
      </c>
      <c r="Q427" t="str">
        <f t="shared" si="43"/>
        <v>London</v>
      </c>
      <c r="R427" t="str">
        <f>PROPER(TRIM(E427))</f>
        <v>Home &amp; Kitchen</v>
      </c>
      <c r="S427" s="27">
        <f>IF(ISTEXT(B427),DATEVALUE(B427),B427)</f>
        <v>46012</v>
      </c>
      <c r="T427" s="27">
        <f>COUNTIF($A$2:$A$1986,A427)</f>
        <v>1</v>
      </c>
      <c r="U427" s="27" t="str">
        <f t="shared" si="44"/>
        <v>Blender</v>
      </c>
      <c r="V427" s="27">
        <f t="shared" si="45"/>
        <v>63.29849999999999</v>
      </c>
      <c r="W427" s="27">
        <f t="shared" si="46"/>
        <v>34.08</v>
      </c>
      <c r="X427" s="27">
        <f>RawSalesTable3[[#This Row],[Revenue]]-RawSalesTable3[[#This Row],[Total_Cost]]</f>
        <v>29.218499999999992</v>
      </c>
      <c r="Y427" s="28">
        <f>RawSalesTable3[[#This Row],[Profit]]/RawSalesTable3[[#This Row],[Revenue]]</f>
        <v>0.46159861608094971</v>
      </c>
      <c r="Z427" s="27" t="str">
        <f>TEXT(RawSalesTable3[[#This Row],[Order_Date_Clean]],"MMM YYYY")</f>
        <v>Dec 2025</v>
      </c>
      <c r="AA427" s="27"/>
      <c r="AB427" s="27">
        <f t="shared" si="47"/>
        <v>0</v>
      </c>
      <c r="AC427" s="27">
        <f t="shared" si="48"/>
        <v>0</v>
      </c>
    </row>
    <row r="428" spans="1:29">
      <c r="A428" t="s">
        <v>525</v>
      </c>
      <c r="B428" s="3">
        <v>45973</v>
      </c>
      <c r="C428" t="s">
        <v>54</v>
      </c>
      <c r="D428" t="s">
        <v>62</v>
      </c>
      <c r="E428" t="s">
        <v>79</v>
      </c>
      <c r="F428" t="s">
        <v>80</v>
      </c>
      <c r="G428" s="6">
        <v>1</v>
      </c>
      <c r="H428" s="4">
        <v>76.34</v>
      </c>
      <c r="I428" s="4">
        <v>43.88</v>
      </c>
      <c r="J428" s="5">
        <v>0.1</v>
      </c>
      <c r="K428" s="6">
        <v>1</v>
      </c>
      <c r="L428" s="6">
        <v>5</v>
      </c>
      <c r="M428" t="s">
        <v>58</v>
      </c>
      <c r="N428" t="s">
        <v>69</v>
      </c>
      <c r="O428" t="s">
        <v>64</v>
      </c>
      <c r="P428" t="str">
        <f t="shared" si="42"/>
        <v>Individual</v>
      </c>
      <c r="Q428" t="str">
        <f t="shared" si="43"/>
        <v>North</v>
      </c>
      <c r="R428" t="str">
        <f>PROPER(TRIM(E428))</f>
        <v>Electronics</v>
      </c>
      <c r="S428" s="27">
        <f>IF(ISTEXT(B428),DATEVALUE(B428),B428)</f>
        <v>45973</v>
      </c>
      <c r="T428" s="27">
        <f>COUNTIF($A$2:$A$1986,A428)</f>
        <v>1</v>
      </c>
      <c r="U428" s="27" t="str">
        <f t="shared" si="44"/>
        <v>Portable Speaker</v>
      </c>
      <c r="V428" s="27">
        <f t="shared" si="45"/>
        <v>68.706000000000003</v>
      </c>
      <c r="W428" s="27">
        <f t="shared" si="46"/>
        <v>43.88</v>
      </c>
      <c r="X428" s="27">
        <f>RawSalesTable3[[#This Row],[Revenue]]-RawSalesTable3[[#This Row],[Total_Cost]]</f>
        <v>24.826000000000001</v>
      </c>
      <c r="Y428" s="28">
        <f>RawSalesTable3[[#This Row],[Profit]]/RawSalesTable3[[#This Row],[Revenue]]</f>
        <v>0.36133671003988005</v>
      </c>
      <c r="Z428" s="27" t="str">
        <f>TEXT(RawSalesTable3[[#This Row],[Order_Date_Clean]],"MMM YYYY")</f>
        <v>Nov 2025</v>
      </c>
      <c r="AA428" s="27"/>
      <c r="AB428" s="27">
        <f t="shared" si="47"/>
        <v>0</v>
      </c>
      <c r="AC428" s="27">
        <f t="shared" si="48"/>
        <v>0</v>
      </c>
    </row>
    <row r="429" spans="1:29">
      <c r="A429" t="s">
        <v>526</v>
      </c>
      <c r="B429" s="3">
        <v>45917</v>
      </c>
      <c r="C429" t="s">
        <v>54</v>
      </c>
      <c r="D429" t="s">
        <v>62</v>
      </c>
      <c r="E429" t="s">
        <v>56</v>
      </c>
      <c r="F429" t="s">
        <v>89</v>
      </c>
      <c r="G429" s="6">
        <v>2</v>
      </c>
      <c r="H429" s="4">
        <v>78.150000000000006</v>
      </c>
      <c r="I429" s="4">
        <v>45.01</v>
      </c>
      <c r="J429" s="5">
        <v>0.05</v>
      </c>
      <c r="K429" s="6">
        <v>1</v>
      </c>
      <c r="L429" s="6">
        <v>4</v>
      </c>
      <c r="M429" t="s">
        <v>58</v>
      </c>
      <c r="N429" t="s">
        <v>59</v>
      </c>
      <c r="O429" t="s">
        <v>60</v>
      </c>
      <c r="P429" t="str">
        <f t="shared" si="42"/>
        <v>Individual</v>
      </c>
      <c r="Q429" t="str">
        <f t="shared" si="43"/>
        <v>North</v>
      </c>
      <c r="R429" t="str">
        <f>PROPER(TRIM(E429))</f>
        <v>Home &amp; Kitchen</v>
      </c>
      <c r="S429" s="27">
        <f>IF(ISTEXT(B429),DATEVALUE(B429),B429)</f>
        <v>45917</v>
      </c>
      <c r="T429" s="27">
        <f>COUNTIF($A$2:$A$1986,A429)</f>
        <v>1</v>
      </c>
      <c r="U429" s="27" t="str">
        <f t="shared" si="44"/>
        <v>Coffee Maker</v>
      </c>
      <c r="V429" s="27">
        <f t="shared" si="45"/>
        <v>148.48500000000001</v>
      </c>
      <c r="W429" s="27">
        <f t="shared" si="46"/>
        <v>90.02</v>
      </c>
      <c r="X429" s="27">
        <f>RawSalesTable3[[#This Row],[Revenue]]-RawSalesTable3[[#This Row],[Total_Cost]]</f>
        <v>58.465000000000018</v>
      </c>
      <c r="Y429" s="28">
        <f>RawSalesTable3[[#This Row],[Profit]]/RawSalesTable3[[#This Row],[Revenue]]</f>
        <v>0.39374347577196356</v>
      </c>
      <c r="Z429" s="27" t="str">
        <f>TEXT(RawSalesTable3[[#This Row],[Order_Date_Clean]],"MMM YYYY")</f>
        <v>Sep 2025</v>
      </c>
      <c r="AA429" s="27"/>
      <c r="AB429" s="27">
        <f t="shared" si="47"/>
        <v>0</v>
      </c>
      <c r="AC429" s="27">
        <f t="shared" si="48"/>
        <v>0</v>
      </c>
    </row>
    <row r="430" spans="1:29">
      <c r="A430" t="s">
        <v>527</v>
      </c>
      <c r="B430" s="3">
        <v>45792</v>
      </c>
      <c r="C430" t="s">
        <v>78</v>
      </c>
      <c r="D430" t="s">
        <v>62</v>
      </c>
      <c r="E430" t="s">
        <v>79</v>
      </c>
      <c r="F430" t="s">
        <v>115</v>
      </c>
      <c r="G430" s="6">
        <v>1</v>
      </c>
      <c r="H430" s="4">
        <v>62.14</v>
      </c>
      <c r="I430" s="4">
        <v>33.75</v>
      </c>
      <c r="J430" s="5">
        <v>0</v>
      </c>
      <c r="K430" s="6">
        <v>3</v>
      </c>
      <c r="L430" s="6">
        <v>5</v>
      </c>
      <c r="M430" t="s">
        <v>58</v>
      </c>
      <c r="N430" t="s">
        <v>59</v>
      </c>
      <c r="O430" t="s">
        <v>64</v>
      </c>
      <c r="P430" t="str">
        <f t="shared" si="42"/>
        <v>Individual</v>
      </c>
      <c r="Q430" t="str">
        <f t="shared" si="43"/>
        <v>London</v>
      </c>
      <c r="R430" t="str">
        <f>PROPER(TRIM(E430))</f>
        <v>Electronics</v>
      </c>
      <c r="S430" s="27">
        <f>IF(ISTEXT(B430),DATEVALUE(B430),B430)</f>
        <v>45792</v>
      </c>
      <c r="T430" s="27">
        <f>COUNTIF($A$2:$A$1986,A430)</f>
        <v>1</v>
      </c>
      <c r="U430" s="27" t="str">
        <f t="shared" si="44"/>
        <v>Wireless Headset</v>
      </c>
      <c r="V430" s="27">
        <f t="shared" si="45"/>
        <v>62.14</v>
      </c>
      <c r="W430" s="27">
        <f t="shared" si="46"/>
        <v>33.75</v>
      </c>
      <c r="X430" s="27">
        <f>RawSalesTable3[[#This Row],[Revenue]]-RawSalesTable3[[#This Row],[Total_Cost]]</f>
        <v>28.39</v>
      </c>
      <c r="Y430" s="28">
        <f>RawSalesTable3[[#This Row],[Profit]]/RawSalesTable3[[#This Row],[Revenue]]</f>
        <v>0.45687158030254266</v>
      </c>
      <c r="Z430" s="27" t="str">
        <f>TEXT(RawSalesTable3[[#This Row],[Order_Date_Clean]],"MMM YYYY")</f>
        <v>May 2025</v>
      </c>
      <c r="AA430" s="27"/>
      <c r="AB430" s="27">
        <f t="shared" si="47"/>
        <v>0</v>
      </c>
      <c r="AC430" s="27">
        <f t="shared" si="48"/>
        <v>0</v>
      </c>
    </row>
    <row r="431" spans="1:29">
      <c r="A431" t="s">
        <v>528</v>
      </c>
      <c r="B431" s="3">
        <v>45795</v>
      </c>
      <c r="C431" t="s">
        <v>66</v>
      </c>
      <c r="D431" t="s">
        <v>55</v>
      </c>
      <c r="E431" t="s">
        <v>56</v>
      </c>
      <c r="F431" t="s">
        <v>63</v>
      </c>
      <c r="G431" s="6">
        <v>3</v>
      </c>
      <c r="H431" s="4">
        <v>40.880000000000003</v>
      </c>
      <c r="I431" s="4">
        <v>20.73</v>
      </c>
      <c r="J431" s="5">
        <v>0.05</v>
      </c>
      <c r="K431" s="6">
        <v>7</v>
      </c>
      <c r="L431" s="6">
        <v>4</v>
      </c>
      <c r="M431" t="s">
        <v>58</v>
      </c>
      <c r="N431" t="s">
        <v>87</v>
      </c>
      <c r="O431" t="s">
        <v>64</v>
      </c>
      <c r="P431" t="str">
        <f t="shared" si="42"/>
        <v>Small Business</v>
      </c>
      <c r="Q431" t="str">
        <f t="shared" si="43"/>
        <v>South</v>
      </c>
      <c r="R431" t="str">
        <f>PROPER(TRIM(E431))</f>
        <v>Home &amp; Kitchen</v>
      </c>
      <c r="S431" s="27">
        <f>IF(ISTEXT(B431),DATEVALUE(B431),B431)</f>
        <v>45795</v>
      </c>
      <c r="T431" s="27">
        <f>COUNTIF($A$2:$A$1986,A431)</f>
        <v>1</v>
      </c>
      <c r="U431" s="27" t="str">
        <f t="shared" si="44"/>
        <v>Electric Kettle</v>
      </c>
      <c r="V431" s="27">
        <f t="shared" si="45"/>
        <v>116.50800000000001</v>
      </c>
      <c r="W431" s="27">
        <f t="shared" si="46"/>
        <v>62.19</v>
      </c>
      <c r="X431" s="27">
        <f>RawSalesTable3[[#This Row],[Revenue]]-RawSalesTable3[[#This Row],[Total_Cost]]</f>
        <v>54.318000000000012</v>
      </c>
      <c r="Y431" s="28">
        <f>RawSalesTable3[[#This Row],[Profit]]/RawSalesTable3[[#This Row],[Revenue]]</f>
        <v>0.46621691214337219</v>
      </c>
      <c r="Z431" s="27" t="str">
        <f>TEXT(RawSalesTable3[[#This Row],[Order_Date_Clean]],"MMM YYYY")</f>
        <v>May 2025</v>
      </c>
      <c r="AA431" s="27"/>
      <c r="AB431" s="27">
        <f t="shared" si="47"/>
        <v>0</v>
      </c>
      <c r="AC431" s="27">
        <f t="shared" si="48"/>
        <v>0</v>
      </c>
    </row>
    <row r="432" spans="1:29">
      <c r="A432" t="s">
        <v>529</v>
      </c>
      <c r="B432" s="3">
        <v>46003</v>
      </c>
      <c r="C432" t="s">
        <v>82</v>
      </c>
      <c r="D432" t="s">
        <v>62</v>
      </c>
      <c r="E432" t="s">
        <v>79</v>
      </c>
      <c r="F432" t="s">
        <v>92</v>
      </c>
      <c r="G432" s="6">
        <v>1</v>
      </c>
      <c r="H432" s="4">
        <v>49.59</v>
      </c>
      <c r="I432" s="4">
        <v>26.21</v>
      </c>
      <c r="J432" s="5">
        <v>0.1</v>
      </c>
      <c r="K432" s="6">
        <v>3</v>
      </c>
      <c r="L432" s="6">
        <v>3</v>
      </c>
      <c r="M432" t="s">
        <v>126</v>
      </c>
      <c r="N432" t="s">
        <v>59</v>
      </c>
      <c r="O432" t="s">
        <v>64</v>
      </c>
      <c r="P432" t="str">
        <f t="shared" si="42"/>
        <v>Individual</v>
      </c>
      <c r="Q432" t="str">
        <f t="shared" si="43"/>
        <v>Midlands</v>
      </c>
      <c r="R432" t="str">
        <f>PROPER(TRIM(E432))</f>
        <v>Electronics</v>
      </c>
      <c r="S432" s="27">
        <f>IF(ISTEXT(B432),DATEVALUE(B432),B432)</f>
        <v>46003</v>
      </c>
      <c r="T432" s="27">
        <f>COUNTIF($A$2:$A$1986,A432)</f>
        <v>1</v>
      </c>
      <c r="U432" s="27" t="str">
        <f t="shared" si="44"/>
        <v>Webcam</v>
      </c>
      <c r="V432" s="27">
        <f t="shared" si="45"/>
        <v>44.631000000000007</v>
      </c>
      <c r="W432" s="27">
        <f t="shared" si="46"/>
        <v>26.21</v>
      </c>
      <c r="X432" s="27">
        <f>RawSalesTable3[[#This Row],[Revenue]]-RawSalesTable3[[#This Row],[Total_Cost]]</f>
        <v>18.421000000000006</v>
      </c>
      <c r="Y432" s="28">
        <f>RawSalesTable3[[#This Row],[Profit]]/RawSalesTable3[[#This Row],[Revenue]]</f>
        <v>0.41274002375030816</v>
      </c>
      <c r="Z432" s="27" t="str">
        <f>TEXT(RawSalesTable3[[#This Row],[Order_Date_Clean]],"MMM YYYY")</f>
        <v>Dec 2025</v>
      </c>
      <c r="AA432" s="27"/>
      <c r="AB432" s="27">
        <f t="shared" si="47"/>
        <v>0</v>
      </c>
      <c r="AC432" s="27">
        <f t="shared" si="48"/>
        <v>0</v>
      </c>
    </row>
    <row r="433" spans="1:29">
      <c r="A433" t="s">
        <v>530</v>
      </c>
      <c r="B433" s="3">
        <v>46014</v>
      </c>
      <c r="C433" t="s">
        <v>54</v>
      </c>
      <c r="D433" t="s">
        <v>55</v>
      </c>
      <c r="E433" t="s">
        <v>79</v>
      </c>
      <c r="F433" t="s">
        <v>85</v>
      </c>
      <c r="G433" s="6">
        <v>3</v>
      </c>
      <c r="H433" s="4">
        <v>131.66999999999999</v>
      </c>
      <c r="I433" s="4">
        <v>82.57</v>
      </c>
      <c r="J433" s="5">
        <v>0.15000000000000002</v>
      </c>
      <c r="K433" s="6">
        <v>4</v>
      </c>
      <c r="L433" s="6">
        <v>4</v>
      </c>
      <c r="M433" t="s">
        <v>58</v>
      </c>
      <c r="N433" t="s">
        <v>87</v>
      </c>
      <c r="O433" t="s">
        <v>60</v>
      </c>
      <c r="P433" t="str">
        <f t="shared" si="42"/>
        <v>Small Business</v>
      </c>
      <c r="Q433" t="str">
        <f t="shared" si="43"/>
        <v>North</v>
      </c>
      <c r="R433" t="str">
        <f>PROPER(TRIM(E433))</f>
        <v>Electronics</v>
      </c>
      <c r="S433" s="27">
        <f>IF(ISTEXT(B433),DATEVALUE(B433),B433)</f>
        <v>46014</v>
      </c>
      <c r="T433" s="27">
        <f>COUNTIF($A$2:$A$1986,A433)</f>
        <v>1</v>
      </c>
      <c r="U433" s="27" t="str">
        <f t="shared" si="44"/>
        <v>SmartHome Hub</v>
      </c>
      <c r="V433" s="27">
        <f t="shared" si="45"/>
        <v>335.75849999999997</v>
      </c>
      <c r="W433" s="27">
        <f t="shared" si="46"/>
        <v>247.70999999999998</v>
      </c>
      <c r="X433" s="27">
        <f>RawSalesTable3[[#This Row],[Revenue]]-RawSalesTable3[[#This Row],[Total_Cost]]</f>
        <v>88.04849999999999</v>
      </c>
      <c r="Y433" s="28">
        <f>RawSalesTable3[[#This Row],[Profit]]/RawSalesTable3[[#This Row],[Revenue]]</f>
        <v>0.262237590410965</v>
      </c>
      <c r="Z433" s="27" t="str">
        <f>TEXT(RawSalesTable3[[#This Row],[Order_Date_Clean]],"MMM YYYY")</f>
        <v>Dec 2025</v>
      </c>
      <c r="AA433" s="27"/>
      <c r="AB433" s="27">
        <f t="shared" si="47"/>
        <v>0</v>
      </c>
      <c r="AC433" s="27">
        <f t="shared" si="48"/>
        <v>0</v>
      </c>
    </row>
    <row r="434" spans="1:29">
      <c r="A434" t="s">
        <v>531</v>
      </c>
      <c r="B434" s="3">
        <v>45816</v>
      </c>
      <c r="C434" t="s">
        <v>78</v>
      </c>
      <c r="D434" t="s">
        <v>62</v>
      </c>
      <c r="E434" t="s">
        <v>79</v>
      </c>
      <c r="F434" t="s">
        <v>85</v>
      </c>
      <c r="G434" s="6">
        <v>1</v>
      </c>
      <c r="H434" s="4">
        <v>127.41</v>
      </c>
      <c r="I434" s="4">
        <v>86.89</v>
      </c>
      <c r="J434" s="5">
        <v>0.05</v>
      </c>
      <c r="K434" s="6">
        <v>1</v>
      </c>
      <c r="L434" s="6">
        <v>3</v>
      </c>
      <c r="M434" t="s">
        <v>126</v>
      </c>
      <c r="N434" t="s">
        <v>69</v>
      </c>
      <c r="O434" t="s">
        <v>64</v>
      </c>
      <c r="P434" t="str">
        <f t="shared" si="42"/>
        <v>Individual</v>
      </c>
      <c r="Q434" t="str">
        <f t="shared" si="43"/>
        <v>London</v>
      </c>
      <c r="R434" t="str">
        <f>PROPER(TRIM(E434))</f>
        <v>Electronics</v>
      </c>
      <c r="S434" s="27">
        <f>IF(ISTEXT(B434),DATEVALUE(B434),B434)</f>
        <v>45816</v>
      </c>
      <c r="T434" s="27">
        <f>COUNTIF($A$2:$A$1986,A434)</f>
        <v>1</v>
      </c>
      <c r="U434" s="27" t="str">
        <f t="shared" si="44"/>
        <v>SmartHome Hub</v>
      </c>
      <c r="V434" s="27">
        <f t="shared" si="45"/>
        <v>121.03949999999999</v>
      </c>
      <c r="W434" s="27">
        <f t="shared" si="46"/>
        <v>86.89</v>
      </c>
      <c r="X434" s="27">
        <f>RawSalesTable3[[#This Row],[Revenue]]-RawSalesTable3[[#This Row],[Total_Cost]]</f>
        <v>34.149499999999989</v>
      </c>
      <c r="Y434" s="28">
        <f>RawSalesTable3[[#This Row],[Profit]]/RawSalesTable3[[#This Row],[Revenue]]</f>
        <v>0.28213517075004435</v>
      </c>
      <c r="Z434" s="27" t="str">
        <f>TEXT(RawSalesTable3[[#This Row],[Order_Date_Clean]],"MMM YYYY")</f>
        <v>Jun 2025</v>
      </c>
      <c r="AA434" s="27"/>
      <c r="AB434" s="27">
        <f t="shared" si="47"/>
        <v>0</v>
      </c>
      <c r="AC434" s="27">
        <f t="shared" si="48"/>
        <v>0</v>
      </c>
    </row>
    <row r="435" spans="1:29">
      <c r="A435" t="s">
        <v>532</v>
      </c>
      <c r="B435" s="3">
        <v>45978</v>
      </c>
      <c r="C435" t="s">
        <v>78</v>
      </c>
      <c r="D435" t="s">
        <v>62</v>
      </c>
      <c r="E435" t="s">
        <v>56</v>
      </c>
      <c r="F435" t="s">
        <v>63</v>
      </c>
      <c r="G435" s="6">
        <v>1</v>
      </c>
      <c r="H435" s="4">
        <v>41.57</v>
      </c>
      <c r="I435" s="4">
        <v>20.12</v>
      </c>
      <c r="J435" s="5">
        <v>0.1</v>
      </c>
      <c r="K435" s="6">
        <v>3</v>
      </c>
      <c r="L435" s="6">
        <v>5</v>
      </c>
      <c r="M435" t="s">
        <v>58</v>
      </c>
      <c r="N435" t="s">
        <v>59</v>
      </c>
      <c r="O435" t="s">
        <v>60</v>
      </c>
      <c r="P435" t="str">
        <f t="shared" si="42"/>
        <v>Individual</v>
      </c>
      <c r="Q435" t="str">
        <f t="shared" si="43"/>
        <v>London</v>
      </c>
      <c r="R435" t="str">
        <f>PROPER(TRIM(E435))</f>
        <v>Home &amp; Kitchen</v>
      </c>
      <c r="S435" s="27">
        <f>IF(ISTEXT(B435),DATEVALUE(B435),B435)</f>
        <v>45978</v>
      </c>
      <c r="T435" s="27">
        <f>COUNTIF($A$2:$A$1986,A435)</f>
        <v>1</v>
      </c>
      <c r="U435" s="27" t="str">
        <f t="shared" si="44"/>
        <v>Electric Kettle</v>
      </c>
      <c r="V435" s="27">
        <f t="shared" si="45"/>
        <v>37.413000000000004</v>
      </c>
      <c r="W435" s="27">
        <f t="shared" si="46"/>
        <v>20.12</v>
      </c>
      <c r="X435" s="27">
        <f>RawSalesTable3[[#This Row],[Revenue]]-RawSalesTable3[[#This Row],[Total_Cost]]</f>
        <v>17.293000000000003</v>
      </c>
      <c r="Y435" s="28">
        <f>RawSalesTable3[[#This Row],[Profit]]/RawSalesTable3[[#This Row],[Revenue]]</f>
        <v>0.4622190147809585</v>
      </c>
      <c r="Z435" s="27" t="str">
        <f>TEXT(RawSalesTable3[[#This Row],[Order_Date_Clean]],"MMM YYYY")</f>
        <v>Nov 2025</v>
      </c>
      <c r="AA435" s="27"/>
      <c r="AB435" s="27">
        <f t="shared" si="47"/>
        <v>0</v>
      </c>
      <c r="AC435" s="27">
        <f t="shared" si="48"/>
        <v>0</v>
      </c>
    </row>
    <row r="436" spans="1:29">
      <c r="A436" t="s">
        <v>533</v>
      </c>
      <c r="B436" s="3">
        <v>45770</v>
      </c>
      <c r="C436" t="s">
        <v>82</v>
      </c>
      <c r="D436" t="s">
        <v>129</v>
      </c>
      <c r="E436" t="s">
        <v>56</v>
      </c>
      <c r="F436" t="s">
        <v>89</v>
      </c>
      <c r="G436" s="6">
        <v>3</v>
      </c>
      <c r="H436" s="4">
        <v>77.81</v>
      </c>
      <c r="I436" s="4">
        <v>45.44</v>
      </c>
      <c r="J436" s="5">
        <v>0.1</v>
      </c>
      <c r="K436" s="6">
        <v>4</v>
      </c>
      <c r="L436" s="6">
        <v>4</v>
      </c>
      <c r="M436" t="s">
        <v>126</v>
      </c>
      <c r="N436" t="s">
        <v>59</v>
      </c>
      <c r="O436" t="s">
        <v>64</v>
      </c>
      <c r="P436" t="str">
        <f t="shared" si="42"/>
        <v>Corporate</v>
      </c>
      <c r="Q436" t="str">
        <f t="shared" si="43"/>
        <v>Midlands</v>
      </c>
      <c r="R436" t="str">
        <f>PROPER(TRIM(E436))</f>
        <v>Home &amp; Kitchen</v>
      </c>
      <c r="S436" s="27">
        <f>IF(ISTEXT(B436),DATEVALUE(B436),B436)</f>
        <v>45770</v>
      </c>
      <c r="T436" s="27">
        <f>COUNTIF($A$2:$A$1986,A436)</f>
        <v>1</v>
      </c>
      <c r="U436" s="27" t="str">
        <f t="shared" si="44"/>
        <v>Coffee Maker</v>
      </c>
      <c r="V436" s="27">
        <f t="shared" si="45"/>
        <v>210.08700000000002</v>
      </c>
      <c r="W436" s="27">
        <f t="shared" si="46"/>
        <v>136.32</v>
      </c>
      <c r="X436" s="27">
        <f>RawSalesTable3[[#This Row],[Revenue]]-RawSalesTable3[[#This Row],[Total_Cost]]</f>
        <v>73.767000000000024</v>
      </c>
      <c r="Y436" s="28">
        <f>RawSalesTable3[[#This Row],[Profit]]/RawSalesTable3[[#This Row],[Revenue]]</f>
        <v>0.35112596210141522</v>
      </c>
      <c r="Z436" s="27" t="str">
        <f>TEXT(RawSalesTable3[[#This Row],[Order_Date_Clean]],"MMM YYYY")</f>
        <v>Apr 2025</v>
      </c>
      <c r="AA436" s="27"/>
      <c r="AB436" s="27">
        <f t="shared" si="47"/>
        <v>0</v>
      </c>
      <c r="AC436" s="27">
        <f t="shared" si="48"/>
        <v>0</v>
      </c>
    </row>
    <row r="437" spans="1:29">
      <c r="A437" t="s">
        <v>534</v>
      </c>
      <c r="B437" s="3">
        <v>45702</v>
      </c>
      <c r="C437" t="s">
        <v>54</v>
      </c>
      <c r="D437" t="s">
        <v>129</v>
      </c>
      <c r="E437" t="s">
        <v>79</v>
      </c>
      <c r="F437" t="s">
        <v>92</v>
      </c>
      <c r="G437" s="6">
        <v>6</v>
      </c>
      <c r="H437" s="4">
        <v>51.45</v>
      </c>
      <c r="I437" s="4">
        <v>26.72</v>
      </c>
      <c r="J437" s="5">
        <v>0.1</v>
      </c>
      <c r="K437" s="6">
        <v>7</v>
      </c>
      <c r="L437" s="6">
        <v>4</v>
      </c>
      <c r="M437" t="s">
        <v>58</v>
      </c>
      <c r="N437" t="s">
        <v>59</v>
      </c>
      <c r="O437" t="s">
        <v>64</v>
      </c>
      <c r="P437" t="str">
        <f t="shared" si="42"/>
        <v>Corporate</v>
      </c>
      <c r="Q437" t="str">
        <f t="shared" si="43"/>
        <v>North</v>
      </c>
      <c r="R437" t="str">
        <f>PROPER(TRIM(E437))</f>
        <v>Electronics</v>
      </c>
      <c r="S437" s="27">
        <f>IF(ISTEXT(B437),DATEVALUE(B437),B437)</f>
        <v>45702</v>
      </c>
      <c r="T437" s="27">
        <f>COUNTIF($A$2:$A$1986,A437)</f>
        <v>1</v>
      </c>
      <c r="U437" s="27" t="str">
        <f t="shared" si="44"/>
        <v>Webcam</v>
      </c>
      <c r="V437" s="27">
        <f t="shared" si="45"/>
        <v>277.83000000000004</v>
      </c>
      <c r="W437" s="27">
        <f t="shared" si="46"/>
        <v>160.32</v>
      </c>
      <c r="X437" s="27">
        <f>RawSalesTable3[[#This Row],[Revenue]]-RawSalesTable3[[#This Row],[Total_Cost]]</f>
        <v>117.51000000000005</v>
      </c>
      <c r="Y437" s="28">
        <f>RawSalesTable3[[#This Row],[Profit]]/RawSalesTable3[[#This Row],[Revenue]]</f>
        <v>0.42295648418097409</v>
      </c>
      <c r="Z437" s="27" t="str">
        <f>TEXT(RawSalesTable3[[#This Row],[Order_Date_Clean]],"MMM YYYY")</f>
        <v>Feb 2025</v>
      </c>
      <c r="AA437" s="27"/>
      <c r="AB437" s="27">
        <f t="shared" si="47"/>
        <v>0</v>
      </c>
      <c r="AC437" s="27">
        <f t="shared" si="48"/>
        <v>0</v>
      </c>
    </row>
    <row r="438" spans="1:29">
      <c r="A438" t="s">
        <v>535</v>
      </c>
      <c r="B438" s="3">
        <v>45954</v>
      </c>
      <c r="C438" t="s">
        <v>78</v>
      </c>
      <c r="D438" t="s">
        <v>62</v>
      </c>
      <c r="E438" t="s">
        <v>79</v>
      </c>
      <c r="F438" t="s">
        <v>80</v>
      </c>
      <c r="G438" s="6">
        <v>1</v>
      </c>
      <c r="H438" s="4">
        <v>73.77</v>
      </c>
      <c r="I438" s="4">
        <v>44.24</v>
      </c>
      <c r="J438" s="5">
        <v>0</v>
      </c>
      <c r="K438" s="6">
        <v>3</v>
      </c>
      <c r="L438" s="6">
        <v>4</v>
      </c>
      <c r="M438" t="s">
        <v>58</v>
      </c>
      <c r="N438" t="s">
        <v>59</v>
      </c>
      <c r="O438" t="s">
        <v>60</v>
      </c>
      <c r="P438" t="str">
        <f t="shared" si="42"/>
        <v>Individual</v>
      </c>
      <c r="Q438" t="str">
        <f t="shared" si="43"/>
        <v>London</v>
      </c>
      <c r="R438" t="str">
        <f>PROPER(TRIM(E438))</f>
        <v>Electronics</v>
      </c>
      <c r="S438" s="27">
        <f>IF(ISTEXT(B438),DATEVALUE(B438),B438)</f>
        <v>45954</v>
      </c>
      <c r="T438" s="27">
        <f>COUNTIF($A$2:$A$1986,A438)</f>
        <v>1</v>
      </c>
      <c r="U438" s="27" t="str">
        <f t="shared" si="44"/>
        <v>Portable Speaker</v>
      </c>
      <c r="V438" s="27">
        <f t="shared" si="45"/>
        <v>73.77</v>
      </c>
      <c r="W438" s="27">
        <f t="shared" si="46"/>
        <v>44.24</v>
      </c>
      <c r="X438" s="27">
        <f>RawSalesTable3[[#This Row],[Revenue]]-RawSalesTable3[[#This Row],[Total_Cost]]</f>
        <v>29.529999999999994</v>
      </c>
      <c r="Y438" s="28">
        <f>RawSalesTable3[[#This Row],[Profit]]/RawSalesTable3[[#This Row],[Revenue]]</f>
        <v>0.40029822421038358</v>
      </c>
      <c r="Z438" s="27" t="str">
        <f>TEXT(RawSalesTable3[[#This Row],[Order_Date_Clean]],"MMM YYYY")</f>
        <v>Oct 2025</v>
      </c>
      <c r="AA438" s="27"/>
      <c r="AB438" s="27">
        <f t="shared" si="47"/>
        <v>0</v>
      </c>
      <c r="AC438" s="27">
        <f t="shared" si="48"/>
        <v>0</v>
      </c>
    </row>
    <row r="439" spans="1:29">
      <c r="A439" t="s">
        <v>536</v>
      </c>
      <c r="B439" s="3">
        <v>45773</v>
      </c>
      <c r="C439" t="s">
        <v>66</v>
      </c>
      <c r="D439" t="s">
        <v>62</v>
      </c>
      <c r="E439" t="s">
        <v>75</v>
      </c>
      <c r="F439" t="s">
        <v>76</v>
      </c>
      <c r="G439" s="6">
        <v>1</v>
      </c>
      <c r="H439" s="4">
        <v>116.49</v>
      </c>
      <c r="I439" s="4">
        <v>71.11</v>
      </c>
      <c r="J439" s="5">
        <v>0</v>
      </c>
      <c r="K439" s="6">
        <v>6</v>
      </c>
      <c r="L439" s="6">
        <v>4</v>
      </c>
      <c r="M439" t="s">
        <v>58</v>
      </c>
      <c r="N439" t="s">
        <v>59</v>
      </c>
      <c r="O439" t="s">
        <v>64</v>
      </c>
      <c r="P439" t="str">
        <f t="shared" si="42"/>
        <v>Individual</v>
      </c>
      <c r="Q439" t="str">
        <f t="shared" si="43"/>
        <v>South</v>
      </c>
      <c r="R439" t="str">
        <f>PROPER(TRIM(E439))</f>
        <v>Furniture</v>
      </c>
      <c r="S439" s="27">
        <f>IF(ISTEXT(B439),DATEVALUE(B439),B439)</f>
        <v>45773</v>
      </c>
      <c r="T439" s="27">
        <f>COUNTIF($A$2:$A$1986,A439)</f>
        <v>1</v>
      </c>
      <c r="U439" s="27" t="str">
        <f t="shared" si="44"/>
        <v>Bookshelf</v>
      </c>
      <c r="V439" s="27">
        <f t="shared" si="45"/>
        <v>116.49</v>
      </c>
      <c r="W439" s="27">
        <f t="shared" si="46"/>
        <v>71.11</v>
      </c>
      <c r="X439" s="27">
        <f>RawSalesTable3[[#This Row],[Revenue]]-RawSalesTable3[[#This Row],[Total_Cost]]</f>
        <v>45.379999999999995</v>
      </c>
      <c r="Y439" s="28">
        <f>RawSalesTable3[[#This Row],[Profit]]/RawSalesTable3[[#This Row],[Revenue]]</f>
        <v>0.3895613357369731</v>
      </c>
      <c r="Z439" s="27" t="str">
        <f>TEXT(RawSalesTable3[[#This Row],[Order_Date_Clean]],"MMM YYYY")</f>
        <v>Apr 2025</v>
      </c>
      <c r="AA439" s="27"/>
      <c r="AB439" s="27">
        <f t="shared" si="47"/>
        <v>0</v>
      </c>
      <c r="AC439" s="27">
        <f t="shared" si="48"/>
        <v>0</v>
      </c>
    </row>
    <row r="440" spans="1:29">
      <c r="A440" t="s">
        <v>537</v>
      </c>
      <c r="B440" s="3">
        <v>45901</v>
      </c>
      <c r="C440" t="s">
        <v>82</v>
      </c>
      <c r="D440" t="s">
        <v>62</v>
      </c>
      <c r="E440" t="s">
        <v>56</v>
      </c>
      <c r="F440" t="s">
        <v>89</v>
      </c>
      <c r="G440" s="6">
        <v>1</v>
      </c>
      <c r="H440" s="4">
        <v>82.78</v>
      </c>
      <c r="I440" s="4">
        <v>44.32</v>
      </c>
      <c r="J440" s="5">
        <v>0.05</v>
      </c>
      <c r="K440" s="6">
        <v>0</v>
      </c>
      <c r="L440" s="6">
        <v>5</v>
      </c>
      <c r="M440" t="s">
        <v>58</v>
      </c>
      <c r="N440" t="s">
        <v>69</v>
      </c>
      <c r="O440" t="s">
        <v>64</v>
      </c>
      <c r="P440" t="str">
        <f t="shared" si="42"/>
        <v>Individual</v>
      </c>
      <c r="Q440" t="str">
        <f t="shared" si="43"/>
        <v>Midlands</v>
      </c>
      <c r="R440" t="str">
        <f>PROPER(TRIM(E440))</f>
        <v>Home &amp; Kitchen</v>
      </c>
      <c r="S440" s="27">
        <f>IF(ISTEXT(B440),DATEVALUE(B440),B440)</f>
        <v>45901</v>
      </c>
      <c r="T440" s="27">
        <f>COUNTIF($A$2:$A$1986,A440)</f>
        <v>1</v>
      </c>
      <c r="U440" s="27" t="str">
        <f t="shared" si="44"/>
        <v>Coffee Maker</v>
      </c>
      <c r="V440" s="27">
        <f t="shared" si="45"/>
        <v>78.640999999999991</v>
      </c>
      <c r="W440" s="27">
        <f t="shared" si="46"/>
        <v>44.32</v>
      </c>
      <c r="X440" s="27">
        <f>RawSalesTable3[[#This Row],[Revenue]]-RawSalesTable3[[#This Row],[Total_Cost]]</f>
        <v>34.320999999999991</v>
      </c>
      <c r="Y440" s="28">
        <f>RawSalesTable3[[#This Row],[Profit]]/RawSalesTable3[[#This Row],[Revenue]]</f>
        <v>0.43642629162904839</v>
      </c>
      <c r="Z440" s="27" t="str">
        <f>TEXT(RawSalesTable3[[#This Row],[Order_Date_Clean]],"MMM YYYY")</f>
        <v>Sep 2025</v>
      </c>
      <c r="AA440" s="27"/>
      <c r="AB440" s="27">
        <f t="shared" si="47"/>
        <v>0</v>
      </c>
      <c r="AC440" s="27">
        <f t="shared" si="48"/>
        <v>0</v>
      </c>
    </row>
    <row r="441" spans="1:29">
      <c r="A441" t="s">
        <v>538</v>
      </c>
      <c r="B441" s="3">
        <v>45666</v>
      </c>
      <c r="C441" t="s">
        <v>78</v>
      </c>
      <c r="D441" t="s">
        <v>62</v>
      </c>
      <c r="E441" t="s">
        <v>79</v>
      </c>
      <c r="F441" t="s">
        <v>92</v>
      </c>
      <c r="G441" s="6">
        <v>1</v>
      </c>
      <c r="H441" s="4">
        <v>48.58</v>
      </c>
      <c r="I441" s="4">
        <v>25.39</v>
      </c>
      <c r="J441" s="5">
        <v>0</v>
      </c>
      <c r="K441" s="6">
        <v>3</v>
      </c>
      <c r="L441" s="6">
        <v>5</v>
      </c>
      <c r="M441" t="s">
        <v>58</v>
      </c>
      <c r="N441" t="s">
        <v>59</v>
      </c>
      <c r="O441" t="s">
        <v>64</v>
      </c>
      <c r="P441" t="str">
        <f t="shared" si="42"/>
        <v>Individual</v>
      </c>
      <c r="Q441" t="str">
        <f t="shared" si="43"/>
        <v>London</v>
      </c>
      <c r="R441" t="str">
        <f>PROPER(TRIM(E441))</f>
        <v>Electronics</v>
      </c>
      <c r="S441" s="27">
        <f>IF(ISTEXT(B441),DATEVALUE(B441),B441)</f>
        <v>45666</v>
      </c>
      <c r="T441" s="27">
        <f>COUNTIF($A$2:$A$1986,A441)</f>
        <v>1</v>
      </c>
      <c r="U441" s="27" t="str">
        <f t="shared" si="44"/>
        <v>Webcam</v>
      </c>
      <c r="V441" s="27">
        <f t="shared" si="45"/>
        <v>48.58</v>
      </c>
      <c r="W441" s="27">
        <f t="shared" si="46"/>
        <v>25.39</v>
      </c>
      <c r="X441" s="27">
        <f>RawSalesTable3[[#This Row],[Revenue]]-RawSalesTable3[[#This Row],[Total_Cost]]</f>
        <v>23.189999999999998</v>
      </c>
      <c r="Y441" s="28">
        <f>RawSalesTable3[[#This Row],[Profit]]/RawSalesTable3[[#This Row],[Revenue]]</f>
        <v>0.47735693701111565</v>
      </c>
      <c r="Z441" s="27" t="str">
        <f>TEXT(RawSalesTable3[[#This Row],[Order_Date_Clean]],"MMM YYYY")</f>
        <v>Jan 2025</v>
      </c>
      <c r="AA441" s="27"/>
      <c r="AB441" s="27">
        <f t="shared" si="47"/>
        <v>0</v>
      </c>
      <c r="AC441" s="27">
        <f t="shared" si="48"/>
        <v>0</v>
      </c>
    </row>
    <row r="442" spans="1:29">
      <c r="A442" t="s">
        <v>539</v>
      </c>
      <c r="B442" s="3">
        <v>45782</v>
      </c>
      <c r="C442" t="s">
        <v>54</v>
      </c>
      <c r="D442" t="s">
        <v>129</v>
      </c>
      <c r="E442" t="s">
        <v>75</v>
      </c>
      <c r="F442" t="s">
        <v>110</v>
      </c>
      <c r="G442" s="6">
        <v>5</v>
      </c>
      <c r="H442" s="4">
        <v>157.55000000000001</v>
      </c>
      <c r="I442" s="4">
        <v>100.55</v>
      </c>
      <c r="J442" s="5">
        <v>0.1</v>
      </c>
      <c r="K442" s="6">
        <v>4</v>
      </c>
      <c r="L442" s="6">
        <v>4</v>
      </c>
      <c r="M442" t="s">
        <v>58</v>
      </c>
      <c r="N442" t="s">
        <v>69</v>
      </c>
      <c r="O442" t="s">
        <v>60</v>
      </c>
      <c r="P442" t="str">
        <f t="shared" si="42"/>
        <v>Corporate</v>
      </c>
      <c r="Q442" t="str">
        <f t="shared" si="43"/>
        <v>North</v>
      </c>
      <c r="R442" t="str">
        <f>PROPER(TRIM(E442))</f>
        <v>Furniture</v>
      </c>
      <c r="S442" s="27">
        <f>IF(ISTEXT(B442),DATEVALUE(B442),B442)</f>
        <v>45782</v>
      </c>
      <c r="T442" s="27">
        <f>COUNTIF($A$2:$A$1986,A442)</f>
        <v>1</v>
      </c>
      <c r="U442" s="27" t="str">
        <f t="shared" si="44"/>
        <v>Storage Cabinet</v>
      </c>
      <c r="V442" s="27">
        <f t="shared" si="45"/>
        <v>708.97500000000002</v>
      </c>
      <c r="W442" s="27">
        <f t="shared" si="46"/>
        <v>502.75</v>
      </c>
      <c r="X442" s="27">
        <f>RawSalesTable3[[#This Row],[Revenue]]-RawSalesTable3[[#This Row],[Total_Cost]]</f>
        <v>206.22500000000002</v>
      </c>
      <c r="Y442" s="28">
        <f>RawSalesTable3[[#This Row],[Profit]]/RawSalesTable3[[#This Row],[Revenue]]</f>
        <v>0.29087767551747246</v>
      </c>
      <c r="Z442" s="27" t="str">
        <f>TEXT(RawSalesTable3[[#This Row],[Order_Date_Clean]],"MMM YYYY")</f>
        <v>May 2025</v>
      </c>
      <c r="AA442" s="27"/>
      <c r="AB442" s="27">
        <f t="shared" si="47"/>
        <v>0</v>
      </c>
      <c r="AC442" s="27">
        <f t="shared" si="48"/>
        <v>0</v>
      </c>
    </row>
    <row r="443" spans="1:29">
      <c r="A443" t="s">
        <v>540</v>
      </c>
      <c r="B443" s="3">
        <v>45944</v>
      </c>
      <c r="C443" t="s">
        <v>54</v>
      </c>
      <c r="D443" t="s">
        <v>62</v>
      </c>
      <c r="E443" t="s">
        <v>79</v>
      </c>
      <c r="F443" t="s">
        <v>80</v>
      </c>
      <c r="G443" s="6">
        <v>1</v>
      </c>
      <c r="H443" s="4">
        <v>76.930000000000007</v>
      </c>
      <c r="I443" s="4">
        <v>43.56</v>
      </c>
      <c r="J443" s="5">
        <v>0</v>
      </c>
      <c r="K443" s="6">
        <v>6</v>
      </c>
      <c r="L443" s="6">
        <v>4</v>
      </c>
      <c r="M443" t="s">
        <v>58</v>
      </c>
      <c r="N443" t="s">
        <v>59</v>
      </c>
      <c r="O443" t="s">
        <v>64</v>
      </c>
      <c r="P443" t="str">
        <f t="shared" si="42"/>
        <v>Individual</v>
      </c>
      <c r="Q443" t="str">
        <f t="shared" si="43"/>
        <v>North</v>
      </c>
      <c r="R443" t="str">
        <f>PROPER(TRIM(E443))</f>
        <v>Electronics</v>
      </c>
      <c r="S443" s="27">
        <f>IF(ISTEXT(B443),DATEVALUE(B443),B443)</f>
        <v>45944</v>
      </c>
      <c r="T443" s="27">
        <f>COUNTIF($A$2:$A$1986,A443)</f>
        <v>1</v>
      </c>
      <c r="U443" s="27" t="str">
        <f t="shared" si="44"/>
        <v>Portable Speaker</v>
      </c>
      <c r="V443" s="27">
        <f t="shared" si="45"/>
        <v>76.930000000000007</v>
      </c>
      <c r="W443" s="27">
        <f t="shared" si="46"/>
        <v>43.56</v>
      </c>
      <c r="X443" s="27">
        <f>RawSalesTable3[[#This Row],[Revenue]]-RawSalesTable3[[#This Row],[Total_Cost]]</f>
        <v>33.370000000000005</v>
      </c>
      <c r="Y443" s="28">
        <f>RawSalesTable3[[#This Row],[Profit]]/RawSalesTable3[[#This Row],[Revenue]]</f>
        <v>0.43377096061354481</v>
      </c>
      <c r="Z443" s="27" t="str">
        <f>TEXT(RawSalesTable3[[#This Row],[Order_Date_Clean]],"MMM YYYY")</f>
        <v>Oct 2025</v>
      </c>
      <c r="AA443" s="27"/>
      <c r="AB443" s="27">
        <f t="shared" si="47"/>
        <v>0</v>
      </c>
      <c r="AC443" s="27">
        <f t="shared" si="48"/>
        <v>0</v>
      </c>
    </row>
    <row r="444" spans="1:29">
      <c r="A444" t="s">
        <v>541</v>
      </c>
      <c r="B444" s="3">
        <v>45857</v>
      </c>
      <c r="C444" t="s">
        <v>78</v>
      </c>
      <c r="D444" t="s">
        <v>62</v>
      </c>
      <c r="E444" t="s">
        <v>79</v>
      </c>
      <c r="F444" t="s">
        <v>80</v>
      </c>
      <c r="G444" s="6">
        <v>1</v>
      </c>
      <c r="H444" s="4">
        <v>74.73</v>
      </c>
      <c r="I444" s="4">
        <v>42.87</v>
      </c>
      <c r="J444" s="5">
        <v>0</v>
      </c>
      <c r="K444" s="6">
        <v>0</v>
      </c>
      <c r="L444" s="6">
        <v>4</v>
      </c>
      <c r="M444" t="s">
        <v>58</v>
      </c>
      <c r="N444" t="s">
        <v>69</v>
      </c>
      <c r="O444" t="s">
        <v>64</v>
      </c>
      <c r="P444" t="str">
        <f t="shared" si="42"/>
        <v>Individual</v>
      </c>
      <c r="Q444" t="str">
        <f t="shared" si="43"/>
        <v>London</v>
      </c>
      <c r="R444" t="str">
        <f>PROPER(TRIM(E444))</f>
        <v>Electronics</v>
      </c>
      <c r="S444" s="27">
        <f>IF(ISTEXT(B444),DATEVALUE(B444),B444)</f>
        <v>45857</v>
      </c>
      <c r="T444" s="27">
        <f>COUNTIF($A$2:$A$1986,A444)</f>
        <v>1</v>
      </c>
      <c r="U444" s="27" t="str">
        <f t="shared" si="44"/>
        <v>Portable Speaker</v>
      </c>
      <c r="V444" s="27">
        <f t="shared" si="45"/>
        <v>74.73</v>
      </c>
      <c r="W444" s="27">
        <f t="shared" si="46"/>
        <v>42.87</v>
      </c>
      <c r="X444" s="27">
        <f>RawSalesTable3[[#This Row],[Revenue]]-RawSalesTable3[[#This Row],[Total_Cost]]</f>
        <v>31.860000000000007</v>
      </c>
      <c r="Y444" s="28">
        <f>RawSalesTable3[[#This Row],[Profit]]/RawSalesTable3[[#This Row],[Revenue]]</f>
        <v>0.42633480529907675</v>
      </c>
      <c r="Z444" s="27" t="str">
        <f>TEXT(RawSalesTable3[[#This Row],[Order_Date_Clean]],"MMM YYYY")</f>
        <v>Jul 2025</v>
      </c>
      <c r="AA444" s="27"/>
      <c r="AB444" s="27">
        <f t="shared" si="47"/>
        <v>0</v>
      </c>
      <c r="AC444" s="27">
        <f t="shared" si="48"/>
        <v>0</v>
      </c>
    </row>
    <row r="445" spans="1:29">
      <c r="A445" t="s">
        <v>542</v>
      </c>
      <c r="B445" s="3">
        <v>45802</v>
      </c>
      <c r="C445" t="s">
        <v>54</v>
      </c>
      <c r="D445" t="s">
        <v>62</v>
      </c>
      <c r="E445" t="s">
        <v>79</v>
      </c>
      <c r="F445" t="s">
        <v>115</v>
      </c>
      <c r="G445" s="6">
        <v>2</v>
      </c>
      <c r="H445" s="4">
        <v>59.27</v>
      </c>
      <c r="I445" s="4">
        <v>34.450000000000003</v>
      </c>
      <c r="J445" s="5">
        <v>0.05</v>
      </c>
      <c r="K445" s="6">
        <v>2</v>
      </c>
      <c r="L445" s="6">
        <v>5</v>
      </c>
      <c r="M445" t="s">
        <v>58</v>
      </c>
      <c r="N445" t="s">
        <v>59</v>
      </c>
      <c r="O445" t="s">
        <v>73</v>
      </c>
      <c r="P445" t="str">
        <f t="shared" si="42"/>
        <v>Individual</v>
      </c>
      <c r="Q445" t="str">
        <f t="shared" si="43"/>
        <v>North</v>
      </c>
      <c r="R445" t="str">
        <f>PROPER(TRIM(E445))</f>
        <v>Electronics</v>
      </c>
      <c r="S445" s="27">
        <f>IF(ISTEXT(B445),DATEVALUE(B445),B445)</f>
        <v>45802</v>
      </c>
      <c r="T445" s="27">
        <f>COUNTIF($A$2:$A$1986,A445)</f>
        <v>1</v>
      </c>
      <c r="U445" s="27" t="str">
        <f t="shared" si="44"/>
        <v>Wireless Headset</v>
      </c>
      <c r="V445" s="27">
        <f t="shared" si="45"/>
        <v>112.613</v>
      </c>
      <c r="W445" s="27">
        <f t="shared" si="46"/>
        <v>68.900000000000006</v>
      </c>
      <c r="X445" s="27">
        <f>RawSalesTable3[[#This Row],[Revenue]]-RawSalesTable3[[#This Row],[Total_Cost]]</f>
        <v>43.712999999999994</v>
      </c>
      <c r="Y445" s="28">
        <f>RawSalesTable3[[#This Row],[Profit]]/RawSalesTable3[[#This Row],[Revenue]]</f>
        <v>0.38817010469483981</v>
      </c>
      <c r="Z445" s="27" t="str">
        <f>TEXT(RawSalesTable3[[#This Row],[Order_Date_Clean]],"MMM YYYY")</f>
        <v>May 2025</v>
      </c>
      <c r="AA445" s="27"/>
      <c r="AB445" s="27">
        <f t="shared" si="47"/>
        <v>0</v>
      </c>
      <c r="AC445" s="27">
        <f t="shared" si="48"/>
        <v>0</v>
      </c>
    </row>
    <row r="446" spans="1:29">
      <c r="A446" t="s">
        <v>543</v>
      </c>
      <c r="B446" s="3">
        <v>45714</v>
      </c>
      <c r="C446" t="s">
        <v>82</v>
      </c>
      <c r="D446" t="s">
        <v>62</v>
      </c>
      <c r="E446" t="s">
        <v>79</v>
      </c>
      <c r="F446" t="s">
        <v>92</v>
      </c>
      <c r="G446" s="6">
        <v>2</v>
      </c>
      <c r="H446" s="4">
        <v>51.96</v>
      </c>
      <c r="I446" s="4">
        <v>26.14</v>
      </c>
      <c r="J446" s="5">
        <v>0.05</v>
      </c>
      <c r="K446" s="6">
        <v>1</v>
      </c>
      <c r="L446" s="6">
        <v>4</v>
      </c>
      <c r="M446" t="s">
        <v>58</v>
      </c>
      <c r="N446" t="s">
        <v>59</v>
      </c>
      <c r="O446" t="s">
        <v>64</v>
      </c>
      <c r="P446" t="str">
        <f t="shared" si="42"/>
        <v>Individual</v>
      </c>
      <c r="Q446" t="str">
        <f t="shared" si="43"/>
        <v>Midlands</v>
      </c>
      <c r="R446" t="str">
        <f>PROPER(TRIM(E446))</f>
        <v>Electronics</v>
      </c>
      <c r="S446" s="27">
        <f>IF(ISTEXT(B446),DATEVALUE(B446),B446)</f>
        <v>45714</v>
      </c>
      <c r="T446" s="27">
        <f>COUNTIF($A$2:$A$1986,A446)</f>
        <v>1</v>
      </c>
      <c r="U446" s="27" t="str">
        <f t="shared" si="44"/>
        <v>Webcam</v>
      </c>
      <c r="V446" s="27">
        <f t="shared" si="45"/>
        <v>98.724000000000004</v>
      </c>
      <c r="W446" s="27">
        <f t="shared" si="46"/>
        <v>52.28</v>
      </c>
      <c r="X446" s="27">
        <f>RawSalesTable3[[#This Row],[Revenue]]-RawSalesTable3[[#This Row],[Total_Cost]]</f>
        <v>46.444000000000003</v>
      </c>
      <c r="Y446" s="28">
        <f>RawSalesTable3[[#This Row],[Profit]]/RawSalesTable3[[#This Row],[Revenue]]</f>
        <v>0.47044285077590048</v>
      </c>
      <c r="Z446" s="27" t="str">
        <f>TEXT(RawSalesTable3[[#This Row],[Order_Date_Clean]],"MMM YYYY")</f>
        <v>Feb 2025</v>
      </c>
      <c r="AA446" s="27"/>
      <c r="AB446" s="27">
        <f t="shared" si="47"/>
        <v>0</v>
      </c>
      <c r="AC446" s="27">
        <f t="shared" si="48"/>
        <v>0</v>
      </c>
    </row>
    <row r="447" spans="1:29">
      <c r="A447" t="s">
        <v>544</v>
      </c>
      <c r="B447" s="3">
        <v>45731</v>
      </c>
      <c r="C447" t="s">
        <v>78</v>
      </c>
      <c r="D447" t="s">
        <v>55</v>
      </c>
      <c r="E447" t="s">
        <v>67</v>
      </c>
      <c r="F447" t="s">
        <v>71</v>
      </c>
      <c r="G447" s="6">
        <v>1</v>
      </c>
      <c r="H447" s="4">
        <v>70.12</v>
      </c>
      <c r="I447" s="4">
        <v>36.93</v>
      </c>
      <c r="J447" s="5">
        <v>0.05</v>
      </c>
      <c r="K447" s="6">
        <v>3</v>
      </c>
      <c r="L447" s="6">
        <v>4</v>
      </c>
      <c r="M447" t="s">
        <v>58</v>
      </c>
      <c r="N447" t="s">
        <v>59</v>
      </c>
      <c r="O447" t="s">
        <v>64</v>
      </c>
      <c r="P447" t="str">
        <f t="shared" si="42"/>
        <v>Small Business</v>
      </c>
      <c r="Q447" t="str">
        <f t="shared" si="43"/>
        <v>London</v>
      </c>
      <c r="R447" t="str">
        <f>PROPER(TRIM(E447))</f>
        <v>Office</v>
      </c>
      <c r="S447" s="27">
        <f>IF(ISTEXT(B447),DATEVALUE(B447),B447)</f>
        <v>45731</v>
      </c>
      <c r="T447" s="27">
        <f>COUNTIF($A$2:$A$1986,A447)</f>
        <v>1</v>
      </c>
      <c r="U447" s="27" t="str">
        <f t="shared" si="44"/>
        <v>Ergonomic Keyboard</v>
      </c>
      <c r="V447" s="27">
        <f t="shared" si="45"/>
        <v>66.614000000000004</v>
      </c>
      <c r="W447" s="27">
        <f t="shared" si="46"/>
        <v>36.93</v>
      </c>
      <c r="X447" s="27">
        <f>RawSalesTable3[[#This Row],[Revenue]]-RawSalesTable3[[#This Row],[Total_Cost]]</f>
        <v>29.684000000000005</v>
      </c>
      <c r="Y447" s="28">
        <f>RawSalesTable3[[#This Row],[Profit]]/RawSalesTable3[[#This Row],[Revenue]]</f>
        <v>0.44561203350647016</v>
      </c>
      <c r="Z447" s="27" t="str">
        <f>TEXT(RawSalesTable3[[#This Row],[Order_Date_Clean]],"MMM YYYY")</f>
        <v>Mar 2025</v>
      </c>
      <c r="AA447" s="27"/>
      <c r="AB447" s="27">
        <f t="shared" si="47"/>
        <v>0</v>
      </c>
      <c r="AC447" s="27">
        <f t="shared" si="48"/>
        <v>0</v>
      </c>
    </row>
    <row r="448" spans="1:29">
      <c r="A448" t="s">
        <v>545</v>
      </c>
      <c r="B448" s="3">
        <v>45939</v>
      </c>
      <c r="C448" t="s">
        <v>66</v>
      </c>
      <c r="D448" t="s">
        <v>62</v>
      </c>
      <c r="E448" t="s">
        <v>79</v>
      </c>
      <c r="F448" t="s">
        <v>115</v>
      </c>
      <c r="G448" s="6">
        <v>4</v>
      </c>
      <c r="H448" s="4">
        <v>59.25</v>
      </c>
      <c r="I448" s="4">
        <v>35.479999999999997</v>
      </c>
      <c r="J448" s="5">
        <v>0.05</v>
      </c>
      <c r="K448" s="6">
        <v>5</v>
      </c>
      <c r="L448" s="6">
        <v>5</v>
      </c>
      <c r="M448" t="s">
        <v>58</v>
      </c>
      <c r="N448" t="s">
        <v>59</v>
      </c>
      <c r="O448" t="s">
        <v>73</v>
      </c>
      <c r="P448" t="str">
        <f t="shared" si="42"/>
        <v>Individual</v>
      </c>
      <c r="Q448" t="str">
        <f t="shared" si="43"/>
        <v>South</v>
      </c>
      <c r="R448" t="str">
        <f>PROPER(TRIM(E448))</f>
        <v>Electronics</v>
      </c>
      <c r="S448" s="27">
        <f>IF(ISTEXT(B448),DATEVALUE(B448),B448)</f>
        <v>45939</v>
      </c>
      <c r="T448" s="27">
        <f>COUNTIF($A$2:$A$1986,A448)</f>
        <v>1</v>
      </c>
      <c r="U448" s="27" t="str">
        <f t="shared" si="44"/>
        <v>Wireless Headset</v>
      </c>
      <c r="V448" s="27">
        <f t="shared" si="45"/>
        <v>225.14999999999998</v>
      </c>
      <c r="W448" s="27">
        <f t="shared" si="46"/>
        <v>141.91999999999999</v>
      </c>
      <c r="X448" s="27">
        <f>RawSalesTable3[[#This Row],[Revenue]]-RawSalesTable3[[#This Row],[Total_Cost]]</f>
        <v>83.22999999999999</v>
      </c>
      <c r="Y448" s="28">
        <f>RawSalesTable3[[#This Row],[Profit]]/RawSalesTable3[[#This Row],[Revenue]]</f>
        <v>0.36966466799911168</v>
      </c>
      <c r="Z448" s="27" t="str">
        <f>TEXT(RawSalesTable3[[#This Row],[Order_Date_Clean]],"MMM YYYY")</f>
        <v>Oct 2025</v>
      </c>
      <c r="AA448" s="27"/>
      <c r="AB448" s="27">
        <f t="shared" si="47"/>
        <v>0</v>
      </c>
      <c r="AC448" s="27">
        <f t="shared" si="48"/>
        <v>0</v>
      </c>
    </row>
    <row r="449" spans="1:29">
      <c r="A449" t="s">
        <v>546</v>
      </c>
      <c r="B449" s="3">
        <v>45874</v>
      </c>
      <c r="C449" t="s">
        <v>82</v>
      </c>
      <c r="D449" t="s">
        <v>62</v>
      </c>
      <c r="E449" t="s">
        <v>75</v>
      </c>
      <c r="F449" t="s">
        <v>97</v>
      </c>
      <c r="G449" s="6">
        <v>1</v>
      </c>
      <c r="H449" s="4">
        <v>91.01</v>
      </c>
      <c r="I449" s="4">
        <v>52.93</v>
      </c>
      <c r="J449" s="5">
        <v>0</v>
      </c>
      <c r="K449" s="6">
        <v>6</v>
      </c>
      <c r="L449" s="6">
        <v>4</v>
      </c>
      <c r="M449" t="s">
        <v>58</v>
      </c>
      <c r="N449" t="s">
        <v>59</v>
      </c>
      <c r="O449" t="s">
        <v>60</v>
      </c>
      <c r="P449" t="str">
        <f t="shared" si="42"/>
        <v>Individual</v>
      </c>
      <c r="Q449" t="str">
        <f t="shared" si="43"/>
        <v>Midlands</v>
      </c>
      <c r="R449" t="str">
        <f>PROPER(TRIM(E449))</f>
        <v>Furniture</v>
      </c>
      <c r="S449" s="27">
        <f>IF(ISTEXT(B449),DATEVALUE(B449),B449)</f>
        <v>45874</v>
      </c>
      <c r="T449" s="27">
        <f>COUNTIF($A$2:$A$1986,A449)</f>
        <v>1</v>
      </c>
      <c r="U449" s="27" t="str">
        <f t="shared" si="44"/>
        <v>Side Table</v>
      </c>
      <c r="V449" s="27">
        <f t="shared" si="45"/>
        <v>91.01</v>
      </c>
      <c r="W449" s="27">
        <f t="shared" si="46"/>
        <v>52.93</v>
      </c>
      <c r="X449" s="27">
        <f>RawSalesTable3[[#This Row],[Revenue]]-RawSalesTable3[[#This Row],[Total_Cost]]</f>
        <v>38.080000000000005</v>
      </c>
      <c r="Y449" s="28">
        <f>RawSalesTable3[[#This Row],[Profit]]/RawSalesTable3[[#This Row],[Revenue]]</f>
        <v>0.41841555872980996</v>
      </c>
      <c r="Z449" s="27" t="str">
        <f>TEXT(RawSalesTable3[[#This Row],[Order_Date_Clean]],"MMM YYYY")</f>
        <v>Aug 2025</v>
      </c>
      <c r="AA449" s="27"/>
      <c r="AB449" s="27">
        <f t="shared" si="47"/>
        <v>0</v>
      </c>
      <c r="AC449" s="27">
        <f t="shared" si="48"/>
        <v>0</v>
      </c>
    </row>
    <row r="450" spans="1:29">
      <c r="A450" t="s">
        <v>547</v>
      </c>
      <c r="B450" s="3">
        <v>46016</v>
      </c>
      <c r="C450" t="s">
        <v>66</v>
      </c>
      <c r="D450" t="s">
        <v>129</v>
      </c>
      <c r="E450" t="s">
        <v>79</v>
      </c>
      <c r="F450" t="s">
        <v>92</v>
      </c>
      <c r="G450" s="6">
        <v>5</v>
      </c>
      <c r="H450" s="4">
        <v>50.11</v>
      </c>
      <c r="I450" s="4">
        <v>27.21</v>
      </c>
      <c r="J450" s="5">
        <v>0.1</v>
      </c>
      <c r="K450" s="6">
        <v>2</v>
      </c>
      <c r="L450" s="6">
        <v>5</v>
      </c>
      <c r="M450" t="s">
        <v>58</v>
      </c>
      <c r="N450" t="s">
        <v>69</v>
      </c>
      <c r="O450" t="s">
        <v>64</v>
      </c>
      <c r="P450" t="str">
        <f t="shared" ref="P450:P513" si="49">IF(TRIM(D450)="","Unknow",PROPER(TRIM(D450)))</f>
        <v>Corporate</v>
      </c>
      <c r="Q450" t="str">
        <f t="shared" ref="Q450:Q513" si="50">IF(PROPER(TRIM(C450))="Mid Lands","Midlands",PROPER(TRIM(C450)))</f>
        <v>South</v>
      </c>
      <c r="R450" t="str">
        <f>PROPER(TRIM(E450))</f>
        <v>Electronics</v>
      </c>
      <c r="S450" s="27">
        <f>IF(ISTEXT(B450),DATEVALUE(B450),B450)</f>
        <v>46016</v>
      </c>
      <c r="T450" s="27">
        <f>COUNTIF($A$2:$A$1986,A450)</f>
        <v>1</v>
      </c>
      <c r="U450" s="27" t="str">
        <f t="shared" ref="U450:U513" si="51">TRIM(F450)</f>
        <v>Webcam</v>
      </c>
      <c r="V450" s="27">
        <f t="shared" ref="V450:V513" si="52">G450*H450*(1-J450)</f>
        <v>225.495</v>
      </c>
      <c r="W450" s="27">
        <f t="shared" ref="W450:W513" si="53">G450*I450</f>
        <v>136.05000000000001</v>
      </c>
      <c r="X450" s="27">
        <f>RawSalesTable3[[#This Row],[Revenue]]-RawSalesTable3[[#This Row],[Total_Cost]]</f>
        <v>89.444999999999993</v>
      </c>
      <c r="Y450" s="28">
        <f>RawSalesTable3[[#This Row],[Profit]]/RawSalesTable3[[#This Row],[Revenue]]</f>
        <v>0.39666067983769038</v>
      </c>
      <c r="Z450" s="27" t="str">
        <f>TEXT(RawSalesTable3[[#This Row],[Order_Date_Clean]],"MMM YYYY")</f>
        <v>Dec 2025</v>
      </c>
      <c r="AA450" s="27"/>
      <c r="AB450" s="27">
        <f t="shared" ref="AB450:AB513" si="54">SUMIF($Z:$Z,AA450,$V:$V)</f>
        <v>0</v>
      </c>
      <c r="AC450" s="27">
        <f t="shared" ref="AC450:AC513" si="55">SUMIF($Z:$Z,AA450,$X:$X)</f>
        <v>0</v>
      </c>
    </row>
    <row r="451" spans="1:29">
      <c r="A451" t="s">
        <v>548</v>
      </c>
      <c r="B451" s="3">
        <v>45769</v>
      </c>
      <c r="C451" t="s">
        <v>66</v>
      </c>
      <c r="D451" t="s">
        <v>62</v>
      </c>
      <c r="E451" t="s">
        <v>79</v>
      </c>
      <c r="F451" t="s">
        <v>115</v>
      </c>
      <c r="G451" s="6">
        <v>1</v>
      </c>
      <c r="H451" s="4">
        <v>58.54</v>
      </c>
      <c r="I451" s="4">
        <v>33.22</v>
      </c>
      <c r="J451" s="5">
        <v>0.1</v>
      </c>
      <c r="K451" s="6">
        <v>0</v>
      </c>
      <c r="L451" s="6">
        <v>4</v>
      </c>
      <c r="M451" t="s">
        <v>58</v>
      </c>
      <c r="N451" t="s">
        <v>69</v>
      </c>
      <c r="O451" t="s">
        <v>60</v>
      </c>
      <c r="P451" t="str">
        <f t="shared" si="49"/>
        <v>Individual</v>
      </c>
      <c r="Q451" t="str">
        <f t="shared" si="50"/>
        <v>South</v>
      </c>
      <c r="R451" t="str">
        <f>PROPER(TRIM(E451))</f>
        <v>Electronics</v>
      </c>
      <c r="S451" s="27">
        <f>IF(ISTEXT(B451),DATEVALUE(B451),B451)</f>
        <v>45769</v>
      </c>
      <c r="T451" s="27">
        <f>COUNTIF($A$2:$A$1986,A451)</f>
        <v>1</v>
      </c>
      <c r="U451" s="27" t="str">
        <f t="shared" si="51"/>
        <v>Wireless Headset</v>
      </c>
      <c r="V451" s="27">
        <f t="shared" si="52"/>
        <v>52.686</v>
      </c>
      <c r="W451" s="27">
        <f t="shared" si="53"/>
        <v>33.22</v>
      </c>
      <c r="X451" s="27">
        <f>RawSalesTable3[[#This Row],[Revenue]]-RawSalesTable3[[#This Row],[Total_Cost]]</f>
        <v>19.466000000000001</v>
      </c>
      <c r="Y451" s="28">
        <f>RawSalesTable3[[#This Row],[Profit]]/RawSalesTable3[[#This Row],[Revenue]]</f>
        <v>0.3694719659871693</v>
      </c>
      <c r="Z451" s="27" t="str">
        <f>TEXT(RawSalesTable3[[#This Row],[Order_Date_Clean]],"MMM YYYY")</f>
        <v>Apr 2025</v>
      </c>
      <c r="AA451" s="27"/>
      <c r="AB451" s="27">
        <f t="shared" si="54"/>
        <v>0</v>
      </c>
      <c r="AC451" s="27">
        <f t="shared" si="55"/>
        <v>0</v>
      </c>
    </row>
    <row r="452" spans="1:29">
      <c r="A452" t="s">
        <v>549</v>
      </c>
      <c r="B452" s="3">
        <v>45743</v>
      </c>
      <c r="C452" t="s">
        <v>66</v>
      </c>
      <c r="D452" t="s">
        <v>62</v>
      </c>
      <c r="E452" t="s">
        <v>79</v>
      </c>
      <c r="F452" t="s">
        <v>80</v>
      </c>
      <c r="G452" s="6">
        <v>1</v>
      </c>
      <c r="H452" s="4">
        <v>76.290000000000006</v>
      </c>
      <c r="I452" s="4">
        <v>44.29</v>
      </c>
      <c r="J452" s="5">
        <v>0.1</v>
      </c>
      <c r="K452" s="6">
        <v>7</v>
      </c>
      <c r="L452" s="6">
        <v>3</v>
      </c>
      <c r="M452" t="s">
        <v>58</v>
      </c>
      <c r="N452" t="s">
        <v>59</v>
      </c>
      <c r="O452" t="s">
        <v>64</v>
      </c>
      <c r="P452" t="str">
        <f t="shared" si="49"/>
        <v>Individual</v>
      </c>
      <c r="Q452" t="str">
        <f t="shared" si="50"/>
        <v>South</v>
      </c>
      <c r="R452" t="str">
        <f>PROPER(TRIM(E452))</f>
        <v>Electronics</v>
      </c>
      <c r="S452" s="27">
        <f>IF(ISTEXT(B452),DATEVALUE(B452),B452)</f>
        <v>45743</v>
      </c>
      <c r="T452" s="27">
        <f>COUNTIF($A$2:$A$1986,A452)</f>
        <v>1</v>
      </c>
      <c r="U452" s="27" t="str">
        <f t="shared" si="51"/>
        <v>Portable Speaker</v>
      </c>
      <c r="V452" s="27">
        <f t="shared" si="52"/>
        <v>68.661000000000001</v>
      </c>
      <c r="W452" s="27">
        <f t="shared" si="53"/>
        <v>44.29</v>
      </c>
      <c r="X452" s="27">
        <f>RawSalesTable3[[#This Row],[Revenue]]-RawSalesTable3[[#This Row],[Total_Cost]]</f>
        <v>24.371000000000002</v>
      </c>
      <c r="Y452" s="28">
        <f>RawSalesTable3[[#This Row],[Profit]]/RawSalesTable3[[#This Row],[Revenue]]</f>
        <v>0.35494676745168291</v>
      </c>
      <c r="Z452" s="27" t="str">
        <f>TEXT(RawSalesTable3[[#This Row],[Order_Date_Clean]],"MMM YYYY")</f>
        <v>Mar 2025</v>
      </c>
      <c r="AA452" s="27"/>
      <c r="AB452" s="27">
        <f t="shared" si="54"/>
        <v>0</v>
      </c>
      <c r="AC452" s="27">
        <f t="shared" si="55"/>
        <v>0</v>
      </c>
    </row>
    <row r="453" spans="1:29">
      <c r="A453" t="s">
        <v>550</v>
      </c>
      <c r="B453" s="3">
        <v>45796</v>
      </c>
      <c r="C453" t="s">
        <v>54</v>
      </c>
      <c r="D453" t="s">
        <v>62</v>
      </c>
      <c r="E453" t="s">
        <v>79</v>
      </c>
      <c r="F453" t="s">
        <v>92</v>
      </c>
      <c r="G453" s="6">
        <v>3</v>
      </c>
      <c r="H453" s="4">
        <v>48.7</v>
      </c>
      <c r="I453" s="4">
        <v>25.52</v>
      </c>
      <c r="J453" s="5">
        <v>0</v>
      </c>
      <c r="K453" s="6">
        <v>0</v>
      </c>
      <c r="L453" s="6">
        <v>3</v>
      </c>
      <c r="M453" t="s">
        <v>126</v>
      </c>
      <c r="N453" t="s">
        <v>69</v>
      </c>
      <c r="O453" t="s">
        <v>64</v>
      </c>
      <c r="P453" t="str">
        <f t="shared" si="49"/>
        <v>Individual</v>
      </c>
      <c r="Q453" t="str">
        <f t="shared" si="50"/>
        <v>North</v>
      </c>
      <c r="R453" t="str">
        <f>PROPER(TRIM(E453))</f>
        <v>Electronics</v>
      </c>
      <c r="S453" s="27">
        <f>IF(ISTEXT(B453),DATEVALUE(B453),B453)</f>
        <v>45796</v>
      </c>
      <c r="T453" s="27">
        <f>COUNTIF($A$2:$A$1986,A453)</f>
        <v>1</v>
      </c>
      <c r="U453" s="27" t="str">
        <f t="shared" si="51"/>
        <v>Webcam</v>
      </c>
      <c r="V453" s="27">
        <f t="shared" si="52"/>
        <v>146.10000000000002</v>
      </c>
      <c r="W453" s="27">
        <f t="shared" si="53"/>
        <v>76.56</v>
      </c>
      <c r="X453" s="27">
        <f>RawSalesTable3[[#This Row],[Revenue]]-RawSalesTable3[[#This Row],[Total_Cost]]</f>
        <v>69.54000000000002</v>
      </c>
      <c r="Y453" s="28">
        <f>RawSalesTable3[[#This Row],[Profit]]/RawSalesTable3[[#This Row],[Revenue]]</f>
        <v>0.4759753593429159</v>
      </c>
      <c r="Z453" s="27" t="str">
        <f>TEXT(RawSalesTable3[[#This Row],[Order_Date_Clean]],"MMM YYYY")</f>
        <v>May 2025</v>
      </c>
      <c r="AA453" s="27"/>
      <c r="AB453" s="27">
        <f t="shared" si="54"/>
        <v>0</v>
      </c>
      <c r="AC453" s="27">
        <f t="shared" si="55"/>
        <v>0</v>
      </c>
    </row>
    <row r="454" spans="1:29">
      <c r="A454" t="s">
        <v>551</v>
      </c>
      <c r="B454" s="3">
        <v>46018</v>
      </c>
      <c r="C454" t="s">
        <v>66</v>
      </c>
      <c r="D454" t="s">
        <v>62</v>
      </c>
      <c r="E454" t="s">
        <v>75</v>
      </c>
      <c r="F454" t="s">
        <v>146</v>
      </c>
      <c r="G454" s="6">
        <v>2</v>
      </c>
      <c r="H454" s="4">
        <v>177.74</v>
      </c>
      <c r="I454" s="4">
        <v>117.17</v>
      </c>
      <c r="J454" s="5">
        <v>0.1</v>
      </c>
      <c r="K454" s="6">
        <v>3</v>
      </c>
      <c r="L454" s="6">
        <v>3</v>
      </c>
      <c r="M454" t="s">
        <v>126</v>
      </c>
      <c r="N454" t="s">
        <v>69</v>
      </c>
      <c r="O454" t="s">
        <v>64</v>
      </c>
      <c r="P454" t="str">
        <f t="shared" si="49"/>
        <v>Individual</v>
      </c>
      <c r="Q454" t="str">
        <f t="shared" si="50"/>
        <v>South</v>
      </c>
      <c r="R454" t="str">
        <f>PROPER(TRIM(E454))</f>
        <v>Furniture</v>
      </c>
      <c r="S454" s="27">
        <f>IF(ISTEXT(B454),DATEVALUE(B454),B454)</f>
        <v>46018</v>
      </c>
      <c r="T454" s="27">
        <f>COUNTIF($A$2:$A$1986,A454)</f>
        <v>1</v>
      </c>
      <c r="U454" s="27" t="str">
        <f t="shared" si="51"/>
        <v>Office Chair</v>
      </c>
      <c r="V454" s="27">
        <f t="shared" si="52"/>
        <v>319.93200000000002</v>
      </c>
      <c r="W454" s="27">
        <f t="shared" si="53"/>
        <v>234.34</v>
      </c>
      <c r="X454" s="27">
        <f>RawSalesTable3[[#This Row],[Revenue]]-RawSalesTable3[[#This Row],[Total_Cost]]</f>
        <v>85.592000000000013</v>
      </c>
      <c r="Y454" s="28">
        <f>RawSalesTable3[[#This Row],[Profit]]/RawSalesTable3[[#This Row],[Revenue]]</f>
        <v>0.26753185051823514</v>
      </c>
      <c r="Z454" s="27" t="str">
        <f>TEXT(RawSalesTable3[[#This Row],[Order_Date_Clean]],"MMM YYYY")</f>
        <v>Dec 2025</v>
      </c>
      <c r="AA454" s="27"/>
      <c r="AB454" s="27">
        <f t="shared" si="54"/>
        <v>0</v>
      </c>
      <c r="AC454" s="27">
        <f t="shared" si="55"/>
        <v>0</v>
      </c>
    </row>
    <row r="455" spans="1:29">
      <c r="A455" t="s">
        <v>552</v>
      </c>
      <c r="B455" s="3">
        <v>45750</v>
      </c>
      <c r="C455" t="s">
        <v>78</v>
      </c>
      <c r="D455" t="s">
        <v>62</v>
      </c>
      <c r="E455" t="s">
        <v>56</v>
      </c>
      <c r="F455" t="s">
        <v>89</v>
      </c>
      <c r="G455" s="6">
        <v>1</v>
      </c>
      <c r="H455" s="4">
        <v>78.510000000000005</v>
      </c>
      <c r="I455" s="4">
        <v>45.06</v>
      </c>
      <c r="J455" s="5">
        <v>0.1</v>
      </c>
      <c r="K455" s="6">
        <v>3</v>
      </c>
      <c r="L455" s="6">
        <v>4</v>
      </c>
      <c r="M455" t="s">
        <v>58</v>
      </c>
      <c r="N455" t="s">
        <v>59</v>
      </c>
      <c r="O455" t="s">
        <v>73</v>
      </c>
      <c r="P455" t="str">
        <f t="shared" si="49"/>
        <v>Individual</v>
      </c>
      <c r="Q455" t="str">
        <f t="shared" si="50"/>
        <v>London</v>
      </c>
      <c r="R455" t="str">
        <f>PROPER(TRIM(E455))</f>
        <v>Home &amp; Kitchen</v>
      </c>
      <c r="S455" s="27">
        <f>IF(ISTEXT(B455),DATEVALUE(B455),B455)</f>
        <v>45750</v>
      </c>
      <c r="T455" s="27">
        <f>COUNTIF($A$2:$A$1986,A455)</f>
        <v>1</v>
      </c>
      <c r="U455" s="27" t="str">
        <f t="shared" si="51"/>
        <v>Coffee Maker</v>
      </c>
      <c r="V455" s="27">
        <f t="shared" si="52"/>
        <v>70.659000000000006</v>
      </c>
      <c r="W455" s="27">
        <f t="shared" si="53"/>
        <v>45.06</v>
      </c>
      <c r="X455" s="27">
        <f>RawSalesTable3[[#This Row],[Revenue]]-RawSalesTable3[[#This Row],[Total_Cost]]</f>
        <v>25.599000000000004</v>
      </c>
      <c r="Y455" s="28">
        <f>RawSalesTable3[[#This Row],[Profit]]/RawSalesTable3[[#This Row],[Revenue]]</f>
        <v>0.36228930497176581</v>
      </c>
      <c r="Z455" s="27" t="str">
        <f>TEXT(RawSalesTable3[[#This Row],[Order_Date_Clean]],"MMM YYYY")</f>
        <v>Apr 2025</v>
      </c>
      <c r="AA455" s="27"/>
      <c r="AB455" s="27">
        <f t="shared" si="54"/>
        <v>0</v>
      </c>
      <c r="AC455" s="27">
        <f t="shared" si="55"/>
        <v>0</v>
      </c>
    </row>
    <row r="456" spans="1:29">
      <c r="A456" t="s">
        <v>553</v>
      </c>
      <c r="B456" s="3">
        <v>45965</v>
      </c>
      <c r="C456" t="s">
        <v>78</v>
      </c>
      <c r="D456" t="s">
        <v>62</v>
      </c>
      <c r="E456" t="s">
        <v>67</v>
      </c>
      <c r="F456" t="s">
        <v>71</v>
      </c>
      <c r="G456" s="6">
        <v>1</v>
      </c>
      <c r="H456" s="4">
        <v>68.819999999999993</v>
      </c>
      <c r="I456" s="4">
        <v>37.61</v>
      </c>
      <c r="J456" s="5">
        <v>0</v>
      </c>
      <c r="K456" s="6">
        <v>4</v>
      </c>
      <c r="L456" s="6">
        <v>4</v>
      </c>
      <c r="M456" t="s">
        <v>58</v>
      </c>
      <c r="N456" t="s">
        <v>59</v>
      </c>
      <c r="O456" t="s">
        <v>60</v>
      </c>
      <c r="P456" t="str">
        <f t="shared" si="49"/>
        <v>Individual</v>
      </c>
      <c r="Q456" t="str">
        <f t="shared" si="50"/>
        <v>London</v>
      </c>
      <c r="R456" t="str">
        <f>PROPER(TRIM(E456))</f>
        <v>Office</v>
      </c>
      <c r="S456" s="27">
        <f>IF(ISTEXT(B456),DATEVALUE(B456),B456)</f>
        <v>45965</v>
      </c>
      <c r="T456" s="27">
        <f>COUNTIF($A$2:$A$1986,A456)</f>
        <v>1</v>
      </c>
      <c r="U456" s="27" t="str">
        <f t="shared" si="51"/>
        <v>Ergonomic Keyboard</v>
      </c>
      <c r="V456" s="27">
        <f t="shared" si="52"/>
        <v>68.819999999999993</v>
      </c>
      <c r="W456" s="27">
        <f t="shared" si="53"/>
        <v>37.61</v>
      </c>
      <c r="X456" s="27">
        <f>RawSalesTable3[[#This Row],[Revenue]]-RawSalesTable3[[#This Row],[Total_Cost]]</f>
        <v>31.209999999999994</v>
      </c>
      <c r="Y456" s="28">
        <f>RawSalesTable3[[#This Row],[Profit]]/RawSalesTable3[[#This Row],[Revenue]]</f>
        <v>0.45350188898575988</v>
      </c>
      <c r="Z456" s="27" t="str">
        <f>TEXT(RawSalesTable3[[#This Row],[Order_Date_Clean]],"MMM YYYY")</f>
        <v>Nov 2025</v>
      </c>
      <c r="AA456" s="27"/>
      <c r="AB456" s="27">
        <f t="shared" si="54"/>
        <v>0</v>
      </c>
      <c r="AC456" s="27">
        <f t="shared" si="55"/>
        <v>0</v>
      </c>
    </row>
    <row r="457" spans="1:29">
      <c r="A457" t="s">
        <v>554</v>
      </c>
      <c r="B457" s="3">
        <v>45718</v>
      </c>
      <c r="C457" t="s">
        <v>78</v>
      </c>
      <c r="D457" t="s">
        <v>62</v>
      </c>
      <c r="E457" t="s">
        <v>56</v>
      </c>
      <c r="F457" t="s">
        <v>63</v>
      </c>
      <c r="G457" s="6">
        <v>1</v>
      </c>
      <c r="H457" s="4">
        <v>41.55</v>
      </c>
      <c r="I457" s="4">
        <v>20.82</v>
      </c>
      <c r="J457" s="5">
        <v>0</v>
      </c>
      <c r="K457" s="6">
        <v>6</v>
      </c>
      <c r="L457" s="6">
        <v>3</v>
      </c>
      <c r="M457" t="s">
        <v>58</v>
      </c>
      <c r="N457" t="s">
        <v>59</v>
      </c>
      <c r="O457" t="s">
        <v>60</v>
      </c>
      <c r="P457" t="str">
        <f t="shared" si="49"/>
        <v>Individual</v>
      </c>
      <c r="Q457" t="str">
        <f t="shared" si="50"/>
        <v>London</v>
      </c>
      <c r="R457" t="str">
        <f>PROPER(TRIM(E457))</f>
        <v>Home &amp; Kitchen</v>
      </c>
      <c r="S457" s="27">
        <f>IF(ISTEXT(B457),DATEVALUE(B457),B457)</f>
        <v>45718</v>
      </c>
      <c r="T457" s="27">
        <f>COUNTIF($A$2:$A$1986,A457)</f>
        <v>1</v>
      </c>
      <c r="U457" s="27" t="str">
        <f t="shared" si="51"/>
        <v>Electric Kettle</v>
      </c>
      <c r="V457" s="27">
        <f t="shared" si="52"/>
        <v>41.55</v>
      </c>
      <c r="W457" s="27">
        <f t="shared" si="53"/>
        <v>20.82</v>
      </c>
      <c r="X457" s="27">
        <f>RawSalesTable3[[#This Row],[Revenue]]-RawSalesTable3[[#This Row],[Total_Cost]]</f>
        <v>20.729999999999997</v>
      </c>
      <c r="Y457" s="28">
        <f>RawSalesTable3[[#This Row],[Profit]]/RawSalesTable3[[#This Row],[Revenue]]</f>
        <v>0.49891696750902526</v>
      </c>
      <c r="Z457" s="27" t="str">
        <f>TEXT(RawSalesTable3[[#This Row],[Order_Date_Clean]],"MMM YYYY")</f>
        <v>Mar 2025</v>
      </c>
      <c r="AA457" s="27"/>
      <c r="AB457" s="27">
        <f t="shared" si="54"/>
        <v>0</v>
      </c>
      <c r="AC457" s="27">
        <f t="shared" si="55"/>
        <v>0</v>
      </c>
    </row>
    <row r="458" spans="1:29">
      <c r="A458" t="s">
        <v>555</v>
      </c>
      <c r="B458" s="3">
        <v>45918</v>
      </c>
      <c r="C458" t="s">
        <v>66</v>
      </c>
      <c r="D458" t="s">
        <v>62</v>
      </c>
      <c r="E458" t="s">
        <v>79</v>
      </c>
      <c r="F458" t="s">
        <v>92</v>
      </c>
      <c r="G458" s="6">
        <v>1</v>
      </c>
      <c r="H458" s="4">
        <v>49.82</v>
      </c>
      <c r="I458" s="4">
        <v>27.28</v>
      </c>
      <c r="J458" s="5">
        <v>0.1</v>
      </c>
      <c r="K458" s="6">
        <v>2</v>
      </c>
      <c r="L458" s="6">
        <v>5</v>
      </c>
      <c r="M458" t="s">
        <v>58</v>
      </c>
      <c r="N458" t="s">
        <v>59</v>
      </c>
      <c r="O458" t="s">
        <v>64</v>
      </c>
      <c r="P458" t="str">
        <f t="shared" si="49"/>
        <v>Individual</v>
      </c>
      <c r="Q458" t="str">
        <f t="shared" si="50"/>
        <v>South</v>
      </c>
      <c r="R458" t="str">
        <f>PROPER(TRIM(E458))</f>
        <v>Electronics</v>
      </c>
      <c r="S458" s="27">
        <f>IF(ISTEXT(B458),DATEVALUE(B458),B458)</f>
        <v>45918</v>
      </c>
      <c r="T458" s="27">
        <f>COUNTIF($A$2:$A$1986,A458)</f>
        <v>1</v>
      </c>
      <c r="U458" s="27" t="str">
        <f t="shared" si="51"/>
        <v>Webcam</v>
      </c>
      <c r="V458" s="27">
        <f t="shared" si="52"/>
        <v>44.838000000000001</v>
      </c>
      <c r="W458" s="27">
        <f t="shared" si="53"/>
        <v>27.28</v>
      </c>
      <c r="X458" s="27">
        <f>RawSalesTable3[[#This Row],[Revenue]]-RawSalesTable3[[#This Row],[Total_Cost]]</f>
        <v>17.558</v>
      </c>
      <c r="Y458" s="28">
        <f>RawSalesTable3[[#This Row],[Profit]]/RawSalesTable3[[#This Row],[Revenue]]</f>
        <v>0.39158749275168381</v>
      </c>
      <c r="Z458" s="27" t="str">
        <f>TEXT(RawSalesTable3[[#This Row],[Order_Date_Clean]],"MMM YYYY")</f>
        <v>Sep 2025</v>
      </c>
      <c r="AA458" s="27"/>
      <c r="AB458" s="27">
        <f t="shared" si="54"/>
        <v>0</v>
      </c>
      <c r="AC458" s="27">
        <f t="shared" si="55"/>
        <v>0</v>
      </c>
    </row>
    <row r="459" spans="1:29">
      <c r="A459" t="s">
        <v>556</v>
      </c>
      <c r="B459" s="3">
        <v>45968</v>
      </c>
      <c r="C459" t="s">
        <v>78</v>
      </c>
      <c r="D459" t="s">
        <v>62</v>
      </c>
      <c r="E459" t="s">
        <v>75</v>
      </c>
      <c r="F459" t="s">
        <v>76</v>
      </c>
      <c r="G459" s="6">
        <v>1</v>
      </c>
      <c r="H459" s="4">
        <v>120.78</v>
      </c>
      <c r="I459" s="4">
        <v>69.91</v>
      </c>
      <c r="J459" s="5">
        <v>0.1</v>
      </c>
      <c r="K459" s="6">
        <v>4</v>
      </c>
      <c r="L459" s="6">
        <v>4</v>
      </c>
      <c r="M459" t="s">
        <v>58</v>
      </c>
      <c r="N459" t="s">
        <v>59</v>
      </c>
      <c r="O459" t="s">
        <v>64</v>
      </c>
      <c r="P459" t="str">
        <f t="shared" si="49"/>
        <v>Individual</v>
      </c>
      <c r="Q459" t="str">
        <f t="shared" si="50"/>
        <v>London</v>
      </c>
      <c r="R459" t="str">
        <f>PROPER(TRIM(E459))</f>
        <v>Furniture</v>
      </c>
      <c r="S459" s="27">
        <f>IF(ISTEXT(B459),DATEVALUE(B459),B459)</f>
        <v>45968</v>
      </c>
      <c r="T459" s="27">
        <f>COUNTIF($A$2:$A$1986,A459)</f>
        <v>1</v>
      </c>
      <c r="U459" s="27" t="str">
        <f t="shared" si="51"/>
        <v>Bookshelf</v>
      </c>
      <c r="V459" s="27">
        <f t="shared" si="52"/>
        <v>108.702</v>
      </c>
      <c r="W459" s="27">
        <f t="shared" si="53"/>
        <v>69.91</v>
      </c>
      <c r="X459" s="27">
        <f>RawSalesTable3[[#This Row],[Revenue]]-RawSalesTable3[[#This Row],[Total_Cost]]</f>
        <v>38.792000000000002</v>
      </c>
      <c r="Y459" s="28">
        <f>RawSalesTable3[[#This Row],[Profit]]/RawSalesTable3[[#This Row],[Revenue]]</f>
        <v>0.35686555905135142</v>
      </c>
      <c r="Z459" s="27" t="str">
        <f>TEXT(RawSalesTable3[[#This Row],[Order_Date_Clean]],"MMM YYYY")</f>
        <v>Nov 2025</v>
      </c>
      <c r="AA459" s="27"/>
      <c r="AB459" s="27">
        <f t="shared" si="54"/>
        <v>0</v>
      </c>
      <c r="AC459" s="27">
        <f t="shared" si="55"/>
        <v>0</v>
      </c>
    </row>
    <row r="460" spans="1:29">
      <c r="A460" t="s">
        <v>557</v>
      </c>
      <c r="B460" s="3">
        <v>45984</v>
      </c>
      <c r="C460" t="s">
        <v>66</v>
      </c>
      <c r="D460" t="s">
        <v>62</v>
      </c>
      <c r="E460" t="s">
        <v>56</v>
      </c>
      <c r="F460" t="s">
        <v>63</v>
      </c>
      <c r="G460" s="6">
        <v>1</v>
      </c>
      <c r="H460" s="4">
        <v>39.35</v>
      </c>
      <c r="I460" s="4">
        <v>19.649999999999999</v>
      </c>
      <c r="J460" s="5">
        <v>0.1</v>
      </c>
      <c r="K460" s="6">
        <v>8</v>
      </c>
      <c r="L460" s="6">
        <v>3</v>
      </c>
      <c r="M460" t="s">
        <v>58</v>
      </c>
      <c r="N460" t="s">
        <v>59</v>
      </c>
      <c r="O460" t="s">
        <v>64</v>
      </c>
      <c r="P460" t="str">
        <f t="shared" si="49"/>
        <v>Individual</v>
      </c>
      <c r="Q460" t="str">
        <f t="shared" si="50"/>
        <v>South</v>
      </c>
      <c r="R460" t="str">
        <f>PROPER(TRIM(E460))</f>
        <v>Home &amp; Kitchen</v>
      </c>
      <c r="S460" s="27">
        <f>IF(ISTEXT(B460),DATEVALUE(B460),B460)</f>
        <v>45984</v>
      </c>
      <c r="T460" s="27">
        <f>COUNTIF($A$2:$A$1986,A460)</f>
        <v>1</v>
      </c>
      <c r="U460" s="27" t="str">
        <f t="shared" si="51"/>
        <v>Electric Kettle</v>
      </c>
      <c r="V460" s="27">
        <f t="shared" si="52"/>
        <v>35.414999999999999</v>
      </c>
      <c r="W460" s="27">
        <f t="shared" si="53"/>
        <v>19.649999999999999</v>
      </c>
      <c r="X460" s="27">
        <f>RawSalesTable3[[#This Row],[Revenue]]-RawSalesTable3[[#This Row],[Total_Cost]]</f>
        <v>15.765000000000001</v>
      </c>
      <c r="Y460" s="28">
        <f>RawSalesTable3[[#This Row],[Profit]]/RawSalesTable3[[#This Row],[Revenue]]</f>
        <v>0.44515036001694203</v>
      </c>
      <c r="Z460" s="27" t="str">
        <f>TEXT(RawSalesTable3[[#This Row],[Order_Date_Clean]],"MMM YYYY")</f>
        <v>Nov 2025</v>
      </c>
      <c r="AA460" s="27"/>
      <c r="AB460" s="27">
        <f t="shared" si="54"/>
        <v>0</v>
      </c>
      <c r="AC460" s="27">
        <f t="shared" si="55"/>
        <v>0</v>
      </c>
    </row>
    <row r="461" spans="1:29">
      <c r="A461" t="s">
        <v>558</v>
      </c>
      <c r="B461" s="3">
        <v>45727</v>
      </c>
      <c r="C461" t="s">
        <v>78</v>
      </c>
      <c r="D461" t="s">
        <v>62</v>
      </c>
      <c r="E461" t="s">
        <v>56</v>
      </c>
      <c r="F461" t="s">
        <v>89</v>
      </c>
      <c r="G461" s="6">
        <v>1</v>
      </c>
      <c r="H461" s="4">
        <v>78.2</v>
      </c>
      <c r="I461" s="4">
        <v>45.09</v>
      </c>
      <c r="J461" s="5">
        <v>0.1</v>
      </c>
      <c r="K461" s="6">
        <v>5</v>
      </c>
      <c r="L461" s="6">
        <v>4</v>
      </c>
      <c r="M461" t="s">
        <v>58</v>
      </c>
      <c r="N461" t="s">
        <v>59</v>
      </c>
      <c r="O461" t="s">
        <v>73</v>
      </c>
      <c r="P461" t="str">
        <f t="shared" si="49"/>
        <v>Individual</v>
      </c>
      <c r="Q461" t="str">
        <f t="shared" si="50"/>
        <v>London</v>
      </c>
      <c r="R461" t="str">
        <f>PROPER(TRIM(E461))</f>
        <v>Home &amp; Kitchen</v>
      </c>
      <c r="S461" s="27">
        <f>IF(ISTEXT(B461),DATEVALUE(B461),B461)</f>
        <v>45727</v>
      </c>
      <c r="T461" s="27">
        <f>COUNTIF($A$2:$A$1986,A461)</f>
        <v>1</v>
      </c>
      <c r="U461" s="27" t="str">
        <f t="shared" si="51"/>
        <v>Coffee Maker</v>
      </c>
      <c r="V461" s="27">
        <f t="shared" si="52"/>
        <v>70.38000000000001</v>
      </c>
      <c r="W461" s="27">
        <f t="shared" si="53"/>
        <v>45.09</v>
      </c>
      <c r="X461" s="27">
        <f>RawSalesTable3[[#This Row],[Revenue]]-RawSalesTable3[[#This Row],[Total_Cost]]</f>
        <v>25.290000000000006</v>
      </c>
      <c r="Y461" s="28">
        <f>RawSalesTable3[[#This Row],[Profit]]/RawSalesTable3[[#This Row],[Revenue]]</f>
        <v>0.35933503836317138</v>
      </c>
      <c r="Z461" s="27" t="str">
        <f>TEXT(RawSalesTable3[[#This Row],[Order_Date_Clean]],"MMM YYYY")</f>
        <v>Mar 2025</v>
      </c>
      <c r="AA461" s="27"/>
      <c r="AB461" s="27">
        <f t="shared" si="54"/>
        <v>0</v>
      </c>
      <c r="AC461" s="27">
        <f t="shared" si="55"/>
        <v>0</v>
      </c>
    </row>
    <row r="462" spans="1:29">
      <c r="A462" t="s">
        <v>559</v>
      </c>
      <c r="B462" s="3">
        <v>45731</v>
      </c>
      <c r="C462" t="s">
        <v>78</v>
      </c>
      <c r="D462" t="s">
        <v>62</v>
      </c>
      <c r="E462" t="s">
        <v>56</v>
      </c>
      <c r="F462" t="s">
        <v>57</v>
      </c>
      <c r="G462" s="6">
        <v>1</v>
      </c>
      <c r="H462" s="4">
        <v>107.23</v>
      </c>
      <c r="I462" s="4">
        <v>66.39</v>
      </c>
      <c r="J462" s="5">
        <v>0.1</v>
      </c>
      <c r="K462" s="6">
        <v>7</v>
      </c>
      <c r="L462" s="6">
        <v>4</v>
      </c>
      <c r="M462" t="s">
        <v>58</v>
      </c>
      <c r="N462" t="s">
        <v>59</v>
      </c>
      <c r="O462" t="s">
        <v>73</v>
      </c>
      <c r="P462" t="str">
        <f t="shared" si="49"/>
        <v>Individual</v>
      </c>
      <c r="Q462" t="str">
        <f t="shared" si="50"/>
        <v>London</v>
      </c>
      <c r="R462" t="str">
        <f>PROPER(TRIM(E462))</f>
        <v>Home &amp; Kitchen</v>
      </c>
      <c r="S462" s="27">
        <f>IF(ISTEXT(B462),DATEVALUE(B462),B462)</f>
        <v>45731</v>
      </c>
      <c r="T462" s="27">
        <f>COUNTIF($A$2:$A$1986,A462)</f>
        <v>1</v>
      </c>
      <c r="U462" s="27" t="str">
        <f t="shared" si="51"/>
        <v>Air Fryer</v>
      </c>
      <c r="V462" s="27">
        <f t="shared" si="52"/>
        <v>96.507000000000005</v>
      </c>
      <c r="W462" s="27">
        <f t="shared" si="53"/>
        <v>66.39</v>
      </c>
      <c r="X462" s="27">
        <f>RawSalesTable3[[#This Row],[Revenue]]-RawSalesTable3[[#This Row],[Total_Cost]]</f>
        <v>30.117000000000004</v>
      </c>
      <c r="Y462" s="28">
        <f>RawSalesTable3[[#This Row],[Profit]]/RawSalesTable3[[#This Row],[Revenue]]</f>
        <v>0.31207062700115018</v>
      </c>
      <c r="Z462" s="27" t="str">
        <f>TEXT(RawSalesTable3[[#This Row],[Order_Date_Clean]],"MMM YYYY")</f>
        <v>Mar 2025</v>
      </c>
      <c r="AA462" s="27"/>
      <c r="AB462" s="27">
        <f t="shared" si="54"/>
        <v>0</v>
      </c>
      <c r="AC462" s="27">
        <f t="shared" si="55"/>
        <v>0</v>
      </c>
    </row>
    <row r="463" spans="1:29">
      <c r="A463" t="s">
        <v>560</v>
      </c>
      <c r="B463" s="3">
        <v>45882</v>
      </c>
      <c r="C463" t="s">
        <v>78</v>
      </c>
      <c r="D463" t="s">
        <v>62</v>
      </c>
      <c r="E463" t="s">
        <v>67</v>
      </c>
      <c r="F463" t="s">
        <v>107</v>
      </c>
      <c r="G463" s="6">
        <v>1</v>
      </c>
      <c r="H463" s="4">
        <v>44.2</v>
      </c>
      <c r="I463" s="4">
        <v>21.63</v>
      </c>
      <c r="J463" s="5">
        <v>0.05</v>
      </c>
      <c r="K463" s="6">
        <v>1</v>
      </c>
      <c r="L463" s="6">
        <v>5</v>
      </c>
      <c r="M463" t="s">
        <v>58</v>
      </c>
      <c r="N463" t="s">
        <v>69</v>
      </c>
      <c r="O463" t="s">
        <v>64</v>
      </c>
      <c r="P463" t="str">
        <f t="shared" si="49"/>
        <v>Individual</v>
      </c>
      <c r="Q463" t="str">
        <f t="shared" si="50"/>
        <v>London</v>
      </c>
      <c r="R463" t="str">
        <f>PROPER(TRIM(E463))</f>
        <v>Office</v>
      </c>
      <c r="S463" s="27">
        <f>IF(ISTEXT(B463),DATEVALUE(B463),B463)</f>
        <v>45882</v>
      </c>
      <c r="T463" s="27">
        <f>COUNTIF($A$2:$A$1986,A463)</f>
        <v>1</v>
      </c>
      <c r="U463" s="27" t="str">
        <f t="shared" si="51"/>
        <v>Laptop Stand</v>
      </c>
      <c r="V463" s="27">
        <f t="shared" si="52"/>
        <v>41.99</v>
      </c>
      <c r="W463" s="27">
        <f t="shared" si="53"/>
        <v>21.63</v>
      </c>
      <c r="X463" s="27">
        <f>RawSalesTable3[[#This Row],[Revenue]]-RawSalesTable3[[#This Row],[Total_Cost]]</f>
        <v>20.360000000000003</v>
      </c>
      <c r="Y463" s="28">
        <f>RawSalesTable3[[#This Row],[Profit]]/RawSalesTable3[[#This Row],[Revenue]]</f>
        <v>0.4848773517504168</v>
      </c>
      <c r="Z463" s="27" t="str">
        <f>TEXT(RawSalesTable3[[#This Row],[Order_Date_Clean]],"MMM YYYY")</f>
        <v>Aug 2025</v>
      </c>
      <c r="AA463" s="27"/>
      <c r="AB463" s="27">
        <f t="shared" si="54"/>
        <v>0</v>
      </c>
      <c r="AC463" s="27">
        <f t="shared" si="55"/>
        <v>0</v>
      </c>
    </row>
    <row r="464" spans="1:29">
      <c r="A464" t="s">
        <v>561</v>
      </c>
      <c r="B464" s="3">
        <v>45763</v>
      </c>
      <c r="C464" t="s">
        <v>54</v>
      </c>
      <c r="D464" t="s">
        <v>55</v>
      </c>
      <c r="E464" t="s">
        <v>56</v>
      </c>
      <c r="F464" t="s">
        <v>89</v>
      </c>
      <c r="G464" s="6">
        <v>2</v>
      </c>
      <c r="H464" s="4">
        <v>79.67</v>
      </c>
      <c r="I464" s="4">
        <v>45.86</v>
      </c>
      <c r="J464" s="5">
        <v>0</v>
      </c>
      <c r="K464" s="6">
        <v>4</v>
      </c>
      <c r="L464" s="6">
        <v>3</v>
      </c>
      <c r="M464" t="s">
        <v>126</v>
      </c>
      <c r="N464" t="s">
        <v>59</v>
      </c>
      <c r="O464" t="s">
        <v>64</v>
      </c>
      <c r="P464" t="str">
        <f t="shared" si="49"/>
        <v>Small Business</v>
      </c>
      <c r="Q464" t="str">
        <f t="shared" si="50"/>
        <v>North</v>
      </c>
      <c r="R464" t="str">
        <f>PROPER(TRIM(E464))</f>
        <v>Home &amp; Kitchen</v>
      </c>
      <c r="S464" s="27">
        <f>IF(ISTEXT(B464),DATEVALUE(B464),B464)</f>
        <v>45763</v>
      </c>
      <c r="T464" s="27">
        <f>COUNTIF($A$2:$A$1986,A464)</f>
        <v>1</v>
      </c>
      <c r="U464" s="27" t="str">
        <f t="shared" si="51"/>
        <v>Coffee Maker</v>
      </c>
      <c r="V464" s="27">
        <f t="shared" si="52"/>
        <v>159.34</v>
      </c>
      <c r="W464" s="27">
        <f t="shared" si="53"/>
        <v>91.72</v>
      </c>
      <c r="X464" s="27">
        <f>RawSalesTable3[[#This Row],[Revenue]]-RawSalesTable3[[#This Row],[Total_Cost]]</f>
        <v>67.62</v>
      </c>
      <c r="Y464" s="28">
        <f>RawSalesTable3[[#This Row],[Profit]]/RawSalesTable3[[#This Row],[Revenue]]</f>
        <v>0.42437554914020337</v>
      </c>
      <c r="Z464" s="27" t="str">
        <f>TEXT(RawSalesTable3[[#This Row],[Order_Date_Clean]],"MMM YYYY")</f>
        <v>Apr 2025</v>
      </c>
      <c r="AA464" s="27"/>
      <c r="AB464" s="27">
        <f t="shared" si="54"/>
        <v>0</v>
      </c>
      <c r="AC464" s="27">
        <f t="shared" si="55"/>
        <v>0</v>
      </c>
    </row>
    <row r="465" spans="1:29">
      <c r="A465" t="s">
        <v>562</v>
      </c>
      <c r="B465" s="3">
        <v>45996</v>
      </c>
      <c r="C465" t="s">
        <v>82</v>
      </c>
      <c r="D465" t="s">
        <v>62</v>
      </c>
      <c r="E465" t="s">
        <v>56</v>
      </c>
      <c r="F465" t="s">
        <v>89</v>
      </c>
      <c r="G465" s="6">
        <v>1</v>
      </c>
      <c r="H465" s="4">
        <v>78.77</v>
      </c>
      <c r="I465" s="4">
        <v>44.05</v>
      </c>
      <c r="J465" s="5">
        <v>0.05</v>
      </c>
      <c r="K465" s="6">
        <v>3</v>
      </c>
      <c r="L465" s="6">
        <v>5</v>
      </c>
      <c r="M465" t="s">
        <v>58</v>
      </c>
      <c r="N465" t="s">
        <v>59</v>
      </c>
      <c r="O465" t="s">
        <v>64</v>
      </c>
      <c r="P465" t="str">
        <f t="shared" si="49"/>
        <v>Individual</v>
      </c>
      <c r="Q465" t="str">
        <f t="shared" si="50"/>
        <v>Midlands</v>
      </c>
      <c r="R465" t="str">
        <f>PROPER(TRIM(E465))</f>
        <v>Home &amp; Kitchen</v>
      </c>
      <c r="S465" s="27">
        <f>IF(ISTEXT(B465),DATEVALUE(B465),B465)</f>
        <v>45996</v>
      </c>
      <c r="T465" s="27">
        <f>COUNTIF($A$2:$A$1986,A465)</f>
        <v>1</v>
      </c>
      <c r="U465" s="27" t="str">
        <f t="shared" si="51"/>
        <v>Coffee Maker</v>
      </c>
      <c r="V465" s="27">
        <f t="shared" si="52"/>
        <v>74.831499999999991</v>
      </c>
      <c r="W465" s="27">
        <f t="shared" si="53"/>
        <v>44.05</v>
      </c>
      <c r="X465" s="27">
        <f>RawSalesTable3[[#This Row],[Revenue]]-RawSalesTable3[[#This Row],[Total_Cost]]</f>
        <v>30.781499999999994</v>
      </c>
      <c r="Y465" s="28">
        <f>RawSalesTable3[[#This Row],[Profit]]/RawSalesTable3[[#This Row],[Revenue]]</f>
        <v>0.41134415319751705</v>
      </c>
      <c r="Z465" s="27" t="str">
        <f>TEXT(RawSalesTable3[[#This Row],[Order_Date_Clean]],"MMM YYYY")</f>
        <v>Dec 2025</v>
      </c>
      <c r="AA465" s="27"/>
      <c r="AB465" s="27">
        <f t="shared" si="54"/>
        <v>0</v>
      </c>
      <c r="AC465" s="27">
        <f t="shared" si="55"/>
        <v>0</v>
      </c>
    </row>
    <row r="466" spans="1:29">
      <c r="A466" t="s">
        <v>563</v>
      </c>
      <c r="B466" s="3">
        <v>45932</v>
      </c>
      <c r="C466" t="s">
        <v>78</v>
      </c>
      <c r="D466" t="s">
        <v>55</v>
      </c>
      <c r="E466" t="s">
        <v>79</v>
      </c>
      <c r="F466" t="s">
        <v>115</v>
      </c>
      <c r="G466" s="6">
        <v>3</v>
      </c>
      <c r="H466" s="4">
        <v>60.48</v>
      </c>
      <c r="I466" s="4">
        <v>34.799999999999997</v>
      </c>
      <c r="J466" s="5">
        <v>0.05</v>
      </c>
      <c r="K466" s="6">
        <v>4</v>
      </c>
      <c r="L466" s="6">
        <v>4</v>
      </c>
      <c r="M466" t="s">
        <v>58</v>
      </c>
      <c r="N466" t="s">
        <v>59</v>
      </c>
      <c r="O466" t="s">
        <v>60</v>
      </c>
      <c r="P466" t="str">
        <f t="shared" si="49"/>
        <v>Small Business</v>
      </c>
      <c r="Q466" t="str">
        <f t="shared" si="50"/>
        <v>London</v>
      </c>
      <c r="R466" t="str">
        <f>PROPER(TRIM(E466))</f>
        <v>Electronics</v>
      </c>
      <c r="S466" s="27">
        <f>IF(ISTEXT(B466),DATEVALUE(B466),B466)</f>
        <v>45932</v>
      </c>
      <c r="T466" s="27">
        <f>COUNTIF($A$2:$A$1986,A466)</f>
        <v>1</v>
      </c>
      <c r="U466" s="27" t="str">
        <f t="shared" si="51"/>
        <v>Wireless Headset</v>
      </c>
      <c r="V466" s="27">
        <f t="shared" si="52"/>
        <v>172.36799999999999</v>
      </c>
      <c r="W466" s="27">
        <f t="shared" si="53"/>
        <v>104.39999999999999</v>
      </c>
      <c r="X466" s="27">
        <f>RawSalesTable3[[#This Row],[Revenue]]-RawSalesTable3[[#This Row],[Total_Cost]]</f>
        <v>67.968000000000004</v>
      </c>
      <c r="Y466" s="28">
        <f>RawSalesTable3[[#This Row],[Profit]]/RawSalesTable3[[#This Row],[Revenue]]</f>
        <v>0.39431913116123646</v>
      </c>
      <c r="Z466" s="27" t="str">
        <f>TEXT(RawSalesTable3[[#This Row],[Order_Date_Clean]],"MMM YYYY")</f>
        <v>Oct 2025</v>
      </c>
      <c r="AA466" s="27"/>
      <c r="AB466" s="27">
        <f t="shared" si="54"/>
        <v>0</v>
      </c>
      <c r="AC466" s="27">
        <f t="shared" si="55"/>
        <v>0</v>
      </c>
    </row>
    <row r="467" spans="1:29">
      <c r="A467" t="s">
        <v>564</v>
      </c>
      <c r="B467" s="3">
        <v>45855</v>
      </c>
      <c r="C467" t="s">
        <v>66</v>
      </c>
      <c r="D467" t="s">
        <v>55</v>
      </c>
      <c r="E467" t="s">
        <v>75</v>
      </c>
      <c r="F467" t="s">
        <v>146</v>
      </c>
      <c r="G467" s="6">
        <v>1</v>
      </c>
      <c r="H467" s="4">
        <v>181.22</v>
      </c>
      <c r="I467" s="4">
        <v>115.2</v>
      </c>
      <c r="J467" s="5">
        <v>0.05</v>
      </c>
      <c r="K467" s="6">
        <v>3</v>
      </c>
      <c r="L467" s="6">
        <v>3</v>
      </c>
      <c r="M467" t="s">
        <v>126</v>
      </c>
      <c r="N467" t="s">
        <v>69</v>
      </c>
      <c r="O467" t="s">
        <v>64</v>
      </c>
      <c r="P467" t="str">
        <f t="shared" si="49"/>
        <v>Small Business</v>
      </c>
      <c r="Q467" t="str">
        <f t="shared" si="50"/>
        <v>South</v>
      </c>
      <c r="R467" t="str">
        <f>PROPER(TRIM(E467))</f>
        <v>Furniture</v>
      </c>
      <c r="S467" s="27">
        <f>IF(ISTEXT(B467),DATEVALUE(B467),B467)</f>
        <v>45855</v>
      </c>
      <c r="T467" s="27">
        <f>COUNTIF($A$2:$A$1986,A467)</f>
        <v>1</v>
      </c>
      <c r="U467" s="27" t="str">
        <f t="shared" si="51"/>
        <v>Office Chair</v>
      </c>
      <c r="V467" s="27">
        <f t="shared" si="52"/>
        <v>172.15899999999999</v>
      </c>
      <c r="W467" s="27">
        <f t="shared" si="53"/>
        <v>115.2</v>
      </c>
      <c r="X467" s="27">
        <f>RawSalesTable3[[#This Row],[Revenue]]-RawSalesTable3[[#This Row],[Total_Cost]]</f>
        <v>56.958999999999989</v>
      </c>
      <c r="Y467" s="28">
        <f>RawSalesTable3[[#This Row],[Profit]]/RawSalesTable3[[#This Row],[Revenue]]</f>
        <v>0.3308511318025778</v>
      </c>
      <c r="Z467" s="27" t="str">
        <f>TEXT(RawSalesTable3[[#This Row],[Order_Date_Clean]],"MMM YYYY")</f>
        <v>Jul 2025</v>
      </c>
      <c r="AA467" s="27"/>
      <c r="AB467" s="27">
        <f t="shared" si="54"/>
        <v>0</v>
      </c>
      <c r="AC467" s="27">
        <f t="shared" si="55"/>
        <v>0</v>
      </c>
    </row>
    <row r="468" spans="1:29">
      <c r="A468" t="s">
        <v>565</v>
      </c>
      <c r="B468" s="3">
        <v>45746</v>
      </c>
      <c r="C468" t="s">
        <v>82</v>
      </c>
      <c r="D468" t="s">
        <v>62</v>
      </c>
      <c r="E468" t="s">
        <v>79</v>
      </c>
      <c r="F468" t="s">
        <v>115</v>
      </c>
      <c r="G468" s="6">
        <v>1</v>
      </c>
      <c r="H468" s="4">
        <v>59.26</v>
      </c>
      <c r="I468" s="4">
        <v>34</v>
      </c>
      <c r="J468" s="5">
        <v>0.05</v>
      </c>
      <c r="K468" s="6">
        <v>4</v>
      </c>
      <c r="L468" s="6">
        <v>4</v>
      </c>
      <c r="M468" t="s">
        <v>58</v>
      </c>
      <c r="N468" t="s">
        <v>59</v>
      </c>
      <c r="O468" t="s">
        <v>64</v>
      </c>
      <c r="P468" t="str">
        <f t="shared" si="49"/>
        <v>Individual</v>
      </c>
      <c r="Q468" t="str">
        <f t="shared" si="50"/>
        <v>Midlands</v>
      </c>
      <c r="R468" t="str">
        <f>PROPER(TRIM(E468))</f>
        <v>Electronics</v>
      </c>
      <c r="S468" s="27">
        <f>IF(ISTEXT(B468),DATEVALUE(B468),B468)</f>
        <v>45746</v>
      </c>
      <c r="T468" s="27">
        <f>COUNTIF($A$2:$A$1986,A468)</f>
        <v>1</v>
      </c>
      <c r="U468" s="27" t="str">
        <f t="shared" si="51"/>
        <v>Wireless Headset</v>
      </c>
      <c r="V468" s="27">
        <f t="shared" si="52"/>
        <v>56.296999999999997</v>
      </c>
      <c r="W468" s="27">
        <f t="shared" si="53"/>
        <v>34</v>
      </c>
      <c r="X468" s="27">
        <f>RawSalesTable3[[#This Row],[Revenue]]-RawSalesTable3[[#This Row],[Total_Cost]]</f>
        <v>22.296999999999997</v>
      </c>
      <c r="Y468" s="28">
        <f>RawSalesTable3[[#This Row],[Profit]]/RawSalesTable3[[#This Row],[Revenue]]</f>
        <v>0.39606018082668698</v>
      </c>
      <c r="Z468" s="27" t="str">
        <f>TEXT(RawSalesTable3[[#This Row],[Order_Date_Clean]],"MMM YYYY")</f>
        <v>Mar 2025</v>
      </c>
      <c r="AA468" s="27"/>
      <c r="AB468" s="27">
        <f t="shared" si="54"/>
        <v>0</v>
      </c>
      <c r="AC468" s="27">
        <f t="shared" si="55"/>
        <v>0</v>
      </c>
    </row>
    <row r="469" spans="1:29">
      <c r="A469" t="s">
        <v>566</v>
      </c>
      <c r="B469" s="3">
        <v>46020</v>
      </c>
      <c r="C469" t="s">
        <v>78</v>
      </c>
      <c r="D469" t="s">
        <v>62</v>
      </c>
      <c r="E469" t="s">
        <v>67</v>
      </c>
      <c r="F469" t="s">
        <v>94</v>
      </c>
      <c r="G469" s="6">
        <v>2</v>
      </c>
      <c r="H469" s="4">
        <v>34.96</v>
      </c>
      <c r="I469" s="4">
        <v>17.760000000000002</v>
      </c>
      <c r="J469" s="5">
        <v>0.05</v>
      </c>
      <c r="K469" s="6">
        <v>0</v>
      </c>
      <c r="L469" s="6">
        <v>5</v>
      </c>
      <c r="M469" t="s">
        <v>58</v>
      </c>
      <c r="N469" t="s">
        <v>69</v>
      </c>
      <c r="O469" t="s">
        <v>73</v>
      </c>
      <c r="P469" t="str">
        <f t="shared" si="49"/>
        <v>Individual</v>
      </c>
      <c r="Q469" t="str">
        <f t="shared" si="50"/>
        <v>London</v>
      </c>
      <c r="R469" t="str">
        <f>PROPER(TRIM(E469))</f>
        <v>Office</v>
      </c>
      <c r="S469" s="27">
        <f>IF(ISTEXT(B469),DATEVALUE(B469),B469)</f>
        <v>46020</v>
      </c>
      <c r="T469" s="27">
        <f>COUNTIF($A$2:$A$1986,A469)</f>
        <v>1</v>
      </c>
      <c r="U469" s="27" t="str">
        <f t="shared" si="51"/>
        <v>Wireless Mouse</v>
      </c>
      <c r="V469" s="27">
        <f t="shared" si="52"/>
        <v>66.423999999999992</v>
      </c>
      <c r="W469" s="27">
        <f t="shared" si="53"/>
        <v>35.520000000000003</v>
      </c>
      <c r="X469" s="27">
        <f>RawSalesTable3[[#This Row],[Revenue]]-RawSalesTable3[[#This Row],[Total_Cost]]</f>
        <v>30.903999999999989</v>
      </c>
      <c r="Y469" s="28">
        <f>RawSalesTable3[[#This Row],[Profit]]/RawSalesTable3[[#This Row],[Revenue]]</f>
        <v>0.46525352282307592</v>
      </c>
      <c r="Z469" s="27" t="str">
        <f>TEXT(RawSalesTable3[[#This Row],[Order_Date_Clean]],"MMM YYYY")</f>
        <v>Dec 2025</v>
      </c>
      <c r="AA469" s="27"/>
      <c r="AB469" s="27">
        <f t="shared" si="54"/>
        <v>0</v>
      </c>
      <c r="AC469" s="27">
        <f t="shared" si="55"/>
        <v>0</v>
      </c>
    </row>
    <row r="470" spans="1:29">
      <c r="A470" t="s">
        <v>567</v>
      </c>
      <c r="B470" s="3">
        <v>45856</v>
      </c>
      <c r="C470" t="s">
        <v>66</v>
      </c>
      <c r="D470" t="s">
        <v>62</v>
      </c>
      <c r="E470" t="s">
        <v>67</v>
      </c>
      <c r="F470" t="s">
        <v>68</v>
      </c>
      <c r="G470" s="6">
        <v>1</v>
      </c>
      <c r="H470" s="4">
        <v>40.39</v>
      </c>
      <c r="I470" s="4">
        <v>18.489999999999998</v>
      </c>
      <c r="J470" s="5">
        <v>0.15000000000000002</v>
      </c>
      <c r="K470" s="6">
        <v>0</v>
      </c>
      <c r="L470" s="6">
        <v>4</v>
      </c>
      <c r="M470" t="s">
        <v>58</v>
      </c>
      <c r="N470" t="s">
        <v>69</v>
      </c>
      <c r="O470" t="s">
        <v>64</v>
      </c>
      <c r="P470" t="str">
        <f t="shared" si="49"/>
        <v>Individual</v>
      </c>
      <c r="Q470" t="str">
        <f t="shared" si="50"/>
        <v>South</v>
      </c>
      <c r="R470" t="str">
        <f>PROPER(TRIM(E470))</f>
        <v>Office</v>
      </c>
      <c r="S470" s="27">
        <f>IF(ISTEXT(B470),DATEVALUE(B470),B470)</f>
        <v>45856</v>
      </c>
      <c r="T470" s="27">
        <f>COUNTIF($A$2:$A$1986,A470)</f>
        <v>1</v>
      </c>
      <c r="U470" s="27" t="str">
        <f t="shared" si="51"/>
        <v>Desk Lamp</v>
      </c>
      <c r="V470" s="27">
        <f t="shared" si="52"/>
        <v>34.331499999999998</v>
      </c>
      <c r="W470" s="27">
        <f t="shared" si="53"/>
        <v>18.489999999999998</v>
      </c>
      <c r="X470" s="27">
        <f>RawSalesTable3[[#This Row],[Revenue]]-RawSalesTable3[[#This Row],[Total_Cost]]</f>
        <v>15.8415</v>
      </c>
      <c r="Y470" s="28">
        <f>RawSalesTable3[[#This Row],[Profit]]/RawSalesTable3[[#This Row],[Revenue]]</f>
        <v>0.46142755195665791</v>
      </c>
      <c r="Z470" s="27" t="str">
        <f>TEXT(RawSalesTable3[[#This Row],[Order_Date_Clean]],"MMM YYYY")</f>
        <v>Jul 2025</v>
      </c>
      <c r="AA470" s="27"/>
      <c r="AB470" s="27">
        <f t="shared" si="54"/>
        <v>0</v>
      </c>
      <c r="AC470" s="27">
        <f t="shared" si="55"/>
        <v>0</v>
      </c>
    </row>
    <row r="471" spans="1:29">
      <c r="A471" t="s">
        <v>568</v>
      </c>
      <c r="B471" s="3">
        <v>45980</v>
      </c>
      <c r="C471" t="s">
        <v>66</v>
      </c>
      <c r="D471" t="s">
        <v>55</v>
      </c>
      <c r="E471" t="s">
        <v>56</v>
      </c>
      <c r="F471" t="s">
        <v>89</v>
      </c>
      <c r="G471" s="6">
        <v>3</v>
      </c>
      <c r="H471" s="4">
        <v>82.14</v>
      </c>
      <c r="I471" s="4">
        <v>45.37</v>
      </c>
      <c r="J471" s="5">
        <v>0.1</v>
      </c>
      <c r="K471" s="6">
        <v>4</v>
      </c>
      <c r="L471" s="6">
        <v>4</v>
      </c>
      <c r="M471" t="s">
        <v>58</v>
      </c>
      <c r="N471" t="s">
        <v>59</v>
      </c>
      <c r="O471" t="s">
        <v>64</v>
      </c>
      <c r="P471" t="str">
        <f t="shared" si="49"/>
        <v>Small Business</v>
      </c>
      <c r="Q471" t="str">
        <f t="shared" si="50"/>
        <v>South</v>
      </c>
      <c r="R471" t="str">
        <f>PROPER(TRIM(E471))</f>
        <v>Home &amp; Kitchen</v>
      </c>
      <c r="S471" s="27">
        <f>IF(ISTEXT(B471),DATEVALUE(B471),B471)</f>
        <v>45980</v>
      </c>
      <c r="T471" s="27">
        <f>COUNTIF($A$2:$A$1986,A471)</f>
        <v>1</v>
      </c>
      <c r="U471" s="27" t="str">
        <f t="shared" si="51"/>
        <v>Coffee Maker</v>
      </c>
      <c r="V471" s="27">
        <f t="shared" si="52"/>
        <v>221.77800000000002</v>
      </c>
      <c r="W471" s="27">
        <f t="shared" si="53"/>
        <v>136.10999999999999</v>
      </c>
      <c r="X471" s="27">
        <f>RawSalesTable3[[#This Row],[Revenue]]-RawSalesTable3[[#This Row],[Total_Cost]]</f>
        <v>85.668000000000035</v>
      </c>
      <c r="Y471" s="28">
        <f>RawSalesTable3[[#This Row],[Profit]]/RawSalesTable3[[#This Row],[Revenue]]</f>
        <v>0.38627817006195397</v>
      </c>
      <c r="Z471" s="27" t="str">
        <f>TEXT(RawSalesTable3[[#This Row],[Order_Date_Clean]],"MMM YYYY")</f>
        <v>Nov 2025</v>
      </c>
      <c r="AA471" s="27"/>
      <c r="AB471" s="27">
        <f t="shared" si="54"/>
        <v>0</v>
      </c>
      <c r="AC471" s="27">
        <f t="shared" si="55"/>
        <v>0</v>
      </c>
    </row>
    <row r="472" spans="1:29">
      <c r="A472" t="s">
        <v>569</v>
      </c>
      <c r="B472" s="3">
        <v>45801</v>
      </c>
      <c r="C472" t="s">
        <v>66</v>
      </c>
      <c r="D472" t="s">
        <v>55</v>
      </c>
      <c r="E472" t="s">
        <v>75</v>
      </c>
      <c r="F472" t="s">
        <v>146</v>
      </c>
      <c r="G472" s="6">
        <v>3</v>
      </c>
      <c r="H472" s="4">
        <v>180.67</v>
      </c>
      <c r="I472" s="4">
        <v>115.08</v>
      </c>
      <c r="J472" s="5">
        <v>0</v>
      </c>
      <c r="K472" s="6">
        <v>4</v>
      </c>
      <c r="L472" s="6">
        <v>5</v>
      </c>
      <c r="M472" t="s">
        <v>58</v>
      </c>
      <c r="N472" t="s">
        <v>59</v>
      </c>
      <c r="O472" t="s">
        <v>73</v>
      </c>
      <c r="P472" t="str">
        <f t="shared" si="49"/>
        <v>Small Business</v>
      </c>
      <c r="Q472" t="str">
        <f t="shared" si="50"/>
        <v>South</v>
      </c>
      <c r="R472" t="str">
        <f>PROPER(TRIM(E472))</f>
        <v>Furniture</v>
      </c>
      <c r="S472" s="27">
        <f>IF(ISTEXT(B472),DATEVALUE(B472),B472)</f>
        <v>45801</v>
      </c>
      <c r="T472" s="27">
        <f>COUNTIF($A$2:$A$1986,A472)</f>
        <v>1</v>
      </c>
      <c r="U472" s="27" t="str">
        <f t="shared" si="51"/>
        <v>Office Chair</v>
      </c>
      <c r="V472" s="27">
        <f t="shared" si="52"/>
        <v>542.01</v>
      </c>
      <c r="W472" s="27">
        <f t="shared" si="53"/>
        <v>345.24</v>
      </c>
      <c r="X472" s="27">
        <f>RawSalesTable3[[#This Row],[Revenue]]-RawSalesTable3[[#This Row],[Total_Cost]]</f>
        <v>196.76999999999998</v>
      </c>
      <c r="Y472" s="28">
        <f>RawSalesTable3[[#This Row],[Profit]]/RawSalesTable3[[#This Row],[Revenue]]</f>
        <v>0.36303758233242928</v>
      </c>
      <c r="Z472" s="27" t="str">
        <f>TEXT(RawSalesTable3[[#This Row],[Order_Date_Clean]],"MMM YYYY")</f>
        <v>May 2025</v>
      </c>
      <c r="AA472" s="27"/>
      <c r="AB472" s="27">
        <f t="shared" si="54"/>
        <v>0</v>
      </c>
      <c r="AC472" s="27">
        <f t="shared" si="55"/>
        <v>0</v>
      </c>
    </row>
    <row r="473" spans="1:29">
      <c r="A473" t="s">
        <v>570</v>
      </c>
      <c r="B473" s="3">
        <v>45942</v>
      </c>
      <c r="C473" t="s">
        <v>78</v>
      </c>
      <c r="D473" t="s">
        <v>55</v>
      </c>
      <c r="E473" t="s">
        <v>79</v>
      </c>
      <c r="F473" t="s">
        <v>115</v>
      </c>
      <c r="G473" s="6">
        <v>6</v>
      </c>
      <c r="H473" s="4">
        <v>60.82</v>
      </c>
      <c r="I473" s="4">
        <v>35.51</v>
      </c>
      <c r="J473" s="5">
        <v>0</v>
      </c>
      <c r="K473" s="6">
        <v>0</v>
      </c>
      <c r="L473" s="6">
        <v>4</v>
      </c>
      <c r="M473" t="s">
        <v>58</v>
      </c>
      <c r="N473" t="s">
        <v>69</v>
      </c>
      <c r="O473" t="s">
        <v>64</v>
      </c>
      <c r="P473" t="str">
        <f t="shared" si="49"/>
        <v>Small Business</v>
      </c>
      <c r="Q473" t="str">
        <f t="shared" si="50"/>
        <v>London</v>
      </c>
      <c r="R473" t="str">
        <f>PROPER(TRIM(E473))</f>
        <v>Electronics</v>
      </c>
      <c r="S473" s="27">
        <f>IF(ISTEXT(B473),DATEVALUE(B473),B473)</f>
        <v>45942</v>
      </c>
      <c r="T473" s="27">
        <f>COUNTIF($A$2:$A$1986,A473)</f>
        <v>1</v>
      </c>
      <c r="U473" s="27" t="str">
        <f t="shared" si="51"/>
        <v>Wireless Headset</v>
      </c>
      <c r="V473" s="27">
        <f t="shared" si="52"/>
        <v>364.92</v>
      </c>
      <c r="W473" s="27">
        <f t="shared" si="53"/>
        <v>213.06</v>
      </c>
      <c r="X473" s="27">
        <f>RawSalesTable3[[#This Row],[Revenue]]-RawSalesTable3[[#This Row],[Total_Cost]]</f>
        <v>151.86000000000001</v>
      </c>
      <c r="Y473" s="28">
        <f>RawSalesTable3[[#This Row],[Profit]]/RawSalesTable3[[#This Row],[Revenue]]</f>
        <v>0.41614600460374879</v>
      </c>
      <c r="Z473" s="27" t="str">
        <f>TEXT(RawSalesTable3[[#This Row],[Order_Date_Clean]],"MMM YYYY")</f>
        <v>Oct 2025</v>
      </c>
      <c r="AA473" s="27"/>
      <c r="AB473" s="27">
        <f t="shared" si="54"/>
        <v>0</v>
      </c>
      <c r="AC473" s="27">
        <f t="shared" si="55"/>
        <v>0</v>
      </c>
    </row>
    <row r="474" spans="1:29">
      <c r="A474" t="s">
        <v>571</v>
      </c>
      <c r="B474" s="3">
        <v>45904</v>
      </c>
      <c r="C474" t="s">
        <v>66</v>
      </c>
      <c r="D474" t="s">
        <v>55</v>
      </c>
      <c r="E474" t="s">
        <v>56</v>
      </c>
      <c r="F474" t="s">
        <v>57</v>
      </c>
      <c r="G474" s="6">
        <v>4</v>
      </c>
      <c r="H474" s="4">
        <v>111.05</v>
      </c>
      <c r="I474" s="4">
        <v>67.39</v>
      </c>
      <c r="J474" s="5">
        <v>0.1</v>
      </c>
      <c r="K474" s="6">
        <v>4</v>
      </c>
      <c r="L474" s="6">
        <v>5</v>
      </c>
      <c r="M474" t="s">
        <v>58</v>
      </c>
      <c r="N474" t="s">
        <v>59</v>
      </c>
      <c r="O474" t="s">
        <v>64</v>
      </c>
      <c r="P474" t="str">
        <f t="shared" si="49"/>
        <v>Small Business</v>
      </c>
      <c r="Q474" t="str">
        <f t="shared" si="50"/>
        <v>South</v>
      </c>
      <c r="R474" t="str">
        <f>PROPER(TRIM(E474))</f>
        <v>Home &amp; Kitchen</v>
      </c>
      <c r="S474" s="27">
        <f>IF(ISTEXT(B474),DATEVALUE(B474),B474)</f>
        <v>45904</v>
      </c>
      <c r="T474" s="27">
        <f>COUNTIF($A$2:$A$1986,A474)</f>
        <v>1</v>
      </c>
      <c r="U474" s="27" t="str">
        <f t="shared" si="51"/>
        <v>Air Fryer</v>
      </c>
      <c r="V474" s="27">
        <f t="shared" si="52"/>
        <v>399.78</v>
      </c>
      <c r="W474" s="27">
        <f t="shared" si="53"/>
        <v>269.56</v>
      </c>
      <c r="X474" s="27">
        <f>RawSalesTable3[[#This Row],[Revenue]]-RawSalesTable3[[#This Row],[Total_Cost]]</f>
        <v>130.21999999999997</v>
      </c>
      <c r="Y474" s="28">
        <f>RawSalesTable3[[#This Row],[Profit]]/RawSalesTable3[[#This Row],[Revenue]]</f>
        <v>0.32572915103306815</v>
      </c>
      <c r="Z474" s="27" t="str">
        <f>TEXT(RawSalesTable3[[#This Row],[Order_Date_Clean]],"MMM YYYY")</f>
        <v>Sep 2025</v>
      </c>
      <c r="AA474" s="27"/>
      <c r="AB474" s="27">
        <f t="shared" si="54"/>
        <v>0</v>
      </c>
      <c r="AC474" s="27">
        <f t="shared" si="55"/>
        <v>0</v>
      </c>
    </row>
    <row r="475" spans="1:29">
      <c r="A475" t="s">
        <v>572</v>
      </c>
      <c r="B475" s="3">
        <v>45881</v>
      </c>
      <c r="C475" t="s">
        <v>78</v>
      </c>
      <c r="D475" t="s">
        <v>62</v>
      </c>
      <c r="E475" t="s">
        <v>56</v>
      </c>
      <c r="F475" t="s">
        <v>63</v>
      </c>
      <c r="G475" s="6">
        <v>2</v>
      </c>
      <c r="H475" s="4">
        <v>39.46</v>
      </c>
      <c r="I475" s="4">
        <v>20.62</v>
      </c>
      <c r="J475" s="5">
        <v>0.05</v>
      </c>
      <c r="K475" s="6">
        <v>2</v>
      </c>
      <c r="L475" s="6">
        <v>4</v>
      </c>
      <c r="M475" t="s">
        <v>58</v>
      </c>
      <c r="N475" t="s">
        <v>59</v>
      </c>
      <c r="O475" t="s">
        <v>64</v>
      </c>
      <c r="P475" t="str">
        <f t="shared" si="49"/>
        <v>Individual</v>
      </c>
      <c r="Q475" t="str">
        <f t="shared" si="50"/>
        <v>London</v>
      </c>
      <c r="R475" t="str">
        <f>PROPER(TRIM(E475))</f>
        <v>Home &amp; Kitchen</v>
      </c>
      <c r="S475" s="27">
        <f>IF(ISTEXT(B475),DATEVALUE(B475),B475)</f>
        <v>45881</v>
      </c>
      <c r="T475" s="27">
        <f>COUNTIF($A$2:$A$1986,A475)</f>
        <v>1</v>
      </c>
      <c r="U475" s="27" t="str">
        <f t="shared" si="51"/>
        <v>Electric Kettle</v>
      </c>
      <c r="V475" s="27">
        <f t="shared" si="52"/>
        <v>74.974000000000004</v>
      </c>
      <c r="W475" s="27">
        <f t="shared" si="53"/>
        <v>41.24</v>
      </c>
      <c r="X475" s="27">
        <f>RawSalesTable3[[#This Row],[Revenue]]-RawSalesTable3[[#This Row],[Total_Cost]]</f>
        <v>33.734000000000002</v>
      </c>
      <c r="Y475" s="28">
        <f>RawSalesTable3[[#This Row],[Profit]]/RawSalesTable3[[#This Row],[Revenue]]</f>
        <v>0.44994264678421853</v>
      </c>
      <c r="Z475" s="27" t="str">
        <f>TEXT(RawSalesTable3[[#This Row],[Order_Date_Clean]],"MMM YYYY")</f>
        <v>Aug 2025</v>
      </c>
      <c r="AA475" s="27"/>
      <c r="AB475" s="27">
        <f t="shared" si="54"/>
        <v>0</v>
      </c>
      <c r="AC475" s="27">
        <f t="shared" si="55"/>
        <v>0</v>
      </c>
    </row>
    <row r="476" spans="1:29">
      <c r="A476" t="s">
        <v>573</v>
      </c>
      <c r="B476" s="3">
        <v>45934</v>
      </c>
      <c r="C476" t="s">
        <v>78</v>
      </c>
      <c r="D476" t="s">
        <v>62</v>
      </c>
      <c r="E476" t="s">
        <v>56</v>
      </c>
      <c r="F476" t="s">
        <v>63</v>
      </c>
      <c r="G476" s="6">
        <v>1</v>
      </c>
      <c r="H476" s="4">
        <v>39.49</v>
      </c>
      <c r="I476" s="4">
        <v>20.86</v>
      </c>
      <c r="J476" s="5">
        <v>0.05</v>
      </c>
      <c r="K476" s="6">
        <v>6</v>
      </c>
      <c r="L476" s="6">
        <v>4</v>
      </c>
      <c r="M476" t="s">
        <v>58</v>
      </c>
      <c r="N476" t="s">
        <v>59</v>
      </c>
      <c r="O476" t="s">
        <v>64</v>
      </c>
      <c r="P476" t="str">
        <f t="shared" si="49"/>
        <v>Individual</v>
      </c>
      <c r="Q476" t="str">
        <f t="shared" si="50"/>
        <v>London</v>
      </c>
      <c r="R476" t="str">
        <f>PROPER(TRIM(E476))</f>
        <v>Home &amp; Kitchen</v>
      </c>
      <c r="S476" s="27">
        <f>IF(ISTEXT(B476),DATEVALUE(B476),B476)</f>
        <v>45934</v>
      </c>
      <c r="T476" s="27">
        <f>COUNTIF($A$2:$A$1986,A476)</f>
        <v>1</v>
      </c>
      <c r="U476" s="27" t="str">
        <f t="shared" si="51"/>
        <v>Electric Kettle</v>
      </c>
      <c r="V476" s="27">
        <f t="shared" si="52"/>
        <v>37.515500000000003</v>
      </c>
      <c r="W476" s="27">
        <f t="shared" si="53"/>
        <v>20.86</v>
      </c>
      <c r="X476" s="27">
        <f>RawSalesTable3[[#This Row],[Revenue]]-RawSalesTable3[[#This Row],[Total_Cost]]</f>
        <v>16.655500000000004</v>
      </c>
      <c r="Y476" s="28">
        <f>RawSalesTable3[[#This Row],[Profit]]/RawSalesTable3[[#This Row],[Revenue]]</f>
        <v>0.44396316189308427</v>
      </c>
      <c r="Z476" s="27" t="str">
        <f>TEXT(RawSalesTable3[[#This Row],[Order_Date_Clean]],"MMM YYYY")</f>
        <v>Oct 2025</v>
      </c>
      <c r="AA476" s="27"/>
      <c r="AB476" s="27">
        <f t="shared" si="54"/>
        <v>0</v>
      </c>
      <c r="AC476" s="27">
        <f t="shared" si="55"/>
        <v>0</v>
      </c>
    </row>
    <row r="477" spans="1:29">
      <c r="A477" t="s">
        <v>574</v>
      </c>
      <c r="B477" s="3">
        <v>46021</v>
      </c>
      <c r="C477" t="s">
        <v>82</v>
      </c>
      <c r="D477" t="s">
        <v>62</v>
      </c>
      <c r="E477" t="s">
        <v>75</v>
      </c>
      <c r="F477" t="s">
        <v>97</v>
      </c>
      <c r="G477" s="6">
        <v>1</v>
      </c>
      <c r="H477" s="4">
        <v>87.55</v>
      </c>
      <c r="I477" s="4">
        <v>52.67</v>
      </c>
      <c r="J477" s="5">
        <v>0</v>
      </c>
      <c r="K477" s="6">
        <v>7</v>
      </c>
      <c r="L477" s="6">
        <v>3</v>
      </c>
      <c r="M477" t="s">
        <v>58</v>
      </c>
      <c r="N477" t="s">
        <v>69</v>
      </c>
      <c r="O477" t="s">
        <v>64</v>
      </c>
      <c r="P477" t="str">
        <f t="shared" si="49"/>
        <v>Individual</v>
      </c>
      <c r="Q477" t="str">
        <f t="shared" si="50"/>
        <v>Midlands</v>
      </c>
      <c r="R477" t="str">
        <f>PROPER(TRIM(E477))</f>
        <v>Furniture</v>
      </c>
      <c r="S477" s="27">
        <f>IF(ISTEXT(B477),DATEVALUE(B477),B477)</f>
        <v>46021</v>
      </c>
      <c r="T477" s="27">
        <f>COUNTIF($A$2:$A$1986,A477)</f>
        <v>1</v>
      </c>
      <c r="U477" s="27" t="str">
        <f t="shared" si="51"/>
        <v>Side Table</v>
      </c>
      <c r="V477" s="27">
        <f t="shared" si="52"/>
        <v>87.55</v>
      </c>
      <c r="W477" s="27">
        <f t="shared" si="53"/>
        <v>52.67</v>
      </c>
      <c r="X477" s="27">
        <f>RawSalesTable3[[#This Row],[Revenue]]-RawSalesTable3[[#This Row],[Total_Cost]]</f>
        <v>34.879999999999995</v>
      </c>
      <c r="Y477" s="28">
        <f>RawSalesTable3[[#This Row],[Profit]]/RawSalesTable3[[#This Row],[Revenue]]</f>
        <v>0.39840091376356362</v>
      </c>
      <c r="Z477" s="27" t="str">
        <f>TEXT(RawSalesTable3[[#This Row],[Order_Date_Clean]],"MMM YYYY")</f>
        <v>Dec 2025</v>
      </c>
      <c r="AA477" s="27"/>
      <c r="AB477" s="27">
        <f t="shared" si="54"/>
        <v>0</v>
      </c>
      <c r="AC477" s="27">
        <f t="shared" si="55"/>
        <v>0</v>
      </c>
    </row>
    <row r="478" spans="1:29">
      <c r="A478" t="s">
        <v>575</v>
      </c>
      <c r="B478" s="3">
        <v>45836</v>
      </c>
      <c r="C478" t="s">
        <v>54</v>
      </c>
      <c r="D478" t="s">
        <v>129</v>
      </c>
      <c r="E478" t="s">
        <v>79</v>
      </c>
      <c r="F478" t="s">
        <v>85</v>
      </c>
      <c r="G478" s="6">
        <v>4</v>
      </c>
      <c r="H478" s="4">
        <v>132.12</v>
      </c>
      <c r="I478" s="4">
        <v>84.32</v>
      </c>
      <c r="J478" s="5">
        <v>0.05</v>
      </c>
      <c r="K478" s="6">
        <v>4</v>
      </c>
      <c r="L478" s="6">
        <v>4</v>
      </c>
      <c r="M478" t="s">
        <v>58</v>
      </c>
      <c r="N478" t="s">
        <v>59</v>
      </c>
      <c r="O478" t="s">
        <v>64</v>
      </c>
      <c r="P478" t="str">
        <f t="shared" si="49"/>
        <v>Corporate</v>
      </c>
      <c r="Q478" t="str">
        <f t="shared" si="50"/>
        <v>North</v>
      </c>
      <c r="R478" t="str">
        <f>PROPER(TRIM(E478))</f>
        <v>Electronics</v>
      </c>
      <c r="S478" s="27">
        <f>IF(ISTEXT(B478),DATEVALUE(B478),B478)</f>
        <v>45836</v>
      </c>
      <c r="T478" s="27">
        <f>COUNTIF($A$2:$A$1986,A478)</f>
        <v>1</v>
      </c>
      <c r="U478" s="27" t="str">
        <f t="shared" si="51"/>
        <v>SmartHome Hub</v>
      </c>
      <c r="V478" s="27">
        <f t="shared" si="52"/>
        <v>502.05599999999998</v>
      </c>
      <c r="W478" s="27">
        <f t="shared" si="53"/>
        <v>337.28</v>
      </c>
      <c r="X478" s="27">
        <f>RawSalesTable3[[#This Row],[Revenue]]-RawSalesTable3[[#This Row],[Total_Cost]]</f>
        <v>164.77600000000001</v>
      </c>
      <c r="Y478" s="28">
        <f>RawSalesTable3[[#This Row],[Profit]]/RawSalesTable3[[#This Row],[Revenue]]</f>
        <v>0.32820243160125567</v>
      </c>
      <c r="Z478" s="27" t="str">
        <f>TEXT(RawSalesTable3[[#This Row],[Order_Date_Clean]],"MMM YYYY")</f>
        <v>Jun 2025</v>
      </c>
      <c r="AA478" s="27"/>
      <c r="AB478" s="27">
        <f t="shared" si="54"/>
        <v>0</v>
      </c>
      <c r="AC478" s="27">
        <f t="shared" si="55"/>
        <v>0</v>
      </c>
    </row>
    <row r="479" spans="1:29">
      <c r="A479" t="s">
        <v>576</v>
      </c>
      <c r="B479" s="3">
        <v>46007</v>
      </c>
      <c r="C479" t="s">
        <v>82</v>
      </c>
      <c r="D479" t="s">
        <v>62</v>
      </c>
      <c r="E479" t="s">
        <v>56</v>
      </c>
      <c r="F479" t="s">
        <v>57</v>
      </c>
      <c r="G479" s="6">
        <v>2</v>
      </c>
      <c r="H479" s="4">
        <v>109.14</v>
      </c>
      <c r="I479" s="4">
        <v>68.48</v>
      </c>
      <c r="J479" s="5">
        <v>0.05</v>
      </c>
      <c r="K479" s="6">
        <v>2</v>
      </c>
      <c r="L479" s="6">
        <v>4</v>
      </c>
      <c r="M479" t="s">
        <v>58</v>
      </c>
      <c r="N479" t="s">
        <v>59</v>
      </c>
      <c r="O479" t="s">
        <v>64</v>
      </c>
      <c r="P479" t="str">
        <f t="shared" si="49"/>
        <v>Individual</v>
      </c>
      <c r="Q479" t="str">
        <f t="shared" si="50"/>
        <v>Midlands</v>
      </c>
      <c r="R479" t="str">
        <f>PROPER(TRIM(E479))</f>
        <v>Home &amp; Kitchen</v>
      </c>
      <c r="S479" s="27">
        <f>IF(ISTEXT(B479),DATEVALUE(B479),B479)</f>
        <v>46007</v>
      </c>
      <c r="T479" s="27">
        <f>COUNTIF($A$2:$A$1986,A479)</f>
        <v>1</v>
      </c>
      <c r="U479" s="27" t="str">
        <f t="shared" si="51"/>
        <v>Air Fryer</v>
      </c>
      <c r="V479" s="27">
        <f t="shared" si="52"/>
        <v>207.36599999999999</v>
      </c>
      <c r="W479" s="27">
        <f t="shared" si="53"/>
        <v>136.96</v>
      </c>
      <c r="X479" s="27">
        <f>RawSalesTable3[[#This Row],[Revenue]]-RawSalesTable3[[#This Row],[Total_Cost]]</f>
        <v>70.405999999999977</v>
      </c>
      <c r="Y479" s="28">
        <f>RawSalesTable3[[#This Row],[Profit]]/RawSalesTable3[[#This Row],[Revenue]]</f>
        <v>0.33952528379772956</v>
      </c>
      <c r="Z479" s="27" t="str">
        <f>TEXT(RawSalesTable3[[#This Row],[Order_Date_Clean]],"MMM YYYY")</f>
        <v>Dec 2025</v>
      </c>
      <c r="AA479" s="27"/>
      <c r="AB479" s="27">
        <f t="shared" si="54"/>
        <v>0</v>
      </c>
      <c r="AC479" s="27">
        <f t="shared" si="55"/>
        <v>0</v>
      </c>
    </row>
    <row r="480" spans="1:29">
      <c r="A480" t="s">
        <v>577</v>
      </c>
      <c r="B480" s="3">
        <v>45661</v>
      </c>
      <c r="C480" t="s">
        <v>66</v>
      </c>
      <c r="D480" t="s">
        <v>55</v>
      </c>
      <c r="E480" t="s">
        <v>56</v>
      </c>
      <c r="F480" t="s">
        <v>89</v>
      </c>
      <c r="G480" s="6">
        <v>4</v>
      </c>
      <c r="H480" s="4">
        <v>81.44</v>
      </c>
      <c r="I480" s="4">
        <v>43.82</v>
      </c>
      <c r="J480" s="5">
        <v>0.1</v>
      </c>
      <c r="K480" s="6">
        <v>0</v>
      </c>
      <c r="L480" s="6">
        <v>5</v>
      </c>
      <c r="M480" t="s">
        <v>58</v>
      </c>
      <c r="N480" t="s">
        <v>69</v>
      </c>
      <c r="O480" t="s">
        <v>64</v>
      </c>
      <c r="P480" t="str">
        <f t="shared" si="49"/>
        <v>Small Business</v>
      </c>
      <c r="Q480" t="str">
        <f t="shared" si="50"/>
        <v>South</v>
      </c>
      <c r="R480" t="str">
        <f>PROPER(TRIM(E480))</f>
        <v>Home &amp; Kitchen</v>
      </c>
      <c r="S480" s="27">
        <f>IF(ISTEXT(B480),DATEVALUE(B480),B480)</f>
        <v>45661</v>
      </c>
      <c r="T480" s="27">
        <f>COUNTIF($A$2:$A$1986,A480)</f>
        <v>1</v>
      </c>
      <c r="U480" s="27" t="str">
        <f t="shared" si="51"/>
        <v>Coffee Maker</v>
      </c>
      <c r="V480" s="27">
        <f t="shared" si="52"/>
        <v>293.18400000000003</v>
      </c>
      <c r="W480" s="27">
        <f t="shared" si="53"/>
        <v>175.28</v>
      </c>
      <c r="X480" s="27">
        <f>RawSalesTable3[[#This Row],[Revenue]]-RawSalesTable3[[#This Row],[Total_Cost]]</f>
        <v>117.90400000000002</v>
      </c>
      <c r="Y480" s="28">
        <f>RawSalesTable3[[#This Row],[Profit]]/RawSalesTable3[[#This Row],[Revenue]]</f>
        <v>0.40215018554900683</v>
      </c>
      <c r="Z480" s="27" t="str">
        <f>TEXT(RawSalesTable3[[#This Row],[Order_Date_Clean]],"MMM YYYY")</f>
        <v>Jan 2025</v>
      </c>
      <c r="AA480" s="27"/>
      <c r="AB480" s="27">
        <f t="shared" si="54"/>
        <v>0</v>
      </c>
      <c r="AC480" s="27">
        <f t="shared" si="55"/>
        <v>0</v>
      </c>
    </row>
    <row r="481" spans="1:29">
      <c r="A481" t="s">
        <v>578</v>
      </c>
      <c r="B481" s="3">
        <v>45671</v>
      </c>
      <c r="C481" t="s">
        <v>54</v>
      </c>
      <c r="D481" t="s">
        <v>129</v>
      </c>
      <c r="E481" t="s">
        <v>56</v>
      </c>
      <c r="F481" t="s">
        <v>83</v>
      </c>
      <c r="G481" s="6">
        <v>5</v>
      </c>
      <c r="H481" s="4">
        <v>66.25</v>
      </c>
      <c r="I481" s="4">
        <v>34.29</v>
      </c>
      <c r="J481" s="5">
        <v>0.1</v>
      </c>
      <c r="K481" s="6">
        <v>5</v>
      </c>
      <c r="L481" s="6">
        <v>4</v>
      </c>
      <c r="M481" t="s">
        <v>58</v>
      </c>
      <c r="N481" t="s">
        <v>59</v>
      </c>
      <c r="O481" t="s">
        <v>64</v>
      </c>
      <c r="P481" t="str">
        <f t="shared" si="49"/>
        <v>Corporate</v>
      </c>
      <c r="Q481" t="str">
        <f t="shared" si="50"/>
        <v>North</v>
      </c>
      <c r="R481" t="str">
        <f>PROPER(TRIM(E481))</f>
        <v>Home &amp; Kitchen</v>
      </c>
      <c r="S481" s="27">
        <f>IF(ISTEXT(B481),DATEVALUE(B481),B481)</f>
        <v>45671</v>
      </c>
      <c r="T481" s="27">
        <f>COUNTIF($A$2:$A$1986,A481)</f>
        <v>1</v>
      </c>
      <c r="U481" s="27" t="str">
        <f t="shared" si="51"/>
        <v>Blender</v>
      </c>
      <c r="V481" s="27">
        <f t="shared" si="52"/>
        <v>298.125</v>
      </c>
      <c r="W481" s="27">
        <f t="shared" si="53"/>
        <v>171.45</v>
      </c>
      <c r="X481" s="27">
        <f>RawSalesTable3[[#This Row],[Revenue]]-RawSalesTable3[[#This Row],[Total_Cost]]</f>
        <v>126.67500000000001</v>
      </c>
      <c r="Y481" s="28">
        <f>RawSalesTable3[[#This Row],[Profit]]/RawSalesTable3[[#This Row],[Revenue]]</f>
        <v>0.42490566037735855</v>
      </c>
      <c r="Z481" s="27" t="str">
        <f>TEXT(RawSalesTable3[[#This Row],[Order_Date_Clean]],"MMM YYYY")</f>
        <v>Jan 2025</v>
      </c>
      <c r="AA481" s="27"/>
      <c r="AB481" s="27">
        <f t="shared" si="54"/>
        <v>0</v>
      </c>
      <c r="AC481" s="27">
        <f t="shared" si="55"/>
        <v>0</v>
      </c>
    </row>
    <row r="482" spans="1:29">
      <c r="A482" t="s">
        <v>579</v>
      </c>
      <c r="B482" s="3">
        <v>45824</v>
      </c>
      <c r="C482" t="s">
        <v>78</v>
      </c>
      <c r="D482" t="s">
        <v>62</v>
      </c>
      <c r="E482" t="s">
        <v>56</v>
      </c>
      <c r="F482" t="s">
        <v>63</v>
      </c>
      <c r="G482" s="6">
        <v>1</v>
      </c>
      <c r="H482" s="4">
        <v>39.35</v>
      </c>
      <c r="I482" s="4">
        <v>19.87</v>
      </c>
      <c r="J482" s="5">
        <v>0</v>
      </c>
      <c r="K482" s="6">
        <v>3</v>
      </c>
      <c r="L482" s="6">
        <v>5</v>
      </c>
      <c r="M482" t="s">
        <v>58</v>
      </c>
      <c r="N482" t="s">
        <v>59</v>
      </c>
      <c r="O482" t="s">
        <v>64</v>
      </c>
      <c r="P482" t="str">
        <f t="shared" si="49"/>
        <v>Individual</v>
      </c>
      <c r="Q482" t="str">
        <f t="shared" si="50"/>
        <v>London</v>
      </c>
      <c r="R482" t="str">
        <f>PROPER(TRIM(E482))</f>
        <v>Home &amp; Kitchen</v>
      </c>
      <c r="S482" s="27">
        <f>IF(ISTEXT(B482),DATEVALUE(B482),B482)</f>
        <v>45824</v>
      </c>
      <c r="T482" s="27">
        <f>COUNTIF($A$2:$A$1986,A482)</f>
        <v>1</v>
      </c>
      <c r="U482" s="27" t="str">
        <f t="shared" si="51"/>
        <v>Electric Kettle</v>
      </c>
      <c r="V482" s="27">
        <f t="shared" si="52"/>
        <v>39.35</v>
      </c>
      <c r="W482" s="27">
        <f t="shared" si="53"/>
        <v>19.87</v>
      </c>
      <c r="X482" s="27">
        <f>RawSalesTable3[[#This Row],[Revenue]]-RawSalesTable3[[#This Row],[Total_Cost]]</f>
        <v>19.48</v>
      </c>
      <c r="Y482" s="28">
        <f>RawSalesTable3[[#This Row],[Profit]]/RawSalesTable3[[#This Row],[Revenue]]</f>
        <v>0.49504447268106733</v>
      </c>
      <c r="Z482" s="27" t="str">
        <f>TEXT(RawSalesTable3[[#This Row],[Order_Date_Clean]],"MMM YYYY")</f>
        <v>Jun 2025</v>
      </c>
      <c r="AA482" s="27"/>
      <c r="AB482" s="27">
        <f t="shared" si="54"/>
        <v>0</v>
      </c>
      <c r="AC482" s="27">
        <f t="shared" si="55"/>
        <v>0</v>
      </c>
    </row>
    <row r="483" spans="1:29">
      <c r="A483" t="s">
        <v>580</v>
      </c>
      <c r="B483" s="3">
        <v>45860</v>
      </c>
      <c r="C483" t="s">
        <v>54</v>
      </c>
      <c r="D483" t="s">
        <v>62</v>
      </c>
      <c r="E483" t="s">
        <v>75</v>
      </c>
      <c r="F483" t="s">
        <v>97</v>
      </c>
      <c r="G483" s="6">
        <v>1</v>
      </c>
      <c r="H483" s="4">
        <v>91.24</v>
      </c>
      <c r="I483" s="4">
        <v>53.82</v>
      </c>
      <c r="J483" s="5">
        <v>0</v>
      </c>
      <c r="K483" s="6">
        <v>6</v>
      </c>
      <c r="L483" s="6">
        <v>4</v>
      </c>
      <c r="M483" t="s">
        <v>58</v>
      </c>
      <c r="N483" t="s">
        <v>59</v>
      </c>
      <c r="O483" t="s">
        <v>64</v>
      </c>
      <c r="P483" t="str">
        <f t="shared" si="49"/>
        <v>Individual</v>
      </c>
      <c r="Q483" t="str">
        <f t="shared" si="50"/>
        <v>North</v>
      </c>
      <c r="R483" t="str">
        <f>PROPER(TRIM(E483))</f>
        <v>Furniture</v>
      </c>
      <c r="S483" s="27">
        <f>IF(ISTEXT(B483),DATEVALUE(B483),B483)</f>
        <v>45860</v>
      </c>
      <c r="T483" s="27">
        <f>COUNTIF($A$2:$A$1986,A483)</f>
        <v>1</v>
      </c>
      <c r="U483" s="27" t="str">
        <f t="shared" si="51"/>
        <v>Side Table</v>
      </c>
      <c r="V483" s="27">
        <f t="shared" si="52"/>
        <v>91.24</v>
      </c>
      <c r="W483" s="27">
        <f t="shared" si="53"/>
        <v>53.82</v>
      </c>
      <c r="X483" s="27">
        <f>RawSalesTable3[[#This Row],[Revenue]]-RawSalesTable3[[#This Row],[Total_Cost]]</f>
        <v>37.419999999999995</v>
      </c>
      <c r="Y483" s="28">
        <f>RawSalesTable3[[#This Row],[Profit]]/RawSalesTable3[[#This Row],[Revenue]]</f>
        <v>0.4101271372205173</v>
      </c>
      <c r="Z483" s="27" t="str">
        <f>TEXT(RawSalesTable3[[#This Row],[Order_Date_Clean]],"MMM YYYY")</f>
        <v>Jul 2025</v>
      </c>
      <c r="AA483" s="27"/>
      <c r="AB483" s="27">
        <f t="shared" si="54"/>
        <v>0</v>
      </c>
      <c r="AC483" s="27">
        <f t="shared" si="55"/>
        <v>0</v>
      </c>
    </row>
    <row r="484" spans="1:29">
      <c r="A484" t="s">
        <v>581</v>
      </c>
      <c r="B484" s="3">
        <v>45805</v>
      </c>
      <c r="C484" t="s">
        <v>78</v>
      </c>
      <c r="D484" t="s">
        <v>62</v>
      </c>
      <c r="E484" t="s">
        <v>67</v>
      </c>
      <c r="F484" t="s">
        <v>94</v>
      </c>
      <c r="G484" s="6">
        <v>1</v>
      </c>
      <c r="H484" s="4">
        <v>34.53</v>
      </c>
      <c r="I484" s="4">
        <v>16.53</v>
      </c>
      <c r="J484" s="5">
        <v>0</v>
      </c>
      <c r="K484" s="6">
        <v>4</v>
      </c>
      <c r="L484" s="6">
        <v>4</v>
      </c>
      <c r="M484" t="s">
        <v>58</v>
      </c>
      <c r="N484" t="s">
        <v>59</v>
      </c>
      <c r="O484" t="s">
        <v>64</v>
      </c>
      <c r="P484" t="str">
        <f t="shared" si="49"/>
        <v>Individual</v>
      </c>
      <c r="Q484" t="str">
        <f t="shared" si="50"/>
        <v>London</v>
      </c>
      <c r="R484" t="str">
        <f>PROPER(TRIM(E484))</f>
        <v>Office</v>
      </c>
      <c r="S484" s="27">
        <f>IF(ISTEXT(B484),DATEVALUE(B484),B484)</f>
        <v>45805</v>
      </c>
      <c r="T484" s="27">
        <f>COUNTIF($A$2:$A$1986,A484)</f>
        <v>1</v>
      </c>
      <c r="U484" s="27" t="str">
        <f t="shared" si="51"/>
        <v>Wireless Mouse</v>
      </c>
      <c r="V484" s="27">
        <f t="shared" si="52"/>
        <v>34.53</v>
      </c>
      <c r="W484" s="27">
        <f t="shared" si="53"/>
        <v>16.53</v>
      </c>
      <c r="X484" s="27">
        <f>RawSalesTable3[[#This Row],[Revenue]]-RawSalesTable3[[#This Row],[Total_Cost]]</f>
        <v>18</v>
      </c>
      <c r="Y484" s="28">
        <f>RawSalesTable3[[#This Row],[Profit]]/RawSalesTable3[[#This Row],[Revenue]]</f>
        <v>0.52128583840139009</v>
      </c>
      <c r="Z484" s="27" t="str">
        <f>TEXT(RawSalesTable3[[#This Row],[Order_Date_Clean]],"MMM YYYY")</f>
        <v>May 2025</v>
      </c>
      <c r="AA484" s="27"/>
      <c r="AB484" s="27">
        <f t="shared" si="54"/>
        <v>0</v>
      </c>
      <c r="AC484" s="27">
        <f t="shared" si="55"/>
        <v>0</v>
      </c>
    </row>
    <row r="485" spans="1:29">
      <c r="A485" t="s">
        <v>582</v>
      </c>
      <c r="B485" s="3">
        <v>45740</v>
      </c>
      <c r="C485" t="s">
        <v>78</v>
      </c>
      <c r="D485" t="s">
        <v>62</v>
      </c>
      <c r="E485" t="s">
        <v>79</v>
      </c>
      <c r="F485" t="s">
        <v>80</v>
      </c>
      <c r="G485" s="6">
        <v>4</v>
      </c>
      <c r="H485" s="4">
        <v>73.77</v>
      </c>
      <c r="I485" s="4">
        <v>43.66</v>
      </c>
      <c r="J485" s="5">
        <v>0.05</v>
      </c>
      <c r="K485" s="6">
        <v>0</v>
      </c>
      <c r="L485" s="6">
        <v>4</v>
      </c>
      <c r="M485" t="s">
        <v>58</v>
      </c>
      <c r="N485" t="s">
        <v>69</v>
      </c>
      <c r="O485" t="s">
        <v>73</v>
      </c>
      <c r="P485" t="str">
        <f t="shared" si="49"/>
        <v>Individual</v>
      </c>
      <c r="Q485" t="str">
        <f t="shared" si="50"/>
        <v>London</v>
      </c>
      <c r="R485" t="str">
        <f>PROPER(TRIM(E485))</f>
        <v>Electronics</v>
      </c>
      <c r="S485" s="27">
        <f>IF(ISTEXT(B485),DATEVALUE(B485),B485)</f>
        <v>45740</v>
      </c>
      <c r="T485" s="27">
        <f>COUNTIF($A$2:$A$1986,A485)</f>
        <v>1</v>
      </c>
      <c r="U485" s="27" t="str">
        <f t="shared" si="51"/>
        <v>Portable Speaker</v>
      </c>
      <c r="V485" s="27">
        <f t="shared" si="52"/>
        <v>280.32599999999996</v>
      </c>
      <c r="W485" s="27">
        <f t="shared" si="53"/>
        <v>174.64</v>
      </c>
      <c r="X485" s="27">
        <f>RawSalesTable3[[#This Row],[Revenue]]-RawSalesTable3[[#This Row],[Total_Cost]]</f>
        <v>105.68599999999998</v>
      </c>
      <c r="Y485" s="28">
        <f>RawSalesTable3[[#This Row],[Profit]]/RawSalesTable3[[#This Row],[Revenue]]</f>
        <v>0.37701105141870533</v>
      </c>
      <c r="Z485" s="27" t="str">
        <f>TEXT(RawSalesTable3[[#This Row],[Order_Date_Clean]],"MMM YYYY")</f>
        <v>Mar 2025</v>
      </c>
      <c r="AA485" s="27"/>
      <c r="AB485" s="27">
        <f t="shared" si="54"/>
        <v>0</v>
      </c>
      <c r="AC485" s="27">
        <f t="shared" si="55"/>
        <v>0</v>
      </c>
    </row>
    <row r="486" spans="1:29">
      <c r="A486" t="s">
        <v>583</v>
      </c>
      <c r="B486" s="3">
        <v>45964</v>
      </c>
      <c r="C486" t="s">
        <v>82</v>
      </c>
      <c r="D486" t="s">
        <v>55</v>
      </c>
      <c r="E486" t="s">
        <v>75</v>
      </c>
      <c r="F486" t="s">
        <v>76</v>
      </c>
      <c r="G486" s="6">
        <v>2</v>
      </c>
      <c r="H486" s="4">
        <v>124.39</v>
      </c>
      <c r="I486" s="4">
        <v>74.56</v>
      </c>
      <c r="J486" s="5">
        <v>0.15000000000000002</v>
      </c>
      <c r="K486" s="6">
        <v>5</v>
      </c>
      <c r="L486" s="6">
        <v>5</v>
      </c>
      <c r="M486" t="s">
        <v>58</v>
      </c>
      <c r="N486" t="s">
        <v>59</v>
      </c>
      <c r="O486" t="s">
        <v>64</v>
      </c>
      <c r="P486" t="str">
        <f t="shared" si="49"/>
        <v>Small Business</v>
      </c>
      <c r="Q486" t="str">
        <f t="shared" si="50"/>
        <v>Midlands</v>
      </c>
      <c r="R486" t="str">
        <f>PROPER(TRIM(E486))</f>
        <v>Furniture</v>
      </c>
      <c r="S486" s="27">
        <f>IF(ISTEXT(B486),DATEVALUE(B486),B486)</f>
        <v>45964</v>
      </c>
      <c r="T486" s="27">
        <f>COUNTIF($A$2:$A$1986,A486)</f>
        <v>1</v>
      </c>
      <c r="U486" s="27" t="str">
        <f t="shared" si="51"/>
        <v>Bookshelf</v>
      </c>
      <c r="V486" s="27">
        <f t="shared" si="52"/>
        <v>211.46299999999999</v>
      </c>
      <c r="W486" s="27">
        <f t="shared" si="53"/>
        <v>149.12</v>
      </c>
      <c r="X486" s="27">
        <f>RawSalesTable3[[#This Row],[Revenue]]-RawSalesTable3[[#This Row],[Total_Cost]]</f>
        <v>62.342999999999989</v>
      </c>
      <c r="Y486" s="28">
        <f>RawSalesTable3[[#This Row],[Profit]]/RawSalesTable3[[#This Row],[Revenue]]</f>
        <v>0.29481753309089531</v>
      </c>
      <c r="Z486" s="27" t="str">
        <f>TEXT(RawSalesTable3[[#This Row],[Order_Date_Clean]],"MMM YYYY")</f>
        <v>Nov 2025</v>
      </c>
      <c r="AA486" s="27"/>
      <c r="AB486" s="27">
        <f t="shared" si="54"/>
        <v>0</v>
      </c>
      <c r="AC486" s="27">
        <f t="shared" si="55"/>
        <v>0</v>
      </c>
    </row>
    <row r="487" spans="1:29">
      <c r="A487" t="s">
        <v>584</v>
      </c>
      <c r="B487" s="3">
        <v>45901</v>
      </c>
      <c r="C487" t="s">
        <v>82</v>
      </c>
      <c r="D487" t="s">
        <v>62</v>
      </c>
      <c r="E487" t="s">
        <v>56</v>
      </c>
      <c r="F487" t="s">
        <v>63</v>
      </c>
      <c r="G487" s="6">
        <v>1</v>
      </c>
      <c r="H487" s="4">
        <v>40.99</v>
      </c>
      <c r="I487" s="4">
        <v>20.68</v>
      </c>
      <c r="J487" s="5">
        <v>0.05</v>
      </c>
      <c r="K487" s="6">
        <v>0</v>
      </c>
      <c r="L487" s="6">
        <v>5</v>
      </c>
      <c r="M487" t="s">
        <v>58</v>
      </c>
      <c r="N487" t="s">
        <v>69</v>
      </c>
      <c r="O487" t="s">
        <v>64</v>
      </c>
      <c r="P487" t="str">
        <f t="shared" si="49"/>
        <v>Individual</v>
      </c>
      <c r="Q487" t="str">
        <f t="shared" si="50"/>
        <v>Midlands</v>
      </c>
      <c r="R487" t="str">
        <f>PROPER(TRIM(E487))</f>
        <v>Home &amp; Kitchen</v>
      </c>
      <c r="S487" s="27">
        <f>IF(ISTEXT(B487),DATEVALUE(B487),B487)</f>
        <v>45901</v>
      </c>
      <c r="T487" s="27">
        <f>COUNTIF($A$2:$A$1986,A487)</f>
        <v>1</v>
      </c>
      <c r="U487" s="27" t="str">
        <f t="shared" si="51"/>
        <v>Electric Kettle</v>
      </c>
      <c r="V487" s="27">
        <f t="shared" si="52"/>
        <v>38.9405</v>
      </c>
      <c r="W487" s="27">
        <f t="shared" si="53"/>
        <v>20.68</v>
      </c>
      <c r="X487" s="27">
        <f>RawSalesTable3[[#This Row],[Revenue]]-RawSalesTable3[[#This Row],[Total_Cost]]</f>
        <v>18.2605</v>
      </c>
      <c r="Y487" s="28">
        <f>RawSalesTable3[[#This Row],[Profit]]/RawSalesTable3[[#This Row],[Revenue]]</f>
        <v>0.4689333727096468</v>
      </c>
      <c r="Z487" s="27" t="str">
        <f>TEXT(RawSalesTable3[[#This Row],[Order_Date_Clean]],"MMM YYYY")</f>
        <v>Sep 2025</v>
      </c>
      <c r="AA487" s="27"/>
      <c r="AB487" s="27">
        <f t="shared" si="54"/>
        <v>0</v>
      </c>
      <c r="AC487" s="27">
        <f t="shared" si="55"/>
        <v>0</v>
      </c>
    </row>
    <row r="488" spans="1:29">
      <c r="A488" t="s">
        <v>585</v>
      </c>
      <c r="B488" s="3">
        <v>46004</v>
      </c>
      <c r="C488" t="s">
        <v>148</v>
      </c>
      <c r="D488" t="s">
        <v>55</v>
      </c>
      <c r="E488" t="s">
        <v>67</v>
      </c>
      <c r="F488" t="s">
        <v>71</v>
      </c>
      <c r="G488" s="6">
        <v>2</v>
      </c>
      <c r="H488" s="4">
        <v>68.12</v>
      </c>
      <c r="I488" s="4">
        <v>39.479999999999997</v>
      </c>
      <c r="J488" s="5">
        <v>0.1</v>
      </c>
      <c r="K488" s="6">
        <v>3</v>
      </c>
      <c r="L488" s="6">
        <v>4</v>
      </c>
      <c r="M488" t="s">
        <v>58</v>
      </c>
      <c r="N488" t="s">
        <v>59</v>
      </c>
      <c r="O488" t="s">
        <v>64</v>
      </c>
      <c r="P488" t="str">
        <f t="shared" si="49"/>
        <v>Small Business</v>
      </c>
      <c r="Q488" t="str">
        <f t="shared" si="50"/>
        <v>Midlands</v>
      </c>
      <c r="R488" t="str">
        <f>PROPER(TRIM(E488))</f>
        <v>Office</v>
      </c>
      <c r="S488" s="27">
        <f>IF(ISTEXT(B488),DATEVALUE(B488),B488)</f>
        <v>46004</v>
      </c>
      <c r="T488" s="27">
        <f>COUNTIF($A$2:$A$1986,A488)</f>
        <v>1</v>
      </c>
      <c r="U488" s="27" t="str">
        <f t="shared" si="51"/>
        <v>Ergonomic Keyboard</v>
      </c>
      <c r="V488" s="27">
        <f t="shared" si="52"/>
        <v>122.61600000000001</v>
      </c>
      <c r="W488" s="27">
        <f t="shared" si="53"/>
        <v>78.959999999999994</v>
      </c>
      <c r="X488" s="27">
        <f>RawSalesTable3[[#This Row],[Revenue]]-RawSalesTable3[[#This Row],[Total_Cost]]</f>
        <v>43.65600000000002</v>
      </c>
      <c r="Y488" s="28">
        <f>RawSalesTable3[[#This Row],[Profit]]/RawSalesTable3[[#This Row],[Revenue]]</f>
        <v>0.35603836367195157</v>
      </c>
      <c r="Z488" s="27" t="str">
        <f>TEXT(RawSalesTable3[[#This Row],[Order_Date_Clean]],"MMM YYYY")</f>
        <v>Dec 2025</v>
      </c>
      <c r="AA488" s="27"/>
      <c r="AB488" s="27">
        <f t="shared" si="54"/>
        <v>0</v>
      </c>
      <c r="AC488" s="27">
        <f t="shared" si="55"/>
        <v>0</v>
      </c>
    </row>
    <row r="489" spans="1:29">
      <c r="A489" t="s">
        <v>586</v>
      </c>
      <c r="B489" s="3">
        <v>45753</v>
      </c>
      <c r="C489" t="s">
        <v>66</v>
      </c>
      <c r="D489" t="s">
        <v>62</v>
      </c>
      <c r="E489" t="s">
        <v>56</v>
      </c>
      <c r="F489" t="s">
        <v>57</v>
      </c>
      <c r="G489" s="6">
        <v>1</v>
      </c>
      <c r="H489" s="4">
        <v>110.9</v>
      </c>
      <c r="I489" s="4">
        <v>66.319999999999993</v>
      </c>
      <c r="J489" s="5">
        <v>0</v>
      </c>
      <c r="K489" s="6">
        <v>7</v>
      </c>
      <c r="L489" s="6">
        <v>3</v>
      </c>
      <c r="M489" t="s">
        <v>58</v>
      </c>
      <c r="N489" t="s">
        <v>59</v>
      </c>
      <c r="O489" t="s">
        <v>73</v>
      </c>
      <c r="P489" t="str">
        <f t="shared" si="49"/>
        <v>Individual</v>
      </c>
      <c r="Q489" t="str">
        <f t="shared" si="50"/>
        <v>South</v>
      </c>
      <c r="R489" t="str">
        <f>PROPER(TRIM(E489))</f>
        <v>Home &amp; Kitchen</v>
      </c>
      <c r="S489" s="27">
        <f>IF(ISTEXT(B489),DATEVALUE(B489),B489)</f>
        <v>45753</v>
      </c>
      <c r="T489" s="27">
        <f>COUNTIF($A$2:$A$1986,A489)</f>
        <v>1</v>
      </c>
      <c r="U489" s="27" t="str">
        <f t="shared" si="51"/>
        <v>Air Fryer</v>
      </c>
      <c r="V489" s="27">
        <f t="shared" si="52"/>
        <v>110.9</v>
      </c>
      <c r="W489" s="27">
        <f t="shared" si="53"/>
        <v>66.319999999999993</v>
      </c>
      <c r="X489" s="27">
        <f>RawSalesTable3[[#This Row],[Revenue]]-RawSalesTable3[[#This Row],[Total_Cost]]</f>
        <v>44.580000000000013</v>
      </c>
      <c r="Y489" s="28">
        <f>RawSalesTable3[[#This Row],[Profit]]/RawSalesTable3[[#This Row],[Revenue]]</f>
        <v>0.40198376916140677</v>
      </c>
      <c r="Z489" s="27" t="str">
        <f>TEXT(RawSalesTable3[[#This Row],[Order_Date_Clean]],"MMM YYYY")</f>
        <v>Apr 2025</v>
      </c>
      <c r="AA489" s="27"/>
      <c r="AB489" s="27">
        <f t="shared" si="54"/>
        <v>0</v>
      </c>
      <c r="AC489" s="27">
        <f t="shared" si="55"/>
        <v>0</v>
      </c>
    </row>
    <row r="490" spans="1:29">
      <c r="A490" t="s">
        <v>587</v>
      </c>
      <c r="B490" s="3">
        <v>45727</v>
      </c>
      <c r="C490" t="s">
        <v>66</v>
      </c>
      <c r="D490" t="s">
        <v>62</v>
      </c>
      <c r="E490" t="s">
        <v>56</v>
      </c>
      <c r="F490" t="s">
        <v>83</v>
      </c>
      <c r="G490" s="6">
        <v>1</v>
      </c>
      <c r="H490" s="4">
        <v>64.400000000000006</v>
      </c>
      <c r="I490" s="4">
        <v>36.01</v>
      </c>
      <c r="J490" s="5">
        <v>0.05</v>
      </c>
      <c r="K490" s="6">
        <v>5</v>
      </c>
      <c r="L490" s="6">
        <v>4</v>
      </c>
      <c r="M490" t="s">
        <v>58</v>
      </c>
      <c r="N490" t="s">
        <v>59</v>
      </c>
      <c r="O490" t="s">
        <v>64</v>
      </c>
      <c r="P490" t="str">
        <f t="shared" si="49"/>
        <v>Individual</v>
      </c>
      <c r="Q490" t="str">
        <f t="shared" si="50"/>
        <v>South</v>
      </c>
      <c r="R490" t="str">
        <f>PROPER(TRIM(E490))</f>
        <v>Home &amp; Kitchen</v>
      </c>
      <c r="S490" s="27">
        <f>IF(ISTEXT(B490),DATEVALUE(B490),B490)</f>
        <v>45727</v>
      </c>
      <c r="T490" s="27">
        <f>COUNTIF($A$2:$A$1986,A490)</f>
        <v>1</v>
      </c>
      <c r="U490" s="27" t="str">
        <f t="shared" si="51"/>
        <v>Blender</v>
      </c>
      <c r="V490" s="27">
        <f t="shared" si="52"/>
        <v>61.18</v>
      </c>
      <c r="W490" s="27">
        <f t="shared" si="53"/>
        <v>36.01</v>
      </c>
      <c r="X490" s="27">
        <f>RawSalesTable3[[#This Row],[Revenue]]-RawSalesTable3[[#This Row],[Total_Cost]]</f>
        <v>25.17</v>
      </c>
      <c r="Y490" s="28">
        <f>RawSalesTable3[[#This Row],[Profit]]/RawSalesTable3[[#This Row],[Revenue]]</f>
        <v>0.4114089571755476</v>
      </c>
      <c r="Z490" s="27" t="str">
        <f>TEXT(RawSalesTable3[[#This Row],[Order_Date_Clean]],"MMM YYYY")</f>
        <v>Mar 2025</v>
      </c>
      <c r="AA490" s="27"/>
      <c r="AB490" s="27">
        <f t="shared" si="54"/>
        <v>0</v>
      </c>
      <c r="AC490" s="27">
        <f t="shared" si="55"/>
        <v>0</v>
      </c>
    </row>
    <row r="491" spans="1:29">
      <c r="A491" t="s">
        <v>588</v>
      </c>
      <c r="B491" s="3">
        <v>45963</v>
      </c>
      <c r="C491" t="s">
        <v>78</v>
      </c>
      <c r="D491" t="s">
        <v>62</v>
      </c>
      <c r="E491" t="s">
        <v>67</v>
      </c>
      <c r="F491" t="s">
        <v>71</v>
      </c>
      <c r="G491" s="6">
        <v>2</v>
      </c>
      <c r="H491" s="4">
        <v>69.86</v>
      </c>
      <c r="I491" s="4">
        <v>36.950000000000003</v>
      </c>
      <c r="J491" s="5">
        <v>0.1</v>
      </c>
      <c r="K491" s="6">
        <v>3</v>
      </c>
      <c r="L491" s="6">
        <v>4</v>
      </c>
      <c r="M491" t="s">
        <v>58</v>
      </c>
      <c r="N491" t="s">
        <v>59</v>
      </c>
      <c r="O491" t="s">
        <v>64</v>
      </c>
      <c r="P491" t="str">
        <f t="shared" si="49"/>
        <v>Individual</v>
      </c>
      <c r="Q491" t="str">
        <f t="shared" si="50"/>
        <v>London</v>
      </c>
      <c r="R491" t="str">
        <f>PROPER(TRIM(E491))</f>
        <v>Office</v>
      </c>
      <c r="S491" s="27">
        <f>IF(ISTEXT(B491),DATEVALUE(B491),B491)</f>
        <v>45963</v>
      </c>
      <c r="T491" s="27">
        <f>COUNTIF($A$2:$A$1986,A491)</f>
        <v>1</v>
      </c>
      <c r="U491" s="27" t="str">
        <f t="shared" si="51"/>
        <v>Ergonomic Keyboard</v>
      </c>
      <c r="V491" s="27">
        <f t="shared" si="52"/>
        <v>125.748</v>
      </c>
      <c r="W491" s="27">
        <f t="shared" si="53"/>
        <v>73.900000000000006</v>
      </c>
      <c r="X491" s="27">
        <f>RawSalesTable3[[#This Row],[Revenue]]-RawSalesTable3[[#This Row],[Total_Cost]]</f>
        <v>51.847999999999999</v>
      </c>
      <c r="Y491" s="28">
        <f>RawSalesTable3[[#This Row],[Profit]]/RawSalesTable3[[#This Row],[Revenue]]</f>
        <v>0.41231669688583517</v>
      </c>
      <c r="Z491" s="27" t="str">
        <f>TEXT(RawSalesTable3[[#This Row],[Order_Date_Clean]],"MMM YYYY")</f>
        <v>Nov 2025</v>
      </c>
      <c r="AA491" s="27"/>
      <c r="AB491" s="27">
        <f t="shared" si="54"/>
        <v>0</v>
      </c>
      <c r="AC491" s="27">
        <f t="shared" si="55"/>
        <v>0</v>
      </c>
    </row>
    <row r="492" spans="1:29">
      <c r="A492" t="s">
        <v>589</v>
      </c>
      <c r="B492" s="3">
        <v>45901</v>
      </c>
      <c r="C492" t="s">
        <v>66</v>
      </c>
      <c r="D492" t="s">
        <v>62</v>
      </c>
      <c r="E492" t="s">
        <v>67</v>
      </c>
      <c r="F492" t="s">
        <v>107</v>
      </c>
      <c r="G492" s="6">
        <v>2</v>
      </c>
      <c r="H492" s="4">
        <v>45.83</v>
      </c>
      <c r="I492" s="4">
        <v>21.07</v>
      </c>
      <c r="J492" s="5">
        <v>0.05</v>
      </c>
      <c r="K492" s="6">
        <v>3</v>
      </c>
      <c r="L492" s="6">
        <v>5</v>
      </c>
      <c r="M492" t="s">
        <v>58</v>
      </c>
      <c r="N492" t="s">
        <v>69</v>
      </c>
      <c r="O492" t="s">
        <v>64</v>
      </c>
      <c r="P492" t="str">
        <f t="shared" si="49"/>
        <v>Individual</v>
      </c>
      <c r="Q492" t="str">
        <f t="shared" si="50"/>
        <v>South</v>
      </c>
      <c r="R492" t="str">
        <f>PROPER(TRIM(E492))</f>
        <v>Office</v>
      </c>
      <c r="S492" s="27">
        <f>IF(ISTEXT(B492),DATEVALUE(B492),B492)</f>
        <v>45901</v>
      </c>
      <c r="T492" s="27">
        <f>COUNTIF($A$2:$A$1986,A492)</f>
        <v>1</v>
      </c>
      <c r="U492" s="27" t="str">
        <f t="shared" si="51"/>
        <v>Laptop Stand</v>
      </c>
      <c r="V492" s="27">
        <f t="shared" si="52"/>
        <v>87.076999999999998</v>
      </c>
      <c r="W492" s="27">
        <f t="shared" si="53"/>
        <v>42.14</v>
      </c>
      <c r="X492" s="27">
        <f>RawSalesTable3[[#This Row],[Revenue]]-RawSalesTable3[[#This Row],[Total_Cost]]</f>
        <v>44.936999999999998</v>
      </c>
      <c r="Y492" s="28">
        <f>RawSalesTable3[[#This Row],[Profit]]/RawSalesTable3[[#This Row],[Revenue]]</f>
        <v>0.51606049817977195</v>
      </c>
      <c r="Z492" s="27" t="str">
        <f>TEXT(RawSalesTable3[[#This Row],[Order_Date_Clean]],"MMM YYYY")</f>
        <v>Sep 2025</v>
      </c>
      <c r="AA492" s="27"/>
      <c r="AB492" s="27">
        <f t="shared" si="54"/>
        <v>0</v>
      </c>
      <c r="AC492" s="27">
        <f t="shared" si="55"/>
        <v>0</v>
      </c>
    </row>
    <row r="493" spans="1:29">
      <c r="A493" t="s">
        <v>590</v>
      </c>
      <c r="B493" s="3">
        <v>45804</v>
      </c>
      <c r="C493" t="s">
        <v>54</v>
      </c>
      <c r="D493" t="s">
        <v>62</v>
      </c>
      <c r="E493" t="s">
        <v>67</v>
      </c>
      <c r="F493" t="s">
        <v>68</v>
      </c>
      <c r="G493" s="6">
        <v>2</v>
      </c>
      <c r="H493" s="4">
        <v>41.06</v>
      </c>
      <c r="I493" s="4">
        <v>19.059999999999999</v>
      </c>
      <c r="J493" s="5">
        <v>0.1</v>
      </c>
      <c r="K493" s="6">
        <v>1</v>
      </c>
      <c r="L493" s="6">
        <v>4</v>
      </c>
      <c r="M493" t="s">
        <v>58</v>
      </c>
      <c r="N493" t="s">
        <v>59</v>
      </c>
      <c r="O493" t="s">
        <v>64</v>
      </c>
      <c r="P493" t="str">
        <f t="shared" si="49"/>
        <v>Individual</v>
      </c>
      <c r="Q493" t="str">
        <f t="shared" si="50"/>
        <v>North</v>
      </c>
      <c r="R493" t="str">
        <f>PROPER(TRIM(E493))</f>
        <v>Office</v>
      </c>
      <c r="S493" s="27">
        <f>IF(ISTEXT(B493),DATEVALUE(B493),B493)</f>
        <v>45804</v>
      </c>
      <c r="T493" s="27">
        <f>COUNTIF($A$2:$A$1986,A493)</f>
        <v>1</v>
      </c>
      <c r="U493" s="27" t="str">
        <f t="shared" si="51"/>
        <v>Desk Lamp</v>
      </c>
      <c r="V493" s="27">
        <f t="shared" si="52"/>
        <v>73.908000000000001</v>
      </c>
      <c r="W493" s="27">
        <f t="shared" si="53"/>
        <v>38.119999999999997</v>
      </c>
      <c r="X493" s="27">
        <f>RawSalesTable3[[#This Row],[Revenue]]-RawSalesTable3[[#This Row],[Total_Cost]]</f>
        <v>35.788000000000004</v>
      </c>
      <c r="Y493" s="28">
        <f>RawSalesTable3[[#This Row],[Profit]]/RawSalesTable3[[#This Row],[Revenue]]</f>
        <v>0.48422362937706342</v>
      </c>
      <c r="Z493" s="27" t="str">
        <f>TEXT(RawSalesTable3[[#This Row],[Order_Date_Clean]],"MMM YYYY")</f>
        <v>May 2025</v>
      </c>
      <c r="AA493" s="27"/>
      <c r="AB493" s="27">
        <f t="shared" si="54"/>
        <v>0</v>
      </c>
      <c r="AC493" s="27">
        <f t="shared" si="55"/>
        <v>0</v>
      </c>
    </row>
    <row r="494" spans="1:29">
      <c r="A494" t="s">
        <v>591</v>
      </c>
      <c r="B494" s="3">
        <v>45717</v>
      </c>
      <c r="C494" t="s">
        <v>82</v>
      </c>
      <c r="D494" t="s">
        <v>55</v>
      </c>
      <c r="E494" t="s">
        <v>75</v>
      </c>
      <c r="F494" t="s">
        <v>76</v>
      </c>
      <c r="G494" s="6">
        <v>1</v>
      </c>
      <c r="H494" s="4">
        <v>121.71</v>
      </c>
      <c r="I494" s="4">
        <v>70.98</v>
      </c>
      <c r="J494" s="5">
        <v>0</v>
      </c>
      <c r="K494" s="6">
        <v>1</v>
      </c>
      <c r="L494" s="6">
        <v>4</v>
      </c>
      <c r="M494" t="s">
        <v>58</v>
      </c>
      <c r="N494" t="s">
        <v>69</v>
      </c>
      <c r="O494" t="s">
        <v>64</v>
      </c>
      <c r="P494" t="str">
        <f t="shared" si="49"/>
        <v>Small Business</v>
      </c>
      <c r="Q494" t="str">
        <f t="shared" si="50"/>
        <v>Midlands</v>
      </c>
      <c r="R494" t="str">
        <f>PROPER(TRIM(E494))</f>
        <v>Furniture</v>
      </c>
      <c r="S494" s="27">
        <f>IF(ISTEXT(B494),DATEVALUE(B494),B494)</f>
        <v>45717</v>
      </c>
      <c r="T494" s="27">
        <f>COUNTIF($A$2:$A$1986,A494)</f>
        <v>1</v>
      </c>
      <c r="U494" s="27" t="str">
        <f t="shared" si="51"/>
        <v>Bookshelf</v>
      </c>
      <c r="V494" s="27">
        <f t="shared" si="52"/>
        <v>121.71</v>
      </c>
      <c r="W494" s="27">
        <f t="shared" si="53"/>
        <v>70.98</v>
      </c>
      <c r="X494" s="27">
        <f>RawSalesTable3[[#This Row],[Revenue]]-RawSalesTable3[[#This Row],[Total_Cost]]</f>
        <v>50.72999999999999</v>
      </c>
      <c r="Y494" s="28">
        <f>RawSalesTable3[[#This Row],[Profit]]/RawSalesTable3[[#This Row],[Revenue]]</f>
        <v>0.41681045107222081</v>
      </c>
      <c r="Z494" s="27" t="str">
        <f>TEXT(RawSalesTable3[[#This Row],[Order_Date_Clean]],"MMM YYYY")</f>
        <v>Mar 2025</v>
      </c>
      <c r="AA494" s="27"/>
      <c r="AB494" s="27">
        <f t="shared" si="54"/>
        <v>0</v>
      </c>
      <c r="AC494" s="27">
        <f t="shared" si="55"/>
        <v>0</v>
      </c>
    </row>
    <row r="495" spans="1:29">
      <c r="A495" t="s">
        <v>592</v>
      </c>
      <c r="B495" s="3">
        <v>45758</v>
      </c>
      <c r="C495" t="s">
        <v>54</v>
      </c>
      <c r="D495" t="s">
        <v>55</v>
      </c>
      <c r="E495" t="s">
        <v>79</v>
      </c>
      <c r="F495" t="s">
        <v>80</v>
      </c>
      <c r="G495" s="6">
        <v>1</v>
      </c>
      <c r="H495" s="4">
        <v>77.349999999999994</v>
      </c>
      <c r="I495" s="4">
        <v>43.1</v>
      </c>
      <c r="J495" s="5">
        <v>0</v>
      </c>
      <c r="K495" s="6">
        <v>1</v>
      </c>
      <c r="L495" s="6">
        <v>4</v>
      </c>
      <c r="M495" t="s">
        <v>58</v>
      </c>
      <c r="N495" t="s">
        <v>59</v>
      </c>
      <c r="O495" t="s">
        <v>64</v>
      </c>
      <c r="P495" t="str">
        <f t="shared" si="49"/>
        <v>Small Business</v>
      </c>
      <c r="Q495" t="str">
        <f t="shared" si="50"/>
        <v>North</v>
      </c>
      <c r="R495" t="str">
        <f>PROPER(TRIM(E495))</f>
        <v>Electronics</v>
      </c>
      <c r="S495" s="27">
        <f>IF(ISTEXT(B495),DATEVALUE(B495),B495)</f>
        <v>45758</v>
      </c>
      <c r="T495" s="27">
        <f>COUNTIF($A$2:$A$1986,A495)</f>
        <v>1</v>
      </c>
      <c r="U495" s="27" t="str">
        <f t="shared" si="51"/>
        <v>Portable Speaker</v>
      </c>
      <c r="V495" s="27">
        <f t="shared" si="52"/>
        <v>77.349999999999994</v>
      </c>
      <c r="W495" s="27">
        <f t="shared" si="53"/>
        <v>43.1</v>
      </c>
      <c r="X495" s="27">
        <f>RawSalesTable3[[#This Row],[Revenue]]-RawSalesTable3[[#This Row],[Total_Cost]]</f>
        <v>34.249999999999993</v>
      </c>
      <c r="Y495" s="28">
        <f>RawSalesTable3[[#This Row],[Profit]]/RawSalesTable3[[#This Row],[Revenue]]</f>
        <v>0.44279250161603095</v>
      </c>
      <c r="Z495" s="27" t="str">
        <f>TEXT(RawSalesTable3[[#This Row],[Order_Date_Clean]],"MMM YYYY")</f>
        <v>Apr 2025</v>
      </c>
      <c r="AA495" s="27"/>
      <c r="AB495" s="27">
        <f t="shared" si="54"/>
        <v>0</v>
      </c>
      <c r="AC495" s="27">
        <f t="shared" si="55"/>
        <v>0</v>
      </c>
    </row>
    <row r="496" spans="1:29">
      <c r="A496" t="s">
        <v>593</v>
      </c>
      <c r="B496" s="3">
        <v>45746</v>
      </c>
      <c r="C496" t="s">
        <v>78</v>
      </c>
      <c r="D496" t="s">
        <v>129</v>
      </c>
      <c r="E496" t="s">
        <v>56</v>
      </c>
      <c r="F496" t="s">
        <v>63</v>
      </c>
      <c r="G496" s="6">
        <v>6</v>
      </c>
      <c r="H496" s="4">
        <v>39.15</v>
      </c>
      <c r="I496" s="4">
        <v>20.81</v>
      </c>
      <c r="J496" s="5">
        <v>0.15000000000000002</v>
      </c>
      <c r="K496" s="6">
        <v>5</v>
      </c>
      <c r="L496" s="6">
        <v>4</v>
      </c>
      <c r="M496" t="s">
        <v>58</v>
      </c>
      <c r="N496" t="s">
        <v>59</v>
      </c>
      <c r="O496" t="s">
        <v>64</v>
      </c>
      <c r="P496" t="str">
        <f t="shared" si="49"/>
        <v>Corporate</v>
      </c>
      <c r="Q496" t="str">
        <f t="shared" si="50"/>
        <v>London</v>
      </c>
      <c r="R496" t="str">
        <f>PROPER(TRIM(E496))</f>
        <v>Home &amp; Kitchen</v>
      </c>
      <c r="S496" s="27">
        <f>IF(ISTEXT(B496),DATEVALUE(B496),B496)</f>
        <v>45746</v>
      </c>
      <c r="T496" s="27">
        <f>COUNTIF($A$2:$A$1986,A496)</f>
        <v>1</v>
      </c>
      <c r="U496" s="27" t="str">
        <f t="shared" si="51"/>
        <v>Electric Kettle</v>
      </c>
      <c r="V496" s="27">
        <f t="shared" si="52"/>
        <v>199.66499999999996</v>
      </c>
      <c r="W496" s="27">
        <f t="shared" si="53"/>
        <v>124.85999999999999</v>
      </c>
      <c r="X496" s="27">
        <f>RawSalesTable3[[#This Row],[Revenue]]-RawSalesTable3[[#This Row],[Total_Cost]]</f>
        <v>74.804999999999978</v>
      </c>
      <c r="Y496" s="28">
        <f>RawSalesTable3[[#This Row],[Profit]]/RawSalesTable3[[#This Row],[Revenue]]</f>
        <v>0.37465254300954093</v>
      </c>
      <c r="Z496" s="27" t="str">
        <f>TEXT(RawSalesTable3[[#This Row],[Order_Date_Clean]],"MMM YYYY")</f>
        <v>Mar 2025</v>
      </c>
      <c r="AA496" s="27"/>
      <c r="AB496" s="27">
        <f t="shared" si="54"/>
        <v>0</v>
      </c>
      <c r="AC496" s="27">
        <f t="shared" si="55"/>
        <v>0</v>
      </c>
    </row>
    <row r="497" spans="1:29">
      <c r="A497" t="s">
        <v>594</v>
      </c>
      <c r="B497" s="3">
        <v>45821</v>
      </c>
      <c r="C497" t="s">
        <v>78</v>
      </c>
      <c r="D497" t="s">
        <v>62</v>
      </c>
      <c r="E497" t="s">
        <v>56</v>
      </c>
      <c r="F497" t="s">
        <v>63</v>
      </c>
      <c r="G497" s="6">
        <v>1</v>
      </c>
      <c r="H497" s="4">
        <v>39.44</v>
      </c>
      <c r="I497" s="4">
        <v>20.73</v>
      </c>
      <c r="J497" s="5">
        <v>0</v>
      </c>
      <c r="K497" s="6">
        <v>3</v>
      </c>
      <c r="L497" s="6">
        <v>5</v>
      </c>
      <c r="M497" t="s">
        <v>58</v>
      </c>
      <c r="N497" t="s">
        <v>87</v>
      </c>
      <c r="O497" t="s">
        <v>64</v>
      </c>
      <c r="P497" t="str">
        <f t="shared" si="49"/>
        <v>Individual</v>
      </c>
      <c r="Q497" t="str">
        <f t="shared" si="50"/>
        <v>London</v>
      </c>
      <c r="R497" t="str">
        <f>PROPER(TRIM(E497))</f>
        <v>Home &amp; Kitchen</v>
      </c>
      <c r="S497" s="27">
        <f>IF(ISTEXT(B497),DATEVALUE(B497),B497)</f>
        <v>45821</v>
      </c>
      <c r="T497" s="27">
        <f>COUNTIF($A$2:$A$1986,A497)</f>
        <v>1</v>
      </c>
      <c r="U497" s="27" t="str">
        <f t="shared" si="51"/>
        <v>Electric Kettle</v>
      </c>
      <c r="V497" s="27">
        <f t="shared" si="52"/>
        <v>39.44</v>
      </c>
      <c r="W497" s="27">
        <f t="shared" si="53"/>
        <v>20.73</v>
      </c>
      <c r="X497" s="27">
        <f>RawSalesTable3[[#This Row],[Revenue]]-RawSalesTable3[[#This Row],[Total_Cost]]</f>
        <v>18.709999999999997</v>
      </c>
      <c r="Y497" s="28">
        <f>RawSalesTable3[[#This Row],[Profit]]/RawSalesTable3[[#This Row],[Revenue]]</f>
        <v>0.47439148073022308</v>
      </c>
      <c r="Z497" s="27" t="str">
        <f>TEXT(RawSalesTable3[[#This Row],[Order_Date_Clean]],"MMM YYYY")</f>
        <v>Jun 2025</v>
      </c>
      <c r="AA497" s="27"/>
      <c r="AB497" s="27">
        <f t="shared" si="54"/>
        <v>0</v>
      </c>
      <c r="AC497" s="27">
        <f t="shared" si="55"/>
        <v>0</v>
      </c>
    </row>
    <row r="498" spans="1:29">
      <c r="A498" t="s">
        <v>595</v>
      </c>
      <c r="B498" s="3">
        <v>45711</v>
      </c>
      <c r="C498" t="s">
        <v>66</v>
      </c>
      <c r="D498" t="s">
        <v>129</v>
      </c>
      <c r="E498" t="s">
        <v>56</v>
      </c>
      <c r="F498" t="s">
        <v>83</v>
      </c>
      <c r="G498" s="6">
        <v>5</v>
      </c>
      <c r="H498" s="4">
        <v>63.35</v>
      </c>
      <c r="I498" s="4">
        <v>36.68</v>
      </c>
      <c r="J498" s="5">
        <v>0.25</v>
      </c>
      <c r="K498" s="6">
        <v>3</v>
      </c>
      <c r="L498" s="6">
        <v>5</v>
      </c>
      <c r="M498" t="s">
        <v>58</v>
      </c>
      <c r="N498" t="s">
        <v>87</v>
      </c>
      <c r="O498" t="s">
        <v>73</v>
      </c>
      <c r="P498" t="str">
        <f t="shared" si="49"/>
        <v>Corporate</v>
      </c>
      <c r="Q498" t="str">
        <f t="shared" si="50"/>
        <v>South</v>
      </c>
      <c r="R498" t="str">
        <f>PROPER(TRIM(E498))</f>
        <v>Home &amp; Kitchen</v>
      </c>
      <c r="S498" s="27">
        <f>IF(ISTEXT(B498),DATEVALUE(B498),B498)</f>
        <v>45711</v>
      </c>
      <c r="T498" s="27">
        <f>COUNTIF($A$2:$A$1986,A498)</f>
        <v>1</v>
      </c>
      <c r="U498" s="27" t="str">
        <f t="shared" si="51"/>
        <v>Blender</v>
      </c>
      <c r="V498" s="27">
        <f t="shared" si="52"/>
        <v>237.5625</v>
      </c>
      <c r="W498" s="27">
        <f t="shared" si="53"/>
        <v>183.4</v>
      </c>
      <c r="X498" s="27">
        <f>RawSalesTable3[[#This Row],[Revenue]]-RawSalesTable3[[#This Row],[Total_Cost]]</f>
        <v>54.162499999999994</v>
      </c>
      <c r="Y498" s="28">
        <f>RawSalesTable3[[#This Row],[Profit]]/RawSalesTable3[[#This Row],[Revenue]]</f>
        <v>0.22799263351749538</v>
      </c>
      <c r="Z498" s="27" t="str">
        <f>TEXT(RawSalesTable3[[#This Row],[Order_Date_Clean]],"MMM YYYY")</f>
        <v>Feb 2025</v>
      </c>
      <c r="AA498" s="27"/>
      <c r="AB498" s="27">
        <f t="shared" si="54"/>
        <v>0</v>
      </c>
      <c r="AC498" s="27">
        <f t="shared" si="55"/>
        <v>0</v>
      </c>
    </row>
    <row r="499" spans="1:29">
      <c r="A499" t="s">
        <v>596</v>
      </c>
      <c r="B499" s="3">
        <v>45800</v>
      </c>
      <c r="C499" t="s">
        <v>66</v>
      </c>
      <c r="D499" t="s">
        <v>55</v>
      </c>
      <c r="E499" t="s">
        <v>56</v>
      </c>
      <c r="F499" t="s">
        <v>83</v>
      </c>
      <c r="G499" s="6">
        <v>6</v>
      </c>
      <c r="H499" s="4">
        <v>66.069999999999993</v>
      </c>
      <c r="I499" s="4">
        <v>35.06</v>
      </c>
      <c r="J499" s="5">
        <v>0.1</v>
      </c>
      <c r="K499" s="6">
        <v>3</v>
      </c>
      <c r="L499" s="6">
        <v>3</v>
      </c>
      <c r="M499" t="s">
        <v>126</v>
      </c>
      <c r="N499" t="s">
        <v>59</v>
      </c>
      <c r="O499" t="s">
        <v>64</v>
      </c>
      <c r="P499" t="str">
        <f t="shared" si="49"/>
        <v>Small Business</v>
      </c>
      <c r="Q499" t="str">
        <f t="shared" si="50"/>
        <v>South</v>
      </c>
      <c r="R499" t="str">
        <f>PROPER(TRIM(E499))</f>
        <v>Home &amp; Kitchen</v>
      </c>
      <c r="S499" s="27">
        <f>IF(ISTEXT(B499),DATEVALUE(B499),B499)</f>
        <v>45800</v>
      </c>
      <c r="T499" s="27">
        <f>COUNTIF($A$2:$A$1986,A499)</f>
        <v>1</v>
      </c>
      <c r="U499" s="27" t="str">
        <f t="shared" si="51"/>
        <v>Blender</v>
      </c>
      <c r="V499" s="27">
        <f t="shared" si="52"/>
        <v>356.77799999999996</v>
      </c>
      <c r="W499" s="27">
        <f t="shared" si="53"/>
        <v>210.36</v>
      </c>
      <c r="X499" s="27">
        <f>RawSalesTable3[[#This Row],[Revenue]]-RawSalesTable3[[#This Row],[Total_Cost]]</f>
        <v>146.41799999999995</v>
      </c>
      <c r="Y499" s="28">
        <f>RawSalesTable3[[#This Row],[Profit]]/RawSalesTable3[[#This Row],[Revenue]]</f>
        <v>0.41038965407059841</v>
      </c>
      <c r="Z499" s="27" t="str">
        <f>TEXT(RawSalesTable3[[#This Row],[Order_Date_Clean]],"MMM YYYY")</f>
        <v>May 2025</v>
      </c>
      <c r="AA499" s="27"/>
      <c r="AB499" s="27">
        <f t="shared" si="54"/>
        <v>0</v>
      </c>
      <c r="AC499" s="27">
        <f t="shared" si="55"/>
        <v>0</v>
      </c>
    </row>
    <row r="500" spans="1:29">
      <c r="A500" t="s">
        <v>597</v>
      </c>
      <c r="B500" s="3">
        <v>45814</v>
      </c>
      <c r="C500" t="s">
        <v>82</v>
      </c>
      <c r="D500" t="s">
        <v>129</v>
      </c>
      <c r="E500" t="s">
        <v>79</v>
      </c>
      <c r="F500" t="s">
        <v>115</v>
      </c>
      <c r="G500" s="6">
        <v>5</v>
      </c>
      <c r="H500" s="4">
        <v>59</v>
      </c>
      <c r="I500" s="4">
        <v>33.03</v>
      </c>
      <c r="J500" s="5">
        <v>0.05</v>
      </c>
      <c r="K500" s="6">
        <v>3</v>
      </c>
      <c r="L500" s="6">
        <v>3</v>
      </c>
      <c r="M500" t="s">
        <v>126</v>
      </c>
      <c r="N500" t="s">
        <v>59</v>
      </c>
      <c r="O500" t="s">
        <v>60</v>
      </c>
      <c r="P500" t="str">
        <f t="shared" si="49"/>
        <v>Corporate</v>
      </c>
      <c r="Q500" t="str">
        <f t="shared" si="50"/>
        <v>Midlands</v>
      </c>
      <c r="R500" t="str">
        <f>PROPER(TRIM(E500))</f>
        <v>Electronics</v>
      </c>
      <c r="S500" s="27">
        <f>IF(ISTEXT(B500),DATEVALUE(B500),B500)</f>
        <v>45814</v>
      </c>
      <c r="T500" s="27">
        <f>COUNTIF($A$2:$A$1986,A500)</f>
        <v>1</v>
      </c>
      <c r="U500" s="27" t="str">
        <f t="shared" si="51"/>
        <v>Wireless Headset</v>
      </c>
      <c r="V500" s="27">
        <f t="shared" si="52"/>
        <v>280.25</v>
      </c>
      <c r="W500" s="27">
        <f t="shared" si="53"/>
        <v>165.15</v>
      </c>
      <c r="X500" s="27">
        <f>RawSalesTable3[[#This Row],[Revenue]]-RawSalesTable3[[#This Row],[Total_Cost]]</f>
        <v>115.1</v>
      </c>
      <c r="Y500" s="28">
        <f>RawSalesTable3[[#This Row],[Profit]]/RawSalesTable3[[#This Row],[Revenue]]</f>
        <v>0.41070472792149865</v>
      </c>
      <c r="Z500" s="27" t="str">
        <f>TEXT(RawSalesTable3[[#This Row],[Order_Date_Clean]],"MMM YYYY")</f>
        <v>Jun 2025</v>
      </c>
      <c r="AA500" s="27"/>
      <c r="AB500" s="27">
        <f t="shared" si="54"/>
        <v>0</v>
      </c>
      <c r="AC500" s="27">
        <f t="shared" si="55"/>
        <v>0</v>
      </c>
    </row>
    <row r="501" spans="1:29">
      <c r="A501" t="s">
        <v>598</v>
      </c>
      <c r="B501" s="3">
        <v>45849</v>
      </c>
      <c r="C501" t="s">
        <v>54</v>
      </c>
      <c r="D501" t="s">
        <v>62</v>
      </c>
      <c r="E501" t="s">
        <v>56</v>
      </c>
      <c r="F501" t="s">
        <v>89</v>
      </c>
      <c r="G501" s="6">
        <v>3</v>
      </c>
      <c r="H501" s="4">
        <v>80.3</v>
      </c>
      <c r="I501" s="4">
        <v>44.27</v>
      </c>
      <c r="J501" s="5">
        <v>0</v>
      </c>
      <c r="K501" s="6">
        <v>5</v>
      </c>
      <c r="L501" s="6">
        <v>4</v>
      </c>
      <c r="M501" t="s">
        <v>58</v>
      </c>
      <c r="N501" t="s">
        <v>59</v>
      </c>
      <c r="O501" t="s">
        <v>64</v>
      </c>
      <c r="P501" t="str">
        <f t="shared" si="49"/>
        <v>Individual</v>
      </c>
      <c r="Q501" t="str">
        <f t="shared" si="50"/>
        <v>North</v>
      </c>
      <c r="R501" t="str">
        <f>PROPER(TRIM(E501))</f>
        <v>Home &amp; Kitchen</v>
      </c>
      <c r="S501" s="27">
        <f>IF(ISTEXT(B501),DATEVALUE(B501),B501)</f>
        <v>45849</v>
      </c>
      <c r="T501" s="27">
        <f>COUNTIF($A$2:$A$1986,A501)</f>
        <v>1</v>
      </c>
      <c r="U501" s="27" t="str">
        <f t="shared" si="51"/>
        <v>Coffee Maker</v>
      </c>
      <c r="V501" s="27">
        <f t="shared" si="52"/>
        <v>240.89999999999998</v>
      </c>
      <c r="W501" s="27">
        <f t="shared" si="53"/>
        <v>132.81</v>
      </c>
      <c r="X501" s="27">
        <f>RawSalesTable3[[#This Row],[Revenue]]-RawSalesTable3[[#This Row],[Total_Cost]]</f>
        <v>108.08999999999997</v>
      </c>
      <c r="Y501" s="28">
        <f>RawSalesTable3[[#This Row],[Profit]]/RawSalesTable3[[#This Row],[Revenue]]</f>
        <v>0.44869240348692396</v>
      </c>
      <c r="Z501" s="27" t="str">
        <f>TEXT(RawSalesTable3[[#This Row],[Order_Date_Clean]],"MMM YYYY")</f>
        <v>Jul 2025</v>
      </c>
      <c r="AA501" s="27"/>
      <c r="AB501" s="27">
        <f t="shared" si="54"/>
        <v>0</v>
      </c>
      <c r="AC501" s="27">
        <f t="shared" si="55"/>
        <v>0</v>
      </c>
    </row>
    <row r="502" spans="1:29">
      <c r="A502" t="s">
        <v>599</v>
      </c>
      <c r="B502" s="3">
        <v>45987</v>
      </c>
      <c r="C502" t="s">
        <v>54</v>
      </c>
      <c r="D502" t="s">
        <v>62</v>
      </c>
      <c r="E502" t="s">
        <v>56</v>
      </c>
      <c r="F502" t="s">
        <v>89</v>
      </c>
      <c r="G502" s="6">
        <v>1</v>
      </c>
      <c r="H502" s="4">
        <v>81</v>
      </c>
      <c r="I502" s="4">
        <v>44.86</v>
      </c>
      <c r="J502" s="5">
        <v>0.1</v>
      </c>
      <c r="K502" s="6">
        <v>1</v>
      </c>
      <c r="L502" s="6">
        <v>5</v>
      </c>
      <c r="M502" t="s">
        <v>58</v>
      </c>
      <c r="N502" t="s">
        <v>69</v>
      </c>
      <c r="O502" t="s">
        <v>73</v>
      </c>
      <c r="P502" t="str">
        <f t="shared" si="49"/>
        <v>Individual</v>
      </c>
      <c r="Q502" t="str">
        <f t="shared" si="50"/>
        <v>North</v>
      </c>
      <c r="R502" t="str">
        <f>PROPER(TRIM(E502))</f>
        <v>Home &amp; Kitchen</v>
      </c>
      <c r="S502" s="27">
        <f>IF(ISTEXT(B502),DATEVALUE(B502),B502)</f>
        <v>45987</v>
      </c>
      <c r="T502" s="27">
        <f>COUNTIF($A$2:$A$1986,A502)</f>
        <v>1</v>
      </c>
      <c r="U502" s="27" t="str">
        <f t="shared" si="51"/>
        <v>Coffee Maker</v>
      </c>
      <c r="V502" s="27">
        <f t="shared" si="52"/>
        <v>72.900000000000006</v>
      </c>
      <c r="W502" s="27">
        <f t="shared" si="53"/>
        <v>44.86</v>
      </c>
      <c r="X502" s="27">
        <f>RawSalesTable3[[#This Row],[Revenue]]-RawSalesTable3[[#This Row],[Total_Cost]]</f>
        <v>28.040000000000006</v>
      </c>
      <c r="Y502" s="28">
        <f>RawSalesTable3[[#This Row],[Profit]]/RawSalesTable3[[#This Row],[Revenue]]</f>
        <v>0.3846364883401921</v>
      </c>
      <c r="Z502" s="27" t="str">
        <f>TEXT(RawSalesTable3[[#This Row],[Order_Date_Clean]],"MMM YYYY")</f>
        <v>Nov 2025</v>
      </c>
      <c r="AA502" s="27"/>
      <c r="AB502" s="27">
        <f t="shared" si="54"/>
        <v>0</v>
      </c>
      <c r="AC502" s="27">
        <f t="shared" si="55"/>
        <v>0</v>
      </c>
    </row>
    <row r="503" spans="1:29">
      <c r="A503" t="s">
        <v>600</v>
      </c>
      <c r="B503" s="3">
        <v>46019</v>
      </c>
      <c r="C503" t="s">
        <v>54</v>
      </c>
      <c r="D503" t="s">
        <v>55</v>
      </c>
      <c r="E503" t="s">
        <v>67</v>
      </c>
      <c r="F503" t="s">
        <v>68</v>
      </c>
      <c r="G503" s="6">
        <v>2</v>
      </c>
      <c r="H503" s="4">
        <v>39.97</v>
      </c>
      <c r="I503" s="4">
        <v>19.87</v>
      </c>
      <c r="J503" s="5">
        <v>0.1</v>
      </c>
      <c r="K503" s="6">
        <v>3</v>
      </c>
      <c r="L503" s="6">
        <v>5</v>
      </c>
      <c r="M503" t="s">
        <v>58</v>
      </c>
      <c r="N503" t="s">
        <v>87</v>
      </c>
      <c r="O503" t="s">
        <v>60</v>
      </c>
      <c r="P503" t="str">
        <f t="shared" si="49"/>
        <v>Small Business</v>
      </c>
      <c r="Q503" t="str">
        <f t="shared" si="50"/>
        <v>North</v>
      </c>
      <c r="R503" t="str">
        <f>PROPER(TRIM(E503))</f>
        <v>Office</v>
      </c>
      <c r="S503" s="27">
        <f>IF(ISTEXT(B503),DATEVALUE(B503),B503)</f>
        <v>46019</v>
      </c>
      <c r="T503" s="27">
        <f>COUNTIF($A$2:$A$1986,A503)</f>
        <v>1</v>
      </c>
      <c r="U503" s="27" t="str">
        <f t="shared" si="51"/>
        <v>Desk Lamp</v>
      </c>
      <c r="V503" s="27">
        <f t="shared" si="52"/>
        <v>71.945999999999998</v>
      </c>
      <c r="W503" s="27">
        <f t="shared" si="53"/>
        <v>39.74</v>
      </c>
      <c r="X503" s="27">
        <f>RawSalesTable3[[#This Row],[Revenue]]-RawSalesTable3[[#This Row],[Total_Cost]]</f>
        <v>32.205999999999996</v>
      </c>
      <c r="Y503" s="28">
        <f>RawSalesTable3[[#This Row],[Profit]]/RawSalesTable3[[#This Row],[Revenue]]</f>
        <v>0.44764128652044582</v>
      </c>
      <c r="Z503" s="27" t="str">
        <f>TEXT(RawSalesTable3[[#This Row],[Order_Date_Clean]],"MMM YYYY")</f>
        <v>Dec 2025</v>
      </c>
      <c r="AA503" s="27"/>
      <c r="AB503" s="27">
        <f t="shared" si="54"/>
        <v>0</v>
      </c>
      <c r="AC503" s="27">
        <f t="shared" si="55"/>
        <v>0</v>
      </c>
    </row>
    <row r="504" spans="1:29">
      <c r="A504" t="s">
        <v>601</v>
      </c>
      <c r="B504" s="3">
        <v>45975</v>
      </c>
      <c r="C504" t="s">
        <v>66</v>
      </c>
      <c r="D504" t="s">
        <v>62</v>
      </c>
      <c r="E504" t="s">
        <v>67</v>
      </c>
      <c r="F504" t="s">
        <v>68</v>
      </c>
      <c r="G504" s="6">
        <v>2</v>
      </c>
      <c r="H504" s="4">
        <v>39.58</v>
      </c>
      <c r="I504" s="4">
        <v>19.72</v>
      </c>
      <c r="J504" s="5">
        <v>0.1</v>
      </c>
      <c r="K504" s="6">
        <v>4</v>
      </c>
      <c r="L504" s="6">
        <v>4</v>
      </c>
      <c r="M504" t="s">
        <v>58</v>
      </c>
      <c r="N504" t="s">
        <v>59</v>
      </c>
      <c r="O504" t="s">
        <v>73</v>
      </c>
      <c r="P504" t="str">
        <f t="shared" si="49"/>
        <v>Individual</v>
      </c>
      <c r="Q504" t="str">
        <f t="shared" si="50"/>
        <v>South</v>
      </c>
      <c r="R504" t="str">
        <f>PROPER(TRIM(E504))</f>
        <v>Office</v>
      </c>
      <c r="S504" s="27">
        <f>IF(ISTEXT(B504),DATEVALUE(B504),B504)</f>
        <v>45975</v>
      </c>
      <c r="T504" s="27">
        <f>COUNTIF($A$2:$A$1986,A504)</f>
        <v>1</v>
      </c>
      <c r="U504" s="27" t="str">
        <f t="shared" si="51"/>
        <v>Desk Lamp</v>
      </c>
      <c r="V504" s="27">
        <f t="shared" si="52"/>
        <v>71.244</v>
      </c>
      <c r="W504" s="27">
        <f t="shared" si="53"/>
        <v>39.44</v>
      </c>
      <c r="X504" s="27">
        <f>RawSalesTable3[[#This Row],[Revenue]]-RawSalesTable3[[#This Row],[Total_Cost]]</f>
        <v>31.804000000000002</v>
      </c>
      <c r="Y504" s="28">
        <f>RawSalesTable3[[#This Row],[Profit]]/RawSalesTable3[[#This Row],[Revenue]]</f>
        <v>0.44640952220537872</v>
      </c>
      <c r="Z504" s="27" t="str">
        <f>TEXT(RawSalesTable3[[#This Row],[Order_Date_Clean]],"MMM YYYY")</f>
        <v>Nov 2025</v>
      </c>
      <c r="AA504" s="27"/>
      <c r="AB504" s="27">
        <f t="shared" si="54"/>
        <v>0</v>
      </c>
      <c r="AC504" s="27">
        <f t="shared" si="55"/>
        <v>0</v>
      </c>
    </row>
    <row r="505" spans="1:29">
      <c r="A505" t="s">
        <v>602</v>
      </c>
      <c r="B505" s="3">
        <v>46016</v>
      </c>
      <c r="C505" t="s">
        <v>82</v>
      </c>
      <c r="D505" t="s">
        <v>62</v>
      </c>
      <c r="E505" t="s">
        <v>79</v>
      </c>
      <c r="F505" t="s">
        <v>85</v>
      </c>
      <c r="G505" s="6">
        <v>1</v>
      </c>
      <c r="H505" s="4">
        <v>130.38</v>
      </c>
      <c r="I505" s="4">
        <v>83.78</v>
      </c>
      <c r="J505" s="5">
        <v>0.15000000000000002</v>
      </c>
      <c r="K505" s="6">
        <v>3</v>
      </c>
      <c r="L505" s="6">
        <v>4</v>
      </c>
      <c r="M505" t="s">
        <v>58</v>
      </c>
      <c r="N505" t="s">
        <v>87</v>
      </c>
      <c r="O505" t="s">
        <v>73</v>
      </c>
      <c r="P505" t="str">
        <f t="shared" si="49"/>
        <v>Individual</v>
      </c>
      <c r="Q505" t="str">
        <f t="shared" si="50"/>
        <v>Midlands</v>
      </c>
      <c r="R505" t="str">
        <f>PROPER(TRIM(E505))</f>
        <v>Electronics</v>
      </c>
      <c r="S505" s="27">
        <f>IF(ISTEXT(B505),DATEVALUE(B505),B505)</f>
        <v>46016</v>
      </c>
      <c r="T505" s="27">
        <f>COUNTIF($A$2:$A$1986,A505)</f>
        <v>1</v>
      </c>
      <c r="U505" s="27" t="str">
        <f t="shared" si="51"/>
        <v>SmartHome Hub</v>
      </c>
      <c r="V505" s="27">
        <f t="shared" si="52"/>
        <v>110.82299999999999</v>
      </c>
      <c r="W505" s="27">
        <f t="shared" si="53"/>
        <v>83.78</v>
      </c>
      <c r="X505" s="27">
        <f>RawSalesTable3[[#This Row],[Revenue]]-RawSalesTable3[[#This Row],[Total_Cost]]</f>
        <v>27.042999999999992</v>
      </c>
      <c r="Y505" s="28">
        <f>RawSalesTable3[[#This Row],[Profit]]/RawSalesTable3[[#This Row],[Revenue]]</f>
        <v>0.24401974319410225</v>
      </c>
      <c r="Z505" s="27" t="str">
        <f>TEXT(RawSalesTable3[[#This Row],[Order_Date_Clean]],"MMM YYYY")</f>
        <v>Dec 2025</v>
      </c>
      <c r="AA505" s="27"/>
      <c r="AB505" s="27">
        <f t="shared" si="54"/>
        <v>0</v>
      </c>
      <c r="AC505" s="27">
        <f t="shared" si="55"/>
        <v>0</v>
      </c>
    </row>
    <row r="506" spans="1:29">
      <c r="A506" t="s">
        <v>603</v>
      </c>
      <c r="B506" s="3">
        <v>46017</v>
      </c>
      <c r="C506" t="s">
        <v>82</v>
      </c>
      <c r="D506" t="s">
        <v>55</v>
      </c>
      <c r="E506" t="s">
        <v>56</v>
      </c>
      <c r="F506" t="s">
        <v>89</v>
      </c>
      <c r="G506" s="6">
        <v>3</v>
      </c>
      <c r="H506" s="4">
        <v>80.09</v>
      </c>
      <c r="I506" s="4">
        <v>47</v>
      </c>
      <c r="J506" s="5">
        <v>0.05</v>
      </c>
      <c r="K506" s="6">
        <v>0</v>
      </c>
      <c r="L506" s="6">
        <v>4</v>
      </c>
      <c r="M506" t="s">
        <v>58</v>
      </c>
      <c r="N506" t="s">
        <v>69</v>
      </c>
      <c r="O506" t="s">
        <v>64</v>
      </c>
      <c r="P506" t="str">
        <f t="shared" si="49"/>
        <v>Small Business</v>
      </c>
      <c r="Q506" t="str">
        <f t="shared" si="50"/>
        <v>Midlands</v>
      </c>
      <c r="R506" t="str">
        <f>PROPER(TRIM(E506))</f>
        <v>Home &amp; Kitchen</v>
      </c>
      <c r="S506" s="27">
        <f>IF(ISTEXT(B506),DATEVALUE(B506),B506)</f>
        <v>46017</v>
      </c>
      <c r="T506" s="27">
        <f>COUNTIF($A$2:$A$1986,A506)</f>
        <v>1</v>
      </c>
      <c r="U506" s="27" t="str">
        <f t="shared" si="51"/>
        <v>Coffee Maker</v>
      </c>
      <c r="V506" s="27">
        <f t="shared" si="52"/>
        <v>228.25649999999999</v>
      </c>
      <c r="W506" s="27">
        <f t="shared" si="53"/>
        <v>141</v>
      </c>
      <c r="X506" s="27">
        <f>RawSalesTable3[[#This Row],[Revenue]]-RawSalesTable3[[#This Row],[Total_Cost]]</f>
        <v>87.256499999999988</v>
      </c>
      <c r="Y506" s="28">
        <f>RawSalesTable3[[#This Row],[Profit]]/RawSalesTable3[[#This Row],[Revenue]]</f>
        <v>0.38227388924302264</v>
      </c>
      <c r="Z506" s="27" t="str">
        <f>TEXT(RawSalesTable3[[#This Row],[Order_Date_Clean]],"MMM YYYY")</f>
        <v>Dec 2025</v>
      </c>
      <c r="AA506" s="27"/>
      <c r="AB506" s="27">
        <f t="shared" si="54"/>
        <v>0</v>
      </c>
      <c r="AC506" s="27">
        <f t="shared" si="55"/>
        <v>0</v>
      </c>
    </row>
    <row r="507" spans="1:29">
      <c r="A507" t="s">
        <v>604</v>
      </c>
      <c r="B507" s="3">
        <v>45704</v>
      </c>
      <c r="C507" t="s">
        <v>54</v>
      </c>
      <c r="D507" t="s">
        <v>62</v>
      </c>
      <c r="E507" t="s">
        <v>75</v>
      </c>
      <c r="F507" t="s">
        <v>97</v>
      </c>
      <c r="G507" s="6">
        <v>1</v>
      </c>
      <c r="H507" s="4">
        <v>92.4</v>
      </c>
      <c r="I507" s="4">
        <v>53.89</v>
      </c>
      <c r="J507" s="5">
        <v>0</v>
      </c>
      <c r="K507" s="6">
        <v>4</v>
      </c>
      <c r="L507" s="6">
        <v>4</v>
      </c>
      <c r="M507" t="s">
        <v>58</v>
      </c>
      <c r="N507" t="s">
        <v>59</v>
      </c>
      <c r="O507" t="s">
        <v>73</v>
      </c>
      <c r="P507" t="str">
        <f t="shared" si="49"/>
        <v>Individual</v>
      </c>
      <c r="Q507" t="str">
        <f t="shared" si="50"/>
        <v>North</v>
      </c>
      <c r="R507" t="str">
        <f>PROPER(TRIM(E507))</f>
        <v>Furniture</v>
      </c>
      <c r="S507" s="27">
        <f>IF(ISTEXT(B507),DATEVALUE(B507),B507)</f>
        <v>45704</v>
      </c>
      <c r="T507" s="27">
        <f>COUNTIF($A$2:$A$1986,A507)</f>
        <v>1</v>
      </c>
      <c r="U507" s="27" t="str">
        <f t="shared" si="51"/>
        <v>Side Table</v>
      </c>
      <c r="V507" s="27">
        <f t="shared" si="52"/>
        <v>92.4</v>
      </c>
      <c r="W507" s="27">
        <f t="shared" si="53"/>
        <v>53.89</v>
      </c>
      <c r="X507" s="27">
        <f>RawSalesTable3[[#This Row],[Revenue]]-RawSalesTable3[[#This Row],[Total_Cost]]</f>
        <v>38.510000000000005</v>
      </c>
      <c r="Y507" s="28">
        <f>RawSalesTable3[[#This Row],[Profit]]/RawSalesTable3[[#This Row],[Revenue]]</f>
        <v>0.4167748917748918</v>
      </c>
      <c r="Z507" s="27" t="str">
        <f>TEXT(RawSalesTable3[[#This Row],[Order_Date_Clean]],"MMM YYYY")</f>
        <v>Feb 2025</v>
      </c>
      <c r="AA507" s="27"/>
      <c r="AB507" s="27">
        <f t="shared" si="54"/>
        <v>0</v>
      </c>
      <c r="AC507" s="27">
        <f t="shared" si="55"/>
        <v>0</v>
      </c>
    </row>
    <row r="508" spans="1:29">
      <c r="A508" t="s">
        <v>605</v>
      </c>
      <c r="B508" s="3">
        <v>45677</v>
      </c>
      <c r="C508" t="s">
        <v>66</v>
      </c>
      <c r="D508" t="s">
        <v>62</v>
      </c>
      <c r="E508" t="s">
        <v>67</v>
      </c>
      <c r="F508" t="s">
        <v>107</v>
      </c>
      <c r="G508" s="6">
        <v>1</v>
      </c>
      <c r="H508" s="4">
        <v>46.42</v>
      </c>
      <c r="I508" s="4">
        <v>21.82</v>
      </c>
      <c r="J508" s="5">
        <v>0.15000000000000002</v>
      </c>
      <c r="K508" s="6">
        <v>1</v>
      </c>
      <c r="L508" s="6">
        <v>4</v>
      </c>
      <c r="M508" t="s">
        <v>58</v>
      </c>
      <c r="N508" t="s">
        <v>69</v>
      </c>
      <c r="O508" t="s">
        <v>73</v>
      </c>
      <c r="P508" t="str">
        <f t="shared" si="49"/>
        <v>Individual</v>
      </c>
      <c r="Q508" t="str">
        <f t="shared" si="50"/>
        <v>South</v>
      </c>
      <c r="R508" t="str">
        <f>PROPER(TRIM(E508))</f>
        <v>Office</v>
      </c>
      <c r="S508" s="27">
        <f>IF(ISTEXT(B508),DATEVALUE(B508),B508)</f>
        <v>45677</v>
      </c>
      <c r="T508" s="27">
        <f>COUNTIF($A$2:$A$1986,A508)</f>
        <v>1</v>
      </c>
      <c r="U508" s="27" t="str">
        <f t="shared" si="51"/>
        <v>Laptop Stand</v>
      </c>
      <c r="V508" s="27">
        <f t="shared" si="52"/>
        <v>39.457000000000001</v>
      </c>
      <c r="W508" s="27">
        <f t="shared" si="53"/>
        <v>21.82</v>
      </c>
      <c r="X508" s="27">
        <f>RawSalesTable3[[#This Row],[Revenue]]-RawSalesTable3[[#This Row],[Total_Cost]]</f>
        <v>17.637</v>
      </c>
      <c r="Y508" s="28">
        <f>RawSalesTable3[[#This Row],[Profit]]/RawSalesTable3[[#This Row],[Revenue]]</f>
        <v>0.44699292901132881</v>
      </c>
      <c r="Z508" s="27" t="str">
        <f>TEXT(RawSalesTable3[[#This Row],[Order_Date_Clean]],"MMM YYYY")</f>
        <v>Jan 2025</v>
      </c>
      <c r="AA508" s="27"/>
      <c r="AB508" s="27">
        <f t="shared" si="54"/>
        <v>0</v>
      </c>
      <c r="AC508" s="27">
        <f t="shared" si="55"/>
        <v>0</v>
      </c>
    </row>
    <row r="509" spans="1:29">
      <c r="A509" t="s">
        <v>606</v>
      </c>
      <c r="B509" s="3">
        <v>45867</v>
      </c>
      <c r="C509" t="s">
        <v>78</v>
      </c>
      <c r="D509" t="s">
        <v>62</v>
      </c>
      <c r="E509" t="s">
        <v>56</v>
      </c>
      <c r="F509" t="s">
        <v>89</v>
      </c>
      <c r="G509" s="6">
        <v>1</v>
      </c>
      <c r="H509" s="4">
        <v>82.48</v>
      </c>
      <c r="I509" s="4">
        <v>43.94</v>
      </c>
      <c r="J509" s="5">
        <v>0</v>
      </c>
      <c r="K509" s="6">
        <v>4</v>
      </c>
      <c r="L509" s="6">
        <v>4</v>
      </c>
      <c r="M509" t="s">
        <v>58</v>
      </c>
      <c r="N509" t="s">
        <v>59</v>
      </c>
      <c r="O509" t="s">
        <v>60</v>
      </c>
      <c r="P509" t="str">
        <f t="shared" si="49"/>
        <v>Individual</v>
      </c>
      <c r="Q509" t="str">
        <f t="shared" si="50"/>
        <v>London</v>
      </c>
      <c r="R509" t="str">
        <f>PROPER(TRIM(E509))</f>
        <v>Home &amp; Kitchen</v>
      </c>
      <c r="S509" s="27">
        <f>IF(ISTEXT(B509),DATEVALUE(B509),B509)</f>
        <v>45867</v>
      </c>
      <c r="T509" s="27">
        <f>COUNTIF($A$2:$A$1986,A509)</f>
        <v>1</v>
      </c>
      <c r="U509" s="27" t="str">
        <f t="shared" si="51"/>
        <v>Coffee Maker</v>
      </c>
      <c r="V509" s="27">
        <f t="shared" si="52"/>
        <v>82.48</v>
      </c>
      <c r="W509" s="27">
        <f t="shared" si="53"/>
        <v>43.94</v>
      </c>
      <c r="X509" s="27">
        <f>RawSalesTable3[[#This Row],[Revenue]]-RawSalesTable3[[#This Row],[Total_Cost]]</f>
        <v>38.540000000000006</v>
      </c>
      <c r="Y509" s="28">
        <f>RawSalesTable3[[#This Row],[Profit]]/RawSalesTable3[[#This Row],[Revenue]]</f>
        <v>0.46726479146459754</v>
      </c>
      <c r="Z509" s="27" t="str">
        <f>TEXT(RawSalesTable3[[#This Row],[Order_Date_Clean]],"MMM YYYY")</f>
        <v>Jul 2025</v>
      </c>
      <c r="AA509" s="27"/>
      <c r="AB509" s="27">
        <f t="shared" si="54"/>
        <v>0</v>
      </c>
      <c r="AC509" s="27">
        <f t="shared" si="55"/>
        <v>0</v>
      </c>
    </row>
    <row r="510" spans="1:29">
      <c r="A510" t="s">
        <v>607</v>
      </c>
      <c r="B510" s="3" t="s">
        <v>608</v>
      </c>
      <c r="C510" t="s">
        <v>82</v>
      </c>
      <c r="D510" t="s">
        <v>62</v>
      </c>
      <c r="E510" t="s">
        <v>56</v>
      </c>
      <c r="F510" t="s">
        <v>89</v>
      </c>
      <c r="G510" s="6">
        <v>1</v>
      </c>
      <c r="H510" s="4">
        <v>77.69</v>
      </c>
      <c r="I510" s="4">
        <v>45.44</v>
      </c>
      <c r="J510" s="5">
        <v>0.05</v>
      </c>
      <c r="K510" s="6">
        <v>4</v>
      </c>
      <c r="L510" s="6">
        <v>4</v>
      </c>
      <c r="M510" t="s">
        <v>58</v>
      </c>
      <c r="N510" t="s">
        <v>59</v>
      </c>
      <c r="O510" t="s">
        <v>64</v>
      </c>
      <c r="P510" t="str">
        <f t="shared" si="49"/>
        <v>Individual</v>
      </c>
      <c r="Q510" t="str">
        <f t="shared" si="50"/>
        <v>Midlands</v>
      </c>
      <c r="R510" t="str">
        <f>PROPER(TRIM(E510))</f>
        <v>Home &amp; Kitchen</v>
      </c>
      <c r="S510" s="27">
        <f>IF(ISTEXT(B510),DATEVALUE(B510),B510)</f>
        <v>45729</v>
      </c>
      <c r="T510" s="27">
        <f>COUNTIF($A$2:$A$1986,A510)</f>
        <v>1</v>
      </c>
      <c r="U510" s="27" t="str">
        <f t="shared" si="51"/>
        <v>Coffee Maker</v>
      </c>
      <c r="V510" s="27">
        <f t="shared" si="52"/>
        <v>73.805499999999995</v>
      </c>
      <c r="W510" s="27">
        <f t="shared" si="53"/>
        <v>45.44</v>
      </c>
      <c r="X510" s="27">
        <f>RawSalesTable3[[#This Row],[Revenue]]-RawSalesTable3[[#This Row],[Total_Cost]]</f>
        <v>28.365499999999997</v>
      </c>
      <c r="Y510" s="28">
        <f>RawSalesTable3[[#This Row],[Profit]]/RawSalesTable3[[#This Row],[Revenue]]</f>
        <v>0.38432772625346351</v>
      </c>
      <c r="Z510" s="27" t="str">
        <f>TEXT(RawSalesTable3[[#This Row],[Order_Date_Clean]],"MMM YYYY")</f>
        <v>Mar 2025</v>
      </c>
      <c r="AA510" s="27"/>
      <c r="AB510" s="27">
        <f t="shared" si="54"/>
        <v>0</v>
      </c>
      <c r="AC510" s="27">
        <f t="shared" si="55"/>
        <v>0</v>
      </c>
    </row>
    <row r="511" spans="1:29">
      <c r="A511" t="s">
        <v>609</v>
      </c>
      <c r="B511" s="3">
        <v>45919</v>
      </c>
      <c r="C511" t="s">
        <v>78</v>
      </c>
      <c r="D511" t="s">
        <v>62</v>
      </c>
      <c r="E511" t="s">
        <v>67</v>
      </c>
      <c r="F511" t="s">
        <v>71</v>
      </c>
      <c r="G511" s="6">
        <v>1</v>
      </c>
      <c r="H511" s="4">
        <v>72.44</v>
      </c>
      <c r="I511" s="4">
        <v>37.44</v>
      </c>
      <c r="J511" s="5">
        <v>0.1</v>
      </c>
      <c r="K511" s="6">
        <v>2</v>
      </c>
      <c r="L511" s="6">
        <v>5</v>
      </c>
      <c r="M511" t="s">
        <v>58</v>
      </c>
      <c r="N511" t="s">
        <v>59</v>
      </c>
      <c r="O511" t="s">
        <v>64</v>
      </c>
      <c r="P511" t="str">
        <f t="shared" si="49"/>
        <v>Individual</v>
      </c>
      <c r="Q511" t="str">
        <f t="shared" si="50"/>
        <v>London</v>
      </c>
      <c r="R511" t="str">
        <f>PROPER(TRIM(E511))</f>
        <v>Office</v>
      </c>
      <c r="S511" s="27">
        <f>IF(ISTEXT(B511),DATEVALUE(B511),B511)</f>
        <v>45919</v>
      </c>
      <c r="T511" s="27">
        <f>COUNTIF($A$2:$A$1986,A511)</f>
        <v>1</v>
      </c>
      <c r="U511" s="27" t="str">
        <f t="shared" si="51"/>
        <v>Ergonomic Keyboard</v>
      </c>
      <c r="V511" s="27">
        <f t="shared" si="52"/>
        <v>65.195999999999998</v>
      </c>
      <c r="W511" s="27">
        <f t="shared" si="53"/>
        <v>37.44</v>
      </c>
      <c r="X511" s="27">
        <f>RawSalesTable3[[#This Row],[Revenue]]-RawSalesTable3[[#This Row],[Total_Cost]]</f>
        <v>27.756</v>
      </c>
      <c r="Y511" s="28">
        <f>RawSalesTable3[[#This Row],[Profit]]/RawSalesTable3[[#This Row],[Revenue]]</f>
        <v>0.42573163997791275</v>
      </c>
      <c r="Z511" s="27" t="str">
        <f>TEXT(RawSalesTable3[[#This Row],[Order_Date_Clean]],"MMM YYYY")</f>
        <v>Sep 2025</v>
      </c>
      <c r="AA511" s="27"/>
      <c r="AB511" s="27">
        <f t="shared" si="54"/>
        <v>0</v>
      </c>
      <c r="AC511" s="27">
        <f t="shared" si="55"/>
        <v>0</v>
      </c>
    </row>
    <row r="512" spans="1:29">
      <c r="A512" t="s">
        <v>610</v>
      </c>
      <c r="B512" s="3">
        <v>45986</v>
      </c>
      <c r="C512" t="s">
        <v>66</v>
      </c>
      <c r="D512" t="s">
        <v>62</v>
      </c>
      <c r="E512" t="s">
        <v>79</v>
      </c>
      <c r="F512" t="s">
        <v>85</v>
      </c>
      <c r="G512" s="6">
        <v>2</v>
      </c>
      <c r="H512" s="4">
        <v>133.65</v>
      </c>
      <c r="I512" s="4">
        <v>84.01</v>
      </c>
      <c r="J512" s="5">
        <v>0.1</v>
      </c>
      <c r="K512" s="6">
        <v>3</v>
      </c>
      <c r="L512" s="6">
        <v>3</v>
      </c>
      <c r="M512" t="s">
        <v>126</v>
      </c>
      <c r="N512" t="s">
        <v>59</v>
      </c>
      <c r="O512" t="s">
        <v>64</v>
      </c>
      <c r="P512" t="str">
        <f t="shared" si="49"/>
        <v>Individual</v>
      </c>
      <c r="Q512" t="str">
        <f t="shared" si="50"/>
        <v>South</v>
      </c>
      <c r="R512" t="str">
        <f>PROPER(TRIM(E512))</f>
        <v>Electronics</v>
      </c>
      <c r="S512" s="27">
        <f>IF(ISTEXT(B512),DATEVALUE(B512),B512)</f>
        <v>45986</v>
      </c>
      <c r="T512" s="27">
        <f>COUNTIF($A$2:$A$1986,A512)</f>
        <v>1</v>
      </c>
      <c r="U512" s="27" t="str">
        <f t="shared" si="51"/>
        <v>SmartHome Hub</v>
      </c>
      <c r="V512" s="27">
        <f t="shared" si="52"/>
        <v>240.57000000000002</v>
      </c>
      <c r="W512" s="27">
        <f t="shared" si="53"/>
        <v>168.02</v>
      </c>
      <c r="X512" s="27">
        <f>RawSalesTable3[[#This Row],[Revenue]]-RawSalesTable3[[#This Row],[Total_Cost]]</f>
        <v>72.550000000000011</v>
      </c>
      <c r="Y512" s="28">
        <f>RawSalesTable3[[#This Row],[Profit]]/RawSalesTable3[[#This Row],[Revenue]]</f>
        <v>0.30157542503221518</v>
      </c>
      <c r="Z512" s="27" t="str">
        <f>TEXT(RawSalesTable3[[#This Row],[Order_Date_Clean]],"MMM YYYY")</f>
        <v>Nov 2025</v>
      </c>
      <c r="AA512" s="27"/>
      <c r="AB512" s="27">
        <f t="shared" si="54"/>
        <v>0</v>
      </c>
      <c r="AC512" s="27">
        <f t="shared" si="55"/>
        <v>0</v>
      </c>
    </row>
    <row r="513" spans="1:29">
      <c r="A513" t="s">
        <v>611</v>
      </c>
      <c r="B513" s="3">
        <v>45758</v>
      </c>
      <c r="C513" t="s">
        <v>82</v>
      </c>
      <c r="D513" t="s">
        <v>129</v>
      </c>
      <c r="E513" t="s">
        <v>67</v>
      </c>
      <c r="F513" t="s">
        <v>68</v>
      </c>
      <c r="G513" s="6">
        <v>3</v>
      </c>
      <c r="H513" s="4">
        <v>39.840000000000003</v>
      </c>
      <c r="I513" s="4">
        <v>19.010000000000002</v>
      </c>
      <c r="J513" s="5">
        <v>0.1</v>
      </c>
      <c r="K513" s="6">
        <v>3</v>
      </c>
      <c r="L513" s="6">
        <v>5</v>
      </c>
      <c r="M513" t="s">
        <v>58</v>
      </c>
      <c r="N513" t="s">
        <v>87</v>
      </c>
      <c r="O513" t="s">
        <v>64</v>
      </c>
      <c r="P513" t="str">
        <f t="shared" si="49"/>
        <v>Corporate</v>
      </c>
      <c r="Q513" t="str">
        <f t="shared" si="50"/>
        <v>Midlands</v>
      </c>
      <c r="R513" t="str">
        <f>PROPER(TRIM(E513))</f>
        <v>Office</v>
      </c>
      <c r="S513" s="27">
        <f>IF(ISTEXT(B513),DATEVALUE(B513),B513)</f>
        <v>45758</v>
      </c>
      <c r="T513" s="27">
        <f>COUNTIF($A$2:$A$1986,A513)</f>
        <v>1</v>
      </c>
      <c r="U513" s="27" t="str">
        <f t="shared" si="51"/>
        <v>Desk Lamp</v>
      </c>
      <c r="V513" s="27">
        <f t="shared" si="52"/>
        <v>107.56800000000001</v>
      </c>
      <c r="W513" s="27">
        <f t="shared" si="53"/>
        <v>57.03</v>
      </c>
      <c r="X513" s="27">
        <f>RawSalesTable3[[#This Row],[Revenue]]-RawSalesTable3[[#This Row],[Total_Cost]]</f>
        <v>50.538000000000011</v>
      </c>
      <c r="Y513" s="28">
        <f>RawSalesTable3[[#This Row],[Profit]]/RawSalesTable3[[#This Row],[Revenue]]</f>
        <v>0.46982373940205269</v>
      </c>
      <c r="Z513" s="27" t="str">
        <f>TEXT(RawSalesTable3[[#This Row],[Order_Date_Clean]],"MMM YYYY")</f>
        <v>Apr 2025</v>
      </c>
      <c r="AA513" s="27"/>
      <c r="AB513" s="27">
        <f t="shared" si="54"/>
        <v>0</v>
      </c>
      <c r="AC513" s="27">
        <f t="shared" si="55"/>
        <v>0</v>
      </c>
    </row>
    <row r="514" spans="1:29">
      <c r="A514" t="s">
        <v>612</v>
      </c>
      <c r="B514" s="3">
        <v>45836</v>
      </c>
      <c r="C514" t="s">
        <v>82</v>
      </c>
      <c r="D514" t="s">
        <v>129</v>
      </c>
      <c r="E514" t="s">
        <v>56</v>
      </c>
      <c r="F514" t="s">
        <v>63</v>
      </c>
      <c r="G514" s="6">
        <v>6</v>
      </c>
      <c r="H514" s="4">
        <v>38.85</v>
      </c>
      <c r="I514" s="4">
        <v>19.73</v>
      </c>
      <c r="J514" s="5">
        <v>0.05</v>
      </c>
      <c r="K514" s="6">
        <v>2</v>
      </c>
      <c r="L514" s="6">
        <v>4</v>
      </c>
      <c r="M514" t="s">
        <v>58</v>
      </c>
      <c r="N514" t="s">
        <v>69</v>
      </c>
      <c r="O514" t="s">
        <v>64</v>
      </c>
      <c r="P514" t="str">
        <f t="shared" ref="P514:P577" si="56">IF(TRIM(D514)="","Unknow",PROPER(TRIM(D514)))</f>
        <v>Corporate</v>
      </c>
      <c r="Q514" t="str">
        <f t="shared" ref="Q514:Q577" si="57">IF(PROPER(TRIM(C514))="Mid Lands","Midlands",PROPER(TRIM(C514)))</f>
        <v>Midlands</v>
      </c>
      <c r="R514" t="str">
        <f>PROPER(TRIM(E514))</f>
        <v>Home &amp; Kitchen</v>
      </c>
      <c r="S514" s="27">
        <f>IF(ISTEXT(B514),DATEVALUE(B514),B514)</f>
        <v>45836</v>
      </c>
      <c r="T514" s="27">
        <f>COUNTIF($A$2:$A$1986,A514)</f>
        <v>1</v>
      </c>
      <c r="U514" s="27" t="str">
        <f t="shared" ref="U514:U577" si="58">TRIM(F514)</f>
        <v>Electric Kettle</v>
      </c>
      <c r="V514" s="27">
        <f t="shared" ref="V514:V577" si="59">G514*H514*(1-J514)</f>
        <v>221.44500000000002</v>
      </c>
      <c r="W514" s="27">
        <f t="shared" ref="W514:W577" si="60">G514*I514</f>
        <v>118.38</v>
      </c>
      <c r="X514" s="27">
        <f>RawSalesTable3[[#This Row],[Revenue]]-RawSalesTable3[[#This Row],[Total_Cost]]</f>
        <v>103.06500000000003</v>
      </c>
      <c r="Y514" s="28">
        <f>RawSalesTable3[[#This Row],[Profit]]/RawSalesTable3[[#This Row],[Revenue]]</f>
        <v>0.46542030752557073</v>
      </c>
      <c r="Z514" s="27" t="str">
        <f>TEXT(RawSalesTable3[[#This Row],[Order_Date_Clean]],"MMM YYYY")</f>
        <v>Jun 2025</v>
      </c>
      <c r="AA514" s="27"/>
      <c r="AB514" s="27">
        <f t="shared" ref="AB514:AB577" si="61">SUMIF($Z:$Z,AA514,$V:$V)</f>
        <v>0</v>
      </c>
      <c r="AC514" s="27">
        <f t="shared" ref="AC514:AC577" si="62">SUMIF($Z:$Z,AA514,$X:$X)</f>
        <v>0</v>
      </c>
    </row>
    <row r="515" spans="1:29">
      <c r="A515" t="s">
        <v>613</v>
      </c>
      <c r="B515" s="3">
        <v>45972</v>
      </c>
      <c r="C515" t="s">
        <v>78</v>
      </c>
      <c r="D515" t="s">
        <v>55</v>
      </c>
      <c r="E515" t="s">
        <v>67</v>
      </c>
      <c r="F515" t="s">
        <v>94</v>
      </c>
      <c r="G515" s="6">
        <v>5</v>
      </c>
      <c r="H515" s="4">
        <v>35.04</v>
      </c>
      <c r="I515" s="4">
        <v>16.829999999999998</v>
      </c>
      <c r="J515" s="5">
        <v>0.1</v>
      </c>
      <c r="K515" s="6">
        <v>5</v>
      </c>
      <c r="L515" s="6">
        <v>4</v>
      </c>
      <c r="M515" t="s">
        <v>58</v>
      </c>
      <c r="N515" t="s">
        <v>59</v>
      </c>
      <c r="O515" t="s">
        <v>64</v>
      </c>
      <c r="P515" t="str">
        <f t="shared" si="56"/>
        <v>Small Business</v>
      </c>
      <c r="Q515" t="str">
        <f t="shared" si="57"/>
        <v>London</v>
      </c>
      <c r="R515" t="str">
        <f>PROPER(TRIM(E515))</f>
        <v>Office</v>
      </c>
      <c r="S515" s="27">
        <f>IF(ISTEXT(B515),DATEVALUE(B515),B515)</f>
        <v>45972</v>
      </c>
      <c r="T515" s="27">
        <f>COUNTIF($A$2:$A$1986,A515)</f>
        <v>1</v>
      </c>
      <c r="U515" s="27" t="str">
        <f t="shared" si="58"/>
        <v>Wireless Mouse</v>
      </c>
      <c r="V515" s="27">
        <f t="shared" si="59"/>
        <v>157.68</v>
      </c>
      <c r="W515" s="27">
        <f t="shared" si="60"/>
        <v>84.149999999999991</v>
      </c>
      <c r="X515" s="27">
        <f>RawSalesTable3[[#This Row],[Revenue]]-RawSalesTable3[[#This Row],[Total_Cost]]</f>
        <v>73.530000000000015</v>
      </c>
      <c r="Y515" s="28">
        <f>RawSalesTable3[[#This Row],[Profit]]/RawSalesTable3[[#This Row],[Revenue]]</f>
        <v>0.46632420091324206</v>
      </c>
      <c r="Z515" s="27" t="str">
        <f>TEXT(RawSalesTable3[[#This Row],[Order_Date_Clean]],"MMM YYYY")</f>
        <v>Nov 2025</v>
      </c>
      <c r="AA515" s="27"/>
      <c r="AB515" s="27">
        <f t="shared" si="61"/>
        <v>0</v>
      </c>
      <c r="AC515" s="27">
        <f t="shared" si="62"/>
        <v>0</v>
      </c>
    </row>
    <row r="516" spans="1:29">
      <c r="A516" t="s">
        <v>614</v>
      </c>
      <c r="B516" s="3">
        <v>45891</v>
      </c>
      <c r="C516" t="s">
        <v>66</v>
      </c>
      <c r="D516" t="s">
        <v>55</v>
      </c>
      <c r="E516" t="s">
        <v>75</v>
      </c>
      <c r="F516" t="s">
        <v>110</v>
      </c>
      <c r="G516" s="6">
        <v>2</v>
      </c>
      <c r="H516" s="4">
        <v>166.11</v>
      </c>
      <c r="I516" s="4">
        <v>100.83</v>
      </c>
      <c r="J516" s="5">
        <v>0</v>
      </c>
      <c r="K516" s="6">
        <v>2</v>
      </c>
      <c r="L516" s="6">
        <v>4</v>
      </c>
      <c r="M516" t="s">
        <v>58</v>
      </c>
      <c r="N516" t="s">
        <v>69</v>
      </c>
      <c r="O516" t="s">
        <v>73</v>
      </c>
      <c r="P516" t="str">
        <f t="shared" si="56"/>
        <v>Small Business</v>
      </c>
      <c r="Q516" t="str">
        <f t="shared" si="57"/>
        <v>South</v>
      </c>
      <c r="R516" t="str">
        <f>PROPER(TRIM(E516))</f>
        <v>Furniture</v>
      </c>
      <c r="S516" s="27">
        <f>IF(ISTEXT(B516),DATEVALUE(B516),B516)</f>
        <v>45891</v>
      </c>
      <c r="T516" s="27">
        <f>COUNTIF($A$2:$A$1986,A516)</f>
        <v>1</v>
      </c>
      <c r="U516" s="27" t="str">
        <f t="shared" si="58"/>
        <v>Storage Cabinet</v>
      </c>
      <c r="V516" s="27">
        <f t="shared" si="59"/>
        <v>332.22</v>
      </c>
      <c r="W516" s="27">
        <f t="shared" si="60"/>
        <v>201.66</v>
      </c>
      <c r="X516" s="27">
        <f>RawSalesTable3[[#This Row],[Revenue]]-RawSalesTable3[[#This Row],[Total_Cost]]</f>
        <v>130.56000000000003</v>
      </c>
      <c r="Y516" s="28">
        <f>RawSalesTable3[[#This Row],[Profit]]/RawSalesTable3[[#This Row],[Revenue]]</f>
        <v>0.39299259526819585</v>
      </c>
      <c r="Z516" s="27" t="str">
        <f>TEXT(RawSalesTable3[[#This Row],[Order_Date_Clean]],"MMM YYYY")</f>
        <v>Aug 2025</v>
      </c>
      <c r="AA516" s="27"/>
      <c r="AB516" s="27">
        <f t="shared" si="61"/>
        <v>0</v>
      </c>
      <c r="AC516" s="27">
        <f t="shared" si="62"/>
        <v>0</v>
      </c>
    </row>
    <row r="517" spans="1:29">
      <c r="A517" t="s">
        <v>615</v>
      </c>
      <c r="B517" s="3">
        <v>45722</v>
      </c>
      <c r="C517" t="s">
        <v>66</v>
      </c>
      <c r="D517" t="s">
        <v>62</v>
      </c>
      <c r="E517" t="s">
        <v>75</v>
      </c>
      <c r="F517" t="s">
        <v>110</v>
      </c>
      <c r="G517" s="6">
        <v>2</v>
      </c>
      <c r="H517" s="4">
        <v>163.27000000000001</v>
      </c>
      <c r="I517" s="4">
        <v>99.38</v>
      </c>
      <c r="J517" s="5">
        <v>0.1</v>
      </c>
      <c r="K517" s="6">
        <v>3</v>
      </c>
      <c r="L517" s="6"/>
      <c r="M517" t="s">
        <v>58</v>
      </c>
      <c r="N517" t="s">
        <v>59</v>
      </c>
      <c r="O517" t="s">
        <v>73</v>
      </c>
      <c r="P517" t="str">
        <f t="shared" si="56"/>
        <v>Individual</v>
      </c>
      <c r="Q517" t="str">
        <f t="shared" si="57"/>
        <v>South</v>
      </c>
      <c r="R517" t="str">
        <f>PROPER(TRIM(E517))</f>
        <v>Furniture</v>
      </c>
      <c r="S517" s="27">
        <f>IF(ISTEXT(B517),DATEVALUE(B517),B517)</f>
        <v>45722</v>
      </c>
      <c r="T517" s="27">
        <f>COUNTIF($A$2:$A$1986,A517)</f>
        <v>1</v>
      </c>
      <c r="U517" s="27" t="str">
        <f t="shared" si="58"/>
        <v>Storage Cabinet</v>
      </c>
      <c r="V517" s="27">
        <f t="shared" si="59"/>
        <v>293.88600000000002</v>
      </c>
      <c r="W517" s="27">
        <f t="shared" si="60"/>
        <v>198.76</v>
      </c>
      <c r="X517" s="27">
        <f>RawSalesTable3[[#This Row],[Revenue]]-RawSalesTable3[[#This Row],[Total_Cost]]</f>
        <v>95.126000000000033</v>
      </c>
      <c r="Y517" s="28">
        <f>RawSalesTable3[[#This Row],[Profit]]/RawSalesTable3[[#This Row],[Revenue]]</f>
        <v>0.3236833329930654</v>
      </c>
      <c r="Z517" s="27" t="str">
        <f>TEXT(RawSalesTable3[[#This Row],[Order_Date_Clean]],"MMM YYYY")</f>
        <v>Mar 2025</v>
      </c>
      <c r="AA517" s="27"/>
      <c r="AB517" s="27">
        <f t="shared" si="61"/>
        <v>0</v>
      </c>
      <c r="AC517" s="27">
        <f t="shared" si="62"/>
        <v>0</v>
      </c>
    </row>
    <row r="518" spans="1:29">
      <c r="A518" t="s">
        <v>616</v>
      </c>
      <c r="B518" s="3">
        <v>45915</v>
      </c>
      <c r="C518" t="s">
        <v>82</v>
      </c>
      <c r="D518" t="s">
        <v>55</v>
      </c>
      <c r="E518" t="s">
        <v>79</v>
      </c>
      <c r="F518" t="s">
        <v>115</v>
      </c>
      <c r="G518" s="6">
        <v>6</v>
      </c>
      <c r="H518" s="4">
        <v>60.45</v>
      </c>
      <c r="I518" s="4">
        <v>34.08</v>
      </c>
      <c r="J518" s="5">
        <v>0</v>
      </c>
      <c r="K518" s="6">
        <v>0</v>
      </c>
      <c r="L518" s="6">
        <v>3</v>
      </c>
      <c r="M518" t="s">
        <v>126</v>
      </c>
      <c r="N518" t="s">
        <v>69</v>
      </c>
      <c r="O518" t="s">
        <v>64</v>
      </c>
      <c r="P518" t="str">
        <f t="shared" si="56"/>
        <v>Small Business</v>
      </c>
      <c r="Q518" t="str">
        <f t="shared" si="57"/>
        <v>Midlands</v>
      </c>
      <c r="R518" t="str">
        <f>PROPER(TRIM(E518))</f>
        <v>Electronics</v>
      </c>
      <c r="S518" s="27">
        <f>IF(ISTEXT(B518),DATEVALUE(B518),B518)</f>
        <v>45915</v>
      </c>
      <c r="T518" s="27">
        <f>COUNTIF($A$2:$A$1986,A518)</f>
        <v>1</v>
      </c>
      <c r="U518" s="27" t="str">
        <f t="shared" si="58"/>
        <v>Wireless Headset</v>
      </c>
      <c r="V518" s="27">
        <f t="shared" si="59"/>
        <v>362.70000000000005</v>
      </c>
      <c r="W518" s="27">
        <f t="shared" si="60"/>
        <v>204.48</v>
      </c>
      <c r="X518" s="27">
        <f>RawSalesTable3[[#This Row],[Revenue]]-RawSalesTable3[[#This Row],[Total_Cost]]</f>
        <v>158.22000000000006</v>
      </c>
      <c r="Y518" s="28">
        <f>RawSalesTable3[[#This Row],[Profit]]/RawSalesTable3[[#This Row],[Revenue]]</f>
        <v>0.43622828784119116</v>
      </c>
      <c r="Z518" s="27" t="str">
        <f>TEXT(RawSalesTable3[[#This Row],[Order_Date_Clean]],"MMM YYYY")</f>
        <v>Sep 2025</v>
      </c>
      <c r="AA518" s="27"/>
      <c r="AB518" s="27">
        <f t="shared" si="61"/>
        <v>0</v>
      </c>
      <c r="AC518" s="27">
        <f t="shared" si="62"/>
        <v>0</v>
      </c>
    </row>
    <row r="519" spans="1:29">
      <c r="A519" t="s">
        <v>617</v>
      </c>
      <c r="B519" s="3">
        <v>45991</v>
      </c>
      <c r="C519" t="s">
        <v>82</v>
      </c>
      <c r="D519" t="s">
        <v>55</v>
      </c>
      <c r="E519" t="s">
        <v>75</v>
      </c>
      <c r="F519" t="s">
        <v>76</v>
      </c>
      <c r="G519" s="6">
        <v>1</v>
      </c>
      <c r="H519" s="4">
        <v>124.24</v>
      </c>
      <c r="I519" s="4">
        <v>72.23</v>
      </c>
      <c r="J519" s="5">
        <v>0.1</v>
      </c>
      <c r="K519" s="6">
        <v>4</v>
      </c>
      <c r="L519" s="6">
        <v>5</v>
      </c>
      <c r="M519" t="s">
        <v>58</v>
      </c>
      <c r="N519" t="s">
        <v>69</v>
      </c>
      <c r="O519" t="s">
        <v>64</v>
      </c>
      <c r="P519" t="str">
        <f t="shared" si="56"/>
        <v>Small Business</v>
      </c>
      <c r="Q519" t="str">
        <f t="shared" si="57"/>
        <v>Midlands</v>
      </c>
      <c r="R519" t="str">
        <f>PROPER(TRIM(E519))</f>
        <v>Furniture</v>
      </c>
      <c r="S519" s="27">
        <f>IF(ISTEXT(B519),DATEVALUE(B519),B519)</f>
        <v>45991</v>
      </c>
      <c r="T519" s="27">
        <f>COUNTIF($A$2:$A$1986,A519)</f>
        <v>1</v>
      </c>
      <c r="U519" s="27" t="str">
        <f t="shared" si="58"/>
        <v>Bookshelf</v>
      </c>
      <c r="V519" s="27">
        <f t="shared" si="59"/>
        <v>111.816</v>
      </c>
      <c r="W519" s="27">
        <f t="shared" si="60"/>
        <v>72.23</v>
      </c>
      <c r="X519" s="27">
        <f>RawSalesTable3[[#This Row],[Revenue]]-RawSalesTable3[[#This Row],[Total_Cost]]</f>
        <v>39.585999999999999</v>
      </c>
      <c r="Y519" s="28">
        <f>RawSalesTable3[[#This Row],[Profit]]/RawSalesTable3[[#This Row],[Revenue]]</f>
        <v>0.35402804607569577</v>
      </c>
      <c r="Z519" s="27" t="str">
        <f>TEXT(RawSalesTable3[[#This Row],[Order_Date_Clean]],"MMM YYYY")</f>
        <v>Nov 2025</v>
      </c>
      <c r="AA519" s="27"/>
      <c r="AB519" s="27">
        <f t="shared" si="61"/>
        <v>0</v>
      </c>
      <c r="AC519" s="27">
        <f t="shared" si="62"/>
        <v>0</v>
      </c>
    </row>
    <row r="520" spans="1:29">
      <c r="A520" t="s">
        <v>618</v>
      </c>
      <c r="B520" s="3">
        <v>45693</v>
      </c>
      <c r="C520" t="s">
        <v>66</v>
      </c>
      <c r="D520" t="s">
        <v>55</v>
      </c>
      <c r="E520" t="s">
        <v>56</v>
      </c>
      <c r="F520" t="s">
        <v>83</v>
      </c>
      <c r="G520" s="6">
        <v>1</v>
      </c>
      <c r="H520" s="4">
        <v>65</v>
      </c>
      <c r="I520" s="4">
        <v>36.619999999999997</v>
      </c>
      <c r="J520" s="5">
        <v>0.05</v>
      </c>
      <c r="K520" s="6">
        <v>2</v>
      </c>
      <c r="L520" s="6">
        <v>4</v>
      </c>
      <c r="M520" t="s">
        <v>58</v>
      </c>
      <c r="N520" t="s">
        <v>59</v>
      </c>
      <c r="O520" t="s">
        <v>64</v>
      </c>
      <c r="P520" t="str">
        <f t="shared" si="56"/>
        <v>Small Business</v>
      </c>
      <c r="Q520" t="str">
        <f t="shared" si="57"/>
        <v>South</v>
      </c>
      <c r="R520" t="str">
        <f>PROPER(TRIM(E520))</f>
        <v>Home &amp; Kitchen</v>
      </c>
      <c r="S520" s="27">
        <f>IF(ISTEXT(B520),DATEVALUE(B520),B520)</f>
        <v>45693</v>
      </c>
      <c r="T520" s="27">
        <f>COUNTIF($A$2:$A$1986,A520)</f>
        <v>1</v>
      </c>
      <c r="U520" s="27" t="str">
        <f t="shared" si="58"/>
        <v>Blender</v>
      </c>
      <c r="V520" s="27">
        <f t="shared" si="59"/>
        <v>61.75</v>
      </c>
      <c r="W520" s="27">
        <f t="shared" si="60"/>
        <v>36.619999999999997</v>
      </c>
      <c r="X520" s="27">
        <f>RawSalesTable3[[#This Row],[Revenue]]-RawSalesTable3[[#This Row],[Total_Cost]]</f>
        <v>25.130000000000003</v>
      </c>
      <c r="Y520" s="28">
        <f>RawSalesTable3[[#This Row],[Profit]]/RawSalesTable3[[#This Row],[Revenue]]</f>
        <v>0.40696356275303647</v>
      </c>
      <c r="Z520" s="27" t="str">
        <f>TEXT(RawSalesTable3[[#This Row],[Order_Date_Clean]],"MMM YYYY")</f>
        <v>Feb 2025</v>
      </c>
      <c r="AA520" s="27"/>
      <c r="AB520" s="27">
        <f t="shared" si="61"/>
        <v>0</v>
      </c>
      <c r="AC520" s="27">
        <f t="shared" si="62"/>
        <v>0</v>
      </c>
    </row>
    <row r="521" spans="1:29">
      <c r="A521" t="s">
        <v>619</v>
      </c>
      <c r="B521" s="3">
        <v>45965</v>
      </c>
      <c r="C521" t="s">
        <v>78</v>
      </c>
      <c r="D521" t="s">
        <v>55</v>
      </c>
      <c r="E521" t="s">
        <v>56</v>
      </c>
      <c r="F521" t="s">
        <v>57</v>
      </c>
      <c r="G521" s="6">
        <v>2</v>
      </c>
      <c r="H521" s="4">
        <v>106.9</v>
      </c>
      <c r="I521" s="4">
        <v>70.319999999999993</v>
      </c>
      <c r="J521" s="5">
        <v>0.1</v>
      </c>
      <c r="K521" s="6">
        <v>4</v>
      </c>
      <c r="L521" s="6">
        <v>5</v>
      </c>
      <c r="M521" t="s">
        <v>58</v>
      </c>
      <c r="N521" t="s">
        <v>69</v>
      </c>
      <c r="O521" t="s">
        <v>73</v>
      </c>
      <c r="P521" t="str">
        <f t="shared" si="56"/>
        <v>Small Business</v>
      </c>
      <c r="Q521" t="str">
        <f t="shared" si="57"/>
        <v>London</v>
      </c>
      <c r="R521" t="str">
        <f>PROPER(TRIM(E521))</f>
        <v>Home &amp; Kitchen</v>
      </c>
      <c r="S521" s="27">
        <f>IF(ISTEXT(B521),DATEVALUE(B521),B521)</f>
        <v>45965</v>
      </c>
      <c r="T521" s="27">
        <f>COUNTIF($A$2:$A$1986,A521)</f>
        <v>1</v>
      </c>
      <c r="U521" s="27" t="str">
        <f t="shared" si="58"/>
        <v>Air Fryer</v>
      </c>
      <c r="V521" s="27">
        <f t="shared" si="59"/>
        <v>192.42000000000002</v>
      </c>
      <c r="W521" s="27">
        <f t="shared" si="60"/>
        <v>140.63999999999999</v>
      </c>
      <c r="X521" s="27">
        <f>RawSalesTable3[[#This Row],[Revenue]]-RawSalesTable3[[#This Row],[Total_Cost]]</f>
        <v>51.78000000000003</v>
      </c>
      <c r="Y521" s="28">
        <f>RawSalesTable3[[#This Row],[Profit]]/RawSalesTable3[[#This Row],[Revenue]]</f>
        <v>0.26909884627377623</v>
      </c>
      <c r="Z521" s="27" t="str">
        <f>TEXT(RawSalesTable3[[#This Row],[Order_Date_Clean]],"MMM YYYY")</f>
        <v>Nov 2025</v>
      </c>
      <c r="AA521" s="27"/>
      <c r="AB521" s="27">
        <f t="shared" si="61"/>
        <v>0</v>
      </c>
      <c r="AC521" s="27">
        <f t="shared" si="62"/>
        <v>0</v>
      </c>
    </row>
    <row r="522" spans="1:29">
      <c r="A522" t="s">
        <v>620</v>
      </c>
      <c r="B522" s="3">
        <v>45710</v>
      </c>
      <c r="C522" t="s">
        <v>78</v>
      </c>
      <c r="D522" t="s">
        <v>62</v>
      </c>
      <c r="E522" t="s">
        <v>79</v>
      </c>
      <c r="F522" t="s">
        <v>115</v>
      </c>
      <c r="G522" s="6">
        <v>2</v>
      </c>
      <c r="H522" s="4">
        <v>59.84</v>
      </c>
      <c r="I522" s="4">
        <v>33.54</v>
      </c>
      <c r="J522" s="5">
        <v>0.05</v>
      </c>
      <c r="K522" s="6">
        <v>5</v>
      </c>
      <c r="L522" s="6">
        <v>5</v>
      </c>
      <c r="M522" t="s">
        <v>58</v>
      </c>
      <c r="N522" t="s">
        <v>59</v>
      </c>
      <c r="O522" t="s">
        <v>73</v>
      </c>
      <c r="P522" t="str">
        <f t="shared" si="56"/>
        <v>Individual</v>
      </c>
      <c r="Q522" t="str">
        <f t="shared" si="57"/>
        <v>London</v>
      </c>
      <c r="R522" t="str">
        <f>PROPER(TRIM(E522))</f>
        <v>Electronics</v>
      </c>
      <c r="S522" s="27">
        <f>IF(ISTEXT(B522),DATEVALUE(B522),B522)</f>
        <v>45710</v>
      </c>
      <c r="T522" s="27">
        <f>COUNTIF($A$2:$A$1986,A522)</f>
        <v>1</v>
      </c>
      <c r="U522" s="27" t="str">
        <f t="shared" si="58"/>
        <v>Wireless Headset</v>
      </c>
      <c r="V522" s="27">
        <f t="shared" si="59"/>
        <v>113.696</v>
      </c>
      <c r="W522" s="27">
        <f t="shared" si="60"/>
        <v>67.08</v>
      </c>
      <c r="X522" s="27">
        <f>RawSalesTable3[[#This Row],[Revenue]]-RawSalesTable3[[#This Row],[Total_Cost]]</f>
        <v>46.616</v>
      </c>
      <c r="Y522" s="28">
        <f>RawSalesTable3[[#This Row],[Profit]]/RawSalesTable3[[#This Row],[Revenue]]</f>
        <v>0.41000562904587673</v>
      </c>
      <c r="Z522" s="27" t="str">
        <f>TEXT(RawSalesTable3[[#This Row],[Order_Date_Clean]],"MMM YYYY")</f>
        <v>Feb 2025</v>
      </c>
      <c r="AA522" s="27"/>
      <c r="AB522" s="27">
        <f t="shared" si="61"/>
        <v>0</v>
      </c>
      <c r="AC522" s="27">
        <f t="shared" si="62"/>
        <v>0</v>
      </c>
    </row>
    <row r="523" spans="1:29">
      <c r="A523" t="s">
        <v>621</v>
      </c>
      <c r="B523" s="3">
        <v>45671</v>
      </c>
      <c r="C523" t="s">
        <v>66</v>
      </c>
      <c r="D523" t="s">
        <v>62</v>
      </c>
      <c r="E523" t="s">
        <v>79</v>
      </c>
      <c r="F523" t="s">
        <v>85</v>
      </c>
      <c r="G523" s="6">
        <v>3</v>
      </c>
      <c r="H523" s="4">
        <v>128.69999999999999</v>
      </c>
      <c r="I523" s="4">
        <v>82.77</v>
      </c>
      <c r="J523" s="5">
        <v>0</v>
      </c>
      <c r="K523" s="6">
        <v>7</v>
      </c>
      <c r="L523" s="6">
        <v>2</v>
      </c>
      <c r="M523" t="s">
        <v>126</v>
      </c>
      <c r="N523" t="s">
        <v>59</v>
      </c>
      <c r="O523" t="s">
        <v>64</v>
      </c>
      <c r="P523" t="str">
        <f t="shared" si="56"/>
        <v>Individual</v>
      </c>
      <c r="Q523" t="str">
        <f t="shared" si="57"/>
        <v>South</v>
      </c>
      <c r="R523" t="str">
        <f>PROPER(TRIM(E523))</f>
        <v>Electronics</v>
      </c>
      <c r="S523" s="27">
        <f>IF(ISTEXT(B523),DATEVALUE(B523),B523)</f>
        <v>45671</v>
      </c>
      <c r="T523" s="27">
        <f>COUNTIF($A$2:$A$1986,A523)</f>
        <v>1</v>
      </c>
      <c r="U523" s="27" t="str">
        <f t="shared" si="58"/>
        <v>SmartHome Hub</v>
      </c>
      <c r="V523" s="27">
        <f t="shared" si="59"/>
        <v>386.09999999999997</v>
      </c>
      <c r="W523" s="27">
        <f t="shared" si="60"/>
        <v>248.31</v>
      </c>
      <c r="X523" s="27">
        <f>RawSalesTable3[[#This Row],[Revenue]]-RawSalesTable3[[#This Row],[Total_Cost]]</f>
        <v>137.78999999999996</v>
      </c>
      <c r="Y523" s="28">
        <f>RawSalesTable3[[#This Row],[Profit]]/RawSalesTable3[[#This Row],[Revenue]]</f>
        <v>0.3568764568764568</v>
      </c>
      <c r="Z523" s="27" t="str">
        <f>TEXT(RawSalesTable3[[#This Row],[Order_Date_Clean]],"MMM YYYY")</f>
        <v>Jan 2025</v>
      </c>
      <c r="AA523" s="27"/>
      <c r="AB523" s="27">
        <f t="shared" si="61"/>
        <v>0</v>
      </c>
      <c r="AC523" s="27">
        <f t="shared" si="62"/>
        <v>0</v>
      </c>
    </row>
    <row r="524" spans="1:29">
      <c r="A524" t="s">
        <v>622</v>
      </c>
      <c r="B524" s="3">
        <v>45952</v>
      </c>
      <c r="C524" t="s">
        <v>78</v>
      </c>
      <c r="D524" t="s">
        <v>62</v>
      </c>
      <c r="E524" t="s">
        <v>75</v>
      </c>
      <c r="F524" t="s">
        <v>76</v>
      </c>
      <c r="G524" s="6">
        <v>2</v>
      </c>
      <c r="H524" s="4">
        <v>122.98</v>
      </c>
      <c r="I524" s="4">
        <v>72.53</v>
      </c>
      <c r="J524" s="5">
        <v>0.05</v>
      </c>
      <c r="K524" s="6">
        <v>0</v>
      </c>
      <c r="L524" s="6">
        <v>5</v>
      </c>
      <c r="M524" t="s">
        <v>58</v>
      </c>
      <c r="N524" t="s">
        <v>69</v>
      </c>
      <c r="O524" t="s">
        <v>64</v>
      </c>
      <c r="P524" t="str">
        <f t="shared" si="56"/>
        <v>Individual</v>
      </c>
      <c r="Q524" t="str">
        <f t="shared" si="57"/>
        <v>London</v>
      </c>
      <c r="R524" t="str">
        <f>PROPER(TRIM(E524))</f>
        <v>Furniture</v>
      </c>
      <c r="S524" s="27">
        <f>IF(ISTEXT(B524),DATEVALUE(B524),B524)</f>
        <v>45952</v>
      </c>
      <c r="T524" s="27">
        <f>COUNTIF($A$2:$A$1986,A524)</f>
        <v>1</v>
      </c>
      <c r="U524" s="27" t="str">
        <f t="shared" si="58"/>
        <v>Bookshelf</v>
      </c>
      <c r="V524" s="27">
        <f t="shared" si="59"/>
        <v>233.66200000000001</v>
      </c>
      <c r="W524" s="27">
        <f t="shared" si="60"/>
        <v>145.06</v>
      </c>
      <c r="X524" s="27">
        <f>RawSalesTable3[[#This Row],[Revenue]]-RawSalesTable3[[#This Row],[Total_Cost]]</f>
        <v>88.602000000000004</v>
      </c>
      <c r="Y524" s="28">
        <f>RawSalesTable3[[#This Row],[Profit]]/RawSalesTable3[[#This Row],[Revenue]]</f>
        <v>0.37918874271383451</v>
      </c>
      <c r="Z524" s="27" t="str">
        <f>TEXT(RawSalesTable3[[#This Row],[Order_Date_Clean]],"MMM YYYY")</f>
        <v>Oct 2025</v>
      </c>
      <c r="AA524" s="27"/>
      <c r="AB524" s="27">
        <f t="shared" si="61"/>
        <v>0</v>
      </c>
      <c r="AC524" s="27">
        <f t="shared" si="62"/>
        <v>0</v>
      </c>
    </row>
    <row r="525" spans="1:29">
      <c r="A525" t="s">
        <v>623</v>
      </c>
      <c r="B525" s="3">
        <v>45731</v>
      </c>
      <c r="C525" t="s">
        <v>82</v>
      </c>
      <c r="D525" t="s">
        <v>55</v>
      </c>
      <c r="E525" t="s">
        <v>67</v>
      </c>
      <c r="F525" t="s">
        <v>71</v>
      </c>
      <c r="G525" s="6">
        <v>1</v>
      </c>
      <c r="H525" s="4">
        <v>68.34</v>
      </c>
      <c r="I525" s="4">
        <v>37.090000000000003</v>
      </c>
      <c r="J525" s="5">
        <v>0</v>
      </c>
      <c r="K525" s="6">
        <v>0</v>
      </c>
      <c r="L525" s="6">
        <v>4</v>
      </c>
      <c r="M525" t="s">
        <v>58</v>
      </c>
      <c r="N525" t="s">
        <v>69</v>
      </c>
      <c r="O525" t="s">
        <v>64</v>
      </c>
      <c r="P525" t="str">
        <f t="shared" si="56"/>
        <v>Small Business</v>
      </c>
      <c r="Q525" t="str">
        <f t="shared" si="57"/>
        <v>Midlands</v>
      </c>
      <c r="R525" t="str">
        <f>PROPER(TRIM(E525))</f>
        <v>Office</v>
      </c>
      <c r="S525" s="27">
        <f>IF(ISTEXT(B525),DATEVALUE(B525),B525)</f>
        <v>45731</v>
      </c>
      <c r="T525" s="27">
        <f>COUNTIF($A$2:$A$1986,A525)</f>
        <v>1</v>
      </c>
      <c r="U525" s="27" t="str">
        <f t="shared" si="58"/>
        <v>Ergonomic Keyboard</v>
      </c>
      <c r="V525" s="27">
        <f t="shared" si="59"/>
        <v>68.34</v>
      </c>
      <c r="W525" s="27">
        <f t="shared" si="60"/>
        <v>37.090000000000003</v>
      </c>
      <c r="X525" s="27">
        <f>RawSalesTable3[[#This Row],[Revenue]]-RawSalesTable3[[#This Row],[Total_Cost]]</f>
        <v>31.25</v>
      </c>
      <c r="Y525" s="28">
        <f>RawSalesTable3[[#This Row],[Profit]]/RawSalesTable3[[#This Row],[Revenue]]</f>
        <v>0.45727246122329529</v>
      </c>
      <c r="Z525" s="27" t="str">
        <f>TEXT(RawSalesTable3[[#This Row],[Order_Date_Clean]],"MMM YYYY")</f>
        <v>Mar 2025</v>
      </c>
      <c r="AA525" s="27"/>
      <c r="AB525" s="27">
        <f t="shared" si="61"/>
        <v>0</v>
      </c>
      <c r="AC525" s="27">
        <f t="shared" si="62"/>
        <v>0</v>
      </c>
    </row>
    <row r="526" spans="1:29">
      <c r="A526" t="s">
        <v>624</v>
      </c>
      <c r="B526" s="3">
        <v>46005</v>
      </c>
      <c r="C526" t="s">
        <v>66</v>
      </c>
      <c r="D526" t="s">
        <v>62</v>
      </c>
      <c r="E526" t="s">
        <v>56</v>
      </c>
      <c r="F526" t="s">
        <v>83</v>
      </c>
      <c r="G526" s="6">
        <v>1</v>
      </c>
      <c r="H526" s="4">
        <v>66.31</v>
      </c>
      <c r="I526" s="4">
        <v>35.47</v>
      </c>
      <c r="J526" s="5">
        <v>0.05</v>
      </c>
      <c r="K526" s="6">
        <v>3</v>
      </c>
      <c r="L526" s="6">
        <v>5</v>
      </c>
      <c r="M526" t="s">
        <v>58</v>
      </c>
      <c r="N526" t="s">
        <v>59</v>
      </c>
      <c r="O526" t="s">
        <v>64</v>
      </c>
      <c r="P526" t="str">
        <f t="shared" si="56"/>
        <v>Individual</v>
      </c>
      <c r="Q526" t="str">
        <f t="shared" si="57"/>
        <v>South</v>
      </c>
      <c r="R526" t="str">
        <f>PROPER(TRIM(E526))</f>
        <v>Home &amp; Kitchen</v>
      </c>
      <c r="S526" s="27">
        <f>IF(ISTEXT(B526),DATEVALUE(B526),B526)</f>
        <v>46005</v>
      </c>
      <c r="T526" s="27">
        <f>COUNTIF($A$2:$A$1986,A526)</f>
        <v>1</v>
      </c>
      <c r="U526" s="27" t="str">
        <f t="shared" si="58"/>
        <v>Blender</v>
      </c>
      <c r="V526" s="27">
        <f t="shared" si="59"/>
        <v>62.994500000000002</v>
      </c>
      <c r="W526" s="27">
        <f t="shared" si="60"/>
        <v>35.47</v>
      </c>
      <c r="X526" s="27">
        <f>RawSalesTable3[[#This Row],[Revenue]]-RawSalesTable3[[#This Row],[Total_Cost]]</f>
        <v>27.524500000000003</v>
      </c>
      <c r="Y526" s="28">
        <f>RawSalesTable3[[#This Row],[Profit]]/RawSalesTable3[[#This Row],[Revenue]]</f>
        <v>0.43693497051329883</v>
      </c>
      <c r="Z526" s="27" t="str">
        <f>TEXT(RawSalesTable3[[#This Row],[Order_Date_Clean]],"MMM YYYY")</f>
        <v>Dec 2025</v>
      </c>
      <c r="AA526" s="27"/>
      <c r="AB526" s="27">
        <f t="shared" si="61"/>
        <v>0</v>
      </c>
      <c r="AC526" s="27">
        <f t="shared" si="62"/>
        <v>0</v>
      </c>
    </row>
    <row r="527" spans="1:29">
      <c r="A527" t="s">
        <v>625</v>
      </c>
      <c r="B527" s="3">
        <v>45706</v>
      </c>
      <c r="C527" t="s">
        <v>82</v>
      </c>
      <c r="D527" t="s">
        <v>55</v>
      </c>
      <c r="E527" t="s">
        <v>227</v>
      </c>
      <c r="F527" t="s">
        <v>80</v>
      </c>
      <c r="G527" s="6">
        <v>4</v>
      </c>
      <c r="H527" s="4">
        <v>73.19</v>
      </c>
      <c r="I527" s="4">
        <v>44.74</v>
      </c>
      <c r="J527" s="5">
        <v>0</v>
      </c>
      <c r="K527" s="6">
        <v>4</v>
      </c>
      <c r="L527" s="6">
        <v>4</v>
      </c>
      <c r="M527" t="s">
        <v>58</v>
      </c>
      <c r="N527" t="s">
        <v>59</v>
      </c>
      <c r="O527" t="s">
        <v>60</v>
      </c>
      <c r="P527" t="str">
        <f t="shared" si="56"/>
        <v>Small Business</v>
      </c>
      <c r="Q527" t="str">
        <f t="shared" si="57"/>
        <v>Midlands</v>
      </c>
      <c r="R527" t="str">
        <f>PROPER(TRIM(E527))</f>
        <v>Electronics</v>
      </c>
      <c r="S527" s="27">
        <f>IF(ISTEXT(B527),DATEVALUE(B527),B527)</f>
        <v>45706</v>
      </c>
      <c r="T527" s="27">
        <f>COUNTIF($A$2:$A$1986,A527)</f>
        <v>1</v>
      </c>
      <c r="U527" s="27" t="str">
        <f t="shared" si="58"/>
        <v>Portable Speaker</v>
      </c>
      <c r="V527" s="27">
        <f t="shared" si="59"/>
        <v>292.76</v>
      </c>
      <c r="W527" s="27">
        <f t="shared" si="60"/>
        <v>178.96</v>
      </c>
      <c r="X527" s="27">
        <f>RawSalesTable3[[#This Row],[Revenue]]-RawSalesTable3[[#This Row],[Total_Cost]]</f>
        <v>113.79999999999998</v>
      </c>
      <c r="Y527" s="28">
        <f>RawSalesTable3[[#This Row],[Profit]]/RawSalesTable3[[#This Row],[Revenue]]</f>
        <v>0.38871430523295525</v>
      </c>
      <c r="Z527" s="27" t="str">
        <f>TEXT(RawSalesTable3[[#This Row],[Order_Date_Clean]],"MMM YYYY")</f>
        <v>Feb 2025</v>
      </c>
      <c r="AA527" s="27"/>
      <c r="AB527" s="27">
        <f t="shared" si="61"/>
        <v>0</v>
      </c>
      <c r="AC527" s="27">
        <f t="shared" si="62"/>
        <v>0</v>
      </c>
    </row>
    <row r="528" spans="1:29">
      <c r="A528" t="s">
        <v>626</v>
      </c>
      <c r="B528" s="3">
        <v>45859</v>
      </c>
      <c r="C528" t="s">
        <v>66</v>
      </c>
      <c r="D528" t="s">
        <v>62</v>
      </c>
      <c r="E528" t="s">
        <v>67</v>
      </c>
      <c r="F528" t="s">
        <v>107</v>
      </c>
      <c r="G528" s="6">
        <v>3</v>
      </c>
      <c r="H528" s="4">
        <v>44.94</v>
      </c>
      <c r="I528" s="4">
        <v>21.63</v>
      </c>
      <c r="J528" s="5">
        <v>0.1</v>
      </c>
      <c r="K528" s="6">
        <v>0</v>
      </c>
      <c r="L528" s="6">
        <v>5</v>
      </c>
      <c r="M528" t="s">
        <v>58</v>
      </c>
      <c r="N528" t="s">
        <v>69</v>
      </c>
      <c r="O528" t="s">
        <v>64</v>
      </c>
      <c r="P528" t="str">
        <f t="shared" si="56"/>
        <v>Individual</v>
      </c>
      <c r="Q528" t="str">
        <f t="shared" si="57"/>
        <v>South</v>
      </c>
      <c r="R528" t="str">
        <f>PROPER(TRIM(E528))</f>
        <v>Office</v>
      </c>
      <c r="S528" s="27">
        <f>IF(ISTEXT(B528),DATEVALUE(B528),B528)</f>
        <v>45859</v>
      </c>
      <c r="T528" s="27">
        <f>COUNTIF($A$2:$A$1986,A528)</f>
        <v>1</v>
      </c>
      <c r="U528" s="27" t="str">
        <f t="shared" si="58"/>
        <v>Laptop Stand</v>
      </c>
      <c r="V528" s="27">
        <f t="shared" si="59"/>
        <v>121.33799999999999</v>
      </c>
      <c r="W528" s="27">
        <f t="shared" si="60"/>
        <v>64.89</v>
      </c>
      <c r="X528" s="27">
        <f>RawSalesTable3[[#This Row],[Revenue]]-RawSalesTable3[[#This Row],[Total_Cost]]</f>
        <v>56.447999999999993</v>
      </c>
      <c r="Y528" s="28">
        <f>RawSalesTable3[[#This Row],[Profit]]/RawSalesTable3[[#This Row],[Revenue]]</f>
        <v>0.46521287642782966</v>
      </c>
      <c r="Z528" s="27" t="str">
        <f>TEXT(RawSalesTable3[[#This Row],[Order_Date_Clean]],"MMM YYYY")</f>
        <v>Jul 2025</v>
      </c>
      <c r="AA528" s="27"/>
      <c r="AB528" s="27">
        <f t="shared" si="61"/>
        <v>0</v>
      </c>
      <c r="AC528" s="27">
        <f t="shared" si="62"/>
        <v>0</v>
      </c>
    </row>
    <row r="529" spans="1:29">
      <c r="A529" t="s">
        <v>627</v>
      </c>
      <c r="B529" s="3">
        <v>45727</v>
      </c>
      <c r="C529" t="s">
        <v>82</v>
      </c>
      <c r="D529" t="s">
        <v>62</v>
      </c>
      <c r="E529" t="s">
        <v>67</v>
      </c>
      <c r="F529" t="s">
        <v>71</v>
      </c>
      <c r="G529" s="6">
        <v>1</v>
      </c>
      <c r="H529" s="4">
        <v>70.63</v>
      </c>
      <c r="I529" s="4">
        <v>36.869999999999997</v>
      </c>
      <c r="J529" s="5">
        <v>0</v>
      </c>
      <c r="K529" s="6">
        <v>4</v>
      </c>
      <c r="L529" s="6">
        <v>4</v>
      </c>
      <c r="M529" t="s">
        <v>58</v>
      </c>
      <c r="N529" t="s">
        <v>59</v>
      </c>
      <c r="O529" t="s">
        <v>64</v>
      </c>
      <c r="P529" t="str">
        <f t="shared" si="56"/>
        <v>Individual</v>
      </c>
      <c r="Q529" t="str">
        <f t="shared" si="57"/>
        <v>Midlands</v>
      </c>
      <c r="R529" t="str">
        <f>PROPER(TRIM(E529))</f>
        <v>Office</v>
      </c>
      <c r="S529" s="27">
        <f>IF(ISTEXT(B529),DATEVALUE(B529),B529)</f>
        <v>45727</v>
      </c>
      <c r="T529" s="27">
        <f>COUNTIF($A$2:$A$1986,A529)</f>
        <v>1</v>
      </c>
      <c r="U529" s="27" t="str">
        <f t="shared" si="58"/>
        <v>Ergonomic Keyboard</v>
      </c>
      <c r="V529" s="27">
        <f t="shared" si="59"/>
        <v>70.63</v>
      </c>
      <c r="W529" s="27">
        <f t="shared" si="60"/>
        <v>36.869999999999997</v>
      </c>
      <c r="X529" s="27">
        <f>RawSalesTable3[[#This Row],[Revenue]]-RawSalesTable3[[#This Row],[Total_Cost]]</f>
        <v>33.76</v>
      </c>
      <c r="Y529" s="28">
        <f>RawSalesTable3[[#This Row],[Profit]]/RawSalesTable3[[#This Row],[Revenue]]</f>
        <v>0.47798385954976641</v>
      </c>
      <c r="Z529" s="27" t="str">
        <f>TEXT(RawSalesTable3[[#This Row],[Order_Date_Clean]],"MMM YYYY")</f>
        <v>Mar 2025</v>
      </c>
      <c r="AA529" s="27"/>
      <c r="AB529" s="27">
        <f t="shared" si="61"/>
        <v>0</v>
      </c>
      <c r="AC529" s="27">
        <f t="shared" si="62"/>
        <v>0</v>
      </c>
    </row>
    <row r="530" spans="1:29">
      <c r="A530" t="s">
        <v>628</v>
      </c>
      <c r="B530" s="3">
        <v>45747</v>
      </c>
      <c r="C530" t="s">
        <v>78</v>
      </c>
      <c r="D530" t="s">
        <v>62</v>
      </c>
      <c r="E530" t="s">
        <v>67</v>
      </c>
      <c r="F530" t="s">
        <v>71</v>
      </c>
      <c r="G530" s="6">
        <v>3</v>
      </c>
      <c r="H530" s="4">
        <v>67.98</v>
      </c>
      <c r="I530" s="4">
        <v>37.44</v>
      </c>
      <c r="J530" s="5">
        <v>0</v>
      </c>
      <c r="K530" s="6">
        <v>3</v>
      </c>
      <c r="L530" s="6">
        <v>5</v>
      </c>
      <c r="M530" t="s">
        <v>58</v>
      </c>
      <c r="N530" t="s">
        <v>69</v>
      </c>
      <c r="O530" t="s">
        <v>64</v>
      </c>
      <c r="P530" t="str">
        <f t="shared" si="56"/>
        <v>Individual</v>
      </c>
      <c r="Q530" t="str">
        <f t="shared" si="57"/>
        <v>London</v>
      </c>
      <c r="R530" t="str">
        <f>PROPER(TRIM(E530))</f>
        <v>Office</v>
      </c>
      <c r="S530" s="27">
        <f>IF(ISTEXT(B530),DATEVALUE(B530),B530)</f>
        <v>45747</v>
      </c>
      <c r="T530" s="27">
        <f>COUNTIF($A$2:$A$1986,A530)</f>
        <v>1</v>
      </c>
      <c r="U530" s="27" t="str">
        <f t="shared" si="58"/>
        <v>Ergonomic Keyboard</v>
      </c>
      <c r="V530" s="27">
        <f t="shared" si="59"/>
        <v>203.94</v>
      </c>
      <c r="W530" s="27">
        <f t="shared" si="60"/>
        <v>112.32</v>
      </c>
      <c r="X530" s="27">
        <f>RawSalesTable3[[#This Row],[Revenue]]-RawSalesTable3[[#This Row],[Total_Cost]]</f>
        <v>91.62</v>
      </c>
      <c r="Y530" s="28">
        <f>RawSalesTable3[[#This Row],[Profit]]/RawSalesTable3[[#This Row],[Revenue]]</f>
        <v>0.44924977934686677</v>
      </c>
      <c r="Z530" s="27" t="str">
        <f>TEXT(RawSalesTable3[[#This Row],[Order_Date_Clean]],"MMM YYYY")</f>
        <v>Mar 2025</v>
      </c>
      <c r="AA530" s="27"/>
      <c r="AB530" s="27">
        <f t="shared" si="61"/>
        <v>0</v>
      </c>
      <c r="AC530" s="27">
        <f t="shared" si="62"/>
        <v>0</v>
      </c>
    </row>
    <row r="531" spans="1:29">
      <c r="A531" t="s">
        <v>629</v>
      </c>
      <c r="B531" s="3">
        <v>45833</v>
      </c>
      <c r="C531" t="s">
        <v>66</v>
      </c>
      <c r="D531" t="s">
        <v>55</v>
      </c>
      <c r="E531" t="s">
        <v>79</v>
      </c>
      <c r="F531" t="s">
        <v>80</v>
      </c>
      <c r="G531" s="6">
        <v>4</v>
      </c>
      <c r="H531" s="4">
        <v>74.7</v>
      </c>
      <c r="I531" s="4">
        <v>45.04</v>
      </c>
      <c r="J531" s="5">
        <v>0.1</v>
      </c>
      <c r="K531" s="6">
        <v>7</v>
      </c>
      <c r="L531" s="6">
        <v>4</v>
      </c>
      <c r="M531" t="s">
        <v>58</v>
      </c>
      <c r="N531" t="s">
        <v>59</v>
      </c>
      <c r="O531" t="s">
        <v>64</v>
      </c>
      <c r="P531" t="str">
        <f t="shared" si="56"/>
        <v>Small Business</v>
      </c>
      <c r="Q531" t="str">
        <f t="shared" si="57"/>
        <v>South</v>
      </c>
      <c r="R531" t="str">
        <f>PROPER(TRIM(E531))</f>
        <v>Electronics</v>
      </c>
      <c r="S531" s="27">
        <f>IF(ISTEXT(B531),DATEVALUE(B531),B531)</f>
        <v>45833</v>
      </c>
      <c r="T531" s="27">
        <f>COUNTIF($A$2:$A$1986,A531)</f>
        <v>1</v>
      </c>
      <c r="U531" s="27" t="str">
        <f t="shared" si="58"/>
        <v>Portable Speaker</v>
      </c>
      <c r="V531" s="27">
        <f t="shared" si="59"/>
        <v>268.92</v>
      </c>
      <c r="W531" s="27">
        <f t="shared" si="60"/>
        <v>180.16</v>
      </c>
      <c r="X531" s="27">
        <f>RawSalesTable3[[#This Row],[Revenue]]-RawSalesTable3[[#This Row],[Total_Cost]]</f>
        <v>88.760000000000019</v>
      </c>
      <c r="Y531" s="28">
        <f>RawSalesTable3[[#This Row],[Profit]]/RawSalesTable3[[#This Row],[Revenue]]</f>
        <v>0.3300609846794586</v>
      </c>
      <c r="Z531" s="27" t="str">
        <f>TEXT(RawSalesTable3[[#This Row],[Order_Date_Clean]],"MMM YYYY")</f>
        <v>Jun 2025</v>
      </c>
      <c r="AA531" s="27"/>
      <c r="AB531" s="27">
        <f t="shared" si="61"/>
        <v>0</v>
      </c>
      <c r="AC531" s="27">
        <f t="shared" si="62"/>
        <v>0</v>
      </c>
    </row>
    <row r="532" spans="1:29">
      <c r="A532" t="s">
        <v>630</v>
      </c>
      <c r="B532" s="3">
        <v>45997</v>
      </c>
      <c r="C532" t="s">
        <v>66</v>
      </c>
      <c r="D532" t="s">
        <v>62</v>
      </c>
      <c r="E532" t="s">
        <v>75</v>
      </c>
      <c r="F532" t="s">
        <v>110</v>
      </c>
      <c r="G532" s="6">
        <v>2</v>
      </c>
      <c r="H532" s="4">
        <v>156.12</v>
      </c>
      <c r="I532" s="4">
        <v>101.64</v>
      </c>
      <c r="J532" s="5">
        <v>0.1</v>
      </c>
      <c r="K532" s="6">
        <v>2</v>
      </c>
      <c r="L532" s="6">
        <v>5</v>
      </c>
      <c r="M532" t="s">
        <v>58</v>
      </c>
      <c r="N532" t="s">
        <v>69</v>
      </c>
      <c r="O532" t="s">
        <v>64</v>
      </c>
      <c r="P532" t="str">
        <f t="shared" si="56"/>
        <v>Individual</v>
      </c>
      <c r="Q532" t="str">
        <f t="shared" si="57"/>
        <v>South</v>
      </c>
      <c r="R532" t="str">
        <f>PROPER(TRIM(E532))</f>
        <v>Furniture</v>
      </c>
      <c r="S532" s="27">
        <f>IF(ISTEXT(B532),DATEVALUE(B532),B532)</f>
        <v>45997</v>
      </c>
      <c r="T532" s="27">
        <f>COUNTIF($A$2:$A$1986,A532)</f>
        <v>1</v>
      </c>
      <c r="U532" s="27" t="str">
        <f t="shared" si="58"/>
        <v>Storage Cabinet</v>
      </c>
      <c r="V532" s="27">
        <f t="shared" si="59"/>
        <v>281.01600000000002</v>
      </c>
      <c r="W532" s="27">
        <f t="shared" si="60"/>
        <v>203.28</v>
      </c>
      <c r="X532" s="27">
        <f>RawSalesTable3[[#This Row],[Revenue]]-RawSalesTable3[[#This Row],[Total_Cost]]</f>
        <v>77.736000000000018</v>
      </c>
      <c r="Y532" s="28">
        <f>RawSalesTable3[[#This Row],[Profit]]/RawSalesTable3[[#This Row],[Revenue]]</f>
        <v>0.27662481851567178</v>
      </c>
      <c r="Z532" s="27" t="str">
        <f>TEXT(RawSalesTable3[[#This Row],[Order_Date_Clean]],"MMM YYYY")</f>
        <v>Dec 2025</v>
      </c>
      <c r="AA532" s="27"/>
      <c r="AB532" s="27">
        <f t="shared" si="61"/>
        <v>0</v>
      </c>
      <c r="AC532" s="27">
        <f t="shared" si="62"/>
        <v>0</v>
      </c>
    </row>
    <row r="533" spans="1:29">
      <c r="A533" t="s">
        <v>631</v>
      </c>
      <c r="B533" s="3">
        <v>45856</v>
      </c>
      <c r="C533" t="s">
        <v>78</v>
      </c>
      <c r="D533" t="s">
        <v>55</v>
      </c>
      <c r="E533" t="s">
        <v>56</v>
      </c>
      <c r="F533" t="s">
        <v>63</v>
      </c>
      <c r="G533" s="6">
        <v>1</v>
      </c>
      <c r="H533" s="4">
        <v>41.11</v>
      </c>
      <c r="I533" s="4">
        <v>19.86</v>
      </c>
      <c r="J533" s="5">
        <v>0</v>
      </c>
      <c r="K533" s="6">
        <v>2</v>
      </c>
      <c r="L533" s="6">
        <v>5</v>
      </c>
      <c r="M533" t="s">
        <v>58</v>
      </c>
      <c r="N533" t="s">
        <v>59</v>
      </c>
      <c r="O533" t="s">
        <v>73</v>
      </c>
      <c r="P533" t="str">
        <f t="shared" si="56"/>
        <v>Small Business</v>
      </c>
      <c r="Q533" t="str">
        <f t="shared" si="57"/>
        <v>London</v>
      </c>
      <c r="R533" t="str">
        <f>PROPER(TRIM(E533))</f>
        <v>Home &amp; Kitchen</v>
      </c>
      <c r="S533" s="27">
        <f>IF(ISTEXT(B533),DATEVALUE(B533),B533)</f>
        <v>45856</v>
      </c>
      <c r="T533" s="27">
        <f>COUNTIF($A$2:$A$1986,A533)</f>
        <v>1</v>
      </c>
      <c r="U533" s="27" t="str">
        <f t="shared" si="58"/>
        <v>Electric Kettle</v>
      </c>
      <c r="V533" s="27">
        <f t="shared" si="59"/>
        <v>41.11</v>
      </c>
      <c r="W533" s="27">
        <f t="shared" si="60"/>
        <v>19.86</v>
      </c>
      <c r="X533" s="27">
        <f>RawSalesTable3[[#This Row],[Revenue]]-RawSalesTable3[[#This Row],[Total_Cost]]</f>
        <v>21.25</v>
      </c>
      <c r="Y533" s="28">
        <f>RawSalesTable3[[#This Row],[Profit]]/RawSalesTable3[[#This Row],[Revenue]]</f>
        <v>0.51690586232060332</v>
      </c>
      <c r="Z533" s="27" t="str">
        <f>TEXT(RawSalesTable3[[#This Row],[Order_Date_Clean]],"MMM YYYY")</f>
        <v>Jul 2025</v>
      </c>
      <c r="AA533" s="27"/>
      <c r="AB533" s="27">
        <f t="shared" si="61"/>
        <v>0</v>
      </c>
      <c r="AC533" s="27">
        <f t="shared" si="62"/>
        <v>0</v>
      </c>
    </row>
    <row r="534" spans="1:29">
      <c r="A534" t="s">
        <v>632</v>
      </c>
      <c r="B534" s="3">
        <v>45836</v>
      </c>
      <c r="C534" t="s">
        <v>66</v>
      </c>
      <c r="D534" t="s">
        <v>55</v>
      </c>
      <c r="E534" t="s">
        <v>75</v>
      </c>
      <c r="F534" t="s">
        <v>76</v>
      </c>
      <c r="G534" s="6">
        <v>5</v>
      </c>
      <c r="H534" s="4">
        <v>119.92</v>
      </c>
      <c r="I534" s="4">
        <v>70.069999999999993</v>
      </c>
      <c r="J534" s="5">
        <v>0.1</v>
      </c>
      <c r="K534" s="6">
        <v>6</v>
      </c>
      <c r="L534" s="6">
        <v>3</v>
      </c>
      <c r="M534" t="s">
        <v>58</v>
      </c>
      <c r="N534" t="s">
        <v>59</v>
      </c>
      <c r="O534" t="s">
        <v>64</v>
      </c>
      <c r="P534" t="str">
        <f t="shared" si="56"/>
        <v>Small Business</v>
      </c>
      <c r="Q534" t="str">
        <f t="shared" si="57"/>
        <v>South</v>
      </c>
      <c r="R534" t="str">
        <f>PROPER(TRIM(E534))</f>
        <v>Furniture</v>
      </c>
      <c r="S534" s="27">
        <f>IF(ISTEXT(B534),DATEVALUE(B534),B534)</f>
        <v>45836</v>
      </c>
      <c r="T534" s="27">
        <f>COUNTIF($A$2:$A$1986,A534)</f>
        <v>1</v>
      </c>
      <c r="U534" s="27" t="str">
        <f t="shared" si="58"/>
        <v>Bookshelf</v>
      </c>
      <c r="V534" s="27">
        <f t="shared" si="59"/>
        <v>539.64</v>
      </c>
      <c r="W534" s="27">
        <f t="shared" si="60"/>
        <v>350.34999999999997</v>
      </c>
      <c r="X534" s="27">
        <f>RawSalesTable3[[#This Row],[Revenue]]-RawSalesTable3[[#This Row],[Total_Cost]]</f>
        <v>189.29000000000002</v>
      </c>
      <c r="Y534" s="28">
        <f>RawSalesTable3[[#This Row],[Profit]]/RawSalesTable3[[#This Row],[Revenue]]</f>
        <v>0.35077088429323255</v>
      </c>
      <c r="Z534" s="27" t="str">
        <f>TEXT(RawSalesTable3[[#This Row],[Order_Date_Clean]],"MMM YYYY")</f>
        <v>Jun 2025</v>
      </c>
      <c r="AA534" s="27"/>
      <c r="AB534" s="27">
        <f t="shared" si="61"/>
        <v>0</v>
      </c>
      <c r="AC534" s="27">
        <f t="shared" si="62"/>
        <v>0</v>
      </c>
    </row>
    <row r="535" spans="1:29">
      <c r="A535" t="s">
        <v>633</v>
      </c>
      <c r="B535" s="3">
        <v>45934</v>
      </c>
      <c r="C535" t="s">
        <v>54</v>
      </c>
      <c r="D535" t="s">
        <v>62</v>
      </c>
      <c r="E535" t="s">
        <v>67</v>
      </c>
      <c r="F535" t="s">
        <v>107</v>
      </c>
      <c r="G535" s="6">
        <v>2</v>
      </c>
      <c r="H535" s="4">
        <v>44.04</v>
      </c>
      <c r="I535" s="4">
        <v>21.76</v>
      </c>
      <c r="J535" s="5">
        <v>0</v>
      </c>
      <c r="K535" s="6">
        <v>0</v>
      </c>
      <c r="L535" s="6">
        <v>4</v>
      </c>
      <c r="M535" t="s">
        <v>58</v>
      </c>
      <c r="N535" t="s">
        <v>69</v>
      </c>
      <c r="O535" t="s">
        <v>64</v>
      </c>
      <c r="P535" t="str">
        <f t="shared" si="56"/>
        <v>Individual</v>
      </c>
      <c r="Q535" t="str">
        <f t="shared" si="57"/>
        <v>North</v>
      </c>
      <c r="R535" t="str">
        <f>PROPER(TRIM(E535))</f>
        <v>Office</v>
      </c>
      <c r="S535" s="27">
        <f>IF(ISTEXT(B535),DATEVALUE(B535),B535)</f>
        <v>45934</v>
      </c>
      <c r="T535" s="27">
        <f>COUNTIF($A$2:$A$1986,A535)</f>
        <v>1</v>
      </c>
      <c r="U535" s="27" t="str">
        <f t="shared" si="58"/>
        <v>Laptop Stand</v>
      </c>
      <c r="V535" s="27">
        <f t="shared" si="59"/>
        <v>88.08</v>
      </c>
      <c r="W535" s="27">
        <f t="shared" si="60"/>
        <v>43.52</v>
      </c>
      <c r="X535" s="27">
        <f>RawSalesTable3[[#This Row],[Revenue]]-RawSalesTable3[[#This Row],[Total_Cost]]</f>
        <v>44.559999999999995</v>
      </c>
      <c r="Y535" s="28">
        <f>RawSalesTable3[[#This Row],[Profit]]/RawSalesTable3[[#This Row],[Revenue]]</f>
        <v>0.50590372388737503</v>
      </c>
      <c r="Z535" s="27" t="str">
        <f>TEXT(RawSalesTable3[[#This Row],[Order_Date_Clean]],"MMM YYYY")</f>
        <v>Oct 2025</v>
      </c>
      <c r="AA535" s="27"/>
      <c r="AB535" s="27">
        <f t="shared" si="61"/>
        <v>0</v>
      </c>
      <c r="AC535" s="27">
        <f t="shared" si="62"/>
        <v>0</v>
      </c>
    </row>
    <row r="536" spans="1:29">
      <c r="A536" t="s">
        <v>634</v>
      </c>
      <c r="B536" s="3">
        <v>45771</v>
      </c>
      <c r="C536" t="s">
        <v>66</v>
      </c>
      <c r="D536" t="s">
        <v>55</v>
      </c>
      <c r="E536" t="s">
        <v>67</v>
      </c>
      <c r="F536" t="s">
        <v>107</v>
      </c>
      <c r="G536" s="6">
        <v>2</v>
      </c>
      <c r="H536" s="4">
        <v>45</v>
      </c>
      <c r="I536" s="4">
        <v>21.5</v>
      </c>
      <c r="J536" s="5">
        <v>0.05</v>
      </c>
      <c r="K536" s="6">
        <v>5</v>
      </c>
      <c r="L536" s="6">
        <v>4</v>
      </c>
      <c r="M536" t="s">
        <v>126</v>
      </c>
      <c r="N536" t="s">
        <v>59</v>
      </c>
      <c r="O536" t="s">
        <v>64</v>
      </c>
      <c r="P536" t="str">
        <f t="shared" si="56"/>
        <v>Small Business</v>
      </c>
      <c r="Q536" t="str">
        <f t="shared" si="57"/>
        <v>South</v>
      </c>
      <c r="R536" t="str">
        <f>PROPER(TRIM(E536))</f>
        <v>Office</v>
      </c>
      <c r="S536" s="27">
        <f>IF(ISTEXT(B536),DATEVALUE(B536),B536)</f>
        <v>45771</v>
      </c>
      <c r="T536" s="27">
        <f>COUNTIF($A$2:$A$1986,A536)</f>
        <v>1</v>
      </c>
      <c r="U536" s="27" t="str">
        <f t="shared" si="58"/>
        <v>Laptop Stand</v>
      </c>
      <c r="V536" s="27">
        <f t="shared" si="59"/>
        <v>85.5</v>
      </c>
      <c r="W536" s="27">
        <f t="shared" si="60"/>
        <v>43</v>
      </c>
      <c r="X536" s="27">
        <f>RawSalesTable3[[#This Row],[Revenue]]-RawSalesTable3[[#This Row],[Total_Cost]]</f>
        <v>42.5</v>
      </c>
      <c r="Y536" s="28">
        <f>RawSalesTable3[[#This Row],[Profit]]/RawSalesTable3[[#This Row],[Revenue]]</f>
        <v>0.49707602339181284</v>
      </c>
      <c r="Z536" s="27" t="str">
        <f>TEXT(RawSalesTable3[[#This Row],[Order_Date_Clean]],"MMM YYYY")</f>
        <v>Apr 2025</v>
      </c>
      <c r="AA536" s="27"/>
      <c r="AB536" s="27">
        <f t="shared" si="61"/>
        <v>0</v>
      </c>
      <c r="AC536" s="27">
        <f t="shared" si="62"/>
        <v>0</v>
      </c>
    </row>
    <row r="537" spans="1:29">
      <c r="A537" t="s">
        <v>635</v>
      </c>
      <c r="B537" s="3">
        <v>45885</v>
      </c>
      <c r="C537" t="s">
        <v>54</v>
      </c>
      <c r="D537" t="s">
        <v>62</v>
      </c>
      <c r="E537" t="s">
        <v>79</v>
      </c>
      <c r="F537" t="s">
        <v>92</v>
      </c>
      <c r="G537" s="6">
        <v>2</v>
      </c>
      <c r="H537" s="4">
        <v>49.54</v>
      </c>
      <c r="I537" s="4">
        <v>26.01</v>
      </c>
      <c r="J537" s="5">
        <v>0</v>
      </c>
      <c r="K537" s="6">
        <v>4</v>
      </c>
      <c r="L537" s="6">
        <v>5</v>
      </c>
      <c r="M537" t="s">
        <v>58</v>
      </c>
      <c r="N537" t="s">
        <v>87</v>
      </c>
      <c r="O537" t="s">
        <v>60</v>
      </c>
      <c r="P537" t="str">
        <f t="shared" si="56"/>
        <v>Individual</v>
      </c>
      <c r="Q537" t="str">
        <f t="shared" si="57"/>
        <v>North</v>
      </c>
      <c r="R537" t="str">
        <f>PROPER(TRIM(E537))</f>
        <v>Electronics</v>
      </c>
      <c r="S537" s="27">
        <f>IF(ISTEXT(B537),DATEVALUE(B537),B537)</f>
        <v>45885</v>
      </c>
      <c r="T537" s="27">
        <f>COUNTIF($A$2:$A$1986,A537)</f>
        <v>1</v>
      </c>
      <c r="U537" s="27" t="str">
        <f t="shared" si="58"/>
        <v>Webcam</v>
      </c>
      <c r="V537" s="27">
        <f t="shared" si="59"/>
        <v>99.08</v>
      </c>
      <c r="W537" s="27">
        <f t="shared" si="60"/>
        <v>52.02</v>
      </c>
      <c r="X537" s="27">
        <f>RawSalesTable3[[#This Row],[Revenue]]-RawSalesTable3[[#This Row],[Total_Cost]]</f>
        <v>47.059999999999995</v>
      </c>
      <c r="Y537" s="28">
        <f>RawSalesTable3[[#This Row],[Profit]]/RawSalesTable3[[#This Row],[Revenue]]</f>
        <v>0.47496972143722238</v>
      </c>
      <c r="Z537" s="27" t="str">
        <f>TEXT(RawSalesTable3[[#This Row],[Order_Date_Clean]],"MMM YYYY")</f>
        <v>Aug 2025</v>
      </c>
      <c r="AA537" s="27"/>
      <c r="AB537" s="27">
        <f t="shared" si="61"/>
        <v>0</v>
      </c>
      <c r="AC537" s="27">
        <f t="shared" si="62"/>
        <v>0</v>
      </c>
    </row>
    <row r="538" spans="1:29">
      <c r="A538" t="s">
        <v>636</v>
      </c>
      <c r="B538" s="3">
        <v>45920</v>
      </c>
      <c r="C538" t="s">
        <v>66</v>
      </c>
      <c r="D538" t="s">
        <v>62</v>
      </c>
      <c r="E538" t="s">
        <v>79</v>
      </c>
      <c r="F538" t="s">
        <v>80</v>
      </c>
      <c r="G538" s="6">
        <v>2</v>
      </c>
      <c r="H538" s="4">
        <v>73.34</v>
      </c>
      <c r="I538" s="4">
        <v>43.66</v>
      </c>
      <c r="J538" s="5">
        <v>0.1</v>
      </c>
      <c r="K538" s="6">
        <v>7</v>
      </c>
      <c r="L538" s="6">
        <v>3</v>
      </c>
      <c r="M538" t="s">
        <v>58</v>
      </c>
      <c r="N538" t="s">
        <v>87</v>
      </c>
      <c r="O538" t="s">
        <v>64</v>
      </c>
      <c r="P538" t="str">
        <f t="shared" si="56"/>
        <v>Individual</v>
      </c>
      <c r="Q538" t="str">
        <f t="shared" si="57"/>
        <v>South</v>
      </c>
      <c r="R538" t="str">
        <f>PROPER(TRIM(E538))</f>
        <v>Electronics</v>
      </c>
      <c r="S538" s="27">
        <f>IF(ISTEXT(B538),DATEVALUE(B538),B538)</f>
        <v>45920</v>
      </c>
      <c r="T538" s="27">
        <f>COUNTIF($A$2:$A$1986,A538)</f>
        <v>1</v>
      </c>
      <c r="U538" s="27" t="str">
        <f t="shared" si="58"/>
        <v>Portable Speaker</v>
      </c>
      <c r="V538" s="27">
        <f t="shared" si="59"/>
        <v>132.012</v>
      </c>
      <c r="W538" s="27">
        <f t="shared" si="60"/>
        <v>87.32</v>
      </c>
      <c r="X538" s="27">
        <f>RawSalesTable3[[#This Row],[Revenue]]-RawSalesTable3[[#This Row],[Total_Cost]]</f>
        <v>44.692000000000007</v>
      </c>
      <c r="Y538" s="28">
        <f>RawSalesTable3[[#This Row],[Profit]]/RawSalesTable3[[#This Row],[Revenue]]</f>
        <v>0.33854498075932499</v>
      </c>
      <c r="Z538" s="27" t="str">
        <f>TEXT(RawSalesTable3[[#This Row],[Order_Date_Clean]],"MMM YYYY")</f>
        <v>Sep 2025</v>
      </c>
      <c r="AA538" s="27"/>
      <c r="AB538" s="27">
        <f t="shared" si="61"/>
        <v>0</v>
      </c>
      <c r="AC538" s="27">
        <f t="shared" si="62"/>
        <v>0</v>
      </c>
    </row>
    <row r="539" spans="1:29">
      <c r="A539" t="s">
        <v>637</v>
      </c>
      <c r="B539" s="3">
        <v>45803</v>
      </c>
      <c r="C539" t="s">
        <v>82</v>
      </c>
      <c r="D539" t="s">
        <v>62</v>
      </c>
      <c r="E539" t="s">
        <v>67</v>
      </c>
      <c r="F539" t="s">
        <v>94</v>
      </c>
      <c r="G539" s="6">
        <v>1</v>
      </c>
      <c r="H539" s="4">
        <v>36.25</v>
      </c>
      <c r="I539" s="4">
        <v>16.559999999999999</v>
      </c>
      <c r="J539" s="5">
        <v>0.1</v>
      </c>
      <c r="K539" s="6">
        <v>2</v>
      </c>
      <c r="L539" s="6">
        <v>4</v>
      </c>
      <c r="M539" t="s">
        <v>58</v>
      </c>
      <c r="N539" t="s">
        <v>59</v>
      </c>
      <c r="O539" t="s">
        <v>60</v>
      </c>
      <c r="P539" t="str">
        <f t="shared" si="56"/>
        <v>Individual</v>
      </c>
      <c r="Q539" t="str">
        <f t="shared" si="57"/>
        <v>Midlands</v>
      </c>
      <c r="R539" t="str">
        <f>PROPER(TRIM(E539))</f>
        <v>Office</v>
      </c>
      <c r="S539" s="27">
        <f>IF(ISTEXT(B539),DATEVALUE(B539),B539)</f>
        <v>45803</v>
      </c>
      <c r="T539" s="27">
        <f>COUNTIF($A$2:$A$1986,A539)</f>
        <v>1</v>
      </c>
      <c r="U539" s="27" t="str">
        <f t="shared" si="58"/>
        <v>Wireless Mouse</v>
      </c>
      <c r="V539" s="27">
        <f t="shared" si="59"/>
        <v>32.625</v>
      </c>
      <c r="W539" s="27">
        <f t="shared" si="60"/>
        <v>16.559999999999999</v>
      </c>
      <c r="X539" s="27">
        <f>RawSalesTable3[[#This Row],[Revenue]]-RawSalesTable3[[#This Row],[Total_Cost]]</f>
        <v>16.065000000000001</v>
      </c>
      <c r="Y539" s="28">
        <f>RawSalesTable3[[#This Row],[Profit]]/RawSalesTable3[[#This Row],[Revenue]]</f>
        <v>0.49241379310344829</v>
      </c>
      <c r="Z539" s="27" t="str">
        <f>TEXT(RawSalesTable3[[#This Row],[Order_Date_Clean]],"MMM YYYY")</f>
        <v>May 2025</v>
      </c>
      <c r="AA539" s="27"/>
      <c r="AB539" s="27">
        <f t="shared" si="61"/>
        <v>0</v>
      </c>
      <c r="AC539" s="27">
        <f t="shared" si="62"/>
        <v>0</v>
      </c>
    </row>
    <row r="540" spans="1:29">
      <c r="A540" t="s">
        <v>638</v>
      </c>
      <c r="B540" s="3">
        <v>45971</v>
      </c>
      <c r="C540" t="s">
        <v>66</v>
      </c>
      <c r="D540" t="s">
        <v>62</v>
      </c>
      <c r="E540" t="s">
        <v>79</v>
      </c>
      <c r="F540" t="s">
        <v>115</v>
      </c>
      <c r="G540" s="6">
        <v>2</v>
      </c>
      <c r="H540" s="4">
        <v>61.22</v>
      </c>
      <c r="I540" s="4">
        <v>34.89</v>
      </c>
      <c r="J540" s="5">
        <v>0.15000000000000002</v>
      </c>
      <c r="K540" s="6">
        <v>3</v>
      </c>
      <c r="L540" s="6">
        <v>4</v>
      </c>
      <c r="M540" t="s">
        <v>58</v>
      </c>
      <c r="N540" t="s">
        <v>59</v>
      </c>
      <c r="O540" t="s">
        <v>64</v>
      </c>
      <c r="P540" t="str">
        <f t="shared" si="56"/>
        <v>Individual</v>
      </c>
      <c r="Q540" t="str">
        <f t="shared" si="57"/>
        <v>South</v>
      </c>
      <c r="R540" t="str">
        <f>PROPER(TRIM(E540))</f>
        <v>Electronics</v>
      </c>
      <c r="S540" s="27">
        <f>IF(ISTEXT(B540),DATEVALUE(B540),B540)</f>
        <v>45971</v>
      </c>
      <c r="T540" s="27">
        <f>COUNTIF($A$2:$A$1986,A540)</f>
        <v>1</v>
      </c>
      <c r="U540" s="27" t="str">
        <f t="shared" si="58"/>
        <v>Wireless Headset</v>
      </c>
      <c r="V540" s="27">
        <f t="shared" si="59"/>
        <v>104.074</v>
      </c>
      <c r="W540" s="27">
        <f t="shared" si="60"/>
        <v>69.78</v>
      </c>
      <c r="X540" s="27">
        <f>RawSalesTable3[[#This Row],[Revenue]]-RawSalesTable3[[#This Row],[Total_Cost]]</f>
        <v>34.293999999999997</v>
      </c>
      <c r="Y540" s="28">
        <f>RawSalesTable3[[#This Row],[Profit]]/RawSalesTable3[[#This Row],[Revenue]]</f>
        <v>0.32951553702173453</v>
      </c>
      <c r="Z540" s="27" t="str">
        <f>TEXT(RawSalesTable3[[#This Row],[Order_Date_Clean]],"MMM YYYY")</f>
        <v>Nov 2025</v>
      </c>
      <c r="AA540" s="27"/>
      <c r="AB540" s="27">
        <f t="shared" si="61"/>
        <v>0</v>
      </c>
      <c r="AC540" s="27">
        <f t="shared" si="62"/>
        <v>0</v>
      </c>
    </row>
    <row r="541" spans="1:29">
      <c r="A541" t="s">
        <v>639</v>
      </c>
      <c r="B541" s="3">
        <v>45749</v>
      </c>
      <c r="C541" t="s">
        <v>305</v>
      </c>
      <c r="D541" t="s">
        <v>55</v>
      </c>
      <c r="E541" t="s">
        <v>56</v>
      </c>
      <c r="F541" t="s">
        <v>89</v>
      </c>
      <c r="G541" s="6">
        <v>4</v>
      </c>
      <c r="H541" s="4">
        <v>79.28</v>
      </c>
      <c r="I541" s="4">
        <v>46.04</v>
      </c>
      <c r="J541" s="5">
        <v>0.1</v>
      </c>
      <c r="K541" s="6">
        <v>6</v>
      </c>
      <c r="L541" s="6">
        <v>3</v>
      </c>
      <c r="M541" t="s">
        <v>58</v>
      </c>
      <c r="N541" t="s">
        <v>59</v>
      </c>
      <c r="O541" t="s">
        <v>64</v>
      </c>
      <c r="P541" t="str">
        <f t="shared" si="56"/>
        <v>Small Business</v>
      </c>
      <c r="Q541" t="str">
        <f t="shared" si="57"/>
        <v>London</v>
      </c>
      <c r="R541" t="str">
        <f>PROPER(TRIM(E541))</f>
        <v>Home &amp; Kitchen</v>
      </c>
      <c r="S541" s="27">
        <f>IF(ISTEXT(B541),DATEVALUE(B541),B541)</f>
        <v>45749</v>
      </c>
      <c r="T541" s="27">
        <f>COUNTIF($A$2:$A$1986,A541)</f>
        <v>1</v>
      </c>
      <c r="U541" s="27" t="str">
        <f t="shared" si="58"/>
        <v>Coffee Maker</v>
      </c>
      <c r="V541" s="27">
        <f t="shared" si="59"/>
        <v>285.40800000000002</v>
      </c>
      <c r="W541" s="27">
        <f t="shared" si="60"/>
        <v>184.16</v>
      </c>
      <c r="X541" s="27">
        <f>RawSalesTable3[[#This Row],[Revenue]]-RawSalesTable3[[#This Row],[Total_Cost]]</f>
        <v>101.24800000000002</v>
      </c>
      <c r="Y541" s="28">
        <f>RawSalesTable3[[#This Row],[Profit]]/RawSalesTable3[[#This Row],[Revenue]]</f>
        <v>0.35474829016705911</v>
      </c>
      <c r="Z541" s="27" t="str">
        <f>TEXT(RawSalesTable3[[#This Row],[Order_Date_Clean]],"MMM YYYY")</f>
        <v>Apr 2025</v>
      </c>
      <c r="AA541" s="27"/>
      <c r="AB541" s="27">
        <f t="shared" si="61"/>
        <v>0</v>
      </c>
      <c r="AC541" s="27">
        <f t="shared" si="62"/>
        <v>0</v>
      </c>
    </row>
    <row r="542" spans="1:29">
      <c r="A542" t="s">
        <v>640</v>
      </c>
      <c r="B542" s="3">
        <v>45844</v>
      </c>
      <c r="C542" t="s">
        <v>82</v>
      </c>
      <c r="D542" t="s">
        <v>62</v>
      </c>
      <c r="E542" t="s">
        <v>56</v>
      </c>
      <c r="F542" t="s">
        <v>57</v>
      </c>
      <c r="G542" s="6">
        <v>2</v>
      </c>
      <c r="H542" s="4">
        <v>110.35</v>
      </c>
      <c r="I542" s="4">
        <v>65.430000000000007</v>
      </c>
      <c r="J542" s="5">
        <v>0</v>
      </c>
      <c r="K542" s="6">
        <v>1</v>
      </c>
      <c r="L542" s="6">
        <v>4</v>
      </c>
      <c r="M542" t="s">
        <v>58</v>
      </c>
      <c r="N542" t="s">
        <v>69</v>
      </c>
      <c r="O542" t="s">
        <v>64</v>
      </c>
      <c r="P542" t="str">
        <f t="shared" si="56"/>
        <v>Individual</v>
      </c>
      <c r="Q542" t="str">
        <f t="shared" si="57"/>
        <v>Midlands</v>
      </c>
      <c r="R542" t="str">
        <f>PROPER(TRIM(E542))</f>
        <v>Home &amp; Kitchen</v>
      </c>
      <c r="S542" s="27">
        <f>IF(ISTEXT(B542),DATEVALUE(B542),B542)</f>
        <v>45844</v>
      </c>
      <c r="T542" s="27">
        <f>COUNTIF($A$2:$A$1986,A542)</f>
        <v>1</v>
      </c>
      <c r="U542" s="27" t="str">
        <f t="shared" si="58"/>
        <v>Air Fryer</v>
      </c>
      <c r="V542" s="27">
        <f t="shared" si="59"/>
        <v>220.7</v>
      </c>
      <c r="W542" s="27">
        <f t="shared" si="60"/>
        <v>130.86000000000001</v>
      </c>
      <c r="X542" s="27">
        <f>RawSalesTable3[[#This Row],[Revenue]]-RawSalesTable3[[#This Row],[Total_Cost]]</f>
        <v>89.839999999999975</v>
      </c>
      <c r="Y542" s="28">
        <f>RawSalesTable3[[#This Row],[Profit]]/RawSalesTable3[[#This Row],[Revenue]]</f>
        <v>0.40706841866787485</v>
      </c>
      <c r="Z542" s="27" t="str">
        <f>TEXT(RawSalesTable3[[#This Row],[Order_Date_Clean]],"MMM YYYY")</f>
        <v>Jul 2025</v>
      </c>
      <c r="AA542" s="27"/>
      <c r="AB542" s="27">
        <f t="shared" si="61"/>
        <v>0</v>
      </c>
      <c r="AC542" s="27">
        <f t="shared" si="62"/>
        <v>0</v>
      </c>
    </row>
    <row r="543" spans="1:29">
      <c r="A543" t="s">
        <v>641</v>
      </c>
      <c r="B543" s="3">
        <v>46010</v>
      </c>
      <c r="C543" t="s">
        <v>54</v>
      </c>
      <c r="D543" t="s">
        <v>62</v>
      </c>
      <c r="E543" t="s">
        <v>75</v>
      </c>
      <c r="F543" t="s">
        <v>76</v>
      </c>
      <c r="G543" s="6">
        <v>2</v>
      </c>
      <c r="H543" s="4">
        <v>118.78</v>
      </c>
      <c r="I543" s="4">
        <v>74.77</v>
      </c>
      <c r="J543" s="5">
        <v>0.2</v>
      </c>
      <c r="K543" s="6">
        <v>5</v>
      </c>
      <c r="L543" s="6">
        <v>4</v>
      </c>
      <c r="M543" t="s">
        <v>58</v>
      </c>
      <c r="N543" t="s">
        <v>69</v>
      </c>
      <c r="O543" t="s">
        <v>64</v>
      </c>
      <c r="P543" t="str">
        <f t="shared" si="56"/>
        <v>Individual</v>
      </c>
      <c r="Q543" t="str">
        <f t="shared" si="57"/>
        <v>North</v>
      </c>
      <c r="R543" t="str">
        <f>PROPER(TRIM(E543))</f>
        <v>Furniture</v>
      </c>
      <c r="S543" s="27">
        <f>IF(ISTEXT(B543),DATEVALUE(B543),B543)</f>
        <v>46010</v>
      </c>
      <c r="T543" s="27">
        <f>COUNTIF($A$2:$A$1986,A543)</f>
        <v>1</v>
      </c>
      <c r="U543" s="27" t="str">
        <f t="shared" si="58"/>
        <v>Bookshelf</v>
      </c>
      <c r="V543" s="27">
        <f t="shared" si="59"/>
        <v>190.048</v>
      </c>
      <c r="W543" s="27">
        <f t="shared" si="60"/>
        <v>149.54</v>
      </c>
      <c r="X543" s="27">
        <f>RawSalesTable3[[#This Row],[Revenue]]-RawSalesTable3[[#This Row],[Total_Cost]]</f>
        <v>40.50800000000001</v>
      </c>
      <c r="Y543" s="28">
        <f>RawSalesTable3[[#This Row],[Profit]]/RawSalesTable3[[#This Row],[Revenue]]</f>
        <v>0.21314615255093455</v>
      </c>
      <c r="Z543" s="27" t="str">
        <f>TEXT(RawSalesTable3[[#This Row],[Order_Date_Clean]],"MMM YYYY")</f>
        <v>Dec 2025</v>
      </c>
      <c r="AA543" s="27"/>
      <c r="AB543" s="27">
        <f t="shared" si="61"/>
        <v>0</v>
      </c>
      <c r="AC543" s="27">
        <f t="shared" si="62"/>
        <v>0</v>
      </c>
    </row>
    <row r="544" spans="1:29">
      <c r="A544" t="s">
        <v>642</v>
      </c>
      <c r="B544" s="3">
        <v>45974</v>
      </c>
      <c r="C544" t="s">
        <v>78</v>
      </c>
      <c r="D544" t="s">
        <v>62</v>
      </c>
      <c r="E544" t="s">
        <v>75</v>
      </c>
      <c r="F544" t="s">
        <v>76</v>
      </c>
      <c r="G544" s="6">
        <v>1</v>
      </c>
      <c r="H544" s="4">
        <v>118.3</v>
      </c>
      <c r="I544" s="4">
        <v>70.959999999999994</v>
      </c>
      <c r="J544" s="5">
        <v>0</v>
      </c>
      <c r="K544" s="6">
        <v>4</v>
      </c>
      <c r="L544" s="6">
        <v>5</v>
      </c>
      <c r="M544" t="s">
        <v>58</v>
      </c>
      <c r="N544" t="s">
        <v>59</v>
      </c>
      <c r="O544" t="s">
        <v>64</v>
      </c>
      <c r="P544" t="str">
        <f t="shared" si="56"/>
        <v>Individual</v>
      </c>
      <c r="Q544" t="str">
        <f t="shared" si="57"/>
        <v>London</v>
      </c>
      <c r="R544" t="str">
        <f>PROPER(TRIM(E544))</f>
        <v>Furniture</v>
      </c>
      <c r="S544" s="27">
        <f>IF(ISTEXT(B544),DATEVALUE(B544),B544)</f>
        <v>45974</v>
      </c>
      <c r="T544" s="27">
        <f>COUNTIF($A$2:$A$1986,A544)</f>
        <v>1</v>
      </c>
      <c r="U544" s="27" t="str">
        <f t="shared" si="58"/>
        <v>Bookshelf</v>
      </c>
      <c r="V544" s="27">
        <f t="shared" si="59"/>
        <v>118.3</v>
      </c>
      <c r="W544" s="27">
        <f t="shared" si="60"/>
        <v>70.959999999999994</v>
      </c>
      <c r="X544" s="27">
        <f>RawSalesTable3[[#This Row],[Revenue]]-RawSalesTable3[[#This Row],[Total_Cost]]</f>
        <v>47.34</v>
      </c>
      <c r="Y544" s="28">
        <f>RawSalesTable3[[#This Row],[Profit]]/RawSalesTable3[[#This Row],[Revenue]]</f>
        <v>0.40016906170752331</v>
      </c>
      <c r="Z544" s="27" t="str">
        <f>TEXT(RawSalesTable3[[#This Row],[Order_Date_Clean]],"MMM YYYY")</f>
        <v>Nov 2025</v>
      </c>
      <c r="AA544" s="27"/>
      <c r="AB544" s="27">
        <f t="shared" si="61"/>
        <v>0</v>
      </c>
      <c r="AC544" s="27">
        <f t="shared" si="62"/>
        <v>0</v>
      </c>
    </row>
    <row r="545" spans="1:29">
      <c r="A545" t="s">
        <v>643</v>
      </c>
      <c r="B545" s="3">
        <v>45833</v>
      </c>
      <c r="C545" t="s">
        <v>66</v>
      </c>
      <c r="D545" t="s">
        <v>62</v>
      </c>
      <c r="E545" t="s">
        <v>79</v>
      </c>
      <c r="F545" t="s">
        <v>85</v>
      </c>
      <c r="G545" s="6">
        <v>1</v>
      </c>
      <c r="H545" s="4">
        <v>128.76</v>
      </c>
      <c r="I545" s="4">
        <v>84.16</v>
      </c>
      <c r="J545" s="5">
        <v>0.1</v>
      </c>
      <c r="K545" s="6">
        <v>0</v>
      </c>
      <c r="L545" s="6">
        <v>4</v>
      </c>
      <c r="M545" t="s">
        <v>58</v>
      </c>
      <c r="N545" t="s">
        <v>69</v>
      </c>
      <c r="O545" t="s">
        <v>64</v>
      </c>
      <c r="P545" t="str">
        <f t="shared" si="56"/>
        <v>Individual</v>
      </c>
      <c r="Q545" t="str">
        <f t="shared" si="57"/>
        <v>South</v>
      </c>
      <c r="R545" t="str">
        <f>PROPER(TRIM(E545))</f>
        <v>Electronics</v>
      </c>
      <c r="S545" s="27">
        <f>IF(ISTEXT(B545),DATEVALUE(B545),B545)</f>
        <v>45833</v>
      </c>
      <c r="T545" s="27">
        <f>COUNTIF($A$2:$A$1986,A545)</f>
        <v>1</v>
      </c>
      <c r="U545" s="27" t="str">
        <f t="shared" si="58"/>
        <v>SmartHome Hub</v>
      </c>
      <c r="V545" s="27">
        <f t="shared" si="59"/>
        <v>115.884</v>
      </c>
      <c r="W545" s="27">
        <f t="shared" si="60"/>
        <v>84.16</v>
      </c>
      <c r="X545" s="27">
        <f>RawSalesTable3[[#This Row],[Revenue]]-RawSalesTable3[[#This Row],[Total_Cost]]</f>
        <v>31.724000000000004</v>
      </c>
      <c r="Y545" s="28">
        <f>RawSalesTable3[[#This Row],[Profit]]/RawSalesTable3[[#This Row],[Revenue]]</f>
        <v>0.2737565151358255</v>
      </c>
      <c r="Z545" s="27" t="str">
        <f>TEXT(RawSalesTable3[[#This Row],[Order_Date_Clean]],"MMM YYYY")</f>
        <v>Jun 2025</v>
      </c>
      <c r="AA545" s="27"/>
      <c r="AB545" s="27">
        <f t="shared" si="61"/>
        <v>0</v>
      </c>
      <c r="AC545" s="27">
        <f t="shared" si="62"/>
        <v>0</v>
      </c>
    </row>
    <row r="546" spans="1:29">
      <c r="A546" t="s">
        <v>644</v>
      </c>
      <c r="B546" s="3">
        <v>45743</v>
      </c>
      <c r="C546" t="s">
        <v>66</v>
      </c>
      <c r="D546" t="s">
        <v>62</v>
      </c>
      <c r="E546" t="s">
        <v>75</v>
      </c>
      <c r="F546" t="s">
        <v>110</v>
      </c>
      <c r="G546" s="6">
        <v>2</v>
      </c>
      <c r="H546" s="4">
        <v>156.69999999999999</v>
      </c>
      <c r="I546" s="4">
        <v>101.58</v>
      </c>
      <c r="J546" s="5">
        <v>0.2</v>
      </c>
      <c r="K546" s="6">
        <v>3</v>
      </c>
      <c r="L546" s="6">
        <v>4</v>
      </c>
      <c r="M546" t="s">
        <v>58</v>
      </c>
      <c r="N546" t="s">
        <v>69</v>
      </c>
      <c r="O546" t="s">
        <v>64</v>
      </c>
      <c r="P546" t="str">
        <f t="shared" si="56"/>
        <v>Individual</v>
      </c>
      <c r="Q546" t="str">
        <f t="shared" si="57"/>
        <v>South</v>
      </c>
      <c r="R546" t="str">
        <f>PROPER(TRIM(E546))</f>
        <v>Furniture</v>
      </c>
      <c r="S546" s="27">
        <f>IF(ISTEXT(B546),DATEVALUE(B546),B546)</f>
        <v>45743</v>
      </c>
      <c r="T546" s="27">
        <f>COUNTIF($A$2:$A$1986,A546)</f>
        <v>1</v>
      </c>
      <c r="U546" s="27" t="str">
        <f t="shared" si="58"/>
        <v>Storage Cabinet</v>
      </c>
      <c r="V546" s="27">
        <f t="shared" si="59"/>
        <v>250.72</v>
      </c>
      <c r="W546" s="27">
        <f t="shared" si="60"/>
        <v>203.16</v>
      </c>
      <c r="X546" s="27">
        <f>RawSalesTable3[[#This Row],[Revenue]]-RawSalesTable3[[#This Row],[Total_Cost]]</f>
        <v>47.56</v>
      </c>
      <c r="Y546" s="28">
        <f>RawSalesTable3[[#This Row],[Profit]]/RawSalesTable3[[#This Row],[Revenue]]</f>
        <v>0.1896936821952776</v>
      </c>
      <c r="Z546" s="27" t="str">
        <f>TEXT(RawSalesTable3[[#This Row],[Order_Date_Clean]],"MMM YYYY")</f>
        <v>Mar 2025</v>
      </c>
      <c r="AA546" s="27"/>
      <c r="AB546" s="27">
        <f t="shared" si="61"/>
        <v>0</v>
      </c>
      <c r="AC546" s="27">
        <f t="shared" si="62"/>
        <v>0</v>
      </c>
    </row>
    <row r="547" spans="1:29">
      <c r="A547" t="s">
        <v>645</v>
      </c>
      <c r="B547" s="3">
        <v>45914</v>
      </c>
      <c r="C547" t="s">
        <v>78</v>
      </c>
      <c r="D547" t="s">
        <v>129</v>
      </c>
      <c r="E547" t="s">
        <v>75</v>
      </c>
      <c r="F547" t="s">
        <v>97</v>
      </c>
      <c r="G547" s="6">
        <v>5</v>
      </c>
      <c r="H547" s="4">
        <v>91.86</v>
      </c>
      <c r="I547" s="4">
        <v>53.46</v>
      </c>
      <c r="J547" s="5">
        <v>0.15000000000000002</v>
      </c>
      <c r="K547" s="6">
        <v>6</v>
      </c>
      <c r="L547" s="6">
        <v>4</v>
      </c>
      <c r="M547" t="s">
        <v>58</v>
      </c>
      <c r="N547" t="s">
        <v>59</v>
      </c>
      <c r="O547" t="s">
        <v>60</v>
      </c>
      <c r="P547" t="str">
        <f t="shared" si="56"/>
        <v>Corporate</v>
      </c>
      <c r="Q547" t="str">
        <f t="shared" si="57"/>
        <v>London</v>
      </c>
      <c r="R547" t="str">
        <f>PROPER(TRIM(E547))</f>
        <v>Furniture</v>
      </c>
      <c r="S547" s="27">
        <f>IF(ISTEXT(B547),DATEVALUE(B547),B547)</f>
        <v>45914</v>
      </c>
      <c r="T547" s="27">
        <f>COUNTIF($A$2:$A$1986,A547)</f>
        <v>1</v>
      </c>
      <c r="U547" s="27" t="str">
        <f t="shared" si="58"/>
        <v>Side Table</v>
      </c>
      <c r="V547" s="27">
        <f t="shared" si="59"/>
        <v>390.40499999999997</v>
      </c>
      <c r="W547" s="27">
        <f t="shared" si="60"/>
        <v>267.3</v>
      </c>
      <c r="X547" s="27">
        <f>RawSalesTable3[[#This Row],[Revenue]]-RawSalesTable3[[#This Row],[Total_Cost]]</f>
        <v>123.10499999999996</v>
      </c>
      <c r="Y547" s="28">
        <f>RawSalesTable3[[#This Row],[Profit]]/RawSalesTable3[[#This Row],[Revenue]]</f>
        <v>0.31532639182387512</v>
      </c>
      <c r="Z547" s="27" t="str">
        <f>TEXT(RawSalesTable3[[#This Row],[Order_Date_Clean]],"MMM YYYY")</f>
        <v>Sep 2025</v>
      </c>
      <c r="AA547" s="27"/>
      <c r="AB547" s="27">
        <f t="shared" si="61"/>
        <v>0</v>
      </c>
      <c r="AC547" s="27">
        <f t="shared" si="62"/>
        <v>0</v>
      </c>
    </row>
    <row r="548" spans="1:29">
      <c r="A548" t="s">
        <v>646</v>
      </c>
      <c r="B548" s="3">
        <v>46003</v>
      </c>
      <c r="C548" t="s">
        <v>82</v>
      </c>
      <c r="D548" t="s">
        <v>129</v>
      </c>
      <c r="E548" t="s">
        <v>56</v>
      </c>
      <c r="F548" t="s">
        <v>83</v>
      </c>
      <c r="G548" s="6">
        <v>6</v>
      </c>
      <c r="H548" s="4">
        <v>64.81</v>
      </c>
      <c r="I548" s="4">
        <v>35.82</v>
      </c>
      <c r="J548" s="5">
        <v>0.15000000000000002</v>
      </c>
      <c r="K548" s="6">
        <v>4</v>
      </c>
      <c r="L548" s="6">
        <v>5</v>
      </c>
      <c r="M548" t="s">
        <v>58</v>
      </c>
      <c r="N548" t="s">
        <v>87</v>
      </c>
      <c r="O548" t="s">
        <v>73</v>
      </c>
      <c r="P548" t="str">
        <f t="shared" si="56"/>
        <v>Corporate</v>
      </c>
      <c r="Q548" t="str">
        <f t="shared" si="57"/>
        <v>Midlands</v>
      </c>
      <c r="R548" t="str">
        <f>PROPER(TRIM(E548))</f>
        <v>Home &amp; Kitchen</v>
      </c>
      <c r="S548" s="27">
        <f>IF(ISTEXT(B548),DATEVALUE(B548),B548)</f>
        <v>46003</v>
      </c>
      <c r="T548" s="27">
        <f>COUNTIF($A$2:$A$1986,A548)</f>
        <v>1</v>
      </c>
      <c r="U548" s="27" t="str">
        <f t="shared" si="58"/>
        <v>Blender</v>
      </c>
      <c r="V548" s="27">
        <f t="shared" si="59"/>
        <v>330.53100000000001</v>
      </c>
      <c r="W548" s="27">
        <f t="shared" si="60"/>
        <v>214.92000000000002</v>
      </c>
      <c r="X548" s="27">
        <f>RawSalesTable3[[#This Row],[Revenue]]-RawSalesTable3[[#This Row],[Total_Cost]]</f>
        <v>115.61099999999999</v>
      </c>
      <c r="Y548" s="28">
        <f>RawSalesTable3[[#This Row],[Profit]]/RawSalesTable3[[#This Row],[Revenue]]</f>
        <v>0.349773546202928</v>
      </c>
      <c r="Z548" s="27" t="str">
        <f>TEXT(RawSalesTable3[[#This Row],[Order_Date_Clean]],"MMM YYYY")</f>
        <v>Dec 2025</v>
      </c>
      <c r="AA548" s="27"/>
      <c r="AB548" s="27">
        <f t="shared" si="61"/>
        <v>0</v>
      </c>
      <c r="AC548" s="27">
        <f t="shared" si="62"/>
        <v>0</v>
      </c>
    </row>
    <row r="549" spans="1:29">
      <c r="A549" t="s">
        <v>647</v>
      </c>
      <c r="B549" s="3">
        <v>45702</v>
      </c>
      <c r="C549" t="s">
        <v>66</v>
      </c>
      <c r="D549" t="s">
        <v>62</v>
      </c>
      <c r="E549" t="s">
        <v>56</v>
      </c>
      <c r="F549" t="s">
        <v>57</v>
      </c>
      <c r="G549" s="6">
        <v>1</v>
      </c>
      <c r="H549" s="4">
        <v>112.44</v>
      </c>
      <c r="I549" s="4">
        <v>65.98</v>
      </c>
      <c r="J549" s="5">
        <v>0.05</v>
      </c>
      <c r="K549" s="6">
        <v>5</v>
      </c>
      <c r="L549" s="6">
        <v>4</v>
      </c>
      <c r="M549" t="s">
        <v>58</v>
      </c>
      <c r="N549" t="s">
        <v>59</v>
      </c>
      <c r="O549" t="s">
        <v>64</v>
      </c>
      <c r="P549" t="str">
        <f t="shared" si="56"/>
        <v>Individual</v>
      </c>
      <c r="Q549" t="str">
        <f t="shared" si="57"/>
        <v>South</v>
      </c>
      <c r="R549" t="str">
        <f>PROPER(TRIM(E549))</f>
        <v>Home &amp; Kitchen</v>
      </c>
      <c r="S549" s="27">
        <f>IF(ISTEXT(B549),DATEVALUE(B549),B549)</f>
        <v>45702</v>
      </c>
      <c r="T549" s="27">
        <f>COUNTIF($A$2:$A$1986,A549)</f>
        <v>1</v>
      </c>
      <c r="U549" s="27" t="str">
        <f t="shared" si="58"/>
        <v>Air Fryer</v>
      </c>
      <c r="V549" s="27">
        <f t="shared" si="59"/>
        <v>106.818</v>
      </c>
      <c r="W549" s="27">
        <f t="shared" si="60"/>
        <v>65.98</v>
      </c>
      <c r="X549" s="27">
        <f>RawSalesTable3[[#This Row],[Revenue]]-RawSalesTable3[[#This Row],[Total_Cost]]</f>
        <v>40.837999999999994</v>
      </c>
      <c r="Y549" s="28">
        <f>RawSalesTable3[[#This Row],[Profit]]/RawSalesTable3[[#This Row],[Revenue]]</f>
        <v>0.38231384223632714</v>
      </c>
      <c r="Z549" s="27" t="str">
        <f>TEXT(RawSalesTable3[[#This Row],[Order_Date_Clean]],"MMM YYYY")</f>
        <v>Feb 2025</v>
      </c>
      <c r="AA549" s="27"/>
      <c r="AB549" s="27">
        <f t="shared" si="61"/>
        <v>0</v>
      </c>
      <c r="AC549" s="27">
        <f t="shared" si="62"/>
        <v>0</v>
      </c>
    </row>
    <row r="550" spans="1:29">
      <c r="A550" t="s">
        <v>648</v>
      </c>
      <c r="B550" s="3">
        <v>45953</v>
      </c>
      <c r="C550" t="s">
        <v>78</v>
      </c>
      <c r="D550" t="s">
        <v>62</v>
      </c>
      <c r="E550" t="s">
        <v>79</v>
      </c>
      <c r="F550" t="s">
        <v>115</v>
      </c>
      <c r="G550" s="6">
        <v>2</v>
      </c>
      <c r="H550" s="4">
        <v>62.18</v>
      </c>
      <c r="I550" s="4">
        <v>33.369999999999997</v>
      </c>
      <c r="J550" s="5">
        <v>0</v>
      </c>
      <c r="K550" s="6">
        <v>6</v>
      </c>
      <c r="L550" s="6">
        <v>4</v>
      </c>
      <c r="M550" t="s">
        <v>58</v>
      </c>
      <c r="N550" t="s">
        <v>59</v>
      </c>
      <c r="O550" t="s">
        <v>64</v>
      </c>
      <c r="P550" t="str">
        <f t="shared" si="56"/>
        <v>Individual</v>
      </c>
      <c r="Q550" t="str">
        <f t="shared" si="57"/>
        <v>London</v>
      </c>
      <c r="R550" t="str">
        <f>PROPER(TRIM(E550))</f>
        <v>Electronics</v>
      </c>
      <c r="S550" s="27">
        <f>IF(ISTEXT(B550),DATEVALUE(B550),B550)</f>
        <v>45953</v>
      </c>
      <c r="T550" s="27">
        <f>COUNTIF($A$2:$A$1986,A550)</f>
        <v>1</v>
      </c>
      <c r="U550" s="27" t="str">
        <f t="shared" si="58"/>
        <v>Wireless Headset</v>
      </c>
      <c r="V550" s="27">
        <f t="shared" si="59"/>
        <v>124.36</v>
      </c>
      <c r="W550" s="27">
        <f t="shared" si="60"/>
        <v>66.739999999999995</v>
      </c>
      <c r="X550" s="27">
        <f>RawSalesTable3[[#This Row],[Revenue]]-RawSalesTable3[[#This Row],[Total_Cost]]</f>
        <v>57.620000000000005</v>
      </c>
      <c r="Y550" s="28">
        <f>RawSalesTable3[[#This Row],[Profit]]/RawSalesTable3[[#This Row],[Revenue]]</f>
        <v>0.46333226117722742</v>
      </c>
      <c r="Z550" s="27" t="str">
        <f>TEXT(RawSalesTable3[[#This Row],[Order_Date_Clean]],"MMM YYYY")</f>
        <v>Oct 2025</v>
      </c>
      <c r="AA550" s="27"/>
      <c r="AB550" s="27">
        <f t="shared" si="61"/>
        <v>0</v>
      </c>
      <c r="AC550" s="27">
        <f t="shared" si="62"/>
        <v>0</v>
      </c>
    </row>
    <row r="551" spans="1:29">
      <c r="A551" t="s">
        <v>649</v>
      </c>
      <c r="B551" s="3">
        <v>45723</v>
      </c>
      <c r="C551" t="s">
        <v>54</v>
      </c>
      <c r="D551" t="s">
        <v>62</v>
      </c>
      <c r="E551" t="s">
        <v>67</v>
      </c>
      <c r="F551" t="s">
        <v>94</v>
      </c>
      <c r="G551" s="6">
        <v>1</v>
      </c>
      <c r="H551" s="4">
        <v>36.159999999999997</v>
      </c>
      <c r="I551" s="4">
        <v>17.38</v>
      </c>
      <c r="J551" s="5">
        <v>0.05</v>
      </c>
      <c r="K551" s="6">
        <v>3</v>
      </c>
      <c r="L551" s="6">
        <v>3</v>
      </c>
      <c r="M551" t="s">
        <v>126</v>
      </c>
      <c r="N551" t="s">
        <v>59</v>
      </c>
      <c r="O551" t="s">
        <v>64</v>
      </c>
      <c r="P551" t="str">
        <f t="shared" si="56"/>
        <v>Individual</v>
      </c>
      <c r="Q551" t="str">
        <f t="shared" si="57"/>
        <v>North</v>
      </c>
      <c r="R551" t="str">
        <f>PROPER(TRIM(E551))</f>
        <v>Office</v>
      </c>
      <c r="S551" s="27">
        <f>IF(ISTEXT(B551),DATEVALUE(B551),B551)</f>
        <v>45723</v>
      </c>
      <c r="T551" s="27">
        <f>COUNTIF($A$2:$A$1986,A551)</f>
        <v>1</v>
      </c>
      <c r="U551" s="27" t="str">
        <f t="shared" si="58"/>
        <v>Wireless Mouse</v>
      </c>
      <c r="V551" s="27">
        <f t="shared" si="59"/>
        <v>34.351999999999997</v>
      </c>
      <c r="W551" s="27">
        <f t="shared" si="60"/>
        <v>17.38</v>
      </c>
      <c r="X551" s="27">
        <f>RawSalesTable3[[#This Row],[Revenue]]-RawSalesTable3[[#This Row],[Total_Cost]]</f>
        <v>16.971999999999998</v>
      </c>
      <c r="Y551" s="28">
        <f>RawSalesTable3[[#This Row],[Profit]]/RawSalesTable3[[#This Row],[Revenue]]</f>
        <v>0.49406148113646947</v>
      </c>
      <c r="Z551" s="27" t="str">
        <f>TEXT(RawSalesTable3[[#This Row],[Order_Date_Clean]],"MMM YYYY")</f>
        <v>Mar 2025</v>
      </c>
      <c r="AA551" s="27"/>
      <c r="AB551" s="27">
        <f t="shared" si="61"/>
        <v>0</v>
      </c>
      <c r="AC551" s="27">
        <f t="shared" si="62"/>
        <v>0</v>
      </c>
    </row>
    <row r="552" spans="1:29">
      <c r="A552" t="s">
        <v>650</v>
      </c>
      <c r="B552" s="3">
        <v>45927</v>
      </c>
      <c r="C552" t="s">
        <v>78</v>
      </c>
      <c r="D552" t="s">
        <v>62</v>
      </c>
      <c r="E552" t="s">
        <v>79</v>
      </c>
      <c r="F552" t="s">
        <v>80</v>
      </c>
      <c r="G552" s="6">
        <v>1</v>
      </c>
      <c r="H552" s="4">
        <v>77.48</v>
      </c>
      <c r="I552" s="4">
        <v>44.96</v>
      </c>
      <c r="J552" s="5">
        <v>0</v>
      </c>
      <c r="K552" s="6">
        <v>2</v>
      </c>
      <c r="L552" s="6">
        <v>5</v>
      </c>
      <c r="M552" t="s">
        <v>58</v>
      </c>
      <c r="N552" t="s">
        <v>69</v>
      </c>
      <c r="O552" t="s">
        <v>64</v>
      </c>
      <c r="P552" t="str">
        <f t="shared" si="56"/>
        <v>Individual</v>
      </c>
      <c r="Q552" t="str">
        <f t="shared" si="57"/>
        <v>London</v>
      </c>
      <c r="R552" t="str">
        <f>PROPER(TRIM(E552))</f>
        <v>Electronics</v>
      </c>
      <c r="S552" s="27">
        <f>IF(ISTEXT(B552),DATEVALUE(B552),B552)</f>
        <v>45927</v>
      </c>
      <c r="T552" s="27">
        <f>COUNTIF($A$2:$A$1986,A552)</f>
        <v>1</v>
      </c>
      <c r="U552" s="27" t="str">
        <f t="shared" si="58"/>
        <v>Portable Speaker</v>
      </c>
      <c r="V552" s="27">
        <f t="shared" si="59"/>
        <v>77.48</v>
      </c>
      <c r="W552" s="27">
        <f t="shared" si="60"/>
        <v>44.96</v>
      </c>
      <c r="X552" s="27">
        <f>RawSalesTable3[[#This Row],[Revenue]]-RawSalesTable3[[#This Row],[Total_Cost]]</f>
        <v>32.520000000000003</v>
      </c>
      <c r="Y552" s="28">
        <f>RawSalesTable3[[#This Row],[Profit]]/RawSalesTable3[[#This Row],[Revenue]]</f>
        <v>0.4197212183789365</v>
      </c>
      <c r="Z552" s="27" t="str">
        <f>TEXT(RawSalesTable3[[#This Row],[Order_Date_Clean]],"MMM YYYY")</f>
        <v>Sep 2025</v>
      </c>
      <c r="AA552" s="27"/>
      <c r="AB552" s="27">
        <f t="shared" si="61"/>
        <v>0</v>
      </c>
      <c r="AC552" s="27">
        <f t="shared" si="62"/>
        <v>0</v>
      </c>
    </row>
    <row r="553" spans="1:29">
      <c r="A553" t="s">
        <v>651</v>
      </c>
      <c r="B553" s="3">
        <v>45671</v>
      </c>
      <c r="C553" t="s">
        <v>66</v>
      </c>
      <c r="D553" t="s">
        <v>62</v>
      </c>
      <c r="E553" t="s">
        <v>67</v>
      </c>
      <c r="F553" t="s">
        <v>68</v>
      </c>
      <c r="G553" s="6">
        <v>1</v>
      </c>
      <c r="H553" s="4">
        <v>40.44</v>
      </c>
      <c r="I553" s="4">
        <v>18.489999999999998</v>
      </c>
      <c r="J553" s="5">
        <v>0.1</v>
      </c>
      <c r="K553" s="6">
        <v>6</v>
      </c>
      <c r="L553" s="6">
        <v>4</v>
      </c>
      <c r="M553" t="s">
        <v>58</v>
      </c>
      <c r="N553" t="s">
        <v>59</v>
      </c>
      <c r="O553" t="s">
        <v>73</v>
      </c>
      <c r="P553" t="str">
        <f t="shared" si="56"/>
        <v>Individual</v>
      </c>
      <c r="Q553" t="str">
        <f t="shared" si="57"/>
        <v>South</v>
      </c>
      <c r="R553" t="str">
        <f>PROPER(TRIM(E553))</f>
        <v>Office</v>
      </c>
      <c r="S553" s="27">
        <f>IF(ISTEXT(B553),DATEVALUE(B553),B553)</f>
        <v>45671</v>
      </c>
      <c r="T553" s="27">
        <f>COUNTIF($A$2:$A$1986,A553)</f>
        <v>1</v>
      </c>
      <c r="U553" s="27" t="str">
        <f t="shared" si="58"/>
        <v>Desk Lamp</v>
      </c>
      <c r="V553" s="27">
        <f t="shared" si="59"/>
        <v>36.396000000000001</v>
      </c>
      <c r="W553" s="27">
        <f t="shared" si="60"/>
        <v>18.489999999999998</v>
      </c>
      <c r="X553" s="27">
        <f>RawSalesTable3[[#This Row],[Revenue]]-RawSalesTable3[[#This Row],[Total_Cost]]</f>
        <v>17.906000000000002</v>
      </c>
      <c r="Y553" s="28">
        <f>RawSalesTable3[[#This Row],[Profit]]/RawSalesTable3[[#This Row],[Revenue]]</f>
        <v>0.49197714034509293</v>
      </c>
      <c r="Z553" s="27" t="str">
        <f>TEXT(RawSalesTable3[[#This Row],[Order_Date_Clean]],"MMM YYYY")</f>
        <v>Jan 2025</v>
      </c>
      <c r="AA553" s="27"/>
      <c r="AB553" s="27">
        <f t="shared" si="61"/>
        <v>0</v>
      </c>
      <c r="AC553" s="27">
        <f t="shared" si="62"/>
        <v>0</v>
      </c>
    </row>
    <row r="554" spans="1:29">
      <c r="A554" t="s">
        <v>652</v>
      </c>
      <c r="B554" s="3">
        <v>45931</v>
      </c>
      <c r="C554" t="s">
        <v>54</v>
      </c>
      <c r="D554" t="s">
        <v>55</v>
      </c>
      <c r="E554" t="s">
        <v>67</v>
      </c>
      <c r="F554" t="s">
        <v>71</v>
      </c>
      <c r="G554" s="6">
        <v>4</v>
      </c>
      <c r="H554" s="4">
        <v>71.94</v>
      </c>
      <c r="I554" s="4">
        <v>39.869999999999997</v>
      </c>
      <c r="J554" s="5">
        <v>0</v>
      </c>
      <c r="K554" s="6">
        <v>6</v>
      </c>
      <c r="L554" s="6">
        <v>4</v>
      </c>
      <c r="M554" t="s">
        <v>58</v>
      </c>
      <c r="N554" t="s">
        <v>59</v>
      </c>
      <c r="O554" t="s">
        <v>64</v>
      </c>
      <c r="P554" t="str">
        <f t="shared" si="56"/>
        <v>Small Business</v>
      </c>
      <c r="Q554" t="str">
        <f t="shared" si="57"/>
        <v>North</v>
      </c>
      <c r="R554" t="str">
        <f>PROPER(TRIM(E554))</f>
        <v>Office</v>
      </c>
      <c r="S554" s="27">
        <f>IF(ISTEXT(B554),DATEVALUE(B554),B554)</f>
        <v>45931</v>
      </c>
      <c r="T554" s="27">
        <f>COUNTIF($A$2:$A$1986,A554)</f>
        <v>1</v>
      </c>
      <c r="U554" s="27" t="str">
        <f t="shared" si="58"/>
        <v>Ergonomic Keyboard</v>
      </c>
      <c r="V554" s="27">
        <f t="shared" si="59"/>
        <v>287.76</v>
      </c>
      <c r="W554" s="27">
        <f t="shared" si="60"/>
        <v>159.47999999999999</v>
      </c>
      <c r="X554" s="27">
        <f>RawSalesTable3[[#This Row],[Revenue]]-RawSalesTable3[[#This Row],[Total_Cost]]</f>
        <v>128.28</v>
      </c>
      <c r="Y554" s="28">
        <f>RawSalesTable3[[#This Row],[Profit]]/RawSalesTable3[[#This Row],[Revenue]]</f>
        <v>0.44578815679733114</v>
      </c>
      <c r="Z554" s="27" t="str">
        <f>TEXT(RawSalesTable3[[#This Row],[Order_Date_Clean]],"MMM YYYY")</f>
        <v>Oct 2025</v>
      </c>
      <c r="AA554" s="27"/>
      <c r="AB554" s="27">
        <f t="shared" si="61"/>
        <v>0</v>
      </c>
      <c r="AC554" s="27">
        <f t="shared" si="62"/>
        <v>0</v>
      </c>
    </row>
    <row r="555" spans="1:29">
      <c r="A555" t="s">
        <v>653</v>
      </c>
      <c r="B555" s="3">
        <v>45905</v>
      </c>
      <c r="C555" t="s">
        <v>82</v>
      </c>
      <c r="D555" t="s">
        <v>62</v>
      </c>
      <c r="E555" t="s">
        <v>79</v>
      </c>
      <c r="F555" t="s">
        <v>80</v>
      </c>
      <c r="G555" s="6">
        <v>1</v>
      </c>
      <c r="H555" s="4">
        <v>74.22</v>
      </c>
      <c r="I555" s="4">
        <v>42.8</v>
      </c>
      <c r="J555" s="5">
        <v>0.05</v>
      </c>
      <c r="K555" s="6">
        <v>0</v>
      </c>
      <c r="L555" s="6">
        <v>5</v>
      </c>
      <c r="M555" t="s">
        <v>58</v>
      </c>
      <c r="N555" t="s">
        <v>69</v>
      </c>
      <c r="O555" t="s">
        <v>64</v>
      </c>
      <c r="P555" t="str">
        <f t="shared" si="56"/>
        <v>Individual</v>
      </c>
      <c r="Q555" t="str">
        <f t="shared" si="57"/>
        <v>Midlands</v>
      </c>
      <c r="R555" t="str">
        <f>PROPER(TRIM(E555))</f>
        <v>Electronics</v>
      </c>
      <c r="S555" s="27">
        <f>IF(ISTEXT(B555),DATEVALUE(B555),B555)</f>
        <v>45905</v>
      </c>
      <c r="T555" s="27">
        <f>COUNTIF($A$2:$A$1986,A555)</f>
        <v>1</v>
      </c>
      <c r="U555" s="27" t="str">
        <f t="shared" si="58"/>
        <v>Portable Speaker</v>
      </c>
      <c r="V555" s="27">
        <f t="shared" si="59"/>
        <v>70.509</v>
      </c>
      <c r="W555" s="27">
        <f t="shared" si="60"/>
        <v>42.8</v>
      </c>
      <c r="X555" s="27">
        <f>RawSalesTable3[[#This Row],[Revenue]]-RawSalesTable3[[#This Row],[Total_Cost]]</f>
        <v>27.709000000000003</v>
      </c>
      <c r="Y555" s="28">
        <f>RawSalesTable3[[#This Row],[Profit]]/RawSalesTable3[[#This Row],[Revenue]]</f>
        <v>0.39298529265767496</v>
      </c>
      <c r="Z555" s="27" t="str">
        <f>TEXT(RawSalesTable3[[#This Row],[Order_Date_Clean]],"MMM YYYY")</f>
        <v>Sep 2025</v>
      </c>
      <c r="AA555" s="27"/>
      <c r="AB555" s="27">
        <f t="shared" si="61"/>
        <v>0</v>
      </c>
      <c r="AC555" s="27">
        <f t="shared" si="62"/>
        <v>0</v>
      </c>
    </row>
    <row r="556" spans="1:29">
      <c r="A556" t="s">
        <v>654</v>
      </c>
      <c r="B556" s="3">
        <v>45747</v>
      </c>
      <c r="C556" t="s">
        <v>78</v>
      </c>
      <c r="D556" t="s">
        <v>62</v>
      </c>
      <c r="E556" t="s">
        <v>56</v>
      </c>
      <c r="F556" t="s">
        <v>89</v>
      </c>
      <c r="G556" s="6">
        <v>2</v>
      </c>
      <c r="H556" s="4">
        <v>78.739999999999995</v>
      </c>
      <c r="I556" s="4">
        <v>44.93</v>
      </c>
      <c r="J556" s="5">
        <v>0</v>
      </c>
      <c r="K556" s="6">
        <v>3</v>
      </c>
      <c r="L556" s="6">
        <v>4</v>
      </c>
      <c r="M556" t="s">
        <v>58</v>
      </c>
      <c r="N556" t="s">
        <v>59</v>
      </c>
      <c r="O556" t="s">
        <v>64</v>
      </c>
      <c r="P556" t="str">
        <f t="shared" si="56"/>
        <v>Individual</v>
      </c>
      <c r="Q556" t="str">
        <f t="shared" si="57"/>
        <v>London</v>
      </c>
      <c r="R556" t="str">
        <f>PROPER(TRIM(E556))</f>
        <v>Home &amp; Kitchen</v>
      </c>
      <c r="S556" s="27">
        <f>IF(ISTEXT(B556),DATEVALUE(B556),B556)</f>
        <v>45747</v>
      </c>
      <c r="T556" s="27">
        <f>COUNTIF($A$2:$A$1986,A556)</f>
        <v>1</v>
      </c>
      <c r="U556" s="27" t="str">
        <f t="shared" si="58"/>
        <v>Coffee Maker</v>
      </c>
      <c r="V556" s="27">
        <f t="shared" si="59"/>
        <v>157.47999999999999</v>
      </c>
      <c r="W556" s="27">
        <f t="shared" si="60"/>
        <v>89.86</v>
      </c>
      <c r="X556" s="27">
        <f>RawSalesTable3[[#This Row],[Revenue]]-RawSalesTable3[[#This Row],[Total_Cost]]</f>
        <v>67.61999999999999</v>
      </c>
      <c r="Y556" s="28">
        <f>RawSalesTable3[[#This Row],[Profit]]/RawSalesTable3[[#This Row],[Revenue]]</f>
        <v>0.4293878587757175</v>
      </c>
      <c r="Z556" s="27" t="str">
        <f>TEXT(RawSalesTable3[[#This Row],[Order_Date_Clean]],"MMM YYYY")</f>
        <v>Mar 2025</v>
      </c>
      <c r="AA556" s="27"/>
      <c r="AB556" s="27">
        <f t="shared" si="61"/>
        <v>0</v>
      </c>
      <c r="AC556" s="27">
        <f t="shared" si="62"/>
        <v>0</v>
      </c>
    </row>
    <row r="557" spans="1:29">
      <c r="A557" t="s">
        <v>655</v>
      </c>
      <c r="B557" s="3">
        <v>45664</v>
      </c>
      <c r="C557" t="s">
        <v>78</v>
      </c>
      <c r="D557" t="s">
        <v>62</v>
      </c>
      <c r="E557" t="s">
        <v>56</v>
      </c>
      <c r="F557" t="s">
        <v>63</v>
      </c>
      <c r="G557" s="6">
        <v>1</v>
      </c>
      <c r="H557" s="4">
        <v>41.32</v>
      </c>
      <c r="I557" s="4">
        <v>19.850000000000001</v>
      </c>
      <c r="J557" s="5">
        <v>0</v>
      </c>
      <c r="K557" s="6">
        <v>0</v>
      </c>
      <c r="L557" s="6">
        <v>4</v>
      </c>
      <c r="M557" t="s">
        <v>58</v>
      </c>
      <c r="N557" t="s">
        <v>69</v>
      </c>
      <c r="O557" t="s">
        <v>64</v>
      </c>
      <c r="P557" t="str">
        <f t="shared" si="56"/>
        <v>Individual</v>
      </c>
      <c r="Q557" t="str">
        <f t="shared" si="57"/>
        <v>London</v>
      </c>
      <c r="R557" t="str">
        <f>PROPER(TRIM(E557))</f>
        <v>Home &amp; Kitchen</v>
      </c>
      <c r="S557" s="27">
        <f>IF(ISTEXT(B557),DATEVALUE(B557),B557)</f>
        <v>45664</v>
      </c>
      <c r="T557" s="27">
        <f>COUNTIF($A$2:$A$1986,A557)</f>
        <v>1</v>
      </c>
      <c r="U557" s="27" t="str">
        <f t="shared" si="58"/>
        <v>Electric Kettle</v>
      </c>
      <c r="V557" s="27">
        <f t="shared" si="59"/>
        <v>41.32</v>
      </c>
      <c r="W557" s="27">
        <f t="shared" si="60"/>
        <v>19.850000000000001</v>
      </c>
      <c r="X557" s="27">
        <f>RawSalesTable3[[#This Row],[Revenue]]-RawSalesTable3[[#This Row],[Total_Cost]]</f>
        <v>21.47</v>
      </c>
      <c r="Y557" s="28">
        <f>RawSalesTable3[[#This Row],[Profit]]/RawSalesTable3[[#This Row],[Revenue]]</f>
        <v>0.51960309777347524</v>
      </c>
      <c r="Z557" s="27" t="str">
        <f>TEXT(RawSalesTable3[[#This Row],[Order_Date_Clean]],"MMM YYYY")</f>
        <v>Jan 2025</v>
      </c>
      <c r="AA557" s="27"/>
      <c r="AB557" s="27">
        <f t="shared" si="61"/>
        <v>0</v>
      </c>
      <c r="AC557" s="27">
        <f t="shared" si="62"/>
        <v>0</v>
      </c>
    </row>
    <row r="558" spans="1:29">
      <c r="A558" t="s">
        <v>656</v>
      </c>
      <c r="B558" s="3">
        <v>45888</v>
      </c>
      <c r="C558" t="s">
        <v>78</v>
      </c>
      <c r="D558" t="s">
        <v>62</v>
      </c>
      <c r="E558" t="s">
        <v>67</v>
      </c>
      <c r="F558" t="s">
        <v>94</v>
      </c>
      <c r="G558" s="6">
        <v>1</v>
      </c>
      <c r="H558" s="4">
        <v>34.630000000000003</v>
      </c>
      <c r="I558" s="4">
        <v>17.04</v>
      </c>
      <c r="J558" s="5">
        <v>0.1</v>
      </c>
      <c r="K558" s="6">
        <v>4</v>
      </c>
      <c r="L558" s="6">
        <v>5</v>
      </c>
      <c r="M558" t="s">
        <v>58</v>
      </c>
      <c r="N558" t="s">
        <v>59</v>
      </c>
      <c r="O558" t="s">
        <v>64</v>
      </c>
      <c r="P558" t="str">
        <f t="shared" si="56"/>
        <v>Individual</v>
      </c>
      <c r="Q558" t="str">
        <f t="shared" si="57"/>
        <v>London</v>
      </c>
      <c r="R558" t="str">
        <f>PROPER(TRIM(E558))</f>
        <v>Office</v>
      </c>
      <c r="S558" s="27">
        <f>IF(ISTEXT(B558),DATEVALUE(B558),B558)</f>
        <v>45888</v>
      </c>
      <c r="T558" s="27">
        <f>COUNTIF($A$2:$A$1986,A558)</f>
        <v>1</v>
      </c>
      <c r="U558" s="27" t="str">
        <f t="shared" si="58"/>
        <v>Wireless Mouse</v>
      </c>
      <c r="V558" s="27">
        <f t="shared" si="59"/>
        <v>31.167000000000002</v>
      </c>
      <c r="W558" s="27">
        <f t="shared" si="60"/>
        <v>17.04</v>
      </c>
      <c r="X558" s="27">
        <f>RawSalesTable3[[#This Row],[Revenue]]-RawSalesTable3[[#This Row],[Total_Cost]]</f>
        <v>14.127000000000002</v>
      </c>
      <c r="Y558" s="28">
        <f>RawSalesTable3[[#This Row],[Profit]]/RawSalesTable3[[#This Row],[Revenue]]</f>
        <v>0.45326787948791997</v>
      </c>
      <c r="Z558" s="27" t="str">
        <f>TEXT(RawSalesTable3[[#This Row],[Order_Date_Clean]],"MMM YYYY")</f>
        <v>Aug 2025</v>
      </c>
      <c r="AA558" s="27"/>
      <c r="AB558" s="27">
        <f t="shared" si="61"/>
        <v>0</v>
      </c>
      <c r="AC558" s="27">
        <f t="shared" si="62"/>
        <v>0</v>
      </c>
    </row>
    <row r="559" spans="1:29">
      <c r="A559" t="s">
        <v>657</v>
      </c>
      <c r="B559" s="3">
        <v>45849</v>
      </c>
      <c r="C559" t="s">
        <v>54</v>
      </c>
      <c r="D559" t="s">
        <v>62</v>
      </c>
      <c r="E559" t="s">
        <v>75</v>
      </c>
      <c r="F559" t="s">
        <v>110</v>
      </c>
      <c r="G559" s="6">
        <v>1</v>
      </c>
      <c r="H559" s="4">
        <v>159.31</v>
      </c>
      <c r="I559" s="4">
        <v>99.83</v>
      </c>
      <c r="J559" s="5">
        <v>0</v>
      </c>
      <c r="K559" s="6">
        <v>9</v>
      </c>
      <c r="L559" s="6">
        <v>3</v>
      </c>
      <c r="M559" t="s">
        <v>58</v>
      </c>
      <c r="N559" t="s">
        <v>87</v>
      </c>
      <c r="O559" t="s">
        <v>60</v>
      </c>
      <c r="P559" t="str">
        <f t="shared" si="56"/>
        <v>Individual</v>
      </c>
      <c r="Q559" t="str">
        <f t="shared" si="57"/>
        <v>North</v>
      </c>
      <c r="R559" t="str">
        <f>PROPER(TRIM(E559))</f>
        <v>Furniture</v>
      </c>
      <c r="S559" s="27">
        <f>IF(ISTEXT(B559),DATEVALUE(B559),B559)</f>
        <v>45849</v>
      </c>
      <c r="T559" s="27">
        <f>COUNTIF($A$2:$A$1986,A559)</f>
        <v>1</v>
      </c>
      <c r="U559" s="27" t="str">
        <f t="shared" si="58"/>
        <v>Storage Cabinet</v>
      </c>
      <c r="V559" s="27">
        <f t="shared" si="59"/>
        <v>159.31</v>
      </c>
      <c r="W559" s="27">
        <f t="shared" si="60"/>
        <v>99.83</v>
      </c>
      <c r="X559" s="27">
        <f>RawSalesTable3[[#This Row],[Revenue]]-RawSalesTable3[[#This Row],[Total_Cost]]</f>
        <v>59.480000000000004</v>
      </c>
      <c r="Y559" s="28">
        <f>RawSalesTable3[[#This Row],[Profit]]/RawSalesTable3[[#This Row],[Revenue]]</f>
        <v>0.37336011549808551</v>
      </c>
      <c r="Z559" s="27" t="str">
        <f>TEXT(RawSalesTable3[[#This Row],[Order_Date_Clean]],"MMM YYYY")</f>
        <v>Jul 2025</v>
      </c>
      <c r="AA559" s="27"/>
      <c r="AB559" s="27">
        <f t="shared" si="61"/>
        <v>0</v>
      </c>
      <c r="AC559" s="27">
        <f t="shared" si="62"/>
        <v>0</v>
      </c>
    </row>
    <row r="560" spans="1:29">
      <c r="A560" t="s">
        <v>658</v>
      </c>
      <c r="B560" s="3">
        <v>45975</v>
      </c>
      <c r="C560" t="s">
        <v>66</v>
      </c>
      <c r="D560" t="s">
        <v>62</v>
      </c>
      <c r="E560" t="s">
        <v>56</v>
      </c>
      <c r="F560" t="s">
        <v>83</v>
      </c>
      <c r="G560" s="6">
        <v>4</v>
      </c>
      <c r="H560" s="4">
        <v>64.14</v>
      </c>
      <c r="I560" s="4">
        <v>36.18</v>
      </c>
      <c r="J560" s="5">
        <v>0.15000000000000002</v>
      </c>
      <c r="K560" s="6">
        <v>2</v>
      </c>
      <c r="L560" s="6">
        <v>5</v>
      </c>
      <c r="M560" t="s">
        <v>58</v>
      </c>
      <c r="N560" t="s">
        <v>69</v>
      </c>
      <c r="O560" t="s">
        <v>64</v>
      </c>
      <c r="P560" t="str">
        <f t="shared" si="56"/>
        <v>Individual</v>
      </c>
      <c r="Q560" t="str">
        <f t="shared" si="57"/>
        <v>South</v>
      </c>
      <c r="R560" t="str">
        <f>PROPER(TRIM(E560))</f>
        <v>Home &amp; Kitchen</v>
      </c>
      <c r="S560" s="27">
        <f>IF(ISTEXT(B560),DATEVALUE(B560),B560)</f>
        <v>45975</v>
      </c>
      <c r="T560" s="27">
        <f>COUNTIF($A$2:$A$1986,A560)</f>
        <v>1</v>
      </c>
      <c r="U560" s="27" t="str">
        <f t="shared" si="58"/>
        <v>Blender</v>
      </c>
      <c r="V560" s="27">
        <f t="shared" si="59"/>
        <v>218.07599999999999</v>
      </c>
      <c r="W560" s="27">
        <f t="shared" si="60"/>
        <v>144.72</v>
      </c>
      <c r="X560" s="27">
        <f>RawSalesTable3[[#This Row],[Revenue]]-RawSalesTable3[[#This Row],[Total_Cost]]</f>
        <v>73.355999999999995</v>
      </c>
      <c r="Y560" s="28">
        <f>RawSalesTable3[[#This Row],[Profit]]/RawSalesTable3[[#This Row],[Revenue]]</f>
        <v>0.33637814339954875</v>
      </c>
      <c r="Z560" s="27" t="str">
        <f>TEXT(RawSalesTable3[[#This Row],[Order_Date_Clean]],"MMM YYYY")</f>
        <v>Nov 2025</v>
      </c>
      <c r="AA560" s="27"/>
      <c r="AB560" s="27">
        <f t="shared" si="61"/>
        <v>0</v>
      </c>
      <c r="AC560" s="27">
        <f t="shared" si="62"/>
        <v>0</v>
      </c>
    </row>
    <row r="561" spans="1:29">
      <c r="A561" t="s">
        <v>659</v>
      </c>
      <c r="B561" s="3">
        <v>45779</v>
      </c>
      <c r="C561" t="s">
        <v>78</v>
      </c>
      <c r="D561" t="s">
        <v>129</v>
      </c>
      <c r="E561" t="s">
        <v>79</v>
      </c>
      <c r="F561" t="s">
        <v>80</v>
      </c>
      <c r="G561" s="6">
        <v>3</v>
      </c>
      <c r="H561" s="4">
        <v>77.099999999999994</v>
      </c>
      <c r="I561" s="4">
        <v>41.9</v>
      </c>
      <c r="J561" s="5">
        <v>0.1</v>
      </c>
      <c r="K561" s="6">
        <v>4</v>
      </c>
      <c r="L561" s="6">
        <v>3</v>
      </c>
      <c r="M561" t="s">
        <v>126</v>
      </c>
      <c r="N561" t="s">
        <v>59</v>
      </c>
      <c r="O561" t="s">
        <v>60</v>
      </c>
      <c r="P561" t="str">
        <f t="shared" si="56"/>
        <v>Corporate</v>
      </c>
      <c r="Q561" t="str">
        <f t="shared" si="57"/>
        <v>London</v>
      </c>
      <c r="R561" t="str">
        <f>PROPER(TRIM(E561))</f>
        <v>Electronics</v>
      </c>
      <c r="S561" s="27">
        <f>IF(ISTEXT(B561),DATEVALUE(B561),B561)</f>
        <v>45779</v>
      </c>
      <c r="T561" s="27">
        <f>COUNTIF($A$2:$A$1986,A561)</f>
        <v>1</v>
      </c>
      <c r="U561" s="27" t="str">
        <f t="shared" si="58"/>
        <v>Portable Speaker</v>
      </c>
      <c r="V561" s="27">
        <f t="shared" si="59"/>
        <v>208.17</v>
      </c>
      <c r="W561" s="27">
        <f t="shared" si="60"/>
        <v>125.69999999999999</v>
      </c>
      <c r="X561" s="27">
        <f>RawSalesTable3[[#This Row],[Revenue]]-RawSalesTable3[[#This Row],[Total_Cost]]</f>
        <v>82.47</v>
      </c>
      <c r="Y561" s="28">
        <f>RawSalesTable3[[#This Row],[Profit]]/RawSalesTable3[[#This Row],[Revenue]]</f>
        <v>0.39616659461017439</v>
      </c>
      <c r="Z561" s="27" t="str">
        <f>TEXT(RawSalesTable3[[#This Row],[Order_Date_Clean]],"MMM YYYY")</f>
        <v>May 2025</v>
      </c>
      <c r="AA561" s="27"/>
      <c r="AB561" s="27">
        <f t="shared" si="61"/>
        <v>0</v>
      </c>
      <c r="AC561" s="27">
        <f t="shared" si="62"/>
        <v>0</v>
      </c>
    </row>
    <row r="562" spans="1:29">
      <c r="A562" t="s">
        <v>660</v>
      </c>
      <c r="B562" s="3">
        <v>45946</v>
      </c>
      <c r="C562" t="s">
        <v>66</v>
      </c>
      <c r="D562" t="s">
        <v>62</v>
      </c>
      <c r="E562" t="s">
        <v>79</v>
      </c>
      <c r="F562" t="s">
        <v>92</v>
      </c>
      <c r="G562" s="6">
        <v>1</v>
      </c>
      <c r="H562" s="4">
        <v>48.66</v>
      </c>
      <c r="I562" s="4">
        <v>26.08</v>
      </c>
      <c r="J562" s="5">
        <v>0.15000000000000002</v>
      </c>
      <c r="K562" s="6">
        <v>6</v>
      </c>
      <c r="L562" s="6">
        <v>4</v>
      </c>
      <c r="M562" t="s">
        <v>58</v>
      </c>
      <c r="N562" t="s">
        <v>59</v>
      </c>
      <c r="O562" t="s">
        <v>64</v>
      </c>
      <c r="P562" t="str">
        <f t="shared" si="56"/>
        <v>Individual</v>
      </c>
      <c r="Q562" t="str">
        <f t="shared" si="57"/>
        <v>South</v>
      </c>
      <c r="R562" t="str">
        <f>PROPER(TRIM(E562))</f>
        <v>Electronics</v>
      </c>
      <c r="S562" s="27">
        <f>IF(ISTEXT(B562),DATEVALUE(B562),B562)</f>
        <v>45946</v>
      </c>
      <c r="T562" s="27">
        <f>COUNTIF($A$2:$A$1986,A562)</f>
        <v>1</v>
      </c>
      <c r="U562" s="27" t="str">
        <f t="shared" si="58"/>
        <v>Webcam</v>
      </c>
      <c r="V562" s="27">
        <f t="shared" si="59"/>
        <v>41.360999999999997</v>
      </c>
      <c r="W562" s="27">
        <f t="shared" si="60"/>
        <v>26.08</v>
      </c>
      <c r="X562" s="27">
        <f>RawSalesTable3[[#This Row],[Revenue]]-RawSalesTable3[[#This Row],[Total_Cost]]</f>
        <v>15.280999999999999</v>
      </c>
      <c r="Y562" s="28">
        <f>RawSalesTable3[[#This Row],[Profit]]/RawSalesTable3[[#This Row],[Revenue]]</f>
        <v>0.36945431686854768</v>
      </c>
      <c r="Z562" s="27" t="str">
        <f>TEXT(RawSalesTable3[[#This Row],[Order_Date_Clean]],"MMM YYYY")</f>
        <v>Oct 2025</v>
      </c>
      <c r="AA562" s="27"/>
      <c r="AB562" s="27">
        <f t="shared" si="61"/>
        <v>0</v>
      </c>
      <c r="AC562" s="27">
        <f t="shared" si="62"/>
        <v>0</v>
      </c>
    </row>
    <row r="563" spans="1:29">
      <c r="A563" t="s">
        <v>661</v>
      </c>
      <c r="B563" s="3">
        <v>45842</v>
      </c>
      <c r="C563" t="s">
        <v>54</v>
      </c>
      <c r="D563" t="s">
        <v>62</v>
      </c>
      <c r="E563" t="s">
        <v>79</v>
      </c>
      <c r="F563" t="s">
        <v>92</v>
      </c>
      <c r="G563" s="6">
        <v>1</v>
      </c>
      <c r="H563" s="4">
        <v>49.03</v>
      </c>
      <c r="I563" s="4">
        <v>26.11</v>
      </c>
      <c r="J563" s="5">
        <v>0</v>
      </c>
      <c r="K563" s="6">
        <v>1</v>
      </c>
      <c r="L563" s="6">
        <v>4</v>
      </c>
      <c r="M563" t="s">
        <v>58</v>
      </c>
      <c r="N563" t="s">
        <v>69</v>
      </c>
      <c r="O563" t="s">
        <v>64</v>
      </c>
      <c r="P563" t="str">
        <f t="shared" si="56"/>
        <v>Individual</v>
      </c>
      <c r="Q563" t="str">
        <f t="shared" si="57"/>
        <v>North</v>
      </c>
      <c r="R563" t="str">
        <f>PROPER(TRIM(E563))</f>
        <v>Electronics</v>
      </c>
      <c r="S563" s="27">
        <f>IF(ISTEXT(B563),DATEVALUE(B563),B563)</f>
        <v>45842</v>
      </c>
      <c r="T563" s="27">
        <f>COUNTIF($A$2:$A$1986,A563)</f>
        <v>1</v>
      </c>
      <c r="U563" s="27" t="str">
        <f t="shared" si="58"/>
        <v>Webcam</v>
      </c>
      <c r="V563" s="27">
        <f t="shared" si="59"/>
        <v>49.03</v>
      </c>
      <c r="W563" s="27">
        <f t="shared" si="60"/>
        <v>26.11</v>
      </c>
      <c r="X563" s="27">
        <f>RawSalesTable3[[#This Row],[Revenue]]-RawSalesTable3[[#This Row],[Total_Cost]]</f>
        <v>22.92</v>
      </c>
      <c r="Y563" s="28">
        <f>RawSalesTable3[[#This Row],[Profit]]/RawSalesTable3[[#This Row],[Revenue]]</f>
        <v>0.4674688965939221</v>
      </c>
      <c r="Z563" s="27" t="str">
        <f>TEXT(RawSalesTable3[[#This Row],[Order_Date_Clean]],"MMM YYYY")</f>
        <v>Jul 2025</v>
      </c>
      <c r="AA563" s="27"/>
      <c r="AB563" s="27">
        <f t="shared" si="61"/>
        <v>0</v>
      </c>
      <c r="AC563" s="27">
        <f t="shared" si="62"/>
        <v>0</v>
      </c>
    </row>
    <row r="564" spans="1:29">
      <c r="A564" t="s">
        <v>662</v>
      </c>
      <c r="B564" s="3">
        <v>46012</v>
      </c>
      <c r="C564" t="s">
        <v>66</v>
      </c>
      <c r="D564" t="s">
        <v>62</v>
      </c>
      <c r="E564" t="s">
        <v>67</v>
      </c>
      <c r="F564" t="s">
        <v>71</v>
      </c>
      <c r="G564" s="6">
        <v>1</v>
      </c>
      <c r="H564" s="4">
        <v>71.069999999999993</v>
      </c>
      <c r="I564" s="4">
        <v>39.82</v>
      </c>
      <c r="J564" s="5">
        <v>0.1</v>
      </c>
      <c r="K564" s="6">
        <v>2</v>
      </c>
      <c r="L564" s="6">
        <v>4</v>
      </c>
      <c r="M564" t="s">
        <v>58</v>
      </c>
      <c r="N564" t="s">
        <v>59</v>
      </c>
      <c r="O564" t="s">
        <v>64</v>
      </c>
      <c r="P564" t="str">
        <f t="shared" si="56"/>
        <v>Individual</v>
      </c>
      <c r="Q564" t="str">
        <f t="shared" si="57"/>
        <v>South</v>
      </c>
      <c r="R564" t="str">
        <f>PROPER(TRIM(E564))</f>
        <v>Office</v>
      </c>
      <c r="S564" s="27">
        <f>IF(ISTEXT(B564),DATEVALUE(B564),B564)</f>
        <v>46012</v>
      </c>
      <c r="T564" s="27">
        <f>COUNTIF($A$2:$A$1986,A564)</f>
        <v>1</v>
      </c>
      <c r="U564" s="27" t="str">
        <f t="shared" si="58"/>
        <v>Ergonomic Keyboard</v>
      </c>
      <c r="V564" s="27">
        <f t="shared" si="59"/>
        <v>63.962999999999994</v>
      </c>
      <c r="W564" s="27">
        <f t="shared" si="60"/>
        <v>39.82</v>
      </c>
      <c r="X564" s="27">
        <f>RawSalesTable3[[#This Row],[Revenue]]-RawSalesTable3[[#This Row],[Total_Cost]]</f>
        <v>24.142999999999994</v>
      </c>
      <c r="Y564" s="28">
        <f>RawSalesTable3[[#This Row],[Profit]]/RawSalesTable3[[#This Row],[Revenue]]</f>
        <v>0.37745258977846563</v>
      </c>
      <c r="Z564" s="27" t="str">
        <f>TEXT(RawSalesTable3[[#This Row],[Order_Date_Clean]],"MMM YYYY")</f>
        <v>Dec 2025</v>
      </c>
      <c r="AA564" s="27"/>
      <c r="AB564" s="27">
        <f t="shared" si="61"/>
        <v>0</v>
      </c>
      <c r="AC564" s="27">
        <f t="shared" si="62"/>
        <v>0</v>
      </c>
    </row>
    <row r="565" spans="1:29">
      <c r="A565" t="s">
        <v>663</v>
      </c>
      <c r="B565" s="3">
        <v>45822</v>
      </c>
      <c r="C565" t="s">
        <v>66</v>
      </c>
      <c r="D565" t="s">
        <v>55</v>
      </c>
      <c r="E565" t="s">
        <v>56</v>
      </c>
      <c r="F565" t="s">
        <v>83</v>
      </c>
      <c r="G565" s="6">
        <v>3</v>
      </c>
      <c r="H565" s="4">
        <v>67.14</v>
      </c>
      <c r="I565" s="4">
        <v>34.299999999999997</v>
      </c>
      <c r="J565" s="5">
        <v>0</v>
      </c>
      <c r="K565" s="6">
        <v>1</v>
      </c>
      <c r="L565" s="6">
        <v>4</v>
      </c>
      <c r="M565" t="s">
        <v>58</v>
      </c>
      <c r="N565" t="s">
        <v>59</v>
      </c>
      <c r="O565" t="s">
        <v>64</v>
      </c>
      <c r="P565" t="str">
        <f t="shared" si="56"/>
        <v>Small Business</v>
      </c>
      <c r="Q565" t="str">
        <f t="shared" si="57"/>
        <v>South</v>
      </c>
      <c r="R565" t="str">
        <f>PROPER(TRIM(E565))</f>
        <v>Home &amp; Kitchen</v>
      </c>
      <c r="S565" s="27">
        <f>IF(ISTEXT(B565),DATEVALUE(B565),B565)</f>
        <v>45822</v>
      </c>
      <c r="T565" s="27">
        <f>COUNTIF($A$2:$A$1986,A565)</f>
        <v>1</v>
      </c>
      <c r="U565" s="27" t="str">
        <f t="shared" si="58"/>
        <v>Blender</v>
      </c>
      <c r="V565" s="27">
        <f t="shared" si="59"/>
        <v>201.42000000000002</v>
      </c>
      <c r="W565" s="27">
        <f t="shared" si="60"/>
        <v>102.89999999999999</v>
      </c>
      <c r="X565" s="27">
        <f>RawSalesTable3[[#This Row],[Revenue]]-RawSalesTable3[[#This Row],[Total_Cost]]</f>
        <v>98.520000000000024</v>
      </c>
      <c r="Y565" s="28">
        <f>RawSalesTable3[[#This Row],[Profit]]/RawSalesTable3[[#This Row],[Revenue]]</f>
        <v>0.48912719690199591</v>
      </c>
      <c r="Z565" s="27" t="str">
        <f>TEXT(RawSalesTable3[[#This Row],[Order_Date_Clean]],"MMM YYYY")</f>
        <v>Jun 2025</v>
      </c>
      <c r="AA565" s="27"/>
      <c r="AB565" s="27">
        <f t="shared" si="61"/>
        <v>0</v>
      </c>
      <c r="AC565" s="27">
        <f t="shared" si="62"/>
        <v>0</v>
      </c>
    </row>
    <row r="566" spans="1:29">
      <c r="A566" t="s">
        <v>664</v>
      </c>
      <c r="B566" s="3">
        <v>45861</v>
      </c>
      <c r="C566" t="s">
        <v>66</v>
      </c>
      <c r="D566" t="s">
        <v>62</v>
      </c>
      <c r="E566" t="s">
        <v>79</v>
      </c>
      <c r="F566" t="s">
        <v>80</v>
      </c>
      <c r="G566" s="6">
        <v>1</v>
      </c>
      <c r="H566" s="4">
        <v>76.64</v>
      </c>
      <c r="I566" s="4">
        <v>43.96</v>
      </c>
      <c r="J566" s="5">
        <v>0.05</v>
      </c>
      <c r="K566" s="6">
        <v>3</v>
      </c>
      <c r="L566" s="6">
        <v>4</v>
      </c>
      <c r="M566" t="s">
        <v>58</v>
      </c>
      <c r="N566" t="s">
        <v>87</v>
      </c>
      <c r="O566" t="s">
        <v>64</v>
      </c>
      <c r="P566" t="str">
        <f t="shared" si="56"/>
        <v>Individual</v>
      </c>
      <c r="Q566" t="str">
        <f t="shared" si="57"/>
        <v>South</v>
      </c>
      <c r="R566" t="str">
        <f>PROPER(TRIM(E566))</f>
        <v>Electronics</v>
      </c>
      <c r="S566" s="27">
        <f>IF(ISTEXT(B566),DATEVALUE(B566),B566)</f>
        <v>45861</v>
      </c>
      <c r="T566" s="27">
        <f>COUNTIF($A$2:$A$1986,A566)</f>
        <v>1</v>
      </c>
      <c r="U566" s="27" t="str">
        <f t="shared" si="58"/>
        <v>Portable Speaker</v>
      </c>
      <c r="V566" s="27">
        <f t="shared" si="59"/>
        <v>72.807999999999993</v>
      </c>
      <c r="W566" s="27">
        <f t="shared" si="60"/>
        <v>43.96</v>
      </c>
      <c r="X566" s="27">
        <f>RawSalesTable3[[#This Row],[Revenue]]-RawSalesTable3[[#This Row],[Total_Cost]]</f>
        <v>28.847999999999992</v>
      </c>
      <c r="Y566" s="28">
        <f>RawSalesTable3[[#This Row],[Profit]]/RawSalesTable3[[#This Row],[Revenue]]</f>
        <v>0.39622019558290289</v>
      </c>
      <c r="Z566" s="27" t="str">
        <f>TEXT(RawSalesTable3[[#This Row],[Order_Date_Clean]],"MMM YYYY")</f>
        <v>Jul 2025</v>
      </c>
      <c r="AA566" s="27"/>
      <c r="AB566" s="27">
        <f t="shared" si="61"/>
        <v>0</v>
      </c>
      <c r="AC566" s="27">
        <f t="shared" si="62"/>
        <v>0</v>
      </c>
    </row>
    <row r="567" spans="1:29">
      <c r="A567" t="s">
        <v>665</v>
      </c>
      <c r="B567" s="3">
        <v>45662</v>
      </c>
      <c r="C567" t="s">
        <v>54</v>
      </c>
      <c r="D567" t="s">
        <v>62</v>
      </c>
      <c r="E567" t="s">
        <v>75</v>
      </c>
      <c r="F567" t="s">
        <v>76</v>
      </c>
      <c r="G567" s="6">
        <v>1</v>
      </c>
      <c r="H567" s="4">
        <v>120.83</v>
      </c>
      <c r="I567" s="4">
        <v>75.28</v>
      </c>
      <c r="J567" s="5">
        <v>0</v>
      </c>
      <c r="K567" s="6">
        <v>0</v>
      </c>
      <c r="L567" s="6">
        <v>4</v>
      </c>
      <c r="M567" t="s">
        <v>58</v>
      </c>
      <c r="N567" t="s">
        <v>69</v>
      </c>
      <c r="O567" t="s">
        <v>60</v>
      </c>
      <c r="P567" t="str">
        <f t="shared" si="56"/>
        <v>Individual</v>
      </c>
      <c r="Q567" t="str">
        <f t="shared" si="57"/>
        <v>North</v>
      </c>
      <c r="R567" t="str">
        <f>PROPER(TRIM(E567))</f>
        <v>Furniture</v>
      </c>
      <c r="S567" s="27">
        <f>IF(ISTEXT(B567),DATEVALUE(B567),B567)</f>
        <v>45662</v>
      </c>
      <c r="T567" s="27">
        <f>COUNTIF($A$2:$A$1986,A567)</f>
        <v>1</v>
      </c>
      <c r="U567" s="27" t="str">
        <f t="shared" si="58"/>
        <v>Bookshelf</v>
      </c>
      <c r="V567" s="27">
        <f t="shared" si="59"/>
        <v>120.83</v>
      </c>
      <c r="W567" s="27">
        <f t="shared" si="60"/>
        <v>75.28</v>
      </c>
      <c r="X567" s="27">
        <f>RawSalesTable3[[#This Row],[Revenue]]-RawSalesTable3[[#This Row],[Total_Cost]]</f>
        <v>45.55</v>
      </c>
      <c r="Y567" s="28">
        <f>RawSalesTable3[[#This Row],[Profit]]/RawSalesTable3[[#This Row],[Revenue]]</f>
        <v>0.37697591657700902</v>
      </c>
      <c r="Z567" s="27" t="str">
        <f>TEXT(RawSalesTable3[[#This Row],[Order_Date_Clean]],"MMM YYYY")</f>
        <v>Jan 2025</v>
      </c>
      <c r="AA567" s="27"/>
      <c r="AB567" s="27">
        <f t="shared" si="61"/>
        <v>0</v>
      </c>
      <c r="AC567" s="27">
        <f t="shared" si="62"/>
        <v>0</v>
      </c>
    </row>
    <row r="568" spans="1:29">
      <c r="A568" t="s">
        <v>666</v>
      </c>
      <c r="B568" s="3">
        <v>45916</v>
      </c>
      <c r="C568" t="s">
        <v>54</v>
      </c>
      <c r="D568" t="s">
        <v>62</v>
      </c>
      <c r="E568" t="s">
        <v>79</v>
      </c>
      <c r="F568" t="s">
        <v>80</v>
      </c>
      <c r="G568" s="6">
        <v>1</v>
      </c>
      <c r="H568" s="4">
        <v>73.680000000000007</v>
      </c>
      <c r="I568" s="4">
        <v>45.04</v>
      </c>
      <c r="J568" s="5">
        <v>0.1</v>
      </c>
      <c r="K568" s="6">
        <v>3</v>
      </c>
      <c r="L568" s="6">
        <v>4</v>
      </c>
      <c r="M568" t="s">
        <v>58</v>
      </c>
      <c r="N568" t="s">
        <v>59</v>
      </c>
      <c r="O568" t="s">
        <v>64</v>
      </c>
      <c r="P568" t="str">
        <f t="shared" si="56"/>
        <v>Individual</v>
      </c>
      <c r="Q568" t="str">
        <f t="shared" si="57"/>
        <v>North</v>
      </c>
      <c r="R568" t="str">
        <f>PROPER(TRIM(E568))</f>
        <v>Electronics</v>
      </c>
      <c r="S568" s="27">
        <f>IF(ISTEXT(B568),DATEVALUE(B568),B568)</f>
        <v>45916</v>
      </c>
      <c r="T568" s="27">
        <f>COUNTIF($A$2:$A$1986,A568)</f>
        <v>1</v>
      </c>
      <c r="U568" s="27" t="str">
        <f t="shared" si="58"/>
        <v>Portable Speaker</v>
      </c>
      <c r="V568" s="27">
        <f t="shared" si="59"/>
        <v>66.312000000000012</v>
      </c>
      <c r="W568" s="27">
        <f t="shared" si="60"/>
        <v>45.04</v>
      </c>
      <c r="X568" s="27">
        <f>RawSalesTable3[[#This Row],[Revenue]]-RawSalesTable3[[#This Row],[Total_Cost]]</f>
        <v>21.272000000000013</v>
      </c>
      <c r="Y568" s="28">
        <f>RawSalesTable3[[#This Row],[Profit]]/RawSalesTable3[[#This Row],[Revenue]]</f>
        <v>0.32078658463023296</v>
      </c>
      <c r="Z568" s="27" t="str">
        <f>TEXT(RawSalesTable3[[#This Row],[Order_Date_Clean]],"MMM YYYY")</f>
        <v>Sep 2025</v>
      </c>
      <c r="AA568" s="27"/>
      <c r="AB568" s="27">
        <f t="shared" si="61"/>
        <v>0</v>
      </c>
      <c r="AC568" s="27">
        <f t="shared" si="62"/>
        <v>0</v>
      </c>
    </row>
    <row r="569" spans="1:29">
      <c r="A569" t="s">
        <v>667</v>
      </c>
      <c r="B569" s="3">
        <v>45748</v>
      </c>
      <c r="C569" t="s">
        <v>54</v>
      </c>
      <c r="D569" t="s">
        <v>55</v>
      </c>
      <c r="E569" t="s">
        <v>56</v>
      </c>
      <c r="F569" t="s">
        <v>83</v>
      </c>
      <c r="G569" s="6">
        <v>2</v>
      </c>
      <c r="H569" s="4">
        <v>63.71</v>
      </c>
      <c r="I569" s="4">
        <v>34.299999999999997</v>
      </c>
      <c r="J569" s="5">
        <v>0</v>
      </c>
      <c r="K569" s="6">
        <v>7</v>
      </c>
      <c r="L569" s="6">
        <v>4</v>
      </c>
      <c r="M569" t="s">
        <v>58</v>
      </c>
      <c r="N569" t="s">
        <v>59</v>
      </c>
      <c r="O569" t="s">
        <v>64</v>
      </c>
      <c r="P569" t="str">
        <f t="shared" si="56"/>
        <v>Small Business</v>
      </c>
      <c r="Q569" t="str">
        <f t="shared" si="57"/>
        <v>North</v>
      </c>
      <c r="R569" t="str">
        <f>PROPER(TRIM(E569))</f>
        <v>Home &amp; Kitchen</v>
      </c>
      <c r="S569" s="27">
        <f>IF(ISTEXT(B569),DATEVALUE(B569),B569)</f>
        <v>45748</v>
      </c>
      <c r="T569" s="27">
        <f>COUNTIF($A$2:$A$1986,A569)</f>
        <v>1</v>
      </c>
      <c r="U569" s="27" t="str">
        <f t="shared" si="58"/>
        <v>Blender</v>
      </c>
      <c r="V569" s="27">
        <f t="shared" si="59"/>
        <v>127.42</v>
      </c>
      <c r="W569" s="27">
        <f t="shared" si="60"/>
        <v>68.599999999999994</v>
      </c>
      <c r="X569" s="27">
        <f>RawSalesTable3[[#This Row],[Revenue]]-RawSalesTable3[[#This Row],[Total_Cost]]</f>
        <v>58.820000000000007</v>
      </c>
      <c r="Y569" s="28">
        <f>RawSalesTable3[[#This Row],[Profit]]/RawSalesTable3[[#This Row],[Revenue]]</f>
        <v>0.4616229791241564</v>
      </c>
      <c r="Z569" s="27" t="str">
        <f>TEXT(RawSalesTable3[[#This Row],[Order_Date_Clean]],"MMM YYYY")</f>
        <v>Apr 2025</v>
      </c>
      <c r="AA569" s="27"/>
      <c r="AB569" s="27">
        <f t="shared" si="61"/>
        <v>0</v>
      </c>
      <c r="AC569" s="27">
        <f t="shared" si="62"/>
        <v>0</v>
      </c>
    </row>
    <row r="570" spans="1:29">
      <c r="A570" t="s">
        <v>668</v>
      </c>
      <c r="B570" s="3">
        <v>45987</v>
      </c>
      <c r="C570" t="s">
        <v>66</v>
      </c>
      <c r="D570" t="s">
        <v>62</v>
      </c>
      <c r="E570" t="s">
        <v>56</v>
      </c>
      <c r="F570" t="s">
        <v>57</v>
      </c>
      <c r="G570" s="6">
        <v>3</v>
      </c>
      <c r="H570" s="4">
        <v>110.7</v>
      </c>
      <c r="I570" s="4">
        <v>66.84</v>
      </c>
      <c r="J570" s="5">
        <v>0.15000000000000002</v>
      </c>
      <c r="K570" s="6">
        <v>5</v>
      </c>
      <c r="L570" s="6">
        <v>5</v>
      </c>
      <c r="M570" t="s">
        <v>58</v>
      </c>
      <c r="N570" t="s">
        <v>69</v>
      </c>
      <c r="O570" t="s">
        <v>64</v>
      </c>
      <c r="P570" t="str">
        <f t="shared" si="56"/>
        <v>Individual</v>
      </c>
      <c r="Q570" t="str">
        <f t="shared" si="57"/>
        <v>South</v>
      </c>
      <c r="R570" t="str">
        <f>PROPER(TRIM(E570))</f>
        <v>Home &amp; Kitchen</v>
      </c>
      <c r="S570" s="27">
        <f>IF(ISTEXT(B570),DATEVALUE(B570),B570)</f>
        <v>45987</v>
      </c>
      <c r="T570" s="27">
        <f>COUNTIF($A$2:$A$1986,A570)</f>
        <v>1</v>
      </c>
      <c r="U570" s="27" t="str">
        <f t="shared" si="58"/>
        <v>Air Fryer</v>
      </c>
      <c r="V570" s="27">
        <f t="shared" si="59"/>
        <v>282.28500000000003</v>
      </c>
      <c r="W570" s="27">
        <f t="shared" si="60"/>
        <v>200.52</v>
      </c>
      <c r="X570" s="27">
        <f>RawSalesTable3[[#This Row],[Revenue]]-RawSalesTable3[[#This Row],[Total_Cost]]</f>
        <v>81.765000000000015</v>
      </c>
      <c r="Y570" s="28">
        <f>RawSalesTable3[[#This Row],[Profit]]/RawSalesTable3[[#This Row],[Revenue]]</f>
        <v>0.2896540730113184</v>
      </c>
      <c r="Z570" s="27" t="str">
        <f>TEXT(RawSalesTable3[[#This Row],[Order_Date_Clean]],"MMM YYYY")</f>
        <v>Nov 2025</v>
      </c>
      <c r="AA570" s="27"/>
      <c r="AB570" s="27">
        <f t="shared" si="61"/>
        <v>0</v>
      </c>
      <c r="AC570" s="27">
        <f t="shared" si="62"/>
        <v>0</v>
      </c>
    </row>
    <row r="571" spans="1:29">
      <c r="A571" t="s">
        <v>669</v>
      </c>
      <c r="B571" s="3">
        <v>45944</v>
      </c>
      <c r="C571" t="s">
        <v>82</v>
      </c>
      <c r="D571" t="s">
        <v>62</v>
      </c>
      <c r="E571" t="s">
        <v>79</v>
      </c>
      <c r="F571" t="s">
        <v>80</v>
      </c>
      <c r="G571" s="6">
        <v>1</v>
      </c>
      <c r="H571" s="4">
        <v>76.56</v>
      </c>
      <c r="I571" s="4">
        <v>43.54</v>
      </c>
      <c r="J571" s="5">
        <v>0</v>
      </c>
      <c r="K571" s="6">
        <v>4</v>
      </c>
      <c r="L571" s="6">
        <v>5</v>
      </c>
      <c r="M571" t="s">
        <v>58</v>
      </c>
      <c r="N571" t="s">
        <v>69</v>
      </c>
      <c r="O571" t="s">
        <v>64</v>
      </c>
      <c r="P571" t="str">
        <f t="shared" si="56"/>
        <v>Individual</v>
      </c>
      <c r="Q571" t="str">
        <f t="shared" si="57"/>
        <v>Midlands</v>
      </c>
      <c r="R571" t="str">
        <f>PROPER(TRIM(E571))</f>
        <v>Electronics</v>
      </c>
      <c r="S571" s="27">
        <f>IF(ISTEXT(B571),DATEVALUE(B571),B571)</f>
        <v>45944</v>
      </c>
      <c r="T571" s="27">
        <f>COUNTIF($A$2:$A$1986,A571)</f>
        <v>1</v>
      </c>
      <c r="U571" s="27" t="str">
        <f t="shared" si="58"/>
        <v>Portable Speaker</v>
      </c>
      <c r="V571" s="27">
        <f t="shared" si="59"/>
        <v>76.56</v>
      </c>
      <c r="W571" s="27">
        <f t="shared" si="60"/>
        <v>43.54</v>
      </c>
      <c r="X571" s="27">
        <f>RawSalesTable3[[#This Row],[Revenue]]-RawSalesTable3[[#This Row],[Total_Cost]]</f>
        <v>33.020000000000003</v>
      </c>
      <c r="Y571" s="28">
        <f>RawSalesTable3[[#This Row],[Profit]]/RawSalesTable3[[#This Row],[Revenue]]</f>
        <v>0.43129571577847442</v>
      </c>
      <c r="Z571" s="27" t="str">
        <f>TEXT(RawSalesTable3[[#This Row],[Order_Date_Clean]],"MMM YYYY")</f>
        <v>Oct 2025</v>
      </c>
      <c r="AA571" s="27"/>
      <c r="AB571" s="27">
        <f t="shared" si="61"/>
        <v>0</v>
      </c>
      <c r="AC571" s="27">
        <f t="shared" si="62"/>
        <v>0</v>
      </c>
    </row>
    <row r="572" spans="1:29">
      <c r="A572" t="s">
        <v>670</v>
      </c>
      <c r="B572" s="3">
        <v>46018</v>
      </c>
      <c r="C572" t="s">
        <v>66</v>
      </c>
      <c r="D572" t="s">
        <v>62</v>
      </c>
      <c r="E572" t="s">
        <v>75</v>
      </c>
      <c r="F572" t="s">
        <v>146</v>
      </c>
      <c r="G572" s="6">
        <v>2</v>
      </c>
      <c r="H572" s="4">
        <v>176.16</v>
      </c>
      <c r="I572" s="4">
        <v>120.54</v>
      </c>
      <c r="J572" s="5">
        <v>0.05</v>
      </c>
      <c r="K572" s="6">
        <v>5</v>
      </c>
      <c r="L572" s="6">
        <v>4</v>
      </c>
      <c r="M572" t="s">
        <v>58</v>
      </c>
      <c r="N572" t="s">
        <v>59</v>
      </c>
      <c r="O572" t="s">
        <v>64</v>
      </c>
      <c r="P572" t="str">
        <f t="shared" si="56"/>
        <v>Individual</v>
      </c>
      <c r="Q572" t="str">
        <f t="shared" si="57"/>
        <v>South</v>
      </c>
      <c r="R572" t="str">
        <f>PROPER(TRIM(E572))</f>
        <v>Furniture</v>
      </c>
      <c r="S572" s="27">
        <f>IF(ISTEXT(B572),DATEVALUE(B572),B572)</f>
        <v>46018</v>
      </c>
      <c r="T572" s="27">
        <f>COUNTIF($A$2:$A$1986,A572)</f>
        <v>1</v>
      </c>
      <c r="U572" s="27" t="str">
        <f t="shared" si="58"/>
        <v>Office Chair</v>
      </c>
      <c r="V572" s="27">
        <f t="shared" si="59"/>
        <v>334.70399999999995</v>
      </c>
      <c r="W572" s="27">
        <f t="shared" si="60"/>
        <v>241.08</v>
      </c>
      <c r="X572" s="27">
        <f>RawSalesTable3[[#This Row],[Revenue]]-RawSalesTable3[[#This Row],[Total_Cost]]</f>
        <v>93.623999999999938</v>
      </c>
      <c r="Y572" s="28">
        <f>RawSalesTable3[[#This Row],[Profit]]/RawSalesTable3[[#This Row],[Revenue]]</f>
        <v>0.27972178402409281</v>
      </c>
      <c r="Z572" s="27" t="str">
        <f>TEXT(RawSalesTable3[[#This Row],[Order_Date_Clean]],"MMM YYYY")</f>
        <v>Dec 2025</v>
      </c>
      <c r="AA572" s="27"/>
      <c r="AB572" s="27">
        <f t="shared" si="61"/>
        <v>0</v>
      </c>
      <c r="AC572" s="27">
        <f t="shared" si="62"/>
        <v>0</v>
      </c>
    </row>
    <row r="573" spans="1:29">
      <c r="A573" t="s">
        <v>671</v>
      </c>
      <c r="B573" s="3">
        <v>45997</v>
      </c>
      <c r="C573" t="s">
        <v>78</v>
      </c>
      <c r="D573" t="s">
        <v>62</v>
      </c>
      <c r="E573" t="s">
        <v>56</v>
      </c>
      <c r="F573" t="s">
        <v>89</v>
      </c>
      <c r="G573" s="6">
        <v>1</v>
      </c>
      <c r="H573" s="4">
        <v>82.98</v>
      </c>
      <c r="I573" s="4">
        <v>46.31</v>
      </c>
      <c r="J573" s="5">
        <v>0.15000000000000002</v>
      </c>
      <c r="K573" s="6">
        <v>0</v>
      </c>
      <c r="L573" s="6">
        <v>4</v>
      </c>
      <c r="M573" t="s">
        <v>58</v>
      </c>
      <c r="N573" t="s">
        <v>69</v>
      </c>
      <c r="O573" t="s">
        <v>60</v>
      </c>
      <c r="P573" t="str">
        <f t="shared" si="56"/>
        <v>Individual</v>
      </c>
      <c r="Q573" t="str">
        <f t="shared" si="57"/>
        <v>London</v>
      </c>
      <c r="R573" t="str">
        <f>PROPER(TRIM(E573))</f>
        <v>Home &amp; Kitchen</v>
      </c>
      <c r="S573" s="27">
        <f>IF(ISTEXT(B573),DATEVALUE(B573),B573)</f>
        <v>45997</v>
      </c>
      <c r="T573" s="27">
        <f>COUNTIF($A$2:$A$1986,A573)</f>
        <v>1</v>
      </c>
      <c r="U573" s="27" t="str">
        <f t="shared" si="58"/>
        <v>Coffee Maker</v>
      </c>
      <c r="V573" s="27">
        <f t="shared" si="59"/>
        <v>70.533000000000001</v>
      </c>
      <c r="W573" s="27">
        <f t="shared" si="60"/>
        <v>46.31</v>
      </c>
      <c r="X573" s="27">
        <f>RawSalesTable3[[#This Row],[Revenue]]-RawSalesTable3[[#This Row],[Total_Cost]]</f>
        <v>24.222999999999999</v>
      </c>
      <c r="Y573" s="28">
        <f>RawSalesTable3[[#This Row],[Profit]]/RawSalesTable3[[#This Row],[Revenue]]</f>
        <v>0.34342789899763232</v>
      </c>
      <c r="Z573" s="27" t="str">
        <f>TEXT(RawSalesTable3[[#This Row],[Order_Date_Clean]],"MMM YYYY")</f>
        <v>Dec 2025</v>
      </c>
      <c r="AA573" s="27"/>
      <c r="AB573" s="27">
        <f t="shared" si="61"/>
        <v>0</v>
      </c>
      <c r="AC573" s="27">
        <f t="shared" si="62"/>
        <v>0</v>
      </c>
    </row>
    <row r="574" spans="1:29">
      <c r="A574" t="s">
        <v>672</v>
      </c>
      <c r="B574" s="3">
        <v>45816</v>
      </c>
      <c r="C574" t="s">
        <v>54</v>
      </c>
      <c r="D574" t="s">
        <v>62</v>
      </c>
      <c r="E574" t="s">
        <v>56</v>
      </c>
      <c r="F574" t="s">
        <v>89</v>
      </c>
      <c r="G574" s="6">
        <v>1</v>
      </c>
      <c r="H574" s="4">
        <v>78.209999999999994</v>
      </c>
      <c r="I574" s="4">
        <v>46.46</v>
      </c>
      <c r="J574" s="5">
        <v>0</v>
      </c>
      <c r="K574" s="6">
        <v>4</v>
      </c>
      <c r="L574" s="6">
        <v>4</v>
      </c>
      <c r="M574" t="s">
        <v>58</v>
      </c>
      <c r="N574" t="s">
        <v>59</v>
      </c>
      <c r="O574" t="s">
        <v>60</v>
      </c>
      <c r="P574" t="str">
        <f t="shared" si="56"/>
        <v>Individual</v>
      </c>
      <c r="Q574" t="str">
        <f t="shared" si="57"/>
        <v>North</v>
      </c>
      <c r="R574" t="str">
        <f>PROPER(TRIM(E574))</f>
        <v>Home &amp; Kitchen</v>
      </c>
      <c r="S574" s="27">
        <f>IF(ISTEXT(B574),DATEVALUE(B574),B574)</f>
        <v>45816</v>
      </c>
      <c r="T574" s="27">
        <f>COUNTIF($A$2:$A$1986,A574)</f>
        <v>1</v>
      </c>
      <c r="U574" s="27" t="str">
        <f t="shared" si="58"/>
        <v>Coffee Maker</v>
      </c>
      <c r="V574" s="27">
        <f t="shared" si="59"/>
        <v>78.209999999999994</v>
      </c>
      <c r="W574" s="27">
        <f t="shared" si="60"/>
        <v>46.46</v>
      </c>
      <c r="X574" s="27">
        <f>RawSalesTable3[[#This Row],[Revenue]]-RawSalesTable3[[#This Row],[Total_Cost]]</f>
        <v>31.749999999999993</v>
      </c>
      <c r="Y574" s="28">
        <f>RawSalesTable3[[#This Row],[Profit]]/RawSalesTable3[[#This Row],[Revenue]]</f>
        <v>0.40595831735072235</v>
      </c>
      <c r="Z574" s="27" t="str">
        <f>TEXT(RawSalesTable3[[#This Row],[Order_Date_Clean]],"MMM YYYY")</f>
        <v>Jun 2025</v>
      </c>
      <c r="AA574" s="27"/>
      <c r="AB574" s="27">
        <f t="shared" si="61"/>
        <v>0</v>
      </c>
      <c r="AC574" s="27">
        <f t="shared" si="62"/>
        <v>0</v>
      </c>
    </row>
    <row r="575" spans="1:29">
      <c r="A575" t="s">
        <v>673</v>
      </c>
      <c r="B575" s="3">
        <v>45920</v>
      </c>
      <c r="C575" t="s">
        <v>66</v>
      </c>
      <c r="D575" t="s">
        <v>55</v>
      </c>
      <c r="E575" t="s">
        <v>67</v>
      </c>
      <c r="F575" t="s">
        <v>68</v>
      </c>
      <c r="G575" s="6">
        <v>3</v>
      </c>
      <c r="H575" s="4">
        <v>38.96</v>
      </c>
      <c r="I575" s="4">
        <v>19.61</v>
      </c>
      <c r="J575" s="5">
        <v>0.05</v>
      </c>
      <c r="K575" s="6">
        <v>5</v>
      </c>
      <c r="L575" s="6">
        <v>4</v>
      </c>
      <c r="M575" t="s">
        <v>58</v>
      </c>
      <c r="N575" t="s">
        <v>59</v>
      </c>
      <c r="O575" t="s">
        <v>64</v>
      </c>
      <c r="P575" t="str">
        <f t="shared" si="56"/>
        <v>Small Business</v>
      </c>
      <c r="Q575" t="str">
        <f t="shared" si="57"/>
        <v>South</v>
      </c>
      <c r="R575" t="str">
        <f>PROPER(TRIM(E575))</f>
        <v>Office</v>
      </c>
      <c r="S575" s="27">
        <f>IF(ISTEXT(B575),DATEVALUE(B575),B575)</f>
        <v>45920</v>
      </c>
      <c r="T575" s="27">
        <f>COUNTIF($A$2:$A$1986,A575)</f>
        <v>1</v>
      </c>
      <c r="U575" s="27" t="str">
        <f t="shared" si="58"/>
        <v>Desk Lamp</v>
      </c>
      <c r="V575" s="27">
        <f t="shared" si="59"/>
        <v>111.03599999999999</v>
      </c>
      <c r="W575" s="27">
        <f t="shared" si="60"/>
        <v>58.83</v>
      </c>
      <c r="X575" s="27">
        <f>RawSalesTable3[[#This Row],[Revenue]]-RawSalesTable3[[#This Row],[Total_Cost]]</f>
        <v>52.205999999999989</v>
      </c>
      <c r="Y575" s="28">
        <f>RawSalesTable3[[#This Row],[Profit]]/RawSalesTable3[[#This Row],[Revenue]]</f>
        <v>0.47017183616124497</v>
      </c>
      <c r="Z575" s="27" t="str">
        <f>TEXT(RawSalesTable3[[#This Row],[Order_Date_Clean]],"MMM YYYY")</f>
        <v>Sep 2025</v>
      </c>
      <c r="AA575" s="27"/>
      <c r="AB575" s="27">
        <f t="shared" si="61"/>
        <v>0</v>
      </c>
      <c r="AC575" s="27">
        <f t="shared" si="62"/>
        <v>0</v>
      </c>
    </row>
    <row r="576" spans="1:29">
      <c r="A576" t="s">
        <v>674</v>
      </c>
      <c r="B576" s="3">
        <v>45910</v>
      </c>
      <c r="C576" t="s">
        <v>78</v>
      </c>
      <c r="D576" t="s">
        <v>62</v>
      </c>
      <c r="E576" t="s">
        <v>56</v>
      </c>
      <c r="F576" t="s">
        <v>57</v>
      </c>
      <c r="G576" s="6">
        <v>1</v>
      </c>
      <c r="H576" s="4">
        <v>113.58</v>
      </c>
      <c r="I576" s="4">
        <v>66.989999999999995</v>
      </c>
      <c r="J576" s="5">
        <v>0</v>
      </c>
      <c r="K576" s="6">
        <v>3</v>
      </c>
      <c r="L576" s="6">
        <v>4</v>
      </c>
      <c r="M576" t="s">
        <v>58</v>
      </c>
      <c r="N576" t="s">
        <v>59</v>
      </c>
      <c r="O576" t="s">
        <v>64</v>
      </c>
      <c r="P576" t="str">
        <f t="shared" si="56"/>
        <v>Individual</v>
      </c>
      <c r="Q576" t="str">
        <f t="shared" si="57"/>
        <v>London</v>
      </c>
      <c r="R576" t="str">
        <f>PROPER(TRIM(E576))</f>
        <v>Home &amp; Kitchen</v>
      </c>
      <c r="S576" s="27">
        <f>IF(ISTEXT(B576),DATEVALUE(B576),B576)</f>
        <v>45910</v>
      </c>
      <c r="T576" s="27">
        <f>COUNTIF($A$2:$A$1986,A576)</f>
        <v>1</v>
      </c>
      <c r="U576" s="27" t="str">
        <f t="shared" si="58"/>
        <v>Air Fryer</v>
      </c>
      <c r="V576" s="27">
        <f t="shared" si="59"/>
        <v>113.58</v>
      </c>
      <c r="W576" s="27">
        <f t="shared" si="60"/>
        <v>66.989999999999995</v>
      </c>
      <c r="X576" s="27">
        <f>RawSalesTable3[[#This Row],[Revenue]]-RawSalesTable3[[#This Row],[Total_Cost]]</f>
        <v>46.59</v>
      </c>
      <c r="Y576" s="28">
        <f>RawSalesTable3[[#This Row],[Profit]]/RawSalesTable3[[#This Row],[Revenue]]</f>
        <v>0.41019545694664555</v>
      </c>
      <c r="Z576" s="27" t="str">
        <f>TEXT(RawSalesTable3[[#This Row],[Order_Date_Clean]],"MMM YYYY")</f>
        <v>Sep 2025</v>
      </c>
      <c r="AA576" s="27"/>
      <c r="AB576" s="27">
        <f t="shared" si="61"/>
        <v>0</v>
      </c>
      <c r="AC576" s="27">
        <f t="shared" si="62"/>
        <v>0</v>
      </c>
    </row>
    <row r="577" spans="1:29">
      <c r="A577" t="s">
        <v>675</v>
      </c>
      <c r="B577" s="3">
        <v>45981</v>
      </c>
      <c r="C577" t="s">
        <v>54</v>
      </c>
      <c r="D577" t="s">
        <v>62</v>
      </c>
      <c r="E577" t="s">
        <v>79</v>
      </c>
      <c r="F577" t="s">
        <v>115</v>
      </c>
      <c r="G577" s="6">
        <v>1</v>
      </c>
      <c r="H577" s="4">
        <v>59.89</v>
      </c>
      <c r="I577" s="4">
        <v>35.630000000000003</v>
      </c>
      <c r="J577" s="5">
        <v>0.05</v>
      </c>
      <c r="K577" s="6">
        <v>4</v>
      </c>
      <c r="L577" s="6">
        <v>4</v>
      </c>
      <c r="M577" t="s">
        <v>58</v>
      </c>
      <c r="N577" t="s">
        <v>59</v>
      </c>
      <c r="O577" t="s">
        <v>73</v>
      </c>
      <c r="P577" t="str">
        <f t="shared" si="56"/>
        <v>Individual</v>
      </c>
      <c r="Q577" t="str">
        <f t="shared" si="57"/>
        <v>North</v>
      </c>
      <c r="R577" t="str">
        <f>PROPER(TRIM(E577))</f>
        <v>Electronics</v>
      </c>
      <c r="S577" s="27">
        <f>IF(ISTEXT(B577),DATEVALUE(B577),B577)</f>
        <v>45981</v>
      </c>
      <c r="T577" s="27">
        <f>COUNTIF($A$2:$A$1986,A577)</f>
        <v>1</v>
      </c>
      <c r="U577" s="27" t="str">
        <f t="shared" si="58"/>
        <v>Wireless Headset</v>
      </c>
      <c r="V577" s="27">
        <f t="shared" si="59"/>
        <v>56.895499999999998</v>
      </c>
      <c r="W577" s="27">
        <f t="shared" si="60"/>
        <v>35.630000000000003</v>
      </c>
      <c r="X577" s="27">
        <f>RawSalesTable3[[#This Row],[Revenue]]-RawSalesTable3[[#This Row],[Total_Cost]]</f>
        <v>21.265499999999996</v>
      </c>
      <c r="Y577" s="28">
        <f>RawSalesTable3[[#This Row],[Profit]]/RawSalesTable3[[#This Row],[Revenue]]</f>
        <v>0.37376418170154047</v>
      </c>
      <c r="Z577" s="27" t="str">
        <f>TEXT(RawSalesTable3[[#This Row],[Order_Date_Clean]],"MMM YYYY")</f>
        <v>Nov 2025</v>
      </c>
      <c r="AA577" s="27"/>
      <c r="AB577" s="27">
        <f t="shared" si="61"/>
        <v>0</v>
      </c>
      <c r="AC577" s="27">
        <f t="shared" si="62"/>
        <v>0</v>
      </c>
    </row>
    <row r="578" spans="1:29">
      <c r="A578" t="s">
        <v>676</v>
      </c>
      <c r="B578" s="3">
        <v>45959</v>
      </c>
      <c r="C578" t="s">
        <v>54</v>
      </c>
      <c r="D578" t="s">
        <v>55</v>
      </c>
      <c r="E578" t="s">
        <v>67</v>
      </c>
      <c r="F578" t="s">
        <v>107</v>
      </c>
      <c r="G578" s="6">
        <v>2</v>
      </c>
      <c r="H578" s="4">
        <v>45.41</v>
      </c>
      <c r="I578" s="4">
        <v>21.64</v>
      </c>
      <c r="J578" s="5">
        <v>0.1</v>
      </c>
      <c r="K578" s="6">
        <v>3</v>
      </c>
      <c r="L578" s="6">
        <v>4</v>
      </c>
      <c r="M578" t="s">
        <v>58</v>
      </c>
      <c r="N578" t="s">
        <v>87</v>
      </c>
      <c r="O578" t="s">
        <v>60</v>
      </c>
      <c r="P578" t="str">
        <f t="shared" ref="P578:P641" si="63">IF(TRIM(D578)="","Unknow",PROPER(TRIM(D578)))</f>
        <v>Small Business</v>
      </c>
      <c r="Q578" t="str">
        <f t="shared" ref="Q578:Q641" si="64">IF(PROPER(TRIM(C578))="Mid Lands","Midlands",PROPER(TRIM(C578)))</f>
        <v>North</v>
      </c>
      <c r="R578" t="str">
        <f>PROPER(TRIM(E578))</f>
        <v>Office</v>
      </c>
      <c r="S578" s="27">
        <f>IF(ISTEXT(B578),DATEVALUE(B578),B578)</f>
        <v>45959</v>
      </c>
      <c r="T578" s="27">
        <f>COUNTIF($A$2:$A$1986,A578)</f>
        <v>1</v>
      </c>
      <c r="U578" s="27" t="str">
        <f t="shared" ref="U578:U641" si="65">TRIM(F578)</f>
        <v>Laptop Stand</v>
      </c>
      <c r="V578" s="27">
        <f t="shared" ref="V578:V641" si="66">G578*H578*(1-J578)</f>
        <v>81.738</v>
      </c>
      <c r="W578" s="27">
        <f t="shared" ref="W578:W641" si="67">G578*I578</f>
        <v>43.28</v>
      </c>
      <c r="X578" s="27">
        <f>RawSalesTable3[[#This Row],[Revenue]]-RawSalesTable3[[#This Row],[Total_Cost]]</f>
        <v>38.457999999999998</v>
      </c>
      <c r="Y578" s="28">
        <f>RawSalesTable3[[#This Row],[Profit]]/RawSalesTable3[[#This Row],[Revenue]]</f>
        <v>0.47050331547138419</v>
      </c>
      <c r="Z578" s="27" t="str">
        <f>TEXT(RawSalesTable3[[#This Row],[Order_Date_Clean]],"MMM YYYY")</f>
        <v>Oct 2025</v>
      </c>
      <c r="AA578" s="27"/>
      <c r="AB578" s="27">
        <f t="shared" ref="AB578:AB641" si="68">SUMIF($Z:$Z,AA578,$V:$V)</f>
        <v>0</v>
      </c>
      <c r="AC578" s="27">
        <f t="shared" ref="AC578:AC641" si="69">SUMIF($Z:$Z,AA578,$X:$X)</f>
        <v>0</v>
      </c>
    </row>
    <row r="579" spans="1:29">
      <c r="A579" t="s">
        <v>677</v>
      </c>
      <c r="B579" s="3">
        <v>45863</v>
      </c>
      <c r="C579" t="s">
        <v>66</v>
      </c>
      <c r="D579" t="s">
        <v>55</v>
      </c>
      <c r="E579" t="s">
        <v>75</v>
      </c>
      <c r="F579" t="s">
        <v>76</v>
      </c>
      <c r="G579" s="6">
        <v>1</v>
      </c>
      <c r="H579" s="4">
        <v>119.37</v>
      </c>
      <c r="I579" s="4">
        <v>73.33</v>
      </c>
      <c r="J579" s="5">
        <v>0.1</v>
      </c>
      <c r="K579" s="6">
        <v>5</v>
      </c>
      <c r="L579" s="6">
        <v>4</v>
      </c>
      <c r="M579" t="s">
        <v>58</v>
      </c>
      <c r="N579" t="s">
        <v>59</v>
      </c>
      <c r="O579" t="s">
        <v>64</v>
      </c>
      <c r="P579" t="str">
        <f t="shared" si="63"/>
        <v>Small Business</v>
      </c>
      <c r="Q579" t="str">
        <f t="shared" si="64"/>
        <v>South</v>
      </c>
      <c r="R579" t="str">
        <f>PROPER(TRIM(E579))</f>
        <v>Furniture</v>
      </c>
      <c r="S579" s="27">
        <f>IF(ISTEXT(B579),DATEVALUE(B579),B579)</f>
        <v>45863</v>
      </c>
      <c r="T579" s="27">
        <f>COUNTIF($A$2:$A$1986,A579)</f>
        <v>1</v>
      </c>
      <c r="U579" s="27" t="str">
        <f t="shared" si="65"/>
        <v>Bookshelf</v>
      </c>
      <c r="V579" s="27">
        <f t="shared" si="66"/>
        <v>107.43300000000001</v>
      </c>
      <c r="W579" s="27">
        <f t="shared" si="67"/>
        <v>73.33</v>
      </c>
      <c r="X579" s="27">
        <f>RawSalesTable3[[#This Row],[Revenue]]-RawSalesTable3[[#This Row],[Total_Cost]]</f>
        <v>34.103000000000009</v>
      </c>
      <c r="Y579" s="28">
        <f>RawSalesTable3[[#This Row],[Profit]]/RawSalesTable3[[#This Row],[Revenue]]</f>
        <v>0.31743505254437654</v>
      </c>
      <c r="Z579" s="27" t="str">
        <f>TEXT(RawSalesTable3[[#This Row],[Order_Date_Clean]],"MMM YYYY")</f>
        <v>Jul 2025</v>
      </c>
      <c r="AA579" s="27"/>
      <c r="AB579" s="27">
        <f t="shared" si="68"/>
        <v>0</v>
      </c>
      <c r="AC579" s="27">
        <f t="shared" si="69"/>
        <v>0</v>
      </c>
    </row>
    <row r="580" spans="1:29">
      <c r="A580" t="s">
        <v>678</v>
      </c>
      <c r="B580" s="3">
        <v>45781</v>
      </c>
      <c r="C580" t="s">
        <v>66</v>
      </c>
      <c r="D580" t="s">
        <v>55</v>
      </c>
      <c r="E580" t="s">
        <v>67</v>
      </c>
      <c r="F580" t="s">
        <v>68</v>
      </c>
      <c r="G580" s="6">
        <v>6</v>
      </c>
      <c r="H580" s="4">
        <v>40.909999999999997</v>
      </c>
      <c r="I580" s="4">
        <v>18.559999999999999</v>
      </c>
      <c r="J580" s="5">
        <v>0</v>
      </c>
      <c r="K580" s="6">
        <v>2</v>
      </c>
      <c r="L580" s="6">
        <v>5</v>
      </c>
      <c r="M580" t="s">
        <v>58</v>
      </c>
      <c r="N580" t="s">
        <v>69</v>
      </c>
      <c r="O580" t="s">
        <v>64</v>
      </c>
      <c r="P580" t="str">
        <f t="shared" si="63"/>
        <v>Small Business</v>
      </c>
      <c r="Q580" t="str">
        <f t="shared" si="64"/>
        <v>South</v>
      </c>
      <c r="R580" t="str">
        <f>PROPER(TRIM(E580))</f>
        <v>Office</v>
      </c>
      <c r="S580" s="27">
        <f>IF(ISTEXT(B580),DATEVALUE(B580),B580)</f>
        <v>45781</v>
      </c>
      <c r="T580" s="27">
        <f>COUNTIF($A$2:$A$1986,A580)</f>
        <v>1</v>
      </c>
      <c r="U580" s="27" t="str">
        <f t="shared" si="65"/>
        <v>Desk Lamp</v>
      </c>
      <c r="V580" s="27">
        <f t="shared" si="66"/>
        <v>245.45999999999998</v>
      </c>
      <c r="W580" s="27">
        <f t="shared" si="67"/>
        <v>111.35999999999999</v>
      </c>
      <c r="X580" s="27">
        <f>RawSalesTable3[[#This Row],[Revenue]]-RawSalesTable3[[#This Row],[Total_Cost]]</f>
        <v>134.1</v>
      </c>
      <c r="Y580" s="28">
        <f>RawSalesTable3[[#This Row],[Profit]]/RawSalesTable3[[#This Row],[Revenue]]</f>
        <v>0.5463211928623809</v>
      </c>
      <c r="Z580" s="27" t="str">
        <f>TEXT(RawSalesTable3[[#This Row],[Order_Date_Clean]],"MMM YYYY")</f>
        <v>May 2025</v>
      </c>
      <c r="AA580" s="27"/>
      <c r="AB580" s="27">
        <f t="shared" si="68"/>
        <v>0</v>
      </c>
      <c r="AC580" s="27">
        <f t="shared" si="69"/>
        <v>0</v>
      </c>
    </row>
    <row r="581" spans="1:29">
      <c r="A581" t="s">
        <v>679</v>
      </c>
      <c r="B581" s="3">
        <v>45773</v>
      </c>
      <c r="C581" t="s">
        <v>78</v>
      </c>
      <c r="D581" t="s">
        <v>62</v>
      </c>
      <c r="E581" t="s">
        <v>75</v>
      </c>
      <c r="F581" t="s">
        <v>110</v>
      </c>
      <c r="G581" s="6">
        <v>1</v>
      </c>
      <c r="H581" s="4">
        <v>163.66</v>
      </c>
      <c r="I581" s="4">
        <v>100.02</v>
      </c>
      <c r="J581" s="5">
        <v>0</v>
      </c>
      <c r="K581" s="6">
        <v>6</v>
      </c>
      <c r="L581" s="6">
        <v>4</v>
      </c>
      <c r="M581" t="s">
        <v>58</v>
      </c>
      <c r="N581" t="s">
        <v>59</v>
      </c>
      <c r="O581" t="s">
        <v>64</v>
      </c>
      <c r="P581" t="str">
        <f t="shared" si="63"/>
        <v>Individual</v>
      </c>
      <c r="Q581" t="str">
        <f t="shared" si="64"/>
        <v>London</v>
      </c>
      <c r="R581" t="str">
        <f>PROPER(TRIM(E581))</f>
        <v>Furniture</v>
      </c>
      <c r="S581" s="27">
        <f>IF(ISTEXT(B581),DATEVALUE(B581),B581)</f>
        <v>45773</v>
      </c>
      <c r="T581" s="27">
        <f>COUNTIF($A$2:$A$1986,A581)</f>
        <v>1</v>
      </c>
      <c r="U581" s="27" t="str">
        <f t="shared" si="65"/>
        <v>Storage Cabinet</v>
      </c>
      <c r="V581" s="27">
        <f t="shared" si="66"/>
        <v>163.66</v>
      </c>
      <c r="W581" s="27">
        <f t="shared" si="67"/>
        <v>100.02</v>
      </c>
      <c r="X581" s="27">
        <f>RawSalesTable3[[#This Row],[Revenue]]-RawSalesTable3[[#This Row],[Total_Cost]]</f>
        <v>63.64</v>
      </c>
      <c r="Y581" s="28">
        <f>RawSalesTable3[[#This Row],[Profit]]/RawSalesTable3[[#This Row],[Revenue]]</f>
        <v>0.38885494317487473</v>
      </c>
      <c r="Z581" s="27" t="str">
        <f>TEXT(RawSalesTable3[[#This Row],[Order_Date_Clean]],"MMM YYYY")</f>
        <v>Apr 2025</v>
      </c>
      <c r="AA581" s="27"/>
      <c r="AB581" s="27">
        <f t="shared" si="68"/>
        <v>0</v>
      </c>
      <c r="AC581" s="27">
        <f t="shared" si="69"/>
        <v>0</v>
      </c>
    </row>
    <row r="582" spans="1:29">
      <c r="A582" t="s">
        <v>680</v>
      </c>
      <c r="B582" s="3">
        <v>45904</v>
      </c>
      <c r="C582" t="s">
        <v>66</v>
      </c>
      <c r="D582" t="s">
        <v>62</v>
      </c>
      <c r="E582" t="s">
        <v>56</v>
      </c>
      <c r="F582" t="s">
        <v>63</v>
      </c>
      <c r="G582" s="6">
        <v>1</v>
      </c>
      <c r="H582" s="4">
        <v>39.450000000000003</v>
      </c>
      <c r="I582" s="4">
        <v>20.14</v>
      </c>
      <c r="J582" s="5">
        <v>0.05</v>
      </c>
      <c r="K582" s="6">
        <v>5</v>
      </c>
      <c r="L582" s="6">
        <v>4</v>
      </c>
      <c r="M582" t="s">
        <v>58</v>
      </c>
      <c r="N582" t="s">
        <v>59</v>
      </c>
      <c r="O582" t="s">
        <v>60</v>
      </c>
      <c r="P582" t="str">
        <f t="shared" si="63"/>
        <v>Individual</v>
      </c>
      <c r="Q582" t="str">
        <f t="shared" si="64"/>
        <v>South</v>
      </c>
      <c r="R582" t="str">
        <f>PROPER(TRIM(E582))</f>
        <v>Home &amp; Kitchen</v>
      </c>
      <c r="S582" s="27">
        <f>IF(ISTEXT(B582),DATEVALUE(B582),B582)</f>
        <v>45904</v>
      </c>
      <c r="T582" s="27">
        <f>COUNTIF($A$2:$A$1986,A582)</f>
        <v>1</v>
      </c>
      <c r="U582" s="27" t="str">
        <f t="shared" si="65"/>
        <v>Electric Kettle</v>
      </c>
      <c r="V582" s="27">
        <f t="shared" si="66"/>
        <v>37.477499999999999</v>
      </c>
      <c r="W582" s="27">
        <f t="shared" si="67"/>
        <v>20.14</v>
      </c>
      <c r="X582" s="27">
        <f>RawSalesTable3[[#This Row],[Revenue]]-RawSalesTable3[[#This Row],[Total_Cost]]</f>
        <v>17.337499999999999</v>
      </c>
      <c r="Y582" s="28">
        <f>RawSalesTable3[[#This Row],[Profit]]/RawSalesTable3[[#This Row],[Revenue]]</f>
        <v>0.46261089987325726</v>
      </c>
      <c r="Z582" s="27" t="str">
        <f>TEXT(RawSalesTable3[[#This Row],[Order_Date_Clean]],"MMM YYYY")</f>
        <v>Sep 2025</v>
      </c>
      <c r="AA582" s="27"/>
      <c r="AB582" s="27">
        <f t="shared" si="68"/>
        <v>0</v>
      </c>
      <c r="AC582" s="27">
        <f t="shared" si="69"/>
        <v>0</v>
      </c>
    </row>
    <row r="583" spans="1:29">
      <c r="A583" t="s">
        <v>681</v>
      </c>
      <c r="B583" s="3">
        <v>45861</v>
      </c>
      <c r="C583" t="s">
        <v>78</v>
      </c>
      <c r="D583" t="s">
        <v>62</v>
      </c>
      <c r="E583" t="s">
        <v>56</v>
      </c>
      <c r="F583" t="s">
        <v>89</v>
      </c>
      <c r="G583" s="6">
        <v>4</v>
      </c>
      <c r="H583" s="4">
        <v>80.86</v>
      </c>
      <c r="I583" s="4">
        <v>44.48</v>
      </c>
      <c r="J583" s="5">
        <v>0.05</v>
      </c>
      <c r="K583" s="6">
        <v>0</v>
      </c>
      <c r="L583" s="6">
        <v>5</v>
      </c>
      <c r="M583" t="s">
        <v>58</v>
      </c>
      <c r="N583" t="s">
        <v>69</v>
      </c>
      <c r="O583" t="s">
        <v>64</v>
      </c>
      <c r="P583" t="str">
        <f t="shared" si="63"/>
        <v>Individual</v>
      </c>
      <c r="Q583" t="str">
        <f t="shared" si="64"/>
        <v>London</v>
      </c>
      <c r="R583" t="str">
        <f>PROPER(TRIM(E583))</f>
        <v>Home &amp; Kitchen</v>
      </c>
      <c r="S583" s="27">
        <f>IF(ISTEXT(B583),DATEVALUE(B583),B583)</f>
        <v>45861</v>
      </c>
      <c r="T583" s="27">
        <f>COUNTIF($A$2:$A$1986,A583)</f>
        <v>1</v>
      </c>
      <c r="U583" s="27" t="str">
        <f t="shared" si="65"/>
        <v>Coffee Maker</v>
      </c>
      <c r="V583" s="27">
        <f t="shared" si="66"/>
        <v>307.26799999999997</v>
      </c>
      <c r="W583" s="27">
        <f t="shared" si="67"/>
        <v>177.92</v>
      </c>
      <c r="X583" s="27">
        <f>RawSalesTable3[[#This Row],[Revenue]]-RawSalesTable3[[#This Row],[Total_Cost]]</f>
        <v>129.34799999999998</v>
      </c>
      <c r="Y583" s="28">
        <f>RawSalesTable3[[#This Row],[Profit]]/RawSalesTable3[[#This Row],[Revenue]]</f>
        <v>0.42096150591665904</v>
      </c>
      <c r="Z583" s="27" t="str">
        <f>TEXT(RawSalesTable3[[#This Row],[Order_Date_Clean]],"MMM YYYY")</f>
        <v>Jul 2025</v>
      </c>
      <c r="AA583" s="27"/>
      <c r="AB583" s="27">
        <f t="shared" si="68"/>
        <v>0</v>
      </c>
      <c r="AC583" s="27">
        <f t="shared" si="69"/>
        <v>0</v>
      </c>
    </row>
    <row r="584" spans="1:29">
      <c r="A584" t="s">
        <v>682</v>
      </c>
      <c r="B584" s="3">
        <v>46002</v>
      </c>
      <c r="C584" t="s">
        <v>82</v>
      </c>
      <c r="D584" t="s">
        <v>62</v>
      </c>
      <c r="E584" t="s">
        <v>79</v>
      </c>
      <c r="F584" t="s">
        <v>85</v>
      </c>
      <c r="G584" s="6">
        <v>2</v>
      </c>
      <c r="H584" s="4">
        <v>130.41999999999999</v>
      </c>
      <c r="I584" s="4">
        <v>84.76</v>
      </c>
      <c r="J584" s="5">
        <v>0.15000000000000002</v>
      </c>
      <c r="K584" s="6">
        <v>3</v>
      </c>
      <c r="L584" s="6">
        <v>4</v>
      </c>
      <c r="M584" t="s">
        <v>58</v>
      </c>
      <c r="N584" t="s">
        <v>59</v>
      </c>
      <c r="O584" t="s">
        <v>64</v>
      </c>
      <c r="P584" t="str">
        <f t="shared" si="63"/>
        <v>Individual</v>
      </c>
      <c r="Q584" t="str">
        <f t="shared" si="64"/>
        <v>Midlands</v>
      </c>
      <c r="R584" t="str">
        <f>PROPER(TRIM(E584))</f>
        <v>Electronics</v>
      </c>
      <c r="S584" s="27">
        <f>IF(ISTEXT(B584),DATEVALUE(B584),B584)</f>
        <v>46002</v>
      </c>
      <c r="T584" s="27">
        <f>COUNTIF($A$2:$A$1986,A584)</f>
        <v>1</v>
      </c>
      <c r="U584" s="27" t="str">
        <f t="shared" si="65"/>
        <v>SmartHome Hub</v>
      </c>
      <c r="V584" s="27">
        <f t="shared" si="66"/>
        <v>221.71399999999997</v>
      </c>
      <c r="W584" s="27">
        <f t="shared" si="67"/>
        <v>169.52</v>
      </c>
      <c r="X584" s="27">
        <f>RawSalesTable3[[#This Row],[Revenue]]-RawSalesTable3[[#This Row],[Total_Cost]]</f>
        <v>52.19399999999996</v>
      </c>
      <c r="Y584" s="28">
        <f>RawSalesTable3[[#This Row],[Profit]]/RawSalesTable3[[#This Row],[Revenue]]</f>
        <v>0.23541138583941459</v>
      </c>
      <c r="Z584" s="27" t="str">
        <f>TEXT(RawSalesTable3[[#This Row],[Order_Date_Clean]],"MMM YYYY")</f>
        <v>Dec 2025</v>
      </c>
      <c r="AA584" s="27"/>
      <c r="AB584" s="27">
        <f t="shared" si="68"/>
        <v>0</v>
      </c>
      <c r="AC584" s="27">
        <f t="shared" si="69"/>
        <v>0</v>
      </c>
    </row>
    <row r="585" spans="1:29">
      <c r="A585" t="s">
        <v>683</v>
      </c>
      <c r="B585" s="3">
        <v>46012</v>
      </c>
      <c r="C585" t="s">
        <v>82</v>
      </c>
      <c r="D585" t="s">
        <v>55</v>
      </c>
      <c r="E585" t="s">
        <v>56</v>
      </c>
      <c r="F585" t="s">
        <v>63</v>
      </c>
      <c r="G585" s="6">
        <v>1</v>
      </c>
      <c r="H585" s="4">
        <v>41.26</v>
      </c>
      <c r="I585" s="4">
        <v>19.53</v>
      </c>
      <c r="J585" s="5">
        <v>0.2</v>
      </c>
      <c r="K585" s="6">
        <v>1</v>
      </c>
      <c r="L585" s="6">
        <v>5</v>
      </c>
      <c r="M585" t="s">
        <v>58</v>
      </c>
      <c r="N585" t="s">
        <v>69</v>
      </c>
      <c r="O585" t="s">
        <v>64</v>
      </c>
      <c r="P585" t="str">
        <f t="shared" si="63"/>
        <v>Small Business</v>
      </c>
      <c r="Q585" t="str">
        <f t="shared" si="64"/>
        <v>Midlands</v>
      </c>
      <c r="R585" t="str">
        <f>PROPER(TRIM(E585))</f>
        <v>Home &amp; Kitchen</v>
      </c>
      <c r="S585" s="27">
        <f>IF(ISTEXT(B585),DATEVALUE(B585),B585)</f>
        <v>46012</v>
      </c>
      <c r="T585" s="27">
        <f>COUNTIF($A$2:$A$1986,A585)</f>
        <v>1</v>
      </c>
      <c r="U585" s="27" t="str">
        <f t="shared" si="65"/>
        <v>Electric Kettle</v>
      </c>
      <c r="V585" s="27">
        <f t="shared" si="66"/>
        <v>33.008000000000003</v>
      </c>
      <c r="W585" s="27">
        <f t="shared" si="67"/>
        <v>19.53</v>
      </c>
      <c r="X585" s="27">
        <f>RawSalesTable3[[#This Row],[Revenue]]-RawSalesTable3[[#This Row],[Total_Cost]]</f>
        <v>13.478000000000002</v>
      </c>
      <c r="Y585" s="28">
        <f>RawSalesTable3[[#This Row],[Profit]]/RawSalesTable3[[#This Row],[Revenue]]</f>
        <v>0.4083252544837615</v>
      </c>
      <c r="Z585" s="27" t="str">
        <f>TEXT(RawSalesTable3[[#This Row],[Order_Date_Clean]],"MMM YYYY")</f>
        <v>Dec 2025</v>
      </c>
      <c r="AA585" s="27"/>
      <c r="AB585" s="27">
        <f t="shared" si="68"/>
        <v>0</v>
      </c>
      <c r="AC585" s="27">
        <f t="shared" si="69"/>
        <v>0</v>
      </c>
    </row>
    <row r="586" spans="1:29">
      <c r="A586" t="s">
        <v>684</v>
      </c>
      <c r="B586" s="3" t="s">
        <v>685</v>
      </c>
      <c r="C586" t="s">
        <v>78</v>
      </c>
      <c r="D586" t="s">
        <v>62</v>
      </c>
      <c r="E586" t="s">
        <v>56</v>
      </c>
      <c r="F586" t="s">
        <v>57</v>
      </c>
      <c r="G586" s="6">
        <v>3</v>
      </c>
      <c r="H586" s="4">
        <v>113.46</v>
      </c>
      <c r="I586" s="4">
        <v>66.58</v>
      </c>
      <c r="J586" s="5">
        <v>0.05</v>
      </c>
      <c r="K586" s="6">
        <v>0</v>
      </c>
      <c r="L586" s="6">
        <v>4</v>
      </c>
      <c r="M586" t="s">
        <v>58</v>
      </c>
      <c r="N586" t="s">
        <v>69</v>
      </c>
      <c r="O586" t="s">
        <v>64</v>
      </c>
      <c r="P586" t="str">
        <f t="shared" si="63"/>
        <v>Individual</v>
      </c>
      <c r="Q586" t="str">
        <f t="shared" si="64"/>
        <v>London</v>
      </c>
      <c r="R586" t="str">
        <f>PROPER(TRIM(E586))</f>
        <v>Home &amp; Kitchen</v>
      </c>
      <c r="S586" s="27">
        <f>IF(ISTEXT(B586),DATEVALUE(B586),B586)</f>
        <v>45910</v>
      </c>
      <c r="T586" s="27">
        <f>COUNTIF($A$2:$A$1986,A586)</f>
        <v>1</v>
      </c>
      <c r="U586" s="27" t="str">
        <f t="shared" si="65"/>
        <v>Air Fryer</v>
      </c>
      <c r="V586" s="27">
        <f t="shared" si="66"/>
        <v>323.36099999999999</v>
      </c>
      <c r="W586" s="27">
        <f t="shared" si="67"/>
        <v>199.74</v>
      </c>
      <c r="X586" s="27">
        <f>RawSalesTable3[[#This Row],[Revenue]]-RawSalesTable3[[#This Row],[Total_Cost]]</f>
        <v>123.62099999999998</v>
      </c>
      <c r="Y586" s="28">
        <f>RawSalesTable3[[#This Row],[Profit]]/RawSalesTable3[[#This Row],[Revenue]]</f>
        <v>0.38230027739894418</v>
      </c>
      <c r="Z586" s="27" t="str">
        <f>TEXT(RawSalesTable3[[#This Row],[Order_Date_Clean]],"MMM YYYY")</f>
        <v>Sep 2025</v>
      </c>
      <c r="AA586" s="27"/>
      <c r="AB586" s="27">
        <f t="shared" si="68"/>
        <v>0</v>
      </c>
      <c r="AC586" s="27">
        <f t="shared" si="69"/>
        <v>0</v>
      </c>
    </row>
    <row r="587" spans="1:29">
      <c r="A587" t="s">
        <v>686</v>
      </c>
      <c r="B587" s="3">
        <v>46016</v>
      </c>
      <c r="C587" t="s">
        <v>66</v>
      </c>
      <c r="D587" t="s">
        <v>55</v>
      </c>
      <c r="E587" t="s">
        <v>56</v>
      </c>
      <c r="F587" t="s">
        <v>83</v>
      </c>
      <c r="G587" s="6">
        <v>3</v>
      </c>
      <c r="H587" s="4">
        <v>64.180000000000007</v>
      </c>
      <c r="I587" s="4">
        <v>36.549999999999997</v>
      </c>
      <c r="J587" s="5">
        <v>0.1</v>
      </c>
      <c r="K587" s="6">
        <v>2</v>
      </c>
      <c r="L587" s="6">
        <v>4</v>
      </c>
      <c r="M587" t="s">
        <v>58</v>
      </c>
      <c r="N587" t="s">
        <v>69</v>
      </c>
      <c r="O587" t="s">
        <v>64</v>
      </c>
      <c r="P587" t="str">
        <f t="shared" si="63"/>
        <v>Small Business</v>
      </c>
      <c r="Q587" t="str">
        <f t="shared" si="64"/>
        <v>South</v>
      </c>
      <c r="R587" t="str">
        <f>PROPER(TRIM(E587))</f>
        <v>Home &amp; Kitchen</v>
      </c>
      <c r="S587" s="27">
        <f>IF(ISTEXT(B587),DATEVALUE(B587),B587)</f>
        <v>46016</v>
      </c>
      <c r="T587" s="27">
        <f>COUNTIF($A$2:$A$1986,A587)</f>
        <v>1</v>
      </c>
      <c r="U587" s="27" t="str">
        <f t="shared" si="65"/>
        <v>Blender</v>
      </c>
      <c r="V587" s="27">
        <f t="shared" si="66"/>
        <v>173.28600000000003</v>
      </c>
      <c r="W587" s="27">
        <f t="shared" si="67"/>
        <v>109.64999999999999</v>
      </c>
      <c r="X587" s="27">
        <f>RawSalesTable3[[#This Row],[Revenue]]-RawSalesTable3[[#This Row],[Total_Cost]]</f>
        <v>63.636000000000038</v>
      </c>
      <c r="Y587" s="28">
        <f>RawSalesTable3[[#This Row],[Profit]]/RawSalesTable3[[#This Row],[Revenue]]</f>
        <v>0.36723105155638669</v>
      </c>
      <c r="Z587" s="27" t="str">
        <f>TEXT(RawSalesTable3[[#This Row],[Order_Date_Clean]],"MMM YYYY")</f>
        <v>Dec 2025</v>
      </c>
      <c r="AA587" s="27"/>
      <c r="AB587" s="27">
        <f t="shared" si="68"/>
        <v>0</v>
      </c>
      <c r="AC587" s="27">
        <f t="shared" si="69"/>
        <v>0</v>
      </c>
    </row>
    <row r="588" spans="1:29">
      <c r="A588" t="s">
        <v>687</v>
      </c>
      <c r="B588" s="3">
        <v>45720</v>
      </c>
      <c r="C588" t="s">
        <v>82</v>
      </c>
      <c r="D588" t="s">
        <v>62</v>
      </c>
      <c r="E588" t="s">
        <v>75</v>
      </c>
      <c r="F588" t="s">
        <v>110</v>
      </c>
      <c r="G588" s="6">
        <v>2</v>
      </c>
      <c r="H588" s="4">
        <v>162.51</v>
      </c>
      <c r="I588" s="4">
        <v>104.75</v>
      </c>
      <c r="J588" s="5">
        <v>0.05</v>
      </c>
      <c r="K588" s="6">
        <v>3</v>
      </c>
      <c r="L588" s="6">
        <v>5</v>
      </c>
      <c r="M588" t="s">
        <v>58</v>
      </c>
      <c r="N588" t="s">
        <v>69</v>
      </c>
      <c r="O588" t="s">
        <v>64</v>
      </c>
      <c r="P588" t="str">
        <f t="shared" si="63"/>
        <v>Individual</v>
      </c>
      <c r="Q588" t="str">
        <f t="shared" si="64"/>
        <v>Midlands</v>
      </c>
      <c r="R588" t="str">
        <f>PROPER(TRIM(E588))</f>
        <v>Furniture</v>
      </c>
      <c r="S588" s="27">
        <f>IF(ISTEXT(B588),DATEVALUE(B588),B588)</f>
        <v>45720</v>
      </c>
      <c r="T588" s="27">
        <f>COUNTIF($A$2:$A$1986,A588)</f>
        <v>1</v>
      </c>
      <c r="U588" s="27" t="str">
        <f t="shared" si="65"/>
        <v>Storage Cabinet</v>
      </c>
      <c r="V588" s="27">
        <f t="shared" si="66"/>
        <v>308.76899999999995</v>
      </c>
      <c r="W588" s="27">
        <f t="shared" si="67"/>
        <v>209.5</v>
      </c>
      <c r="X588" s="27">
        <f>RawSalesTable3[[#This Row],[Revenue]]-RawSalesTable3[[#This Row],[Total_Cost]]</f>
        <v>99.268999999999949</v>
      </c>
      <c r="Y588" s="28">
        <f>RawSalesTable3[[#This Row],[Profit]]/RawSalesTable3[[#This Row],[Revenue]]</f>
        <v>0.3214992437712334</v>
      </c>
      <c r="Z588" s="27" t="str">
        <f>TEXT(RawSalesTable3[[#This Row],[Order_Date_Clean]],"MMM YYYY")</f>
        <v>Mar 2025</v>
      </c>
      <c r="AA588" s="27"/>
      <c r="AB588" s="27">
        <f t="shared" si="68"/>
        <v>0</v>
      </c>
      <c r="AC588" s="27">
        <f t="shared" si="69"/>
        <v>0</v>
      </c>
    </row>
    <row r="589" spans="1:29">
      <c r="A589" t="s">
        <v>688</v>
      </c>
      <c r="B589" s="3">
        <v>46009</v>
      </c>
      <c r="C589" t="s">
        <v>54</v>
      </c>
      <c r="D589" t="s">
        <v>62</v>
      </c>
      <c r="E589" t="s">
        <v>56</v>
      </c>
      <c r="F589" t="s">
        <v>57</v>
      </c>
      <c r="G589" s="6">
        <v>2</v>
      </c>
      <c r="H589" s="4">
        <v>112.49</v>
      </c>
      <c r="I589" s="4">
        <v>68.650000000000006</v>
      </c>
      <c r="J589" s="5">
        <v>0.1</v>
      </c>
      <c r="K589" s="6">
        <v>1</v>
      </c>
      <c r="L589" s="6">
        <v>4</v>
      </c>
      <c r="M589" t="s">
        <v>58</v>
      </c>
      <c r="N589" t="s">
        <v>69</v>
      </c>
      <c r="O589" t="s">
        <v>64</v>
      </c>
      <c r="P589" t="str">
        <f t="shared" si="63"/>
        <v>Individual</v>
      </c>
      <c r="Q589" t="str">
        <f t="shared" si="64"/>
        <v>North</v>
      </c>
      <c r="R589" t="str">
        <f>PROPER(TRIM(E589))</f>
        <v>Home &amp; Kitchen</v>
      </c>
      <c r="S589" s="27">
        <f>IF(ISTEXT(B589),DATEVALUE(B589),B589)</f>
        <v>46009</v>
      </c>
      <c r="T589" s="27">
        <f>COUNTIF($A$2:$A$1986,A589)</f>
        <v>1</v>
      </c>
      <c r="U589" s="27" t="str">
        <f t="shared" si="65"/>
        <v>Air Fryer</v>
      </c>
      <c r="V589" s="27">
        <f t="shared" si="66"/>
        <v>202.482</v>
      </c>
      <c r="W589" s="27">
        <f t="shared" si="67"/>
        <v>137.30000000000001</v>
      </c>
      <c r="X589" s="27">
        <f>RawSalesTable3[[#This Row],[Revenue]]-RawSalesTable3[[#This Row],[Total_Cost]]</f>
        <v>65.181999999999988</v>
      </c>
      <c r="Y589" s="28">
        <f>RawSalesTable3[[#This Row],[Profit]]/RawSalesTable3[[#This Row],[Revenue]]</f>
        <v>0.32191503442281283</v>
      </c>
      <c r="Z589" s="27" t="str">
        <f>TEXT(RawSalesTable3[[#This Row],[Order_Date_Clean]],"MMM YYYY")</f>
        <v>Dec 2025</v>
      </c>
      <c r="AA589" s="27"/>
      <c r="AB589" s="27">
        <f t="shared" si="68"/>
        <v>0</v>
      </c>
      <c r="AC589" s="27">
        <f t="shared" si="69"/>
        <v>0</v>
      </c>
    </row>
    <row r="590" spans="1:29">
      <c r="A590" t="s">
        <v>689</v>
      </c>
      <c r="B590" s="3">
        <v>46016</v>
      </c>
      <c r="C590" t="s">
        <v>82</v>
      </c>
      <c r="D590" t="s">
        <v>62</v>
      </c>
      <c r="E590" t="s">
        <v>56</v>
      </c>
      <c r="F590" t="s">
        <v>89</v>
      </c>
      <c r="G590" s="6">
        <v>3</v>
      </c>
      <c r="H590" s="4">
        <v>79.31</v>
      </c>
      <c r="I590" s="4">
        <v>46.42</v>
      </c>
      <c r="J590" s="5">
        <v>0.1</v>
      </c>
      <c r="K590" s="6">
        <v>1</v>
      </c>
      <c r="L590" s="6">
        <v>5</v>
      </c>
      <c r="M590" t="s">
        <v>58</v>
      </c>
      <c r="N590" t="s">
        <v>59</v>
      </c>
      <c r="O590" t="s">
        <v>60</v>
      </c>
      <c r="P590" t="str">
        <f t="shared" si="63"/>
        <v>Individual</v>
      </c>
      <c r="Q590" t="str">
        <f t="shared" si="64"/>
        <v>Midlands</v>
      </c>
      <c r="R590" t="str">
        <f>PROPER(TRIM(E590))</f>
        <v>Home &amp; Kitchen</v>
      </c>
      <c r="S590" s="27">
        <f>IF(ISTEXT(B590),DATEVALUE(B590),B590)</f>
        <v>46016</v>
      </c>
      <c r="T590" s="27">
        <f>COUNTIF($A$2:$A$1986,A590)</f>
        <v>1</v>
      </c>
      <c r="U590" s="27" t="str">
        <f t="shared" si="65"/>
        <v>Coffee Maker</v>
      </c>
      <c r="V590" s="27">
        <f t="shared" si="66"/>
        <v>214.137</v>
      </c>
      <c r="W590" s="27">
        <f t="shared" si="67"/>
        <v>139.26</v>
      </c>
      <c r="X590" s="27">
        <f>RawSalesTable3[[#This Row],[Revenue]]-RawSalesTable3[[#This Row],[Total_Cost]]</f>
        <v>74.87700000000001</v>
      </c>
      <c r="Y590" s="28">
        <f>RawSalesTable3[[#This Row],[Profit]]/RawSalesTable3[[#This Row],[Revenue]]</f>
        <v>0.34966867005701963</v>
      </c>
      <c r="Z590" s="27" t="str">
        <f>TEXT(RawSalesTable3[[#This Row],[Order_Date_Clean]],"MMM YYYY")</f>
        <v>Dec 2025</v>
      </c>
      <c r="AA590" s="27"/>
      <c r="AB590" s="27">
        <f t="shared" si="68"/>
        <v>0</v>
      </c>
      <c r="AC590" s="27">
        <f t="shared" si="69"/>
        <v>0</v>
      </c>
    </row>
    <row r="591" spans="1:29">
      <c r="A591" t="s">
        <v>690</v>
      </c>
      <c r="B591" s="3">
        <v>45725</v>
      </c>
      <c r="C591" t="s">
        <v>66</v>
      </c>
      <c r="D591" t="s">
        <v>62</v>
      </c>
      <c r="E591" t="s">
        <v>79</v>
      </c>
      <c r="F591" t="s">
        <v>92</v>
      </c>
      <c r="G591" s="6">
        <v>1</v>
      </c>
      <c r="H591" s="4">
        <v>50.12</v>
      </c>
      <c r="I591" s="4">
        <v>26.28</v>
      </c>
      <c r="J591" s="5">
        <v>0.1</v>
      </c>
      <c r="K591" s="6">
        <v>0</v>
      </c>
      <c r="L591" s="6">
        <v>5</v>
      </c>
      <c r="M591" t="s">
        <v>58</v>
      </c>
      <c r="N591" t="s">
        <v>69</v>
      </c>
      <c r="O591" t="s">
        <v>64</v>
      </c>
      <c r="P591" t="str">
        <f t="shared" si="63"/>
        <v>Individual</v>
      </c>
      <c r="Q591" t="str">
        <f t="shared" si="64"/>
        <v>South</v>
      </c>
      <c r="R591" t="str">
        <f>PROPER(TRIM(E591))</f>
        <v>Electronics</v>
      </c>
      <c r="S591" s="27">
        <f>IF(ISTEXT(B591),DATEVALUE(B591),B591)</f>
        <v>45725</v>
      </c>
      <c r="T591" s="27">
        <f>COUNTIF($A$2:$A$1986,A591)</f>
        <v>1</v>
      </c>
      <c r="U591" s="27" t="str">
        <f t="shared" si="65"/>
        <v>Webcam</v>
      </c>
      <c r="V591" s="27">
        <f t="shared" si="66"/>
        <v>45.107999999999997</v>
      </c>
      <c r="W591" s="27">
        <f t="shared" si="67"/>
        <v>26.28</v>
      </c>
      <c r="X591" s="27">
        <f>RawSalesTable3[[#This Row],[Revenue]]-RawSalesTable3[[#This Row],[Total_Cost]]</f>
        <v>18.827999999999996</v>
      </c>
      <c r="Y591" s="28">
        <f>RawSalesTable3[[#This Row],[Profit]]/RawSalesTable3[[#This Row],[Revenue]]</f>
        <v>0.4173982442138866</v>
      </c>
      <c r="Z591" s="27" t="str">
        <f>TEXT(RawSalesTable3[[#This Row],[Order_Date_Clean]],"MMM YYYY")</f>
        <v>Mar 2025</v>
      </c>
      <c r="AA591" s="27"/>
      <c r="AB591" s="27">
        <f t="shared" si="68"/>
        <v>0</v>
      </c>
      <c r="AC591" s="27">
        <f t="shared" si="69"/>
        <v>0</v>
      </c>
    </row>
    <row r="592" spans="1:29">
      <c r="A592" t="s">
        <v>691</v>
      </c>
      <c r="B592" s="3">
        <v>45722</v>
      </c>
      <c r="C592" t="s">
        <v>82</v>
      </c>
      <c r="D592" t="s">
        <v>55</v>
      </c>
      <c r="E592" t="s">
        <v>67</v>
      </c>
      <c r="F592" t="s">
        <v>68</v>
      </c>
      <c r="G592" s="6">
        <v>3</v>
      </c>
      <c r="H592" s="4">
        <v>39.58</v>
      </c>
      <c r="I592" s="4">
        <v>18.829999999999998</v>
      </c>
      <c r="J592" s="5">
        <v>0</v>
      </c>
      <c r="K592" s="6">
        <v>2</v>
      </c>
      <c r="L592" s="6">
        <v>5</v>
      </c>
      <c r="M592" t="s">
        <v>58</v>
      </c>
      <c r="N592" t="s">
        <v>69</v>
      </c>
      <c r="O592" t="s">
        <v>64</v>
      </c>
      <c r="P592" t="str">
        <f t="shared" si="63"/>
        <v>Small Business</v>
      </c>
      <c r="Q592" t="str">
        <f t="shared" si="64"/>
        <v>Midlands</v>
      </c>
      <c r="R592" t="str">
        <f>PROPER(TRIM(E592))</f>
        <v>Office</v>
      </c>
      <c r="S592" s="27">
        <f>IF(ISTEXT(B592),DATEVALUE(B592),B592)</f>
        <v>45722</v>
      </c>
      <c r="T592" s="27">
        <f>COUNTIF($A$2:$A$1986,A592)</f>
        <v>1</v>
      </c>
      <c r="U592" s="27" t="str">
        <f t="shared" si="65"/>
        <v>Desk Lamp</v>
      </c>
      <c r="V592" s="27">
        <f t="shared" si="66"/>
        <v>118.74</v>
      </c>
      <c r="W592" s="27">
        <f t="shared" si="67"/>
        <v>56.489999999999995</v>
      </c>
      <c r="X592" s="27">
        <f>RawSalesTable3[[#This Row],[Revenue]]-RawSalesTable3[[#This Row],[Total_Cost]]</f>
        <v>62.25</v>
      </c>
      <c r="Y592" s="28">
        <f>RawSalesTable3[[#This Row],[Profit]]/RawSalesTable3[[#This Row],[Revenue]]</f>
        <v>0.52425467407781712</v>
      </c>
      <c r="Z592" s="27" t="str">
        <f>TEXT(RawSalesTable3[[#This Row],[Order_Date_Clean]],"MMM YYYY")</f>
        <v>Mar 2025</v>
      </c>
      <c r="AA592" s="27"/>
      <c r="AB592" s="27">
        <f t="shared" si="68"/>
        <v>0</v>
      </c>
      <c r="AC592" s="27">
        <f t="shared" si="69"/>
        <v>0</v>
      </c>
    </row>
    <row r="593" spans="1:29">
      <c r="A593" t="s">
        <v>692</v>
      </c>
      <c r="B593" s="3">
        <v>45816</v>
      </c>
      <c r="C593" t="s">
        <v>209</v>
      </c>
      <c r="D593" t="s">
        <v>62</v>
      </c>
      <c r="E593" t="s">
        <v>75</v>
      </c>
      <c r="F593" t="s">
        <v>76</v>
      </c>
      <c r="G593" s="6">
        <v>1</v>
      </c>
      <c r="H593" s="4">
        <v>116.52</v>
      </c>
      <c r="I593" s="4">
        <v>75.180000000000007</v>
      </c>
      <c r="J593" s="5">
        <v>0</v>
      </c>
      <c r="K593" s="6">
        <v>5</v>
      </c>
      <c r="L593" s="6">
        <v>4</v>
      </c>
      <c r="M593" t="s">
        <v>58</v>
      </c>
      <c r="N593" t="s">
        <v>59</v>
      </c>
      <c r="O593" t="s">
        <v>64</v>
      </c>
      <c r="P593" t="str">
        <f t="shared" si="63"/>
        <v>Individual</v>
      </c>
      <c r="Q593" t="str">
        <f t="shared" si="64"/>
        <v>Midlands</v>
      </c>
      <c r="R593" t="str">
        <f>PROPER(TRIM(E593))</f>
        <v>Furniture</v>
      </c>
      <c r="S593" s="27">
        <f>IF(ISTEXT(B593),DATEVALUE(B593),B593)</f>
        <v>45816</v>
      </c>
      <c r="T593" s="27">
        <f>COUNTIF($A$2:$A$1986,A593)</f>
        <v>1</v>
      </c>
      <c r="U593" s="27" t="str">
        <f t="shared" si="65"/>
        <v>Bookshelf</v>
      </c>
      <c r="V593" s="27">
        <f t="shared" si="66"/>
        <v>116.52</v>
      </c>
      <c r="W593" s="27">
        <f t="shared" si="67"/>
        <v>75.180000000000007</v>
      </c>
      <c r="X593" s="27">
        <f>RawSalesTable3[[#This Row],[Revenue]]-RawSalesTable3[[#This Row],[Total_Cost]]</f>
        <v>41.339999999999989</v>
      </c>
      <c r="Y593" s="28">
        <f>RawSalesTable3[[#This Row],[Profit]]/RawSalesTable3[[#This Row],[Revenue]]</f>
        <v>0.35478887744593196</v>
      </c>
      <c r="Z593" s="27" t="str">
        <f>TEXT(RawSalesTable3[[#This Row],[Order_Date_Clean]],"MMM YYYY")</f>
        <v>Jun 2025</v>
      </c>
      <c r="AA593" s="27"/>
      <c r="AB593" s="27">
        <f t="shared" si="68"/>
        <v>0</v>
      </c>
      <c r="AC593" s="27">
        <f t="shared" si="69"/>
        <v>0</v>
      </c>
    </row>
    <row r="594" spans="1:29">
      <c r="A594" t="s">
        <v>693</v>
      </c>
      <c r="B594" s="3">
        <v>45696</v>
      </c>
      <c r="C594" t="s">
        <v>66</v>
      </c>
      <c r="D594" t="s">
        <v>55</v>
      </c>
      <c r="E594" t="s">
        <v>79</v>
      </c>
      <c r="F594" t="s">
        <v>80</v>
      </c>
      <c r="G594" s="6">
        <v>1</v>
      </c>
      <c r="H594" s="4">
        <v>77.709999999999994</v>
      </c>
      <c r="I594" s="4">
        <v>43.34</v>
      </c>
      <c r="J594" s="5">
        <v>0.05</v>
      </c>
      <c r="K594" s="6">
        <v>3</v>
      </c>
      <c r="L594" s="6">
        <v>4</v>
      </c>
      <c r="M594" t="s">
        <v>58</v>
      </c>
      <c r="N594" t="s">
        <v>59</v>
      </c>
      <c r="O594" t="s">
        <v>73</v>
      </c>
      <c r="P594" t="str">
        <f t="shared" si="63"/>
        <v>Small Business</v>
      </c>
      <c r="Q594" t="str">
        <f t="shared" si="64"/>
        <v>South</v>
      </c>
      <c r="R594" t="str">
        <f>PROPER(TRIM(E594))</f>
        <v>Electronics</v>
      </c>
      <c r="S594" s="27">
        <f>IF(ISTEXT(B594),DATEVALUE(B594),B594)</f>
        <v>45696</v>
      </c>
      <c r="T594" s="27">
        <f>COUNTIF($A$2:$A$1986,A594)</f>
        <v>1</v>
      </c>
      <c r="U594" s="27" t="str">
        <f t="shared" si="65"/>
        <v>Portable Speaker</v>
      </c>
      <c r="V594" s="27">
        <f t="shared" si="66"/>
        <v>73.824499999999986</v>
      </c>
      <c r="W594" s="27">
        <f t="shared" si="67"/>
        <v>43.34</v>
      </c>
      <c r="X594" s="27">
        <f>RawSalesTable3[[#This Row],[Revenue]]-RawSalesTable3[[#This Row],[Total_Cost]]</f>
        <v>30.484499999999983</v>
      </c>
      <c r="Y594" s="28">
        <f>RawSalesTable3[[#This Row],[Profit]]/RawSalesTable3[[#This Row],[Revenue]]</f>
        <v>0.41293202121246997</v>
      </c>
      <c r="Z594" s="27" t="str">
        <f>TEXT(RawSalesTable3[[#This Row],[Order_Date_Clean]],"MMM YYYY")</f>
        <v>Feb 2025</v>
      </c>
      <c r="AA594" s="27"/>
      <c r="AB594" s="27">
        <f t="shared" si="68"/>
        <v>0</v>
      </c>
      <c r="AC594" s="27">
        <f t="shared" si="69"/>
        <v>0</v>
      </c>
    </row>
    <row r="595" spans="1:29">
      <c r="A595" t="s">
        <v>694</v>
      </c>
      <c r="B595" s="3">
        <v>45699</v>
      </c>
      <c r="C595" t="s">
        <v>66</v>
      </c>
      <c r="D595" t="s">
        <v>55</v>
      </c>
      <c r="E595" t="s">
        <v>67</v>
      </c>
      <c r="F595" t="s">
        <v>107</v>
      </c>
      <c r="G595" s="6">
        <v>4</v>
      </c>
      <c r="H595" s="4">
        <v>45.17</v>
      </c>
      <c r="I595" s="4">
        <v>21.08</v>
      </c>
      <c r="J595" s="5">
        <v>0</v>
      </c>
      <c r="K595" s="6">
        <v>5</v>
      </c>
      <c r="L595" s="6">
        <v>4</v>
      </c>
      <c r="M595" t="s">
        <v>58</v>
      </c>
      <c r="N595" t="s">
        <v>59</v>
      </c>
      <c r="O595" t="s">
        <v>73</v>
      </c>
      <c r="P595" t="str">
        <f t="shared" si="63"/>
        <v>Small Business</v>
      </c>
      <c r="Q595" t="str">
        <f t="shared" si="64"/>
        <v>South</v>
      </c>
      <c r="R595" t="str">
        <f>PROPER(TRIM(E595))</f>
        <v>Office</v>
      </c>
      <c r="S595" s="27">
        <f>IF(ISTEXT(B595),DATEVALUE(B595),B595)</f>
        <v>45699</v>
      </c>
      <c r="T595" s="27">
        <f>COUNTIF($A$2:$A$1986,A595)</f>
        <v>1</v>
      </c>
      <c r="U595" s="27" t="str">
        <f t="shared" si="65"/>
        <v>Laptop Stand</v>
      </c>
      <c r="V595" s="27">
        <f t="shared" si="66"/>
        <v>180.68</v>
      </c>
      <c r="W595" s="27">
        <f t="shared" si="67"/>
        <v>84.32</v>
      </c>
      <c r="X595" s="27">
        <f>RawSalesTable3[[#This Row],[Revenue]]-RawSalesTable3[[#This Row],[Total_Cost]]</f>
        <v>96.360000000000014</v>
      </c>
      <c r="Y595" s="28">
        <f>RawSalesTable3[[#This Row],[Profit]]/RawSalesTable3[[#This Row],[Revenue]]</f>
        <v>0.53331857427496132</v>
      </c>
      <c r="Z595" s="27" t="str">
        <f>TEXT(RawSalesTable3[[#This Row],[Order_Date_Clean]],"MMM YYYY")</f>
        <v>Feb 2025</v>
      </c>
      <c r="AA595" s="27"/>
      <c r="AB595" s="27">
        <f t="shared" si="68"/>
        <v>0</v>
      </c>
      <c r="AC595" s="27">
        <f t="shared" si="69"/>
        <v>0</v>
      </c>
    </row>
    <row r="596" spans="1:29">
      <c r="A596" t="s">
        <v>695</v>
      </c>
      <c r="B596" s="3">
        <v>45872</v>
      </c>
      <c r="C596" t="s">
        <v>82</v>
      </c>
      <c r="D596" t="s">
        <v>62</v>
      </c>
      <c r="E596" t="s">
        <v>67</v>
      </c>
      <c r="F596" t="s">
        <v>107</v>
      </c>
      <c r="G596" s="6">
        <v>2</v>
      </c>
      <c r="H596" s="4">
        <v>44.11</v>
      </c>
      <c r="I596" s="4">
        <v>21.79</v>
      </c>
      <c r="J596" s="5">
        <v>0.1</v>
      </c>
      <c r="K596" s="6">
        <v>0</v>
      </c>
      <c r="L596" s="6">
        <v>4</v>
      </c>
      <c r="M596" t="s">
        <v>58</v>
      </c>
      <c r="N596" t="s">
        <v>69</v>
      </c>
      <c r="O596" t="s">
        <v>60</v>
      </c>
      <c r="P596" t="str">
        <f t="shared" si="63"/>
        <v>Individual</v>
      </c>
      <c r="Q596" t="str">
        <f t="shared" si="64"/>
        <v>Midlands</v>
      </c>
      <c r="R596" t="str">
        <f>PROPER(TRIM(E596))</f>
        <v>Office</v>
      </c>
      <c r="S596" s="27">
        <f>IF(ISTEXT(B596),DATEVALUE(B596),B596)</f>
        <v>45872</v>
      </c>
      <c r="T596" s="27">
        <f>COUNTIF($A$2:$A$1986,A596)</f>
        <v>1</v>
      </c>
      <c r="U596" s="27" t="str">
        <f t="shared" si="65"/>
        <v>Laptop Stand</v>
      </c>
      <c r="V596" s="27">
        <f t="shared" si="66"/>
        <v>79.397999999999996</v>
      </c>
      <c r="W596" s="27">
        <f t="shared" si="67"/>
        <v>43.58</v>
      </c>
      <c r="X596" s="27">
        <f>RawSalesTable3[[#This Row],[Revenue]]-RawSalesTable3[[#This Row],[Total_Cost]]</f>
        <v>35.817999999999998</v>
      </c>
      <c r="Y596" s="28">
        <f>RawSalesTable3[[#This Row],[Profit]]/RawSalesTable3[[#This Row],[Revenue]]</f>
        <v>0.45111967555857829</v>
      </c>
      <c r="Z596" s="27" t="str">
        <f>TEXT(RawSalesTable3[[#This Row],[Order_Date_Clean]],"MMM YYYY")</f>
        <v>Aug 2025</v>
      </c>
      <c r="AA596" s="27"/>
      <c r="AB596" s="27">
        <f t="shared" si="68"/>
        <v>0</v>
      </c>
      <c r="AC596" s="27">
        <f t="shared" si="69"/>
        <v>0</v>
      </c>
    </row>
    <row r="597" spans="1:29">
      <c r="A597" t="s">
        <v>696</v>
      </c>
      <c r="B597" s="3">
        <v>45925</v>
      </c>
      <c r="C597" t="s">
        <v>78</v>
      </c>
      <c r="D597" t="s">
        <v>62</v>
      </c>
      <c r="E597" t="s">
        <v>79</v>
      </c>
      <c r="F597" t="s">
        <v>85</v>
      </c>
      <c r="G597" s="6">
        <v>1</v>
      </c>
      <c r="H597" s="4">
        <v>129.19999999999999</v>
      </c>
      <c r="I597" s="4">
        <v>82.75</v>
      </c>
      <c r="J597" s="5">
        <v>0.1</v>
      </c>
      <c r="K597" s="6">
        <v>0</v>
      </c>
      <c r="L597" s="6">
        <v>4</v>
      </c>
      <c r="M597" t="s">
        <v>58</v>
      </c>
      <c r="N597" t="s">
        <v>69</v>
      </c>
      <c r="O597" t="s">
        <v>60</v>
      </c>
      <c r="P597" t="str">
        <f t="shared" si="63"/>
        <v>Individual</v>
      </c>
      <c r="Q597" t="str">
        <f t="shared" si="64"/>
        <v>London</v>
      </c>
      <c r="R597" t="str">
        <f>PROPER(TRIM(E597))</f>
        <v>Electronics</v>
      </c>
      <c r="S597" s="27">
        <f>IF(ISTEXT(B597),DATEVALUE(B597),B597)</f>
        <v>45925</v>
      </c>
      <c r="T597" s="27">
        <f>COUNTIF($A$2:$A$1986,A597)</f>
        <v>1</v>
      </c>
      <c r="U597" s="27" t="str">
        <f t="shared" si="65"/>
        <v>SmartHome Hub</v>
      </c>
      <c r="V597" s="27">
        <f t="shared" si="66"/>
        <v>116.27999999999999</v>
      </c>
      <c r="W597" s="27">
        <f t="shared" si="67"/>
        <v>82.75</v>
      </c>
      <c r="X597" s="27">
        <f>RawSalesTable3[[#This Row],[Revenue]]-RawSalesTable3[[#This Row],[Total_Cost]]</f>
        <v>33.529999999999987</v>
      </c>
      <c r="Y597" s="28">
        <f>RawSalesTable3[[#This Row],[Profit]]/RawSalesTable3[[#This Row],[Revenue]]</f>
        <v>0.2883556931544547</v>
      </c>
      <c r="Z597" s="27" t="str">
        <f>TEXT(RawSalesTable3[[#This Row],[Order_Date_Clean]],"MMM YYYY")</f>
        <v>Sep 2025</v>
      </c>
      <c r="AA597" s="27"/>
      <c r="AB597" s="27">
        <f t="shared" si="68"/>
        <v>0</v>
      </c>
      <c r="AC597" s="27">
        <f t="shared" si="69"/>
        <v>0</v>
      </c>
    </row>
    <row r="598" spans="1:29">
      <c r="A598" t="s">
        <v>697</v>
      </c>
      <c r="B598" s="3">
        <v>45731</v>
      </c>
      <c r="C598" t="s">
        <v>54</v>
      </c>
      <c r="D598" t="s">
        <v>62</v>
      </c>
      <c r="E598" t="s">
        <v>79</v>
      </c>
      <c r="F598" t="s">
        <v>85</v>
      </c>
      <c r="G598" s="6">
        <v>1</v>
      </c>
      <c r="H598" s="4">
        <v>132.30000000000001</v>
      </c>
      <c r="I598" s="4">
        <v>84.25</v>
      </c>
      <c r="J598" s="5">
        <v>0</v>
      </c>
      <c r="K598" s="6">
        <v>3</v>
      </c>
      <c r="L598" s="6">
        <v>4</v>
      </c>
      <c r="M598" t="s">
        <v>58</v>
      </c>
      <c r="N598" t="s">
        <v>59</v>
      </c>
      <c r="O598" t="s">
        <v>64</v>
      </c>
      <c r="P598" t="str">
        <f t="shared" si="63"/>
        <v>Individual</v>
      </c>
      <c r="Q598" t="str">
        <f t="shared" si="64"/>
        <v>North</v>
      </c>
      <c r="R598" t="str">
        <f>PROPER(TRIM(E598))</f>
        <v>Electronics</v>
      </c>
      <c r="S598" s="27">
        <f>IF(ISTEXT(B598),DATEVALUE(B598),B598)</f>
        <v>45731</v>
      </c>
      <c r="T598" s="27">
        <f>COUNTIF($A$2:$A$1986,A598)</f>
        <v>1</v>
      </c>
      <c r="U598" s="27" t="str">
        <f t="shared" si="65"/>
        <v>SmartHome Hub</v>
      </c>
      <c r="V598" s="27">
        <f t="shared" si="66"/>
        <v>132.30000000000001</v>
      </c>
      <c r="W598" s="27">
        <f t="shared" si="67"/>
        <v>84.25</v>
      </c>
      <c r="X598" s="27">
        <f>RawSalesTable3[[#This Row],[Revenue]]-RawSalesTable3[[#This Row],[Total_Cost]]</f>
        <v>48.050000000000011</v>
      </c>
      <c r="Y598" s="28">
        <f>RawSalesTable3[[#This Row],[Profit]]/RawSalesTable3[[#This Row],[Revenue]]</f>
        <v>0.36318972033257751</v>
      </c>
      <c r="Z598" s="27" t="str">
        <f>TEXT(RawSalesTable3[[#This Row],[Order_Date_Clean]],"MMM YYYY")</f>
        <v>Mar 2025</v>
      </c>
      <c r="AA598" s="27"/>
      <c r="AB598" s="27">
        <f t="shared" si="68"/>
        <v>0</v>
      </c>
      <c r="AC598" s="27">
        <f t="shared" si="69"/>
        <v>0</v>
      </c>
    </row>
    <row r="599" spans="1:29">
      <c r="A599" t="s">
        <v>698</v>
      </c>
      <c r="B599" s="3">
        <v>45986</v>
      </c>
      <c r="C599" t="s">
        <v>78</v>
      </c>
      <c r="D599" t="s">
        <v>62</v>
      </c>
      <c r="E599" t="s">
        <v>67</v>
      </c>
      <c r="F599" t="s">
        <v>94</v>
      </c>
      <c r="G599" s="6">
        <v>1</v>
      </c>
      <c r="H599" s="4">
        <v>34.51</v>
      </c>
      <c r="I599" s="4">
        <v>17.670000000000002</v>
      </c>
      <c r="J599" s="5">
        <v>0.15000000000000002</v>
      </c>
      <c r="K599" s="6">
        <v>5</v>
      </c>
      <c r="L599" s="6">
        <v>4</v>
      </c>
      <c r="M599" t="s">
        <v>58</v>
      </c>
      <c r="N599" t="s">
        <v>59</v>
      </c>
      <c r="O599" t="s">
        <v>64</v>
      </c>
      <c r="P599" t="str">
        <f t="shared" si="63"/>
        <v>Individual</v>
      </c>
      <c r="Q599" t="str">
        <f t="shared" si="64"/>
        <v>London</v>
      </c>
      <c r="R599" t="str">
        <f>PROPER(TRIM(E599))</f>
        <v>Office</v>
      </c>
      <c r="S599" s="27">
        <f>IF(ISTEXT(B599),DATEVALUE(B599),B599)</f>
        <v>45986</v>
      </c>
      <c r="T599" s="27">
        <f>COUNTIF($A$2:$A$1986,A599)</f>
        <v>1</v>
      </c>
      <c r="U599" s="27" t="str">
        <f t="shared" si="65"/>
        <v>Wireless Mouse</v>
      </c>
      <c r="V599" s="27">
        <f t="shared" si="66"/>
        <v>29.333499999999997</v>
      </c>
      <c r="W599" s="27">
        <f t="shared" si="67"/>
        <v>17.670000000000002</v>
      </c>
      <c r="X599" s="27">
        <f>RawSalesTable3[[#This Row],[Revenue]]-RawSalesTable3[[#This Row],[Total_Cost]]</f>
        <v>11.663499999999996</v>
      </c>
      <c r="Y599" s="28">
        <f>RawSalesTable3[[#This Row],[Profit]]/RawSalesTable3[[#This Row],[Revenue]]</f>
        <v>0.39761705899398286</v>
      </c>
      <c r="Z599" s="27" t="str">
        <f>TEXT(RawSalesTable3[[#This Row],[Order_Date_Clean]],"MMM YYYY")</f>
        <v>Nov 2025</v>
      </c>
      <c r="AA599" s="27"/>
      <c r="AB599" s="27">
        <f t="shared" si="68"/>
        <v>0</v>
      </c>
      <c r="AC599" s="27">
        <f t="shared" si="69"/>
        <v>0</v>
      </c>
    </row>
    <row r="600" spans="1:29">
      <c r="A600" t="s">
        <v>699</v>
      </c>
      <c r="B600" s="3">
        <v>45853</v>
      </c>
      <c r="C600" t="s">
        <v>82</v>
      </c>
      <c r="D600" t="s">
        <v>62</v>
      </c>
      <c r="E600" t="s">
        <v>56</v>
      </c>
      <c r="F600" t="s">
        <v>89</v>
      </c>
      <c r="G600" s="6">
        <v>3</v>
      </c>
      <c r="H600" s="4">
        <v>79.099999999999994</v>
      </c>
      <c r="I600" s="4">
        <v>46.42</v>
      </c>
      <c r="J600" s="5">
        <v>0</v>
      </c>
      <c r="K600" s="6">
        <v>3</v>
      </c>
      <c r="L600" s="6">
        <v>4</v>
      </c>
      <c r="M600" t="s">
        <v>58</v>
      </c>
      <c r="N600" t="s">
        <v>59</v>
      </c>
      <c r="O600" t="s">
        <v>60</v>
      </c>
      <c r="P600" t="str">
        <f t="shared" si="63"/>
        <v>Individual</v>
      </c>
      <c r="Q600" t="str">
        <f t="shared" si="64"/>
        <v>Midlands</v>
      </c>
      <c r="R600" t="str">
        <f>PROPER(TRIM(E600))</f>
        <v>Home &amp; Kitchen</v>
      </c>
      <c r="S600" s="27">
        <f>IF(ISTEXT(B600),DATEVALUE(B600),B600)</f>
        <v>45853</v>
      </c>
      <c r="T600" s="27">
        <f>COUNTIF($A$2:$A$1986,A600)</f>
        <v>1</v>
      </c>
      <c r="U600" s="27" t="str">
        <f t="shared" si="65"/>
        <v>Coffee Maker</v>
      </c>
      <c r="V600" s="27">
        <f t="shared" si="66"/>
        <v>237.29999999999998</v>
      </c>
      <c r="W600" s="27">
        <f t="shared" si="67"/>
        <v>139.26</v>
      </c>
      <c r="X600" s="27">
        <f>RawSalesTable3[[#This Row],[Revenue]]-RawSalesTable3[[#This Row],[Total_Cost]]</f>
        <v>98.039999999999992</v>
      </c>
      <c r="Y600" s="28">
        <f>RawSalesTable3[[#This Row],[Profit]]/RawSalesTable3[[#This Row],[Revenue]]</f>
        <v>0.41314791403286977</v>
      </c>
      <c r="Z600" s="27" t="str">
        <f>TEXT(RawSalesTable3[[#This Row],[Order_Date_Clean]],"MMM YYYY")</f>
        <v>Jul 2025</v>
      </c>
      <c r="AA600" s="27"/>
      <c r="AB600" s="27">
        <f t="shared" si="68"/>
        <v>0</v>
      </c>
      <c r="AC600" s="27">
        <f t="shared" si="69"/>
        <v>0</v>
      </c>
    </row>
    <row r="601" spans="1:29">
      <c r="A601" t="s">
        <v>700</v>
      </c>
      <c r="B601" s="3">
        <v>45706</v>
      </c>
      <c r="C601" t="s">
        <v>82</v>
      </c>
      <c r="D601" t="s">
        <v>62</v>
      </c>
      <c r="E601" t="s">
        <v>79</v>
      </c>
      <c r="F601" t="s">
        <v>85</v>
      </c>
      <c r="G601" s="6">
        <v>2</v>
      </c>
      <c r="H601" s="4">
        <v>132.81</v>
      </c>
      <c r="I601" s="4">
        <v>81.8</v>
      </c>
      <c r="J601" s="5">
        <v>0</v>
      </c>
      <c r="K601" s="6">
        <v>3</v>
      </c>
      <c r="L601" s="6">
        <v>4</v>
      </c>
      <c r="M601" t="s">
        <v>58</v>
      </c>
      <c r="N601" t="s">
        <v>87</v>
      </c>
      <c r="O601" t="s">
        <v>64</v>
      </c>
      <c r="P601" t="str">
        <f t="shared" si="63"/>
        <v>Individual</v>
      </c>
      <c r="Q601" t="str">
        <f t="shared" si="64"/>
        <v>Midlands</v>
      </c>
      <c r="R601" t="str">
        <f>PROPER(TRIM(E601))</f>
        <v>Electronics</v>
      </c>
      <c r="S601" s="27">
        <f>IF(ISTEXT(B601),DATEVALUE(B601),B601)</f>
        <v>45706</v>
      </c>
      <c r="T601" s="27">
        <f>COUNTIF($A$2:$A$1986,A601)</f>
        <v>1</v>
      </c>
      <c r="U601" s="27" t="str">
        <f t="shared" si="65"/>
        <v>SmartHome Hub</v>
      </c>
      <c r="V601" s="27">
        <f t="shared" si="66"/>
        <v>265.62</v>
      </c>
      <c r="W601" s="27">
        <f t="shared" si="67"/>
        <v>163.6</v>
      </c>
      <c r="X601" s="27">
        <f>RawSalesTable3[[#This Row],[Revenue]]-RawSalesTable3[[#This Row],[Total_Cost]]</f>
        <v>102.02000000000001</v>
      </c>
      <c r="Y601" s="28">
        <f>RawSalesTable3[[#This Row],[Profit]]/RawSalesTable3[[#This Row],[Revenue]]</f>
        <v>0.38408252390633241</v>
      </c>
      <c r="Z601" s="27" t="str">
        <f>TEXT(RawSalesTable3[[#This Row],[Order_Date_Clean]],"MMM YYYY")</f>
        <v>Feb 2025</v>
      </c>
      <c r="AA601" s="27"/>
      <c r="AB601" s="27">
        <f t="shared" si="68"/>
        <v>0</v>
      </c>
      <c r="AC601" s="27">
        <f t="shared" si="69"/>
        <v>0</v>
      </c>
    </row>
    <row r="602" spans="1:29">
      <c r="A602" t="s">
        <v>701</v>
      </c>
      <c r="B602" s="3">
        <v>45983</v>
      </c>
      <c r="C602" t="s">
        <v>82</v>
      </c>
      <c r="D602" t="s">
        <v>62</v>
      </c>
      <c r="E602" t="s">
        <v>67</v>
      </c>
      <c r="F602" t="s">
        <v>94</v>
      </c>
      <c r="G602" s="6">
        <v>1</v>
      </c>
      <c r="H602" s="4">
        <v>34.32</v>
      </c>
      <c r="I602" s="4">
        <v>16.79</v>
      </c>
      <c r="J602" s="5">
        <v>0.15000000000000002</v>
      </c>
      <c r="K602" s="6">
        <v>0</v>
      </c>
      <c r="L602" s="6">
        <v>5</v>
      </c>
      <c r="M602" t="s">
        <v>58</v>
      </c>
      <c r="N602" t="s">
        <v>69</v>
      </c>
      <c r="O602" t="s">
        <v>73</v>
      </c>
      <c r="P602" t="str">
        <f t="shared" si="63"/>
        <v>Individual</v>
      </c>
      <c r="Q602" t="str">
        <f t="shared" si="64"/>
        <v>Midlands</v>
      </c>
      <c r="R602" t="str">
        <f>PROPER(TRIM(E602))</f>
        <v>Office</v>
      </c>
      <c r="S602" s="27">
        <f>IF(ISTEXT(B602),DATEVALUE(B602),B602)</f>
        <v>45983</v>
      </c>
      <c r="T602" s="27">
        <f>COUNTIF($A$2:$A$1986,A602)</f>
        <v>1</v>
      </c>
      <c r="U602" s="27" t="str">
        <f t="shared" si="65"/>
        <v>Wireless Mouse</v>
      </c>
      <c r="V602" s="27">
        <f t="shared" si="66"/>
        <v>29.172000000000001</v>
      </c>
      <c r="W602" s="27">
        <f t="shared" si="67"/>
        <v>16.79</v>
      </c>
      <c r="X602" s="27">
        <f>RawSalesTable3[[#This Row],[Revenue]]-RawSalesTable3[[#This Row],[Total_Cost]]</f>
        <v>12.382000000000001</v>
      </c>
      <c r="Y602" s="28">
        <f>RawSalesTable3[[#This Row],[Profit]]/RawSalesTable3[[#This Row],[Revenue]]</f>
        <v>0.42444810091868918</v>
      </c>
      <c r="Z602" s="27" t="str">
        <f>TEXT(RawSalesTable3[[#This Row],[Order_Date_Clean]],"MMM YYYY")</f>
        <v>Nov 2025</v>
      </c>
      <c r="AA602" s="27"/>
      <c r="AB602" s="27">
        <f t="shared" si="68"/>
        <v>0</v>
      </c>
      <c r="AC602" s="27">
        <f t="shared" si="69"/>
        <v>0</v>
      </c>
    </row>
    <row r="603" spans="1:29">
      <c r="A603" t="s">
        <v>702</v>
      </c>
      <c r="B603" s="3">
        <v>45981</v>
      </c>
      <c r="C603" t="s">
        <v>82</v>
      </c>
      <c r="D603" t="s">
        <v>129</v>
      </c>
      <c r="E603" t="s">
        <v>79</v>
      </c>
      <c r="F603" t="s">
        <v>92</v>
      </c>
      <c r="G603" s="6">
        <v>6</v>
      </c>
      <c r="H603" s="4">
        <v>50.61</v>
      </c>
      <c r="I603" s="4">
        <v>26.37</v>
      </c>
      <c r="J603" s="5">
        <v>0.2</v>
      </c>
      <c r="K603" s="6">
        <v>4</v>
      </c>
      <c r="L603" s="6">
        <v>4</v>
      </c>
      <c r="M603" t="s">
        <v>58</v>
      </c>
      <c r="N603" t="s">
        <v>59</v>
      </c>
      <c r="O603" t="s">
        <v>73</v>
      </c>
      <c r="P603" t="str">
        <f t="shared" si="63"/>
        <v>Corporate</v>
      </c>
      <c r="Q603" t="str">
        <f t="shared" si="64"/>
        <v>Midlands</v>
      </c>
      <c r="R603" t="str">
        <f>PROPER(TRIM(E603))</f>
        <v>Electronics</v>
      </c>
      <c r="S603" s="27">
        <f>IF(ISTEXT(B603),DATEVALUE(B603),B603)</f>
        <v>45981</v>
      </c>
      <c r="T603" s="27">
        <f>COUNTIF($A$2:$A$1986,A603)</f>
        <v>1</v>
      </c>
      <c r="U603" s="27" t="str">
        <f t="shared" si="65"/>
        <v>Webcam</v>
      </c>
      <c r="V603" s="27">
        <f t="shared" si="66"/>
        <v>242.928</v>
      </c>
      <c r="W603" s="27">
        <f t="shared" si="67"/>
        <v>158.22</v>
      </c>
      <c r="X603" s="27">
        <f>RawSalesTable3[[#This Row],[Revenue]]-RawSalesTable3[[#This Row],[Total_Cost]]</f>
        <v>84.707999999999998</v>
      </c>
      <c r="Y603" s="28">
        <f>RawSalesTable3[[#This Row],[Profit]]/RawSalesTable3[[#This Row],[Revenue]]</f>
        <v>0.34869590989922938</v>
      </c>
      <c r="Z603" s="27" t="str">
        <f>TEXT(RawSalesTable3[[#This Row],[Order_Date_Clean]],"MMM YYYY")</f>
        <v>Nov 2025</v>
      </c>
      <c r="AA603" s="27"/>
      <c r="AB603" s="27">
        <f t="shared" si="68"/>
        <v>0</v>
      </c>
      <c r="AC603" s="27">
        <f t="shared" si="69"/>
        <v>0</v>
      </c>
    </row>
    <row r="604" spans="1:29">
      <c r="A604" t="s">
        <v>703</v>
      </c>
      <c r="B604" s="3">
        <v>45748</v>
      </c>
      <c r="C604" t="s">
        <v>66</v>
      </c>
      <c r="D604" t="s">
        <v>62</v>
      </c>
      <c r="E604" t="s">
        <v>56</v>
      </c>
      <c r="F604" t="s">
        <v>83</v>
      </c>
      <c r="G604" s="6">
        <v>1</v>
      </c>
      <c r="H604" s="4">
        <v>63.94</v>
      </c>
      <c r="I604" s="4">
        <v>35.65</v>
      </c>
      <c r="J604" s="5">
        <v>0.15000000000000002</v>
      </c>
      <c r="K604" s="6">
        <v>4</v>
      </c>
      <c r="L604" s="6">
        <v>4</v>
      </c>
      <c r="M604" t="s">
        <v>58</v>
      </c>
      <c r="N604" t="s">
        <v>87</v>
      </c>
      <c r="O604" t="s">
        <v>64</v>
      </c>
      <c r="P604" t="str">
        <f t="shared" si="63"/>
        <v>Individual</v>
      </c>
      <c r="Q604" t="str">
        <f t="shared" si="64"/>
        <v>South</v>
      </c>
      <c r="R604" t="str">
        <f>PROPER(TRIM(E604))</f>
        <v>Home &amp; Kitchen</v>
      </c>
      <c r="S604" s="27">
        <f>IF(ISTEXT(B604),DATEVALUE(B604),B604)</f>
        <v>45748</v>
      </c>
      <c r="T604" s="27">
        <f>COUNTIF($A$2:$A$1986,A604)</f>
        <v>1</v>
      </c>
      <c r="U604" s="27" t="str">
        <f t="shared" si="65"/>
        <v>Blender</v>
      </c>
      <c r="V604" s="27">
        <f t="shared" si="66"/>
        <v>54.348999999999997</v>
      </c>
      <c r="W604" s="27">
        <f t="shared" si="67"/>
        <v>35.65</v>
      </c>
      <c r="X604" s="27">
        <f>RawSalesTable3[[#This Row],[Revenue]]-RawSalesTable3[[#This Row],[Total_Cost]]</f>
        <v>18.698999999999998</v>
      </c>
      <c r="Y604" s="28">
        <f>RawSalesTable3[[#This Row],[Profit]]/RawSalesTable3[[#This Row],[Revenue]]</f>
        <v>0.34405416842996189</v>
      </c>
      <c r="Z604" s="27" t="str">
        <f>TEXT(RawSalesTable3[[#This Row],[Order_Date_Clean]],"MMM YYYY")</f>
        <v>Apr 2025</v>
      </c>
      <c r="AA604" s="27"/>
      <c r="AB604" s="27">
        <f t="shared" si="68"/>
        <v>0</v>
      </c>
      <c r="AC604" s="27">
        <f t="shared" si="69"/>
        <v>0</v>
      </c>
    </row>
    <row r="605" spans="1:29">
      <c r="A605" t="s">
        <v>704</v>
      </c>
      <c r="B605" s="3">
        <v>45940</v>
      </c>
      <c r="C605" t="s">
        <v>78</v>
      </c>
      <c r="D605" t="s">
        <v>55</v>
      </c>
      <c r="E605" t="s">
        <v>67</v>
      </c>
      <c r="F605" t="s">
        <v>107</v>
      </c>
      <c r="G605" s="6">
        <v>3</v>
      </c>
      <c r="H605" s="4">
        <v>45.08</v>
      </c>
      <c r="I605" s="4">
        <v>20.66</v>
      </c>
      <c r="J605" s="5">
        <v>0.1</v>
      </c>
      <c r="K605" s="6">
        <v>3</v>
      </c>
      <c r="L605" s="6">
        <v>4</v>
      </c>
      <c r="M605" t="s">
        <v>126</v>
      </c>
      <c r="N605" t="s">
        <v>59</v>
      </c>
      <c r="O605" t="s">
        <v>64</v>
      </c>
      <c r="P605" t="str">
        <f t="shared" si="63"/>
        <v>Small Business</v>
      </c>
      <c r="Q605" t="str">
        <f t="shared" si="64"/>
        <v>London</v>
      </c>
      <c r="R605" t="str">
        <f>PROPER(TRIM(E605))</f>
        <v>Office</v>
      </c>
      <c r="S605" s="27">
        <f>IF(ISTEXT(B605),DATEVALUE(B605),B605)</f>
        <v>45940</v>
      </c>
      <c r="T605" s="27">
        <f>COUNTIF($A$2:$A$1986,A605)</f>
        <v>1</v>
      </c>
      <c r="U605" s="27" t="str">
        <f t="shared" si="65"/>
        <v>Laptop Stand</v>
      </c>
      <c r="V605" s="27">
        <f t="shared" si="66"/>
        <v>121.71600000000001</v>
      </c>
      <c r="W605" s="27">
        <f t="shared" si="67"/>
        <v>61.980000000000004</v>
      </c>
      <c r="X605" s="27">
        <f>RawSalesTable3[[#This Row],[Revenue]]-RawSalesTable3[[#This Row],[Total_Cost]]</f>
        <v>59.736000000000004</v>
      </c>
      <c r="Y605" s="28">
        <f>RawSalesTable3[[#This Row],[Profit]]/RawSalesTable3[[#This Row],[Revenue]]</f>
        <v>0.49078181997436654</v>
      </c>
      <c r="Z605" s="27" t="str">
        <f>TEXT(RawSalesTable3[[#This Row],[Order_Date_Clean]],"MMM YYYY")</f>
        <v>Oct 2025</v>
      </c>
      <c r="AA605" s="27"/>
      <c r="AB605" s="27">
        <f t="shared" si="68"/>
        <v>0</v>
      </c>
      <c r="AC605" s="27">
        <f t="shared" si="69"/>
        <v>0</v>
      </c>
    </row>
    <row r="606" spans="1:29">
      <c r="A606" t="s">
        <v>705</v>
      </c>
      <c r="B606" s="3">
        <v>45915</v>
      </c>
      <c r="C606" t="s">
        <v>82</v>
      </c>
      <c r="D606" t="s">
        <v>62</v>
      </c>
      <c r="E606" t="s">
        <v>67</v>
      </c>
      <c r="F606" t="s">
        <v>68</v>
      </c>
      <c r="G606" s="6">
        <v>1</v>
      </c>
      <c r="H606" s="4">
        <v>38.82</v>
      </c>
      <c r="I606" s="4">
        <v>19.350000000000001</v>
      </c>
      <c r="J606" s="5">
        <v>0</v>
      </c>
      <c r="K606" s="6">
        <v>0</v>
      </c>
      <c r="L606" s="6">
        <v>4</v>
      </c>
      <c r="M606" t="s">
        <v>58</v>
      </c>
      <c r="N606" t="s">
        <v>69</v>
      </c>
      <c r="O606" t="s">
        <v>64</v>
      </c>
      <c r="P606" t="str">
        <f t="shared" si="63"/>
        <v>Individual</v>
      </c>
      <c r="Q606" t="str">
        <f t="shared" si="64"/>
        <v>Midlands</v>
      </c>
      <c r="R606" t="str">
        <f>PROPER(TRIM(E606))</f>
        <v>Office</v>
      </c>
      <c r="S606" s="27">
        <f>IF(ISTEXT(B606),DATEVALUE(B606),B606)</f>
        <v>45915</v>
      </c>
      <c r="T606" s="27">
        <f>COUNTIF($A$2:$A$1986,A606)</f>
        <v>1</v>
      </c>
      <c r="U606" s="27" t="str">
        <f t="shared" si="65"/>
        <v>Desk Lamp</v>
      </c>
      <c r="V606" s="27">
        <f t="shared" si="66"/>
        <v>38.82</v>
      </c>
      <c r="W606" s="27">
        <f t="shared" si="67"/>
        <v>19.350000000000001</v>
      </c>
      <c r="X606" s="27">
        <f>RawSalesTable3[[#This Row],[Revenue]]-RawSalesTable3[[#This Row],[Total_Cost]]</f>
        <v>19.47</v>
      </c>
      <c r="Y606" s="28">
        <f>RawSalesTable3[[#This Row],[Profit]]/RawSalesTable3[[#This Row],[Revenue]]</f>
        <v>0.50154559505409579</v>
      </c>
      <c r="Z606" s="27" t="str">
        <f>TEXT(RawSalesTable3[[#This Row],[Order_Date_Clean]],"MMM YYYY")</f>
        <v>Sep 2025</v>
      </c>
      <c r="AA606" s="27"/>
      <c r="AB606" s="27">
        <f t="shared" si="68"/>
        <v>0</v>
      </c>
      <c r="AC606" s="27">
        <f t="shared" si="69"/>
        <v>0</v>
      </c>
    </row>
    <row r="607" spans="1:29">
      <c r="A607" t="s">
        <v>706</v>
      </c>
      <c r="B607" s="3">
        <v>46013</v>
      </c>
      <c r="C607" t="s">
        <v>66</v>
      </c>
      <c r="D607" t="s">
        <v>62</v>
      </c>
      <c r="E607" t="s">
        <v>75</v>
      </c>
      <c r="F607" t="s">
        <v>97</v>
      </c>
      <c r="G607" s="6">
        <v>1</v>
      </c>
      <c r="H607" s="4">
        <v>91.58</v>
      </c>
      <c r="I607" s="4">
        <v>52.88</v>
      </c>
      <c r="J607" s="5">
        <v>0.1</v>
      </c>
      <c r="K607" s="6">
        <v>9</v>
      </c>
      <c r="L607" s="6">
        <v>3</v>
      </c>
      <c r="M607" t="s">
        <v>58</v>
      </c>
      <c r="N607" t="s">
        <v>59</v>
      </c>
      <c r="O607" t="s">
        <v>73</v>
      </c>
      <c r="P607" t="str">
        <f t="shared" si="63"/>
        <v>Individual</v>
      </c>
      <c r="Q607" t="str">
        <f t="shared" si="64"/>
        <v>South</v>
      </c>
      <c r="R607" t="str">
        <f>PROPER(TRIM(E607))</f>
        <v>Furniture</v>
      </c>
      <c r="S607" s="27">
        <f>IF(ISTEXT(B607),DATEVALUE(B607),B607)</f>
        <v>46013</v>
      </c>
      <c r="T607" s="27">
        <f>COUNTIF($A$2:$A$1986,A607)</f>
        <v>1</v>
      </c>
      <c r="U607" s="27" t="str">
        <f t="shared" si="65"/>
        <v>Side Table</v>
      </c>
      <c r="V607" s="27">
        <f t="shared" si="66"/>
        <v>82.421999999999997</v>
      </c>
      <c r="W607" s="27">
        <f t="shared" si="67"/>
        <v>52.88</v>
      </c>
      <c r="X607" s="27">
        <f>RawSalesTable3[[#This Row],[Revenue]]-RawSalesTable3[[#This Row],[Total_Cost]]</f>
        <v>29.541999999999994</v>
      </c>
      <c r="Y607" s="28">
        <f>RawSalesTable3[[#This Row],[Profit]]/RawSalesTable3[[#This Row],[Revenue]]</f>
        <v>0.35842372182184362</v>
      </c>
      <c r="Z607" s="27" t="str">
        <f>TEXT(RawSalesTable3[[#This Row],[Order_Date_Clean]],"MMM YYYY")</f>
        <v>Dec 2025</v>
      </c>
      <c r="AA607" s="27"/>
      <c r="AB607" s="27">
        <f t="shared" si="68"/>
        <v>0</v>
      </c>
      <c r="AC607" s="27">
        <f t="shared" si="69"/>
        <v>0</v>
      </c>
    </row>
    <row r="608" spans="1:29">
      <c r="A608" t="s">
        <v>707</v>
      </c>
      <c r="B608" s="3">
        <v>45857</v>
      </c>
      <c r="C608" t="s">
        <v>78</v>
      </c>
      <c r="D608" t="s">
        <v>55</v>
      </c>
      <c r="E608" t="s">
        <v>67</v>
      </c>
      <c r="F608" t="s">
        <v>71</v>
      </c>
      <c r="G608" s="6">
        <v>3</v>
      </c>
      <c r="H608" s="4">
        <v>69.680000000000007</v>
      </c>
      <c r="I608" s="4">
        <v>37.39</v>
      </c>
      <c r="J608" s="5">
        <v>0.05</v>
      </c>
      <c r="K608" s="6">
        <v>5</v>
      </c>
      <c r="L608" s="6">
        <v>3</v>
      </c>
      <c r="M608" t="s">
        <v>126</v>
      </c>
      <c r="N608" t="s">
        <v>59</v>
      </c>
      <c r="O608" t="s">
        <v>64</v>
      </c>
      <c r="P608" t="str">
        <f t="shared" si="63"/>
        <v>Small Business</v>
      </c>
      <c r="Q608" t="str">
        <f t="shared" si="64"/>
        <v>London</v>
      </c>
      <c r="R608" t="str">
        <f>PROPER(TRIM(E608))</f>
        <v>Office</v>
      </c>
      <c r="S608" s="27">
        <f>IF(ISTEXT(B608),DATEVALUE(B608),B608)</f>
        <v>45857</v>
      </c>
      <c r="T608" s="27">
        <f>COUNTIF($A$2:$A$1986,A608)</f>
        <v>1</v>
      </c>
      <c r="U608" s="27" t="str">
        <f t="shared" si="65"/>
        <v>Ergonomic Keyboard</v>
      </c>
      <c r="V608" s="27">
        <f t="shared" si="66"/>
        <v>198.58800000000002</v>
      </c>
      <c r="W608" s="27">
        <f t="shared" si="67"/>
        <v>112.17</v>
      </c>
      <c r="X608" s="27">
        <f>RawSalesTable3[[#This Row],[Revenue]]-RawSalesTable3[[#This Row],[Total_Cost]]</f>
        <v>86.418000000000021</v>
      </c>
      <c r="Y608" s="28">
        <f>RawSalesTable3[[#This Row],[Profit]]/RawSalesTable3[[#This Row],[Revenue]]</f>
        <v>0.4351622454528975</v>
      </c>
      <c r="Z608" s="27" t="str">
        <f>TEXT(RawSalesTable3[[#This Row],[Order_Date_Clean]],"MMM YYYY")</f>
        <v>Jul 2025</v>
      </c>
      <c r="AA608" s="27"/>
      <c r="AB608" s="27">
        <f t="shared" si="68"/>
        <v>0</v>
      </c>
      <c r="AC608" s="27">
        <f t="shared" si="69"/>
        <v>0</v>
      </c>
    </row>
    <row r="609" spans="1:29">
      <c r="A609" t="s">
        <v>708</v>
      </c>
      <c r="B609" s="3">
        <v>45887</v>
      </c>
      <c r="C609" t="s">
        <v>82</v>
      </c>
      <c r="D609" t="s">
        <v>62</v>
      </c>
      <c r="E609" t="s">
        <v>79</v>
      </c>
      <c r="F609" t="s">
        <v>80</v>
      </c>
      <c r="G609" s="6">
        <v>2</v>
      </c>
      <c r="H609" s="4">
        <v>73.17</v>
      </c>
      <c r="I609" s="4">
        <v>42.25</v>
      </c>
      <c r="J609" s="5">
        <v>0.05</v>
      </c>
      <c r="K609" s="6">
        <v>1</v>
      </c>
      <c r="L609" s="6">
        <v>4</v>
      </c>
      <c r="M609" t="s">
        <v>58</v>
      </c>
      <c r="N609" t="s">
        <v>87</v>
      </c>
      <c r="O609" t="s">
        <v>60</v>
      </c>
      <c r="P609" t="str">
        <f t="shared" si="63"/>
        <v>Individual</v>
      </c>
      <c r="Q609" t="str">
        <f t="shared" si="64"/>
        <v>Midlands</v>
      </c>
      <c r="R609" t="str">
        <f>PROPER(TRIM(E609))</f>
        <v>Electronics</v>
      </c>
      <c r="S609" s="27">
        <f>IF(ISTEXT(B609),DATEVALUE(B609),B609)</f>
        <v>45887</v>
      </c>
      <c r="T609" s="27">
        <f>COUNTIF($A$2:$A$1986,A609)</f>
        <v>1</v>
      </c>
      <c r="U609" s="27" t="str">
        <f t="shared" si="65"/>
        <v>Portable Speaker</v>
      </c>
      <c r="V609" s="27">
        <f t="shared" si="66"/>
        <v>139.023</v>
      </c>
      <c r="W609" s="27">
        <f t="shared" si="67"/>
        <v>84.5</v>
      </c>
      <c r="X609" s="27">
        <f>RawSalesTable3[[#This Row],[Revenue]]-RawSalesTable3[[#This Row],[Total_Cost]]</f>
        <v>54.522999999999996</v>
      </c>
      <c r="Y609" s="28">
        <f>RawSalesTable3[[#This Row],[Profit]]/RawSalesTable3[[#This Row],[Revenue]]</f>
        <v>0.39218690432518361</v>
      </c>
      <c r="Z609" s="27" t="str">
        <f>TEXT(RawSalesTable3[[#This Row],[Order_Date_Clean]],"MMM YYYY")</f>
        <v>Aug 2025</v>
      </c>
      <c r="AA609" s="27"/>
      <c r="AB609" s="27">
        <f t="shared" si="68"/>
        <v>0</v>
      </c>
      <c r="AC609" s="27">
        <f t="shared" si="69"/>
        <v>0</v>
      </c>
    </row>
    <row r="610" spans="1:29">
      <c r="A610" t="s">
        <v>709</v>
      </c>
      <c r="B610" s="3">
        <v>45894</v>
      </c>
      <c r="C610" t="s">
        <v>82</v>
      </c>
      <c r="D610" t="s">
        <v>55</v>
      </c>
      <c r="E610" t="s">
        <v>67</v>
      </c>
      <c r="F610" t="s">
        <v>71</v>
      </c>
      <c r="G610" s="6">
        <v>3</v>
      </c>
      <c r="H610" s="4">
        <v>69.69</v>
      </c>
      <c r="I610" s="4">
        <v>39.78</v>
      </c>
      <c r="J610" s="5">
        <v>0</v>
      </c>
      <c r="K610" s="6">
        <v>0</v>
      </c>
      <c r="L610" s="6">
        <v>4</v>
      </c>
      <c r="M610" t="s">
        <v>58</v>
      </c>
      <c r="N610" t="s">
        <v>69</v>
      </c>
      <c r="O610" t="s">
        <v>64</v>
      </c>
      <c r="P610" t="str">
        <f t="shared" si="63"/>
        <v>Small Business</v>
      </c>
      <c r="Q610" t="str">
        <f t="shared" si="64"/>
        <v>Midlands</v>
      </c>
      <c r="R610" t="str">
        <f>PROPER(TRIM(E610))</f>
        <v>Office</v>
      </c>
      <c r="S610" s="27">
        <f>IF(ISTEXT(B610),DATEVALUE(B610),B610)</f>
        <v>45894</v>
      </c>
      <c r="T610" s="27">
        <f>COUNTIF($A$2:$A$1986,A610)</f>
        <v>1</v>
      </c>
      <c r="U610" s="27" t="str">
        <f t="shared" si="65"/>
        <v>Ergonomic Keyboard</v>
      </c>
      <c r="V610" s="27">
        <f t="shared" si="66"/>
        <v>209.07</v>
      </c>
      <c r="W610" s="27">
        <f t="shared" si="67"/>
        <v>119.34</v>
      </c>
      <c r="X610" s="27">
        <f>RawSalesTable3[[#This Row],[Revenue]]-RawSalesTable3[[#This Row],[Total_Cost]]</f>
        <v>89.72999999999999</v>
      </c>
      <c r="Y610" s="28">
        <f>RawSalesTable3[[#This Row],[Profit]]/RawSalesTable3[[#This Row],[Revenue]]</f>
        <v>0.4291863969005596</v>
      </c>
      <c r="Z610" s="27" t="str">
        <f>TEXT(RawSalesTable3[[#This Row],[Order_Date_Clean]],"MMM YYYY")</f>
        <v>Aug 2025</v>
      </c>
      <c r="AA610" s="27"/>
      <c r="AB610" s="27">
        <f t="shared" si="68"/>
        <v>0</v>
      </c>
      <c r="AC610" s="27">
        <f t="shared" si="69"/>
        <v>0</v>
      </c>
    </row>
    <row r="611" spans="1:29">
      <c r="A611" t="s">
        <v>710</v>
      </c>
      <c r="B611" s="3">
        <v>46004</v>
      </c>
      <c r="C611" t="s">
        <v>82</v>
      </c>
      <c r="D611" t="s">
        <v>62</v>
      </c>
      <c r="E611" t="s">
        <v>56</v>
      </c>
      <c r="F611" t="s">
        <v>89</v>
      </c>
      <c r="G611" s="6">
        <v>1</v>
      </c>
      <c r="H611" s="4">
        <v>78.38</v>
      </c>
      <c r="I611" s="4">
        <v>45.88</v>
      </c>
      <c r="J611" s="5">
        <v>0.05</v>
      </c>
      <c r="K611" s="6">
        <v>6</v>
      </c>
      <c r="L611" s="6">
        <v>3</v>
      </c>
      <c r="M611" t="s">
        <v>58</v>
      </c>
      <c r="N611" t="s">
        <v>59</v>
      </c>
      <c r="O611" t="s">
        <v>60</v>
      </c>
      <c r="P611" t="str">
        <f t="shared" si="63"/>
        <v>Individual</v>
      </c>
      <c r="Q611" t="str">
        <f t="shared" si="64"/>
        <v>Midlands</v>
      </c>
      <c r="R611" t="str">
        <f>PROPER(TRIM(E611))</f>
        <v>Home &amp; Kitchen</v>
      </c>
      <c r="S611" s="27">
        <f>IF(ISTEXT(B611),DATEVALUE(B611),B611)</f>
        <v>46004</v>
      </c>
      <c r="T611" s="27">
        <f>COUNTIF($A$2:$A$1986,A611)</f>
        <v>1</v>
      </c>
      <c r="U611" s="27" t="str">
        <f t="shared" si="65"/>
        <v>Coffee Maker</v>
      </c>
      <c r="V611" s="27">
        <f t="shared" si="66"/>
        <v>74.460999999999999</v>
      </c>
      <c r="W611" s="27">
        <f t="shared" si="67"/>
        <v>45.88</v>
      </c>
      <c r="X611" s="27">
        <f>RawSalesTable3[[#This Row],[Revenue]]-RawSalesTable3[[#This Row],[Total_Cost]]</f>
        <v>28.580999999999996</v>
      </c>
      <c r="Y611" s="28">
        <f>RawSalesTable3[[#This Row],[Profit]]/RawSalesTable3[[#This Row],[Revenue]]</f>
        <v>0.38383851949342607</v>
      </c>
      <c r="Z611" s="27" t="str">
        <f>TEXT(RawSalesTable3[[#This Row],[Order_Date_Clean]],"MMM YYYY")</f>
        <v>Dec 2025</v>
      </c>
      <c r="AA611" s="27"/>
      <c r="AB611" s="27">
        <f t="shared" si="68"/>
        <v>0</v>
      </c>
      <c r="AC611" s="27">
        <f t="shared" si="69"/>
        <v>0</v>
      </c>
    </row>
    <row r="612" spans="1:29">
      <c r="A612" t="s">
        <v>711</v>
      </c>
      <c r="B612" s="3">
        <v>45861</v>
      </c>
      <c r="C612" t="s">
        <v>82</v>
      </c>
      <c r="D612" t="s">
        <v>55</v>
      </c>
      <c r="E612" t="s">
        <v>79</v>
      </c>
      <c r="F612" t="s">
        <v>115</v>
      </c>
      <c r="G612" s="6">
        <v>3</v>
      </c>
      <c r="H612" s="4">
        <v>60.33</v>
      </c>
      <c r="I612" s="4">
        <v>33.11</v>
      </c>
      <c r="J612" s="5">
        <v>0</v>
      </c>
      <c r="K612" s="6">
        <v>0</v>
      </c>
      <c r="L612" s="6">
        <v>4</v>
      </c>
      <c r="M612" t="s">
        <v>58</v>
      </c>
      <c r="N612" t="s">
        <v>69</v>
      </c>
      <c r="O612" t="s">
        <v>60</v>
      </c>
      <c r="P612" t="str">
        <f t="shared" si="63"/>
        <v>Small Business</v>
      </c>
      <c r="Q612" t="str">
        <f t="shared" si="64"/>
        <v>Midlands</v>
      </c>
      <c r="R612" t="str">
        <f>PROPER(TRIM(E612))</f>
        <v>Electronics</v>
      </c>
      <c r="S612" s="27">
        <f>IF(ISTEXT(B612),DATEVALUE(B612),B612)</f>
        <v>45861</v>
      </c>
      <c r="T612" s="27">
        <f>COUNTIF($A$2:$A$1986,A612)</f>
        <v>1</v>
      </c>
      <c r="U612" s="27" t="str">
        <f t="shared" si="65"/>
        <v>Wireless Headset</v>
      </c>
      <c r="V612" s="27">
        <f t="shared" si="66"/>
        <v>180.99</v>
      </c>
      <c r="W612" s="27">
        <f t="shared" si="67"/>
        <v>99.33</v>
      </c>
      <c r="X612" s="27">
        <f>RawSalesTable3[[#This Row],[Revenue]]-RawSalesTable3[[#This Row],[Total_Cost]]</f>
        <v>81.660000000000011</v>
      </c>
      <c r="Y612" s="28">
        <f>RawSalesTable3[[#This Row],[Profit]]/RawSalesTable3[[#This Row],[Revenue]]</f>
        <v>0.45118514835073764</v>
      </c>
      <c r="Z612" s="27" t="str">
        <f>TEXT(RawSalesTable3[[#This Row],[Order_Date_Clean]],"MMM YYYY")</f>
        <v>Jul 2025</v>
      </c>
      <c r="AA612" s="27"/>
      <c r="AB612" s="27">
        <f t="shared" si="68"/>
        <v>0</v>
      </c>
      <c r="AC612" s="27">
        <f t="shared" si="69"/>
        <v>0</v>
      </c>
    </row>
    <row r="613" spans="1:29">
      <c r="A613" t="s">
        <v>712</v>
      </c>
      <c r="B613" s="3">
        <v>45881</v>
      </c>
      <c r="C613" t="s">
        <v>66</v>
      </c>
      <c r="D613" t="s">
        <v>62</v>
      </c>
      <c r="E613" t="s">
        <v>75</v>
      </c>
      <c r="F613" t="s">
        <v>76</v>
      </c>
      <c r="G613" s="6">
        <v>2</v>
      </c>
      <c r="H613" s="4">
        <v>116.52</v>
      </c>
      <c r="I613" s="4">
        <v>70.73</v>
      </c>
      <c r="J613" s="5">
        <v>0.05</v>
      </c>
      <c r="K613" s="6">
        <v>4</v>
      </c>
      <c r="L613" s="6">
        <v>4</v>
      </c>
      <c r="M613" t="s">
        <v>58</v>
      </c>
      <c r="N613" t="s">
        <v>59</v>
      </c>
      <c r="O613" t="s">
        <v>60</v>
      </c>
      <c r="P613" t="str">
        <f t="shared" si="63"/>
        <v>Individual</v>
      </c>
      <c r="Q613" t="str">
        <f t="shared" si="64"/>
        <v>South</v>
      </c>
      <c r="R613" t="str">
        <f>PROPER(TRIM(E613))</f>
        <v>Furniture</v>
      </c>
      <c r="S613" s="27">
        <f>IF(ISTEXT(B613),DATEVALUE(B613),B613)</f>
        <v>45881</v>
      </c>
      <c r="T613" s="27">
        <f>COUNTIF($A$2:$A$1986,A613)</f>
        <v>1</v>
      </c>
      <c r="U613" s="27" t="str">
        <f t="shared" si="65"/>
        <v>Bookshelf</v>
      </c>
      <c r="V613" s="27">
        <f t="shared" si="66"/>
        <v>221.38799999999998</v>
      </c>
      <c r="W613" s="27">
        <f t="shared" si="67"/>
        <v>141.46</v>
      </c>
      <c r="X613" s="27">
        <f>RawSalesTable3[[#This Row],[Revenue]]-RawSalesTable3[[#This Row],[Total_Cost]]</f>
        <v>79.927999999999969</v>
      </c>
      <c r="Y613" s="28">
        <f>RawSalesTable3[[#This Row],[Profit]]/RawSalesTable3[[#This Row],[Revenue]]</f>
        <v>0.36103131154353435</v>
      </c>
      <c r="Z613" s="27" t="str">
        <f>TEXT(RawSalesTable3[[#This Row],[Order_Date_Clean]],"MMM YYYY")</f>
        <v>Aug 2025</v>
      </c>
      <c r="AA613" s="27"/>
      <c r="AB613" s="27">
        <f t="shared" si="68"/>
        <v>0</v>
      </c>
      <c r="AC613" s="27">
        <f t="shared" si="69"/>
        <v>0</v>
      </c>
    </row>
    <row r="614" spans="1:29">
      <c r="A614" t="s">
        <v>713</v>
      </c>
      <c r="B614" s="3">
        <v>45862</v>
      </c>
      <c r="C614" t="s">
        <v>66</v>
      </c>
      <c r="D614" t="s">
        <v>55</v>
      </c>
      <c r="E614" t="s">
        <v>75</v>
      </c>
      <c r="F614" t="s">
        <v>110</v>
      </c>
      <c r="G614" s="6">
        <v>1</v>
      </c>
      <c r="H614" s="4">
        <v>156.30000000000001</v>
      </c>
      <c r="I614" s="4">
        <v>103.02</v>
      </c>
      <c r="J614" s="5">
        <v>0.05</v>
      </c>
      <c r="K614" s="6">
        <v>3</v>
      </c>
      <c r="L614" s="6">
        <v>5</v>
      </c>
      <c r="M614" t="s">
        <v>58</v>
      </c>
      <c r="N614" t="s">
        <v>69</v>
      </c>
      <c r="O614" t="s">
        <v>64</v>
      </c>
      <c r="P614" t="str">
        <f t="shared" si="63"/>
        <v>Small Business</v>
      </c>
      <c r="Q614" t="str">
        <f t="shared" si="64"/>
        <v>South</v>
      </c>
      <c r="R614" t="str">
        <f>PROPER(TRIM(E614))</f>
        <v>Furniture</v>
      </c>
      <c r="S614" s="27">
        <f>IF(ISTEXT(B614),DATEVALUE(B614),B614)</f>
        <v>45862</v>
      </c>
      <c r="T614" s="27">
        <f>COUNTIF($A$2:$A$1986,A614)</f>
        <v>1</v>
      </c>
      <c r="U614" s="27" t="str">
        <f t="shared" si="65"/>
        <v>Storage Cabinet</v>
      </c>
      <c r="V614" s="27">
        <f t="shared" si="66"/>
        <v>148.48500000000001</v>
      </c>
      <c r="W614" s="27">
        <f t="shared" si="67"/>
        <v>103.02</v>
      </c>
      <c r="X614" s="27">
        <f>RawSalesTable3[[#This Row],[Revenue]]-RawSalesTable3[[#This Row],[Total_Cost]]</f>
        <v>45.465000000000018</v>
      </c>
      <c r="Y614" s="28">
        <f>RawSalesTable3[[#This Row],[Profit]]/RawSalesTable3[[#This Row],[Revenue]]</f>
        <v>0.3061925447014851</v>
      </c>
      <c r="Z614" s="27" t="str">
        <f>TEXT(RawSalesTable3[[#This Row],[Order_Date_Clean]],"MMM YYYY")</f>
        <v>Jul 2025</v>
      </c>
      <c r="AA614" s="27"/>
      <c r="AB614" s="27">
        <f t="shared" si="68"/>
        <v>0</v>
      </c>
      <c r="AC614" s="27">
        <f t="shared" si="69"/>
        <v>0</v>
      </c>
    </row>
    <row r="615" spans="1:29">
      <c r="A615" t="s">
        <v>714</v>
      </c>
      <c r="B615" s="3">
        <v>45758</v>
      </c>
      <c r="C615" t="s">
        <v>82</v>
      </c>
      <c r="D615" t="s">
        <v>62</v>
      </c>
      <c r="E615" t="s">
        <v>79</v>
      </c>
      <c r="F615" t="s">
        <v>92</v>
      </c>
      <c r="G615" s="6">
        <v>1</v>
      </c>
      <c r="H615" s="4">
        <v>49.04</v>
      </c>
      <c r="I615" s="4">
        <v>27.01</v>
      </c>
      <c r="J615" s="5">
        <v>0.05</v>
      </c>
      <c r="K615" s="6">
        <v>4</v>
      </c>
      <c r="L615" s="6">
        <v>4</v>
      </c>
      <c r="M615" t="s">
        <v>58</v>
      </c>
      <c r="N615" t="s">
        <v>59</v>
      </c>
      <c r="O615" t="s">
        <v>64</v>
      </c>
      <c r="P615" t="str">
        <f t="shared" si="63"/>
        <v>Individual</v>
      </c>
      <c r="Q615" t="str">
        <f t="shared" si="64"/>
        <v>Midlands</v>
      </c>
      <c r="R615" t="str">
        <f>PROPER(TRIM(E615))</f>
        <v>Electronics</v>
      </c>
      <c r="S615" s="27">
        <f>IF(ISTEXT(B615),DATEVALUE(B615),B615)</f>
        <v>45758</v>
      </c>
      <c r="T615" s="27">
        <f>COUNTIF($A$2:$A$1986,A615)</f>
        <v>1</v>
      </c>
      <c r="U615" s="27" t="str">
        <f t="shared" si="65"/>
        <v>Webcam</v>
      </c>
      <c r="V615" s="27">
        <f t="shared" si="66"/>
        <v>46.587999999999994</v>
      </c>
      <c r="W615" s="27">
        <f t="shared" si="67"/>
        <v>27.01</v>
      </c>
      <c r="X615" s="27">
        <f>RawSalesTable3[[#This Row],[Revenue]]-RawSalesTable3[[#This Row],[Total_Cost]]</f>
        <v>19.577999999999992</v>
      </c>
      <c r="Y615" s="28">
        <f>RawSalesTable3[[#This Row],[Profit]]/RawSalesTable3[[#This Row],[Revenue]]</f>
        <v>0.42023697089379231</v>
      </c>
      <c r="Z615" s="27" t="str">
        <f>TEXT(RawSalesTable3[[#This Row],[Order_Date_Clean]],"MMM YYYY")</f>
        <v>Apr 2025</v>
      </c>
      <c r="AA615" s="27"/>
      <c r="AB615" s="27">
        <f t="shared" si="68"/>
        <v>0</v>
      </c>
      <c r="AC615" s="27">
        <f t="shared" si="69"/>
        <v>0</v>
      </c>
    </row>
    <row r="616" spans="1:29">
      <c r="A616" t="s">
        <v>715</v>
      </c>
      <c r="B616" s="3">
        <v>45853</v>
      </c>
      <c r="C616" t="s">
        <v>54</v>
      </c>
      <c r="D616" t="s">
        <v>62</v>
      </c>
      <c r="E616" t="s">
        <v>56</v>
      </c>
      <c r="F616" t="s">
        <v>89</v>
      </c>
      <c r="G616" s="6">
        <v>2</v>
      </c>
      <c r="H616" s="4">
        <v>82.28</v>
      </c>
      <c r="I616" s="4">
        <v>43.96</v>
      </c>
      <c r="J616" s="5">
        <v>0.05</v>
      </c>
      <c r="K616" s="6">
        <v>4</v>
      </c>
      <c r="L616" s="6">
        <v>5</v>
      </c>
      <c r="M616" t="s">
        <v>58</v>
      </c>
      <c r="N616" t="s">
        <v>59</v>
      </c>
      <c r="O616" t="s">
        <v>64</v>
      </c>
      <c r="P616" t="str">
        <f t="shared" si="63"/>
        <v>Individual</v>
      </c>
      <c r="Q616" t="str">
        <f t="shared" si="64"/>
        <v>North</v>
      </c>
      <c r="R616" t="str">
        <f>PROPER(TRIM(E616))</f>
        <v>Home &amp; Kitchen</v>
      </c>
      <c r="S616" s="27">
        <f>IF(ISTEXT(B616),DATEVALUE(B616),B616)</f>
        <v>45853</v>
      </c>
      <c r="T616" s="27">
        <f>COUNTIF($A$2:$A$1986,A616)</f>
        <v>1</v>
      </c>
      <c r="U616" s="27" t="str">
        <f t="shared" si="65"/>
        <v>Coffee Maker</v>
      </c>
      <c r="V616" s="27">
        <f t="shared" si="66"/>
        <v>156.33199999999999</v>
      </c>
      <c r="W616" s="27">
        <f t="shared" si="67"/>
        <v>87.92</v>
      </c>
      <c r="X616" s="27">
        <f>RawSalesTable3[[#This Row],[Revenue]]-RawSalesTable3[[#This Row],[Total_Cost]]</f>
        <v>68.411999999999992</v>
      </c>
      <c r="Y616" s="28">
        <f>RawSalesTable3[[#This Row],[Profit]]/RawSalesTable3[[#This Row],[Revenue]]</f>
        <v>0.43760714377094895</v>
      </c>
      <c r="Z616" s="27" t="str">
        <f>TEXT(RawSalesTable3[[#This Row],[Order_Date_Clean]],"MMM YYYY")</f>
        <v>Jul 2025</v>
      </c>
      <c r="AA616" s="27"/>
      <c r="AB616" s="27">
        <f t="shared" si="68"/>
        <v>0</v>
      </c>
      <c r="AC616" s="27">
        <f t="shared" si="69"/>
        <v>0</v>
      </c>
    </row>
    <row r="617" spans="1:29">
      <c r="A617" t="s">
        <v>716</v>
      </c>
      <c r="B617" s="3">
        <v>45668</v>
      </c>
      <c r="C617" t="s">
        <v>66</v>
      </c>
      <c r="D617" t="s">
        <v>55</v>
      </c>
      <c r="E617" t="s">
        <v>79</v>
      </c>
      <c r="F617" t="s">
        <v>85</v>
      </c>
      <c r="G617" s="6">
        <v>5</v>
      </c>
      <c r="H617" s="4">
        <v>131.5</v>
      </c>
      <c r="I617" s="4">
        <v>87</v>
      </c>
      <c r="J617" s="5">
        <v>0.05</v>
      </c>
      <c r="K617" s="6">
        <v>6</v>
      </c>
      <c r="L617" s="6">
        <v>3</v>
      </c>
      <c r="M617" t="s">
        <v>58</v>
      </c>
      <c r="N617" t="s">
        <v>59</v>
      </c>
      <c r="O617" t="s">
        <v>64</v>
      </c>
      <c r="P617" t="str">
        <f t="shared" si="63"/>
        <v>Small Business</v>
      </c>
      <c r="Q617" t="str">
        <f t="shared" si="64"/>
        <v>South</v>
      </c>
      <c r="R617" t="str">
        <f>PROPER(TRIM(E617))</f>
        <v>Electronics</v>
      </c>
      <c r="S617" s="27">
        <f>IF(ISTEXT(B617),DATEVALUE(B617),B617)</f>
        <v>45668</v>
      </c>
      <c r="T617" s="27">
        <f>COUNTIF($A$2:$A$1986,A617)</f>
        <v>1</v>
      </c>
      <c r="U617" s="27" t="str">
        <f t="shared" si="65"/>
        <v>SmartHome Hub</v>
      </c>
      <c r="V617" s="27">
        <f t="shared" si="66"/>
        <v>624.625</v>
      </c>
      <c r="W617" s="27">
        <f t="shared" si="67"/>
        <v>435</v>
      </c>
      <c r="X617" s="27">
        <f>RawSalesTable3[[#This Row],[Revenue]]-RawSalesTable3[[#This Row],[Total_Cost]]</f>
        <v>189.625</v>
      </c>
      <c r="Y617" s="28">
        <f>RawSalesTable3[[#This Row],[Profit]]/RawSalesTable3[[#This Row],[Revenue]]</f>
        <v>0.30358214928957372</v>
      </c>
      <c r="Z617" s="27" t="str">
        <f>TEXT(RawSalesTable3[[#This Row],[Order_Date_Clean]],"MMM YYYY")</f>
        <v>Jan 2025</v>
      </c>
      <c r="AA617" s="27"/>
      <c r="AB617" s="27">
        <f t="shared" si="68"/>
        <v>0</v>
      </c>
      <c r="AC617" s="27">
        <f t="shared" si="69"/>
        <v>0</v>
      </c>
    </row>
    <row r="618" spans="1:29">
      <c r="A618" t="s">
        <v>717</v>
      </c>
      <c r="B618" s="3">
        <v>45841</v>
      </c>
      <c r="C618" t="s">
        <v>66</v>
      </c>
      <c r="D618" t="s">
        <v>62</v>
      </c>
      <c r="E618" t="s">
        <v>67</v>
      </c>
      <c r="F618" t="s">
        <v>71</v>
      </c>
      <c r="G618" s="6">
        <v>2</v>
      </c>
      <c r="H618" s="4">
        <v>71.06</v>
      </c>
      <c r="I618" s="4">
        <v>39.28</v>
      </c>
      <c r="J618" s="5">
        <v>0.15000000000000002</v>
      </c>
      <c r="K618" s="6">
        <v>4</v>
      </c>
      <c r="L618" s="6">
        <v>5</v>
      </c>
      <c r="M618" t="s">
        <v>58</v>
      </c>
      <c r="N618" t="s">
        <v>69</v>
      </c>
      <c r="O618" t="s">
        <v>73</v>
      </c>
      <c r="P618" t="str">
        <f t="shared" si="63"/>
        <v>Individual</v>
      </c>
      <c r="Q618" t="str">
        <f t="shared" si="64"/>
        <v>South</v>
      </c>
      <c r="R618" t="str">
        <f>PROPER(TRIM(E618))</f>
        <v>Office</v>
      </c>
      <c r="S618" s="27">
        <f>IF(ISTEXT(B618),DATEVALUE(B618),B618)</f>
        <v>45841</v>
      </c>
      <c r="T618" s="27">
        <f>COUNTIF($A$2:$A$1986,A618)</f>
        <v>1</v>
      </c>
      <c r="U618" s="27" t="str">
        <f t="shared" si="65"/>
        <v>Ergonomic Keyboard</v>
      </c>
      <c r="V618" s="27">
        <f t="shared" si="66"/>
        <v>120.80200000000001</v>
      </c>
      <c r="W618" s="27">
        <f t="shared" si="67"/>
        <v>78.56</v>
      </c>
      <c r="X618" s="27">
        <f>RawSalesTable3[[#This Row],[Revenue]]-RawSalesTable3[[#This Row],[Total_Cost]]</f>
        <v>42.242000000000004</v>
      </c>
      <c r="Y618" s="28">
        <f>RawSalesTable3[[#This Row],[Profit]]/RawSalesTable3[[#This Row],[Revenue]]</f>
        <v>0.34967964106554528</v>
      </c>
      <c r="Z618" s="27" t="str">
        <f>TEXT(RawSalesTable3[[#This Row],[Order_Date_Clean]],"MMM YYYY")</f>
        <v>Jul 2025</v>
      </c>
      <c r="AA618" s="27"/>
      <c r="AB618" s="27">
        <f t="shared" si="68"/>
        <v>0</v>
      </c>
      <c r="AC618" s="27">
        <f t="shared" si="69"/>
        <v>0</v>
      </c>
    </row>
    <row r="619" spans="1:29">
      <c r="A619" t="s">
        <v>718</v>
      </c>
      <c r="B619" s="3">
        <v>45724</v>
      </c>
      <c r="C619" t="s">
        <v>78</v>
      </c>
      <c r="D619" t="s">
        <v>62</v>
      </c>
      <c r="E619" t="s">
        <v>75</v>
      </c>
      <c r="F619" t="s">
        <v>97</v>
      </c>
      <c r="G619" s="6">
        <v>1</v>
      </c>
      <c r="H619" s="4">
        <v>92</v>
      </c>
      <c r="I619" s="4">
        <v>53.72</v>
      </c>
      <c r="J619" s="5">
        <v>0</v>
      </c>
      <c r="K619" s="6">
        <v>5</v>
      </c>
      <c r="L619" s="6">
        <v>5</v>
      </c>
      <c r="M619" t="s">
        <v>58</v>
      </c>
      <c r="N619" t="s">
        <v>69</v>
      </c>
      <c r="O619" t="s">
        <v>64</v>
      </c>
      <c r="P619" t="str">
        <f t="shared" si="63"/>
        <v>Individual</v>
      </c>
      <c r="Q619" t="str">
        <f t="shared" si="64"/>
        <v>London</v>
      </c>
      <c r="R619" t="str">
        <f>PROPER(TRIM(E619))</f>
        <v>Furniture</v>
      </c>
      <c r="S619" s="27">
        <f>IF(ISTEXT(B619),DATEVALUE(B619),B619)</f>
        <v>45724</v>
      </c>
      <c r="T619" s="27">
        <f>COUNTIF($A$2:$A$1986,A619)</f>
        <v>1</v>
      </c>
      <c r="U619" s="27" t="str">
        <f t="shared" si="65"/>
        <v>Side Table</v>
      </c>
      <c r="V619" s="27">
        <f t="shared" si="66"/>
        <v>92</v>
      </c>
      <c r="W619" s="27">
        <f t="shared" si="67"/>
        <v>53.72</v>
      </c>
      <c r="X619" s="27">
        <f>RawSalesTable3[[#This Row],[Revenue]]-RawSalesTable3[[#This Row],[Total_Cost]]</f>
        <v>38.28</v>
      </c>
      <c r="Y619" s="28">
        <f>RawSalesTable3[[#This Row],[Profit]]/RawSalesTable3[[#This Row],[Revenue]]</f>
        <v>0.41608695652173916</v>
      </c>
      <c r="Z619" s="27" t="str">
        <f>TEXT(RawSalesTable3[[#This Row],[Order_Date_Clean]],"MMM YYYY")</f>
        <v>Mar 2025</v>
      </c>
      <c r="AA619" s="27"/>
      <c r="AB619" s="27">
        <f t="shared" si="68"/>
        <v>0</v>
      </c>
      <c r="AC619" s="27">
        <f t="shared" si="69"/>
        <v>0</v>
      </c>
    </row>
    <row r="620" spans="1:29">
      <c r="A620" t="s">
        <v>719</v>
      </c>
      <c r="B620" s="3">
        <v>45662</v>
      </c>
      <c r="C620" t="s">
        <v>54</v>
      </c>
      <c r="D620" t="s">
        <v>62</v>
      </c>
      <c r="E620" t="s">
        <v>79</v>
      </c>
      <c r="F620" t="s">
        <v>92</v>
      </c>
      <c r="G620" s="6">
        <v>2</v>
      </c>
      <c r="H620" s="4">
        <v>50.35</v>
      </c>
      <c r="I620" s="4">
        <v>26.78</v>
      </c>
      <c r="J620" s="5">
        <v>0.1</v>
      </c>
      <c r="K620" s="6">
        <v>2</v>
      </c>
      <c r="L620" s="6">
        <v>4</v>
      </c>
      <c r="M620" t="s">
        <v>58</v>
      </c>
      <c r="N620" t="s">
        <v>59</v>
      </c>
      <c r="O620" t="s">
        <v>64</v>
      </c>
      <c r="P620" t="str">
        <f t="shared" si="63"/>
        <v>Individual</v>
      </c>
      <c r="Q620" t="str">
        <f t="shared" si="64"/>
        <v>North</v>
      </c>
      <c r="R620" t="str">
        <f>PROPER(TRIM(E620))</f>
        <v>Electronics</v>
      </c>
      <c r="S620" s="27">
        <f>IF(ISTEXT(B620),DATEVALUE(B620),B620)</f>
        <v>45662</v>
      </c>
      <c r="T620" s="27">
        <f>COUNTIF($A$2:$A$1986,A620)</f>
        <v>1</v>
      </c>
      <c r="U620" s="27" t="str">
        <f t="shared" si="65"/>
        <v>Webcam</v>
      </c>
      <c r="V620" s="27">
        <f t="shared" si="66"/>
        <v>90.63000000000001</v>
      </c>
      <c r="W620" s="27">
        <f t="shared" si="67"/>
        <v>53.56</v>
      </c>
      <c r="X620" s="27">
        <f>RawSalesTable3[[#This Row],[Revenue]]-RawSalesTable3[[#This Row],[Total_Cost]]</f>
        <v>37.070000000000007</v>
      </c>
      <c r="Y620" s="28">
        <f>RawSalesTable3[[#This Row],[Profit]]/RawSalesTable3[[#This Row],[Revenue]]</f>
        <v>0.40902570892640411</v>
      </c>
      <c r="Z620" s="27" t="str">
        <f>TEXT(RawSalesTable3[[#This Row],[Order_Date_Clean]],"MMM YYYY")</f>
        <v>Jan 2025</v>
      </c>
      <c r="AA620" s="27"/>
      <c r="AB620" s="27">
        <f t="shared" si="68"/>
        <v>0</v>
      </c>
      <c r="AC620" s="27">
        <f t="shared" si="69"/>
        <v>0</v>
      </c>
    </row>
    <row r="621" spans="1:29">
      <c r="A621" t="s">
        <v>720</v>
      </c>
      <c r="B621" s="3">
        <v>45763</v>
      </c>
      <c r="C621" t="s">
        <v>66</v>
      </c>
      <c r="D621" t="s">
        <v>62</v>
      </c>
      <c r="E621" t="s">
        <v>67</v>
      </c>
      <c r="F621" t="s">
        <v>68</v>
      </c>
      <c r="G621" s="6">
        <v>1</v>
      </c>
      <c r="H621" s="4">
        <v>40.42</v>
      </c>
      <c r="I621" s="4">
        <v>18.68</v>
      </c>
      <c r="J621" s="5">
        <v>0.1</v>
      </c>
      <c r="K621" s="6">
        <v>4</v>
      </c>
      <c r="L621" s="6">
        <v>3</v>
      </c>
      <c r="M621" t="s">
        <v>126</v>
      </c>
      <c r="N621" t="s">
        <v>59</v>
      </c>
      <c r="O621" t="s">
        <v>60</v>
      </c>
      <c r="P621" t="str">
        <f t="shared" si="63"/>
        <v>Individual</v>
      </c>
      <c r="Q621" t="str">
        <f t="shared" si="64"/>
        <v>South</v>
      </c>
      <c r="R621" t="str">
        <f>PROPER(TRIM(E621))</f>
        <v>Office</v>
      </c>
      <c r="S621" s="27">
        <f>IF(ISTEXT(B621),DATEVALUE(B621),B621)</f>
        <v>45763</v>
      </c>
      <c r="T621" s="27">
        <f>COUNTIF($A$2:$A$1986,A621)</f>
        <v>1</v>
      </c>
      <c r="U621" s="27" t="str">
        <f t="shared" si="65"/>
        <v>Desk Lamp</v>
      </c>
      <c r="V621" s="27">
        <f t="shared" si="66"/>
        <v>36.378</v>
      </c>
      <c r="W621" s="27">
        <f t="shared" si="67"/>
        <v>18.68</v>
      </c>
      <c r="X621" s="27">
        <f>RawSalesTable3[[#This Row],[Revenue]]-RawSalesTable3[[#This Row],[Total_Cost]]</f>
        <v>17.698</v>
      </c>
      <c r="Y621" s="28">
        <f>RawSalesTable3[[#This Row],[Profit]]/RawSalesTable3[[#This Row],[Revenue]]</f>
        <v>0.48650283138160427</v>
      </c>
      <c r="Z621" s="27" t="str">
        <f>TEXT(RawSalesTable3[[#This Row],[Order_Date_Clean]],"MMM YYYY")</f>
        <v>Apr 2025</v>
      </c>
      <c r="AA621" s="27"/>
      <c r="AB621" s="27">
        <f t="shared" si="68"/>
        <v>0</v>
      </c>
      <c r="AC621" s="27">
        <f t="shared" si="69"/>
        <v>0</v>
      </c>
    </row>
    <row r="622" spans="1:29">
      <c r="A622" t="s">
        <v>721</v>
      </c>
      <c r="B622" s="3">
        <v>45660</v>
      </c>
      <c r="C622" t="s">
        <v>78</v>
      </c>
      <c r="D622" t="s">
        <v>62</v>
      </c>
      <c r="E622" t="s">
        <v>79</v>
      </c>
      <c r="F622" t="s">
        <v>115</v>
      </c>
      <c r="G622" s="6">
        <v>1</v>
      </c>
      <c r="H622" s="4">
        <v>58.56</v>
      </c>
      <c r="I622" s="4">
        <v>35.1</v>
      </c>
      <c r="J622" s="5">
        <v>0</v>
      </c>
      <c r="K622" s="6">
        <v>0</v>
      </c>
      <c r="L622" s="6">
        <v>5</v>
      </c>
      <c r="M622" t="s">
        <v>58</v>
      </c>
      <c r="N622" t="s">
        <v>69</v>
      </c>
      <c r="O622" t="s">
        <v>64</v>
      </c>
      <c r="P622" t="str">
        <f t="shared" si="63"/>
        <v>Individual</v>
      </c>
      <c r="Q622" t="str">
        <f t="shared" si="64"/>
        <v>London</v>
      </c>
      <c r="R622" t="str">
        <f>PROPER(TRIM(E622))</f>
        <v>Electronics</v>
      </c>
      <c r="S622" s="27">
        <f>IF(ISTEXT(B622),DATEVALUE(B622),B622)</f>
        <v>45660</v>
      </c>
      <c r="T622" s="27">
        <f>COUNTIF($A$2:$A$1986,A622)</f>
        <v>1</v>
      </c>
      <c r="U622" s="27" t="str">
        <f t="shared" si="65"/>
        <v>Wireless Headset</v>
      </c>
      <c r="V622" s="27">
        <f t="shared" si="66"/>
        <v>58.56</v>
      </c>
      <c r="W622" s="27">
        <f t="shared" si="67"/>
        <v>35.1</v>
      </c>
      <c r="X622" s="27">
        <f>RawSalesTable3[[#This Row],[Revenue]]-RawSalesTable3[[#This Row],[Total_Cost]]</f>
        <v>23.46</v>
      </c>
      <c r="Y622" s="28">
        <f>RawSalesTable3[[#This Row],[Profit]]/RawSalesTable3[[#This Row],[Revenue]]</f>
        <v>0.40061475409836067</v>
      </c>
      <c r="Z622" s="27" t="str">
        <f>TEXT(RawSalesTable3[[#This Row],[Order_Date_Clean]],"MMM YYYY")</f>
        <v>Jan 2025</v>
      </c>
      <c r="AA622" s="27"/>
      <c r="AB622" s="27">
        <f t="shared" si="68"/>
        <v>0</v>
      </c>
      <c r="AC622" s="27">
        <f t="shared" si="69"/>
        <v>0</v>
      </c>
    </row>
    <row r="623" spans="1:29">
      <c r="A623" t="s">
        <v>722</v>
      </c>
      <c r="B623" s="3">
        <v>45799</v>
      </c>
      <c r="C623" t="s">
        <v>66</v>
      </c>
      <c r="D623" t="s">
        <v>55</v>
      </c>
      <c r="E623" t="s">
        <v>67</v>
      </c>
      <c r="F623" t="s">
        <v>68</v>
      </c>
      <c r="G623" s="6">
        <v>3</v>
      </c>
      <c r="H623" s="4">
        <v>40.24</v>
      </c>
      <c r="I623" s="4">
        <v>18.62</v>
      </c>
      <c r="J623" s="5">
        <v>0.05</v>
      </c>
      <c r="K623" s="6">
        <v>0</v>
      </c>
      <c r="L623" s="6">
        <v>5</v>
      </c>
      <c r="M623" t="s">
        <v>58</v>
      </c>
      <c r="N623" t="s">
        <v>69</v>
      </c>
      <c r="O623" t="s">
        <v>64</v>
      </c>
      <c r="P623" t="str">
        <f t="shared" si="63"/>
        <v>Small Business</v>
      </c>
      <c r="Q623" t="str">
        <f t="shared" si="64"/>
        <v>South</v>
      </c>
      <c r="R623" t="str">
        <f>PROPER(TRIM(E623))</f>
        <v>Office</v>
      </c>
      <c r="S623" s="27">
        <f>IF(ISTEXT(B623),DATEVALUE(B623),B623)</f>
        <v>45799</v>
      </c>
      <c r="T623" s="27">
        <f>COUNTIF($A$2:$A$1986,A623)</f>
        <v>1</v>
      </c>
      <c r="U623" s="27" t="str">
        <f t="shared" si="65"/>
        <v>Desk Lamp</v>
      </c>
      <c r="V623" s="27">
        <f t="shared" si="66"/>
        <v>114.684</v>
      </c>
      <c r="W623" s="27">
        <f t="shared" si="67"/>
        <v>55.86</v>
      </c>
      <c r="X623" s="27">
        <f>RawSalesTable3[[#This Row],[Revenue]]-RawSalesTable3[[#This Row],[Total_Cost]]</f>
        <v>58.823999999999998</v>
      </c>
      <c r="Y623" s="28">
        <f>RawSalesTable3[[#This Row],[Profit]]/RawSalesTable3[[#This Row],[Revenue]]</f>
        <v>0.51292246520874751</v>
      </c>
      <c r="Z623" s="27" t="str">
        <f>TEXT(RawSalesTable3[[#This Row],[Order_Date_Clean]],"MMM YYYY")</f>
        <v>May 2025</v>
      </c>
      <c r="AA623" s="27"/>
      <c r="AB623" s="27">
        <f t="shared" si="68"/>
        <v>0</v>
      </c>
      <c r="AC623" s="27">
        <f t="shared" si="69"/>
        <v>0</v>
      </c>
    </row>
    <row r="624" spans="1:29">
      <c r="A624" t="s">
        <v>723</v>
      </c>
      <c r="B624" s="3">
        <v>45984</v>
      </c>
      <c r="C624" t="s">
        <v>54</v>
      </c>
      <c r="D624" t="s">
        <v>62</v>
      </c>
      <c r="E624" t="s">
        <v>56</v>
      </c>
      <c r="F624" t="s">
        <v>83</v>
      </c>
      <c r="G624" s="6">
        <v>1</v>
      </c>
      <c r="H624" s="4">
        <v>63.94</v>
      </c>
      <c r="I624" s="4">
        <v>35.86</v>
      </c>
      <c r="J624" s="5">
        <v>0.05</v>
      </c>
      <c r="K624" s="6">
        <v>3</v>
      </c>
      <c r="L624" s="6">
        <v>4</v>
      </c>
      <c r="M624" t="s">
        <v>58</v>
      </c>
      <c r="N624" t="s">
        <v>59</v>
      </c>
      <c r="O624" t="s">
        <v>64</v>
      </c>
      <c r="P624" t="str">
        <f t="shared" si="63"/>
        <v>Individual</v>
      </c>
      <c r="Q624" t="str">
        <f t="shared" si="64"/>
        <v>North</v>
      </c>
      <c r="R624" t="str">
        <f>PROPER(TRIM(E624))</f>
        <v>Home &amp; Kitchen</v>
      </c>
      <c r="S624" s="27">
        <f>IF(ISTEXT(B624),DATEVALUE(B624),B624)</f>
        <v>45984</v>
      </c>
      <c r="T624" s="27">
        <f>COUNTIF($A$2:$A$1986,A624)</f>
        <v>1</v>
      </c>
      <c r="U624" s="27" t="str">
        <f t="shared" si="65"/>
        <v>Blender</v>
      </c>
      <c r="V624" s="27">
        <f t="shared" si="66"/>
        <v>60.742999999999995</v>
      </c>
      <c r="W624" s="27">
        <f t="shared" si="67"/>
        <v>35.86</v>
      </c>
      <c r="X624" s="27">
        <f>RawSalesTable3[[#This Row],[Revenue]]-RawSalesTable3[[#This Row],[Total_Cost]]</f>
        <v>24.882999999999996</v>
      </c>
      <c r="Y624" s="28">
        <f>RawSalesTable3[[#This Row],[Profit]]/RawSalesTable3[[#This Row],[Revenue]]</f>
        <v>0.40964390958628971</v>
      </c>
      <c r="Z624" s="27" t="str">
        <f>TEXT(RawSalesTable3[[#This Row],[Order_Date_Clean]],"MMM YYYY")</f>
        <v>Nov 2025</v>
      </c>
      <c r="AA624" s="27"/>
      <c r="AB624" s="27">
        <f t="shared" si="68"/>
        <v>0</v>
      </c>
      <c r="AC624" s="27">
        <f t="shared" si="69"/>
        <v>0</v>
      </c>
    </row>
    <row r="625" spans="1:29">
      <c r="A625" t="s">
        <v>724</v>
      </c>
      <c r="B625" s="3">
        <v>45993</v>
      </c>
      <c r="C625" t="s">
        <v>54</v>
      </c>
      <c r="D625" t="s">
        <v>62</v>
      </c>
      <c r="E625" t="s">
        <v>75</v>
      </c>
      <c r="F625" t="s">
        <v>146</v>
      </c>
      <c r="G625" s="6">
        <v>2</v>
      </c>
      <c r="H625" s="4">
        <v>182.93</v>
      </c>
      <c r="I625" s="4">
        <v>116.88</v>
      </c>
      <c r="J625" s="5">
        <v>0.05</v>
      </c>
      <c r="K625" s="6">
        <v>6</v>
      </c>
      <c r="L625" s="6">
        <v>4</v>
      </c>
      <c r="M625" t="s">
        <v>58</v>
      </c>
      <c r="N625" t="s">
        <v>59</v>
      </c>
      <c r="O625" t="s">
        <v>64</v>
      </c>
      <c r="P625" t="str">
        <f t="shared" si="63"/>
        <v>Individual</v>
      </c>
      <c r="Q625" t="str">
        <f t="shared" si="64"/>
        <v>North</v>
      </c>
      <c r="R625" t="str">
        <f>PROPER(TRIM(E625))</f>
        <v>Furniture</v>
      </c>
      <c r="S625" s="27">
        <f>IF(ISTEXT(B625),DATEVALUE(B625),B625)</f>
        <v>45993</v>
      </c>
      <c r="T625" s="27">
        <f>COUNTIF($A$2:$A$1986,A625)</f>
        <v>1</v>
      </c>
      <c r="U625" s="27" t="str">
        <f t="shared" si="65"/>
        <v>Office Chair</v>
      </c>
      <c r="V625" s="27">
        <f t="shared" si="66"/>
        <v>347.56700000000001</v>
      </c>
      <c r="W625" s="27">
        <f t="shared" si="67"/>
        <v>233.76</v>
      </c>
      <c r="X625" s="27">
        <f>RawSalesTable3[[#This Row],[Revenue]]-RawSalesTable3[[#This Row],[Total_Cost]]</f>
        <v>113.80700000000002</v>
      </c>
      <c r="Y625" s="28">
        <f>RawSalesTable3[[#This Row],[Profit]]/RawSalesTable3[[#This Row],[Revenue]]</f>
        <v>0.32743902614459952</v>
      </c>
      <c r="Z625" s="27" t="str">
        <f>TEXT(RawSalesTable3[[#This Row],[Order_Date_Clean]],"MMM YYYY")</f>
        <v>Dec 2025</v>
      </c>
      <c r="AA625" s="27"/>
      <c r="AB625" s="27">
        <f t="shared" si="68"/>
        <v>0</v>
      </c>
      <c r="AC625" s="27">
        <f t="shared" si="69"/>
        <v>0</v>
      </c>
    </row>
    <row r="626" spans="1:29">
      <c r="A626" t="s">
        <v>725</v>
      </c>
      <c r="B626" s="3">
        <v>45932</v>
      </c>
      <c r="C626" t="s">
        <v>66</v>
      </c>
      <c r="D626" t="s">
        <v>62</v>
      </c>
      <c r="E626" t="s">
        <v>79</v>
      </c>
      <c r="F626" t="s">
        <v>115</v>
      </c>
      <c r="G626" s="6">
        <v>2</v>
      </c>
      <c r="H626" s="4">
        <v>60.26</v>
      </c>
      <c r="I626" s="4">
        <v>33.25</v>
      </c>
      <c r="J626" s="5">
        <v>0</v>
      </c>
      <c r="K626" s="6">
        <v>3</v>
      </c>
      <c r="L626" s="6">
        <v>5</v>
      </c>
      <c r="M626" t="s">
        <v>58</v>
      </c>
      <c r="N626" t="s">
        <v>59</v>
      </c>
      <c r="O626" t="s">
        <v>60</v>
      </c>
      <c r="P626" t="str">
        <f t="shared" si="63"/>
        <v>Individual</v>
      </c>
      <c r="Q626" t="str">
        <f t="shared" si="64"/>
        <v>South</v>
      </c>
      <c r="R626" t="str">
        <f>PROPER(TRIM(E626))</f>
        <v>Electronics</v>
      </c>
      <c r="S626" s="27">
        <f>IF(ISTEXT(B626),DATEVALUE(B626),B626)</f>
        <v>45932</v>
      </c>
      <c r="T626" s="27">
        <f>COUNTIF($A$2:$A$1986,A626)</f>
        <v>1</v>
      </c>
      <c r="U626" s="27" t="str">
        <f t="shared" si="65"/>
        <v>Wireless Headset</v>
      </c>
      <c r="V626" s="27">
        <f t="shared" si="66"/>
        <v>120.52</v>
      </c>
      <c r="W626" s="27">
        <f t="shared" si="67"/>
        <v>66.5</v>
      </c>
      <c r="X626" s="27">
        <f>RawSalesTable3[[#This Row],[Revenue]]-RawSalesTable3[[#This Row],[Total_Cost]]</f>
        <v>54.019999999999996</v>
      </c>
      <c r="Y626" s="28">
        <f>RawSalesTable3[[#This Row],[Profit]]/RawSalesTable3[[#This Row],[Revenue]]</f>
        <v>0.44822436110189179</v>
      </c>
      <c r="Z626" s="27" t="str">
        <f>TEXT(RawSalesTable3[[#This Row],[Order_Date_Clean]],"MMM YYYY")</f>
        <v>Oct 2025</v>
      </c>
      <c r="AA626" s="27"/>
      <c r="AB626" s="27">
        <f t="shared" si="68"/>
        <v>0</v>
      </c>
      <c r="AC626" s="27">
        <f t="shared" si="69"/>
        <v>0</v>
      </c>
    </row>
    <row r="627" spans="1:29">
      <c r="A627" t="s">
        <v>726</v>
      </c>
      <c r="B627" s="3">
        <v>45666</v>
      </c>
      <c r="C627" t="s">
        <v>54</v>
      </c>
      <c r="D627" t="s">
        <v>62</v>
      </c>
      <c r="E627" t="s">
        <v>56</v>
      </c>
      <c r="F627" t="s">
        <v>89</v>
      </c>
      <c r="G627" s="6">
        <v>1</v>
      </c>
      <c r="H627" s="4">
        <v>78.099999999999994</v>
      </c>
      <c r="I627" s="4">
        <v>44.43</v>
      </c>
      <c r="J627" s="5">
        <v>0.1</v>
      </c>
      <c r="K627" s="6">
        <v>5</v>
      </c>
      <c r="L627" s="6">
        <v>5</v>
      </c>
      <c r="M627" t="s">
        <v>58</v>
      </c>
      <c r="N627" t="s">
        <v>59</v>
      </c>
      <c r="O627" t="s">
        <v>60</v>
      </c>
      <c r="P627" t="str">
        <f t="shared" si="63"/>
        <v>Individual</v>
      </c>
      <c r="Q627" t="str">
        <f t="shared" si="64"/>
        <v>North</v>
      </c>
      <c r="R627" t="str">
        <f>PROPER(TRIM(E627))</f>
        <v>Home &amp; Kitchen</v>
      </c>
      <c r="S627" s="27">
        <f>IF(ISTEXT(B627),DATEVALUE(B627),B627)</f>
        <v>45666</v>
      </c>
      <c r="T627" s="27">
        <f>COUNTIF($A$2:$A$1986,A627)</f>
        <v>1</v>
      </c>
      <c r="U627" s="27" t="str">
        <f t="shared" si="65"/>
        <v>Coffee Maker</v>
      </c>
      <c r="V627" s="27">
        <f t="shared" si="66"/>
        <v>70.289999999999992</v>
      </c>
      <c r="W627" s="27">
        <f t="shared" si="67"/>
        <v>44.43</v>
      </c>
      <c r="X627" s="27">
        <f>RawSalesTable3[[#This Row],[Revenue]]-RawSalesTable3[[#This Row],[Total_Cost]]</f>
        <v>25.859999999999992</v>
      </c>
      <c r="Y627" s="28">
        <f>RawSalesTable3[[#This Row],[Profit]]/RawSalesTable3[[#This Row],[Revenue]]</f>
        <v>0.36790439607341008</v>
      </c>
      <c r="Z627" s="27" t="str">
        <f>TEXT(RawSalesTable3[[#This Row],[Order_Date_Clean]],"MMM YYYY")</f>
        <v>Jan 2025</v>
      </c>
      <c r="AA627" s="27"/>
      <c r="AB627" s="27">
        <f t="shared" si="68"/>
        <v>0</v>
      </c>
      <c r="AC627" s="27">
        <f t="shared" si="69"/>
        <v>0</v>
      </c>
    </row>
    <row r="628" spans="1:29">
      <c r="A628" t="s">
        <v>727</v>
      </c>
      <c r="B628" s="3">
        <v>45837</v>
      </c>
      <c r="C628" t="s">
        <v>82</v>
      </c>
      <c r="D628" t="s">
        <v>55</v>
      </c>
      <c r="E628" t="s">
        <v>56</v>
      </c>
      <c r="F628" t="s">
        <v>63</v>
      </c>
      <c r="G628" s="6">
        <v>3</v>
      </c>
      <c r="H628" s="4">
        <v>39.5</v>
      </c>
      <c r="I628" s="4">
        <v>19.91</v>
      </c>
      <c r="J628" s="5">
        <v>0.1</v>
      </c>
      <c r="K628" s="6">
        <v>3</v>
      </c>
      <c r="L628" s="6">
        <v>4</v>
      </c>
      <c r="M628" t="s">
        <v>58</v>
      </c>
      <c r="N628" t="s">
        <v>59</v>
      </c>
      <c r="O628" t="s">
        <v>64</v>
      </c>
      <c r="P628" t="str">
        <f t="shared" si="63"/>
        <v>Small Business</v>
      </c>
      <c r="Q628" t="str">
        <f t="shared" si="64"/>
        <v>Midlands</v>
      </c>
      <c r="R628" t="str">
        <f>PROPER(TRIM(E628))</f>
        <v>Home &amp; Kitchen</v>
      </c>
      <c r="S628" s="27">
        <f>IF(ISTEXT(B628),DATEVALUE(B628),B628)</f>
        <v>45837</v>
      </c>
      <c r="T628" s="27">
        <f>COUNTIF($A$2:$A$1986,A628)</f>
        <v>1</v>
      </c>
      <c r="U628" s="27" t="str">
        <f t="shared" si="65"/>
        <v>Electric Kettle</v>
      </c>
      <c r="V628" s="27">
        <f t="shared" si="66"/>
        <v>106.65</v>
      </c>
      <c r="W628" s="27">
        <f t="shared" si="67"/>
        <v>59.730000000000004</v>
      </c>
      <c r="X628" s="27">
        <f>RawSalesTable3[[#This Row],[Revenue]]-RawSalesTable3[[#This Row],[Total_Cost]]</f>
        <v>46.92</v>
      </c>
      <c r="Y628" s="28">
        <f>RawSalesTable3[[#This Row],[Profit]]/RawSalesTable3[[#This Row],[Revenue]]</f>
        <v>0.43994374120956398</v>
      </c>
      <c r="Z628" s="27" t="str">
        <f>TEXT(RawSalesTable3[[#This Row],[Order_Date_Clean]],"MMM YYYY")</f>
        <v>Jun 2025</v>
      </c>
      <c r="AA628" s="27"/>
      <c r="AB628" s="27">
        <f t="shared" si="68"/>
        <v>0</v>
      </c>
      <c r="AC628" s="27">
        <f t="shared" si="69"/>
        <v>0</v>
      </c>
    </row>
    <row r="629" spans="1:29">
      <c r="A629" t="s">
        <v>728</v>
      </c>
      <c r="B629" s="3">
        <v>45726</v>
      </c>
      <c r="C629" t="s">
        <v>82</v>
      </c>
      <c r="D629" t="s">
        <v>55</v>
      </c>
      <c r="E629" t="s">
        <v>67</v>
      </c>
      <c r="F629" t="s">
        <v>68</v>
      </c>
      <c r="G629" s="6">
        <v>4</v>
      </c>
      <c r="H629" s="4">
        <v>38.83</v>
      </c>
      <c r="I629" s="4">
        <v>18.920000000000002</v>
      </c>
      <c r="J629" s="5">
        <v>0</v>
      </c>
      <c r="K629" s="6">
        <v>4</v>
      </c>
      <c r="L629" s="6">
        <v>4</v>
      </c>
      <c r="M629" t="s">
        <v>58</v>
      </c>
      <c r="N629" t="s">
        <v>59</v>
      </c>
      <c r="O629" t="s">
        <v>73</v>
      </c>
      <c r="P629" t="str">
        <f t="shared" si="63"/>
        <v>Small Business</v>
      </c>
      <c r="Q629" t="str">
        <f t="shared" si="64"/>
        <v>Midlands</v>
      </c>
      <c r="R629" t="str">
        <f>PROPER(TRIM(E629))</f>
        <v>Office</v>
      </c>
      <c r="S629" s="27">
        <f>IF(ISTEXT(B629),DATEVALUE(B629),B629)</f>
        <v>45726</v>
      </c>
      <c r="T629" s="27">
        <f>COUNTIF($A$2:$A$1986,A629)</f>
        <v>1</v>
      </c>
      <c r="U629" s="27" t="str">
        <f t="shared" si="65"/>
        <v>Desk Lamp</v>
      </c>
      <c r="V629" s="27">
        <f t="shared" si="66"/>
        <v>155.32</v>
      </c>
      <c r="W629" s="27">
        <f t="shared" si="67"/>
        <v>75.680000000000007</v>
      </c>
      <c r="X629" s="27">
        <f>RawSalesTable3[[#This Row],[Revenue]]-RawSalesTable3[[#This Row],[Total_Cost]]</f>
        <v>79.639999999999986</v>
      </c>
      <c r="Y629" s="28">
        <f>RawSalesTable3[[#This Row],[Profit]]/RawSalesTable3[[#This Row],[Revenue]]</f>
        <v>0.5127478753541076</v>
      </c>
      <c r="Z629" s="27" t="str">
        <f>TEXT(RawSalesTable3[[#This Row],[Order_Date_Clean]],"MMM YYYY")</f>
        <v>Mar 2025</v>
      </c>
      <c r="AA629" s="27"/>
      <c r="AB629" s="27">
        <f t="shared" si="68"/>
        <v>0</v>
      </c>
      <c r="AC629" s="27">
        <f t="shared" si="69"/>
        <v>0</v>
      </c>
    </row>
    <row r="630" spans="1:29">
      <c r="A630" t="s">
        <v>729</v>
      </c>
      <c r="B630" s="3">
        <v>45770</v>
      </c>
      <c r="C630" t="s">
        <v>82</v>
      </c>
      <c r="D630" t="s">
        <v>62</v>
      </c>
      <c r="E630" t="s">
        <v>79</v>
      </c>
      <c r="F630" t="s">
        <v>115</v>
      </c>
      <c r="G630" s="6">
        <v>1</v>
      </c>
      <c r="H630" s="4">
        <v>62.39</v>
      </c>
      <c r="I630" s="4">
        <v>35.020000000000003</v>
      </c>
      <c r="J630" s="5">
        <v>0.05</v>
      </c>
      <c r="K630" s="6">
        <v>5</v>
      </c>
      <c r="L630" s="6">
        <v>3</v>
      </c>
      <c r="M630" t="s">
        <v>126</v>
      </c>
      <c r="N630" t="s">
        <v>59</v>
      </c>
      <c r="O630" t="s">
        <v>64</v>
      </c>
      <c r="P630" t="str">
        <f t="shared" si="63"/>
        <v>Individual</v>
      </c>
      <c r="Q630" t="str">
        <f t="shared" si="64"/>
        <v>Midlands</v>
      </c>
      <c r="R630" t="str">
        <f>PROPER(TRIM(E630))</f>
        <v>Electronics</v>
      </c>
      <c r="S630" s="27">
        <f>IF(ISTEXT(B630),DATEVALUE(B630),B630)</f>
        <v>45770</v>
      </c>
      <c r="T630" s="27">
        <f>COUNTIF($A$2:$A$1986,A630)</f>
        <v>1</v>
      </c>
      <c r="U630" s="27" t="str">
        <f t="shared" si="65"/>
        <v>Wireless Headset</v>
      </c>
      <c r="V630" s="27">
        <f t="shared" si="66"/>
        <v>59.270499999999998</v>
      </c>
      <c r="W630" s="27">
        <f t="shared" si="67"/>
        <v>35.020000000000003</v>
      </c>
      <c r="X630" s="27">
        <f>RawSalesTable3[[#This Row],[Revenue]]-RawSalesTable3[[#This Row],[Total_Cost]]</f>
        <v>24.250499999999995</v>
      </c>
      <c r="Y630" s="28">
        <f>RawSalesTable3[[#This Row],[Profit]]/RawSalesTable3[[#This Row],[Revenue]]</f>
        <v>0.40914957693962417</v>
      </c>
      <c r="Z630" s="27" t="str">
        <f>TEXT(RawSalesTable3[[#This Row],[Order_Date_Clean]],"MMM YYYY")</f>
        <v>Apr 2025</v>
      </c>
      <c r="AA630" s="27"/>
      <c r="AB630" s="27">
        <f t="shared" si="68"/>
        <v>0</v>
      </c>
      <c r="AC630" s="27">
        <f t="shared" si="69"/>
        <v>0</v>
      </c>
    </row>
    <row r="631" spans="1:29">
      <c r="A631" t="s">
        <v>730</v>
      </c>
      <c r="B631" s="3">
        <v>45949</v>
      </c>
      <c r="C631" t="s">
        <v>66</v>
      </c>
      <c r="D631" t="s">
        <v>62</v>
      </c>
      <c r="E631" t="s">
        <v>75</v>
      </c>
      <c r="F631" t="s">
        <v>110</v>
      </c>
      <c r="G631" s="6">
        <v>2</v>
      </c>
      <c r="H631" s="4">
        <v>163.46</v>
      </c>
      <c r="I631" s="4">
        <v>99.81</v>
      </c>
      <c r="J631" s="5">
        <v>0.05</v>
      </c>
      <c r="K631" s="6">
        <v>4</v>
      </c>
      <c r="L631" s="6">
        <v>4</v>
      </c>
      <c r="M631" t="s">
        <v>58</v>
      </c>
      <c r="N631" t="s">
        <v>59</v>
      </c>
      <c r="O631" t="s">
        <v>73</v>
      </c>
      <c r="P631" t="str">
        <f t="shared" si="63"/>
        <v>Individual</v>
      </c>
      <c r="Q631" t="str">
        <f t="shared" si="64"/>
        <v>South</v>
      </c>
      <c r="R631" t="str">
        <f>PROPER(TRIM(E631))</f>
        <v>Furniture</v>
      </c>
      <c r="S631" s="27">
        <f>IF(ISTEXT(B631),DATEVALUE(B631),B631)</f>
        <v>45949</v>
      </c>
      <c r="T631" s="27">
        <f>COUNTIF($A$2:$A$1986,A631)</f>
        <v>1</v>
      </c>
      <c r="U631" s="27" t="str">
        <f t="shared" si="65"/>
        <v>Storage Cabinet</v>
      </c>
      <c r="V631" s="27">
        <f t="shared" si="66"/>
        <v>310.57400000000001</v>
      </c>
      <c r="W631" s="27">
        <f t="shared" si="67"/>
        <v>199.62</v>
      </c>
      <c r="X631" s="27">
        <f>RawSalesTable3[[#This Row],[Revenue]]-RawSalesTable3[[#This Row],[Total_Cost]]</f>
        <v>110.95400000000001</v>
      </c>
      <c r="Y631" s="28">
        <f>RawSalesTable3[[#This Row],[Profit]]/RawSalesTable3[[#This Row],[Revenue]]</f>
        <v>0.35725463174637928</v>
      </c>
      <c r="Z631" s="27" t="str">
        <f>TEXT(RawSalesTable3[[#This Row],[Order_Date_Clean]],"MMM YYYY")</f>
        <v>Oct 2025</v>
      </c>
      <c r="AA631" s="27"/>
      <c r="AB631" s="27">
        <f t="shared" si="68"/>
        <v>0</v>
      </c>
      <c r="AC631" s="27">
        <f t="shared" si="69"/>
        <v>0</v>
      </c>
    </row>
    <row r="632" spans="1:29">
      <c r="A632" t="s">
        <v>731</v>
      </c>
      <c r="B632" s="3">
        <v>45796</v>
      </c>
      <c r="C632" t="s">
        <v>66</v>
      </c>
      <c r="D632" t="s">
        <v>62</v>
      </c>
      <c r="E632" t="s">
        <v>79</v>
      </c>
      <c r="F632" t="s">
        <v>80</v>
      </c>
      <c r="G632" s="6">
        <v>1</v>
      </c>
      <c r="H632" s="4">
        <v>76.709999999999994</v>
      </c>
      <c r="I632" s="4">
        <v>44.83</v>
      </c>
      <c r="J632" s="5">
        <v>0.05</v>
      </c>
      <c r="K632" s="6">
        <v>4</v>
      </c>
      <c r="L632" s="6">
        <v>5</v>
      </c>
      <c r="M632" t="s">
        <v>58</v>
      </c>
      <c r="N632" t="s">
        <v>59</v>
      </c>
      <c r="O632" t="s">
        <v>60</v>
      </c>
      <c r="P632" t="str">
        <f t="shared" si="63"/>
        <v>Individual</v>
      </c>
      <c r="Q632" t="str">
        <f t="shared" si="64"/>
        <v>South</v>
      </c>
      <c r="R632" t="str">
        <f>PROPER(TRIM(E632))</f>
        <v>Electronics</v>
      </c>
      <c r="S632" s="27">
        <f>IF(ISTEXT(B632),DATEVALUE(B632),B632)</f>
        <v>45796</v>
      </c>
      <c r="T632" s="27">
        <f>COUNTIF($A$2:$A$1986,A632)</f>
        <v>1</v>
      </c>
      <c r="U632" s="27" t="str">
        <f t="shared" si="65"/>
        <v>Portable Speaker</v>
      </c>
      <c r="V632" s="27">
        <f t="shared" si="66"/>
        <v>72.874499999999998</v>
      </c>
      <c r="W632" s="27">
        <f t="shared" si="67"/>
        <v>44.83</v>
      </c>
      <c r="X632" s="27">
        <f>RawSalesTable3[[#This Row],[Revenue]]-RawSalesTable3[[#This Row],[Total_Cost]]</f>
        <v>28.044499999999999</v>
      </c>
      <c r="Y632" s="28">
        <f>RawSalesTable3[[#This Row],[Profit]]/RawSalesTable3[[#This Row],[Revenue]]</f>
        <v>0.38483282904170868</v>
      </c>
      <c r="Z632" s="27" t="str">
        <f>TEXT(RawSalesTable3[[#This Row],[Order_Date_Clean]],"MMM YYYY")</f>
        <v>May 2025</v>
      </c>
      <c r="AA632" s="27"/>
      <c r="AB632" s="27">
        <f t="shared" si="68"/>
        <v>0</v>
      </c>
      <c r="AC632" s="27">
        <f t="shared" si="69"/>
        <v>0</v>
      </c>
    </row>
    <row r="633" spans="1:29">
      <c r="A633" t="s">
        <v>732</v>
      </c>
      <c r="B633" s="3">
        <v>45728</v>
      </c>
      <c r="C633" t="s">
        <v>54</v>
      </c>
      <c r="D633" t="s">
        <v>55</v>
      </c>
      <c r="E633" t="s">
        <v>79</v>
      </c>
      <c r="F633" t="s">
        <v>92</v>
      </c>
      <c r="G633" s="6">
        <v>1</v>
      </c>
      <c r="H633" s="4">
        <v>49.81</v>
      </c>
      <c r="I633" s="4">
        <v>25.44</v>
      </c>
      <c r="J633" s="5">
        <v>0</v>
      </c>
      <c r="K633" s="6">
        <v>4</v>
      </c>
      <c r="L633" s="6">
        <v>4</v>
      </c>
      <c r="M633" t="s">
        <v>58</v>
      </c>
      <c r="N633" t="s">
        <v>59</v>
      </c>
      <c r="O633" t="s">
        <v>60</v>
      </c>
      <c r="P633" t="str">
        <f t="shared" si="63"/>
        <v>Small Business</v>
      </c>
      <c r="Q633" t="str">
        <f t="shared" si="64"/>
        <v>North</v>
      </c>
      <c r="R633" t="str">
        <f>PROPER(TRIM(E633))</f>
        <v>Electronics</v>
      </c>
      <c r="S633" s="27">
        <f>IF(ISTEXT(B633),DATEVALUE(B633),B633)</f>
        <v>45728</v>
      </c>
      <c r="T633" s="27">
        <f>COUNTIF($A$2:$A$1986,A633)</f>
        <v>1</v>
      </c>
      <c r="U633" s="27" t="str">
        <f t="shared" si="65"/>
        <v>Webcam</v>
      </c>
      <c r="V633" s="27">
        <f t="shared" si="66"/>
        <v>49.81</v>
      </c>
      <c r="W633" s="27">
        <f t="shared" si="67"/>
        <v>25.44</v>
      </c>
      <c r="X633" s="27">
        <f>RawSalesTable3[[#This Row],[Revenue]]-RawSalesTable3[[#This Row],[Total_Cost]]</f>
        <v>24.37</v>
      </c>
      <c r="Y633" s="28">
        <f>RawSalesTable3[[#This Row],[Profit]]/RawSalesTable3[[#This Row],[Revenue]]</f>
        <v>0.48925918490262998</v>
      </c>
      <c r="Z633" s="27" t="str">
        <f>TEXT(RawSalesTable3[[#This Row],[Order_Date_Clean]],"MMM YYYY")</f>
        <v>Mar 2025</v>
      </c>
      <c r="AA633" s="27"/>
      <c r="AB633" s="27">
        <f t="shared" si="68"/>
        <v>0</v>
      </c>
      <c r="AC633" s="27">
        <f t="shared" si="69"/>
        <v>0</v>
      </c>
    </row>
    <row r="634" spans="1:29">
      <c r="A634" t="s">
        <v>733</v>
      </c>
      <c r="B634" s="3">
        <v>45989</v>
      </c>
      <c r="C634" t="s">
        <v>66</v>
      </c>
      <c r="D634" t="s">
        <v>62</v>
      </c>
      <c r="E634" t="s">
        <v>67</v>
      </c>
      <c r="F634" t="s">
        <v>94</v>
      </c>
      <c r="G634" s="6">
        <v>2</v>
      </c>
      <c r="H634" s="4">
        <v>34.04</v>
      </c>
      <c r="I634" s="4">
        <v>17.73</v>
      </c>
      <c r="J634" s="5">
        <v>0.15000000000000002</v>
      </c>
      <c r="K634" s="6">
        <v>0</v>
      </c>
      <c r="L634" s="6">
        <v>5</v>
      </c>
      <c r="M634" t="s">
        <v>58</v>
      </c>
      <c r="N634" t="s">
        <v>69</v>
      </c>
      <c r="O634" t="s">
        <v>64</v>
      </c>
      <c r="P634" t="str">
        <f t="shared" si="63"/>
        <v>Individual</v>
      </c>
      <c r="Q634" t="str">
        <f t="shared" si="64"/>
        <v>South</v>
      </c>
      <c r="R634" t="str">
        <f>PROPER(TRIM(E634))</f>
        <v>Office</v>
      </c>
      <c r="S634" s="27">
        <f>IF(ISTEXT(B634),DATEVALUE(B634),B634)</f>
        <v>45989</v>
      </c>
      <c r="T634" s="27">
        <f>COUNTIF($A$2:$A$1986,A634)</f>
        <v>1</v>
      </c>
      <c r="U634" s="27" t="str">
        <f t="shared" si="65"/>
        <v>Wireless Mouse</v>
      </c>
      <c r="V634" s="27">
        <f t="shared" si="66"/>
        <v>57.867999999999995</v>
      </c>
      <c r="W634" s="27">
        <f t="shared" si="67"/>
        <v>35.46</v>
      </c>
      <c r="X634" s="27">
        <f>RawSalesTable3[[#This Row],[Revenue]]-RawSalesTable3[[#This Row],[Total_Cost]]</f>
        <v>22.407999999999994</v>
      </c>
      <c r="Y634" s="28">
        <f>RawSalesTable3[[#This Row],[Profit]]/RawSalesTable3[[#This Row],[Revenue]]</f>
        <v>0.38722610078108793</v>
      </c>
      <c r="Z634" s="27" t="str">
        <f>TEXT(RawSalesTable3[[#This Row],[Order_Date_Clean]],"MMM YYYY")</f>
        <v>Nov 2025</v>
      </c>
      <c r="AA634" s="27"/>
      <c r="AB634" s="27">
        <f t="shared" si="68"/>
        <v>0</v>
      </c>
      <c r="AC634" s="27">
        <f t="shared" si="69"/>
        <v>0</v>
      </c>
    </row>
    <row r="635" spans="1:29">
      <c r="A635" t="s">
        <v>734</v>
      </c>
      <c r="B635" s="3">
        <v>45893</v>
      </c>
      <c r="C635" t="s">
        <v>66</v>
      </c>
      <c r="D635" t="s">
        <v>129</v>
      </c>
      <c r="E635" t="s">
        <v>75</v>
      </c>
      <c r="F635" t="s">
        <v>76</v>
      </c>
      <c r="G635" s="6">
        <v>10</v>
      </c>
      <c r="H635" s="4">
        <v>121.48</v>
      </c>
      <c r="I635" s="4">
        <v>70.349999999999994</v>
      </c>
      <c r="J635" s="5">
        <v>0.1</v>
      </c>
      <c r="K635" s="6">
        <v>6</v>
      </c>
      <c r="L635" s="6">
        <v>4</v>
      </c>
      <c r="M635" t="s">
        <v>58</v>
      </c>
      <c r="N635" t="s">
        <v>59</v>
      </c>
      <c r="O635" t="s">
        <v>64</v>
      </c>
      <c r="P635" t="str">
        <f t="shared" si="63"/>
        <v>Corporate</v>
      </c>
      <c r="Q635" t="str">
        <f t="shared" si="64"/>
        <v>South</v>
      </c>
      <c r="R635" t="str">
        <f>PROPER(TRIM(E635))</f>
        <v>Furniture</v>
      </c>
      <c r="S635" s="27">
        <f>IF(ISTEXT(B635),DATEVALUE(B635),B635)</f>
        <v>45893</v>
      </c>
      <c r="T635" s="27">
        <f>COUNTIF($A$2:$A$1986,A635)</f>
        <v>1</v>
      </c>
      <c r="U635" s="27" t="str">
        <f t="shared" si="65"/>
        <v>Bookshelf</v>
      </c>
      <c r="V635" s="27">
        <f t="shared" si="66"/>
        <v>1093.32</v>
      </c>
      <c r="W635" s="27">
        <f t="shared" si="67"/>
        <v>703.5</v>
      </c>
      <c r="X635" s="27">
        <f>RawSalesTable3[[#This Row],[Revenue]]-RawSalesTable3[[#This Row],[Total_Cost]]</f>
        <v>389.81999999999994</v>
      </c>
      <c r="Y635" s="28">
        <f>RawSalesTable3[[#This Row],[Profit]]/RawSalesTable3[[#This Row],[Revenue]]</f>
        <v>0.35654703106135438</v>
      </c>
      <c r="Z635" s="27" t="str">
        <f>TEXT(RawSalesTable3[[#This Row],[Order_Date_Clean]],"MMM YYYY")</f>
        <v>Aug 2025</v>
      </c>
      <c r="AA635" s="27"/>
      <c r="AB635" s="27">
        <f t="shared" si="68"/>
        <v>0</v>
      </c>
      <c r="AC635" s="27">
        <f t="shared" si="69"/>
        <v>0</v>
      </c>
    </row>
    <row r="636" spans="1:29">
      <c r="A636" t="s">
        <v>735</v>
      </c>
      <c r="B636" s="3">
        <v>45738</v>
      </c>
      <c r="C636" t="s">
        <v>82</v>
      </c>
      <c r="D636" t="s">
        <v>62</v>
      </c>
      <c r="E636" t="s">
        <v>56</v>
      </c>
      <c r="F636" t="s">
        <v>57</v>
      </c>
      <c r="G636" s="6">
        <v>2</v>
      </c>
      <c r="H636" s="4">
        <v>109.2</v>
      </c>
      <c r="I636" s="4">
        <v>68.599999999999994</v>
      </c>
      <c r="J636" s="5">
        <v>0.1</v>
      </c>
      <c r="K636" s="6">
        <v>1</v>
      </c>
      <c r="L636" s="6">
        <v>4</v>
      </c>
      <c r="M636" t="s">
        <v>58</v>
      </c>
      <c r="N636" t="s">
        <v>87</v>
      </c>
      <c r="O636" t="s">
        <v>64</v>
      </c>
      <c r="P636" t="str">
        <f t="shared" si="63"/>
        <v>Individual</v>
      </c>
      <c r="Q636" t="str">
        <f t="shared" si="64"/>
        <v>Midlands</v>
      </c>
      <c r="R636" t="str">
        <f>PROPER(TRIM(E636))</f>
        <v>Home &amp; Kitchen</v>
      </c>
      <c r="S636" s="27">
        <f>IF(ISTEXT(B636),DATEVALUE(B636),B636)</f>
        <v>45738</v>
      </c>
      <c r="T636" s="27">
        <f>COUNTIF($A$2:$A$1986,A636)</f>
        <v>1</v>
      </c>
      <c r="U636" s="27" t="str">
        <f t="shared" si="65"/>
        <v>Air Fryer</v>
      </c>
      <c r="V636" s="27">
        <f t="shared" si="66"/>
        <v>196.56</v>
      </c>
      <c r="W636" s="27">
        <f t="shared" si="67"/>
        <v>137.19999999999999</v>
      </c>
      <c r="X636" s="27">
        <f>RawSalesTable3[[#This Row],[Revenue]]-RawSalesTable3[[#This Row],[Total_Cost]]</f>
        <v>59.360000000000014</v>
      </c>
      <c r="Y636" s="28">
        <f>RawSalesTable3[[#This Row],[Profit]]/RawSalesTable3[[#This Row],[Revenue]]</f>
        <v>0.30199430199430205</v>
      </c>
      <c r="Z636" s="27" t="str">
        <f>TEXT(RawSalesTable3[[#This Row],[Order_Date_Clean]],"MMM YYYY")</f>
        <v>Mar 2025</v>
      </c>
      <c r="AA636" s="27"/>
      <c r="AB636" s="27">
        <f t="shared" si="68"/>
        <v>0</v>
      </c>
      <c r="AC636" s="27">
        <f t="shared" si="69"/>
        <v>0</v>
      </c>
    </row>
    <row r="637" spans="1:29">
      <c r="A637" t="s">
        <v>736</v>
      </c>
      <c r="B637" s="3">
        <v>45789</v>
      </c>
      <c r="C637" t="s">
        <v>66</v>
      </c>
      <c r="D637" t="s">
        <v>62</v>
      </c>
      <c r="E637" t="s">
        <v>79</v>
      </c>
      <c r="F637" t="s">
        <v>115</v>
      </c>
      <c r="G637" s="6">
        <v>2</v>
      </c>
      <c r="H637" s="4">
        <v>59.58</v>
      </c>
      <c r="I637" s="4">
        <v>35.51</v>
      </c>
      <c r="J637" s="5">
        <v>0.05</v>
      </c>
      <c r="K637" s="6">
        <v>3</v>
      </c>
      <c r="L637" s="6">
        <v>4</v>
      </c>
      <c r="M637" t="s">
        <v>58</v>
      </c>
      <c r="N637" t="s">
        <v>59</v>
      </c>
      <c r="O637" t="s">
        <v>64</v>
      </c>
      <c r="P637" t="str">
        <f t="shared" si="63"/>
        <v>Individual</v>
      </c>
      <c r="Q637" t="str">
        <f t="shared" si="64"/>
        <v>South</v>
      </c>
      <c r="R637" t="str">
        <f>PROPER(TRIM(E637))</f>
        <v>Electronics</v>
      </c>
      <c r="S637" s="27">
        <f>IF(ISTEXT(B637),DATEVALUE(B637),B637)</f>
        <v>45789</v>
      </c>
      <c r="T637" s="27">
        <f>COUNTIF($A$2:$A$1986,A637)</f>
        <v>1</v>
      </c>
      <c r="U637" s="27" t="str">
        <f t="shared" si="65"/>
        <v>Wireless Headset</v>
      </c>
      <c r="V637" s="27">
        <f t="shared" si="66"/>
        <v>113.202</v>
      </c>
      <c r="W637" s="27">
        <f t="shared" si="67"/>
        <v>71.02</v>
      </c>
      <c r="X637" s="27">
        <f>RawSalesTable3[[#This Row],[Revenue]]-RawSalesTable3[[#This Row],[Total_Cost]]</f>
        <v>42.182000000000002</v>
      </c>
      <c r="Y637" s="28">
        <f>RawSalesTable3[[#This Row],[Profit]]/RawSalesTable3[[#This Row],[Revenue]]</f>
        <v>0.37262592533700822</v>
      </c>
      <c r="Z637" s="27" t="str">
        <f>TEXT(RawSalesTable3[[#This Row],[Order_Date_Clean]],"MMM YYYY")</f>
        <v>May 2025</v>
      </c>
      <c r="AA637" s="27"/>
      <c r="AB637" s="27">
        <f t="shared" si="68"/>
        <v>0</v>
      </c>
      <c r="AC637" s="27">
        <f t="shared" si="69"/>
        <v>0</v>
      </c>
    </row>
    <row r="638" spans="1:29">
      <c r="A638" t="s">
        <v>737</v>
      </c>
      <c r="B638" s="3">
        <v>46012</v>
      </c>
      <c r="C638" t="s">
        <v>82</v>
      </c>
      <c r="D638" t="s">
        <v>62</v>
      </c>
      <c r="E638" t="s">
        <v>79</v>
      </c>
      <c r="F638" t="s">
        <v>80</v>
      </c>
      <c r="G638" s="6">
        <v>1</v>
      </c>
      <c r="H638" s="4">
        <v>77.53</v>
      </c>
      <c r="I638" s="4">
        <v>45.07</v>
      </c>
      <c r="J638" s="5">
        <v>0.05</v>
      </c>
      <c r="K638" s="6">
        <v>3</v>
      </c>
      <c r="L638" s="6">
        <v>5</v>
      </c>
      <c r="M638" t="s">
        <v>58</v>
      </c>
      <c r="N638" t="s">
        <v>59</v>
      </c>
      <c r="O638" t="s">
        <v>64</v>
      </c>
      <c r="P638" t="str">
        <f t="shared" si="63"/>
        <v>Individual</v>
      </c>
      <c r="Q638" t="str">
        <f t="shared" si="64"/>
        <v>Midlands</v>
      </c>
      <c r="R638" t="str">
        <f>PROPER(TRIM(E638))</f>
        <v>Electronics</v>
      </c>
      <c r="S638" s="27">
        <f>IF(ISTEXT(B638),DATEVALUE(B638),B638)</f>
        <v>46012</v>
      </c>
      <c r="T638" s="27">
        <f>COUNTIF($A$2:$A$1986,A638)</f>
        <v>1</v>
      </c>
      <c r="U638" s="27" t="str">
        <f t="shared" si="65"/>
        <v>Portable Speaker</v>
      </c>
      <c r="V638" s="27">
        <f t="shared" si="66"/>
        <v>73.653499999999994</v>
      </c>
      <c r="W638" s="27">
        <f t="shared" si="67"/>
        <v>45.07</v>
      </c>
      <c r="X638" s="27">
        <f>RawSalesTable3[[#This Row],[Revenue]]-RawSalesTable3[[#This Row],[Total_Cost]]</f>
        <v>28.583499999999994</v>
      </c>
      <c r="Y638" s="28">
        <f>RawSalesTable3[[#This Row],[Profit]]/RawSalesTable3[[#This Row],[Revenue]]</f>
        <v>0.38808067505278088</v>
      </c>
      <c r="Z638" s="27" t="str">
        <f>TEXT(RawSalesTable3[[#This Row],[Order_Date_Clean]],"MMM YYYY")</f>
        <v>Dec 2025</v>
      </c>
      <c r="AA638" s="27"/>
      <c r="AB638" s="27">
        <f t="shared" si="68"/>
        <v>0</v>
      </c>
      <c r="AC638" s="27">
        <f t="shared" si="69"/>
        <v>0</v>
      </c>
    </row>
    <row r="639" spans="1:29">
      <c r="A639" t="s">
        <v>738</v>
      </c>
      <c r="B639" s="3">
        <v>45921</v>
      </c>
      <c r="C639" t="s">
        <v>78</v>
      </c>
      <c r="D639" t="s">
        <v>62</v>
      </c>
      <c r="E639" t="s">
        <v>56</v>
      </c>
      <c r="F639" t="s">
        <v>83</v>
      </c>
      <c r="G639" s="6">
        <v>1</v>
      </c>
      <c r="H639" s="4">
        <v>64.61</v>
      </c>
      <c r="I639" s="4">
        <v>35.72</v>
      </c>
      <c r="J639" s="5">
        <v>0.1</v>
      </c>
      <c r="K639" s="6">
        <v>0</v>
      </c>
      <c r="L639" s="6">
        <v>5</v>
      </c>
      <c r="M639" t="s">
        <v>58</v>
      </c>
      <c r="N639" t="s">
        <v>69</v>
      </c>
      <c r="O639" t="s">
        <v>64</v>
      </c>
      <c r="P639" t="str">
        <f t="shared" si="63"/>
        <v>Individual</v>
      </c>
      <c r="Q639" t="str">
        <f t="shared" si="64"/>
        <v>London</v>
      </c>
      <c r="R639" t="str">
        <f>PROPER(TRIM(E639))</f>
        <v>Home &amp; Kitchen</v>
      </c>
      <c r="S639" s="27">
        <f>IF(ISTEXT(B639),DATEVALUE(B639),B639)</f>
        <v>45921</v>
      </c>
      <c r="T639" s="27">
        <f>COUNTIF($A$2:$A$1986,A639)</f>
        <v>1</v>
      </c>
      <c r="U639" s="27" t="str">
        <f t="shared" si="65"/>
        <v>Blender</v>
      </c>
      <c r="V639" s="27">
        <f t="shared" si="66"/>
        <v>58.149000000000001</v>
      </c>
      <c r="W639" s="27">
        <f t="shared" si="67"/>
        <v>35.72</v>
      </c>
      <c r="X639" s="27">
        <f>RawSalesTable3[[#This Row],[Revenue]]-RawSalesTable3[[#This Row],[Total_Cost]]</f>
        <v>22.429000000000002</v>
      </c>
      <c r="Y639" s="28">
        <f>RawSalesTable3[[#This Row],[Profit]]/RawSalesTable3[[#This Row],[Revenue]]</f>
        <v>0.38571600543431533</v>
      </c>
      <c r="Z639" s="27" t="str">
        <f>TEXT(RawSalesTable3[[#This Row],[Order_Date_Clean]],"MMM YYYY")</f>
        <v>Sep 2025</v>
      </c>
      <c r="AA639" s="27"/>
      <c r="AB639" s="27">
        <f t="shared" si="68"/>
        <v>0</v>
      </c>
      <c r="AC639" s="27">
        <f t="shared" si="69"/>
        <v>0</v>
      </c>
    </row>
    <row r="640" spans="1:29">
      <c r="A640" t="s">
        <v>739</v>
      </c>
      <c r="B640" s="3">
        <v>45971</v>
      </c>
      <c r="C640" t="s">
        <v>78</v>
      </c>
      <c r="D640" t="s">
        <v>62</v>
      </c>
      <c r="E640" t="s">
        <v>67</v>
      </c>
      <c r="F640" t="s">
        <v>107</v>
      </c>
      <c r="G640" s="6">
        <v>1</v>
      </c>
      <c r="H640" s="4">
        <v>45.63</v>
      </c>
      <c r="I640" s="4">
        <v>20.89</v>
      </c>
      <c r="J640" s="5">
        <v>0.15000000000000002</v>
      </c>
      <c r="K640" s="6">
        <v>2</v>
      </c>
      <c r="L640" s="6">
        <v>5</v>
      </c>
      <c r="M640" t="s">
        <v>58</v>
      </c>
      <c r="N640" t="s">
        <v>59</v>
      </c>
      <c r="O640" t="s">
        <v>64</v>
      </c>
      <c r="P640" t="str">
        <f t="shared" si="63"/>
        <v>Individual</v>
      </c>
      <c r="Q640" t="str">
        <f t="shared" si="64"/>
        <v>London</v>
      </c>
      <c r="R640" t="str">
        <f>PROPER(TRIM(E640))</f>
        <v>Office</v>
      </c>
      <c r="S640" s="27">
        <f>IF(ISTEXT(B640),DATEVALUE(B640),B640)</f>
        <v>45971</v>
      </c>
      <c r="T640" s="27">
        <f>COUNTIF($A$2:$A$1986,A640)</f>
        <v>1</v>
      </c>
      <c r="U640" s="27" t="str">
        <f t="shared" si="65"/>
        <v>Laptop Stand</v>
      </c>
      <c r="V640" s="27">
        <f t="shared" si="66"/>
        <v>38.785499999999999</v>
      </c>
      <c r="W640" s="27">
        <f t="shared" si="67"/>
        <v>20.89</v>
      </c>
      <c r="X640" s="27">
        <f>RawSalesTable3[[#This Row],[Revenue]]-RawSalesTable3[[#This Row],[Total_Cost]]</f>
        <v>17.895499999999998</v>
      </c>
      <c r="Y640" s="28">
        <f>RawSalesTable3[[#This Row],[Profit]]/RawSalesTable3[[#This Row],[Revenue]]</f>
        <v>0.46139665596679169</v>
      </c>
      <c r="Z640" s="27" t="str">
        <f>TEXT(RawSalesTable3[[#This Row],[Order_Date_Clean]],"MMM YYYY")</f>
        <v>Nov 2025</v>
      </c>
      <c r="AA640" s="27"/>
      <c r="AB640" s="27">
        <f t="shared" si="68"/>
        <v>0</v>
      </c>
      <c r="AC640" s="27">
        <f t="shared" si="69"/>
        <v>0</v>
      </c>
    </row>
    <row r="641" spans="1:29">
      <c r="A641" t="s">
        <v>740</v>
      </c>
      <c r="B641" s="3">
        <v>45736</v>
      </c>
      <c r="C641" t="s">
        <v>82</v>
      </c>
      <c r="D641" t="s">
        <v>62</v>
      </c>
      <c r="E641" t="s">
        <v>79</v>
      </c>
      <c r="F641" t="s">
        <v>92</v>
      </c>
      <c r="G641" s="6">
        <v>2</v>
      </c>
      <c r="H641" s="4">
        <v>51.17</v>
      </c>
      <c r="I641" s="4">
        <v>25.63</v>
      </c>
      <c r="J641" s="5">
        <v>0</v>
      </c>
      <c r="K641" s="6">
        <v>4</v>
      </c>
      <c r="L641" s="6">
        <v>5</v>
      </c>
      <c r="M641" t="s">
        <v>58</v>
      </c>
      <c r="N641" t="s">
        <v>59</v>
      </c>
      <c r="O641" t="s">
        <v>73</v>
      </c>
      <c r="P641" t="str">
        <f t="shared" si="63"/>
        <v>Individual</v>
      </c>
      <c r="Q641" t="str">
        <f t="shared" si="64"/>
        <v>Midlands</v>
      </c>
      <c r="R641" t="str">
        <f>PROPER(TRIM(E641))</f>
        <v>Electronics</v>
      </c>
      <c r="S641" s="27">
        <f>IF(ISTEXT(B641),DATEVALUE(B641),B641)</f>
        <v>45736</v>
      </c>
      <c r="T641" s="27">
        <f>COUNTIF($A$2:$A$1986,A641)</f>
        <v>1</v>
      </c>
      <c r="U641" s="27" t="str">
        <f t="shared" si="65"/>
        <v>Webcam</v>
      </c>
      <c r="V641" s="27">
        <f t="shared" si="66"/>
        <v>102.34</v>
      </c>
      <c r="W641" s="27">
        <f t="shared" si="67"/>
        <v>51.26</v>
      </c>
      <c r="X641" s="27">
        <f>RawSalesTable3[[#This Row],[Revenue]]-RawSalesTable3[[#This Row],[Total_Cost]]</f>
        <v>51.080000000000005</v>
      </c>
      <c r="Y641" s="28">
        <f>RawSalesTable3[[#This Row],[Profit]]/RawSalesTable3[[#This Row],[Revenue]]</f>
        <v>0.49912057846394375</v>
      </c>
      <c r="Z641" s="27" t="str">
        <f>TEXT(RawSalesTable3[[#This Row],[Order_Date_Clean]],"MMM YYYY")</f>
        <v>Mar 2025</v>
      </c>
      <c r="AA641" s="27"/>
      <c r="AB641" s="27">
        <f t="shared" si="68"/>
        <v>0</v>
      </c>
      <c r="AC641" s="27">
        <f t="shared" si="69"/>
        <v>0</v>
      </c>
    </row>
    <row r="642" spans="1:29">
      <c r="A642" t="s">
        <v>741</v>
      </c>
      <c r="B642" s="3">
        <v>45968</v>
      </c>
      <c r="C642" t="s">
        <v>82</v>
      </c>
      <c r="D642" t="s">
        <v>55</v>
      </c>
      <c r="E642" t="s">
        <v>56</v>
      </c>
      <c r="F642" t="s">
        <v>63</v>
      </c>
      <c r="G642" s="6">
        <v>5</v>
      </c>
      <c r="H642" s="4">
        <v>40.18</v>
      </c>
      <c r="I642" s="4">
        <v>20.100000000000001</v>
      </c>
      <c r="J642" s="5">
        <v>0.1</v>
      </c>
      <c r="K642" s="6">
        <v>2</v>
      </c>
      <c r="L642" s="6">
        <v>4</v>
      </c>
      <c r="M642" t="s">
        <v>58</v>
      </c>
      <c r="N642" t="s">
        <v>59</v>
      </c>
      <c r="O642" t="s">
        <v>73</v>
      </c>
      <c r="P642" t="str">
        <f t="shared" ref="P642:P705" si="70">IF(TRIM(D642)="","Unknow",PROPER(TRIM(D642)))</f>
        <v>Small Business</v>
      </c>
      <c r="Q642" t="str">
        <f t="shared" ref="Q642:Q705" si="71">IF(PROPER(TRIM(C642))="Mid Lands","Midlands",PROPER(TRIM(C642)))</f>
        <v>Midlands</v>
      </c>
      <c r="R642" t="str">
        <f>PROPER(TRIM(E642))</f>
        <v>Home &amp; Kitchen</v>
      </c>
      <c r="S642" s="27">
        <f>IF(ISTEXT(B642),DATEVALUE(B642),B642)</f>
        <v>45968</v>
      </c>
      <c r="T642" s="27">
        <f>COUNTIF($A$2:$A$1986,A642)</f>
        <v>1</v>
      </c>
      <c r="U642" s="27" t="str">
        <f t="shared" ref="U642:U705" si="72">TRIM(F642)</f>
        <v>Electric Kettle</v>
      </c>
      <c r="V642" s="27">
        <f t="shared" ref="V642:V705" si="73">G642*H642*(1-J642)</f>
        <v>180.81</v>
      </c>
      <c r="W642" s="27">
        <f t="shared" ref="W642:W705" si="74">G642*I642</f>
        <v>100.5</v>
      </c>
      <c r="X642" s="27">
        <f>RawSalesTable3[[#This Row],[Revenue]]-RawSalesTable3[[#This Row],[Total_Cost]]</f>
        <v>80.31</v>
      </c>
      <c r="Y642" s="28">
        <f>RawSalesTable3[[#This Row],[Profit]]/RawSalesTable3[[#This Row],[Revenue]]</f>
        <v>0.44416791106686576</v>
      </c>
      <c r="Z642" s="27" t="str">
        <f>TEXT(RawSalesTable3[[#This Row],[Order_Date_Clean]],"MMM YYYY")</f>
        <v>Nov 2025</v>
      </c>
      <c r="AA642" s="27"/>
      <c r="AB642" s="27">
        <f t="shared" ref="AB642:AB705" si="75">SUMIF($Z:$Z,AA642,$V:$V)</f>
        <v>0</v>
      </c>
      <c r="AC642" s="27">
        <f t="shared" ref="AC642:AC705" si="76">SUMIF($Z:$Z,AA642,$X:$X)</f>
        <v>0</v>
      </c>
    </row>
    <row r="643" spans="1:29">
      <c r="A643" t="s">
        <v>742</v>
      </c>
      <c r="B643" s="3">
        <v>45938</v>
      </c>
      <c r="C643" t="s">
        <v>66</v>
      </c>
      <c r="D643" t="s">
        <v>62</v>
      </c>
      <c r="E643" t="s">
        <v>79</v>
      </c>
      <c r="F643" t="s">
        <v>85</v>
      </c>
      <c r="G643" s="6">
        <v>2</v>
      </c>
      <c r="H643" s="4">
        <v>127.97</v>
      </c>
      <c r="I643" s="4">
        <v>83.35</v>
      </c>
      <c r="J643" s="5">
        <v>0.1</v>
      </c>
      <c r="K643" s="6">
        <v>1</v>
      </c>
      <c r="L643" s="6">
        <v>4</v>
      </c>
      <c r="M643" t="s">
        <v>58</v>
      </c>
      <c r="N643" t="s">
        <v>59</v>
      </c>
      <c r="O643" t="s">
        <v>64</v>
      </c>
      <c r="P643" t="str">
        <f t="shared" si="70"/>
        <v>Individual</v>
      </c>
      <c r="Q643" t="str">
        <f t="shared" si="71"/>
        <v>South</v>
      </c>
      <c r="R643" t="str">
        <f>PROPER(TRIM(E643))</f>
        <v>Electronics</v>
      </c>
      <c r="S643" s="27">
        <f>IF(ISTEXT(B643),DATEVALUE(B643),B643)</f>
        <v>45938</v>
      </c>
      <c r="T643" s="27">
        <f>COUNTIF($A$2:$A$1986,A643)</f>
        <v>1</v>
      </c>
      <c r="U643" s="27" t="str">
        <f t="shared" si="72"/>
        <v>SmartHome Hub</v>
      </c>
      <c r="V643" s="27">
        <f t="shared" si="73"/>
        <v>230.346</v>
      </c>
      <c r="W643" s="27">
        <f t="shared" si="74"/>
        <v>166.7</v>
      </c>
      <c r="X643" s="27">
        <f>RawSalesTable3[[#This Row],[Revenue]]-RawSalesTable3[[#This Row],[Total_Cost]]</f>
        <v>63.646000000000015</v>
      </c>
      <c r="Y643" s="28">
        <f>RawSalesTable3[[#This Row],[Profit]]/RawSalesTable3[[#This Row],[Revenue]]</f>
        <v>0.27630607868163554</v>
      </c>
      <c r="Z643" s="27" t="str">
        <f>TEXT(RawSalesTable3[[#This Row],[Order_Date_Clean]],"MMM YYYY")</f>
        <v>Oct 2025</v>
      </c>
      <c r="AA643" s="27"/>
      <c r="AB643" s="27">
        <f t="shared" si="75"/>
        <v>0</v>
      </c>
      <c r="AC643" s="27">
        <f t="shared" si="76"/>
        <v>0</v>
      </c>
    </row>
    <row r="644" spans="1:29">
      <c r="A644" t="s">
        <v>743</v>
      </c>
      <c r="B644" s="3">
        <v>45862</v>
      </c>
      <c r="C644" t="s">
        <v>66</v>
      </c>
      <c r="D644" t="s">
        <v>62</v>
      </c>
      <c r="E644" t="s">
        <v>79</v>
      </c>
      <c r="F644" t="s">
        <v>80</v>
      </c>
      <c r="G644" s="6">
        <v>1</v>
      </c>
      <c r="H644" s="4">
        <v>75.680000000000007</v>
      </c>
      <c r="I644" s="4">
        <v>42.99</v>
      </c>
      <c r="J644" s="5">
        <v>0.05</v>
      </c>
      <c r="K644" s="6">
        <v>1</v>
      </c>
      <c r="L644" s="6">
        <v>4</v>
      </c>
      <c r="M644" t="s">
        <v>58</v>
      </c>
      <c r="N644" t="s">
        <v>69</v>
      </c>
      <c r="O644" t="s">
        <v>60</v>
      </c>
      <c r="P644" t="str">
        <f t="shared" si="70"/>
        <v>Individual</v>
      </c>
      <c r="Q644" t="str">
        <f t="shared" si="71"/>
        <v>South</v>
      </c>
      <c r="R644" t="str">
        <f>PROPER(TRIM(E644))</f>
        <v>Electronics</v>
      </c>
      <c r="S644" s="27">
        <f>IF(ISTEXT(B644),DATEVALUE(B644),B644)</f>
        <v>45862</v>
      </c>
      <c r="T644" s="27">
        <f>COUNTIF($A$2:$A$1986,A644)</f>
        <v>1</v>
      </c>
      <c r="U644" s="27" t="str">
        <f t="shared" si="72"/>
        <v>Portable Speaker</v>
      </c>
      <c r="V644" s="27">
        <f t="shared" si="73"/>
        <v>71.896000000000001</v>
      </c>
      <c r="W644" s="27">
        <f t="shared" si="74"/>
        <v>42.99</v>
      </c>
      <c r="X644" s="27">
        <f>RawSalesTable3[[#This Row],[Revenue]]-RawSalesTable3[[#This Row],[Total_Cost]]</f>
        <v>28.905999999999999</v>
      </c>
      <c r="Y644" s="28">
        <f>RawSalesTable3[[#This Row],[Profit]]/RawSalesTable3[[#This Row],[Revenue]]</f>
        <v>0.40205296539445862</v>
      </c>
      <c r="Z644" s="27" t="str">
        <f>TEXT(RawSalesTable3[[#This Row],[Order_Date_Clean]],"MMM YYYY")</f>
        <v>Jul 2025</v>
      </c>
      <c r="AA644" s="27"/>
      <c r="AB644" s="27">
        <f t="shared" si="75"/>
        <v>0</v>
      </c>
      <c r="AC644" s="27">
        <f t="shared" si="76"/>
        <v>0</v>
      </c>
    </row>
    <row r="645" spans="1:29">
      <c r="A645" t="s">
        <v>744</v>
      </c>
      <c r="B645" s="3">
        <v>45961</v>
      </c>
      <c r="C645" t="s">
        <v>82</v>
      </c>
      <c r="D645" t="s">
        <v>55</v>
      </c>
      <c r="E645" t="s">
        <v>79</v>
      </c>
      <c r="F645" t="s">
        <v>92</v>
      </c>
      <c r="G645" s="6">
        <v>5</v>
      </c>
      <c r="H645" s="4">
        <v>50.42</v>
      </c>
      <c r="I645" s="4">
        <v>25.67</v>
      </c>
      <c r="J645" s="5">
        <v>0</v>
      </c>
      <c r="K645" s="6">
        <v>4</v>
      </c>
      <c r="L645" s="6">
        <v>4</v>
      </c>
      <c r="M645" t="s">
        <v>58</v>
      </c>
      <c r="N645" t="s">
        <v>59</v>
      </c>
      <c r="O645" t="s">
        <v>73</v>
      </c>
      <c r="P645" t="str">
        <f t="shared" si="70"/>
        <v>Small Business</v>
      </c>
      <c r="Q645" t="str">
        <f t="shared" si="71"/>
        <v>Midlands</v>
      </c>
      <c r="R645" t="str">
        <f>PROPER(TRIM(E645))</f>
        <v>Electronics</v>
      </c>
      <c r="S645" s="27">
        <f>IF(ISTEXT(B645),DATEVALUE(B645),B645)</f>
        <v>45961</v>
      </c>
      <c r="T645" s="27">
        <f>COUNTIF($A$2:$A$1986,A645)</f>
        <v>1</v>
      </c>
      <c r="U645" s="27" t="str">
        <f t="shared" si="72"/>
        <v>Webcam</v>
      </c>
      <c r="V645" s="27">
        <f t="shared" si="73"/>
        <v>252.10000000000002</v>
      </c>
      <c r="W645" s="27">
        <f t="shared" si="74"/>
        <v>128.35000000000002</v>
      </c>
      <c r="X645" s="27">
        <f>RawSalesTable3[[#This Row],[Revenue]]-RawSalesTable3[[#This Row],[Total_Cost]]</f>
        <v>123.75</v>
      </c>
      <c r="Y645" s="28">
        <f>RawSalesTable3[[#This Row],[Profit]]/RawSalesTable3[[#This Row],[Revenue]]</f>
        <v>0.49087663625545414</v>
      </c>
      <c r="Z645" s="27" t="str">
        <f>TEXT(RawSalesTable3[[#This Row],[Order_Date_Clean]],"MMM YYYY")</f>
        <v>Oct 2025</v>
      </c>
      <c r="AA645" s="27"/>
      <c r="AB645" s="27">
        <f t="shared" si="75"/>
        <v>0</v>
      </c>
      <c r="AC645" s="27">
        <f t="shared" si="76"/>
        <v>0</v>
      </c>
    </row>
    <row r="646" spans="1:29">
      <c r="A646" t="s">
        <v>745</v>
      </c>
      <c r="B646" s="3">
        <v>45967</v>
      </c>
      <c r="C646" t="s">
        <v>66</v>
      </c>
      <c r="D646" t="s">
        <v>129</v>
      </c>
      <c r="E646" t="s">
        <v>56</v>
      </c>
      <c r="F646" t="s">
        <v>57</v>
      </c>
      <c r="G646" s="6">
        <v>3</v>
      </c>
      <c r="H646" s="4">
        <v>111.39</v>
      </c>
      <c r="I646" s="4">
        <v>65.27</v>
      </c>
      <c r="J646" s="5">
        <v>0.15000000000000002</v>
      </c>
      <c r="K646" s="6">
        <v>3</v>
      </c>
      <c r="L646" s="6">
        <v>4</v>
      </c>
      <c r="M646" t="s">
        <v>58</v>
      </c>
      <c r="N646" t="s">
        <v>87</v>
      </c>
      <c r="O646" t="s">
        <v>64</v>
      </c>
      <c r="P646" t="str">
        <f t="shared" si="70"/>
        <v>Corporate</v>
      </c>
      <c r="Q646" t="str">
        <f t="shared" si="71"/>
        <v>South</v>
      </c>
      <c r="R646" t="str">
        <f>PROPER(TRIM(E646))</f>
        <v>Home &amp; Kitchen</v>
      </c>
      <c r="S646" s="27">
        <f>IF(ISTEXT(B646),DATEVALUE(B646),B646)</f>
        <v>45967</v>
      </c>
      <c r="T646" s="27">
        <f>COUNTIF($A$2:$A$1986,A646)</f>
        <v>1</v>
      </c>
      <c r="U646" s="27" t="str">
        <f t="shared" si="72"/>
        <v>Air Fryer</v>
      </c>
      <c r="V646" s="27">
        <f t="shared" si="73"/>
        <v>284.04450000000003</v>
      </c>
      <c r="W646" s="27">
        <f t="shared" si="74"/>
        <v>195.81</v>
      </c>
      <c r="X646" s="27">
        <f>RawSalesTable3[[#This Row],[Revenue]]-RawSalesTable3[[#This Row],[Total_Cost]]</f>
        <v>88.234500000000025</v>
      </c>
      <c r="Y646" s="28">
        <f>RawSalesTable3[[#This Row],[Profit]]/RawSalesTable3[[#This Row],[Revenue]]</f>
        <v>0.31063618552726779</v>
      </c>
      <c r="Z646" s="27" t="str">
        <f>TEXT(RawSalesTable3[[#This Row],[Order_Date_Clean]],"MMM YYYY")</f>
        <v>Nov 2025</v>
      </c>
      <c r="AA646" s="27"/>
      <c r="AB646" s="27">
        <f t="shared" si="75"/>
        <v>0</v>
      </c>
      <c r="AC646" s="27">
        <f t="shared" si="76"/>
        <v>0</v>
      </c>
    </row>
    <row r="647" spans="1:29">
      <c r="A647" t="s">
        <v>746</v>
      </c>
      <c r="B647" s="3">
        <v>45677</v>
      </c>
      <c r="C647" t="s">
        <v>66</v>
      </c>
      <c r="D647" t="s">
        <v>62</v>
      </c>
      <c r="E647" t="s">
        <v>56</v>
      </c>
      <c r="F647" t="s">
        <v>83</v>
      </c>
      <c r="G647" s="6">
        <v>1</v>
      </c>
      <c r="H647" s="4">
        <v>65.36</v>
      </c>
      <c r="I647" s="4">
        <v>34.76</v>
      </c>
      <c r="J647" s="5">
        <v>0.05</v>
      </c>
      <c r="K647" s="6">
        <v>3</v>
      </c>
      <c r="L647" s="6">
        <v>5</v>
      </c>
      <c r="M647" t="s">
        <v>58</v>
      </c>
      <c r="N647" t="s">
        <v>69</v>
      </c>
      <c r="O647" t="s">
        <v>64</v>
      </c>
      <c r="P647" t="str">
        <f t="shared" si="70"/>
        <v>Individual</v>
      </c>
      <c r="Q647" t="str">
        <f t="shared" si="71"/>
        <v>South</v>
      </c>
      <c r="R647" t="str">
        <f>PROPER(TRIM(E647))</f>
        <v>Home &amp; Kitchen</v>
      </c>
      <c r="S647" s="27">
        <f>IF(ISTEXT(B647),DATEVALUE(B647),B647)</f>
        <v>45677</v>
      </c>
      <c r="T647" s="27">
        <f>COUNTIF($A$2:$A$1986,A647)</f>
        <v>1</v>
      </c>
      <c r="U647" s="27" t="str">
        <f t="shared" si="72"/>
        <v>Blender</v>
      </c>
      <c r="V647" s="27">
        <f t="shared" si="73"/>
        <v>62.091999999999999</v>
      </c>
      <c r="W647" s="27">
        <f t="shared" si="74"/>
        <v>34.76</v>
      </c>
      <c r="X647" s="27">
        <f>RawSalesTable3[[#This Row],[Revenue]]-RawSalesTable3[[#This Row],[Total_Cost]]</f>
        <v>27.332000000000001</v>
      </c>
      <c r="Y647" s="28">
        <f>RawSalesTable3[[#This Row],[Profit]]/RawSalesTable3[[#This Row],[Revenue]]</f>
        <v>0.44018553114732978</v>
      </c>
      <c r="Z647" s="27" t="str">
        <f>TEXT(RawSalesTable3[[#This Row],[Order_Date_Clean]],"MMM YYYY")</f>
        <v>Jan 2025</v>
      </c>
      <c r="AA647" s="27"/>
      <c r="AB647" s="27">
        <f t="shared" si="75"/>
        <v>0</v>
      </c>
      <c r="AC647" s="27">
        <f t="shared" si="76"/>
        <v>0</v>
      </c>
    </row>
    <row r="648" spans="1:29">
      <c r="A648" t="s">
        <v>747</v>
      </c>
      <c r="B648" s="3">
        <v>46006</v>
      </c>
      <c r="C648" t="s">
        <v>66</v>
      </c>
      <c r="D648" t="s">
        <v>55</v>
      </c>
      <c r="E648" t="s">
        <v>67</v>
      </c>
      <c r="F648" t="s">
        <v>94</v>
      </c>
      <c r="G648" s="6">
        <v>1</v>
      </c>
      <c r="H648" s="4">
        <v>33.97</v>
      </c>
      <c r="I648" s="4">
        <v>17.48</v>
      </c>
      <c r="J648" s="5">
        <v>0.15000000000000002</v>
      </c>
      <c r="K648" s="6">
        <v>2</v>
      </c>
      <c r="L648" s="6">
        <v>5</v>
      </c>
      <c r="M648" t="s">
        <v>58</v>
      </c>
      <c r="N648" t="s">
        <v>59</v>
      </c>
      <c r="O648" t="s">
        <v>60</v>
      </c>
      <c r="P648" t="str">
        <f t="shared" si="70"/>
        <v>Small Business</v>
      </c>
      <c r="Q648" t="str">
        <f t="shared" si="71"/>
        <v>South</v>
      </c>
      <c r="R648" t="str">
        <f>PROPER(TRIM(E648))</f>
        <v>Office</v>
      </c>
      <c r="S648" s="27">
        <f>IF(ISTEXT(B648),DATEVALUE(B648),B648)</f>
        <v>46006</v>
      </c>
      <c r="T648" s="27">
        <f>COUNTIF($A$2:$A$1986,A648)</f>
        <v>1</v>
      </c>
      <c r="U648" s="27" t="str">
        <f t="shared" si="72"/>
        <v>Wireless Mouse</v>
      </c>
      <c r="V648" s="27">
        <f t="shared" si="73"/>
        <v>28.874499999999998</v>
      </c>
      <c r="W648" s="27">
        <f t="shared" si="74"/>
        <v>17.48</v>
      </c>
      <c r="X648" s="27">
        <f>RawSalesTable3[[#This Row],[Revenue]]-RawSalesTable3[[#This Row],[Total_Cost]]</f>
        <v>11.394499999999997</v>
      </c>
      <c r="Y648" s="28">
        <f>RawSalesTable3[[#This Row],[Profit]]/RawSalesTable3[[#This Row],[Revenue]]</f>
        <v>0.3946215518883443</v>
      </c>
      <c r="Z648" s="27" t="str">
        <f>TEXT(RawSalesTable3[[#This Row],[Order_Date_Clean]],"MMM YYYY")</f>
        <v>Dec 2025</v>
      </c>
      <c r="AA648" s="27"/>
      <c r="AB648" s="27">
        <f t="shared" si="75"/>
        <v>0</v>
      </c>
      <c r="AC648" s="27">
        <f t="shared" si="76"/>
        <v>0</v>
      </c>
    </row>
    <row r="649" spans="1:29">
      <c r="A649" t="s">
        <v>748</v>
      </c>
      <c r="B649" s="3">
        <v>45982</v>
      </c>
      <c r="C649" t="s">
        <v>66</v>
      </c>
      <c r="D649" t="s">
        <v>129</v>
      </c>
      <c r="E649" t="s">
        <v>67</v>
      </c>
      <c r="F649" t="s">
        <v>71</v>
      </c>
      <c r="G649" s="6">
        <v>2</v>
      </c>
      <c r="H649" s="4">
        <v>72.650000000000006</v>
      </c>
      <c r="I649" s="4">
        <v>38.46</v>
      </c>
      <c r="J649" s="5">
        <v>0.25</v>
      </c>
      <c r="K649" s="6">
        <v>0</v>
      </c>
      <c r="L649" s="6">
        <v>4</v>
      </c>
      <c r="M649" t="s">
        <v>58</v>
      </c>
      <c r="N649" t="s">
        <v>69</v>
      </c>
      <c r="O649" t="s">
        <v>64</v>
      </c>
      <c r="P649" t="str">
        <f t="shared" si="70"/>
        <v>Corporate</v>
      </c>
      <c r="Q649" t="str">
        <f t="shared" si="71"/>
        <v>South</v>
      </c>
      <c r="R649" t="str">
        <f>PROPER(TRIM(E649))</f>
        <v>Office</v>
      </c>
      <c r="S649" s="27">
        <f>IF(ISTEXT(B649),DATEVALUE(B649),B649)</f>
        <v>45982</v>
      </c>
      <c r="T649" s="27">
        <f>COUNTIF($A$2:$A$1986,A649)</f>
        <v>1</v>
      </c>
      <c r="U649" s="27" t="str">
        <f t="shared" si="72"/>
        <v>Ergonomic Keyboard</v>
      </c>
      <c r="V649" s="27">
        <f t="shared" si="73"/>
        <v>108.97500000000001</v>
      </c>
      <c r="W649" s="27">
        <f t="shared" si="74"/>
        <v>76.92</v>
      </c>
      <c r="X649" s="27">
        <f>RawSalesTable3[[#This Row],[Revenue]]-RawSalesTable3[[#This Row],[Total_Cost]]</f>
        <v>32.055000000000007</v>
      </c>
      <c r="Y649" s="28">
        <f>RawSalesTable3[[#This Row],[Profit]]/RawSalesTable3[[#This Row],[Revenue]]</f>
        <v>0.29415003441156234</v>
      </c>
      <c r="Z649" s="27" t="str">
        <f>TEXT(RawSalesTable3[[#This Row],[Order_Date_Clean]],"MMM YYYY")</f>
        <v>Nov 2025</v>
      </c>
      <c r="AA649" s="27"/>
      <c r="AB649" s="27">
        <f t="shared" si="75"/>
        <v>0</v>
      </c>
      <c r="AC649" s="27">
        <f t="shared" si="76"/>
        <v>0</v>
      </c>
    </row>
    <row r="650" spans="1:29">
      <c r="A650" t="s">
        <v>749</v>
      </c>
      <c r="B650" s="3">
        <v>45814</v>
      </c>
      <c r="C650" t="s">
        <v>82</v>
      </c>
      <c r="D650" t="s">
        <v>55</v>
      </c>
      <c r="E650" t="s">
        <v>67</v>
      </c>
      <c r="F650" t="s">
        <v>107</v>
      </c>
      <c r="G650" s="6">
        <v>4</v>
      </c>
      <c r="H650" s="4">
        <v>45.34</v>
      </c>
      <c r="I650" s="4">
        <v>21.03</v>
      </c>
      <c r="J650" s="5">
        <v>0</v>
      </c>
      <c r="K650" s="6">
        <v>4</v>
      </c>
      <c r="L650" s="6">
        <v>4</v>
      </c>
      <c r="M650" t="s">
        <v>58</v>
      </c>
      <c r="N650" t="s">
        <v>59</v>
      </c>
      <c r="O650" t="s">
        <v>73</v>
      </c>
      <c r="P650" t="str">
        <f t="shared" si="70"/>
        <v>Small Business</v>
      </c>
      <c r="Q650" t="str">
        <f t="shared" si="71"/>
        <v>Midlands</v>
      </c>
      <c r="R650" t="str">
        <f>PROPER(TRIM(E650))</f>
        <v>Office</v>
      </c>
      <c r="S650" s="27">
        <f>IF(ISTEXT(B650),DATEVALUE(B650),B650)</f>
        <v>45814</v>
      </c>
      <c r="T650" s="27">
        <f>COUNTIF($A$2:$A$1986,A650)</f>
        <v>1</v>
      </c>
      <c r="U650" s="27" t="str">
        <f t="shared" si="72"/>
        <v>Laptop Stand</v>
      </c>
      <c r="V650" s="27">
        <f t="shared" si="73"/>
        <v>181.36</v>
      </c>
      <c r="W650" s="27">
        <f t="shared" si="74"/>
        <v>84.12</v>
      </c>
      <c r="X650" s="27">
        <f>RawSalesTable3[[#This Row],[Revenue]]-RawSalesTable3[[#This Row],[Total_Cost]]</f>
        <v>97.240000000000009</v>
      </c>
      <c r="Y650" s="28">
        <f>RawSalesTable3[[#This Row],[Profit]]/RawSalesTable3[[#This Row],[Revenue]]</f>
        <v>0.53617115130127924</v>
      </c>
      <c r="Z650" s="27" t="str">
        <f>TEXT(RawSalesTable3[[#This Row],[Order_Date_Clean]],"MMM YYYY")</f>
        <v>Jun 2025</v>
      </c>
      <c r="AA650" s="27"/>
      <c r="AB650" s="27">
        <f t="shared" si="75"/>
        <v>0</v>
      </c>
      <c r="AC650" s="27">
        <f t="shared" si="76"/>
        <v>0</v>
      </c>
    </row>
    <row r="651" spans="1:29">
      <c r="A651" t="s">
        <v>750</v>
      </c>
      <c r="B651" s="3">
        <v>45917</v>
      </c>
      <c r="C651" t="s">
        <v>82</v>
      </c>
      <c r="D651" t="s">
        <v>55</v>
      </c>
      <c r="E651" t="s">
        <v>56</v>
      </c>
      <c r="F651" t="s">
        <v>63</v>
      </c>
      <c r="G651" s="6">
        <v>2</v>
      </c>
      <c r="H651" s="4">
        <v>39.36</v>
      </c>
      <c r="I651" s="4">
        <v>20.56</v>
      </c>
      <c r="J651" s="5">
        <v>0</v>
      </c>
      <c r="K651" s="6">
        <v>5</v>
      </c>
      <c r="L651" s="6">
        <v>5</v>
      </c>
      <c r="M651" t="s">
        <v>58</v>
      </c>
      <c r="N651" t="s">
        <v>87</v>
      </c>
      <c r="O651" t="s">
        <v>73</v>
      </c>
      <c r="P651" t="str">
        <f t="shared" si="70"/>
        <v>Small Business</v>
      </c>
      <c r="Q651" t="str">
        <f t="shared" si="71"/>
        <v>Midlands</v>
      </c>
      <c r="R651" t="str">
        <f>PROPER(TRIM(E651))</f>
        <v>Home &amp; Kitchen</v>
      </c>
      <c r="S651" s="27">
        <f>IF(ISTEXT(B651),DATEVALUE(B651),B651)</f>
        <v>45917</v>
      </c>
      <c r="T651" s="27">
        <f>COUNTIF($A$2:$A$1986,A651)</f>
        <v>1</v>
      </c>
      <c r="U651" s="27" t="str">
        <f t="shared" si="72"/>
        <v>Electric Kettle</v>
      </c>
      <c r="V651" s="27">
        <f t="shared" si="73"/>
        <v>78.72</v>
      </c>
      <c r="W651" s="27">
        <f t="shared" si="74"/>
        <v>41.12</v>
      </c>
      <c r="X651" s="27">
        <f>RawSalesTable3[[#This Row],[Revenue]]-RawSalesTable3[[#This Row],[Total_Cost]]</f>
        <v>37.6</v>
      </c>
      <c r="Y651" s="28">
        <f>RawSalesTable3[[#This Row],[Profit]]/RawSalesTable3[[#This Row],[Revenue]]</f>
        <v>0.47764227642276424</v>
      </c>
      <c r="Z651" s="27" t="str">
        <f>TEXT(RawSalesTable3[[#This Row],[Order_Date_Clean]],"MMM YYYY")</f>
        <v>Sep 2025</v>
      </c>
      <c r="AA651" s="27"/>
      <c r="AB651" s="27">
        <f t="shared" si="75"/>
        <v>0</v>
      </c>
      <c r="AC651" s="27">
        <f t="shared" si="76"/>
        <v>0</v>
      </c>
    </row>
    <row r="652" spans="1:29">
      <c r="A652" t="s">
        <v>751</v>
      </c>
      <c r="B652" s="3">
        <v>45810</v>
      </c>
      <c r="C652" t="s">
        <v>54</v>
      </c>
      <c r="D652" t="s">
        <v>55</v>
      </c>
      <c r="E652" t="s">
        <v>56</v>
      </c>
      <c r="F652" t="s">
        <v>89</v>
      </c>
      <c r="G652" s="6">
        <v>3</v>
      </c>
      <c r="H652" s="4">
        <v>83.08</v>
      </c>
      <c r="I652" s="4">
        <v>43.97</v>
      </c>
      <c r="J652" s="5">
        <v>0</v>
      </c>
      <c r="K652" s="6">
        <v>3</v>
      </c>
      <c r="L652" s="6">
        <v>4</v>
      </c>
      <c r="M652" t="s">
        <v>58</v>
      </c>
      <c r="N652" t="s">
        <v>59</v>
      </c>
      <c r="O652" t="s">
        <v>64</v>
      </c>
      <c r="P652" t="str">
        <f t="shared" si="70"/>
        <v>Small Business</v>
      </c>
      <c r="Q652" t="str">
        <f t="shared" si="71"/>
        <v>North</v>
      </c>
      <c r="R652" t="str">
        <f>PROPER(TRIM(E652))</f>
        <v>Home &amp; Kitchen</v>
      </c>
      <c r="S652" s="27">
        <f>IF(ISTEXT(B652),DATEVALUE(B652),B652)</f>
        <v>45810</v>
      </c>
      <c r="T652" s="27">
        <f>COUNTIF($A$2:$A$1986,A652)</f>
        <v>1</v>
      </c>
      <c r="U652" s="27" t="str">
        <f t="shared" si="72"/>
        <v>Coffee Maker</v>
      </c>
      <c r="V652" s="27">
        <f t="shared" si="73"/>
        <v>249.24</v>
      </c>
      <c r="W652" s="27">
        <f t="shared" si="74"/>
        <v>131.91</v>
      </c>
      <c r="X652" s="27">
        <f>RawSalesTable3[[#This Row],[Revenue]]-RawSalesTable3[[#This Row],[Total_Cost]]</f>
        <v>117.33000000000001</v>
      </c>
      <c r="Y652" s="28">
        <f>RawSalesTable3[[#This Row],[Profit]]/RawSalesTable3[[#This Row],[Revenue]]</f>
        <v>0.47075108329321141</v>
      </c>
      <c r="Z652" s="27" t="str">
        <f>TEXT(RawSalesTable3[[#This Row],[Order_Date_Clean]],"MMM YYYY")</f>
        <v>Jun 2025</v>
      </c>
      <c r="AA652" s="27"/>
      <c r="AB652" s="27">
        <f t="shared" si="75"/>
        <v>0</v>
      </c>
      <c r="AC652" s="27">
        <f t="shared" si="76"/>
        <v>0</v>
      </c>
    </row>
    <row r="653" spans="1:29">
      <c r="A653" t="s">
        <v>752</v>
      </c>
      <c r="B653" s="3">
        <v>45870</v>
      </c>
      <c r="C653" t="s">
        <v>54</v>
      </c>
      <c r="D653" t="s">
        <v>62</v>
      </c>
      <c r="E653" t="s">
        <v>79</v>
      </c>
      <c r="F653" t="s">
        <v>80</v>
      </c>
      <c r="G653" s="6">
        <v>2</v>
      </c>
      <c r="H653" s="4">
        <v>74.599999999999994</v>
      </c>
      <c r="I653" s="4">
        <v>44.1</v>
      </c>
      <c r="J653" s="5">
        <v>0.05</v>
      </c>
      <c r="K653" s="6">
        <v>0</v>
      </c>
      <c r="L653" s="6">
        <v>5</v>
      </c>
      <c r="M653" t="s">
        <v>58</v>
      </c>
      <c r="N653" t="s">
        <v>69</v>
      </c>
      <c r="O653" t="s">
        <v>64</v>
      </c>
      <c r="P653" t="str">
        <f t="shared" si="70"/>
        <v>Individual</v>
      </c>
      <c r="Q653" t="str">
        <f t="shared" si="71"/>
        <v>North</v>
      </c>
      <c r="R653" t="str">
        <f>PROPER(TRIM(E653))</f>
        <v>Electronics</v>
      </c>
      <c r="S653" s="27">
        <f>IF(ISTEXT(B653),DATEVALUE(B653),B653)</f>
        <v>45870</v>
      </c>
      <c r="T653" s="27">
        <f>COUNTIF($A$2:$A$1986,A653)</f>
        <v>1</v>
      </c>
      <c r="U653" s="27" t="str">
        <f t="shared" si="72"/>
        <v>Portable Speaker</v>
      </c>
      <c r="V653" s="27">
        <f t="shared" si="73"/>
        <v>141.73999999999998</v>
      </c>
      <c r="W653" s="27">
        <f t="shared" si="74"/>
        <v>88.2</v>
      </c>
      <c r="X653" s="27">
        <f>RawSalesTable3[[#This Row],[Revenue]]-RawSalesTable3[[#This Row],[Total_Cost]]</f>
        <v>53.539999999999978</v>
      </c>
      <c r="Y653" s="28">
        <f>RawSalesTable3[[#This Row],[Profit]]/RawSalesTable3[[#This Row],[Revenue]]</f>
        <v>0.37773387893325799</v>
      </c>
      <c r="Z653" s="27" t="str">
        <f>TEXT(RawSalesTable3[[#This Row],[Order_Date_Clean]],"MMM YYYY")</f>
        <v>Aug 2025</v>
      </c>
      <c r="AA653" s="27"/>
      <c r="AB653" s="27">
        <f t="shared" si="75"/>
        <v>0</v>
      </c>
      <c r="AC653" s="27">
        <f t="shared" si="76"/>
        <v>0</v>
      </c>
    </row>
    <row r="654" spans="1:29">
      <c r="A654" t="s">
        <v>753</v>
      </c>
      <c r="B654" s="3">
        <v>45706</v>
      </c>
      <c r="C654" t="s">
        <v>78</v>
      </c>
      <c r="D654" t="s">
        <v>62</v>
      </c>
      <c r="E654" t="s">
        <v>75</v>
      </c>
      <c r="F654" t="s">
        <v>97</v>
      </c>
      <c r="G654" s="6">
        <v>1</v>
      </c>
      <c r="H654" s="4">
        <v>89.28</v>
      </c>
      <c r="I654" s="4">
        <v>52.43</v>
      </c>
      <c r="J654" s="5">
        <v>0</v>
      </c>
      <c r="K654" s="6">
        <v>8</v>
      </c>
      <c r="L654" s="6">
        <v>3</v>
      </c>
      <c r="M654" t="s">
        <v>58</v>
      </c>
      <c r="N654" t="s">
        <v>59</v>
      </c>
      <c r="O654" t="s">
        <v>73</v>
      </c>
      <c r="P654" t="str">
        <f t="shared" si="70"/>
        <v>Individual</v>
      </c>
      <c r="Q654" t="str">
        <f t="shared" si="71"/>
        <v>London</v>
      </c>
      <c r="R654" t="str">
        <f>PROPER(TRIM(E654))</f>
        <v>Furniture</v>
      </c>
      <c r="S654" s="27">
        <f>IF(ISTEXT(B654),DATEVALUE(B654),B654)</f>
        <v>45706</v>
      </c>
      <c r="T654" s="27">
        <f>COUNTIF($A$2:$A$1986,A654)</f>
        <v>1</v>
      </c>
      <c r="U654" s="27" t="str">
        <f t="shared" si="72"/>
        <v>Side Table</v>
      </c>
      <c r="V654" s="27">
        <f t="shared" si="73"/>
        <v>89.28</v>
      </c>
      <c r="W654" s="27">
        <f t="shared" si="74"/>
        <v>52.43</v>
      </c>
      <c r="X654" s="27">
        <f>RawSalesTable3[[#This Row],[Revenue]]-RawSalesTable3[[#This Row],[Total_Cost]]</f>
        <v>36.85</v>
      </c>
      <c r="Y654" s="28">
        <f>RawSalesTable3[[#This Row],[Profit]]/RawSalesTable3[[#This Row],[Revenue]]</f>
        <v>0.41274641577060933</v>
      </c>
      <c r="Z654" s="27" t="str">
        <f>TEXT(RawSalesTable3[[#This Row],[Order_Date_Clean]],"MMM YYYY")</f>
        <v>Feb 2025</v>
      </c>
      <c r="AA654" s="27"/>
      <c r="AB654" s="27">
        <f t="shared" si="75"/>
        <v>0</v>
      </c>
      <c r="AC654" s="27">
        <f t="shared" si="76"/>
        <v>0</v>
      </c>
    </row>
    <row r="655" spans="1:29">
      <c r="A655" t="s">
        <v>754</v>
      </c>
      <c r="B655" s="3">
        <v>45820</v>
      </c>
      <c r="C655" t="s">
        <v>54</v>
      </c>
      <c r="D655" t="s">
        <v>62</v>
      </c>
      <c r="E655" t="s">
        <v>67</v>
      </c>
      <c r="F655" t="s">
        <v>94</v>
      </c>
      <c r="G655" s="6">
        <v>2</v>
      </c>
      <c r="H655" s="4">
        <v>35.78</v>
      </c>
      <c r="I655" s="4">
        <v>16.649999999999999</v>
      </c>
      <c r="J655" s="5">
        <v>0</v>
      </c>
      <c r="K655" s="6">
        <v>1</v>
      </c>
      <c r="L655" s="6">
        <v>4</v>
      </c>
      <c r="M655" t="s">
        <v>58</v>
      </c>
      <c r="N655" t="s">
        <v>69</v>
      </c>
      <c r="O655" t="s">
        <v>60</v>
      </c>
      <c r="P655" t="str">
        <f t="shared" si="70"/>
        <v>Individual</v>
      </c>
      <c r="Q655" t="str">
        <f t="shared" si="71"/>
        <v>North</v>
      </c>
      <c r="R655" t="str">
        <f>PROPER(TRIM(E655))</f>
        <v>Office</v>
      </c>
      <c r="S655" s="27">
        <f>IF(ISTEXT(B655),DATEVALUE(B655),B655)</f>
        <v>45820</v>
      </c>
      <c r="T655" s="27">
        <f>COUNTIF($A$2:$A$1986,A655)</f>
        <v>1</v>
      </c>
      <c r="U655" s="27" t="str">
        <f t="shared" si="72"/>
        <v>Wireless Mouse</v>
      </c>
      <c r="V655" s="27">
        <f t="shared" si="73"/>
        <v>71.56</v>
      </c>
      <c r="W655" s="27">
        <f t="shared" si="74"/>
        <v>33.299999999999997</v>
      </c>
      <c r="X655" s="27">
        <f>RawSalesTable3[[#This Row],[Revenue]]-RawSalesTable3[[#This Row],[Total_Cost]]</f>
        <v>38.260000000000005</v>
      </c>
      <c r="Y655" s="28">
        <f>RawSalesTable3[[#This Row],[Profit]]/RawSalesTable3[[#This Row],[Revenue]]</f>
        <v>0.5346562325321409</v>
      </c>
      <c r="Z655" s="27" t="str">
        <f>TEXT(RawSalesTable3[[#This Row],[Order_Date_Clean]],"MMM YYYY")</f>
        <v>Jun 2025</v>
      </c>
      <c r="AA655" s="27"/>
      <c r="AB655" s="27">
        <f t="shared" si="75"/>
        <v>0</v>
      </c>
      <c r="AC655" s="27">
        <f t="shared" si="76"/>
        <v>0</v>
      </c>
    </row>
    <row r="656" spans="1:29">
      <c r="A656" t="s">
        <v>755</v>
      </c>
      <c r="B656" s="3">
        <v>45858</v>
      </c>
      <c r="C656" t="s">
        <v>82</v>
      </c>
      <c r="D656" t="s">
        <v>62</v>
      </c>
      <c r="E656" t="s">
        <v>75</v>
      </c>
      <c r="F656" t="s">
        <v>110</v>
      </c>
      <c r="G656" s="6">
        <v>1</v>
      </c>
      <c r="H656" s="4">
        <v>160.58000000000001</v>
      </c>
      <c r="I656" s="4">
        <v>98.21</v>
      </c>
      <c r="J656" s="5">
        <v>0</v>
      </c>
      <c r="K656" s="6">
        <v>6</v>
      </c>
      <c r="L656" s="6">
        <v>4</v>
      </c>
      <c r="M656" t="s">
        <v>58</v>
      </c>
      <c r="N656" t="s">
        <v>69</v>
      </c>
      <c r="O656" t="s">
        <v>64</v>
      </c>
      <c r="P656" t="str">
        <f t="shared" si="70"/>
        <v>Individual</v>
      </c>
      <c r="Q656" t="str">
        <f t="shared" si="71"/>
        <v>Midlands</v>
      </c>
      <c r="R656" t="str">
        <f>PROPER(TRIM(E656))</f>
        <v>Furniture</v>
      </c>
      <c r="S656" s="27">
        <f>IF(ISTEXT(B656),DATEVALUE(B656),B656)</f>
        <v>45858</v>
      </c>
      <c r="T656" s="27">
        <f>COUNTIF($A$2:$A$1986,A656)</f>
        <v>1</v>
      </c>
      <c r="U656" s="27" t="str">
        <f t="shared" si="72"/>
        <v>Storage Cabinet</v>
      </c>
      <c r="V656" s="27">
        <f t="shared" si="73"/>
        <v>160.58000000000001</v>
      </c>
      <c r="W656" s="27">
        <f t="shared" si="74"/>
        <v>98.21</v>
      </c>
      <c r="X656" s="27">
        <f>RawSalesTable3[[#This Row],[Revenue]]-RawSalesTable3[[#This Row],[Total_Cost]]</f>
        <v>62.370000000000019</v>
      </c>
      <c r="Y656" s="28">
        <f>RawSalesTable3[[#This Row],[Profit]]/RawSalesTable3[[#This Row],[Revenue]]</f>
        <v>0.388404533565824</v>
      </c>
      <c r="Z656" s="27" t="str">
        <f>TEXT(RawSalesTable3[[#This Row],[Order_Date_Clean]],"MMM YYYY")</f>
        <v>Jul 2025</v>
      </c>
      <c r="AA656" s="27"/>
      <c r="AB656" s="27">
        <f t="shared" si="75"/>
        <v>0</v>
      </c>
      <c r="AC656" s="27">
        <f t="shared" si="76"/>
        <v>0</v>
      </c>
    </row>
    <row r="657" spans="1:29">
      <c r="A657" t="s">
        <v>756</v>
      </c>
      <c r="B657" s="3">
        <v>45801</v>
      </c>
      <c r="C657" t="s">
        <v>78</v>
      </c>
      <c r="D657" t="s">
        <v>55</v>
      </c>
      <c r="E657" t="s">
        <v>67</v>
      </c>
      <c r="F657" t="s">
        <v>94</v>
      </c>
      <c r="G657" s="6">
        <v>1</v>
      </c>
      <c r="H657" s="4">
        <v>35.549999999999997</v>
      </c>
      <c r="I657" s="4">
        <v>17.43</v>
      </c>
      <c r="J657" s="5">
        <v>0.05</v>
      </c>
      <c r="K657" s="6">
        <v>0</v>
      </c>
      <c r="L657" s="6">
        <v>5</v>
      </c>
      <c r="M657" t="s">
        <v>58</v>
      </c>
      <c r="N657" t="s">
        <v>69</v>
      </c>
      <c r="O657" t="s">
        <v>73</v>
      </c>
      <c r="P657" t="str">
        <f t="shared" si="70"/>
        <v>Small Business</v>
      </c>
      <c r="Q657" t="str">
        <f t="shared" si="71"/>
        <v>London</v>
      </c>
      <c r="R657" t="str">
        <f>PROPER(TRIM(E657))</f>
        <v>Office</v>
      </c>
      <c r="S657" s="27">
        <f>IF(ISTEXT(B657),DATEVALUE(B657),B657)</f>
        <v>45801</v>
      </c>
      <c r="T657" s="27">
        <f>COUNTIF($A$2:$A$1986,A657)</f>
        <v>1</v>
      </c>
      <c r="U657" s="27" t="str">
        <f t="shared" si="72"/>
        <v>Wireless Mouse</v>
      </c>
      <c r="V657" s="27">
        <f t="shared" si="73"/>
        <v>33.772499999999994</v>
      </c>
      <c r="W657" s="27">
        <f t="shared" si="74"/>
        <v>17.43</v>
      </c>
      <c r="X657" s="27">
        <f>RawSalesTable3[[#This Row],[Revenue]]-RawSalesTable3[[#This Row],[Total_Cost]]</f>
        <v>16.342499999999994</v>
      </c>
      <c r="Y657" s="28">
        <f>RawSalesTable3[[#This Row],[Profit]]/RawSalesTable3[[#This Row],[Revenue]]</f>
        <v>0.48389962247390622</v>
      </c>
      <c r="Z657" s="27" t="str">
        <f>TEXT(RawSalesTable3[[#This Row],[Order_Date_Clean]],"MMM YYYY")</f>
        <v>May 2025</v>
      </c>
      <c r="AA657" s="27"/>
      <c r="AB657" s="27">
        <f t="shared" si="75"/>
        <v>0</v>
      </c>
      <c r="AC657" s="27">
        <f t="shared" si="76"/>
        <v>0</v>
      </c>
    </row>
    <row r="658" spans="1:29">
      <c r="A658" t="s">
        <v>757</v>
      </c>
      <c r="B658" s="3">
        <v>45727</v>
      </c>
      <c r="C658" t="s">
        <v>54</v>
      </c>
      <c r="D658" t="s">
        <v>62</v>
      </c>
      <c r="E658" t="s">
        <v>79</v>
      </c>
      <c r="F658" t="s">
        <v>85</v>
      </c>
      <c r="G658" s="6">
        <v>1</v>
      </c>
      <c r="H658" s="4">
        <v>127.23</v>
      </c>
      <c r="I658" s="4">
        <v>82.13</v>
      </c>
      <c r="J658" s="5">
        <v>0</v>
      </c>
      <c r="K658" s="6">
        <v>1</v>
      </c>
      <c r="L658" s="6">
        <v>4</v>
      </c>
      <c r="M658" t="s">
        <v>58</v>
      </c>
      <c r="N658" t="s">
        <v>59</v>
      </c>
      <c r="O658" t="s">
        <v>64</v>
      </c>
      <c r="P658" t="str">
        <f t="shared" si="70"/>
        <v>Individual</v>
      </c>
      <c r="Q658" t="str">
        <f t="shared" si="71"/>
        <v>North</v>
      </c>
      <c r="R658" t="str">
        <f>PROPER(TRIM(E658))</f>
        <v>Electronics</v>
      </c>
      <c r="S658" s="27">
        <f>IF(ISTEXT(B658),DATEVALUE(B658),B658)</f>
        <v>45727</v>
      </c>
      <c r="T658" s="27">
        <f>COUNTIF($A$2:$A$1986,A658)</f>
        <v>1</v>
      </c>
      <c r="U658" s="27" t="str">
        <f t="shared" si="72"/>
        <v>SmartHome Hub</v>
      </c>
      <c r="V658" s="27">
        <f t="shared" si="73"/>
        <v>127.23</v>
      </c>
      <c r="W658" s="27">
        <f t="shared" si="74"/>
        <v>82.13</v>
      </c>
      <c r="X658" s="27">
        <f>RawSalesTable3[[#This Row],[Revenue]]-RawSalesTable3[[#This Row],[Total_Cost]]</f>
        <v>45.100000000000009</v>
      </c>
      <c r="Y658" s="28">
        <f>RawSalesTable3[[#This Row],[Profit]]/RawSalesTable3[[#This Row],[Revenue]]</f>
        <v>0.35447614556315338</v>
      </c>
      <c r="Z658" s="27" t="str">
        <f>TEXT(RawSalesTable3[[#This Row],[Order_Date_Clean]],"MMM YYYY")</f>
        <v>Mar 2025</v>
      </c>
      <c r="AA658" s="27"/>
      <c r="AB658" s="27">
        <f t="shared" si="75"/>
        <v>0</v>
      </c>
      <c r="AC658" s="27">
        <f t="shared" si="76"/>
        <v>0</v>
      </c>
    </row>
    <row r="659" spans="1:29">
      <c r="A659" t="s">
        <v>758</v>
      </c>
      <c r="B659" s="3">
        <v>45767</v>
      </c>
      <c r="C659" t="s">
        <v>78</v>
      </c>
      <c r="D659" t="s">
        <v>62</v>
      </c>
      <c r="E659" t="s">
        <v>67</v>
      </c>
      <c r="F659" t="s">
        <v>71</v>
      </c>
      <c r="G659" s="6">
        <v>2</v>
      </c>
      <c r="H659" s="4">
        <v>69.540000000000006</v>
      </c>
      <c r="I659" s="4">
        <v>37.1</v>
      </c>
      <c r="J659" s="5">
        <v>0</v>
      </c>
      <c r="K659" s="6">
        <v>1</v>
      </c>
      <c r="L659" s="6">
        <v>5</v>
      </c>
      <c r="M659" t="s">
        <v>58</v>
      </c>
      <c r="N659" t="s">
        <v>59</v>
      </c>
      <c r="O659" t="s">
        <v>64</v>
      </c>
      <c r="P659" t="str">
        <f t="shared" si="70"/>
        <v>Individual</v>
      </c>
      <c r="Q659" t="str">
        <f t="shared" si="71"/>
        <v>London</v>
      </c>
      <c r="R659" t="str">
        <f>PROPER(TRIM(E659))</f>
        <v>Office</v>
      </c>
      <c r="S659" s="27">
        <f>IF(ISTEXT(B659),DATEVALUE(B659),B659)</f>
        <v>45767</v>
      </c>
      <c r="T659" s="27">
        <f>COUNTIF($A$2:$A$1986,A659)</f>
        <v>1</v>
      </c>
      <c r="U659" s="27" t="str">
        <f t="shared" si="72"/>
        <v>Ergonomic Keyboard</v>
      </c>
      <c r="V659" s="27">
        <f t="shared" si="73"/>
        <v>139.08000000000001</v>
      </c>
      <c r="W659" s="27">
        <f t="shared" si="74"/>
        <v>74.2</v>
      </c>
      <c r="X659" s="27">
        <f>RawSalesTable3[[#This Row],[Revenue]]-RawSalesTable3[[#This Row],[Total_Cost]]</f>
        <v>64.88000000000001</v>
      </c>
      <c r="Y659" s="28">
        <f>RawSalesTable3[[#This Row],[Profit]]/RawSalesTable3[[#This Row],[Revenue]]</f>
        <v>0.46649410411274089</v>
      </c>
      <c r="Z659" s="27" t="str">
        <f>TEXT(RawSalesTable3[[#This Row],[Order_Date_Clean]],"MMM YYYY")</f>
        <v>Apr 2025</v>
      </c>
      <c r="AA659" s="27"/>
      <c r="AB659" s="27">
        <f t="shared" si="75"/>
        <v>0</v>
      </c>
      <c r="AC659" s="27">
        <f t="shared" si="76"/>
        <v>0</v>
      </c>
    </row>
    <row r="660" spans="1:29">
      <c r="A660" t="s">
        <v>759</v>
      </c>
      <c r="B660" s="3">
        <v>45911</v>
      </c>
      <c r="C660" t="s">
        <v>82</v>
      </c>
      <c r="D660" t="s">
        <v>62</v>
      </c>
      <c r="E660" t="s">
        <v>56</v>
      </c>
      <c r="F660" t="s">
        <v>63</v>
      </c>
      <c r="G660" s="6">
        <v>2</v>
      </c>
      <c r="H660" s="4">
        <v>39.79</v>
      </c>
      <c r="I660" s="4">
        <v>19.48</v>
      </c>
      <c r="J660" s="5">
        <v>0.05</v>
      </c>
      <c r="K660" s="6">
        <v>5</v>
      </c>
      <c r="L660" s="6">
        <v>5</v>
      </c>
      <c r="M660" t="s">
        <v>58</v>
      </c>
      <c r="N660" t="s">
        <v>87</v>
      </c>
      <c r="O660" t="s">
        <v>60</v>
      </c>
      <c r="P660" t="str">
        <f t="shared" si="70"/>
        <v>Individual</v>
      </c>
      <c r="Q660" t="str">
        <f t="shared" si="71"/>
        <v>Midlands</v>
      </c>
      <c r="R660" t="str">
        <f>PROPER(TRIM(E660))</f>
        <v>Home &amp; Kitchen</v>
      </c>
      <c r="S660" s="27">
        <f>IF(ISTEXT(B660),DATEVALUE(B660),B660)</f>
        <v>45911</v>
      </c>
      <c r="T660" s="27">
        <f>COUNTIF($A$2:$A$1986,A660)</f>
        <v>1</v>
      </c>
      <c r="U660" s="27" t="str">
        <f t="shared" si="72"/>
        <v>Electric Kettle</v>
      </c>
      <c r="V660" s="27">
        <f t="shared" si="73"/>
        <v>75.600999999999999</v>
      </c>
      <c r="W660" s="27">
        <f t="shared" si="74"/>
        <v>38.96</v>
      </c>
      <c r="X660" s="27">
        <f>RawSalesTable3[[#This Row],[Revenue]]-RawSalesTable3[[#This Row],[Total_Cost]]</f>
        <v>36.640999999999998</v>
      </c>
      <c r="Y660" s="28">
        <f>RawSalesTable3[[#This Row],[Profit]]/RawSalesTable3[[#This Row],[Revenue]]</f>
        <v>0.4846629012843745</v>
      </c>
      <c r="Z660" s="27" t="str">
        <f>TEXT(RawSalesTable3[[#This Row],[Order_Date_Clean]],"MMM YYYY")</f>
        <v>Sep 2025</v>
      </c>
      <c r="AA660" s="27"/>
      <c r="AB660" s="27">
        <f t="shared" si="75"/>
        <v>0</v>
      </c>
      <c r="AC660" s="27">
        <f t="shared" si="76"/>
        <v>0</v>
      </c>
    </row>
    <row r="661" spans="1:29">
      <c r="A661" t="s">
        <v>760</v>
      </c>
      <c r="B661" s="3">
        <v>45861</v>
      </c>
      <c r="C661" t="s">
        <v>66</v>
      </c>
      <c r="D661" t="s">
        <v>62</v>
      </c>
      <c r="E661" t="s">
        <v>79</v>
      </c>
      <c r="F661" t="s">
        <v>92</v>
      </c>
      <c r="G661" s="6">
        <v>1</v>
      </c>
      <c r="H661" s="4">
        <v>50.04</v>
      </c>
      <c r="I661" s="4">
        <v>25.91</v>
      </c>
      <c r="J661" s="5">
        <v>0.15000000000000002</v>
      </c>
      <c r="K661" s="6">
        <v>0</v>
      </c>
      <c r="L661" s="6">
        <v>4</v>
      </c>
      <c r="M661" t="s">
        <v>58</v>
      </c>
      <c r="N661" t="s">
        <v>69</v>
      </c>
      <c r="O661" t="s">
        <v>73</v>
      </c>
      <c r="P661" t="str">
        <f t="shared" si="70"/>
        <v>Individual</v>
      </c>
      <c r="Q661" t="str">
        <f t="shared" si="71"/>
        <v>South</v>
      </c>
      <c r="R661" t="str">
        <f>PROPER(TRIM(E661))</f>
        <v>Electronics</v>
      </c>
      <c r="S661" s="27">
        <f>IF(ISTEXT(B661),DATEVALUE(B661),B661)</f>
        <v>45861</v>
      </c>
      <c r="T661" s="27">
        <f>COUNTIF($A$2:$A$1986,A661)</f>
        <v>1</v>
      </c>
      <c r="U661" s="27" t="str">
        <f t="shared" si="72"/>
        <v>Webcam</v>
      </c>
      <c r="V661" s="27">
        <f t="shared" si="73"/>
        <v>42.533999999999999</v>
      </c>
      <c r="W661" s="27">
        <f t="shared" si="74"/>
        <v>25.91</v>
      </c>
      <c r="X661" s="27">
        <f>RawSalesTable3[[#This Row],[Revenue]]-RawSalesTable3[[#This Row],[Total_Cost]]</f>
        <v>16.623999999999999</v>
      </c>
      <c r="Y661" s="28">
        <f>RawSalesTable3[[#This Row],[Profit]]/RawSalesTable3[[#This Row],[Revenue]]</f>
        <v>0.39084026896130153</v>
      </c>
      <c r="Z661" s="27" t="str">
        <f>TEXT(RawSalesTable3[[#This Row],[Order_Date_Clean]],"MMM YYYY")</f>
        <v>Jul 2025</v>
      </c>
      <c r="AA661" s="27"/>
      <c r="AB661" s="27">
        <f t="shared" si="75"/>
        <v>0</v>
      </c>
      <c r="AC661" s="27">
        <f t="shared" si="76"/>
        <v>0</v>
      </c>
    </row>
    <row r="662" spans="1:29">
      <c r="A662" t="s">
        <v>761</v>
      </c>
      <c r="B662" s="3">
        <v>46016</v>
      </c>
      <c r="C662" t="s">
        <v>66</v>
      </c>
      <c r="D662" t="s">
        <v>129</v>
      </c>
      <c r="E662" t="s">
        <v>75</v>
      </c>
      <c r="F662" t="s">
        <v>76</v>
      </c>
      <c r="G662" s="6">
        <v>3</v>
      </c>
      <c r="H662" s="4">
        <v>116.65</v>
      </c>
      <c r="I662" s="4">
        <v>73.36</v>
      </c>
      <c r="J662" s="5">
        <v>0.2</v>
      </c>
      <c r="K662" s="6">
        <v>6</v>
      </c>
      <c r="L662" s="6">
        <v>4</v>
      </c>
      <c r="M662" t="s">
        <v>58</v>
      </c>
      <c r="N662" t="s">
        <v>69</v>
      </c>
      <c r="O662" t="s">
        <v>64</v>
      </c>
      <c r="P662" t="str">
        <f t="shared" si="70"/>
        <v>Corporate</v>
      </c>
      <c r="Q662" t="str">
        <f t="shared" si="71"/>
        <v>South</v>
      </c>
      <c r="R662" t="str">
        <f>PROPER(TRIM(E662))</f>
        <v>Furniture</v>
      </c>
      <c r="S662" s="27">
        <f>IF(ISTEXT(B662),DATEVALUE(B662),B662)</f>
        <v>46016</v>
      </c>
      <c r="T662" s="27">
        <f>COUNTIF($A$2:$A$1986,A662)</f>
        <v>1</v>
      </c>
      <c r="U662" s="27" t="str">
        <f t="shared" si="72"/>
        <v>Bookshelf</v>
      </c>
      <c r="V662" s="27">
        <f t="shared" si="73"/>
        <v>279.96000000000004</v>
      </c>
      <c r="W662" s="27">
        <f t="shared" si="74"/>
        <v>220.07999999999998</v>
      </c>
      <c r="X662" s="27">
        <f>RawSalesTable3[[#This Row],[Revenue]]-RawSalesTable3[[#This Row],[Total_Cost]]</f>
        <v>59.880000000000052</v>
      </c>
      <c r="Y662" s="28">
        <f>RawSalesTable3[[#This Row],[Profit]]/RawSalesTable3[[#This Row],[Revenue]]</f>
        <v>0.21388769824260626</v>
      </c>
      <c r="Z662" s="27" t="str">
        <f>TEXT(RawSalesTable3[[#This Row],[Order_Date_Clean]],"MMM YYYY")</f>
        <v>Dec 2025</v>
      </c>
      <c r="AA662" s="27"/>
      <c r="AB662" s="27">
        <f t="shared" si="75"/>
        <v>0</v>
      </c>
      <c r="AC662" s="27">
        <f t="shared" si="76"/>
        <v>0</v>
      </c>
    </row>
    <row r="663" spans="1:29">
      <c r="A663" t="s">
        <v>762</v>
      </c>
      <c r="B663" s="3">
        <v>46010</v>
      </c>
      <c r="C663" t="s">
        <v>78</v>
      </c>
      <c r="D663" t="s">
        <v>62</v>
      </c>
      <c r="E663" t="s">
        <v>56</v>
      </c>
      <c r="F663" t="s">
        <v>63</v>
      </c>
      <c r="G663" s="6">
        <v>1</v>
      </c>
      <c r="H663" s="4">
        <v>38.799999999999997</v>
      </c>
      <c r="I663" s="4">
        <v>20.12</v>
      </c>
      <c r="J663" s="5">
        <v>0.05</v>
      </c>
      <c r="K663" s="6">
        <v>3</v>
      </c>
      <c r="L663" s="6">
        <v>3</v>
      </c>
      <c r="M663" t="s">
        <v>126</v>
      </c>
      <c r="N663" t="s">
        <v>59</v>
      </c>
      <c r="O663" t="s">
        <v>64</v>
      </c>
      <c r="P663" t="str">
        <f t="shared" si="70"/>
        <v>Individual</v>
      </c>
      <c r="Q663" t="str">
        <f t="shared" si="71"/>
        <v>London</v>
      </c>
      <c r="R663" t="str">
        <f>PROPER(TRIM(E663))</f>
        <v>Home &amp; Kitchen</v>
      </c>
      <c r="S663" s="27">
        <f>IF(ISTEXT(B663),DATEVALUE(B663),B663)</f>
        <v>46010</v>
      </c>
      <c r="T663" s="27">
        <f>COUNTIF($A$2:$A$1986,A663)</f>
        <v>1</v>
      </c>
      <c r="U663" s="27" t="str">
        <f t="shared" si="72"/>
        <v>Electric Kettle</v>
      </c>
      <c r="V663" s="27">
        <f t="shared" si="73"/>
        <v>36.859999999999992</v>
      </c>
      <c r="W663" s="27">
        <f t="shared" si="74"/>
        <v>20.12</v>
      </c>
      <c r="X663" s="27">
        <f>RawSalesTable3[[#This Row],[Revenue]]-RawSalesTable3[[#This Row],[Total_Cost]]</f>
        <v>16.739999999999991</v>
      </c>
      <c r="Y663" s="28">
        <f>RawSalesTable3[[#This Row],[Profit]]/RawSalesTable3[[#This Row],[Revenue]]</f>
        <v>0.4541508410200758</v>
      </c>
      <c r="Z663" s="27" t="str">
        <f>TEXT(RawSalesTable3[[#This Row],[Order_Date_Clean]],"MMM YYYY")</f>
        <v>Dec 2025</v>
      </c>
      <c r="AA663" s="27"/>
      <c r="AB663" s="27">
        <f t="shared" si="75"/>
        <v>0</v>
      </c>
      <c r="AC663" s="27">
        <f t="shared" si="76"/>
        <v>0</v>
      </c>
    </row>
    <row r="664" spans="1:29">
      <c r="A664" t="s">
        <v>763</v>
      </c>
      <c r="B664" s="3">
        <v>45830</v>
      </c>
      <c r="C664" t="s">
        <v>54</v>
      </c>
      <c r="D664" t="s">
        <v>62</v>
      </c>
      <c r="E664" t="s">
        <v>56</v>
      </c>
      <c r="F664" t="s">
        <v>89</v>
      </c>
      <c r="G664" s="6">
        <v>2</v>
      </c>
      <c r="H664" s="4">
        <v>82.75</v>
      </c>
      <c r="I664" s="4">
        <v>46.73</v>
      </c>
      <c r="J664" s="5">
        <v>0</v>
      </c>
      <c r="K664" s="6">
        <v>2</v>
      </c>
      <c r="L664" s="6">
        <v>4</v>
      </c>
      <c r="M664" t="s">
        <v>58</v>
      </c>
      <c r="N664" t="s">
        <v>87</v>
      </c>
      <c r="O664" t="s">
        <v>64</v>
      </c>
      <c r="P664" t="str">
        <f t="shared" si="70"/>
        <v>Individual</v>
      </c>
      <c r="Q664" t="str">
        <f t="shared" si="71"/>
        <v>North</v>
      </c>
      <c r="R664" t="str">
        <f>PROPER(TRIM(E664))</f>
        <v>Home &amp; Kitchen</v>
      </c>
      <c r="S664" s="27">
        <f>IF(ISTEXT(B664),DATEVALUE(B664),B664)</f>
        <v>45830</v>
      </c>
      <c r="T664" s="27">
        <f>COUNTIF($A$2:$A$1986,A664)</f>
        <v>1</v>
      </c>
      <c r="U664" s="27" t="str">
        <f t="shared" si="72"/>
        <v>Coffee Maker</v>
      </c>
      <c r="V664" s="27">
        <f t="shared" si="73"/>
        <v>165.5</v>
      </c>
      <c r="W664" s="27">
        <f t="shared" si="74"/>
        <v>93.46</v>
      </c>
      <c r="X664" s="27">
        <f>RawSalesTable3[[#This Row],[Revenue]]-RawSalesTable3[[#This Row],[Total_Cost]]</f>
        <v>72.040000000000006</v>
      </c>
      <c r="Y664" s="28">
        <f>RawSalesTable3[[#This Row],[Profit]]/RawSalesTable3[[#This Row],[Revenue]]</f>
        <v>0.43528700906344414</v>
      </c>
      <c r="Z664" s="27" t="str">
        <f>TEXT(RawSalesTable3[[#This Row],[Order_Date_Clean]],"MMM YYYY")</f>
        <v>Jun 2025</v>
      </c>
      <c r="AA664" s="27"/>
      <c r="AB664" s="27">
        <f t="shared" si="75"/>
        <v>0</v>
      </c>
      <c r="AC664" s="27">
        <f t="shared" si="76"/>
        <v>0</v>
      </c>
    </row>
    <row r="665" spans="1:29">
      <c r="A665" t="s">
        <v>764</v>
      </c>
      <c r="B665" s="3">
        <v>45896</v>
      </c>
      <c r="C665" t="s">
        <v>82</v>
      </c>
      <c r="D665" t="s">
        <v>62</v>
      </c>
      <c r="E665" t="s">
        <v>79</v>
      </c>
      <c r="F665" t="s">
        <v>115</v>
      </c>
      <c r="G665" s="6">
        <v>1</v>
      </c>
      <c r="H665" s="4">
        <v>61.56</v>
      </c>
      <c r="I665" s="4">
        <v>33.700000000000003</v>
      </c>
      <c r="J665" s="5">
        <v>0</v>
      </c>
      <c r="K665" s="6">
        <v>4</v>
      </c>
      <c r="L665" s="6">
        <v>4</v>
      </c>
      <c r="M665" t="s">
        <v>58</v>
      </c>
      <c r="N665" t="s">
        <v>69</v>
      </c>
      <c r="O665" t="s">
        <v>64</v>
      </c>
      <c r="P665" t="str">
        <f t="shared" si="70"/>
        <v>Individual</v>
      </c>
      <c r="Q665" t="str">
        <f t="shared" si="71"/>
        <v>Midlands</v>
      </c>
      <c r="R665" t="str">
        <f>PROPER(TRIM(E665))</f>
        <v>Electronics</v>
      </c>
      <c r="S665" s="27">
        <f>IF(ISTEXT(B665),DATEVALUE(B665),B665)</f>
        <v>45896</v>
      </c>
      <c r="T665" s="27">
        <f>COUNTIF($A$2:$A$1986,A665)</f>
        <v>1</v>
      </c>
      <c r="U665" s="27" t="str">
        <f t="shared" si="72"/>
        <v>Wireless Headset</v>
      </c>
      <c r="V665" s="27">
        <f t="shared" si="73"/>
        <v>61.56</v>
      </c>
      <c r="W665" s="27">
        <f t="shared" si="74"/>
        <v>33.700000000000003</v>
      </c>
      <c r="X665" s="27">
        <f>RawSalesTable3[[#This Row],[Revenue]]-RawSalesTable3[[#This Row],[Total_Cost]]</f>
        <v>27.86</v>
      </c>
      <c r="Y665" s="28">
        <f>RawSalesTable3[[#This Row],[Profit]]/RawSalesTable3[[#This Row],[Revenue]]</f>
        <v>0.45256660168940865</v>
      </c>
      <c r="Z665" s="27" t="str">
        <f>TEXT(RawSalesTable3[[#This Row],[Order_Date_Clean]],"MMM YYYY")</f>
        <v>Aug 2025</v>
      </c>
      <c r="AA665" s="27"/>
      <c r="AB665" s="27">
        <f t="shared" si="75"/>
        <v>0</v>
      </c>
      <c r="AC665" s="27">
        <f t="shared" si="76"/>
        <v>0</v>
      </c>
    </row>
    <row r="666" spans="1:29">
      <c r="A666" t="s">
        <v>765</v>
      </c>
      <c r="B666" s="3">
        <v>45930</v>
      </c>
      <c r="C666" t="s">
        <v>54</v>
      </c>
      <c r="D666" t="s">
        <v>129</v>
      </c>
      <c r="E666" t="s">
        <v>56</v>
      </c>
      <c r="F666" t="s">
        <v>89</v>
      </c>
      <c r="G666" s="6">
        <v>5</v>
      </c>
      <c r="H666" s="4">
        <v>81.39</v>
      </c>
      <c r="I666" s="4">
        <v>44.73</v>
      </c>
      <c r="J666" s="5">
        <v>0.05</v>
      </c>
      <c r="K666" s="6">
        <v>4</v>
      </c>
      <c r="L666" s="6">
        <v>5</v>
      </c>
      <c r="M666" t="s">
        <v>58</v>
      </c>
      <c r="N666" t="s">
        <v>87</v>
      </c>
      <c r="O666" t="s">
        <v>60</v>
      </c>
      <c r="P666" t="str">
        <f t="shared" si="70"/>
        <v>Corporate</v>
      </c>
      <c r="Q666" t="str">
        <f t="shared" si="71"/>
        <v>North</v>
      </c>
      <c r="R666" t="str">
        <f>PROPER(TRIM(E666))</f>
        <v>Home &amp; Kitchen</v>
      </c>
      <c r="S666" s="27">
        <f>IF(ISTEXT(B666),DATEVALUE(B666),B666)</f>
        <v>45930</v>
      </c>
      <c r="T666" s="27">
        <f>COUNTIF($A$2:$A$1986,A666)</f>
        <v>1</v>
      </c>
      <c r="U666" s="27" t="str">
        <f t="shared" si="72"/>
        <v>Coffee Maker</v>
      </c>
      <c r="V666" s="27">
        <f t="shared" si="73"/>
        <v>386.60249999999996</v>
      </c>
      <c r="W666" s="27">
        <f t="shared" si="74"/>
        <v>223.64999999999998</v>
      </c>
      <c r="X666" s="27">
        <f>RawSalesTable3[[#This Row],[Revenue]]-RawSalesTable3[[#This Row],[Total_Cost]]</f>
        <v>162.95249999999999</v>
      </c>
      <c r="Y666" s="28">
        <f>RawSalesTable3[[#This Row],[Profit]]/RawSalesTable3[[#This Row],[Revenue]]</f>
        <v>0.4214988263138495</v>
      </c>
      <c r="Z666" s="27" t="str">
        <f>TEXT(RawSalesTable3[[#This Row],[Order_Date_Clean]],"MMM YYYY")</f>
        <v>Sep 2025</v>
      </c>
      <c r="AA666" s="27"/>
      <c r="AB666" s="27">
        <f t="shared" si="75"/>
        <v>0</v>
      </c>
      <c r="AC666" s="27">
        <f t="shared" si="76"/>
        <v>0</v>
      </c>
    </row>
    <row r="667" spans="1:29">
      <c r="A667" t="s">
        <v>766</v>
      </c>
      <c r="B667" s="3">
        <v>45843</v>
      </c>
      <c r="C667" t="s">
        <v>66</v>
      </c>
      <c r="D667" t="s">
        <v>55</v>
      </c>
      <c r="E667" t="s">
        <v>75</v>
      </c>
      <c r="F667" t="s">
        <v>97</v>
      </c>
      <c r="G667" s="6">
        <v>2</v>
      </c>
      <c r="H667" s="4">
        <v>91.38</v>
      </c>
      <c r="I667" s="4">
        <v>54.47</v>
      </c>
      <c r="J667" s="5">
        <v>0.15000000000000002</v>
      </c>
      <c r="K667" s="6">
        <v>2</v>
      </c>
      <c r="L667" s="6">
        <v>4</v>
      </c>
      <c r="M667" t="s">
        <v>58</v>
      </c>
      <c r="N667" t="s">
        <v>69</v>
      </c>
      <c r="O667" t="s">
        <v>64</v>
      </c>
      <c r="P667" t="str">
        <f t="shared" si="70"/>
        <v>Small Business</v>
      </c>
      <c r="Q667" t="str">
        <f t="shared" si="71"/>
        <v>South</v>
      </c>
      <c r="R667" t="str">
        <f>PROPER(TRIM(E667))</f>
        <v>Furniture</v>
      </c>
      <c r="S667" s="27">
        <f>IF(ISTEXT(B667),DATEVALUE(B667),B667)</f>
        <v>45843</v>
      </c>
      <c r="T667" s="27">
        <f>COUNTIF($A$2:$A$1986,A667)</f>
        <v>1</v>
      </c>
      <c r="U667" s="27" t="str">
        <f t="shared" si="72"/>
        <v>Side Table</v>
      </c>
      <c r="V667" s="27">
        <f t="shared" si="73"/>
        <v>155.34599999999998</v>
      </c>
      <c r="W667" s="27">
        <f t="shared" si="74"/>
        <v>108.94</v>
      </c>
      <c r="X667" s="27">
        <f>RawSalesTable3[[#This Row],[Revenue]]-RawSalesTable3[[#This Row],[Total_Cost]]</f>
        <v>46.405999999999977</v>
      </c>
      <c r="Y667" s="28">
        <f>RawSalesTable3[[#This Row],[Profit]]/RawSalesTable3[[#This Row],[Revenue]]</f>
        <v>0.29872671327230815</v>
      </c>
      <c r="Z667" s="27" t="str">
        <f>TEXT(RawSalesTable3[[#This Row],[Order_Date_Clean]],"MMM YYYY")</f>
        <v>Jul 2025</v>
      </c>
      <c r="AA667" s="27"/>
      <c r="AB667" s="27">
        <f t="shared" si="75"/>
        <v>0</v>
      </c>
      <c r="AC667" s="27">
        <f t="shared" si="76"/>
        <v>0</v>
      </c>
    </row>
    <row r="668" spans="1:29">
      <c r="A668" t="s">
        <v>767</v>
      </c>
      <c r="B668" s="3">
        <v>45838</v>
      </c>
      <c r="C668" t="s">
        <v>78</v>
      </c>
      <c r="D668" t="s">
        <v>62</v>
      </c>
      <c r="E668" t="s">
        <v>67</v>
      </c>
      <c r="F668" t="s">
        <v>71</v>
      </c>
      <c r="G668" s="6">
        <v>4</v>
      </c>
      <c r="H668" s="4">
        <v>70.19</v>
      </c>
      <c r="I668" s="4">
        <v>37.130000000000003</v>
      </c>
      <c r="J668" s="5">
        <v>0</v>
      </c>
      <c r="K668" s="6">
        <v>5</v>
      </c>
      <c r="L668" s="6">
        <v>5</v>
      </c>
      <c r="M668" t="s">
        <v>58</v>
      </c>
      <c r="N668" t="s">
        <v>87</v>
      </c>
      <c r="O668" t="s">
        <v>73</v>
      </c>
      <c r="P668" t="str">
        <f t="shared" si="70"/>
        <v>Individual</v>
      </c>
      <c r="Q668" t="str">
        <f t="shared" si="71"/>
        <v>London</v>
      </c>
      <c r="R668" t="str">
        <f>PROPER(TRIM(E668))</f>
        <v>Office</v>
      </c>
      <c r="S668" s="27">
        <f>IF(ISTEXT(B668),DATEVALUE(B668),B668)</f>
        <v>45838</v>
      </c>
      <c r="T668" s="27">
        <f>COUNTIF($A$2:$A$1986,A668)</f>
        <v>1</v>
      </c>
      <c r="U668" s="27" t="str">
        <f t="shared" si="72"/>
        <v>Ergonomic Keyboard</v>
      </c>
      <c r="V668" s="27">
        <f t="shared" si="73"/>
        <v>280.76</v>
      </c>
      <c r="W668" s="27">
        <f t="shared" si="74"/>
        <v>148.52000000000001</v>
      </c>
      <c r="X668" s="27">
        <f>RawSalesTable3[[#This Row],[Revenue]]-RawSalesTable3[[#This Row],[Total_Cost]]</f>
        <v>132.23999999999998</v>
      </c>
      <c r="Y668" s="28">
        <f>RawSalesTable3[[#This Row],[Profit]]/RawSalesTable3[[#This Row],[Revenue]]</f>
        <v>0.47100726599230652</v>
      </c>
      <c r="Z668" s="27" t="str">
        <f>TEXT(RawSalesTable3[[#This Row],[Order_Date_Clean]],"MMM YYYY")</f>
        <v>Jun 2025</v>
      </c>
      <c r="AA668" s="27"/>
      <c r="AB668" s="27">
        <f t="shared" si="75"/>
        <v>0</v>
      </c>
      <c r="AC668" s="27">
        <f t="shared" si="76"/>
        <v>0</v>
      </c>
    </row>
    <row r="669" spans="1:29">
      <c r="A669" t="s">
        <v>768</v>
      </c>
      <c r="B669" s="3">
        <v>45906</v>
      </c>
      <c r="C669" t="s">
        <v>54</v>
      </c>
      <c r="D669" t="s">
        <v>55</v>
      </c>
      <c r="E669" t="s">
        <v>56</v>
      </c>
      <c r="F669" t="s">
        <v>83</v>
      </c>
      <c r="G669" s="6">
        <v>3</v>
      </c>
      <c r="H669" s="4">
        <v>67.12</v>
      </c>
      <c r="I669" s="4">
        <v>34.880000000000003</v>
      </c>
      <c r="J669" s="5">
        <v>0.05</v>
      </c>
      <c r="K669" s="6">
        <v>1</v>
      </c>
      <c r="L669" s="6">
        <v>5</v>
      </c>
      <c r="M669" t="s">
        <v>58</v>
      </c>
      <c r="N669" t="s">
        <v>69</v>
      </c>
      <c r="O669" t="s">
        <v>73</v>
      </c>
      <c r="P669" t="str">
        <f t="shared" si="70"/>
        <v>Small Business</v>
      </c>
      <c r="Q669" t="str">
        <f t="shared" si="71"/>
        <v>North</v>
      </c>
      <c r="R669" t="str">
        <f>PROPER(TRIM(E669))</f>
        <v>Home &amp; Kitchen</v>
      </c>
      <c r="S669" s="27">
        <f>IF(ISTEXT(B669),DATEVALUE(B669),B669)</f>
        <v>45906</v>
      </c>
      <c r="T669" s="27">
        <f>COUNTIF($A$2:$A$1986,A669)</f>
        <v>1</v>
      </c>
      <c r="U669" s="27" t="str">
        <f t="shared" si="72"/>
        <v>Blender</v>
      </c>
      <c r="V669" s="27">
        <f t="shared" si="73"/>
        <v>191.292</v>
      </c>
      <c r="W669" s="27">
        <f t="shared" si="74"/>
        <v>104.64000000000001</v>
      </c>
      <c r="X669" s="27">
        <f>RawSalesTable3[[#This Row],[Revenue]]-RawSalesTable3[[#This Row],[Total_Cost]]</f>
        <v>86.651999999999987</v>
      </c>
      <c r="Y669" s="28">
        <f>RawSalesTable3[[#This Row],[Profit]]/RawSalesTable3[[#This Row],[Revenue]]</f>
        <v>0.45298287434916246</v>
      </c>
      <c r="Z669" s="27" t="str">
        <f>TEXT(RawSalesTable3[[#This Row],[Order_Date_Clean]],"MMM YYYY")</f>
        <v>Sep 2025</v>
      </c>
      <c r="AA669" s="27"/>
      <c r="AB669" s="27">
        <f t="shared" si="75"/>
        <v>0</v>
      </c>
      <c r="AC669" s="27">
        <f t="shared" si="76"/>
        <v>0</v>
      </c>
    </row>
    <row r="670" spans="1:29">
      <c r="A670" t="s">
        <v>769</v>
      </c>
      <c r="B670" s="3">
        <v>45843</v>
      </c>
      <c r="C670" t="s">
        <v>66</v>
      </c>
      <c r="D670" t="s">
        <v>62</v>
      </c>
      <c r="E670" t="s">
        <v>67</v>
      </c>
      <c r="F670" t="s">
        <v>71</v>
      </c>
      <c r="G670" s="6">
        <v>3</v>
      </c>
      <c r="H670" s="4">
        <v>69.77</v>
      </c>
      <c r="I670" s="4">
        <v>37.35</v>
      </c>
      <c r="J670" s="5">
        <v>0</v>
      </c>
      <c r="K670" s="6">
        <v>4</v>
      </c>
      <c r="L670" s="6">
        <v>4</v>
      </c>
      <c r="M670" t="s">
        <v>58</v>
      </c>
      <c r="N670" t="s">
        <v>69</v>
      </c>
      <c r="O670" t="s">
        <v>64</v>
      </c>
      <c r="P670" t="str">
        <f t="shared" si="70"/>
        <v>Individual</v>
      </c>
      <c r="Q670" t="str">
        <f t="shared" si="71"/>
        <v>South</v>
      </c>
      <c r="R670" t="str">
        <f>PROPER(TRIM(E670))</f>
        <v>Office</v>
      </c>
      <c r="S670" s="27">
        <f>IF(ISTEXT(B670),DATEVALUE(B670),B670)</f>
        <v>45843</v>
      </c>
      <c r="T670" s="27">
        <f>COUNTIF($A$2:$A$1986,A670)</f>
        <v>1</v>
      </c>
      <c r="U670" s="27" t="str">
        <f t="shared" si="72"/>
        <v>Ergonomic Keyboard</v>
      </c>
      <c r="V670" s="27">
        <f t="shared" si="73"/>
        <v>209.31</v>
      </c>
      <c r="W670" s="27">
        <f t="shared" si="74"/>
        <v>112.05000000000001</v>
      </c>
      <c r="X670" s="27">
        <f>RawSalesTable3[[#This Row],[Revenue]]-RawSalesTable3[[#This Row],[Total_Cost]]</f>
        <v>97.259999999999991</v>
      </c>
      <c r="Y670" s="28">
        <f>RawSalesTable3[[#This Row],[Profit]]/RawSalesTable3[[#This Row],[Revenue]]</f>
        <v>0.46466962878027801</v>
      </c>
      <c r="Z670" s="27" t="str">
        <f>TEXT(RawSalesTable3[[#This Row],[Order_Date_Clean]],"MMM YYYY")</f>
        <v>Jul 2025</v>
      </c>
      <c r="AA670" s="27"/>
      <c r="AB670" s="27">
        <f t="shared" si="75"/>
        <v>0</v>
      </c>
      <c r="AC670" s="27">
        <f t="shared" si="76"/>
        <v>0</v>
      </c>
    </row>
    <row r="671" spans="1:29">
      <c r="A671" t="s">
        <v>770</v>
      </c>
      <c r="B671" s="3">
        <v>45798</v>
      </c>
      <c r="C671" t="s">
        <v>78</v>
      </c>
      <c r="D671" t="s">
        <v>62</v>
      </c>
      <c r="E671" t="s">
        <v>67</v>
      </c>
      <c r="F671" t="s">
        <v>71</v>
      </c>
      <c r="G671" s="6">
        <v>1</v>
      </c>
      <c r="H671" s="4">
        <v>72.099999999999994</v>
      </c>
      <c r="I671" s="4">
        <v>38.9</v>
      </c>
      <c r="J671" s="5">
        <v>0</v>
      </c>
      <c r="K671" s="6">
        <v>6</v>
      </c>
      <c r="L671" s="6">
        <v>4</v>
      </c>
      <c r="M671" t="s">
        <v>58</v>
      </c>
      <c r="N671" t="s">
        <v>59</v>
      </c>
      <c r="O671" t="s">
        <v>64</v>
      </c>
      <c r="P671" t="str">
        <f t="shared" si="70"/>
        <v>Individual</v>
      </c>
      <c r="Q671" t="str">
        <f t="shared" si="71"/>
        <v>London</v>
      </c>
      <c r="R671" t="str">
        <f>PROPER(TRIM(E671))</f>
        <v>Office</v>
      </c>
      <c r="S671" s="27">
        <f>IF(ISTEXT(B671),DATEVALUE(B671),B671)</f>
        <v>45798</v>
      </c>
      <c r="T671" s="27">
        <f>COUNTIF($A$2:$A$1986,A671)</f>
        <v>1</v>
      </c>
      <c r="U671" s="27" t="str">
        <f t="shared" si="72"/>
        <v>Ergonomic Keyboard</v>
      </c>
      <c r="V671" s="27">
        <f t="shared" si="73"/>
        <v>72.099999999999994</v>
      </c>
      <c r="W671" s="27">
        <f t="shared" si="74"/>
        <v>38.9</v>
      </c>
      <c r="X671" s="27">
        <f>RawSalesTable3[[#This Row],[Revenue]]-RawSalesTable3[[#This Row],[Total_Cost]]</f>
        <v>33.199999999999996</v>
      </c>
      <c r="Y671" s="28">
        <f>RawSalesTable3[[#This Row],[Profit]]/RawSalesTable3[[#This Row],[Revenue]]</f>
        <v>0.46047156726768373</v>
      </c>
      <c r="Z671" s="27" t="str">
        <f>TEXT(RawSalesTable3[[#This Row],[Order_Date_Clean]],"MMM YYYY")</f>
        <v>May 2025</v>
      </c>
      <c r="AA671" s="27"/>
      <c r="AB671" s="27">
        <f t="shared" si="75"/>
        <v>0</v>
      </c>
      <c r="AC671" s="27">
        <f t="shared" si="76"/>
        <v>0</v>
      </c>
    </row>
    <row r="672" spans="1:29">
      <c r="A672" t="s">
        <v>771</v>
      </c>
      <c r="B672" s="3">
        <v>45761</v>
      </c>
      <c r="C672" t="s">
        <v>66</v>
      </c>
      <c r="D672" t="s">
        <v>129</v>
      </c>
      <c r="E672" t="s">
        <v>75</v>
      </c>
      <c r="F672" t="s">
        <v>146</v>
      </c>
      <c r="G672" s="6">
        <v>4</v>
      </c>
      <c r="H672" s="4">
        <v>184.62</v>
      </c>
      <c r="I672" s="4">
        <v>112.06</v>
      </c>
      <c r="J672" s="5">
        <v>0.1</v>
      </c>
      <c r="K672" s="6">
        <v>7</v>
      </c>
      <c r="L672" s="6">
        <v>3</v>
      </c>
      <c r="M672" t="s">
        <v>58</v>
      </c>
      <c r="N672" t="s">
        <v>59</v>
      </c>
      <c r="O672" t="s">
        <v>64</v>
      </c>
      <c r="P672" t="str">
        <f t="shared" si="70"/>
        <v>Corporate</v>
      </c>
      <c r="Q672" t="str">
        <f t="shared" si="71"/>
        <v>South</v>
      </c>
      <c r="R672" t="str">
        <f>PROPER(TRIM(E672))</f>
        <v>Furniture</v>
      </c>
      <c r="S672" s="27">
        <f>IF(ISTEXT(B672),DATEVALUE(B672),B672)</f>
        <v>45761</v>
      </c>
      <c r="T672" s="27">
        <f>COUNTIF($A$2:$A$1986,A672)</f>
        <v>1</v>
      </c>
      <c r="U672" s="27" t="str">
        <f t="shared" si="72"/>
        <v>Office Chair</v>
      </c>
      <c r="V672" s="27">
        <f t="shared" si="73"/>
        <v>664.63200000000006</v>
      </c>
      <c r="W672" s="27">
        <f t="shared" si="74"/>
        <v>448.24</v>
      </c>
      <c r="X672" s="27">
        <f>RawSalesTable3[[#This Row],[Revenue]]-RawSalesTable3[[#This Row],[Total_Cost]]</f>
        <v>216.39200000000005</v>
      </c>
      <c r="Y672" s="28">
        <f>RawSalesTable3[[#This Row],[Profit]]/RawSalesTable3[[#This Row],[Revenue]]</f>
        <v>0.32558167527293302</v>
      </c>
      <c r="Z672" s="27" t="str">
        <f>TEXT(RawSalesTable3[[#This Row],[Order_Date_Clean]],"MMM YYYY")</f>
        <v>Apr 2025</v>
      </c>
      <c r="AA672" s="27"/>
      <c r="AB672" s="27">
        <f t="shared" si="75"/>
        <v>0</v>
      </c>
      <c r="AC672" s="27">
        <f t="shared" si="76"/>
        <v>0</v>
      </c>
    </row>
    <row r="673" spans="1:29">
      <c r="A673" t="s">
        <v>772</v>
      </c>
      <c r="B673" s="3">
        <v>45829</v>
      </c>
      <c r="C673" t="s">
        <v>78</v>
      </c>
      <c r="D673" t="s">
        <v>55</v>
      </c>
      <c r="E673" t="s">
        <v>79</v>
      </c>
      <c r="F673" t="s">
        <v>92</v>
      </c>
      <c r="G673" s="6">
        <v>3</v>
      </c>
      <c r="H673" s="4">
        <v>49.75</v>
      </c>
      <c r="I673" s="4">
        <v>25.4</v>
      </c>
      <c r="J673" s="5">
        <v>0.05</v>
      </c>
      <c r="K673" s="6">
        <v>3</v>
      </c>
      <c r="L673" s="6">
        <v>5</v>
      </c>
      <c r="M673" t="s">
        <v>58</v>
      </c>
      <c r="N673" t="s">
        <v>59</v>
      </c>
      <c r="O673" t="s">
        <v>64</v>
      </c>
      <c r="P673" t="str">
        <f t="shared" si="70"/>
        <v>Small Business</v>
      </c>
      <c r="Q673" t="str">
        <f t="shared" si="71"/>
        <v>London</v>
      </c>
      <c r="R673" t="str">
        <f>PROPER(TRIM(E673))</f>
        <v>Electronics</v>
      </c>
      <c r="S673" s="27">
        <f>IF(ISTEXT(B673),DATEVALUE(B673),B673)</f>
        <v>45829</v>
      </c>
      <c r="T673" s="27">
        <f>COUNTIF($A$2:$A$1986,A673)</f>
        <v>1</v>
      </c>
      <c r="U673" s="27" t="str">
        <f t="shared" si="72"/>
        <v>Webcam</v>
      </c>
      <c r="V673" s="27">
        <f t="shared" si="73"/>
        <v>141.78749999999999</v>
      </c>
      <c r="W673" s="27">
        <f t="shared" si="74"/>
        <v>76.199999999999989</v>
      </c>
      <c r="X673" s="27">
        <f>RawSalesTable3[[#This Row],[Revenue]]-RawSalesTable3[[#This Row],[Total_Cost]]</f>
        <v>65.587500000000006</v>
      </c>
      <c r="Y673" s="28">
        <f>RawSalesTable3[[#This Row],[Profit]]/RawSalesTable3[[#This Row],[Revenue]]</f>
        <v>0.46257603808516273</v>
      </c>
      <c r="Z673" s="27" t="str">
        <f>TEXT(RawSalesTable3[[#This Row],[Order_Date_Clean]],"MMM YYYY")</f>
        <v>Jun 2025</v>
      </c>
      <c r="AA673" s="27"/>
      <c r="AB673" s="27">
        <f t="shared" si="75"/>
        <v>0</v>
      </c>
      <c r="AC673" s="27">
        <f t="shared" si="76"/>
        <v>0</v>
      </c>
    </row>
    <row r="674" spans="1:29">
      <c r="A674" t="s">
        <v>773</v>
      </c>
      <c r="B674" s="3">
        <v>45908</v>
      </c>
      <c r="C674" t="s">
        <v>66</v>
      </c>
      <c r="D674" t="s">
        <v>129</v>
      </c>
      <c r="E674" t="s">
        <v>75</v>
      </c>
      <c r="F674" t="s">
        <v>97</v>
      </c>
      <c r="G674" s="6">
        <v>5</v>
      </c>
      <c r="H674" s="4">
        <v>92.65</v>
      </c>
      <c r="I674" s="4">
        <v>55.82</v>
      </c>
      <c r="J674" s="5">
        <v>0.15000000000000002</v>
      </c>
      <c r="K674" s="6">
        <v>4</v>
      </c>
      <c r="L674" s="6">
        <v>5</v>
      </c>
      <c r="M674" t="s">
        <v>58</v>
      </c>
      <c r="N674" t="s">
        <v>69</v>
      </c>
      <c r="O674" t="s">
        <v>64</v>
      </c>
      <c r="P674" t="str">
        <f t="shared" si="70"/>
        <v>Corporate</v>
      </c>
      <c r="Q674" t="str">
        <f t="shared" si="71"/>
        <v>South</v>
      </c>
      <c r="R674" t="str">
        <f>PROPER(TRIM(E674))</f>
        <v>Furniture</v>
      </c>
      <c r="S674" s="27">
        <f>IF(ISTEXT(B674),DATEVALUE(B674),B674)</f>
        <v>45908</v>
      </c>
      <c r="T674" s="27">
        <f>COUNTIF($A$2:$A$1986,A674)</f>
        <v>1</v>
      </c>
      <c r="U674" s="27" t="str">
        <f t="shared" si="72"/>
        <v>Side Table</v>
      </c>
      <c r="V674" s="27">
        <f t="shared" si="73"/>
        <v>393.76249999999999</v>
      </c>
      <c r="W674" s="27">
        <f t="shared" si="74"/>
        <v>279.10000000000002</v>
      </c>
      <c r="X674" s="27">
        <f>RawSalesTable3[[#This Row],[Revenue]]-RawSalesTable3[[#This Row],[Total_Cost]]</f>
        <v>114.66249999999997</v>
      </c>
      <c r="Y674" s="28">
        <f>RawSalesTable3[[#This Row],[Profit]]/RawSalesTable3[[#This Row],[Revenue]]</f>
        <v>0.29119710485381406</v>
      </c>
      <c r="Z674" s="27" t="str">
        <f>TEXT(RawSalesTable3[[#This Row],[Order_Date_Clean]],"MMM YYYY")</f>
        <v>Sep 2025</v>
      </c>
      <c r="AA674" s="27"/>
      <c r="AB674" s="27">
        <f t="shared" si="75"/>
        <v>0</v>
      </c>
      <c r="AC674" s="27">
        <f t="shared" si="76"/>
        <v>0</v>
      </c>
    </row>
    <row r="675" spans="1:29">
      <c r="A675" t="s">
        <v>774</v>
      </c>
      <c r="B675" s="3">
        <v>46018</v>
      </c>
      <c r="C675" t="s">
        <v>66</v>
      </c>
      <c r="D675" t="s">
        <v>129</v>
      </c>
      <c r="E675" t="s">
        <v>79</v>
      </c>
      <c r="F675" t="s">
        <v>92</v>
      </c>
      <c r="G675" s="6">
        <v>5</v>
      </c>
      <c r="H675" s="4">
        <v>49.85</v>
      </c>
      <c r="I675" s="4">
        <v>26.51</v>
      </c>
      <c r="J675" s="5">
        <v>0.2</v>
      </c>
      <c r="K675" s="6">
        <v>4</v>
      </c>
      <c r="L675" s="6">
        <v>4</v>
      </c>
      <c r="M675" t="s">
        <v>58</v>
      </c>
      <c r="N675" t="s">
        <v>59</v>
      </c>
      <c r="O675" t="s">
        <v>64</v>
      </c>
      <c r="P675" t="str">
        <f t="shared" si="70"/>
        <v>Corporate</v>
      </c>
      <c r="Q675" t="str">
        <f t="shared" si="71"/>
        <v>South</v>
      </c>
      <c r="R675" t="str">
        <f>PROPER(TRIM(E675))</f>
        <v>Electronics</v>
      </c>
      <c r="S675" s="27">
        <f>IF(ISTEXT(B675),DATEVALUE(B675),B675)</f>
        <v>46018</v>
      </c>
      <c r="T675" s="27">
        <f>COUNTIF($A$2:$A$1986,A675)</f>
        <v>1</v>
      </c>
      <c r="U675" s="27" t="str">
        <f t="shared" si="72"/>
        <v>Webcam</v>
      </c>
      <c r="V675" s="27">
        <f t="shared" si="73"/>
        <v>199.4</v>
      </c>
      <c r="W675" s="27">
        <f t="shared" si="74"/>
        <v>132.55000000000001</v>
      </c>
      <c r="X675" s="27">
        <f>RawSalesTable3[[#This Row],[Revenue]]-RawSalesTable3[[#This Row],[Total_Cost]]</f>
        <v>66.849999999999994</v>
      </c>
      <c r="Y675" s="28">
        <f>RawSalesTable3[[#This Row],[Profit]]/RawSalesTable3[[#This Row],[Revenue]]</f>
        <v>0.3352557673019057</v>
      </c>
      <c r="Z675" s="27" t="str">
        <f>TEXT(RawSalesTable3[[#This Row],[Order_Date_Clean]],"MMM YYYY")</f>
        <v>Dec 2025</v>
      </c>
      <c r="AA675" s="27"/>
      <c r="AB675" s="27">
        <f t="shared" si="75"/>
        <v>0</v>
      </c>
      <c r="AC675" s="27">
        <f t="shared" si="76"/>
        <v>0</v>
      </c>
    </row>
    <row r="676" spans="1:29">
      <c r="A676" t="s">
        <v>775</v>
      </c>
      <c r="B676" s="3">
        <v>45994</v>
      </c>
      <c r="C676" t="s">
        <v>66</v>
      </c>
      <c r="D676" t="s">
        <v>62</v>
      </c>
      <c r="E676" t="s">
        <v>79</v>
      </c>
      <c r="F676" t="s">
        <v>115</v>
      </c>
      <c r="G676" s="6">
        <v>1</v>
      </c>
      <c r="H676" s="4">
        <v>61.37</v>
      </c>
      <c r="I676" s="4">
        <v>33.33</v>
      </c>
      <c r="J676" s="5">
        <v>0.1</v>
      </c>
      <c r="K676" s="6">
        <v>4</v>
      </c>
      <c r="L676" s="6">
        <v>5</v>
      </c>
      <c r="M676" t="s">
        <v>58</v>
      </c>
      <c r="N676" t="s">
        <v>59</v>
      </c>
      <c r="O676" t="s">
        <v>64</v>
      </c>
      <c r="P676" t="str">
        <f t="shared" si="70"/>
        <v>Individual</v>
      </c>
      <c r="Q676" t="str">
        <f t="shared" si="71"/>
        <v>South</v>
      </c>
      <c r="R676" t="str">
        <f>PROPER(TRIM(E676))</f>
        <v>Electronics</v>
      </c>
      <c r="S676" s="27">
        <f>IF(ISTEXT(B676),DATEVALUE(B676),B676)</f>
        <v>45994</v>
      </c>
      <c r="T676" s="27">
        <f>COUNTIF($A$2:$A$1986,A676)</f>
        <v>1</v>
      </c>
      <c r="U676" s="27" t="str">
        <f t="shared" si="72"/>
        <v>Wireless Headset</v>
      </c>
      <c r="V676" s="27">
        <f t="shared" si="73"/>
        <v>55.232999999999997</v>
      </c>
      <c r="W676" s="27">
        <f t="shared" si="74"/>
        <v>33.33</v>
      </c>
      <c r="X676" s="27">
        <f>RawSalesTable3[[#This Row],[Revenue]]-RawSalesTable3[[#This Row],[Total_Cost]]</f>
        <v>21.902999999999999</v>
      </c>
      <c r="Y676" s="28">
        <f>RawSalesTable3[[#This Row],[Profit]]/RawSalesTable3[[#This Row],[Revenue]]</f>
        <v>0.39655640649611645</v>
      </c>
      <c r="Z676" s="27" t="str">
        <f>TEXT(RawSalesTable3[[#This Row],[Order_Date_Clean]],"MMM YYYY")</f>
        <v>Dec 2025</v>
      </c>
      <c r="AA676" s="27"/>
      <c r="AB676" s="27">
        <f t="shared" si="75"/>
        <v>0</v>
      </c>
      <c r="AC676" s="27">
        <f t="shared" si="76"/>
        <v>0</v>
      </c>
    </row>
    <row r="677" spans="1:29">
      <c r="A677" t="s">
        <v>776</v>
      </c>
      <c r="B677" s="3">
        <v>45844</v>
      </c>
      <c r="C677" t="s">
        <v>66</v>
      </c>
      <c r="D677" t="s">
        <v>62</v>
      </c>
      <c r="E677" t="s">
        <v>67</v>
      </c>
      <c r="F677" t="s">
        <v>71</v>
      </c>
      <c r="G677" s="6">
        <v>1</v>
      </c>
      <c r="H677" s="4">
        <v>70.27</v>
      </c>
      <c r="I677" s="4">
        <v>36.89</v>
      </c>
      <c r="J677" s="5">
        <v>0.05</v>
      </c>
      <c r="K677" s="6">
        <v>5</v>
      </c>
      <c r="L677" s="6">
        <v>5</v>
      </c>
      <c r="M677" t="s">
        <v>58</v>
      </c>
      <c r="N677" t="s">
        <v>87</v>
      </c>
      <c r="O677" t="s">
        <v>60</v>
      </c>
      <c r="P677" t="str">
        <f t="shared" si="70"/>
        <v>Individual</v>
      </c>
      <c r="Q677" t="str">
        <f t="shared" si="71"/>
        <v>South</v>
      </c>
      <c r="R677" t="str">
        <f>PROPER(TRIM(E677))</f>
        <v>Office</v>
      </c>
      <c r="S677" s="27">
        <f>IF(ISTEXT(B677),DATEVALUE(B677),B677)</f>
        <v>45844</v>
      </c>
      <c r="T677" s="27">
        <f>COUNTIF($A$2:$A$1986,A677)</f>
        <v>1</v>
      </c>
      <c r="U677" s="27" t="str">
        <f t="shared" si="72"/>
        <v>Ergonomic Keyboard</v>
      </c>
      <c r="V677" s="27">
        <f t="shared" si="73"/>
        <v>66.756499999999988</v>
      </c>
      <c r="W677" s="27">
        <f t="shared" si="74"/>
        <v>36.89</v>
      </c>
      <c r="X677" s="27">
        <f>RawSalesTable3[[#This Row],[Revenue]]-RawSalesTable3[[#This Row],[Total_Cost]]</f>
        <v>29.866499999999988</v>
      </c>
      <c r="Y677" s="28">
        <f>RawSalesTable3[[#This Row],[Profit]]/RawSalesTable3[[#This Row],[Revenue]]</f>
        <v>0.44739463572835592</v>
      </c>
      <c r="Z677" s="27" t="str">
        <f>TEXT(RawSalesTable3[[#This Row],[Order_Date_Clean]],"MMM YYYY")</f>
        <v>Jul 2025</v>
      </c>
      <c r="AA677" s="27"/>
      <c r="AB677" s="27">
        <f t="shared" si="75"/>
        <v>0</v>
      </c>
      <c r="AC677" s="27">
        <f t="shared" si="76"/>
        <v>0</v>
      </c>
    </row>
    <row r="678" spans="1:29">
      <c r="A678" t="s">
        <v>777</v>
      </c>
      <c r="B678" s="3">
        <v>45910</v>
      </c>
      <c r="C678" t="s">
        <v>78</v>
      </c>
      <c r="D678" t="s">
        <v>62</v>
      </c>
      <c r="E678" t="s">
        <v>67</v>
      </c>
      <c r="F678" t="s">
        <v>94</v>
      </c>
      <c r="G678" s="6">
        <v>3</v>
      </c>
      <c r="H678" s="4">
        <v>35.57</v>
      </c>
      <c r="I678" s="4">
        <v>17.260000000000002</v>
      </c>
      <c r="J678" s="5">
        <v>0.05</v>
      </c>
      <c r="K678" s="6">
        <v>7</v>
      </c>
      <c r="L678" s="6">
        <v>4</v>
      </c>
      <c r="M678" t="s">
        <v>58</v>
      </c>
      <c r="N678" t="s">
        <v>59</v>
      </c>
      <c r="O678" t="s">
        <v>64</v>
      </c>
      <c r="P678" t="str">
        <f t="shared" si="70"/>
        <v>Individual</v>
      </c>
      <c r="Q678" t="str">
        <f t="shared" si="71"/>
        <v>London</v>
      </c>
      <c r="R678" t="str">
        <f>PROPER(TRIM(E678))</f>
        <v>Office</v>
      </c>
      <c r="S678" s="27">
        <f>IF(ISTEXT(B678),DATEVALUE(B678),B678)</f>
        <v>45910</v>
      </c>
      <c r="T678" s="27">
        <f>COUNTIF($A$2:$A$1986,A678)</f>
        <v>1</v>
      </c>
      <c r="U678" s="27" t="str">
        <f t="shared" si="72"/>
        <v>Wireless Mouse</v>
      </c>
      <c r="V678" s="27">
        <f t="shared" si="73"/>
        <v>101.3745</v>
      </c>
      <c r="W678" s="27">
        <f t="shared" si="74"/>
        <v>51.78</v>
      </c>
      <c r="X678" s="27">
        <f>RawSalesTable3[[#This Row],[Revenue]]-RawSalesTable3[[#This Row],[Total_Cost]]</f>
        <v>49.594499999999996</v>
      </c>
      <c r="Y678" s="28">
        <f>RawSalesTable3[[#This Row],[Profit]]/RawSalesTable3[[#This Row],[Revenue]]</f>
        <v>0.489220662000799</v>
      </c>
      <c r="Z678" s="27" t="str">
        <f>TEXT(RawSalesTable3[[#This Row],[Order_Date_Clean]],"MMM YYYY")</f>
        <v>Sep 2025</v>
      </c>
      <c r="AA678" s="27"/>
      <c r="AB678" s="27">
        <f t="shared" si="75"/>
        <v>0</v>
      </c>
      <c r="AC678" s="27">
        <f t="shared" si="76"/>
        <v>0</v>
      </c>
    </row>
    <row r="679" spans="1:29">
      <c r="A679" t="s">
        <v>778</v>
      </c>
      <c r="B679" s="3">
        <v>45995</v>
      </c>
      <c r="C679" t="s">
        <v>66</v>
      </c>
      <c r="D679" t="s">
        <v>62</v>
      </c>
      <c r="E679" t="s">
        <v>56</v>
      </c>
      <c r="F679" t="s">
        <v>63</v>
      </c>
      <c r="G679" s="6">
        <v>1</v>
      </c>
      <c r="H679" s="4">
        <v>40.65</v>
      </c>
      <c r="I679" s="4">
        <v>19.940000000000001</v>
      </c>
      <c r="J679" s="5">
        <v>0.1</v>
      </c>
      <c r="K679" s="6">
        <v>6</v>
      </c>
      <c r="L679" s="6">
        <v>4</v>
      </c>
      <c r="M679" t="s">
        <v>58</v>
      </c>
      <c r="N679" t="s">
        <v>87</v>
      </c>
      <c r="O679" t="s">
        <v>73</v>
      </c>
      <c r="P679" t="str">
        <f t="shared" si="70"/>
        <v>Individual</v>
      </c>
      <c r="Q679" t="str">
        <f t="shared" si="71"/>
        <v>South</v>
      </c>
      <c r="R679" t="str">
        <f>PROPER(TRIM(E679))</f>
        <v>Home &amp; Kitchen</v>
      </c>
      <c r="S679" s="27">
        <f>IF(ISTEXT(B679),DATEVALUE(B679),B679)</f>
        <v>45995</v>
      </c>
      <c r="T679" s="27">
        <f>COUNTIF($A$2:$A$1986,A679)</f>
        <v>1</v>
      </c>
      <c r="U679" s="27" t="str">
        <f t="shared" si="72"/>
        <v>Electric Kettle</v>
      </c>
      <c r="V679" s="27">
        <f t="shared" si="73"/>
        <v>36.585000000000001</v>
      </c>
      <c r="W679" s="27">
        <f t="shared" si="74"/>
        <v>19.940000000000001</v>
      </c>
      <c r="X679" s="27">
        <f>RawSalesTable3[[#This Row],[Revenue]]-RawSalesTable3[[#This Row],[Total_Cost]]</f>
        <v>16.645</v>
      </c>
      <c r="Y679" s="28">
        <f>RawSalesTable3[[#This Row],[Profit]]/RawSalesTable3[[#This Row],[Revenue]]</f>
        <v>0.45496788301216345</v>
      </c>
      <c r="Z679" s="27" t="str">
        <f>TEXT(RawSalesTable3[[#This Row],[Order_Date_Clean]],"MMM YYYY")</f>
        <v>Dec 2025</v>
      </c>
      <c r="AA679" s="27"/>
      <c r="AB679" s="27">
        <f t="shared" si="75"/>
        <v>0</v>
      </c>
      <c r="AC679" s="27">
        <f t="shared" si="76"/>
        <v>0</v>
      </c>
    </row>
    <row r="680" spans="1:29">
      <c r="A680" t="s">
        <v>779</v>
      </c>
      <c r="B680" s="3">
        <v>45810</v>
      </c>
      <c r="C680" t="s">
        <v>66</v>
      </c>
      <c r="D680" t="s">
        <v>62</v>
      </c>
      <c r="E680" t="s">
        <v>79</v>
      </c>
      <c r="F680" t="s">
        <v>85</v>
      </c>
      <c r="G680" s="6">
        <v>1</v>
      </c>
      <c r="H680" s="4">
        <v>130.93</v>
      </c>
      <c r="I680" s="4">
        <v>86.16</v>
      </c>
      <c r="J680" s="5">
        <v>0.15000000000000002</v>
      </c>
      <c r="K680" s="6">
        <v>3</v>
      </c>
      <c r="L680" s="6">
        <v>3</v>
      </c>
      <c r="M680" t="s">
        <v>126</v>
      </c>
      <c r="N680" t="s">
        <v>87</v>
      </c>
      <c r="O680" t="s">
        <v>64</v>
      </c>
      <c r="P680" t="str">
        <f t="shared" si="70"/>
        <v>Individual</v>
      </c>
      <c r="Q680" t="str">
        <f t="shared" si="71"/>
        <v>South</v>
      </c>
      <c r="R680" t="str">
        <f>PROPER(TRIM(E680))</f>
        <v>Electronics</v>
      </c>
      <c r="S680" s="27">
        <f>IF(ISTEXT(B680),DATEVALUE(B680),B680)</f>
        <v>45810</v>
      </c>
      <c r="T680" s="27">
        <f>COUNTIF($A$2:$A$1986,A680)</f>
        <v>1</v>
      </c>
      <c r="U680" s="27" t="str">
        <f t="shared" si="72"/>
        <v>SmartHome Hub</v>
      </c>
      <c r="V680" s="27">
        <f t="shared" si="73"/>
        <v>111.29050000000001</v>
      </c>
      <c r="W680" s="27">
        <f t="shared" si="74"/>
        <v>86.16</v>
      </c>
      <c r="X680" s="27">
        <f>RawSalesTable3[[#This Row],[Revenue]]-RawSalesTable3[[#This Row],[Total_Cost]]</f>
        <v>25.130500000000012</v>
      </c>
      <c r="Y680" s="28">
        <f>RawSalesTable3[[#This Row],[Profit]]/RawSalesTable3[[#This Row],[Revenue]]</f>
        <v>0.22580992986822784</v>
      </c>
      <c r="Z680" s="27" t="str">
        <f>TEXT(RawSalesTable3[[#This Row],[Order_Date_Clean]],"MMM YYYY")</f>
        <v>Jun 2025</v>
      </c>
      <c r="AA680" s="27"/>
      <c r="AB680" s="27">
        <f t="shared" si="75"/>
        <v>0</v>
      </c>
      <c r="AC680" s="27">
        <f t="shared" si="76"/>
        <v>0</v>
      </c>
    </row>
    <row r="681" spans="1:29">
      <c r="A681" t="s">
        <v>780</v>
      </c>
      <c r="B681" s="3">
        <v>45746</v>
      </c>
      <c r="C681" t="s">
        <v>78</v>
      </c>
      <c r="D681" t="s">
        <v>55</v>
      </c>
      <c r="E681" t="s">
        <v>79</v>
      </c>
      <c r="F681" t="s">
        <v>115</v>
      </c>
      <c r="G681" s="6">
        <v>2</v>
      </c>
      <c r="H681" s="4">
        <v>59.76</v>
      </c>
      <c r="I681" s="4">
        <v>34.6</v>
      </c>
      <c r="J681" s="5">
        <v>0.1</v>
      </c>
      <c r="K681" s="6">
        <v>0</v>
      </c>
      <c r="L681" s="6">
        <v>4</v>
      </c>
      <c r="M681" t="s">
        <v>58</v>
      </c>
      <c r="N681" t="s">
        <v>69</v>
      </c>
      <c r="O681" t="s">
        <v>64</v>
      </c>
      <c r="P681" t="str">
        <f t="shared" si="70"/>
        <v>Small Business</v>
      </c>
      <c r="Q681" t="str">
        <f t="shared" si="71"/>
        <v>London</v>
      </c>
      <c r="R681" t="str">
        <f>PROPER(TRIM(E681))</f>
        <v>Electronics</v>
      </c>
      <c r="S681" s="27">
        <f>IF(ISTEXT(B681),DATEVALUE(B681),B681)</f>
        <v>45746</v>
      </c>
      <c r="T681" s="27">
        <f>COUNTIF($A$2:$A$1986,A681)</f>
        <v>1</v>
      </c>
      <c r="U681" s="27" t="str">
        <f t="shared" si="72"/>
        <v>Wireless Headset</v>
      </c>
      <c r="V681" s="27">
        <f t="shared" si="73"/>
        <v>107.568</v>
      </c>
      <c r="W681" s="27">
        <f t="shared" si="74"/>
        <v>69.2</v>
      </c>
      <c r="X681" s="27">
        <f>RawSalesTable3[[#This Row],[Revenue]]-RawSalesTable3[[#This Row],[Total_Cost]]</f>
        <v>38.367999999999995</v>
      </c>
      <c r="Y681" s="28">
        <f>RawSalesTable3[[#This Row],[Profit]]/RawSalesTable3[[#This Row],[Revenue]]</f>
        <v>0.35668600327234862</v>
      </c>
      <c r="Z681" s="27" t="str">
        <f>TEXT(RawSalesTable3[[#This Row],[Order_Date_Clean]],"MMM YYYY")</f>
        <v>Mar 2025</v>
      </c>
      <c r="AA681" s="27"/>
      <c r="AB681" s="27">
        <f t="shared" si="75"/>
        <v>0</v>
      </c>
      <c r="AC681" s="27">
        <f t="shared" si="76"/>
        <v>0</v>
      </c>
    </row>
    <row r="682" spans="1:29">
      <c r="A682" t="s">
        <v>781</v>
      </c>
      <c r="B682" s="3">
        <v>45982</v>
      </c>
      <c r="C682" t="s">
        <v>305</v>
      </c>
      <c r="D682" t="s">
        <v>129</v>
      </c>
      <c r="E682" t="s">
        <v>56</v>
      </c>
      <c r="F682" t="s">
        <v>89</v>
      </c>
      <c r="G682" s="6">
        <v>3</v>
      </c>
      <c r="H682" s="4">
        <v>79.430000000000007</v>
      </c>
      <c r="I682" s="4">
        <v>44.95</v>
      </c>
      <c r="J682" s="5">
        <v>0.1</v>
      </c>
      <c r="K682" s="6">
        <v>0</v>
      </c>
      <c r="L682" s="6">
        <v>5</v>
      </c>
      <c r="M682" t="s">
        <v>58</v>
      </c>
      <c r="N682" t="s">
        <v>69</v>
      </c>
      <c r="O682" t="s">
        <v>64</v>
      </c>
      <c r="P682" t="str">
        <f t="shared" si="70"/>
        <v>Corporate</v>
      </c>
      <c r="Q682" t="str">
        <f t="shared" si="71"/>
        <v>London</v>
      </c>
      <c r="R682" t="str">
        <f>PROPER(TRIM(E682))</f>
        <v>Home &amp; Kitchen</v>
      </c>
      <c r="S682" s="27">
        <f>IF(ISTEXT(B682),DATEVALUE(B682),B682)</f>
        <v>45982</v>
      </c>
      <c r="T682" s="27">
        <f>COUNTIF($A$2:$A$1986,A682)</f>
        <v>1</v>
      </c>
      <c r="U682" s="27" t="str">
        <f t="shared" si="72"/>
        <v>Coffee Maker</v>
      </c>
      <c r="V682" s="27">
        <f t="shared" si="73"/>
        <v>214.46100000000001</v>
      </c>
      <c r="W682" s="27">
        <f t="shared" si="74"/>
        <v>134.85000000000002</v>
      </c>
      <c r="X682" s="27">
        <f>RawSalesTable3[[#This Row],[Revenue]]-RawSalesTable3[[#This Row],[Total_Cost]]</f>
        <v>79.61099999999999</v>
      </c>
      <c r="Y682" s="28">
        <f>RawSalesTable3[[#This Row],[Profit]]/RawSalesTable3[[#This Row],[Revenue]]</f>
        <v>0.37121434666442843</v>
      </c>
      <c r="Z682" s="27" t="str">
        <f>TEXT(RawSalesTable3[[#This Row],[Order_Date_Clean]],"MMM YYYY")</f>
        <v>Nov 2025</v>
      </c>
      <c r="AA682" s="27"/>
      <c r="AB682" s="27">
        <f t="shared" si="75"/>
        <v>0</v>
      </c>
      <c r="AC682" s="27">
        <f t="shared" si="76"/>
        <v>0</v>
      </c>
    </row>
    <row r="683" spans="1:29">
      <c r="A683" t="s">
        <v>782</v>
      </c>
      <c r="B683" s="3">
        <v>45740</v>
      </c>
      <c r="C683" t="s">
        <v>78</v>
      </c>
      <c r="D683" t="s">
        <v>62</v>
      </c>
      <c r="E683" t="s">
        <v>75</v>
      </c>
      <c r="F683" t="s">
        <v>146</v>
      </c>
      <c r="G683" s="6">
        <v>2</v>
      </c>
      <c r="H683" s="4">
        <v>177.57</v>
      </c>
      <c r="I683" s="4">
        <v>113.06</v>
      </c>
      <c r="J683" s="5">
        <v>0</v>
      </c>
      <c r="K683" s="6">
        <v>4</v>
      </c>
      <c r="L683" s="6">
        <v>4</v>
      </c>
      <c r="M683" t="s">
        <v>58</v>
      </c>
      <c r="N683" t="s">
        <v>59</v>
      </c>
      <c r="O683" t="s">
        <v>60</v>
      </c>
      <c r="P683" t="str">
        <f t="shared" si="70"/>
        <v>Individual</v>
      </c>
      <c r="Q683" t="str">
        <f t="shared" si="71"/>
        <v>London</v>
      </c>
      <c r="R683" t="str">
        <f>PROPER(TRIM(E683))</f>
        <v>Furniture</v>
      </c>
      <c r="S683" s="27">
        <f>IF(ISTEXT(B683),DATEVALUE(B683),B683)</f>
        <v>45740</v>
      </c>
      <c r="T683" s="27">
        <f>COUNTIF($A$2:$A$1986,A683)</f>
        <v>1</v>
      </c>
      <c r="U683" s="27" t="str">
        <f t="shared" si="72"/>
        <v>Office Chair</v>
      </c>
      <c r="V683" s="27">
        <f t="shared" si="73"/>
        <v>355.14</v>
      </c>
      <c r="W683" s="27">
        <f t="shared" si="74"/>
        <v>226.12</v>
      </c>
      <c r="X683" s="27">
        <f>RawSalesTable3[[#This Row],[Revenue]]-RawSalesTable3[[#This Row],[Total_Cost]]</f>
        <v>129.01999999999998</v>
      </c>
      <c r="Y683" s="28">
        <f>RawSalesTable3[[#This Row],[Profit]]/RawSalesTable3[[#This Row],[Revenue]]</f>
        <v>0.36329334910176264</v>
      </c>
      <c r="Z683" s="27" t="str">
        <f>TEXT(RawSalesTable3[[#This Row],[Order_Date_Clean]],"MMM YYYY")</f>
        <v>Mar 2025</v>
      </c>
      <c r="AA683" s="27"/>
      <c r="AB683" s="27">
        <f t="shared" si="75"/>
        <v>0</v>
      </c>
      <c r="AC683" s="27">
        <f t="shared" si="76"/>
        <v>0</v>
      </c>
    </row>
    <row r="684" spans="1:29">
      <c r="A684" t="s">
        <v>783</v>
      </c>
      <c r="B684" s="3">
        <v>45897</v>
      </c>
      <c r="C684" t="s">
        <v>78</v>
      </c>
      <c r="D684" t="s">
        <v>62</v>
      </c>
      <c r="E684" t="s">
        <v>67</v>
      </c>
      <c r="F684" t="s">
        <v>68</v>
      </c>
      <c r="G684" s="6">
        <v>1</v>
      </c>
      <c r="H684" s="4">
        <v>40.69</v>
      </c>
      <c r="I684" s="4">
        <v>18.87</v>
      </c>
      <c r="J684" s="5">
        <v>0.1</v>
      </c>
      <c r="K684" s="6">
        <v>5</v>
      </c>
      <c r="L684" s="6">
        <v>4</v>
      </c>
      <c r="M684" t="s">
        <v>58</v>
      </c>
      <c r="N684" t="s">
        <v>59</v>
      </c>
      <c r="O684" t="s">
        <v>73</v>
      </c>
      <c r="P684" t="str">
        <f t="shared" si="70"/>
        <v>Individual</v>
      </c>
      <c r="Q684" t="str">
        <f t="shared" si="71"/>
        <v>London</v>
      </c>
      <c r="R684" t="str">
        <f>PROPER(TRIM(E684))</f>
        <v>Office</v>
      </c>
      <c r="S684" s="27">
        <f>IF(ISTEXT(B684),DATEVALUE(B684),B684)</f>
        <v>45897</v>
      </c>
      <c r="T684" s="27">
        <f>COUNTIF($A$2:$A$1986,A684)</f>
        <v>1</v>
      </c>
      <c r="U684" s="27" t="str">
        <f t="shared" si="72"/>
        <v>Desk Lamp</v>
      </c>
      <c r="V684" s="27">
        <f t="shared" si="73"/>
        <v>36.621000000000002</v>
      </c>
      <c r="W684" s="27">
        <f t="shared" si="74"/>
        <v>18.87</v>
      </c>
      <c r="X684" s="27">
        <f>RawSalesTable3[[#This Row],[Revenue]]-RawSalesTable3[[#This Row],[Total_Cost]]</f>
        <v>17.751000000000001</v>
      </c>
      <c r="Y684" s="28">
        <f>RawSalesTable3[[#This Row],[Profit]]/RawSalesTable3[[#This Row],[Revenue]]</f>
        <v>0.4847218808880151</v>
      </c>
      <c r="Z684" s="27" t="str">
        <f>TEXT(RawSalesTable3[[#This Row],[Order_Date_Clean]],"MMM YYYY")</f>
        <v>Aug 2025</v>
      </c>
      <c r="AA684" s="27"/>
      <c r="AB684" s="27">
        <f t="shared" si="75"/>
        <v>0</v>
      </c>
      <c r="AC684" s="27">
        <f t="shared" si="76"/>
        <v>0</v>
      </c>
    </row>
    <row r="685" spans="1:29">
      <c r="A685" t="s">
        <v>784</v>
      </c>
      <c r="B685" s="3">
        <v>45829</v>
      </c>
      <c r="C685" t="s">
        <v>78</v>
      </c>
      <c r="D685" t="s">
        <v>62</v>
      </c>
      <c r="E685" t="s">
        <v>79</v>
      </c>
      <c r="F685" t="s">
        <v>80</v>
      </c>
      <c r="G685" s="6">
        <v>3</v>
      </c>
      <c r="H685" s="4">
        <v>74.97</v>
      </c>
      <c r="I685" s="4">
        <v>42.26</v>
      </c>
      <c r="J685" s="5">
        <v>0.1</v>
      </c>
      <c r="K685" s="6">
        <v>2</v>
      </c>
      <c r="L685" s="6">
        <v>5</v>
      </c>
      <c r="M685" t="s">
        <v>58</v>
      </c>
      <c r="N685" t="s">
        <v>59</v>
      </c>
      <c r="O685" t="s">
        <v>73</v>
      </c>
      <c r="P685" t="str">
        <f t="shared" si="70"/>
        <v>Individual</v>
      </c>
      <c r="Q685" t="str">
        <f t="shared" si="71"/>
        <v>London</v>
      </c>
      <c r="R685" t="str">
        <f>PROPER(TRIM(E685))</f>
        <v>Electronics</v>
      </c>
      <c r="S685" s="27">
        <f>IF(ISTEXT(B685),DATEVALUE(B685),B685)</f>
        <v>45829</v>
      </c>
      <c r="T685" s="27">
        <f>COUNTIF($A$2:$A$1986,A685)</f>
        <v>1</v>
      </c>
      <c r="U685" s="27" t="str">
        <f t="shared" si="72"/>
        <v>Portable Speaker</v>
      </c>
      <c r="V685" s="27">
        <f t="shared" si="73"/>
        <v>202.41900000000001</v>
      </c>
      <c r="W685" s="27">
        <f t="shared" si="74"/>
        <v>126.78</v>
      </c>
      <c r="X685" s="27">
        <f>RawSalesTable3[[#This Row],[Revenue]]-RawSalesTable3[[#This Row],[Total_Cost]]</f>
        <v>75.63900000000001</v>
      </c>
      <c r="Y685" s="28">
        <f>RawSalesTable3[[#This Row],[Profit]]/RawSalesTable3[[#This Row],[Revenue]]</f>
        <v>0.37367539608435968</v>
      </c>
      <c r="Z685" s="27" t="str">
        <f>TEXT(RawSalesTable3[[#This Row],[Order_Date_Clean]],"MMM YYYY")</f>
        <v>Jun 2025</v>
      </c>
      <c r="AA685" s="27"/>
      <c r="AB685" s="27">
        <f t="shared" si="75"/>
        <v>0</v>
      </c>
      <c r="AC685" s="27">
        <f t="shared" si="76"/>
        <v>0</v>
      </c>
    </row>
    <row r="686" spans="1:29">
      <c r="A686" t="s">
        <v>785</v>
      </c>
      <c r="B686" s="3">
        <v>45915</v>
      </c>
      <c r="C686" t="s">
        <v>82</v>
      </c>
      <c r="D686" t="s">
        <v>62</v>
      </c>
      <c r="E686" t="s">
        <v>79</v>
      </c>
      <c r="F686" t="s">
        <v>115</v>
      </c>
      <c r="G686" s="6">
        <v>2</v>
      </c>
      <c r="H686" s="4">
        <v>62.01</v>
      </c>
      <c r="I686" s="4">
        <v>33.25</v>
      </c>
      <c r="J686" s="5">
        <v>0</v>
      </c>
      <c r="K686" s="6">
        <v>1</v>
      </c>
      <c r="L686" s="6">
        <v>4</v>
      </c>
      <c r="M686" t="s">
        <v>58</v>
      </c>
      <c r="N686" t="s">
        <v>69</v>
      </c>
      <c r="O686" t="s">
        <v>73</v>
      </c>
      <c r="P686" t="str">
        <f t="shared" si="70"/>
        <v>Individual</v>
      </c>
      <c r="Q686" t="str">
        <f t="shared" si="71"/>
        <v>Midlands</v>
      </c>
      <c r="R686" t="str">
        <f>PROPER(TRIM(E686))</f>
        <v>Electronics</v>
      </c>
      <c r="S686" s="27">
        <f>IF(ISTEXT(B686),DATEVALUE(B686),B686)</f>
        <v>45915</v>
      </c>
      <c r="T686" s="27">
        <f>COUNTIF($A$2:$A$1986,A686)</f>
        <v>1</v>
      </c>
      <c r="U686" s="27" t="str">
        <f t="shared" si="72"/>
        <v>Wireless Headset</v>
      </c>
      <c r="V686" s="27">
        <f t="shared" si="73"/>
        <v>124.02</v>
      </c>
      <c r="W686" s="27">
        <f t="shared" si="74"/>
        <v>66.5</v>
      </c>
      <c r="X686" s="27">
        <f>RawSalesTable3[[#This Row],[Revenue]]-RawSalesTable3[[#This Row],[Total_Cost]]</f>
        <v>57.519999999999996</v>
      </c>
      <c r="Y686" s="28">
        <f>RawSalesTable3[[#This Row],[Profit]]/RawSalesTable3[[#This Row],[Revenue]]</f>
        <v>0.46379616190936945</v>
      </c>
      <c r="Z686" s="27" t="str">
        <f>TEXT(RawSalesTable3[[#This Row],[Order_Date_Clean]],"MMM YYYY")</f>
        <v>Sep 2025</v>
      </c>
      <c r="AA686" s="27"/>
      <c r="AB686" s="27">
        <f t="shared" si="75"/>
        <v>0</v>
      </c>
      <c r="AC686" s="27">
        <f t="shared" si="76"/>
        <v>0</v>
      </c>
    </row>
    <row r="687" spans="1:29">
      <c r="A687" t="s">
        <v>786</v>
      </c>
      <c r="B687" s="3">
        <v>45780</v>
      </c>
      <c r="C687" t="s">
        <v>78</v>
      </c>
      <c r="D687" t="s">
        <v>55</v>
      </c>
      <c r="E687" t="s">
        <v>75</v>
      </c>
      <c r="F687" t="s">
        <v>97</v>
      </c>
      <c r="G687" s="6">
        <v>2</v>
      </c>
      <c r="H687" s="4">
        <v>91.72</v>
      </c>
      <c r="I687" s="4">
        <v>53.01</v>
      </c>
      <c r="J687" s="5">
        <v>0</v>
      </c>
      <c r="K687" s="6">
        <v>9</v>
      </c>
      <c r="L687" s="6">
        <v>3</v>
      </c>
      <c r="M687" t="s">
        <v>58</v>
      </c>
      <c r="N687" t="s">
        <v>59</v>
      </c>
      <c r="O687" t="s">
        <v>64</v>
      </c>
      <c r="P687" t="str">
        <f t="shared" si="70"/>
        <v>Small Business</v>
      </c>
      <c r="Q687" t="str">
        <f t="shared" si="71"/>
        <v>London</v>
      </c>
      <c r="R687" t="str">
        <f>PROPER(TRIM(E687))</f>
        <v>Furniture</v>
      </c>
      <c r="S687" s="27">
        <f>IF(ISTEXT(B687),DATEVALUE(B687),B687)</f>
        <v>45780</v>
      </c>
      <c r="T687" s="27">
        <f>COUNTIF($A$2:$A$1986,A687)</f>
        <v>1</v>
      </c>
      <c r="U687" s="27" t="str">
        <f t="shared" si="72"/>
        <v>Side Table</v>
      </c>
      <c r="V687" s="27">
        <f t="shared" si="73"/>
        <v>183.44</v>
      </c>
      <c r="W687" s="27">
        <f t="shared" si="74"/>
        <v>106.02</v>
      </c>
      <c r="X687" s="27">
        <f>RawSalesTable3[[#This Row],[Revenue]]-RawSalesTable3[[#This Row],[Total_Cost]]</f>
        <v>77.42</v>
      </c>
      <c r="Y687" s="28">
        <f>RawSalesTable3[[#This Row],[Profit]]/RawSalesTable3[[#This Row],[Revenue]]</f>
        <v>0.42204535542956828</v>
      </c>
      <c r="Z687" s="27" t="str">
        <f>TEXT(RawSalesTable3[[#This Row],[Order_Date_Clean]],"MMM YYYY")</f>
        <v>May 2025</v>
      </c>
      <c r="AA687" s="27"/>
      <c r="AB687" s="27">
        <f t="shared" si="75"/>
        <v>0</v>
      </c>
      <c r="AC687" s="27">
        <f t="shared" si="76"/>
        <v>0</v>
      </c>
    </row>
    <row r="688" spans="1:29">
      <c r="A688" t="s">
        <v>787</v>
      </c>
      <c r="B688" s="3">
        <v>45928</v>
      </c>
      <c r="C688" t="s">
        <v>78</v>
      </c>
      <c r="D688" t="s">
        <v>55</v>
      </c>
      <c r="E688" t="s">
        <v>79</v>
      </c>
      <c r="F688" t="s">
        <v>115</v>
      </c>
      <c r="G688" s="6">
        <v>3</v>
      </c>
      <c r="H688" s="4">
        <v>58.84</v>
      </c>
      <c r="I688" s="4">
        <v>35.520000000000003</v>
      </c>
      <c r="J688" s="5">
        <v>0</v>
      </c>
      <c r="K688" s="6">
        <v>4</v>
      </c>
      <c r="L688" s="6">
        <v>5</v>
      </c>
      <c r="M688" t="s">
        <v>58</v>
      </c>
      <c r="N688" t="s">
        <v>69</v>
      </c>
      <c r="O688" t="s">
        <v>64</v>
      </c>
      <c r="P688" t="str">
        <f t="shared" si="70"/>
        <v>Small Business</v>
      </c>
      <c r="Q688" t="str">
        <f t="shared" si="71"/>
        <v>London</v>
      </c>
      <c r="R688" t="str">
        <f>PROPER(TRIM(E688))</f>
        <v>Electronics</v>
      </c>
      <c r="S688" s="27">
        <f>IF(ISTEXT(B688),DATEVALUE(B688),B688)</f>
        <v>45928</v>
      </c>
      <c r="T688" s="27">
        <f>COUNTIF($A$2:$A$1986,A688)</f>
        <v>1</v>
      </c>
      <c r="U688" s="27" t="str">
        <f t="shared" si="72"/>
        <v>Wireless Headset</v>
      </c>
      <c r="V688" s="27">
        <f t="shared" si="73"/>
        <v>176.52</v>
      </c>
      <c r="W688" s="27">
        <f t="shared" si="74"/>
        <v>106.56</v>
      </c>
      <c r="X688" s="27">
        <f>RawSalesTable3[[#This Row],[Revenue]]-RawSalesTable3[[#This Row],[Total_Cost]]</f>
        <v>69.960000000000008</v>
      </c>
      <c r="Y688" s="28">
        <f>RawSalesTable3[[#This Row],[Profit]]/RawSalesTable3[[#This Row],[Revenue]]</f>
        <v>0.39632902787219582</v>
      </c>
      <c r="Z688" s="27" t="str">
        <f>TEXT(RawSalesTable3[[#This Row],[Order_Date_Clean]],"MMM YYYY")</f>
        <v>Sep 2025</v>
      </c>
      <c r="AA688" s="27"/>
      <c r="AB688" s="27">
        <f t="shared" si="75"/>
        <v>0</v>
      </c>
      <c r="AC688" s="27">
        <f t="shared" si="76"/>
        <v>0</v>
      </c>
    </row>
    <row r="689" spans="1:29">
      <c r="A689" t="s">
        <v>788</v>
      </c>
      <c r="B689" s="3">
        <v>45736</v>
      </c>
      <c r="C689" t="s">
        <v>78</v>
      </c>
      <c r="D689" t="s">
        <v>62</v>
      </c>
      <c r="E689" t="s">
        <v>56</v>
      </c>
      <c r="F689" t="s">
        <v>83</v>
      </c>
      <c r="G689" s="6">
        <v>1</v>
      </c>
      <c r="H689" s="4">
        <v>65.19</v>
      </c>
      <c r="I689" s="4">
        <v>34.700000000000003</v>
      </c>
      <c r="J689" s="5">
        <v>0</v>
      </c>
      <c r="K689" s="6">
        <v>5</v>
      </c>
      <c r="L689" s="6">
        <v>5</v>
      </c>
      <c r="M689" t="s">
        <v>58</v>
      </c>
      <c r="N689" t="s">
        <v>87</v>
      </c>
      <c r="O689" t="s">
        <v>64</v>
      </c>
      <c r="P689" t="str">
        <f t="shared" si="70"/>
        <v>Individual</v>
      </c>
      <c r="Q689" t="str">
        <f t="shared" si="71"/>
        <v>London</v>
      </c>
      <c r="R689" t="str">
        <f>PROPER(TRIM(E689))</f>
        <v>Home &amp; Kitchen</v>
      </c>
      <c r="S689" s="27">
        <f>IF(ISTEXT(B689),DATEVALUE(B689),B689)</f>
        <v>45736</v>
      </c>
      <c r="T689" s="27">
        <f>COUNTIF($A$2:$A$1986,A689)</f>
        <v>1</v>
      </c>
      <c r="U689" s="27" t="str">
        <f t="shared" si="72"/>
        <v>Blender</v>
      </c>
      <c r="V689" s="27">
        <f t="shared" si="73"/>
        <v>65.19</v>
      </c>
      <c r="W689" s="27">
        <f t="shared" si="74"/>
        <v>34.700000000000003</v>
      </c>
      <c r="X689" s="27">
        <f>RawSalesTable3[[#This Row],[Revenue]]-RawSalesTable3[[#This Row],[Total_Cost]]</f>
        <v>30.489999999999995</v>
      </c>
      <c r="Y689" s="28">
        <f>RawSalesTable3[[#This Row],[Profit]]/RawSalesTable3[[#This Row],[Revenue]]</f>
        <v>0.46770977143733694</v>
      </c>
      <c r="Z689" s="27" t="str">
        <f>TEXT(RawSalesTable3[[#This Row],[Order_Date_Clean]],"MMM YYYY")</f>
        <v>Mar 2025</v>
      </c>
      <c r="AA689" s="27"/>
      <c r="AB689" s="27">
        <f t="shared" si="75"/>
        <v>0</v>
      </c>
      <c r="AC689" s="27">
        <f t="shared" si="76"/>
        <v>0</v>
      </c>
    </row>
    <row r="690" spans="1:29">
      <c r="A690" t="s">
        <v>789</v>
      </c>
      <c r="B690" s="3">
        <v>45847</v>
      </c>
      <c r="C690" t="s">
        <v>66</v>
      </c>
      <c r="D690" t="s">
        <v>62</v>
      </c>
      <c r="E690" t="s">
        <v>79</v>
      </c>
      <c r="F690" t="s">
        <v>115</v>
      </c>
      <c r="G690" s="6">
        <v>1</v>
      </c>
      <c r="H690" s="4">
        <v>59.38</v>
      </c>
      <c r="I690" s="4">
        <v>35.03</v>
      </c>
      <c r="J690" s="5">
        <v>0.05</v>
      </c>
      <c r="K690" s="6">
        <v>5</v>
      </c>
      <c r="L690" s="6">
        <v>4</v>
      </c>
      <c r="M690" t="s">
        <v>126</v>
      </c>
      <c r="N690" t="s">
        <v>87</v>
      </c>
      <c r="O690" t="s">
        <v>64</v>
      </c>
      <c r="P690" t="str">
        <f t="shared" si="70"/>
        <v>Individual</v>
      </c>
      <c r="Q690" t="str">
        <f t="shared" si="71"/>
        <v>South</v>
      </c>
      <c r="R690" t="str">
        <f>PROPER(TRIM(E690))</f>
        <v>Electronics</v>
      </c>
      <c r="S690" s="27">
        <f>IF(ISTEXT(B690),DATEVALUE(B690),B690)</f>
        <v>45847</v>
      </c>
      <c r="T690" s="27">
        <f>COUNTIF($A$2:$A$1986,A690)</f>
        <v>1</v>
      </c>
      <c r="U690" s="27" t="str">
        <f t="shared" si="72"/>
        <v>Wireless Headset</v>
      </c>
      <c r="V690" s="27">
        <f t="shared" si="73"/>
        <v>56.411000000000001</v>
      </c>
      <c r="W690" s="27">
        <f t="shared" si="74"/>
        <v>35.03</v>
      </c>
      <c r="X690" s="27">
        <f>RawSalesTable3[[#This Row],[Revenue]]-RawSalesTable3[[#This Row],[Total_Cost]]</f>
        <v>21.381</v>
      </c>
      <c r="Y690" s="28">
        <f>RawSalesTable3[[#This Row],[Profit]]/RawSalesTable3[[#This Row],[Revenue]]</f>
        <v>0.37902182198507384</v>
      </c>
      <c r="Z690" s="27" t="str">
        <f>TEXT(RawSalesTable3[[#This Row],[Order_Date_Clean]],"MMM YYYY")</f>
        <v>Jul 2025</v>
      </c>
      <c r="AA690" s="27"/>
      <c r="AB690" s="27">
        <f t="shared" si="75"/>
        <v>0</v>
      </c>
      <c r="AC690" s="27">
        <f t="shared" si="76"/>
        <v>0</v>
      </c>
    </row>
    <row r="691" spans="1:29">
      <c r="A691" t="s">
        <v>790</v>
      </c>
      <c r="B691" s="3">
        <v>45998</v>
      </c>
      <c r="C691" t="s">
        <v>78</v>
      </c>
      <c r="D691" t="s">
        <v>62</v>
      </c>
      <c r="E691" t="s">
        <v>56</v>
      </c>
      <c r="F691" t="s">
        <v>57</v>
      </c>
      <c r="G691" s="6">
        <v>1</v>
      </c>
      <c r="H691" s="4">
        <v>110.36</v>
      </c>
      <c r="I691" s="4">
        <v>69.88</v>
      </c>
      <c r="J691" s="5">
        <v>0.15000000000000002</v>
      </c>
      <c r="K691" s="6">
        <v>2</v>
      </c>
      <c r="L691" s="6">
        <v>5</v>
      </c>
      <c r="M691" t="s">
        <v>58</v>
      </c>
      <c r="N691" t="s">
        <v>87</v>
      </c>
      <c r="O691" t="s">
        <v>64</v>
      </c>
      <c r="P691" t="str">
        <f t="shared" si="70"/>
        <v>Individual</v>
      </c>
      <c r="Q691" t="str">
        <f t="shared" si="71"/>
        <v>London</v>
      </c>
      <c r="R691" t="str">
        <f>PROPER(TRIM(E691))</f>
        <v>Home &amp; Kitchen</v>
      </c>
      <c r="S691" s="27">
        <f>IF(ISTEXT(B691),DATEVALUE(B691),B691)</f>
        <v>45998</v>
      </c>
      <c r="T691" s="27">
        <f>COUNTIF($A$2:$A$1986,A691)</f>
        <v>1</v>
      </c>
      <c r="U691" s="27" t="str">
        <f t="shared" si="72"/>
        <v>Air Fryer</v>
      </c>
      <c r="V691" s="27">
        <f t="shared" si="73"/>
        <v>93.805999999999997</v>
      </c>
      <c r="W691" s="27">
        <f t="shared" si="74"/>
        <v>69.88</v>
      </c>
      <c r="X691" s="27">
        <f>RawSalesTable3[[#This Row],[Revenue]]-RawSalesTable3[[#This Row],[Total_Cost]]</f>
        <v>23.926000000000002</v>
      </c>
      <c r="Y691" s="28">
        <f>RawSalesTable3[[#This Row],[Profit]]/RawSalesTable3[[#This Row],[Revenue]]</f>
        <v>0.25505831183506389</v>
      </c>
      <c r="Z691" s="27" t="str">
        <f>TEXT(RawSalesTable3[[#This Row],[Order_Date_Clean]],"MMM YYYY")</f>
        <v>Dec 2025</v>
      </c>
      <c r="AA691" s="27"/>
      <c r="AB691" s="27">
        <f t="shared" si="75"/>
        <v>0</v>
      </c>
      <c r="AC691" s="27">
        <f t="shared" si="76"/>
        <v>0</v>
      </c>
    </row>
    <row r="692" spans="1:29">
      <c r="A692" t="s">
        <v>791</v>
      </c>
      <c r="B692" s="3">
        <v>45690</v>
      </c>
      <c r="C692" t="s">
        <v>54</v>
      </c>
      <c r="D692" t="s">
        <v>62</v>
      </c>
      <c r="E692" t="s">
        <v>79</v>
      </c>
      <c r="F692" t="s">
        <v>92</v>
      </c>
      <c r="G692" s="6">
        <v>2</v>
      </c>
      <c r="H692" s="4">
        <v>50.2</v>
      </c>
      <c r="I692" s="4">
        <v>26.75</v>
      </c>
      <c r="J692" s="5">
        <v>0</v>
      </c>
      <c r="K692" s="6">
        <v>1</v>
      </c>
      <c r="L692" s="6">
        <v>5</v>
      </c>
      <c r="M692" t="s">
        <v>58</v>
      </c>
      <c r="N692" t="s">
        <v>87</v>
      </c>
      <c r="O692" t="s">
        <v>64</v>
      </c>
      <c r="P692" t="str">
        <f t="shared" si="70"/>
        <v>Individual</v>
      </c>
      <c r="Q692" t="str">
        <f t="shared" si="71"/>
        <v>North</v>
      </c>
      <c r="R692" t="str">
        <f>PROPER(TRIM(E692))</f>
        <v>Electronics</v>
      </c>
      <c r="S692" s="27">
        <f>IF(ISTEXT(B692),DATEVALUE(B692),B692)</f>
        <v>45690</v>
      </c>
      <c r="T692" s="27">
        <f>COUNTIF($A$2:$A$1986,A692)</f>
        <v>1</v>
      </c>
      <c r="U692" s="27" t="str">
        <f t="shared" si="72"/>
        <v>Webcam</v>
      </c>
      <c r="V692" s="27">
        <f t="shared" si="73"/>
        <v>100.4</v>
      </c>
      <c r="W692" s="27">
        <f t="shared" si="74"/>
        <v>53.5</v>
      </c>
      <c r="X692" s="27">
        <f>RawSalesTable3[[#This Row],[Revenue]]-RawSalesTable3[[#This Row],[Total_Cost]]</f>
        <v>46.900000000000006</v>
      </c>
      <c r="Y692" s="28">
        <f>RawSalesTable3[[#This Row],[Profit]]/RawSalesTable3[[#This Row],[Revenue]]</f>
        <v>0.46713147410358569</v>
      </c>
      <c r="Z692" s="27" t="str">
        <f>TEXT(RawSalesTable3[[#This Row],[Order_Date_Clean]],"MMM YYYY")</f>
        <v>Feb 2025</v>
      </c>
      <c r="AA692" s="27"/>
      <c r="AB692" s="27">
        <f t="shared" si="75"/>
        <v>0</v>
      </c>
      <c r="AC692" s="27">
        <f t="shared" si="76"/>
        <v>0</v>
      </c>
    </row>
    <row r="693" spans="1:29">
      <c r="A693" t="s">
        <v>792</v>
      </c>
      <c r="B693" s="3">
        <v>45807</v>
      </c>
      <c r="C693" t="s">
        <v>78</v>
      </c>
      <c r="D693" t="s">
        <v>129</v>
      </c>
      <c r="E693" t="s">
        <v>793</v>
      </c>
      <c r="F693" t="s">
        <v>110</v>
      </c>
      <c r="G693" s="6">
        <v>3</v>
      </c>
      <c r="H693" s="4">
        <v>164.33</v>
      </c>
      <c r="I693" s="4">
        <v>102.83</v>
      </c>
      <c r="J693" s="5">
        <v>0.1</v>
      </c>
      <c r="K693" s="6">
        <v>3</v>
      </c>
      <c r="L693" s="6">
        <v>5</v>
      </c>
      <c r="M693" t="s">
        <v>58</v>
      </c>
      <c r="N693" t="s">
        <v>69</v>
      </c>
      <c r="O693" t="s">
        <v>60</v>
      </c>
      <c r="P693" t="str">
        <f t="shared" si="70"/>
        <v>Corporate</v>
      </c>
      <c r="Q693" t="str">
        <f t="shared" si="71"/>
        <v>London</v>
      </c>
      <c r="R693" t="str">
        <f>PROPER(TRIM(E693))</f>
        <v>Furniture</v>
      </c>
      <c r="S693" s="27">
        <f>IF(ISTEXT(B693),DATEVALUE(B693),B693)</f>
        <v>45807</v>
      </c>
      <c r="T693" s="27">
        <f>COUNTIF($A$2:$A$1986,A693)</f>
        <v>1</v>
      </c>
      <c r="U693" s="27" t="str">
        <f t="shared" si="72"/>
        <v>Storage Cabinet</v>
      </c>
      <c r="V693" s="27">
        <f t="shared" si="73"/>
        <v>443.69100000000003</v>
      </c>
      <c r="W693" s="27">
        <f t="shared" si="74"/>
        <v>308.49</v>
      </c>
      <c r="X693" s="27">
        <f>RawSalesTable3[[#This Row],[Revenue]]-RawSalesTable3[[#This Row],[Total_Cost]]</f>
        <v>135.20100000000002</v>
      </c>
      <c r="Y693" s="28">
        <f>RawSalesTable3[[#This Row],[Profit]]/RawSalesTable3[[#This Row],[Revenue]]</f>
        <v>0.30471882458738181</v>
      </c>
      <c r="Z693" s="27" t="str">
        <f>TEXT(RawSalesTable3[[#This Row],[Order_Date_Clean]],"MMM YYYY")</f>
        <v>May 2025</v>
      </c>
      <c r="AA693" s="27"/>
      <c r="AB693" s="27">
        <f t="shared" si="75"/>
        <v>0</v>
      </c>
      <c r="AC693" s="27">
        <f t="shared" si="76"/>
        <v>0</v>
      </c>
    </row>
    <row r="694" spans="1:29">
      <c r="A694" t="s">
        <v>794</v>
      </c>
      <c r="B694" s="3">
        <v>45971</v>
      </c>
      <c r="C694" t="s">
        <v>54</v>
      </c>
      <c r="D694" t="s">
        <v>62</v>
      </c>
      <c r="E694" t="s">
        <v>56</v>
      </c>
      <c r="F694" t="s">
        <v>63</v>
      </c>
      <c r="G694" s="6">
        <v>2</v>
      </c>
      <c r="H694" s="4">
        <v>41.45</v>
      </c>
      <c r="I694" s="4">
        <v>20.22</v>
      </c>
      <c r="J694" s="5">
        <v>0.05</v>
      </c>
      <c r="K694" s="6">
        <v>3</v>
      </c>
      <c r="L694" s="6">
        <v>3</v>
      </c>
      <c r="M694" t="s">
        <v>126</v>
      </c>
      <c r="N694" t="s">
        <v>59</v>
      </c>
      <c r="O694" t="s">
        <v>64</v>
      </c>
      <c r="P694" t="str">
        <f t="shared" si="70"/>
        <v>Individual</v>
      </c>
      <c r="Q694" t="str">
        <f t="shared" si="71"/>
        <v>North</v>
      </c>
      <c r="R694" t="str">
        <f>PROPER(TRIM(E694))</f>
        <v>Home &amp; Kitchen</v>
      </c>
      <c r="S694" s="27">
        <f>IF(ISTEXT(B694),DATEVALUE(B694),B694)</f>
        <v>45971</v>
      </c>
      <c r="T694" s="27">
        <f>COUNTIF($A$2:$A$1986,A694)</f>
        <v>1</v>
      </c>
      <c r="U694" s="27" t="str">
        <f t="shared" si="72"/>
        <v>Electric Kettle</v>
      </c>
      <c r="V694" s="27">
        <f t="shared" si="73"/>
        <v>78.754999999999995</v>
      </c>
      <c r="W694" s="27">
        <f t="shared" si="74"/>
        <v>40.44</v>
      </c>
      <c r="X694" s="27">
        <f>RawSalesTable3[[#This Row],[Revenue]]-RawSalesTable3[[#This Row],[Total_Cost]]</f>
        <v>38.314999999999998</v>
      </c>
      <c r="Y694" s="28">
        <f>RawSalesTable3[[#This Row],[Profit]]/RawSalesTable3[[#This Row],[Revenue]]</f>
        <v>0.48650879309250206</v>
      </c>
      <c r="Z694" s="27" t="str">
        <f>TEXT(RawSalesTable3[[#This Row],[Order_Date_Clean]],"MMM YYYY")</f>
        <v>Nov 2025</v>
      </c>
      <c r="AA694" s="27"/>
      <c r="AB694" s="27">
        <f t="shared" si="75"/>
        <v>0</v>
      </c>
      <c r="AC694" s="27">
        <f t="shared" si="76"/>
        <v>0</v>
      </c>
    </row>
    <row r="695" spans="1:29">
      <c r="A695" t="s">
        <v>795</v>
      </c>
      <c r="B695" s="3">
        <v>45771</v>
      </c>
      <c r="C695" t="s">
        <v>54</v>
      </c>
      <c r="D695" t="s">
        <v>62</v>
      </c>
      <c r="E695" t="s">
        <v>56</v>
      </c>
      <c r="F695" t="s">
        <v>83</v>
      </c>
      <c r="G695" s="6">
        <v>1</v>
      </c>
      <c r="H695" s="4">
        <v>63.39</v>
      </c>
      <c r="I695" s="4">
        <v>36.67</v>
      </c>
      <c r="J695" s="5">
        <v>0</v>
      </c>
      <c r="K695" s="6">
        <v>2</v>
      </c>
      <c r="L695" s="6">
        <v>5</v>
      </c>
      <c r="M695" t="s">
        <v>58</v>
      </c>
      <c r="N695" t="s">
        <v>59</v>
      </c>
      <c r="O695" t="s">
        <v>64</v>
      </c>
      <c r="P695" t="str">
        <f t="shared" si="70"/>
        <v>Individual</v>
      </c>
      <c r="Q695" t="str">
        <f t="shared" si="71"/>
        <v>North</v>
      </c>
      <c r="R695" t="str">
        <f>PROPER(TRIM(E695))</f>
        <v>Home &amp; Kitchen</v>
      </c>
      <c r="S695" s="27">
        <f>IF(ISTEXT(B695),DATEVALUE(B695),B695)</f>
        <v>45771</v>
      </c>
      <c r="T695" s="27">
        <f>COUNTIF($A$2:$A$1986,A695)</f>
        <v>1</v>
      </c>
      <c r="U695" s="27" t="str">
        <f t="shared" si="72"/>
        <v>Blender</v>
      </c>
      <c r="V695" s="27">
        <f t="shared" si="73"/>
        <v>63.39</v>
      </c>
      <c r="W695" s="27">
        <f t="shared" si="74"/>
        <v>36.67</v>
      </c>
      <c r="X695" s="27">
        <f>RawSalesTable3[[#This Row],[Revenue]]-RawSalesTable3[[#This Row],[Total_Cost]]</f>
        <v>26.72</v>
      </c>
      <c r="Y695" s="28">
        <f>RawSalesTable3[[#This Row],[Profit]]/RawSalesTable3[[#This Row],[Revenue]]</f>
        <v>0.42151758952516166</v>
      </c>
      <c r="Z695" s="27" t="str">
        <f>TEXT(RawSalesTable3[[#This Row],[Order_Date_Clean]],"MMM YYYY")</f>
        <v>Apr 2025</v>
      </c>
      <c r="AA695" s="27"/>
      <c r="AB695" s="27">
        <f t="shared" si="75"/>
        <v>0</v>
      </c>
      <c r="AC695" s="27">
        <f t="shared" si="76"/>
        <v>0</v>
      </c>
    </row>
    <row r="696" spans="1:29">
      <c r="A696" t="s">
        <v>796</v>
      </c>
      <c r="B696" s="3">
        <v>45891</v>
      </c>
      <c r="C696" t="s">
        <v>66</v>
      </c>
      <c r="D696" t="s">
        <v>55</v>
      </c>
      <c r="E696" t="s">
        <v>79</v>
      </c>
      <c r="F696" t="s">
        <v>80</v>
      </c>
      <c r="G696" s="6">
        <v>5</v>
      </c>
      <c r="H696" s="4">
        <v>76.12</v>
      </c>
      <c r="I696" s="4">
        <v>43.2</v>
      </c>
      <c r="J696" s="5">
        <v>0.1</v>
      </c>
      <c r="K696" s="6">
        <v>1</v>
      </c>
      <c r="L696" s="6">
        <v>4</v>
      </c>
      <c r="M696" t="s">
        <v>58</v>
      </c>
      <c r="N696" t="s">
        <v>69</v>
      </c>
      <c r="O696" t="s">
        <v>64</v>
      </c>
      <c r="P696" t="str">
        <f t="shared" si="70"/>
        <v>Small Business</v>
      </c>
      <c r="Q696" t="str">
        <f t="shared" si="71"/>
        <v>South</v>
      </c>
      <c r="R696" t="str">
        <f>PROPER(TRIM(E696))</f>
        <v>Electronics</v>
      </c>
      <c r="S696" s="27">
        <f>IF(ISTEXT(B696),DATEVALUE(B696),B696)</f>
        <v>45891</v>
      </c>
      <c r="T696" s="27">
        <f>COUNTIF($A$2:$A$1986,A696)</f>
        <v>1</v>
      </c>
      <c r="U696" s="27" t="str">
        <f t="shared" si="72"/>
        <v>Portable Speaker</v>
      </c>
      <c r="V696" s="27">
        <f t="shared" si="73"/>
        <v>342.54</v>
      </c>
      <c r="W696" s="27">
        <f t="shared" si="74"/>
        <v>216</v>
      </c>
      <c r="X696" s="27">
        <f>RawSalesTable3[[#This Row],[Revenue]]-RawSalesTable3[[#This Row],[Total_Cost]]</f>
        <v>126.54000000000002</v>
      </c>
      <c r="Y696" s="28">
        <f>RawSalesTable3[[#This Row],[Profit]]/RawSalesTable3[[#This Row],[Revenue]]</f>
        <v>0.36941671045717295</v>
      </c>
      <c r="Z696" s="27" t="str">
        <f>TEXT(RawSalesTable3[[#This Row],[Order_Date_Clean]],"MMM YYYY")</f>
        <v>Aug 2025</v>
      </c>
      <c r="AA696" s="27"/>
      <c r="AB696" s="27">
        <f t="shared" si="75"/>
        <v>0</v>
      </c>
      <c r="AC696" s="27">
        <f t="shared" si="76"/>
        <v>0</v>
      </c>
    </row>
    <row r="697" spans="1:29">
      <c r="A697" t="s">
        <v>797</v>
      </c>
      <c r="B697" s="3">
        <v>45870</v>
      </c>
      <c r="C697" t="s">
        <v>78</v>
      </c>
      <c r="D697" t="s">
        <v>62</v>
      </c>
      <c r="E697" t="s">
        <v>56</v>
      </c>
      <c r="F697" t="s">
        <v>83</v>
      </c>
      <c r="G697" s="6">
        <v>2</v>
      </c>
      <c r="H697" s="4">
        <v>65.599999999999994</v>
      </c>
      <c r="I697" s="4">
        <v>35.49</v>
      </c>
      <c r="J697" s="5">
        <v>0</v>
      </c>
      <c r="K697" s="6">
        <v>1</v>
      </c>
      <c r="L697" s="6">
        <v>5</v>
      </c>
      <c r="M697" t="s">
        <v>58</v>
      </c>
      <c r="N697" t="s">
        <v>87</v>
      </c>
      <c r="O697" t="s">
        <v>60</v>
      </c>
      <c r="P697" t="str">
        <f t="shared" si="70"/>
        <v>Individual</v>
      </c>
      <c r="Q697" t="str">
        <f t="shared" si="71"/>
        <v>London</v>
      </c>
      <c r="R697" t="str">
        <f>PROPER(TRIM(E697))</f>
        <v>Home &amp; Kitchen</v>
      </c>
      <c r="S697" s="27">
        <f>IF(ISTEXT(B697),DATEVALUE(B697),B697)</f>
        <v>45870</v>
      </c>
      <c r="T697" s="27">
        <f>COUNTIF($A$2:$A$1986,A697)</f>
        <v>1</v>
      </c>
      <c r="U697" s="27" t="str">
        <f t="shared" si="72"/>
        <v>Blender</v>
      </c>
      <c r="V697" s="27">
        <f t="shared" si="73"/>
        <v>131.19999999999999</v>
      </c>
      <c r="W697" s="27">
        <f t="shared" si="74"/>
        <v>70.98</v>
      </c>
      <c r="X697" s="27">
        <f>RawSalesTable3[[#This Row],[Revenue]]-RawSalesTable3[[#This Row],[Total_Cost]]</f>
        <v>60.219999999999985</v>
      </c>
      <c r="Y697" s="28">
        <f>RawSalesTable3[[#This Row],[Profit]]/RawSalesTable3[[#This Row],[Revenue]]</f>
        <v>0.45899390243902433</v>
      </c>
      <c r="Z697" s="27" t="str">
        <f>TEXT(RawSalesTable3[[#This Row],[Order_Date_Clean]],"MMM YYYY")</f>
        <v>Aug 2025</v>
      </c>
      <c r="AA697" s="27"/>
      <c r="AB697" s="27">
        <f t="shared" si="75"/>
        <v>0</v>
      </c>
      <c r="AC697" s="27">
        <f t="shared" si="76"/>
        <v>0</v>
      </c>
    </row>
    <row r="698" spans="1:29">
      <c r="A698" t="s">
        <v>798</v>
      </c>
      <c r="B698" s="3">
        <v>45838</v>
      </c>
      <c r="C698" t="s">
        <v>66</v>
      </c>
      <c r="D698" t="s">
        <v>55</v>
      </c>
      <c r="E698" t="s">
        <v>79</v>
      </c>
      <c r="F698" t="s">
        <v>115</v>
      </c>
      <c r="G698" s="6">
        <v>5</v>
      </c>
      <c r="H698" s="4">
        <v>59.9</v>
      </c>
      <c r="I698" s="4">
        <v>34.549999999999997</v>
      </c>
      <c r="J698" s="5">
        <v>0.05</v>
      </c>
      <c r="K698" s="6">
        <v>2</v>
      </c>
      <c r="L698" s="6">
        <v>5</v>
      </c>
      <c r="M698" t="s">
        <v>58</v>
      </c>
      <c r="N698" t="s">
        <v>69</v>
      </c>
      <c r="O698" t="s">
        <v>73</v>
      </c>
      <c r="P698" t="str">
        <f t="shared" si="70"/>
        <v>Small Business</v>
      </c>
      <c r="Q698" t="str">
        <f t="shared" si="71"/>
        <v>South</v>
      </c>
      <c r="R698" t="str">
        <f>PROPER(TRIM(E698))</f>
        <v>Electronics</v>
      </c>
      <c r="S698" s="27">
        <f>IF(ISTEXT(B698),DATEVALUE(B698),B698)</f>
        <v>45838</v>
      </c>
      <c r="T698" s="27">
        <f>COUNTIF($A$2:$A$1986,A698)</f>
        <v>1</v>
      </c>
      <c r="U698" s="27" t="str">
        <f t="shared" si="72"/>
        <v>Wireless Headset</v>
      </c>
      <c r="V698" s="27">
        <f t="shared" si="73"/>
        <v>284.52499999999998</v>
      </c>
      <c r="W698" s="27">
        <f t="shared" si="74"/>
        <v>172.75</v>
      </c>
      <c r="X698" s="27">
        <f>RawSalesTable3[[#This Row],[Revenue]]-RawSalesTable3[[#This Row],[Total_Cost]]</f>
        <v>111.77499999999998</v>
      </c>
      <c r="Y698" s="28">
        <f>RawSalesTable3[[#This Row],[Profit]]/RawSalesTable3[[#This Row],[Revenue]]</f>
        <v>0.39284772867059131</v>
      </c>
      <c r="Z698" s="27" t="str">
        <f>TEXT(RawSalesTable3[[#This Row],[Order_Date_Clean]],"MMM YYYY")</f>
        <v>Jun 2025</v>
      </c>
      <c r="AA698" s="27"/>
      <c r="AB698" s="27">
        <f t="shared" si="75"/>
        <v>0</v>
      </c>
      <c r="AC698" s="27">
        <f t="shared" si="76"/>
        <v>0</v>
      </c>
    </row>
    <row r="699" spans="1:29">
      <c r="A699" t="s">
        <v>799</v>
      </c>
      <c r="B699" s="3">
        <v>45853</v>
      </c>
      <c r="C699" t="s">
        <v>66</v>
      </c>
      <c r="D699" t="s">
        <v>62</v>
      </c>
      <c r="E699" t="s">
        <v>56</v>
      </c>
      <c r="F699" t="s">
        <v>83</v>
      </c>
      <c r="G699" s="6">
        <v>1</v>
      </c>
      <c r="H699" s="4">
        <v>63.41</v>
      </c>
      <c r="I699" s="4">
        <v>34.58</v>
      </c>
      <c r="J699" s="5">
        <v>0.05</v>
      </c>
      <c r="K699" s="6">
        <v>3</v>
      </c>
      <c r="L699" s="6">
        <v>3</v>
      </c>
      <c r="M699" t="s">
        <v>126</v>
      </c>
      <c r="N699" t="s">
        <v>59</v>
      </c>
      <c r="O699" t="s">
        <v>60</v>
      </c>
      <c r="P699" t="str">
        <f t="shared" si="70"/>
        <v>Individual</v>
      </c>
      <c r="Q699" t="str">
        <f t="shared" si="71"/>
        <v>South</v>
      </c>
      <c r="R699" t="str">
        <f>PROPER(TRIM(E699))</f>
        <v>Home &amp; Kitchen</v>
      </c>
      <c r="S699" s="27">
        <f>IF(ISTEXT(B699),DATEVALUE(B699),B699)</f>
        <v>45853</v>
      </c>
      <c r="T699" s="27">
        <f>COUNTIF($A$2:$A$1986,A699)</f>
        <v>1</v>
      </c>
      <c r="U699" s="27" t="str">
        <f t="shared" si="72"/>
        <v>Blender</v>
      </c>
      <c r="V699" s="27">
        <f t="shared" si="73"/>
        <v>60.239499999999992</v>
      </c>
      <c r="W699" s="27">
        <f t="shared" si="74"/>
        <v>34.58</v>
      </c>
      <c r="X699" s="27">
        <f>RawSalesTable3[[#This Row],[Revenue]]-RawSalesTable3[[#This Row],[Total_Cost]]</f>
        <v>25.659499999999994</v>
      </c>
      <c r="Y699" s="28">
        <f>RawSalesTable3[[#This Row],[Profit]]/RawSalesTable3[[#This Row],[Revenue]]</f>
        <v>0.42595805078063392</v>
      </c>
      <c r="Z699" s="27" t="str">
        <f>TEXT(RawSalesTable3[[#This Row],[Order_Date_Clean]],"MMM YYYY")</f>
        <v>Jul 2025</v>
      </c>
      <c r="AA699" s="27"/>
      <c r="AB699" s="27">
        <f t="shared" si="75"/>
        <v>0</v>
      </c>
      <c r="AC699" s="27">
        <f t="shared" si="76"/>
        <v>0</v>
      </c>
    </row>
    <row r="700" spans="1:29">
      <c r="A700" t="s">
        <v>800</v>
      </c>
      <c r="B700" s="3">
        <v>46010</v>
      </c>
      <c r="C700" t="s">
        <v>78</v>
      </c>
      <c r="D700" t="s">
        <v>62</v>
      </c>
      <c r="E700" t="s">
        <v>75</v>
      </c>
      <c r="F700" t="s">
        <v>97</v>
      </c>
      <c r="G700" s="6">
        <v>4</v>
      </c>
      <c r="H700" s="4">
        <v>89.76</v>
      </c>
      <c r="I700" s="4">
        <v>54.73</v>
      </c>
      <c r="J700" s="5">
        <v>0.05</v>
      </c>
      <c r="K700" s="6">
        <v>2</v>
      </c>
      <c r="L700" s="6">
        <v>4</v>
      </c>
      <c r="M700" t="s">
        <v>58</v>
      </c>
      <c r="N700" t="s">
        <v>69</v>
      </c>
      <c r="O700" t="s">
        <v>64</v>
      </c>
      <c r="P700" t="str">
        <f t="shared" si="70"/>
        <v>Individual</v>
      </c>
      <c r="Q700" t="str">
        <f t="shared" si="71"/>
        <v>London</v>
      </c>
      <c r="R700" t="str">
        <f>PROPER(TRIM(E700))</f>
        <v>Furniture</v>
      </c>
      <c r="S700" s="27">
        <f>IF(ISTEXT(B700),DATEVALUE(B700),B700)</f>
        <v>46010</v>
      </c>
      <c r="T700" s="27">
        <f>COUNTIF($A$2:$A$1986,A700)</f>
        <v>1</v>
      </c>
      <c r="U700" s="27" t="str">
        <f t="shared" si="72"/>
        <v>Side Table</v>
      </c>
      <c r="V700" s="27">
        <f t="shared" si="73"/>
        <v>341.08800000000002</v>
      </c>
      <c r="W700" s="27">
        <f t="shared" si="74"/>
        <v>218.92</v>
      </c>
      <c r="X700" s="27">
        <f>RawSalesTable3[[#This Row],[Revenue]]-RawSalesTable3[[#This Row],[Total_Cost]]</f>
        <v>122.16800000000003</v>
      </c>
      <c r="Y700" s="28">
        <f>RawSalesTable3[[#This Row],[Profit]]/RawSalesTable3[[#This Row],[Revenue]]</f>
        <v>0.35817149826437761</v>
      </c>
      <c r="Z700" s="27" t="str">
        <f>TEXT(RawSalesTable3[[#This Row],[Order_Date_Clean]],"MMM YYYY")</f>
        <v>Dec 2025</v>
      </c>
      <c r="AA700" s="27"/>
      <c r="AB700" s="27">
        <f t="shared" si="75"/>
        <v>0</v>
      </c>
      <c r="AC700" s="27">
        <f t="shared" si="76"/>
        <v>0</v>
      </c>
    </row>
    <row r="701" spans="1:29">
      <c r="A701" t="s">
        <v>801</v>
      </c>
      <c r="B701" s="3">
        <v>45759</v>
      </c>
      <c r="C701" t="s">
        <v>66</v>
      </c>
      <c r="D701" t="s">
        <v>62</v>
      </c>
      <c r="E701" t="s">
        <v>56</v>
      </c>
      <c r="F701" t="s">
        <v>57</v>
      </c>
      <c r="G701" s="6">
        <v>2</v>
      </c>
      <c r="H701" s="4">
        <v>110.76</v>
      </c>
      <c r="I701" s="4">
        <v>68.47</v>
      </c>
      <c r="J701" s="5">
        <v>0.15000000000000002</v>
      </c>
      <c r="K701" s="6">
        <v>6</v>
      </c>
      <c r="L701" s="6">
        <v>4</v>
      </c>
      <c r="M701" t="s">
        <v>58</v>
      </c>
      <c r="N701" t="s">
        <v>87</v>
      </c>
      <c r="O701" t="s">
        <v>73</v>
      </c>
      <c r="P701" t="str">
        <f t="shared" si="70"/>
        <v>Individual</v>
      </c>
      <c r="Q701" t="str">
        <f t="shared" si="71"/>
        <v>South</v>
      </c>
      <c r="R701" t="str">
        <f>PROPER(TRIM(E701))</f>
        <v>Home &amp; Kitchen</v>
      </c>
      <c r="S701" s="27">
        <f>IF(ISTEXT(B701),DATEVALUE(B701),B701)</f>
        <v>45759</v>
      </c>
      <c r="T701" s="27">
        <f>COUNTIF($A$2:$A$1986,A701)</f>
        <v>1</v>
      </c>
      <c r="U701" s="27" t="str">
        <f t="shared" si="72"/>
        <v>Air Fryer</v>
      </c>
      <c r="V701" s="27">
        <f t="shared" si="73"/>
        <v>188.292</v>
      </c>
      <c r="W701" s="27">
        <f t="shared" si="74"/>
        <v>136.94</v>
      </c>
      <c r="X701" s="27">
        <f>RawSalesTable3[[#This Row],[Revenue]]-RawSalesTable3[[#This Row],[Total_Cost]]</f>
        <v>51.352000000000004</v>
      </c>
      <c r="Y701" s="28">
        <f>RawSalesTable3[[#This Row],[Profit]]/RawSalesTable3[[#This Row],[Revenue]]</f>
        <v>0.27272534149087591</v>
      </c>
      <c r="Z701" s="27" t="str">
        <f>TEXT(RawSalesTable3[[#This Row],[Order_Date_Clean]],"MMM YYYY")</f>
        <v>Apr 2025</v>
      </c>
      <c r="AA701" s="27"/>
      <c r="AB701" s="27">
        <f t="shared" si="75"/>
        <v>0</v>
      </c>
      <c r="AC701" s="27">
        <f t="shared" si="76"/>
        <v>0</v>
      </c>
    </row>
    <row r="702" spans="1:29">
      <c r="A702" t="s">
        <v>802</v>
      </c>
      <c r="B702" s="3">
        <v>45798</v>
      </c>
      <c r="C702" t="s">
        <v>66</v>
      </c>
      <c r="D702" t="s">
        <v>62</v>
      </c>
      <c r="E702" t="s">
        <v>75</v>
      </c>
      <c r="F702" t="s">
        <v>76</v>
      </c>
      <c r="G702" s="6">
        <v>4</v>
      </c>
      <c r="H702" s="4">
        <v>119.58</v>
      </c>
      <c r="I702" s="4">
        <v>71.27</v>
      </c>
      <c r="J702" s="5">
        <v>0.1</v>
      </c>
      <c r="K702" s="6">
        <v>4</v>
      </c>
      <c r="L702" s="6">
        <v>3</v>
      </c>
      <c r="M702" t="s">
        <v>126</v>
      </c>
      <c r="N702" t="s">
        <v>59</v>
      </c>
      <c r="O702" t="s">
        <v>73</v>
      </c>
      <c r="P702" t="str">
        <f t="shared" si="70"/>
        <v>Individual</v>
      </c>
      <c r="Q702" t="str">
        <f t="shared" si="71"/>
        <v>South</v>
      </c>
      <c r="R702" t="str">
        <f>PROPER(TRIM(E702))</f>
        <v>Furniture</v>
      </c>
      <c r="S702" s="27">
        <f>IF(ISTEXT(B702),DATEVALUE(B702),B702)</f>
        <v>45798</v>
      </c>
      <c r="T702" s="27">
        <f>COUNTIF($A$2:$A$1986,A702)</f>
        <v>1</v>
      </c>
      <c r="U702" s="27" t="str">
        <f t="shared" si="72"/>
        <v>Bookshelf</v>
      </c>
      <c r="V702" s="27">
        <f t="shared" si="73"/>
        <v>430.488</v>
      </c>
      <c r="W702" s="27">
        <f t="shared" si="74"/>
        <v>285.08</v>
      </c>
      <c r="X702" s="27">
        <f>RawSalesTable3[[#This Row],[Revenue]]-RawSalesTable3[[#This Row],[Total_Cost]]</f>
        <v>145.40800000000002</v>
      </c>
      <c r="Y702" s="28">
        <f>RawSalesTable3[[#This Row],[Profit]]/RawSalesTable3[[#This Row],[Revenue]]</f>
        <v>0.33777480440802071</v>
      </c>
      <c r="Z702" s="27" t="str">
        <f>TEXT(RawSalesTable3[[#This Row],[Order_Date_Clean]],"MMM YYYY")</f>
        <v>May 2025</v>
      </c>
      <c r="AA702" s="27"/>
      <c r="AB702" s="27">
        <f t="shared" si="75"/>
        <v>0</v>
      </c>
      <c r="AC702" s="27">
        <f t="shared" si="76"/>
        <v>0</v>
      </c>
    </row>
    <row r="703" spans="1:29">
      <c r="A703" t="s">
        <v>803</v>
      </c>
      <c r="B703" s="3">
        <v>45993</v>
      </c>
      <c r="C703" t="s">
        <v>78</v>
      </c>
      <c r="D703" t="s">
        <v>55</v>
      </c>
      <c r="E703" t="s">
        <v>67</v>
      </c>
      <c r="F703" t="s">
        <v>94</v>
      </c>
      <c r="G703" s="6">
        <v>3</v>
      </c>
      <c r="H703" s="4">
        <v>34.479999999999997</v>
      </c>
      <c r="I703" s="4">
        <v>17.649999999999999</v>
      </c>
      <c r="J703" s="5">
        <v>0.15000000000000002</v>
      </c>
      <c r="K703" s="6">
        <v>3</v>
      </c>
      <c r="L703" s="6">
        <v>3</v>
      </c>
      <c r="M703" t="s">
        <v>126</v>
      </c>
      <c r="N703" t="s">
        <v>59</v>
      </c>
      <c r="O703" t="s">
        <v>64</v>
      </c>
      <c r="P703" t="str">
        <f t="shared" si="70"/>
        <v>Small Business</v>
      </c>
      <c r="Q703" t="str">
        <f t="shared" si="71"/>
        <v>London</v>
      </c>
      <c r="R703" t="str">
        <f>PROPER(TRIM(E703))</f>
        <v>Office</v>
      </c>
      <c r="S703" s="27">
        <f>IF(ISTEXT(B703),DATEVALUE(B703),B703)</f>
        <v>45993</v>
      </c>
      <c r="T703" s="27">
        <f>COUNTIF($A$2:$A$1986,A703)</f>
        <v>1</v>
      </c>
      <c r="U703" s="27" t="str">
        <f t="shared" si="72"/>
        <v>Wireless Mouse</v>
      </c>
      <c r="V703" s="27">
        <f t="shared" si="73"/>
        <v>87.923999999999992</v>
      </c>
      <c r="W703" s="27">
        <f t="shared" si="74"/>
        <v>52.949999999999996</v>
      </c>
      <c r="X703" s="27">
        <f>RawSalesTable3[[#This Row],[Revenue]]-RawSalesTable3[[#This Row],[Total_Cost]]</f>
        <v>34.973999999999997</v>
      </c>
      <c r="Y703" s="28">
        <f>RawSalesTable3[[#This Row],[Profit]]/RawSalesTable3[[#This Row],[Revenue]]</f>
        <v>0.39777535143987991</v>
      </c>
      <c r="Z703" s="27" t="str">
        <f>TEXT(RawSalesTable3[[#This Row],[Order_Date_Clean]],"MMM YYYY")</f>
        <v>Dec 2025</v>
      </c>
      <c r="AA703" s="27"/>
      <c r="AB703" s="27">
        <f t="shared" si="75"/>
        <v>0</v>
      </c>
      <c r="AC703" s="27">
        <f t="shared" si="76"/>
        <v>0</v>
      </c>
    </row>
    <row r="704" spans="1:29">
      <c r="A704" t="s">
        <v>804</v>
      </c>
      <c r="B704" s="3">
        <v>45988</v>
      </c>
      <c r="C704" t="s">
        <v>82</v>
      </c>
      <c r="D704" t="s">
        <v>129</v>
      </c>
      <c r="E704" t="s">
        <v>56</v>
      </c>
      <c r="F704" t="s">
        <v>63</v>
      </c>
      <c r="G704" s="6">
        <v>4</v>
      </c>
      <c r="H704" s="4">
        <v>40.71</v>
      </c>
      <c r="I704" s="4">
        <v>20.25</v>
      </c>
      <c r="J704" s="5">
        <v>0.1</v>
      </c>
      <c r="K704" s="6">
        <v>3</v>
      </c>
      <c r="L704" s="6">
        <v>4</v>
      </c>
      <c r="M704" t="s">
        <v>58</v>
      </c>
      <c r="N704" t="s">
        <v>87</v>
      </c>
      <c r="O704" t="s">
        <v>64</v>
      </c>
      <c r="P704" t="str">
        <f t="shared" si="70"/>
        <v>Corporate</v>
      </c>
      <c r="Q704" t="str">
        <f t="shared" si="71"/>
        <v>Midlands</v>
      </c>
      <c r="R704" t="str">
        <f>PROPER(TRIM(E704))</f>
        <v>Home &amp; Kitchen</v>
      </c>
      <c r="S704" s="27">
        <f>IF(ISTEXT(B704),DATEVALUE(B704),B704)</f>
        <v>45988</v>
      </c>
      <c r="T704" s="27">
        <f>COUNTIF($A$2:$A$1986,A704)</f>
        <v>1</v>
      </c>
      <c r="U704" s="27" t="str">
        <f t="shared" si="72"/>
        <v>Electric Kettle</v>
      </c>
      <c r="V704" s="27">
        <f t="shared" si="73"/>
        <v>146.55600000000001</v>
      </c>
      <c r="W704" s="27">
        <f t="shared" si="74"/>
        <v>81</v>
      </c>
      <c r="X704" s="27">
        <f>RawSalesTable3[[#This Row],[Revenue]]-RawSalesTable3[[#This Row],[Total_Cost]]</f>
        <v>65.556000000000012</v>
      </c>
      <c r="Y704" s="28">
        <f>RawSalesTable3[[#This Row],[Profit]]/RawSalesTable3[[#This Row],[Revenue]]</f>
        <v>0.44731024318349305</v>
      </c>
      <c r="Z704" s="27" t="str">
        <f>TEXT(RawSalesTable3[[#This Row],[Order_Date_Clean]],"MMM YYYY")</f>
        <v>Nov 2025</v>
      </c>
      <c r="AA704" s="27"/>
      <c r="AB704" s="27">
        <f t="shared" si="75"/>
        <v>0</v>
      </c>
      <c r="AC704" s="27">
        <f t="shared" si="76"/>
        <v>0</v>
      </c>
    </row>
    <row r="705" spans="1:29">
      <c r="A705" t="s">
        <v>805</v>
      </c>
      <c r="B705" s="3">
        <v>45882</v>
      </c>
      <c r="C705" t="s">
        <v>54</v>
      </c>
      <c r="D705" t="s">
        <v>55</v>
      </c>
      <c r="E705" t="s">
        <v>75</v>
      </c>
      <c r="F705" t="s">
        <v>146</v>
      </c>
      <c r="G705" s="6">
        <v>2</v>
      </c>
      <c r="H705" s="4">
        <v>183.57</v>
      </c>
      <c r="I705" s="4">
        <v>114.17</v>
      </c>
      <c r="J705" s="5">
        <v>0.05</v>
      </c>
      <c r="K705" s="6">
        <v>7</v>
      </c>
      <c r="L705" s="6">
        <v>4</v>
      </c>
      <c r="M705" t="s">
        <v>58</v>
      </c>
      <c r="N705" t="s">
        <v>59</v>
      </c>
      <c r="O705" t="s">
        <v>64</v>
      </c>
      <c r="P705" t="str">
        <f t="shared" si="70"/>
        <v>Small Business</v>
      </c>
      <c r="Q705" t="str">
        <f t="shared" si="71"/>
        <v>North</v>
      </c>
      <c r="R705" t="str">
        <f>PROPER(TRIM(E705))</f>
        <v>Furniture</v>
      </c>
      <c r="S705" s="27">
        <f>IF(ISTEXT(B705),DATEVALUE(B705),B705)</f>
        <v>45882</v>
      </c>
      <c r="T705" s="27">
        <f>COUNTIF($A$2:$A$1986,A705)</f>
        <v>1</v>
      </c>
      <c r="U705" s="27" t="str">
        <f t="shared" si="72"/>
        <v>Office Chair</v>
      </c>
      <c r="V705" s="27">
        <f t="shared" si="73"/>
        <v>348.78299999999996</v>
      </c>
      <c r="W705" s="27">
        <f t="shared" si="74"/>
        <v>228.34</v>
      </c>
      <c r="X705" s="27">
        <f>RawSalesTable3[[#This Row],[Revenue]]-RawSalesTable3[[#This Row],[Total_Cost]]</f>
        <v>120.44299999999996</v>
      </c>
      <c r="Y705" s="28">
        <f>RawSalesTable3[[#This Row],[Profit]]/RawSalesTable3[[#This Row],[Revenue]]</f>
        <v>0.34532359662024803</v>
      </c>
      <c r="Z705" s="27" t="str">
        <f>TEXT(RawSalesTable3[[#This Row],[Order_Date_Clean]],"MMM YYYY")</f>
        <v>Aug 2025</v>
      </c>
      <c r="AA705" s="27"/>
      <c r="AB705" s="27">
        <f t="shared" si="75"/>
        <v>0</v>
      </c>
      <c r="AC705" s="27">
        <f t="shared" si="76"/>
        <v>0</v>
      </c>
    </row>
    <row r="706" spans="1:29">
      <c r="A706" t="s">
        <v>806</v>
      </c>
      <c r="B706" s="3">
        <v>45862</v>
      </c>
      <c r="C706" t="s">
        <v>66</v>
      </c>
      <c r="D706" t="s">
        <v>55</v>
      </c>
      <c r="E706" t="s">
        <v>56</v>
      </c>
      <c r="F706" t="s">
        <v>63</v>
      </c>
      <c r="G706" s="6">
        <v>2</v>
      </c>
      <c r="H706" s="4">
        <v>39.159999999999997</v>
      </c>
      <c r="I706" s="4">
        <v>20.55</v>
      </c>
      <c r="J706" s="5">
        <v>0.1</v>
      </c>
      <c r="K706" s="6">
        <v>2</v>
      </c>
      <c r="L706" s="6">
        <v>5</v>
      </c>
      <c r="M706" t="s">
        <v>58</v>
      </c>
      <c r="N706" t="s">
        <v>69</v>
      </c>
      <c r="O706" t="s">
        <v>64</v>
      </c>
      <c r="P706" t="str">
        <f t="shared" ref="P706:P769" si="77">IF(TRIM(D706)="","Unknow",PROPER(TRIM(D706)))</f>
        <v>Small Business</v>
      </c>
      <c r="Q706" t="str">
        <f t="shared" ref="Q706:Q769" si="78">IF(PROPER(TRIM(C706))="Mid Lands","Midlands",PROPER(TRIM(C706)))</f>
        <v>South</v>
      </c>
      <c r="R706" t="str">
        <f>PROPER(TRIM(E706))</f>
        <v>Home &amp; Kitchen</v>
      </c>
      <c r="S706" s="27">
        <f>IF(ISTEXT(B706),DATEVALUE(B706),B706)</f>
        <v>45862</v>
      </c>
      <c r="T706" s="27">
        <f>COUNTIF($A$2:$A$1986,A706)</f>
        <v>1</v>
      </c>
      <c r="U706" s="27" t="str">
        <f t="shared" ref="U706:U769" si="79">TRIM(F706)</f>
        <v>Electric Kettle</v>
      </c>
      <c r="V706" s="27">
        <f t="shared" ref="V706:V769" si="80">G706*H706*(1-J706)</f>
        <v>70.488</v>
      </c>
      <c r="W706" s="27">
        <f t="shared" ref="W706:W769" si="81">G706*I706</f>
        <v>41.1</v>
      </c>
      <c r="X706" s="27">
        <f>RawSalesTable3[[#This Row],[Revenue]]-RawSalesTable3[[#This Row],[Total_Cost]]</f>
        <v>29.387999999999998</v>
      </c>
      <c r="Y706" s="28">
        <f>RawSalesTable3[[#This Row],[Profit]]/RawSalesTable3[[#This Row],[Revenue]]</f>
        <v>0.41692202928157984</v>
      </c>
      <c r="Z706" s="27" t="str">
        <f>TEXT(RawSalesTable3[[#This Row],[Order_Date_Clean]],"MMM YYYY")</f>
        <v>Jul 2025</v>
      </c>
      <c r="AA706" s="27"/>
      <c r="AB706" s="27">
        <f t="shared" ref="AB706:AB769" si="82">SUMIF($Z:$Z,AA706,$V:$V)</f>
        <v>0</v>
      </c>
      <c r="AC706" s="27">
        <f t="shared" ref="AC706:AC769" si="83">SUMIF($Z:$Z,AA706,$X:$X)</f>
        <v>0</v>
      </c>
    </row>
    <row r="707" spans="1:29">
      <c r="A707" t="s">
        <v>807</v>
      </c>
      <c r="B707" s="3">
        <v>45975</v>
      </c>
      <c r="C707" t="s">
        <v>66</v>
      </c>
      <c r="D707" t="s">
        <v>62</v>
      </c>
      <c r="E707" t="s">
        <v>56</v>
      </c>
      <c r="F707" t="s">
        <v>63</v>
      </c>
      <c r="G707" s="6">
        <v>2</v>
      </c>
      <c r="H707" s="4">
        <v>40.68</v>
      </c>
      <c r="I707" s="4">
        <v>20.170000000000002</v>
      </c>
      <c r="J707" s="5">
        <v>0.15000000000000002</v>
      </c>
      <c r="K707" s="6">
        <v>5</v>
      </c>
      <c r="L707" s="6">
        <v>4</v>
      </c>
      <c r="M707" t="s">
        <v>58</v>
      </c>
      <c r="N707" t="s">
        <v>59</v>
      </c>
      <c r="O707" t="s">
        <v>64</v>
      </c>
      <c r="P707" t="str">
        <f t="shared" si="77"/>
        <v>Individual</v>
      </c>
      <c r="Q707" t="str">
        <f t="shared" si="78"/>
        <v>South</v>
      </c>
      <c r="R707" t="str">
        <f>PROPER(TRIM(E707))</f>
        <v>Home &amp; Kitchen</v>
      </c>
      <c r="S707" s="27">
        <f>IF(ISTEXT(B707),DATEVALUE(B707),B707)</f>
        <v>45975</v>
      </c>
      <c r="T707" s="27">
        <f>COUNTIF($A$2:$A$1986,A707)</f>
        <v>1</v>
      </c>
      <c r="U707" s="27" t="str">
        <f t="shared" si="79"/>
        <v>Electric Kettle</v>
      </c>
      <c r="V707" s="27">
        <f t="shared" si="80"/>
        <v>69.155999999999992</v>
      </c>
      <c r="W707" s="27">
        <f t="shared" si="81"/>
        <v>40.340000000000003</v>
      </c>
      <c r="X707" s="27">
        <f>RawSalesTable3[[#This Row],[Revenue]]-RawSalesTable3[[#This Row],[Total_Cost]]</f>
        <v>28.815999999999988</v>
      </c>
      <c r="Y707" s="28">
        <f>RawSalesTable3[[#This Row],[Profit]]/RawSalesTable3[[#This Row],[Revenue]]</f>
        <v>0.41668112672797719</v>
      </c>
      <c r="Z707" s="27" t="str">
        <f>TEXT(RawSalesTable3[[#This Row],[Order_Date_Clean]],"MMM YYYY")</f>
        <v>Nov 2025</v>
      </c>
      <c r="AA707" s="27"/>
      <c r="AB707" s="27">
        <f t="shared" si="82"/>
        <v>0</v>
      </c>
      <c r="AC707" s="27">
        <f t="shared" si="83"/>
        <v>0</v>
      </c>
    </row>
    <row r="708" spans="1:29">
      <c r="A708" t="s">
        <v>808</v>
      </c>
      <c r="B708" s="3">
        <v>45712</v>
      </c>
      <c r="C708" t="s">
        <v>82</v>
      </c>
      <c r="D708" t="s">
        <v>62</v>
      </c>
      <c r="E708" t="s">
        <v>75</v>
      </c>
      <c r="F708" t="s">
        <v>97</v>
      </c>
      <c r="G708" s="6">
        <v>1</v>
      </c>
      <c r="H708" s="4">
        <v>88.98</v>
      </c>
      <c r="I708" s="4">
        <v>55.06</v>
      </c>
      <c r="J708" s="5">
        <v>0.1</v>
      </c>
      <c r="K708" s="6">
        <v>3</v>
      </c>
      <c r="L708" s="6">
        <v>4</v>
      </c>
      <c r="M708" t="s">
        <v>58</v>
      </c>
      <c r="N708" t="s">
        <v>59</v>
      </c>
      <c r="O708" t="s">
        <v>64</v>
      </c>
      <c r="P708" t="str">
        <f t="shared" si="77"/>
        <v>Individual</v>
      </c>
      <c r="Q708" t="str">
        <f t="shared" si="78"/>
        <v>Midlands</v>
      </c>
      <c r="R708" t="str">
        <f>PROPER(TRIM(E708))</f>
        <v>Furniture</v>
      </c>
      <c r="S708" s="27">
        <f>IF(ISTEXT(B708),DATEVALUE(B708),B708)</f>
        <v>45712</v>
      </c>
      <c r="T708" s="27">
        <f>COUNTIF($A$2:$A$1986,A708)</f>
        <v>1</v>
      </c>
      <c r="U708" s="27" t="str">
        <f t="shared" si="79"/>
        <v>Side Table</v>
      </c>
      <c r="V708" s="27">
        <f t="shared" si="80"/>
        <v>80.082000000000008</v>
      </c>
      <c r="W708" s="27">
        <f t="shared" si="81"/>
        <v>55.06</v>
      </c>
      <c r="X708" s="27">
        <f>RawSalesTable3[[#This Row],[Revenue]]-RawSalesTable3[[#This Row],[Total_Cost]]</f>
        <v>25.022000000000006</v>
      </c>
      <c r="Y708" s="28">
        <f>RawSalesTable3[[#This Row],[Profit]]/RawSalesTable3[[#This Row],[Revenue]]</f>
        <v>0.31245473389775485</v>
      </c>
      <c r="Z708" s="27" t="str">
        <f>TEXT(RawSalesTable3[[#This Row],[Order_Date_Clean]],"MMM YYYY")</f>
        <v>Feb 2025</v>
      </c>
      <c r="AA708" s="27"/>
      <c r="AB708" s="27">
        <f t="shared" si="82"/>
        <v>0</v>
      </c>
      <c r="AC708" s="27">
        <f t="shared" si="83"/>
        <v>0</v>
      </c>
    </row>
    <row r="709" spans="1:29">
      <c r="A709" t="s">
        <v>809</v>
      </c>
      <c r="B709" s="3">
        <v>45997</v>
      </c>
      <c r="C709" t="s">
        <v>82</v>
      </c>
      <c r="D709" t="s">
        <v>62</v>
      </c>
      <c r="E709" t="s">
        <v>79</v>
      </c>
      <c r="F709" t="s">
        <v>115</v>
      </c>
      <c r="G709" s="6">
        <v>2</v>
      </c>
      <c r="H709" s="4">
        <v>61.09</v>
      </c>
      <c r="I709" s="4">
        <v>33.369999999999997</v>
      </c>
      <c r="J709" s="5">
        <v>0.1</v>
      </c>
      <c r="K709" s="6">
        <v>3</v>
      </c>
      <c r="L709" s="6">
        <v>4</v>
      </c>
      <c r="M709" t="s">
        <v>58</v>
      </c>
      <c r="N709" t="s">
        <v>59</v>
      </c>
      <c r="O709" t="s">
        <v>64</v>
      </c>
      <c r="P709" t="str">
        <f t="shared" si="77"/>
        <v>Individual</v>
      </c>
      <c r="Q709" t="str">
        <f t="shared" si="78"/>
        <v>Midlands</v>
      </c>
      <c r="R709" t="str">
        <f>PROPER(TRIM(E709))</f>
        <v>Electronics</v>
      </c>
      <c r="S709" s="27">
        <f>IF(ISTEXT(B709),DATEVALUE(B709),B709)</f>
        <v>45997</v>
      </c>
      <c r="T709" s="27">
        <f>COUNTIF($A$2:$A$1986,A709)</f>
        <v>1</v>
      </c>
      <c r="U709" s="27" t="str">
        <f t="shared" si="79"/>
        <v>Wireless Headset</v>
      </c>
      <c r="V709" s="27">
        <f t="shared" si="80"/>
        <v>109.962</v>
      </c>
      <c r="W709" s="27">
        <f t="shared" si="81"/>
        <v>66.739999999999995</v>
      </c>
      <c r="X709" s="27">
        <f>RawSalesTable3[[#This Row],[Revenue]]-RawSalesTable3[[#This Row],[Total_Cost]]</f>
        <v>43.222000000000008</v>
      </c>
      <c r="Y709" s="28">
        <f>RawSalesTable3[[#This Row],[Profit]]/RawSalesTable3[[#This Row],[Revenue]]</f>
        <v>0.39306305814736009</v>
      </c>
      <c r="Z709" s="27" t="str">
        <f>TEXT(RawSalesTable3[[#This Row],[Order_Date_Clean]],"MMM YYYY")</f>
        <v>Dec 2025</v>
      </c>
      <c r="AA709" s="27"/>
      <c r="AB709" s="27">
        <f t="shared" si="82"/>
        <v>0</v>
      </c>
      <c r="AC709" s="27">
        <f t="shared" si="83"/>
        <v>0</v>
      </c>
    </row>
    <row r="710" spans="1:29">
      <c r="A710" t="s">
        <v>810</v>
      </c>
      <c r="B710" s="3">
        <v>46017</v>
      </c>
      <c r="C710" t="s">
        <v>78</v>
      </c>
      <c r="D710" t="s">
        <v>62</v>
      </c>
      <c r="E710" t="s">
        <v>79</v>
      </c>
      <c r="F710" t="s">
        <v>80</v>
      </c>
      <c r="G710" s="6">
        <v>1</v>
      </c>
      <c r="H710" s="4">
        <v>76.53</v>
      </c>
      <c r="I710" s="4">
        <v>42.1</v>
      </c>
      <c r="J710" s="5">
        <v>0.05</v>
      </c>
      <c r="K710" s="6">
        <v>5</v>
      </c>
      <c r="L710" s="6">
        <v>5</v>
      </c>
      <c r="M710" t="s">
        <v>58</v>
      </c>
      <c r="N710" t="s">
        <v>59</v>
      </c>
      <c r="O710" t="s">
        <v>64</v>
      </c>
      <c r="P710" t="str">
        <f t="shared" si="77"/>
        <v>Individual</v>
      </c>
      <c r="Q710" t="str">
        <f t="shared" si="78"/>
        <v>London</v>
      </c>
      <c r="R710" t="str">
        <f>PROPER(TRIM(E710))</f>
        <v>Electronics</v>
      </c>
      <c r="S710" s="27">
        <f>IF(ISTEXT(B710),DATEVALUE(B710),B710)</f>
        <v>46017</v>
      </c>
      <c r="T710" s="27">
        <f>COUNTIF($A$2:$A$1986,A710)</f>
        <v>1</v>
      </c>
      <c r="U710" s="27" t="str">
        <f t="shared" si="79"/>
        <v>Portable Speaker</v>
      </c>
      <c r="V710" s="27">
        <f t="shared" si="80"/>
        <v>72.703499999999991</v>
      </c>
      <c r="W710" s="27">
        <f t="shared" si="81"/>
        <v>42.1</v>
      </c>
      <c r="X710" s="27">
        <f>RawSalesTable3[[#This Row],[Revenue]]-RawSalesTable3[[#This Row],[Total_Cost]]</f>
        <v>30.60349999999999</v>
      </c>
      <c r="Y710" s="28">
        <f>RawSalesTable3[[#This Row],[Profit]]/RawSalesTable3[[#This Row],[Revenue]]</f>
        <v>0.4209357183629398</v>
      </c>
      <c r="Z710" s="27" t="str">
        <f>TEXT(RawSalesTable3[[#This Row],[Order_Date_Clean]],"MMM YYYY")</f>
        <v>Dec 2025</v>
      </c>
      <c r="AA710" s="27"/>
      <c r="AB710" s="27">
        <f t="shared" si="82"/>
        <v>0</v>
      </c>
      <c r="AC710" s="27">
        <f t="shared" si="83"/>
        <v>0</v>
      </c>
    </row>
    <row r="711" spans="1:29">
      <c r="A711" t="s">
        <v>811</v>
      </c>
      <c r="B711" s="3">
        <v>45899</v>
      </c>
      <c r="C711" t="s">
        <v>82</v>
      </c>
      <c r="D711" t="s">
        <v>129</v>
      </c>
      <c r="E711" t="s">
        <v>67</v>
      </c>
      <c r="F711" t="s">
        <v>71</v>
      </c>
      <c r="G711" s="6">
        <v>6</v>
      </c>
      <c r="H711" s="4">
        <v>68.489999999999995</v>
      </c>
      <c r="I711" s="4">
        <v>38.119999999999997</v>
      </c>
      <c r="J711" s="5">
        <v>0.05</v>
      </c>
      <c r="K711" s="6">
        <v>1</v>
      </c>
      <c r="L711" s="6">
        <v>4</v>
      </c>
      <c r="M711" t="s">
        <v>58</v>
      </c>
      <c r="N711" t="s">
        <v>69</v>
      </c>
      <c r="O711" t="s">
        <v>64</v>
      </c>
      <c r="P711" t="str">
        <f t="shared" si="77"/>
        <v>Corporate</v>
      </c>
      <c r="Q711" t="str">
        <f t="shared" si="78"/>
        <v>Midlands</v>
      </c>
      <c r="R711" t="str">
        <f>PROPER(TRIM(E711))</f>
        <v>Office</v>
      </c>
      <c r="S711" s="27">
        <f>IF(ISTEXT(B711),DATEVALUE(B711),B711)</f>
        <v>45899</v>
      </c>
      <c r="T711" s="27">
        <f>COUNTIF($A$2:$A$1986,A711)</f>
        <v>1</v>
      </c>
      <c r="U711" s="27" t="str">
        <f t="shared" si="79"/>
        <v>Ergonomic Keyboard</v>
      </c>
      <c r="V711" s="27">
        <f t="shared" si="80"/>
        <v>390.39299999999992</v>
      </c>
      <c r="W711" s="27">
        <f t="shared" si="81"/>
        <v>228.71999999999997</v>
      </c>
      <c r="X711" s="27">
        <f>RawSalesTable3[[#This Row],[Revenue]]-RawSalesTable3[[#This Row],[Total_Cost]]</f>
        <v>161.67299999999994</v>
      </c>
      <c r="Y711" s="28">
        <f>RawSalesTable3[[#This Row],[Profit]]/RawSalesTable3[[#This Row],[Revenue]]</f>
        <v>0.4141288394002966</v>
      </c>
      <c r="Z711" s="27" t="str">
        <f>TEXT(RawSalesTable3[[#This Row],[Order_Date_Clean]],"MMM YYYY")</f>
        <v>Aug 2025</v>
      </c>
      <c r="AA711" s="27"/>
      <c r="AB711" s="27">
        <f t="shared" si="82"/>
        <v>0</v>
      </c>
      <c r="AC711" s="27">
        <f t="shared" si="83"/>
        <v>0</v>
      </c>
    </row>
    <row r="712" spans="1:29">
      <c r="A712" t="s">
        <v>812</v>
      </c>
      <c r="B712" s="3">
        <v>45842</v>
      </c>
      <c r="C712" t="s">
        <v>82</v>
      </c>
      <c r="D712" t="s">
        <v>129</v>
      </c>
      <c r="E712" t="s">
        <v>56</v>
      </c>
      <c r="F712" t="s">
        <v>89</v>
      </c>
      <c r="G712" s="6">
        <v>6</v>
      </c>
      <c r="H712" s="4">
        <v>82.09</v>
      </c>
      <c r="I712" s="4">
        <v>45.5</v>
      </c>
      <c r="J712" s="5">
        <v>0.05</v>
      </c>
      <c r="K712" s="6">
        <v>0</v>
      </c>
      <c r="L712" s="6">
        <v>5</v>
      </c>
      <c r="M712" t="s">
        <v>58</v>
      </c>
      <c r="N712" t="s">
        <v>69</v>
      </c>
      <c r="O712" t="s">
        <v>64</v>
      </c>
      <c r="P712" t="str">
        <f t="shared" si="77"/>
        <v>Corporate</v>
      </c>
      <c r="Q712" t="str">
        <f t="shared" si="78"/>
        <v>Midlands</v>
      </c>
      <c r="R712" t="str">
        <f>PROPER(TRIM(E712))</f>
        <v>Home &amp; Kitchen</v>
      </c>
      <c r="S712" s="27">
        <f>IF(ISTEXT(B712),DATEVALUE(B712),B712)</f>
        <v>45842</v>
      </c>
      <c r="T712" s="27">
        <f>COUNTIF($A$2:$A$1986,A712)</f>
        <v>1</v>
      </c>
      <c r="U712" s="27" t="str">
        <f t="shared" si="79"/>
        <v>Coffee Maker</v>
      </c>
      <c r="V712" s="27">
        <f t="shared" si="80"/>
        <v>467.91300000000001</v>
      </c>
      <c r="W712" s="27">
        <f t="shared" si="81"/>
        <v>273</v>
      </c>
      <c r="X712" s="27">
        <f>RawSalesTable3[[#This Row],[Revenue]]-RawSalesTable3[[#This Row],[Total_Cost]]</f>
        <v>194.91300000000001</v>
      </c>
      <c r="Y712" s="28">
        <f>RawSalesTable3[[#This Row],[Profit]]/RawSalesTable3[[#This Row],[Revenue]]</f>
        <v>0.41655820633322865</v>
      </c>
      <c r="Z712" s="27" t="str">
        <f>TEXT(RawSalesTable3[[#This Row],[Order_Date_Clean]],"MMM YYYY")</f>
        <v>Jul 2025</v>
      </c>
      <c r="AA712" s="27"/>
      <c r="AB712" s="27">
        <f t="shared" si="82"/>
        <v>0</v>
      </c>
      <c r="AC712" s="27">
        <f t="shared" si="83"/>
        <v>0</v>
      </c>
    </row>
    <row r="713" spans="1:29">
      <c r="A713" t="s">
        <v>813</v>
      </c>
      <c r="B713" s="3">
        <v>45731</v>
      </c>
      <c r="C713" t="s">
        <v>54</v>
      </c>
      <c r="D713" t="s">
        <v>62</v>
      </c>
      <c r="E713" t="s">
        <v>79</v>
      </c>
      <c r="F713" t="s">
        <v>85</v>
      </c>
      <c r="G713" s="6">
        <v>1</v>
      </c>
      <c r="H713" s="4">
        <v>130.62</v>
      </c>
      <c r="I713" s="4">
        <v>87.33</v>
      </c>
      <c r="J713" s="5">
        <v>0.05</v>
      </c>
      <c r="K713" s="6">
        <v>4</v>
      </c>
      <c r="L713" s="6">
        <v>4</v>
      </c>
      <c r="M713" t="s">
        <v>58</v>
      </c>
      <c r="N713" t="s">
        <v>59</v>
      </c>
      <c r="O713" t="s">
        <v>64</v>
      </c>
      <c r="P713" t="str">
        <f t="shared" si="77"/>
        <v>Individual</v>
      </c>
      <c r="Q713" t="str">
        <f t="shared" si="78"/>
        <v>North</v>
      </c>
      <c r="R713" t="str">
        <f>PROPER(TRIM(E713))</f>
        <v>Electronics</v>
      </c>
      <c r="S713" s="27">
        <f>IF(ISTEXT(B713),DATEVALUE(B713),B713)</f>
        <v>45731</v>
      </c>
      <c r="T713" s="27">
        <f>COUNTIF($A$2:$A$1986,A713)</f>
        <v>1</v>
      </c>
      <c r="U713" s="27" t="str">
        <f t="shared" si="79"/>
        <v>SmartHome Hub</v>
      </c>
      <c r="V713" s="27">
        <f t="shared" si="80"/>
        <v>124.089</v>
      </c>
      <c r="W713" s="27">
        <f t="shared" si="81"/>
        <v>87.33</v>
      </c>
      <c r="X713" s="27">
        <f>RawSalesTable3[[#This Row],[Revenue]]-RawSalesTable3[[#This Row],[Total_Cost]]</f>
        <v>36.759</v>
      </c>
      <c r="Y713" s="28">
        <f>RawSalesTable3[[#This Row],[Profit]]/RawSalesTable3[[#This Row],[Revenue]]</f>
        <v>0.2962309310253125</v>
      </c>
      <c r="Z713" s="27" t="str">
        <f>TEXT(RawSalesTable3[[#This Row],[Order_Date_Clean]],"MMM YYYY")</f>
        <v>Mar 2025</v>
      </c>
      <c r="AA713" s="27"/>
      <c r="AB713" s="27">
        <f t="shared" si="82"/>
        <v>0</v>
      </c>
      <c r="AC713" s="27">
        <f t="shared" si="83"/>
        <v>0</v>
      </c>
    </row>
    <row r="714" spans="1:29">
      <c r="A714" t="s">
        <v>814</v>
      </c>
      <c r="B714" s="3">
        <v>45881</v>
      </c>
      <c r="C714" t="s">
        <v>54</v>
      </c>
      <c r="D714" t="s">
        <v>55</v>
      </c>
      <c r="E714" t="s">
        <v>79</v>
      </c>
      <c r="F714" t="s">
        <v>115</v>
      </c>
      <c r="G714" s="6">
        <v>2</v>
      </c>
      <c r="H714" s="4">
        <v>62.09</v>
      </c>
      <c r="I714" s="4">
        <v>34.03</v>
      </c>
      <c r="J714" s="5">
        <v>0.05</v>
      </c>
      <c r="K714" s="6">
        <v>3</v>
      </c>
      <c r="L714" s="6">
        <v>3</v>
      </c>
      <c r="M714" t="s">
        <v>126</v>
      </c>
      <c r="N714" t="s">
        <v>87</v>
      </c>
      <c r="O714" t="s">
        <v>64</v>
      </c>
      <c r="P714" t="str">
        <f t="shared" si="77"/>
        <v>Small Business</v>
      </c>
      <c r="Q714" t="str">
        <f t="shared" si="78"/>
        <v>North</v>
      </c>
      <c r="R714" t="str">
        <f>PROPER(TRIM(E714))</f>
        <v>Electronics</v>
      </c>
      <c r="S714" s="27">
        <f>IF(ISTEXT(B714),DATEVALUE(B714),B714)</f>
        <v>45881</v>
      </c>
      <c r="T714" s="27">
        <f>COUNTIF($A$2:$A$1986,A714)</f>
        <v>1</v>
      </c>
      <c r="U714" s="27" t="str">
        <f t="shared" si="79"/>
        <v>Wireless Headset</v>
      </c>
      <c r="V714" s="27">
        <f t="shared" si="80"/>
        <v>117.971</v>
      </c>
      <c r="W714" s="27">
        <f t="shared" si="81"/>
        <v>68.06</v>
      </c>
      <c r="X714" s="27">
        <f>RawSalesTable3[[#This Row],[Revenue]]-RawSalesTable3[[#This Row],[Total_Cost]]</f>
        <v>49.911000000000001</v>
      </c>
      <c r="Y714" s="28">
        <f>RawSalesTable3[[#This Row],[Profit]]/RawSalesTable3[[#This Row],[Revenue]]</f>
        <v>0.42307855320375348</v>
      </c>
      <c r="Z714" s="27" t="str">
        <f>TEXT(RawSalesTable3[[#This Row],[Order_Date_Clean]],"MMM YYYY")</f>
        <v>Aug 2025</v>
      </c>
      <c r="AA714" s="27"/>
      <c r="AB714" s="27">
        <f t="shared" si="82"/>
        <v>0</v>
      </c>
      <c r="AC714" s="27">
        <f t="shared" si="83"/>
        <v>0</v>
      </c>
    </row>
    <row r="715" spans="1:29">
      <c r="A715" t="s">
        <v>815</v>
      </c>
      <c r="B715" s="3">
        <v>45802</v>
      </c>
      <c r="C715" t="s">
        <v>66</v>
      </c>
      <c r="D715" t="s">
        <v>55</v>
      </c>
      <c r="E715" t="s">
        <v>67</v>
      </c>
      <c r="F715" t="s">
        <v>107</v>
      </c>
      <c r="G715" s="6">
        <v>1</v>
      </c>
      <c r="H715" s="4">
        <v>45.16</v>
      </c>
      <c r="I715" s="4">
        <v>20.38</v>
      </c>
      <c r="J715" s="5">
        <v>0.05</v>
      </c>
      <c r="K715" s="6">
        <v>3</v>
      </c>
      <c r="L715" s="6">
        <v>4</v>
      </c>
      <c r="M715" t="s">
        <v>58</v>
      </c>
      <c r="N715" t="s">
        <v>69</v>
      </c>
      <c r="O715" t="s">
        <v>64</v>
      </c>
      <c r="P715" t="str">
        <f t="shared" si="77"/>
        <v>Small Business</v>
      </c>
      <c r="Q715" t="str">
        <f t="shared" si="78"/>
        <v>South</v>
      </c>
      <c r="R715" t="str">
        <f>PROPER(TRIM(E715))</f>
        <v>Office</v>
      </c>
      <c r="S715" s="27">
        <f>IF(ISTEXT(B715),DATEVALUE(B715),B715)</f>
        <v>45802</v>
      </c>
      <c r="T715" s="27">
        <f>COUNTIF($A$2:$A$1986,A715)</f>
        <v>1</v>
      </c>
      <c r="U715" s="27" t="str">
        <f t="shared" si="79"/>
        <v>Laptop Stand</v>
      </c>
      <c r="V715" s="27">
        <f t="shared" si="80"/>
        <v>42.901999999999994</v>
      </c>
      <c r="W715" s="27">
        <f t="shared" si="81"/>
        <v>20.38</v>
      </c>
      <c r="X715" s="27">
        <f>RawSalesTable3[[#This Row],[Revenue]]-RawSalesTable3[[#This Row],[Total_Cost]]</f>
        <v>22.521999999999995</v>
      </c>
      <c r="Y715" s="28">
        <f>RawSalesTable3[[#This Row],[Profit]]/RawSalesTable3[[#This Row],[Revenue]]</f>
        <v>0.5249638711481982</v>
      </c>
      <c r="Z715" s="27" t="str">
        <f>TEXT(RawSalesTable3[[#This Row],[Order_Date_Clean]],"MMM YYYY")</f>
        <v>May 2025</v>
      </c>
      <c r="AA715" s="27"/>
      <c r="AB715" s="27">
        <f t="shared" si="82"/>
        <v>0</v>
      </c>
      <c r="AC715" s="27">
        <f t="shared" si="83"/>
        <v>0</v>
      </c>
    </row>
    <row r="716" spans="1:29">
      <c r="A716" t="s">
        <v>816</v>
      </c>
      <c r="B716" s="3">
        <v>46003</v>
      </c>
      <c r="C716" t="s">
        <v>78</v>
      </c>
      <c r="D716" t="s">
        <v>62</v>
      </c>
      <c r="E716" t="s">
        <v>75</v>
      </c>
      <c r="F716" t="s">
        <v>97</v>
      </c>
      <c r="G716" s="6">
        <v>2</v>
      </c>
      <c r="H716" s="4">
        <v>87.3</v>
      </c>
      <c r="I716" s="4">
        <v>53.24</v>
      </c>
      <c r="J716" s="5">
        <v>0.1</v>
      </c>
      <c r="K716" s="6">
        <v>8</v>
      </c>
      <c r="L716" s="6">
        <v>3</v>
      </c>
      <c r="M716" t="s">
        <v>58</v>
      </c>
      <c r="N716" t="s">
        <v>59</v>
      </c>
      <c r="O716" t="s">
        <v>64</v>
      </c>
      <c r="P716" t="str">
        <f t="shared" si="77"/>
        <v>Individual</v>
      </c>
      <c r="Q716" t="str">
        <f t="shared" si="78"/>
        <v>London</v>
      </c>
      <c r="R716" t="str">
        <f>PROPER(TRIM(E716))</f>
        <v>Furniture</v>
      </c>
      <c r="S716" s="27">
        <f>IF(ISTEXT(B716),DATEVALUE(B716),B716)</f>
        <v>46003</v>
      </c>
      <c r="T716" s="27">
        <f>COUNTIF($A$2:$A$1986,A716)</f>
        <v>1</v>
      </c>
      <c r="U716" s="27" t="str">
        <f t="shared" si="79"/>
        <v>Side Table</v>
      </c>
      <c r="V716" s="27">
        <f t="shared" si="80"/>
        <v>157.13999999999999</v>
      </c>
      <c r="W716" s="27">
        <f t="shared" si="81"/>
        <v>106.48</v>
      </c>
      <c r="X716" s="27">
        <f>RawSalesTable3[[#This Row],[Revenue]]-RawSalesTable3[[#This Row],[Total_Cost]]</f>
        <v>50.659999999999982</v>
      </c>
      <c r="Y716" s="28">
        <f>RawSalesTable3[[#This Row],[Profit]]/RawSalesTable3[[#This Row],[Revenue]]</f>
        <v>0.32238767977599586</v>
      </c>
      <c r="Z716" s="27" t="str">
        <f>TEXT(RawSalesTable3[[#This Row],[Order_Date_Clean]],"MMM YYYY")</f>
        <v>Dec 2025</v>
      </c>
      <c r="AA716" s="27"/>
      <c r="AB716" s="27">
        <f t="shared" si="82"/>
        <v>0</v>
      </c>
      <c r="AC716" s="27">
        <f t="shared" si="83"/>
        <v>0</v>
      </c>
    </row>
    <row r="717" spans="1:29">
      <c r="A717" t="s">
        <v>817</v>
      </c>
      <c r="B717" s="3">
        <v>46003</v>
      </c>
      <c r="C717" t="s">
        <v>82</v>
      </c>
      <c r="D717" t="s">
        <v>62</v>
      </c>
      <c r="E717" t="s">
        <v>79</v>
      </c>
      <c r="F717" t="s">
        <v>85</v>
      </c>
      <c r="G717" s="6">
        <v>2</v>
      </c>
      <c r="H717" s="4">
        <v>127.13</v>
      </c>
      <c r="I717" s="4">
        <v>83.24</v>
      </c>
      <c r="J717" s="5">
        <v>0</v>
      </c>
      <c r="K717" s="6">
        <v>4</v>
      </c>
      <c r="L717" s="6">
        <v>4</v>
      </c>
      <c r="M717" t="s">
        <v>58</v>
      </c>
      <c r="N717" t="s">
        <v>59</v>
      </c>
      <c r="O717" t="s">
        <v>64</v>
      </c>
      <c r="P717" t="str">
        <f t="shared" si="77"/>
        <v>Individual</v>
      </c>
      <c r="Q717" t="str">
        <f t="shared" si="78"/>
        <v>Midlands</v>
      </c>
      <c r="R717" t="str">
        <f>PROPER(TRIM(E717))</f>
        <v>Electronics</v>
      </c>
      <c r="S717" s="27">
        <f>IF(ISTEXT(B717),DATEVALUE(B717),B717)</f>
        <v>46003</v>
      </c>
      <c r="T717" s="27">
        <f>COUNTIF($A$2:$A$1986,A717)</f>
        <v>1</v>
      </c>
      <c r="U717" s="27" t="str">
        <f t="shared" si="79"/>
        <v>SmartHome Hub</v>
      </c>
      <c r="V717" s="27">
        <f t="shared" si="80"/>
        <v>254.26</v>
      </c>
      <c r="W717" s="27">
        <f t="shared" si="81"/>
        <v>166.48</v>
      </c>
      <c r="X717" s="27">
        <f>RawSalesTable3[[#This Row],[Revenue]]-RawSalesTable3[[#This Row],[Total_Cost]]</f>
        <v>87.78</v>
      </c>
      <c r="Y717" s="28">
        <f>RawSalesTable3[[#This Row],[Profit]]/RawSalesTable3[[#This Row],[Revenue]]</f>
        <v>0.34523715881381267</v>
      </c>
      <c r="Z717" s="27" t="str">
        <f>TEXT(RawSalesTable3[[#This Row],[Order_Date_Clean]],"MMM YYYY")</f>
        <v>Dec 2025</v>
      </c>
      <c r="AA717" s="27"/>
      <c r="AB717" s="27">
        <f t="shared" si="82"/>
        <v>0</v>
      </c>
      <c r="AC717" s="27">
        <f t="shared" si="83"/>
        <v>0</v>
      </c>
    </row>
    <row r="718" spans="1:29">
      <c r="A718" t="s">
        <v>818</v>
      </c>
      <c r="B718" s="3">
        <v>45706</v>
      </c>
      <c r="C718" t="s">
        <v>54</v>
      </c>
      <c r="D718" t="s">
        <v>62</v>
      </c>
      <c r="E718" t="s">
        <v>56</v>
      </c>
      <c r="F718" t="s">
        <v>57</v>
      </c>
      <c r="G718" s="6">
        <v>1</v>
      </c>
      <c r="H718" s="4">
        <v>109.32</v>
      </c>
      <c r="I718" s="4">
        <v>66.41</v>
      </c>
      <c r="J718" s="5">
        <v>0</v>
      </c>
      <c r="K718" s="6">
        <v>1</v>
      </c>
      <c r="L718" s="6">
        <v>5</v>
      </c>
      <c r="M718" t="s">
        <v>58</v>
      </c>
      <c r="N718" t="s">
        <v>59</v>
      </c>
      <c r="O718" t="s">
        <v>64</v>
      </c>
      <c r="P718" t="str">
        <f t="shared" si="77"/>
        <v>Individual</v>
      </c>
      <c r="Q718" t="str">
        <f t="shared" si="78"/>
        <v>North</v>
      </c>
      <c r="R718" t="str">
        <f>PROPER(TRIM(E718))</f>
        <v>Home &amp; Kitchen</v>
      </c>
      <c r="S718" s="27">
        <f>IF(ISTEXT(B718),DATEVALUE(B718),B718)</f>
        <v>45706</v>
      </c>
      <c r="T718" s="27">
        <f>COUNTIF($A$2:$A$1986,A718)</f>
        <v>1</v>
      </c>
      <c r="U718" s="27" t="str">
        <f t="shared" si="79"/>
        <v>Air Fryer</v>
      </c>
      <c r="V718" s="27">
        <f t="shared" si="80"/>
        <v>109.32</v>
      </c>
      <c r="W718" s="27">
        <f t="shared" si="81"/>
        <v>66.41</v>
      </c>
      <c r="X718" s="27">
        <f>RawSalesTable3[[#This Row],[Revenue]]-RawSalesTable3[[#This Row],[Total_Cost]]</f>
        <v>42.91</v>
      </c>
      <c r="Y718" s="28">
        <f>RawSalesTable3[[#This Row],[Profit]]/RawSalesTable3[[#This Row],[Revenue]]</f>
        <v>0.39251738016831322</v>
      </c>
      <c r="Z718" s="27" t="str">
        <f>TEXT(RawSalesTable3[[#This Row],[Order_Date_Clean]],"MMM YYYY")</f>
        <v>Feb 2025</v>
      </c>
      <c r="AA718" s="27"/>
      <c r="AB718" s="27">
        <f t="shared" si="82"/>
        <v>0</v>
      </c>
      <c r="AC718" s="27">
        <f t="shared" si="83"/>
        <v>0</v>
      </c>
    </row>
    <row r="719" spans="1:29">
      <c r="A719" t="s">
        <v>819</v>
      </c>
      <c r="B719" s="3">
        <v>46012</v>
      </c>
      <c r="C719" t="s">
        <v>54</v>
      </c>
      <c r="D719" t="s">
        <v>55</v>
      </c>
      <c r="E719" t="s">
        <v>79</v>
      </c>
      <c r="F719" t="s">
        <v>115</v>
      </c>
      <c r="G719" s="6">
        <v>1</v>
      </c>
      <c r="H719" s="4">
        <v>60.91</v>
      </c>
      <c r="I719" s="4">
        <v>34.090000000000003</v>
      </c>
      <c r="J719" s="5">
        <v>0.1</v>
      </c>
      <c r="K719" s="6">
        <v>2</v>
      </c>
      <c r="L719" s="6">
        <v>4</v>
      </c>
      <c r="M719" t="s">
        <v>58</v>
      </c>
      <c r="N719" t="s">
        <v>69</v>
      </c>
      <c r="O719" t="s">
        <v>64</v>
      </c>
      <c r="P719" t="str">
        <f t="shared" si="77"/>
        <v>Small Business</v>
      </c>
      <c r="Q719" t="str">
        <f t="shared" si="78"/>
        <v>North</v>
      </c>
      <c r="R719" t="str">
        <f>PROPER(TRIM(E719))</f>
        <v>Electronics</v>
      </c>
      <c r="S719" s="27">
        <f>IF(ISTEXT(B719),DATEVALUE(B719),B719)</f>
        <v>46012</v>
      </c>
      <c r="T719" s="27">
        <f>COUNTIF($A$2:$A$1986,A719)</f>
        <v>1</v>
      </c>
      <c r="U719" s="27" t="str">
        <f t="shared" si="79"/>
        <v>Wireless Headset</v>
      </c>
      <c r="V719" s="27">
        <f t="shared" si="80"/>
        <v>54.818999999999996</v>
      </c>
      <c r="W719" s="27">
        <f t="shared" si="81"/>
        <v>34.090000000000003</v>
      </c>
      <c r="X719" s="27">
        <f>RawSalesTable3[[#This Row],[Revenue]]-RawSalesTable3[[#This Row],[Total_Cost]]</f>
        <v>20.728999999999992</v>
      </c>
      <c r="Y719" s="28">
        <f>RawSalesTable3[[#This Row],[Profit]]/RawSalesTable3[[#This Row],[Revenue]]</f>
        <v>0.37813531804666256</v>
      </c>
      <c r="Z719" s="27" t="str">
        <f>TEXT(RawSalesTable3[[#This Row],[Order_Date_Clean]],"MMM YYYY")</f>
        <v>Dec 2025</v>
      </c>
      <c r="AA719" s="27"/>
      <c r="AB719" s="27">
        <f t="shared" si="82"/>
        <v>0</v>
      </c>
      <c r="AC719" s="27">
        <f t="shared" si="83"/>
        <v>0</v>
      </c>
    </row>
    <row r="720" spans="1:29">
      <c r="A720" t="s">
        <v>820</v>
      </c>
      <c r="B720" s="3">
        <v>45971</v>
      </c>
      <c r="C720" t="s">
        <v>78</v>
      </c>
      <c r="D720" t="s">
        <v>62</v>
      </c>
      <c r="E720" t="s">
        <v>79</v>
      </c>
      <c r="F720" t="s">
        <v>80</v>
      </c>
      <c r="G720" s="6">
        <v>2</v>
      </c>
      <c r="H720" s="4">
        <v>76.290000000000006</v>
      </c>
      <c r="I720" s="4">
        <v>45.14</v>
      </c>
      <c r="J720" s="5">
        <v>0.1</v>
      </c>
      <c r="K720" s="6">
        <v>5</v>
      </c>
      <c r="L720" s="6">
        <v>4</v>
      </c>
      <c r="M720" t="s">
        <v>58</v>
      </c>
      <c r="N720" t="s">
        <v>69</v>
      </c>
      <c r="O720" t="s">
        <v>60</v>
      </c>
      <c r="P720" t="str">
        <f t="shared" si="77"/>
        <v>Individual</v>
      </c>
      <c r="Q720" t="str">
        <f t="shared" si="78"/>
        <v>London</v>
      </c>
      <c r="R720" t="str">
        <f>PROPER(TRIM(E720))</f>
        <v>Electronics</v>
      </c>
      <c r="S720" s="27">
        <f>IF(ISTEXT(B720),DATEVALUE(B720),B720)</f>
        <v>45971</v>
      </c>
      <c r="T720" s="27">
        <f>COUNTIF($A$2:$A$1986,A720)</f>
        <v>1</v>
      </c>
      <c r="U720" s="27" t="str">
        <f t="shared" si="79"/>
        <v>Portable Speaker</v>
      </c>
      <c r="V720" s="27">
        <f t="shared" si="80"/>
        <v>137.322</v>
      </c>
      <c r="W720" s="27">
        <f t="shared" si="81"/>
        <v>90.28</v>
      </c>
      <c r="X720" s="27">
        <f>RawSalesTable3[[#This Row],[Revenue]]-RawSalesTable3[[#This Row],[Total_Cost]]</f>
        <v>47.042000000000002</v>
      </c>
      <c r="Y720" s="28">
        <f>RawSalesTable3[[#This Row],[Profit]]/RawSalesTable3[[#This Row],[Revenue]]</f>
        <v>0.34256710505235871</v>
      </c>
      <c r="Z720" s="27" t="str">
        <f>TEXT(RawSalesTable3[[#This Row],[Order_Date_Clean]],"MMM YYYY")</f>
        <v>Nov 2025</v>
      </c>
      <c r="AA720" s="27"/>
      <c r="AB720" s="27">
        <f t="shared" si="82"/>
        <v>0</v>
      </c>
      <c r="AC720" s="27">
        <f t="shared" si="83"/>
        <v>0</v>
      </c>
    </row>
    <row r="721" spans="1:29">
      <c r="A721" t="s">
        <v>821</v>
      </c>
      <c r="B721" s="3">
        <v>45940</v>
      </c>
      <c r="C721" t="s">
        <v>54</v>
      </c>
      <c r="D721" t="s">
        <v>129</v>
      </c>
      <c r="E721" t="s">
        <v>67</v>
      </c>
      <c r="F721" t="s">
        <v>94</v>
      </c>
      <c r="G721" s="6">
        <v>6</v>
      </c>
      <c r="H721" s="4">
        <v>34.99</v>
      </c>
      <c r="I721" s="4">
        <v>17.02</v>
      </c>
      <c r="J721" s="5">
        <v>0.05</v>
      </c>
      <c r="K721" s="6">
        <v>1</v>
      </c>
      <c r="L721" s="6">
        <v>4</v>
      </c>
      <c r="M721" t="s">
        <v>58</v>
      </c>
      <c r="N721" t="s">
        <v>69</v>
      </c>
      <c r="O721" t="s">
        <v>64</v>
      </c>
      <c r="P721" t="str">
        <f t="shared" si="77"/>
        <v>Corporate</v>
      </c>
      <c r="Q721" t="str">
        <f t="shared" si="78"/>
        <v>North</v>
      </c>
      <c r="R721" t="str">
        <f>PROPER(TRIM(E721))</f>
        <v>Office</v>
      </c>
      <c r="S721" s="27">
        <f>IF(ISTEXT(B721),DATEVALUE(B721),B721)</f>
        <v>45940</v>
      </c>
      <c r="T721" s="27">
        <f>COUNTIF($A$2:$A$1986,A721)</f>
        <v>1</v>
      </c>
      <c r="U721" s="27" t="str">
        <f t="shared" si="79"/>
        <v>Wireless Mouse</v>
      </c>
      <c r="V721" s="27">
        <f t="shared" si="80"/>
        <v>199.44299999999998</v>
      </c>
      <c r="W721" s="27">
        <f t="shared" si="81"/>
        <v>102.12</v>
      </c>
      <c r="X721" s="27">
        <f>RawSalesTable3[[#This Row],[Revenue]]-RawSalesTable3[[#This Row],[Total_Cost]]</f>
        <v>97.322999999999979</v>
      </c>
      <c r="Y721" s="28">
        <f>RawSalesTable3[[#This Row],[Profit]]/RawSalesTable3[[#This Row],[Revenue]]</f>
        <v>0.48797400761119714</v>
      </c>
      <c r="Z721" s="27" t="str">
        <f>TEXT(RawSalesTable3[[#This Row],[Order_Date_Clean]],"MMM YYYY")</f>
        <v>Oct 2025</v>
      </c>
      <c r="AA721" s="27"/>
      <c r="AB721" s="27">
        <f t="shared" si="82"/>
        <v>0</v>
      </c>
      <c r="AC721" s="27">
        <f t="shared" si="83"/>
        <v>0</v>
      </c>
    </row>
    <row r="722" spans="1:29">
      <c r="A722" t="s">
        <v>822</v>
      </c>
      <c r="B722" s="3">
        <v>45807</v>
      </c>
      <c r="C722" t="s">
        <v>78</v>
      </c>
      <c r="D722" t="s">
        <v>55</v>
      </c>
      <c r="E722" t="s">
        <v>79</v>
      </c>
      <c r="F722" t="s">
        <v>115</v>
      </c>
      <c r="G722" s="6">
        <v>1</v>
      </c>
      <c r="H722" s="4">
        <v>59.48</v>
      </c>
      <c r="I722" s="4">
        <v>34.409999999999997</v>
      </c>
      <c r="J722" s="5">
        <v>0.1</v>
      </c>
      <c r="K722" s="6">
        <v>4</v>
      </c>
      <c r="L722" s="6">
        <v>4</v>
      </c>
      <c r="M722" t="s">
        <v>58</v>
      </c>
      <c r="N722" t="s">
        <v>59</v>
      </c>
      <c r="O722" t="s">
        <v>64</v>
      </c>
      <c r="P722" t="str">
        <f t="shared" si="77"/>
        <v>Small Business</v>
      </c>
      <c r="Q722" t="str">
        <f t="shared" si="78"/>
        <v>London</v>
      </c>
      <c r="R722" t="str">
        <f>PROPER(TRIM(E722))</f>
        <v>Electronics</v>
      </c>
      <c r="S722" s="27">
        <f>IF(ISTEXT(B722),DATEVALUE(B722),B722)</f>
        <v>45807</v>
      </c>
      <c r="T722" s="27">
        <f>COUNTIF($A$2:$A$1986,A722)</f>
        <v>1</v>
      </c>
      <c r="U722" s="27" t="str">
        <f t="shared" si="79"/>
        <v>Wireless Headset</v>
      </c>
      <c r="V722" s="27">
        <f t="shared" si="80"/>
        <v>53.531999999999996</v>
      </c>
      <c r="W722" s="27">
        <f t="shared" si="81"/>
        <v>34.409999999999997</v>
      </c>
      <c r="X722" s="27">
        <f>RawSalesTable3[[#This Row],[Revenue]]-RawSalesTable3[[#This Row],[Total_Cost]]</f>
        <v>19.122</v>
      </c>
      <c r="Y722" s="28">
        <f>RawSalesTable3[[#This Row],[Profit]]/RawSalesTable3[[#This Row],[Revenue]]</f>
        <v>0.35720690428155122</v>
      </c>
      <c r="Z722" s="27" t="str">
        <f>TEXT(RawSalesTable3[[#This Row],[Order_Date_Clean]],"MMM YYYY")</f>
        <v>May 2025</v>
      </c>
      <c r="AA722" s="27"/>
      <c r="AB722" s="27">
        <f t="shared" si="82"/>
        <v>0</v>
      </c>
      <c r="AC722" s="27">
        <f t="shared" si="83"/>
        <v>0</v>
      </c>
    </row>
    <row r="723" spans="1:29">
      <c r="A723" t="s">
        <v>823</v>
      </c>
      <c r="B723" s="3">
        <v>45975</v>
      </c>
      <c r="C723" t="s">
        <v>78</v>
      </c>
      <c r="D723" t="s">
        <v>55</v>
      </c>
      <c r="E723" t="s">
        <v>79</v>
      </c>
      <c r="F723" t="s">
        <v>92</v>
      </c>
      <c r="G723" s="6">
        <v>4</v>
      </c>
      <c r="H723" s="4">
        <v>48.56</v>
      </c>
      <c r="I723" s="4">
        <v>26.01</v>
      </c>
      <c r="J723" s="5">
        <v>0.15000000000000002</v>
      </c>
      <c r="K723" s="6">
        <v>2</v>
      </c>
      <c r="L723" s="6">
        <v>4</v>
      </c>
      <c r="M723" t="s">
        <v>58</v>
      </c>
      <c r="N723" t="s">
        <v>59</v>
      </c>
      <c r="O723" t="s">
        <v>64</v>
      </c>
      <c r="P723" t="str">
        <f t="shared" si="77"/>
        <v>Small Business</v>
      </c>
      <c r="Q723" t="str">
        <f t="shared" si="78"/>
        <v>London</v>
      </c>
      <c r="R723" t="str">
        <f>PROPER(TRIM(E723))</f>
        <v>Electronics</v>
      </c>
      <c r="S723" s="27">
        <f>IF(ISTEXT(B723),DATEVALUE(B723),B723)</f>
        <v>45975</v>
      </c>
      <c r="T723" s="27">
        <f>COUNTIF($A$2:$A$1986,A723)</f>
        <v>1</v>
      </c>
      <c r="U723" s="27" t="str">
        <f t="shared" si="79"/>
        <v>Webcam</v>
      </c>
      <c r="V723" s="27">
        <f t="shared" si="80"/>
        <v>165.10400000000001</v>
      </c>
      <c r="W723" s="27">
        <f t="shared" si="81"/>
        <v>104.04</v>
      </c>
      <c r="X723" s="27">
        <f>RawSalesTable3[[#This Row],[Revenue]]-RawSalesTable3[[#This Row],[Total_Cost]]</f>
        <v>61.064000000000007</v>
      </c>
      <c r="Y723" s="28">
        <f>RawSalesTable3[[#This Row],[Profit]]/RawSalesTable3[[#This Row],[Revenue]]</f>
        <v>0.36985172981878089</v>
      </c>
      <c r="Z723" s="27" t="str">
        <f>TEXT(RawSalesTable3[[#This Row],[Order_Date_Clean]],"MMM YYYY")</f>
        <v>Nov 2025</v>
      </c>
      <c r="AA723" s="27"/>
      <c r="AB723" s="27">
        <f t="shared" si="82"/>
        <v>0</v>
      </c>
      <c r="AC723" s="27">
        <f t="shared" si="83"/>
        <v>0</v>
      </c>
    </row>
    <row r="724" spans="1:29">
      <c r="A724" t="s">
        <v>824</v>
      </c>
      <c r="B724" s="3">
        <v>45858</v>
      </c>
      <c r="C724" t="s">
        <v>66</v>
      </c>
      <c r="D724" t="s">
        <v>55</v>
      </c>
      <c r="E724" t="s">
        <v>56</v>
      </c>
      <c r="F724" t="s">
        <v>89</v>
      </c>
      <c r="G724" s="6">
        <v>2</v>
      </c>
      <c r="H724" s="4">
        <v>79.849999999999994</v>
      </c>
      <c r="I724" s="4">
        <v>46.57</v>
      </c>
      <c r="J724" s="5">
        <v>0.05</v>
      </c>
      <c r="K724" s="6">
        <v>0</v>
      </c>
      <c r="L724" s="6">
        <v>4</v>
      </c>
      <c r="M724" t="s">
        <v>58</v>
      </c>
      <c r="N724" t="s">
        <v>69</v>
      </c>
      <c r="O724" t="s">
        <v>64</v>
      </c>
      <c r="P724" t="str">
        <f t="shared" si="77"/>
        <v>Small Business</v>
      </c>
      <c r="Q724" t="str">
        <f t="shared" si="78"/>
        <v>South</v>
      </c>
      <c r="R724" t="str">
        <f>PROPER(TRIM(E724))</f>
        <v>Home &amp; Kitchen</v>
      </c>
      <c r="S724" s="27">
        <f>IF(ISTEXT(B724),DATEVALUE(B724),B724)</f>
        <v>45858</v>
      </c>
      <c r="T724" s="27">
        <f>COUNTIF($A$2:$A$1986,A724)</f>
        <v>1</v>
      </c>
      <c r="U724" s="27" t="str">
        <f t="shared" si="79"/>
        <v>Coffee Maker</v>
      </c>
      <c r="V724" s="27">
        <f t="shared" si="80"/>
        <v>151.71499999999997</v>
      </c>
      <c r="W724" s="27">
        <f t="shared" si="81"/>
        <v>93.14</v>
      </c>
      <c r="X724" s="27">
        <f>RawSalesTable3[[#This Row],[Revenue]]-RawSalesTable3[[#This Row],[Total_Cost]]</f>
        <v>58.574999999999974</v>
      </c>
      <c r="Y724" s="28">
        <f>RawSalesTable3[[#This Row],[Profit]]/RawSalesTable3[[#This Row],[Revenue]]</f>
        <v>0.38608575289193542</v>
      </c>
      <c r="Z724" s="27" t="str">
        <f>TEXT(RawSalesTable3[[#This Row],[Order_Date_Clean]],"MMM YYYY")</f>
        <v>Jul 2025</v>
      </c>
      <c r="AA724" s="27"/>
      <c r="AB724" s="27">
        <f t="shared" si="82"/>
        <v>0</v>
      </c>
      <c r="AC724" s="27">
        <f t="shared" si="83"/>
        <v>0</v>
      </c>
    </row>
    <row r="725" spans="1:29">
      <c r="A725" t="s">
        <v>825</v>
      </c>
      <c r="B725" s="3">
        <v>45921</v>
      </c>
      <c r="C725" t="s">
        <v>82</v>
      </c>
      <c r="D725" t="s">
        <v>62</v>
      </c>
      <c r="E725" t="s">
        <v>79</v>
      </c>
      <c r="F725" t="s">
        <v>115</v>
      </c>
      <c r="G725" s="6">
        <v>1</v>
      </c>
      <c r="H725" s="4">
        <v>60.49</v>
      </c>
      <c r="I725" s="4">
        <v>34.14</v>
      </c>
      <c r="J725" s="5">
        <v>0.1</v>
      </c>
      <c r="K725" s="6">
        <v>4</v>
      </c>
      <c r="L725" s="6">
        <v>4</v>
      </c>
      <c r="M725" t="s">
        <v>58</v>
      </c>
      <c r="N725" t="s">
        <v>87</v>
      </c>
      <c r="O725" t="s">
        <v>64</v>
      </c>
      <c r="P725" t="str">
        <f t="shared" si="77"/>
        <v>Individual</v>
      </c>
      <c r="Q725" t="str">
        <f t="shared" si="78"/>
        <v>Midlands</v>
      </c>
      <c r="R725" t="str">
        <f>PROPER(TRIM(E725))</f>
        <v>Electronics</v>
      </c>
      <c r="S725" s="27">
        <f>IF(ISTEXT(B725),DATEVALUE(B725),B725)</f>
        <v>45921</v>
      </c>
      <c r="T725" s="27">
        <f>COUNTIF($A$2:$A$1986,A725)</f>
        <v>1</v>
      </c>
      <c r="U725" s="27" t="str">
        <f t="shared" si="79"/>
        <v>Wireless Headset</v>
      </c>
      <c r="V725" s="27">
        <f t="shared" si="80"/>
        <v>54.441000000000003</v>
      </c>
      <c r="W725" s="27">
        <f t="shared" si="81"/>
        <v>34.14</v>
      </c>
      <c r="X725" s="27">
        <f>RawSalesTable3[[#This Row],[Revenue]]-RawSalesTable3[[#This Row],[Total_Cost]]</f>
        <v>20.301000000000002</v>
      </c>
      <c r="Y725" s="28">
        <f>RawSalesTable3[[#This Row],[Profit]]/RawSalesTable3[[#This Row],[Revenue]]</f>
        <v>0.37289910177990854</v>
      </c>
      <c r="Z725" s="27" t="str">
        <f>TEXT(RawSalesTable3[[#This Row],[Order_Date_Clean]],"MMM YYYY")</f>
        <v>Sep 2025</v>
      </c>
      <c r="AA725" s="27"/>
      <c r="AB725" s="27">
        <f t="shared" si="82"/>
        <v>0</v>
      </c>
      <c r="AC725" s="27">
        <f t="shared" si="83"/>
        <v>0</v>
      </c>
    </row>
    <row r="726" spans="1:29">
      <c r="A726" t="s">
        <v>826</v>
      </c>
      <c r="B726" s="3">
        <v>45999</v>
      </c>
      <c r="C726" t="s">
        <v>54</v>
      </c>
      <c r="D726" t="s">
        <v>55</v>
      </c>
      <c r="E726" t="s">
        <v>56</v>
      </c>
      <c r="F726" t="s">
        <v>83</v>
      </c>
      <c r="G726" s="6">
        <v>2</v>
      </c>
      <c r="H726" s="4">
        <v>64.739999999999995</v>
      </c>
      <c r="I726" s="4">
        <v>35.83</v>
      </c>
      <c r="J726" s="5">
        <v>0</v>
      </c>
      <c r="K726" s="6">
        <v>4</v>
      </c>
      <c r="L726" s="6">
        <v>5</v>
      </c>
      <c r="M726" t="s">
        <v>58</v>
      </c>
      <c r="N726" t="s">
        <v>59</v>
      </c>
      <c r="O726" t="s">
        <v>64</v>
      </c>
      <c r="P726" t="str">
        <f t="shared" si="77"/>
        <v>Small Business</v>
      </c>
      <c r="Q726" t="str">
        <f t="shared" si="78"/>
        <v>North</v>
      </c>
      <c r="R726" t="str">
        <f>PROPER(TRIM(E726))</f>
        <v>Home &amp; Kitchen</v>
      </c>
      <c r="S726" s="27">
        <f>IF(ISTEXT(B726),DATEVALUE(B726),B726)</f>
        <v>45999</v>
      </c>
      <c r="T726" s="27">
        <f>COUNTIF($A$2:$A$1986,A726)</f>
        <v>1</v>
      </c>
      <c r="U726" s="27" t="str">
        <f t="shared" si="79"/>
        <v>Blender</v>
      </c>
      <c r="V726" s="27">
        <f t="shared" si="80"/>
        <v>129.47999999999999</v>
      </c>
      <c r="W726" s="27">
        <f t="shared" si="81"/>
        <v>71.66</v>
      </c>
      <c r="X726" s="27">
        <f>RawSalesTable3[[#This Row],[Revenue]]-RawSalesTable3[[#This Row],[Total_Cost]]</f>
        <v>57.819999999999993</v>
      </c>
      <c r="Y726" s="28">
        <f>RawSalesTable3[[#This Row],[Profit]]/RawSalesTable3[[#This Row],[Revenue]]</f>
        <v>0.44655545257954893</v>
      </c>
      <c r="Z726" s="27" t="str">
        <f>TEXT(RawSalesTable3[[#This Row],[Order_Date_Clean]],"MMM YYYY")</f>
        <v>Dec 2025</v>
      </c>
      <c r="AA726" s="27"/>
      <c r="AB726" s="27">
        <f t="shared" si="82"/>
        <v>0</v>
      </c>
      <c r="AC726" s="27">
        <f t="shared" si="83"/>
        <v>0</v>
      </c>
    </row>
    <row r="727" spans="1:29">
      <c r="A727" t="s">
        <v>827</v>
      </c>
      <c r="B727" s="3">
        <v>45866</v>
      </c>
      <c r="C727" t="s">
        <v>66</v>
      </c>
      <c r="D727" t="s">
        <v>55</v>
      </c>
      <c r="E727" t="s">
        <v>67</v>
      </c>
      <c r="F727" t="s">
        <v>71</v>
      </c>
      <c r="G727" s="6">
        <v>1</v>
      </c>
      <c r="H727" s="4">
        <v>70.09</v>
      </c>
      <c r="I727" s="4">
        <v>38.75</v>
      </c>
      <c r="J727" s="5">
        <v>0.1</v>
      </c>
      <c r="K727" s="6">
        <v>5</v>
      </c>
      <c r="L727" s="6">
        <v>4</v>
      </c>
      <c r="M727" t="s">
        <v>58</v>
      </c>
      <c r="N727" t="s">
        <v>59</v>
      </c>
      <c r="O727" t="s">
        <v>64</v>
      </c>
      <c r="P727" t="str">
        <f t="shared" si="77"/>
        <v>Small Business</v>
      </c>
      <c r="Q727" t="str">
        <f t="shared" si="78"/>
        <v>South</v>
      </c>
      <c r="R727" t="str">
        <f>PROPER(TRIM(E727))</f>
        <v>Office</v>
      </c>
      <c r="S727" s="27">
        <f>IF(ISTEXT(B727),DATEVALUE(B727),B727)</f>
        <v>45866</v>
      </c>
      <c r="T727" s="27">
        <f>COUNTIF($A$2:$A$1986,A727)</f>
        <v>1</v>
      </c>
      <c r="U727" s="27" t="str">
        <f t="shared" si="79"/>
        <v>Ergonomic Keyboard</v>
      </c>
      <c r="V727" s="27">
        <f t="shared" si="80"/>
        <v>63.081000000000003</v>
      </c>
      <c r="W727" s="27">
        <f t="shared" si="81"/>
        <v>38.75</v>
      </c>
      <c r="X727" s="27">
        <f>RawSalesTable3[[#This Row],[Revenue]]-RawSalesTable3[[#This Row],[Total_Cost]]</f>
        <v>24.331000000000003</v>
      </c>
      <c r="Y727" s="28">
        <f>RawSalesTable3[[#This Row],[Profit]]/RawSalesTable3[[#This Row],[Revenue]]</f>
        <v>0.38571043578890635</v>
      </c>
      <c r="Z727" s="27" t="str">
        <f>TEXT(RawSalesTable3[[#This Row],[Order_Date_Clean]],"MMM YYYY")</f>
        <v>Jul 2025</v>
      </c>
      <c r="AA727" s="27"/>
      <c r="AB727" s="27">
        <f t="shared" si="82"/>
        <v>0</v>
      </c>
      <c r="AC727" s="27">
        <f t="shared" si="83"/>
        <v>0</v>
      </c>
    </row>
    <row r="728" spans="1:29">
      <c r="A728" t="s">
        <v>828</v>
      </c>
      <c r="B728" s="3">
        <v>45900</v>
      </c>
      <c r="C728" t="s">
        <v>82</v>
      </c>
      <c r="D728" t="s">
        <v>55</v>
      </c>
      <c r="E728" t="s">
        <v>67</v>
      </c>
      <c r="F728" t="s">
        <v>68</v>
      </c>
      <c r="G728" s="6">
        <v>2</v>
      </c>
      <c r="H728" s="4">
        <v>39.61</v>
      </c>
      <c r="I728" s="4">
        <v>18.54</v>
      </c>
      <c r="J728" s="5">
        <v>0</v>
      </c>
      <c r="K728" s="6">
        <v>0</v>
      </c>
      <c r="L728" s="6">
        <v>3</v>
      </c>
      <c r="M728" t="s">
        <v>126</v>
      </c>
      <c r="N728" t="s">
        <v>69</v>
      </c>
      <c r="O728" t="s">
        <v>64</v>
      </c>
      <c r="P728" t="str">
        <f t="shared" si="77"/>
        <v>Small Business</v>
      </c>
      <c r="Q728" t="str">
        <f t="shared" si="78"/>
        <v>Midlands</v>
      </c>
      <c r="R728" t="str">
        <f>PROPER(TRIM(E728))</f>
        <v>Office</v>
      </c>
      <c r="S728" s="27">
        <f>IF(ISTEXT(B728),DATEVALUE(B728),B728)</f>
        <v>45900</v>
      </c>
      <c r="T728" s="27">
        <f>COUNTIF($A$2:$A$1986,A728)</f>
        <v>1</v>
      </c>
      <c r="U728" s="27" t="str">
        <f t="shared" si="79"/>
        <v>Desk Lamp</v>
      </c>
      <c r="V728" s="27">
        <f t="shared" si="80"/>
        <v>79.22</v>
      </c>
      <c r="W728" s="27">
        <f t="shared" si="81"/>
        <v>37.08</v>
      </c>
      <c r="X728" s="27">
        <f>RawSalesTable3[[#This Row],[Revenue]]-RawSalesTable3[[#This Row],[Total_Cost]]</f>
        <v>42.14</v>
      </c>
      <c r="Y728" s="28">
        <f>RawSalesTable3[[#This Row],[Profit]]/RawSalesTable3[[#This Row],[Revenue]]</f>
        <v>0.5319363797020954</v>
      </c>
      <c r="Z728" s="27" t="str">
        <f>TEXT(RawSalesTable3[[#This Row],[Order_Date_Clean]],"MMM YYYY")</f>
        <v>Aug 2025</v>
      </c>
      <c r="AA728" s="27"/>
      <c r="AB728" s="27">
        <f t="shared" si="82"/>
        <v>0</v>
      </c>
      <c r="AC728" s="27">
        <f t="shared" si="83"/>
        <v>0</v>
      </c>
    </row>
    <row r="729" spans="1:29">
      <c r="A729" t="s">
        <v>829</v>
      </c>
      <c r="B729" s="3">
        <v>45898</v>
      </c>
      <c r="C729" t="s">
        <v>66</v>
      </c>
      <c r="D729" t="s">
        <v>62</v>
      </c>
      <c r="E729" t="s">
        <v>75</v>
      </c>
      <c r="F729" t="s">
        <v>76</v>
      </c>
      <c r="G729" s="6">
        <v>1</v>
      </c>
      <c r="H729" s="4">
        <v>122.7</v>
      </c>
      <c r="I729" s="4">
        <v>73</v>
      </c>
      <c r="J729" s="5">
        <v>0.05</v>
      </c>
      <c r="K729" s="6">
        <v>5</v>
      </c>
      <c r="L729" s="6">
        <v>4</v>
      </c>
      <c r="M729" t="s">
        <v>58</v>
      </c>
      <c r="N729" t="s">
        <v>59</v>
      </c>
      <c r="O729" t="s">
        <v>64</v>
      </c>
      <c r="P729" t="str">
        <f t="shared" si="77"/>
        <v>Individual</v>
      </c>
      <c r="Q729" t="str">
        <f t="shared" si="78"/>
        <v>South</v>
      </c>
      <c r="R729" t="str">
        <f>PROPER(TRIM(E729))</f>
        <v>Furniture</v>
      </c>
      <c r="S729" s="27">
        <f>IF(ISTEXT(B729),DATEVALUE(B729),B729)</f>
        <v>45898</v>
      </c>
      <c r="T729" s="27">
        <f>COUNTIF($A$2:$A$1986,A729)</f>
        <v>1</v>
      </c>
      <c r="U729" s="27" t="str">
        <f t="shared" si="79"/>
        <v>Bookshelf</v>
      </c>
      <c r="V729" s="27">
        <f t="shared" si="80"/>
        <v>116.565</v>
      </c>
      <c r="W729" s="27">
        <f t="shared" si="81"/>
        <v>73</v>
      </c>
      <c r="X729" s="27">
        <f>RawSalesTable3[[#This Row],[Revenue]]-RawSalesTable3[[#This Row],[Total_Cost]]</f>
        <v>43.564999999999998</v>
      </c>
      <c r="Y729" s="28">
        <f>RawSalesTable3[[#This Row],[Profit]]/RawSalesTable3[[#This Row],[Revenue]]</f>
        <v>0.37373997340539611</v>
      </c>
      <c r="Z729" s="27" t="str">
        <f>TEXT(RawSalesTable3[[#This Row],[Order_Date_Clean]],"MMM YYYY")</f>
        <v>Aug 2025</v>
      </c>
      <c r="AA729" s="27"/>
      <c r="AB729" s="27">
        <f t="shared" si="82"/>
        <v>0</v>
      </c>
      <c r="AC729" s="27">
        <f t="shared" si="83"/>
        <v>0</v>
      </c>
    </row>
    <row r="730" spans="1:29">
      <c r="A730" t="s">
        <v>830</v>
      </c>
      <c r="B730" s="3">
        <v>46004</v>
      </c>
      <c r="C730" t="s">
        <v>66</v>
      </c>
      <c r="D730" t="s">
        <v>62</v>
      </c>
      <c r="E730" t="s">
        <v>75</v>
      </c>
      <c r="F730" t="s">
        <v>76</v>
      </c>
      <c r="G730" s="6">
        <v>1</v>
      </c>
      <c r="H730" s="4">
        <v>122.68</v>
      </c>
      <c r="I730" s="4">
        <v>73.34</v>
      </c>
      <c r="J730" s="5">
        <v>0.15000000000000002</v>
      </c>
      <c r="K730" s="6">
        <v>7</v>
      </c>
      <c r="L730" s="6">
        <v>3</v>
      </c>
      <c r="M730" t="s">
        <v>58</v>
      </c>
      <c r="N730" t="s">
        <v>59</v>
      </c>
      <c r="O730" t="s">
        <v>64</v>
      </c>
      <c r="P730" t="str">
        <f t="shared" si="77"/>
        <v>Individual</v>
      </c>
      <c r="Q730" t="str">
        <f t="shared" si="78"/>
        <v>South</v>
      </c>
      <c r="R730" t="str">
        <f>PROPER(TRIM(E730))</f>
        <v>Furniture</v>
      </c>
      <c r="S730" s="27">
        <f>IF(ISTEXT(B730),DATEVALUE(B730),B730)</f>
        <v>46004</v>
      </c>
      <c r="T730" s="27">
        <f>COUNTIF($A$2:$A$1986,A730)</f>
        <v>1</v>
      </c>
      <c r="U730" s="27" t="str">
        <f t="shared" si="79"/>
        <v>Bookshelf</v>
      </c>
      <c r="V730" s="27">
        <f t="shared" si="80"/>
        <v>104.27800000000001</v>
      </c>
      <c r="W730" s="27">
        <f t="shared" si="81"/>
        <v>73.34</v>
      </c>
      <c r="X730" s="27">
        <f>RawSalesTable3[[#This Row],[Revenue]]-RawSalesTable3[[#This Row],[Total_Cost]]</f>
        <v>30.938000000000002</v>
      </c>
      <c r="Y730" s="28">
        <f>RawSalesTable3[[#This Row],[Profit]]/RawSalesTable3[[#This Row],[Revenue]]</f>
        <v>0.29668770018604118</v>
      </c>
      <c r="Z730" s="27" t="str">
        <f>TEXT(RawSalesTable3[[#This Row],[Order_Date_Clean]],"MMM YYYY")</f>
        <v>Dec 2025</v>
      </c>
      <c r="AA730" s="27"/>
      <c r="AB730" s="27">
        <f t="shared" si="82"/>
        <v>0</v>
      </c>
      <c r="AC730" s="27">
        <f t="shared" si="83"/>
        <v>0</v>
      </c>
    </row>
    <row r="731" spans="1:29">
      <c r="A731" t="s">
        <v>831</v>
      </c>
      <c r="B731" s="3">
        <v>46017</v>
      </c>
      <c r="C731" t="s">
        <v>66</v>
      </c>
      <c r="D731" t="s">
        <v>62</v>
      </c>
      <c r="E731" t="s">
        <v>79</v>
      </c>
      <c r="F731" t="s">
        <v>80</v>
      </c>
      <c r="G731" s="6">
        <v>2</v>
      </c>
      <c r="H731" s="4">
        <v>73.61</v>
      </c>
      <c r="I731" s="4">
        <v>43.7</v>
      </c>
      <c r="J731" s="5">
        <v>0.15000000000000002</v>
      </c>
      <c r="K731" s="6">
        <v>1</v>
      </c>
      <c r="L731" s="6">
        <v>4</v>
      </c>
      <c r="M731" t="s">
        <v>58</v>
      </c>
      <c r="N731" t="s">
        <v>87</v>
      </c>
      <c r="O731" t="s">
        <v>73</v>
      </c>
      <c r="P731" t="str">
        <f t="shared" si="77"/>
        <v>Individual</v>
      </c>
      <c r="Q731" t="str">
        <f t="shared" si="78"/>
        <v>South</v>
      </c>
      <c r="R731" t="str">
        <f>PROPER(TRIM(E731))</f>
        <v>Electronics</v>
      </c>
      <c r="S731" s="27">
        <f>IF(ISTEXT(B731),DATEVALUE(B731),B731)</f>
        <v>46017</v>
      </c>
      <c r="T731" s="27">
        <f>COUNTIF($A$2:$A$1986,A731)</f>
        <v>1</v>
      </c>
      <c r="U731" s="27" t="str">
        <f t="shared" si="79"/>
        <v>Portable Speaker</v>
      </c>
      <c r="V731" s="27">
        <f t="shared" si="80"/>
        <v>125.137</v>
      </c>
      <c r="W731" s="27">
        <f t="shared" si="81"/>
        <v>87.4</v>
      </c>
      <c r="X731" s="27">
        <f>RawSalesTable3[[#This Row],[Revenue]]-RawSalesTable3[[#This Row],[Total_Cost]]</f>
        <v>37.736999999999995</v>
      </c>
      <c r="Y731" s="28">
        <f>RawSalesTable3[[#This Row],[Profit]]/RawSalesTable3[[#This Row],[Revenue]]</f>
        <v>0.30156548422928464</v>
      </c>
      <c r="Z731" s="27" t="str">
        <f>TEXT(RawSalesTable3[[#This Row],[Order_Date_Clean]],"MMM YYYY")</f>
        <v>Dec 2025</v>
      </c>
      <c r="AA731" s="27"/>
      <c r="AB731" s="27">
        <f t="shared" si="82"/>
        <v>0</v>
      </c>
      <c r="AC731" s="27">
        <f t="shared" si="83"/>
        <v>0</v>
      </c>
    </row>
    <row r="732" spans="1:29">
      <c r="A732" t="s">
        <v>832</v>
      </c>
      <c r="B732" s="3">
        <v>45920</v>
      </c>
      <c r="C732" t="s">
        <v>66</v>
      </c>
      <c r="D732" t="s">
        <v>55</v>
      </c>
      <c r="E732" t="s">
        <v>227</v>
      </c>
      <c r="F732" t="s">
        <v>85</v>
      </c>
      <c r="G732" s="6">
        <v>4</v>
      </c>
      <c r="H732" s="4">
        <v>129.25</v>
      </c>
      <c r="I732" s="4">
        <v>82.28</v>
      </c>
      <c r="J732" s="5">
        <v>0.05</v>
      </c>
      <c r="K732" s="6">
        <v>4</v>
      </c>
      <c r="L732" s="6">
        <v>4</v>
      </c>
      <c r="M732" t="s">
        <v>58</v>
      </c>
      <c r="N732" t="s">
        <v>87</v>
      </c>
      <c r="O732" t="s">
        <v>64</v>
      </c>
      <c r="P732" t="str">
        <f t="shared" si="77"/>
        <v>Small Business</v>
      </c>
      <c r="Q732" t="str">
        <f t="shared" si="78"/>
        <v>South</v>
      </c>
      <c r="R732" t="str">
        <f>PROPER(TRIM(E732))</f>
        <v>Electronics</v>
      </c>
      <c r="S732" s="27">
        <f>IF(ISTEXT(B732),DATEVALUE(B732),B732)</f>
        <v>45920</v>
      </c>
      <c r="T732" s="27">
        <f>COUNTIF($A$2:$A$1986,A732)</f>
        <v>1</v>
      </c>
      <c r="U732" s="27" t="str">
        <f t="shared" si="79"/>
        <v>SmartHome Hub</v>
      </c>
      <c r="V732" s="27">
        <f t="shared" si="80"/>
        <v>491.15</v>
      </c>
      <c r="W732" s="27">
        <f t="shared" si="81"/>
        <v>329.12</v>
      </c>
      <c r="X732" s="27">
        <f>RawSalesTable3[[#This Row],[Revenue]]-RawSalesTable3[[#This Row],[Total_Cost]]</f>
        <v>162.02999999999997</v>
      </c>
      <c r="Y732" s="28">
        <f>RawSalesTable3[[#This Row],[Profit]]/RawSalesTable3[[#This Row],[Revenue]]</f>
        <v>0.32989921612541989</v>
      </c>
      <c r="Z732" s="27" t="str">
        <f>TEXT(RawSalesTable3[[#This Row],[Order_Date_Clean]],"MMM YYYY")</f>
        <v>Sep 2025</v>
      </c>
      <c r="AA732" s="27"/>
      <c r="AB732" s="27">
        <f t="shared" si="82"/>
        <v>0</v>
      </c>
      <c r="AC732" s="27">
        <f t="shared" si="83"/>
        <v>0</v>
      </c>
    </row>
    <row r="733" spans="1:29">
      <c r="A733" t="s">
        <v>833</v>
      </c>
      <c r="B733" s="3">
        <v>45809</v>
      </c>
      <c r="C733" t="s">
        <v>54</v>
      </c>
      <c r="D733" t="s">
        <v>62</v>
      </c>
      <c r="E733" t="s">
        <v>56</v>
      </c>
      <c r="F733" t="s">
        <v>89</v>
      </c>
      <c r="G733" s="6">
        <v>1</v>
      </c>
      <c r="H733" s="4">
        <v>78.45</v>
      </c>
      <c r="I733" s="4">
        <v>45.86</v>
      </c>
      <c r="J733" s="5">
        <v>0.05</v>
      </c>
      <c r="K733" s="6">
        <v>1</v>
      </c>
      <c r="L733" s="6">
        <v>5</v>
      </c>
      <c r="M733" t="s">
        <v>58</v>
      </c>
      <c r="N733" t="s">
        <v>69</v>
      </c>
      <c r="O733" t="s">
        <v>64</v>
      </c>
      <c r="P733" t="str">
        <f t="shared" si="77"/>
        <v>Individual</v>
      </c>
      <c r="Q733" t="str">
        <f t="shared" si="78"/>
        <v>North</v>
      </c>
      <c r="R733" t="str">
        <f>PROPER(TRIM(E733))</f>
        <v>Home &amp; Kitchen</v>
      </c>
      <c r="S733" s="27">
        <f>IF(ISTEXT(B733),DATEVALUE(B733),B733)</f>
        <v>45809</v>
      </c>
      <c r="T733" s="27">
        <f>COUNTIF($A$2:$A$1986,A733)</f>
        <v>1</v>
      </c>
      <c r="U733" s="27" t="str">
        <f t="shared" si="79"/>
        <v>Coffee Maker</v>
      </c>
      <c r="V733" s="27">
        <f t="shared" si="80"/>
        <v>74.527500000000003</v>
      </c>
      <c r="W733" s="27">
        <f t="shared" si="81"/>
        <v>45.86</v>
      </c>
      <c r="X733" s="27">
        <f>RawSalesTable3[[#This Row],[Revenue]]-RawSalesTable3[[#This Row],[Total_Cost]]</f>
        <v>28.667500000000004</v>
      </c>
      <c r="Y733" s="28">
        <f>RawSalesTable3[[#This Row],[Profit]]/RawSalesTable3[[#This Row],[Revenue]]</f>
        <v>0.3846566703565798</v>
      </c>
      <c r="Z733" s="27" t="str">
        <f>TEXT(RawSalesTable3[[#This Row],[Order_Date_Clean]],"MMM YYYY")</f>
        <v>Jun 2025</v>
      </c>
      <c r="AA733" s="27"/>
      <c r="AB733" s="27">
        <f t="shared" si="82"/>
        <v>0</v>
      </c>
      <c r="AC733" s="27">
        <f t="shared" si="83"/>
        <v>0</v>
      </c>
    </row>
    <row r="734" spans="1:29">
      <c r="A734" t="s">
        <v>834</v>
      </c>
      <c r="B734" s="3">
        <v>45842</v>
      </c>
      <c r="C734" t="s">
        <v>78</v>
      </c>
      <c r="D734" t="s">
        <v>62</v>
      </c>
      <c r="E734" t="s">
        <v>67</v>
      </c>
      <c r="F734" t="s">
        <v>68</v>
      </c>
      <c r="G734" s="6">
        <v>3</v>
      </c>
      <c r="H734" s="4">
        <v>40.25</v>
      </c>
      <c r="I734" s="4">
        <v>19.329999999999998</v>
      </c>
      <c r="J734" s="5">
        <v>0</v>
      </c>
      <c r="K734" s="6">
        <v>5</v>
      </c>
      <c r="L734" s="6">
        <v>4</v>
      </c>
      <c r="M734" t="s">
        <v>58</v>
      </c>
      <c r="N734" t="s">
        <v>59</v>
      </c>
      <c r="O734" t="s">
        <v>64</v>
      </c>
      <c r="P734" t="str">
        <f t="shared" si="77"/>
        <v>Individual</v>
      </c>
      <c r="Q734" t="str">
        <f t="shared" si="78"/>
        <v>London</v>
      </c>
      <c r="R734" t="str">
        <f>PROPER(TRIM(E734))</f>
        <v>Office</v>
      </c>
      <c r="S734" s="27">
        <f>IF(ISTEXT(B734),DATEVALUE(B734),B734)</f>
        <v>45842</v>
      </c>
      <c r="T734" s="27">
        <f>COUNTIF($A$2:$A$1986,A734)</f>
        <v>1</v>
      </c>
      <c r="U734" s="27" t="str">
        <f t="shared" si="79"/>
        <v>Desk Lamp</v>
      </c>
      <c r="V734" s="27">
        <f t="shared" si="80"/>
        <v>120.75</v>
      </c>
      <c r="W734" s="27">
        <f t="shared" si="81"/>
        <v>57.989999999999995</v>
      </c>
      <c r="X734" s="27">
        <f>RawSalesTable3[[#This Row],[Revenue]]-RawSalesTable3[[#This Row],[Total_Cost]]</f>
        <v>62.760000000000005</v>
      </c>
      <c r="Y734" s="28">
        <f>RawSalesTable3[[#This Row],[Profit]]/RawSalesTable3[[#This Row],[Revenue]]</f>
        <v>0.51975155279503105</v>
      </c>
      <c r="Z734" s="27" t="str">
        <f>TEXT(RawSalesTable3[[#This Row],[Order_Date_Clean]],"MMM YYYY")</f>
        <v>Jul 2025</v>
      </c>
      <c r="AA734" s="27"/>
      <c r="AB734" s="27">
        <f t="shared" si="82"/>
        <v>0</v>
      </c>
      <c r="AC734" s="27">
        <f t="shared" si="83"/>
        <v>0</v>
      </c>
    </row>
    <row r="735" spans="1:29">
      <c r="A735" t="s">
        <v>835</v>
      </c>
      <c r="B735" s="3">
        <v>45787</v>
      </c>
      <c r="C735" t="s">
        <v>54</v>
      </c>
      <c r="D735" t="s">
        <v>62</v>
      </c>
      <c r="E735" t="s">
        <v>75</v>
      </c>
      <c r="F735" t="s">
        <v>146</v>
      </c>
      <c r="G735" s="6">
        <v>1</v>
      </c>
      <c r="H735" s="4">
        <v>178.67</v>
      </c>
      <c r="I735" s="4">
        <v>119.09</v>
      </c>
      <c r="J735" s="5">
        <v>0.05</v>
      </c>
      <c r="K735" s="6">
        <v>2</v>
      </c>
      <c r="L735" s="6">
        <v>5</v>
      </c>
      <c r="M735" t="s">
        <v>58</v>
      </c>
      <c r="N735" t="s">
        <v>69</v>
      </c>
      <c r="O735" t="s">
        <v>64</v>
      </c>
      <c r="P735" t="str">
        <f t="shared" si="77"/>
        <v>Individual</v>
      </c>
      <c r="Q735" t="str">
        <f t="shared" si="78"/>
        <v>North</v>
      </c>
      <c r="R735" t="str">
        <f>PROPER(TRIM(E735))</f>
        <v>Furniture</v>
      </c>
      <c r="S735" s="27">
        <f>IF(ISTEXT(B735),DATEVALUE(B735),B735)</f>
        <v>45787</v>
      </c>
      <c r="T735" s="27">
        <f>COUNTIF($A$2:$A$1986,A735)</f>
        <v>1</v>
      </c>
      <c r="U735" s="27" t="str">
        <f t="shared" si="79"/>
        <v>Office Chair</v>
      </c>
      <c r="V735" s="27">
        <f t="shared" si="80"/>
        <v>169.73649999999998</v>
      </c>
      <c r="W735" s="27">
        <f t="shared" si="81"/>
        <v>119.09</v>
      </c>
      <c r="X735" s="27">
        <f>RawSalesTable3[[#This Row],[Revenue]]-RawSalesTable3[[#This Row],[Total_Cost]]</f>
        <v>50.646499999999975</v>
      </c>
      <c r="Y735" s="28">
        <f>RawSalesTable3[[#This Row],[Profit]]/RawSalesTable3[[#This Row],[Revenue]]</f>
        <v>0.29838308201241326</v>
      </c>
      <c r="Z735" s="27" t="str">
        <f>TEXT(RawSalesTable3[[#This Row],[Order_Date_Clean]],"MMM YYYY")</f>
        <v>May 2025</v>
      </c>
      <c r="AA735" s="27"/>
      <c r="AB735" s="27">
        <f t="shared" si="82"/>
        <v>0</v>
      </c>
      <c r="AC735" s="27">
        <f t="shared" si="83"/>
        <v>0</v>
      </c>
    </row>
    <row r="736" spans="1:29">
      <c r="A736" t="s">
        <v>836</v>
      </c>
      <c r="B736" s="3">
        <v>45963</v>
      </c>
      <c r="C736" t="s">
        <v>78</v>
      </c>
      <c r="D736" t="s">
        <v>62</v>
      </c>
      <c r="E736" t="s">
        <v>67</v>
      </c>
      <c r="F736" t="s">
        <v>71</v>
      </c>
      <c r="G736" s="6">
        <v>1</v>
      </c>
      <c r="H736" s="4">
        <v>69.739999999999995</v>
      </c>
      <c r="I736" s="4">
        <v>37.909999999999997</v>
      </c>
      <c r="J736" s="5">
        <v>0.05</v>
      </c>
      <c r="K736" s="6">
        <v>5</v>
      </c>
      <c r="L736" s="6">
        <v>5</v>
      </c>
      <c r="M736" t="s">
        <v>58</v>
      </c>
      <c r="N736" t="s">
        <v>59</v>
      </c>
      <c r="O736" t="s">
        <v>60</v>
      </c>
      <c r="P736" t="str">
        <f t="shared" si="77"/>
        <v>Individual</v>
      </c>
      <c r="Q736" t="str">
        <f t="shared" si="78"/>
        <v>London</v>
      </c>
      <c r="R736" t="str">
        <f>PROPER(TRIM(E736))</f>
        <v>Office</v>
      </c>
      <c r="S736" s="27">
        <f>IF(ISTEXT(B736),DATEVALUE(B736),B736)</f>
        <v>45963</v>
      </c>
      <c r="T736" s="27">
        <f>COUNTIF($A$2:$A$1986,A736)</f>
        <v>1</v>
      </c>
      <c r="U736" s="27" t="str">
        <f t="shared" si="79"/>
        <v>Ergonomic Keyboard</v>
      </c>
      <c r="V736" s="27">
        <f t="shared" si="80"/>
        <v>66.252999999999986</v>
      </c>
      <c r="W736" s="27">
        <f t="shared" si="81"/>
        <v>37.909999999999997</v>
      </c>
      <c r="X736" s="27">
        <f>RawSalesTable3[[#This Row],[Revenue]]-RawSalesTable3[[#This Row],[Total_Cost]]</f>
        <v>28.342999999999989</v>
      </c>
      <c r="Y736" s="28">
        <f>RawSalesTable3[[#This Row],[Profit]]/RawSalesTable3[[#This Row],[Revenue]]</f>
        <v>0.42779949587188498</v>
      </c>
      <c r="Z736" s="27" t="str">
        <f>TEXT(RawSalesTable3[[#This Row],[Order_Date_Clean]],"MMM YYYY")</f>
        <v>Nov 2025</v>
      </c>
      <c r="AA736" s="27"/>
      <c r="AB736" s="27">
        <f t="shared" si="82"/>
        <v>0</v>
      </c>
      <c r="AC736" s="27">
        <f t="shared" si="83"/>
        <v>0</v>
      </c>
    </row>
    <row r="737" spans="1:29">
      <c r="A737" t="s">
        <v>837</v>
      </c>
      <c r="B737" s="3">
        <v>45848</v>
      </c>
      <c r="C737" t="s">
        <v>78</v>
      </c>
      <c r="D737" t="s">
        <v>129</v>
      </c>
      <c r="E737" t="s">
        <v>67</v>
      </c>
      <c r="F737" t="s">
        <v>94</v>
      </c>
      <c r="G737" s="6">
        <v>10</v>
      </c>
      <c r="H737" s="4">
        <v>34.75</v>
      </c>
      <c r="I737" s="4">
        <v>17.25</v>
      </c>
      <c r="J737" s="5">
        <v>0.05</v>
      </c>
      <c r="K737" s="6">
        <v>1</v>
      </c>
      <c r="L737" s="6">
        <v>4</v>
      </c>
      <c r="M737" t="s">
        <v>58</v>
      </c>
      <c r="N737" t="s">
        <v>59</v>
      </c>
      <c r="O737" t="s">
        <v>64</v>
      </c>
      <c r="P737" t="str">
        <f t="shared" si="77"/>
        <v>Corporate</v>
      </c>
      <c r="Q737" t="str">
        <f t="shared" si="78"/>
        <v>London</v>
      </c>
      <c r="R737" t="str">
        <f>PROPER(TRIM(E737))</f>
        <v>Office</v>
      </c>
      <c r="S737" s="27">
        <f>IF(ISTEXT(B737),DATEVALUE(B737),B737)</f>
        <v>45848</v>
      </c>
      <c r="T737" s="27">
        <f>COUNTIF($A$2:$A$1986,A737)</f>
        <v>1</v>
      </c>
      <c r="U737" s="27" t="str">
        <f t="shared" si="79"/>
        <v>Wireless Mouse</v>
      </c>
      <c r="V737" s="27">
        <f t="shared" si="80"/>
        <v>330.125</v>
      </c>
      <c r="W737" s="27">
        <f t="shared" si="81"/>
        <v>172.5</v>
      </c>
      <c r="X737" s="27">
        <f>RawSalesTable3[[#This Row],[Revenue]]-RawSalesTable3[[#This Row],[Total_Cost]]</f>
        <v>157.625</v>
      </c>
      <c r="Y737" s="28">
        <f>RawSalesTable3[[#This Row],[Profit]]/RawSalesTable3[[#This Row],[Revenue]]</f>
        <v>0.47747065505490344</v>
      </c>
      <c r="Z737" s="27" t="str">
        <f>TEXT(RawSalesTable3[[#This Row],[Order_Date_Clean]],"MMM YYYY")</f>
        <v>Jul 2025</v>
      </c>
      <c r="AA737" s="27"/>
      <c r="AB737" s="27">
        <f t="shared" si="82"/>
        <v>0</v>
      </c>
      <c r="AC737" s="27">
        <f t="shared" si="83"/>
        <v>0</v>
      </c>
    </row>
    <row r="738" spans="1:29">
      <c r="A738" t="s">
        <v>838</v>
      </c>
      <c r="B738" s="3">
        <v>45948</v>
      </c>
      <c r="C738" t="s">
        <v>78</v>
      </c>
      <c r="D738" t="s">
        <v>62</v>
      </c>
      <c r="E738" t="s">
        <v>56</v>
      </c>
      <c r="F738" t="s">
        <v>57</v>
      </c>
      <c r="G738" s="6">
        <v>1</v>
      </c>
      <c r="H738" s="4">
        <v>108.2</v>
      </c>
      <c r="I738" s="4">
        <v>67.12</v>
      </c>
      <c r="J738" s="5">
        <v>0.05</v>
      </c>
      <c r="K738" s="6">
        <v>5</v>
      </c>
      <c r="L738" s="6">
        <v>5</v>
      </c>
      <c r="M738" t="s">
        <v>58</v>
      </c>
      <c r="N738" t="s">
        <v>59</v>
      </c>
      <c r="O738" t="s">
        <v>64</v>
      </c>
      <c r="P738" t="str">
        <f t="shared" si="77"/>
        <v>Individual</v>
      </c>
      <c r="Q738" t="str">
        <f t="shared" si="78"/>
        <v>London</v>
      </c>
      <c r="R738" t="str">
        <f>PROPER(TRIM(E738))</f>
        <v>Home &amp; Kitchen</v>
      </c>
      <c r="S738" s="27">
        <f>IF(ISTEXT(B738),DATEVALUE(B738),B738)</f>
        <v>45948</v>
      </c>
      <c r="T738" s="27">
        <f>COUNTIF($A$2:$A$1986,A738)</f>
        <v>1</v>
      </c>
      <c r="U738" s="27" t="str">
        <f t="shared" si="79"/>
        <v>Air Fryer</v>
      </c>
      <c r="V738" s="27">
        <f t="shared" si="80"/>
        <v>102.78999999999999</v>
      </c>
      <c r="W738" s="27">
        <f t="shared" si="81"/>
        <v>67.12</v>
      </c>
      <c r="X738" s="27">
        <f>RawSalesTable3[[#This Row],[Revenue]]-RawSalesTable3[[#This Row],[Total_Cost]]</f>
        <v>35.669999999999987</v>
      </c>
      <c r="Y738" s="28">
        <f>RawSalesTable3[[#This Row],[Profit]]/RawSalesTable3[[#This Row],[Revenue]]</f>
        <v>0.34701819243117027</v>
      </c>
      <c r="Z738" s="27" t="str">
        <f>TEXT(RawSalesTable3[[#This Row],[Order_Date_Clean]],"MMM YYYY")</f>
        <v>Oct 2025</v>
      </c>
      <c r="AA738" s="27"/>
      <c r="AB738" s="27">
        <f t="shared" si="82"/>
        <v>0</v>
      </c>
      <c r="AC738" s="27">
        <f t="shared" si="83"/>
        <v>0</v>
      </c>
    </row>
    <row r="739" spans="1:29">
      <c r="A739" t="s">
        <v>839</v>
      </c>
      <c r="B739" s="3">
        <v>45689</v>
      </c>
      <c r="C739" t="s">
        <v>78</v>
      </c>
      <c r="D739" t="s">
        <v>129</v>
      </c>
      <c r="E739" t="s">
        <v>79</v>
      </c>
      <c r="F739" t="s">
        <v>85</v>
      </c>
      <c r="G739" s="6">
        <v>6</v>
      </c>
      <c r="H739" s="4">
        <v>132.58000000000001</v>
      </c>
      <c r="I739" s="4">
        <v>82.62</v>
      </c>
      <c r="J739" s="5">
        <v>0.05</v>
      </c>
      <c r="K739" s="6">
        <v>4</v>
      </c>
      <c r="L739" s="6">
        <v>4</v>
      </c>
      <c r="M739" t="s">
        <v>58</v>
      </c>
      <c r="N739" t="s">
        <v>59</v>
      </c>
      <c r="O739" t="s">
        <v>73</v>
      </c>
      <c r="P739" t="str">
        <f t="shared" si="77"/>
        <v>Corporate</v>
      </c>
      <c r="Q739" t="str">
        <f t="shared" si="78"/>
        <v>London</v>
      </c>
      <c r="R739" t="str">
        <f>PROPER(TRIM(E739))</f>
        <v>Electronics</v>
      </c>
      <c r="S739" s="27">
        <f>IF(ISTEXT(B739),DATEVALUE(B739),B739)</f>
        <v>45689</v>
      </c>
      <c r="T739" s="27">
        <f>COUNTIF($A$2:$A$1986,A739)</f>
        <v>1</v>
      </c>
      <c r="U739" s="27" t="str">
        <f t="shared" si="79"/>
        <v>SmartHome Hub</v>
      </c>
      <c r="V739" s="27">
        <f t="shared" si="80"/>
        <v>755.70600000000002</v>
      </c>
      <c r="W739" s="27">
        <f t="shared" si="81"/>
        <v>495.72</v>
      </c>
      <c r="X739" s="27">
        <f>RawSalesTable3[[#This Row],[Revenue]]-RawSalesTable3[[#This Row],[Total_Cost]]</f>
        <v>259.98599999999999</v>
      </c>
      <c r="Y739" s="28">
        <f>RawSalesTable3[[#This Row],[Profit]]/RawSalesTable3[[#This Row],[Revenue]]</f>
        <v>0.34403061508046778</v>
      </c>
      <c r="Z739" s="27" t="str">
        <f>TEXT(RawSalesTable3[[#This Row],[Order_Date_Clean]],"MMM YYYY")</f>
        <v>Feb 2025</v>
      </c>
      <c r="AA739" s="27"/>
      <c r="AB739" s="27">
        <f t="shared" si="82"/>
        <v>0</v>
      </c>
      <c r="AC739" s="27">
        <f t="shared" si="83"/>
        <v>0</v>
      </c>
    </row>
    <row r="740" spans="1:29">
      <c r="A740" t="s">
        <v>840</v>
      </c>
      <c r="B740" s="3">
        <v>45776</v>
      </c>
      <c r="C740" t="s">
        <v>66</v>
      </c>
      <c r="D740" t="s">
        <v>62</v>
      </c>
      <c r="E740" t="s">
        <v>79</v>
      </c>
      <c r="F740" t="s">
        <v>85</v>
      </c>
      <c r="G740" s="6">
        <v>1</v>
      </c>
      <c r="H740" s="4">
        <v>129.22</v>
      </c>
      <c r="I740" s="4">
        <v>88.18</v>
      </c>
      <c r="J740" s="5">
        <v>0.15000000000000002</v>
      </c>
      <c r="K740" s="6">
        <v>3</v>
      </c>
      <c r="L740" s="6">
        <v>4</v>
      </c>
      <c r="M740" t="s">
        <v>58</v>
      </c>
      <c r="N740" t="s">
        <v>59</v>
      </c>
      <c r="O740" t="s">
        <v>64</v>
      </c>
      <c r="P740" t="str">
        <f t="shared" si="77"/>
        <v>Individual</v>
      </c>
      <c r="Q740" t="str">
        <f t="shared" si="78"/>
        <v>South</v>
      </c>
      <c r="R740" t="str">
        <f>PROPER(TRIM(E740))</f>
        <v>Electronics</v>
      </c>
      <c r="S740" s="27">
        <f>IF(ISTEXT(B740),DATEVALUE(B740),B740)</f>
        <v>45776</v>
      </c>
      <c r="T740" s="27">
        <f>COUNTIF($A$2:$A$1986,A740)</f>
        <v>1</v>
      </c>
      <c r="U740" s="27" t="str">
        <f t="shared" si="79"/>
        <v>SmartHome Hub</v>
      </c>
      <c r="V740" s="27">
        <f t="shared" si="80"/>
        <v>109.83699999999999</v>
      </c>
      <c r="W740" s="27">
        <f t="shared" si="81"/>
        <v>88.18</v>
      </c>
      <c r="X740" s="27">
        <f>RawSalesTable3[[#This Row],[Revenue]]-RawSalesTable3[[#This Row],[Total_Cost]]</f>
        <v>21.656999999999982</v>
      </c>
      <c r="Y740" s="28">
        <f>RawSalesTable3[[#This Row],[Profit]]/RawSalesTable3[[#This Row],[Revenue]]</f>
        <v>0.19717399419139256</v>
      </c>
      <c r="Z740" s="27" t="str">
        <f>TEXT(RawSalesTable3[[#This Row],[Order_Date_Clean]],"MMM YYYY")</f>
        <v>Apr 2025</v>
      </c>
      <c r="AA740" s="27"/>
      <c r="AB740" s="27">
        <f t="shared" si="82"/>
        <v>0</v>
      </c>
      <c r="AC740" s="27">
        <f t="shared" si="83"/>
        <v>0</v>
      </c>
    </row>
    <row r="741" spans="1:29">
      <c r="A741" t="s">
        <v>841</v>
      </c>
      <c r="B741" s="3">
        <v>45991</v>
      </c>
      <c r="C741" t="s">
        <v>82</v>
      </c>
      <c r="D741" t="s">
        <v>62</v>
      </c>
      <c r="E741" t="s">
        <v>79</v>
      </c>
      <c r="F741" t="s">
        <v>85</v>
      </c>
      <c r="G741" s="6">
        <v>1</v>
      </c>
      <c r="H741" s="4">
        <v>133.66999999999999</v>
      </c>
      <c r="I741" s="4">
        <v>86.17</v>
      </c>
      <c r="J741" s="5">
        <v>0.1</v>
      </c>
      <c r="K741" s="6">
        <v>0</v>
      </c>
      <c r="L741" s="6">
        <v>3</v>
      </c>
      <c r="M741" t="s">
        <v>126</v>
      </c>
      <c r="N741" t="s">
        <v>69</v>
      </c>
      <c r="O741" t="s">
        <v>60</v>
      </c>
      <c r="P741" t="str">
        <f t="shared" si="77"/>
        <v>Individual</v>
      </c>
      <c r="Q741" t="str">
        <f t="shared" si="78"/>
        <v>Midlands</v>
      </c>
      <c r="R741" t="str">
        <f>PROPER(TRIM(E741))</f>
        <v>Electronics</v>
      </c>
      <c r="S741" s="27">
        <f>IF(ISTEXT(B741),DATEVALUE(B741),B741)</f>
        <v>45991</v>
      </c>
      <c r="T741" s="27">
        <f>COUNTIF($A$2:$A$1986,A741)</f>
        <v>1</v>
      </c>
      <c r="U741" s="27" t="str">
        <f t="shared" si="79"/>
        <v>SmartHome Hub</v>
      </c>
      <c r="V741" s="27">
        <f t="shared" si="80"/>
        <v>120.303</v>
      </c>
      <c r="W741" s="27">
        <f t="shared" si="81"/>
        <v>86.17</v>
      </c>
      <c r="X741" s="27">
        <f>RawSalesTable3[[#This Row],[Revenue]]-RawSalesTable3[[#This Row],[Total_Cost]]</f>
        <v>34.132999999999996</v>
      </c>
      <c r="Y741" s="28">
        <f>RawSalesTable3[[#This Row],[Profit]]/RawSalesTable3[[#This Row],[Revenue]]</f>
        <v>0.28372526038419654</v>
      </c>
      <c r="Z741" s="27" t="str">
        <f>TEXT(RawSalesTable3[[#This Row],[Order_Date_Clean]],"MMM YYYY")</f>
        <v>Nov 2025</v>
      </c>
      <c r="AA741" s="27"/>
      <c r="AB741" s="27">
        <f t="shared" si="82"/>
        <v>0</v>
      </c>
      <c r="AC741" s="27">
        <f t="shared" si="83"/>
        <v>0</v>
      </c>
    </row>
    <row r="742" spans="1:29">
      <c r="A742" t="s">
        <v>842</v>
      </c>
      <c r="B742" s="3">
        <v>45695</v>
      </c>
      <c r="C742" t="s">
        <v>82</v>
      </c>
      <c r="D742" t="s">
        <v>62</v>
      </c>
      <c r="E742" t="s">
        <v>56</v>
      </c>
      <c r="F742" t="s">
        <v>89</v>
      </c>
      <c r="G742" s="6">
        <v>1</v>
      </c>
      <c r="H742" s="4">
        <v>78.25</v>
      </c>
      <c r="I742" s="4">
        <v>45.43</v>
      </c>
      <c r="J742" s="5">
        <v>0</v>
      </c>
      <c r="K742" s="6">
        <v>4</v>
      </c>
      <c r="L742" s="6">
        <v>4</v>
      </c>
      <c r="M742" t="s">
        <v>58</v>
      </c>
      <c r="N742" t="s">
        <v>59</v>
      </c>
      <c r="O742" t="s">
        <v>64</v>
      </c>
      <c r="P742" t="str">
        <f t="shared" si="77"/>
        <v>Individual</v>
      </c>
      <c r="Q742" t="str">
        <f t="shared" si="78"/>
        <v>Midlands</v>
      </c>
      <c r="R742" t="str">
        <f>PROPER(TRIM(E742))</f>
        <v>Home &amp; Kitchen</v>
      </c>
      <c r="S742" s="27">
        <f>IF(ISTEXT(B742),DATEVALUE(B742),B742)</f>
        <v>45695</v>
      </c>
      <c r="T742" s="27">
        <f>COUNTIF($A$2:$A$1986,A742)</f>
        <v>1</v>
      </c>
      <c r="U742" s="27" t="str">
        <f t="shared" si="79"/>
        <v>Coffee Maker</v>
      </c>
      <c r="V742" s="27">
        <f t="shared" si="80"/>
        <v>78.25</v>
      </c>
      <c r="W742" s="27">
        <f t="shared" si="81"/>
        <v>45.43</v>
      </c>
      <c r="X742" s="27">
        <f>RawSalesTable3[[#This Row],[Revenue]]-RawSalesTable3[[#This Row],[Total_Cost]]</f>
        <v>32.82</v>
      </c>
      <c r="Y742" s="28">
        <f>RawSalesTable3[[#This Row],[Profit]]/RawSalesTable3[[#This Row],[Revenue]]</f>
        <v>0.41942492012779553</v>
      </c>
      <c r="Z742" s="27" t="str">
        <f>TEXT(RawSalesTable3[[#This Row],[Order_Date_Clean]],"MMM YYYY")</f>
        <v>Feb 2025</v>
      </c>
      <c r="AA742" s="27"/>
      <c r="AB742" s="27">
        <f t="shared" si="82"/>
        <v>0</v>
      </c>
      <c r="AC742" s="27">
        <f t="shared" si="83"/>
        <v>0</v>
      </c>
    </row>
    <row r="743" spans="1:29">
      <c r="A743" t="s">
        <v>843</v>
      </c>
      <c r="B743" s="3">
        <v>45905</v>
      </c>
      <c r="C743" t="s">
        <v>54</v>
      </c>
      <c r="D743" t="s">
        <v>62</v>
      </c>
      <c r="E743" t="s">
        <v>67</v>
      </c>
      <c r="F743" t="s">
        <v>68</v>
      </c>
      <c r="G743" s="6">
        <v>2</v>
      </c>
      <c r="H743" s="4">
        <v>40.25</v>
      </c>
      <c r="I743" s="4">
        <v>19.93</v>
      </c>
      <c r="J743" s="5">
        <v>0.05</v>
      </c>
      <c r="K743" s="6">
        <v>2</v>
      </c>
      <c r="L743" s="6">
        <v>5</v>
      </c>
      <c r="M743" t="s">
        <v>58</v>
      </c>
      <c r="N743" t="s">
        <v>87</v>
      </c>
      <c r="O743" t="s">
        <v>64</v>
      </c>
      <c r="P743" t="str">
        <f t="shared" si="77"/>
        <v>Individual</v>
      </c>
      <c r="Q743" t="str">
        <f t="shared" si="78"/>
        <v>North</v>
      </c>
      <c r="R743" t="str">
        <f>PROPER(TRIM(E743))</f>
        <v>Office</v>
      </c>
      <c r="S743" s="27">
        <f>IF(ISTEXT(B743),DATEVALUE(B743),B743)</f>
        <v>45905</v>
      </c>
      <c r="T743" s="27">
        <f>COUNTIF($A$2:$A$1986,A743)</f>
        <v>1</v>
      </c>
      <c r="U743" s="27" t="str">
        <f t="shared" si="79"/>
        <v>Desk Lamp</v>
      </c>
      <c r="V743" s="27">
        <f t="shared" si="80"/>
        <v>76.474999999999994</v>
      </c>
      <c r="W743" s="27">
        <f t="shared" si="81"/>
        <v>39.86</v>
      </c>
      <c r="X743" s="27">
        <f>RawSalesTable3[[#This Row],[Revenue]]-RawSalesTable3[[#This Row],[Total_Cost]]</f>
        <v>36.614999999999995</v>
      </c>
      <c r="Y743" s="28">
        <f>RawSalesTable3[[#This Row],[Profit]]/RawSalesTable3[[#This Row],[Revenue]]</f>
        <v>0.47878391631252037</v>
      </c>
      <c r="Z743" s="27" t="str">
        <f>TEXT(RawSalesTable3[[#This Row],[Order_Date_Clean]],"MMM YYYY")</f>
        <v>Sep 2025</v>
      </c>
      <c r="AA743" s="27"/>
      <c r="AB743" s="27">
        <f t="shared" si="82"/>
        <v>0</v>
      </c>
      <c r="AC743" s="27">
        <f t="shared" si="83"/>
        <v>0</v>
      </c>
    </row>
    <row r="744" spans="1:29">
      <c r="A744" t="s">
        <v>844</v>
      </c>
      <c r="B744" s="3">
        <v>45833</v>
      </c>
      <c r="C744" t="s">
        <v>66</v>
      </c>
      <c r="D744" t="s">
        <v>55</v>
      </c>
      <c r="E744" t="s">
        <v>75</v>
      </c>
      <c r="F744" t="s">
        <v>97</v>
      </c>
      <c r="G744" s="6">
        <v>4</v>
      </c>
      <c r="H744" s="4">
        <v>87.85</v>
      </c>
      <c r="I744" s="4">
        <v>53.53</v>
      </c>
      <c r="J744" s="5">
        <v>0.1</v>
      </c>
      <c r="K744" s="6">
        <v>8</v>
      </c>
      <c r="L744" s="6">
        <v>3</v>
      </c>
      <c r="M744" t="s">
        <v>58</v>
      </c>
      <c r="N744" t="s">
        <v>59</v>
      </c>
      <c r="O744" t="s">
        <v>60</v>
      </c>
      <c r="P744" t="str">
        <f t="shared" si="77"/>
        <v>Small Business</v>
      </c>
      <c r="Q744" t="str">
        <f t="shared" si="78"/>
        <v>South</v>
      </c>
      <c r="R744" t="str">
        <f>PROPER(TRIM(E744))</f>
        <v>Furniture</v>
      </c>
      <c r="S744" s="27">
        <f>IF(ISTEXT(B744),DATEVALUE(B744),B744)</f>
        <v>45833</v>
      </c>
      <c r="T744" s="27">
        <f>COUNTIF($A$2:$A$1986,A744)</f>
        <v>1</v>
      </c>
      <c r="U744" s="27" t="str">
        <f t="shared" si="79"/>
        <v>Side Table</v>
      </c>
      <c r="V744" s="27">
        <f t="shared" si="80"/>
        <v>316.26</v>
      </c>
      <c r="W744" s="27">
        <f t="shared" si="81"/>
        <v>214.12</v>
      </c>
      <c r="X744" s="27">
        <f>RawSalesTable3[[#This Row],[Revenue]]-RawSalesTable3[[#This Row],[Total_Cost]]</f>
        <v>102.13999999999999</v>
      </c>
      <c r="Y744" s="28">
        <f>RawSalesTable3[[#This Row],[Profit]]/RawSalesTable3[[#This Row],[Revenue]]</f>
        <v>0.32296211977486877</v>
      </c>
      <c r="Z744" s="27" t="str">
        <f>TEXT(RawSalesTable3[[#This Row],[Order_Date_Clean]],"MMM YYYY")</f>
        <v>Jun 2025</v>
      </c>
      <c r="AA744" s="27"/>
      <c r="AB744" s="27">
        <f t="shared" si="82"/>
        <v>0</v>
      </c>
      <c r="AC744" s="27">
        <f t="shared" si="83"/>
        <v>0</v>
      </c>
    </row>
    <row r="745" spans="1:29">
      <c r="A745" t="s">
        <v>845</v>
      </c>
      <c r="B745" s="3">
        <v>45995</v>
      </c>
      <c r="C745" t="s">
        <v>82</v>
      </c>
      <c r="D745" t="s">
        <v>62</v>
      </c>
      <c r="E745" t="s">
        <v>75</v>
      </c>
      <c r="F745" t="s">
        <v>97</v>
      </c>
      <c r="G745" s="6">
        <v>1</v>
      </c>
      <c r="H745" s="4">
        <v>93.16</v>
      </c>
      <c r="I745" s="4">
        <v>54.94</v>
      </c>
      <c r="J745" s="5">
        <v>0.1</v>
      </c>
      <c r="K745" s="6">
        <v>4</v>
      </c>
      <c r="L745" s="6">
        <v>4</v>
      </c>
      <c r="M745" t="s">
        <v>58</v>
      </c>
      <c r="N745" t="s">
        <v>59</v>
      </c>
      <c r="O745" t="s">
        <v>64</v>
      </c>
      <c r="P745" t="str">
        <f t="shared" si="77"/>
        <v>Individual</v>
      </c>
      <c r="Q745" t="str">
        <f t="shared" si="78"/>
        <v>Midlands</v>
      </c>
      <c r="R745" t="str">
        <f>PROPER(TRIM(E745))</f>
        <v>Furniture</v>
      </c>
      <c r="S745" s="27">
        <f>IF(ISTEXT(B745),DATEVALUE(B745),B745)</f>
        <v>45995</v>
      </c>
      <c r="T745" s="27">
        <f>COUNTIF($A$2:$A$1986,A745)</f>
        <v>1</v>
      </c>
      <c r="U745" s="27" t="str">
        <f t="shared" si="79"/>
        <v>Side Table</v>
      </c>
      <c r="V745" s="27">
        <f t="shared" si="80"/>
        <v>83.843999999999994</v>
      </c>
      <c r="W745" s="27">
        <f t="shared" si="81"/>
        <v>54.94</v>
      </c>
      <c r="X745" s="27">
        <f>RawSalesTable3[[#This Row],[Revenue]]-RawSalesTable3[[#This Row],[Total_Cost]]</f>
        <v>28.903999999999996</v>
      </c>
      <c r="Y745" s="28">
        <f>RawSalesTable3[[#This Row],[Profit]]/RawSalesTable3[[#This Row],[Revenue]]</f>
        <v>0.34473546109441344</v>
      </c>
      <c r="Z745" s="27" t="str">
        <f>TEXT(RawSalesTable3[[#This Row],[Order_Date_Clean]],"MMM YYYY")</f>
        <v>Dec 2025</v>
      </c>
      <c r="AA745" s="27"/>
      <c r="AB745" s="27">
        <f t="shared" si="82"/>
        <v>0</v>
      </c>
      <c r="AC745" s="27">
        <f t="shared" si="83"/>
        <v>0</v>
      </c>
    </row>
    <row r="746" spans="1:29">
      <c r="A746" t="s">
        <v>846</v>
      </c>
      <c r="B746" s="3">
        <v>45908</v>
      </c>
      <c r="C746" t="s">
        <v>82</v>
      </c>
      <c r="D746" t="s">
        <v>55</v>
      </c>
      <c r="E746" t="s">
        <v>56</v>
      </c>
      <c r="F746" t="s">
        <v>89</v>
      </c>
      <c r="G746" s="6">
        <v>3</v>
      </c>
      <c r="H746" s="4">
        <v>82.05</v>
      </c>
      <c r="I746" s="4">
        <v>46.92</v>
      </c>
      <c r="J746" s="5">
        <v>0</v>
      </c>
      <c r="K746" s="6">
        <v>4</v>
      </c>
      <c r="L746" s="6">
        <v>5</v>
      </c>
      <c r="M746" t="s">
        <v>58</v>
      </c>
      <c r="N746" t="s">
        <v>87</v>
      </c>
      <c r="O746" t="s">
        <v>64</v>
      </c>
      <c r="P746" t="str">
        <f t="shared" si="77"/>
        <v>Small Business</v>
      </c>
      <c r="Q746" t="str">
        <f t="shared" si="78"/>
        <v>Midlands</v>
      </c>
      <c r="R746" t="str">
        <f>PROPER(TRIM(E746))</f>
        <v>Home &amp; Kitchen</v>
      </c>
      <c r="S746" s="27">
        <f>IF(ISTEXT(B746),DATEVALUE(B746),B746)</f>
        <v>45908</v>
      </c>
      <c r="T746" s="27">
        <f>COUNTIF($A$2:$A$1986,A746)</f>
        <v>1</v>
      </c>
      <c r="U746" s="27" t="str">
        <f t="shared" si="79"/>
        <v>Coffee Maker</v>
      </c>
      <c r="V746" s="27">
        <f t="shared" si="80"/>
        <v>246.14999999999998</v>
      </c>
      <c r="W746" s="27">
        <f t="shared" si="81"/>
        <v>140.76</v>
      </c>
      <c r="X746" s="27">
        <f>RawSalesTable3[[#This Row],[Revenue]]-RawSalesTable3[[#This Row],[Total_Cost]]</f>
        <v>105.38999999999999</v>
      </c>
      <c r="Y746" s="28">
        <f>RawSalesTable3[[#This Row],[Profit]]/RawSalesTable3[[#This Row],[Revenue]]</f>
        <v>0.42815356489945156</v>
      </c>
      <c r="Z746" s="27" t="str">
        <f>TEXT(RawSalesTable3[[#This Row],[Order_Date_Clean]],"MMM YYYY")</f>
        <v>Sep 2025</v>
      </c>
      <c r="AA746" s="27"/>
      <c r="AB746" s="27">
        <f t="shared" si="82"/>
        <v>0</v>
      </c>
      <c r="AC746" s="27">
        <f t="shared" si="83"/>
        <v>0</v>
      </c>
    </row>
    <row r="747" spans="1:29">
      <c r="A747" t="s">
        <v>847</v>
      </c>
      <c r="B747" s="3">
        <v>45783</v>
      </c>
      <c r="C747" t="s">
        <v>78</v>
      </c>
      <c r="D747" t="s">
        <v>62</v>
      </c>
      <c r="E747" t="s">
        <v>75</v>
      </c>
      <c r="F747" t="s">
        <v>110</v>
      </c>
      <c r="G747" s="6">
        <v>1</v>
      </c>
      <c r="H747" s="4">
        <v>158.52000000000001</v>
      </c>
      <c r="I747" s="4">
        <v>104.91</v>
      </c>
      <c r="J747" s="5">
        <v>0</v>
      </c>
      <c r="K747" s="6">
        <v>5</v>
      </c>
      <c r="L747" s="6">
        <v>5</v>
      </c>
      <c r="M747" t="s">
        <v>58</v>
      </c>
      <c r="N747" t="s">
        <v>59</v>
      </c>
      <c r="O747" t="s">
        <v>64</v>
      </c>
      <c r="P747" t="str">
        <f t="shared" si="77"/>
        <v>Individual</v>
      </c>
      <c r="Q747" t="str">
        <f t="shared" si="78"/>
        <v>London</v>
      </c>
      <c r="R747" t="str">
        <f>PROPER(TRIM(E747))</f>
        <v>Furniture</v>
      </c>
      <c r="S747" s="27">
        <f>IF(ISTEXT(B747),DATEVALUE(B747),B747)</f>
        <v>45783</v>
      </c>
      <c r="T747" s="27">
        <f>COUNTIF($A$2:$A$1986,A747)</f>
        <v>1</v>
      </c>
      <c r="U747" s="27" t="str">
        <f t="shared" si="79"/>
        <v>Storage Cabinet</v>
      </c>
      <c r="V747" s="27">
        <f t="shared" si="80"/>
        <v>158.52000000000001</v>
      </c>
      <c r="W747" s="27">
        <f t="shared" si="81"/>
        <v>104.91</v>
      </c>
      <c r="X747" s="27">
        <f>RawSalesTable3[[#This Row],[Revenue]]-RawSalesTable3[[#This Row],[Total_Cost]]</f>
        <v>53.610000000000014</v>
      </c>
      <c r="Y747" s="28">
        <f>RawSalesTable3[[#This Row],[Profit]]/RawSalesTable3[[#This Row],[Revenue]]</f>
        <v>0.3381907645722938</v>
      </c>
      <c r="Z747" s="27" t="str">
        <f>TEXT(RawSalesTable3[[#This Row],[Order_Date_Clean]],"MMM YYYY")</f>
        <v>May 2025</v>
      </c>
      <c r="AA747" s="27"/>
      <c r="AB747" s="27">
        <f t="shared" si="82"/>
        <v>0</v>
      </c>
      <c r="AC747" s="27">
        <f t="shared" si="83"/>
        <v>0</v>
      </c>
    </row>
    <row r="748" spans="1:29">
      <c r="A748" t="s">
        <v>848</v>
      </c>
      <c r="B748" s="3">
        <v>45979</v>
      </c>
      <c r="C748" t="s">
        <v>66</v>
      </c>
      <c r="D748" t="s">
        <v>62</v>
      </c>
      <c r="E748" t="s">
        <v>67</v>
      </c>
      <c r="F748" t="s">
        <v>71</v>
      </c>
      <c r="G748" s="6">
        <v>1</v>
      </c>
      <c r="H748" s="4">
        <v>72.06</v>
      </c>
      <c r="I748" s="4">
        <v>39.76</v>
      </c>
      <c r="J748" s="5">
        <v>0.05</v>
      </c>
      <c r="K748" s="6">
        <v>3</v>
      </c>
      <c r="L748" s="6">
        <v>4</v>
      </c>
      <c r="M748" t="s">
        <v>58</v>
      </c>
      <c r="N748" t="s">
        <v>59</v>
      </c>
      <c r="O748" t="s">
        <v>60</v>
      </c>
      <c r="P748" t="str">
        <f t="shared" si="77"/>
        <v>Individual</v>
      </c>
      <c r="Q748" t="str">
        <f t="shared" si="78"/>
        <v>South</v>
      </c>
      <c r="R748" t="str">
        <f>PROPER(TRIM(E748))</f>
        <v>Office</v>
      </c>
      <c r="S748" s="27">
        <f>IF(ISTEXT(B748),DATEVALUE(B748),B748)</f>
        <v>45979</v>
      </c>
      <c r="T748" s="27">
        <f>COUNTIF($A$2:$A$1986,A748)</f>
        <v>1</v>
      </c>
      <c r="U748" s="27" t="str">
        <f t="shared" si="79"/>
        <v>Ergonomic Keyboard</v>
      </c>
      <c r="V748" s="27">
        <f t="shared" si="80"/>
        <v>68.456999999999994</v>
      </c>
      <c r="W748" s="27">
        <f t="shared" si="81"/>
        <v>39.76</v>
      </c>
      <c r="X748" s="27">
        <f>RawSalesTable3[[#This Row],[Revenue]]-RawSalesTable3[[#This Row],[Total_Cost]]</f>
        <v>28.696999999999996</v>
      </c>
      <c r="Y748" s="28">
        <f>RawSalesTable3[[#This Row],[Profit]]/RawSalesTable3[[#This Row],[Revenue]]</f>
        <v>0.41919745241538481</v>
      </c>
      <c r="Z748" s="27" t="str">
        <f>TEXT(RawSalesTable3[[#This Row],[Order_Date_Clean]],"MMM YYYY")</f>
        <v>Nov 2025</v>
      </c>
      <c r="AA748" s="27"/>
      <c r="AB748" s="27">
        <f t="shared" si="82"/>
        <v>0</v>
      </c>
      <c r="AC748" s="27">
        <f t="shared" si="83"/>
        <v>0</v>
      </c>
    </row>
    <row r="749" spans="1:29">
      <c r="A749" t="s">
        <v>849</v>
      </c>
      <c r="B749" s="3">
        <v>45700</v>
      </c>
      <c r="C749" t="s">
        <v>54</v>
      </c>
      <c r="D749" t="s">
        <v>62</v>
      </c>
      <c r="E749" t="s">
        <v>75</v>
      </c>
      <c r="F749" t="s">
        <v>76</v>
      </c>
      <c r="G749" s="6">
        <v>2</v>
      </c>
      <c r="H749" s="4">
        <v>123.7</v>
      </c>
      <c r="I749" s="4">
        <v>75.040000000000006</v>
      </c>
      <c r="J749" s="5">
        <v>0.05</v>
      </c>
      <c r="K749" s="6">
        <v>4</v>
      </c>
      <c r="L749" s="6">
        <v>5</v>
      </c>
      <c r="M749" t="s">
        <v>58</v>
      </c>
      <c r="N749" t="s">
        <v>69</v>
      </c>
      <c r="O749" t="s">
        <v>60</v>
      </c>
      <c r="P749" t="str">
        <f t="shared" si="77"/>
        <v>Individual</v>
      </c>
      <c r="Q749" t="str">
        <f t="shared" si="78"/>
        <v>North</v>
      </c>
      <c r="R749" t="str">
        <f>PROPER(TRIM(E749))</f>
        <v>Furniture</v>
      </c>
      <c r="S749" s="27">
        <f>IF(ISTEXT(B749),DATEVALUE(B749),B749)</f>
        <v>45700</v>
      </c>
      <c r="T749" s="27">
        <f>COUNTIF($A$2:$A$1986,A749)</f>
        <v>1</v>
      </c>
      <c r="U749" s="27" t="str">
        <f t="shared" si="79"/>
        <v>Bookshelf</v>
      </c>
      <c r="V749" s="27">
        <f t="shared" si="80"/>
        <v>235.03</v>
      </c>
      <c r="W749" s="27">
        <f t="shared" si="81"/>
        <v>150.08000000000001</v>
      </c>
      <c r="X749" s="27">
        <f>RawSalesTable3[[#This Row],[Revenue]]-RawSalesTable3[[#This Row],[Total_Cost]]</f>
        <v>84.949999999999989</v>
      </c>
      <c r="Y749" s="28">
        <f>RawSalesTable3[[#This Row],[Profit]]/RawSalesTable3[[#This Row],[Revenue]]</f>
        <v>0.36144322001446622</v>
      </c>
      <c r="Z749" s="27" t="str">
        <f>TEXT(RawSalesTable3[[#This Row],[Order_Date_Clean]],"MMM YYYY")</f>
        <v>Feb 2025</v>
      </c>
      <c r="AA749" s="27"/>
      <c r="AB749" s="27">
        <f t="shared" si="82"/>
        <v>0</v>
      </c>
      <c r="AC749" s="27">
        <f t="shared" si="83"/>
        <v>0</v>
      </c>
    </row>
    <row r="750" spans="1:29">
      <c r="A750" t="s">
        <v>850</v>
      </c>
      <c r="B750" s="3">
        <v>46021</v>
      </c>
      <c r="C750" t="s">
        <v>66</v>
      </c>
      <c r="D750" t="s">
        <v>62</v>
      </c>
      <c r="E750" t="s">
        <v>75</v>
      </c>
      <c r="F750" t="s">
        <v>76</v>
      </c>
      <c r="G750" s="6">
        <v>1</v>
      </c>
      <c r="H750" s="4">
        <v>119.68</v>
      </c>
      <c r="I750" s="4">
        <v>72.92</v>
      </c>
      <c r="J750" s="5">
        <v>0</v>
      </c>
      <c r="K750" s="6">
        <v>8</v>
      </c>
      <c r="L750" s="6">
        <v>3</v>
      </c>
      <c r="M750" t="s">
        <v>58</v>
      </c>
      <c r="N750" t="s">
        <v>59</v>
      </c>
      <c r="O750" t="s">
        <v>73</v>
      </c>
      <c r="P750" t="str">
        <f t="shared" si="77"/>
        <v>Individual</v>
      </c>
      <c r="Q750" t="str">
        <f t="shared" si="78"/>
        <v>South</v>
      </c>
      <c r="R750" t="str">
        <f>PROPER(TRIM(E750))</f>
        <v>Furniture</v>
      </c>
      <c r="S750" s="27">
        <f>IF(ISTEXT(B750),DATEVALUE(B750),B750)</f>
        <v>46021</v>
      </c>
      <c r="T750" s="27">
        <f>COUNTIF($A$2:$A$1986,A750)</f>
        <v>1</v>
      </c>
      <c r="U750" s="27" t="str">
        <f t="shared" si="79"/>
        <v>Bookshelf</v>
      </c>
      <c r="V750" s="27">
        <f t="shared" si="80"/>
        <v>119.68</v>
      </c>
      <c r="W750" s="27">
        <f t="shared" si="81"/>
        <v>72.92</v>
      </c>
      <c r="X750" s="27">
        <f>RawSalesTable3[[#This Row],[Revenue]]-RawSalesTable3[[#This Row],[Total_Cost]]</f>
        <v>46.760000000000005</v>
      </c>
      <c r="Y750" s="28">
        <f>RawSalesTable3[[#This Row],[Profit]]/RawSalesTable3[[#This Row],[Revenue]]</f>
        <v>0.39070855614973266</v>
      </c>
      <c r="Z750" s="27" t="str">
        <f>TEXT(RawSalesTable3[[#This Row],[Order_Date_Clean]],"MMM YYYY")</f>
        <v>Dec 2025</v>
      </c>
      <c r="AA750" s="27"/>
      <c r="AB750" s="27">
        <f t="shared" si="82"/>
        <v>0</v>
      </c>
      <c r="AC750" s="27">
        <f t="shared" si="83"/>
        <v>0</v>
      </c>
    </row>
    <row r="751" spans="1:29">
      <c r="A751" t="s">
        <v>851</v>
      </c>
      <c r="B751" s="3">
        <v>45980</v>
      </c>
      <c r="C751" t="s">
        <v>54</v>
      </c>
      <c r="D751" t="s">
        <v>62</v>
      </c>
      <c r="E751" t="s">
        <v>56</v>
      </c>
      <c r="F751" t="s">
        <v>63</v>
      </c>
      <c r="G751" s="6">
        <v>1</v>
      </c>
      <c r="H751" s="4">
        <v>39.28</v>
      </c>
      <c r="I751" s="4">
        <v>20.99</v>
      </c>
      <c r="J751" s="5">
        <v>0.15000000000000002</v>
      </c>
      <c r="K751" s="6">
        <v>2</v>
      </c>
      <c r="L751" s="6">
        <v>3</v>
      </c>
      <c r="M751" t="s">
        <v>126</v>
      </c>
      <c r="N751" t="s">
        <v>69</v>
      </c>
      <c r="O751" t="s">
        <v>64</v>
      </c>
      <c r="P751" t="str">
        <f t="shared" si="77"/>
        <v>Individual</v>
      </c>
      <c r="Q751" t="str">
        <f t="shared" si="78"/>
        <v>North</v>
      </c>
      <c r="R751" t="str">
        <f>PROPER(TRIM(E751))</f>
        <v>Home &amp; Kitchen</v>
      </c>
      <c r="S751" s="27">
        <f>IF(ISTEXT(B751),DATEVALUE(B751),B751)</f>
        <v>45980</v>
      </c>
      <c r="T751" s="27">
        <f>COUNTIF($A$2:$A$1986,A751)</f>
        <v>1</v>
      </c>
      <c r="U751" s="27" t="str">
        <f t="shared" si="79"/>
        <v>Electric Kettle</v>
      </c>
      <c r="V751" s="27">
        <f t="shared" si="80"/>
        <v>33.387999999999998</v>
      </c>
      <c r="W751" s="27">
        <f t="shared" si="81"/>
        <v>20.99</v>
      </c>
      <c r="X751" s="27">
        <f>RawSalesTable3[[#This Row],[Revenue]]-RawSalesTable3[[#This Row],[Total_Cost]]</f>
        <v>12.398</v>
      </c>
      <c r="Y751" s="28">
        <f>RawSalesTable3[[#This Row],[Profit]]/RawSalesTable3[[#This Row],[Revenue]]</f>
        <v>0.3713310171319037</v>
      </c>
      <c r="Z751" s="27" t="str">
        <f>TEXT(RawSalesTable3[[#This Row],[Order_Date_Clean]],"MMM YYYY")</f>
        <v>Nov 2025</v>
      </c>
      <c r="AA751" s="27"/>
      <c r="AB751" s="27">
        <f t="shared" si="82"/>
        <v>0</v>
      </c>
      <c r="AC751" s="27">
        <f t="shared" si="83"/>
        <v>0</v>
      </c>
    </row>
    <row r="752" spans="1:29">
      <c r="A752" t="s">
        <v>852</v>
      </c>
      <c r="B752" s="3">
        <v>45996</v>
      </c>
      <c r="C752" t="s">
        <v>66</v>
      </c>
      <c r="D752" t="s">
        <v>129</v>
      </c>
      <c r="E752" t="s">
        <v>79</v>
      </c>
      <c r="F752" t="s">
        <v>85</v>
      </c>
      <c r="G752" s="6">
        <v>5</v>
      </c>
      <c r="H752" s="4">
        <v>129.16999999999999</v>
      </c>
      <c r="I752" s="4">
        <v>87.71</v>
      </c>
      <c r="J752" s="5">
        <v>0.25</v>
      </c>
      <c r="K752" s="6">
        <v>7</v>
      </c>
      <c r="L752" s="6">
        <v>3</v>
      </c>
      <c r="M752" t="s">
        <v>58</v>
      </c>
      <c r="N752" t="s">
        <v>59</v>
      </c>
      <c r="O752" t="s">
        <v>64</v>
      </c>
      <c r="P752" t="str">
        <f t="shared" si="77"/>
        <v>Corporate</v>
      </c>
      <c r="Q752" t="str">
        <f t="shared" si="78"/>
        <v>South</v>
      </c>
      <c r="R752" t="str">
        <f>PROPER(TRIM(E752))</f>
        <v>Electronics</v>
      </c>
      <c r="S752" s="27">
        <f>IF(ISTEXT(B752),DATEVALUE(B752),B752)</f>
        <v>45996</v>
      </c>
      <c r="T752" s="27">
        <f>COUNTIF($A$2:$A$1986,A752)</f>
        <v>1</v>
      </c>
      <c r="U752" s="27" t="str">
        <f t="shared" si="79"/>
        <v>SmartHome Hub</v>
      </c>
      <c r="V752" s="27">
        <f t="shared" si="80"/>
        <v>484.38749999999993</v>
      </c>
      <c r="W752" s="27">
        <f t="shared" si="81"/>
        <v>438.54999999999995</v>
      </c>
      <c r="X752" s="27">
        <f>RawSalesTable3[[#This Row],[Revenue]]-RawSalesTable3[[#This Row],[Total_Cost]]</f>
        <v>45.837499999999977</v>
      </c>
      <c r="Y752" s="28">
        <f>RawSalesTable3[[#This Row],[Profit]]/RawSalesTable3[[#This Row],[Revenue]]</f>
        <v>9.4629816004748235E-2</v>
      </c>
      <c r="Z752" s="27" t="str">
        <f>TEXT(RawSalesTable3[[#This Row],[Order_Date_Clean]],"MMM YYYY")</f>
        <v>Dec 2025</v>
      </c>
      <c r="AA752" s="27"/>
      <c r="AB752" s="27">
        <f t="shared" si="82"/>
        <v>0</v>
      </c>
      <c r="AC752" s="27">
        <f t="shared" si="83"/>
        <v>0</v>
      </c>
    </row>
    <row r="753" spans="1:29">
      <c r="A753" t="s">
        <v>853</v>
      </c>
      <c r="B753" s="3">
        <v>45957</v>
      </c>
      <c r="C753" t="s">
        <v>66</v>
      </c>
      <c r="D753" t="s">
        <v>62</v>
      </c>
      <c r="E753" t="s">
        <v>67</v>
      </c>
      <c r="F753" t="s">
        <v>68</v>
      </c>
      <c r="G753" s="6">
        <v>1</v>
      </c>
      <c r="H753" s="4">
        <v>39.53</v>
      </c>
      <c r="I753" s="4">
        <v>19.41</v>
      </c>
      <c r="J753" s="5">
        <v>0</v>
      </c>
      <c r="K753" s="6">
        <v>3</v>
      </c>
      <c r="L753" s="6">
        <v>4</v>
      </c>
      <c r="M753" t="s">
        <v>58</v>
      </c>
      <c r="N753" t="s">
        <v>69</v>
      </c>
      <c r="O753" t="s">
        <v>64</v>
      </c>
      <c r="P753" t="str">
        <f t="shared" si="77"/>
        <v>Individual</v>
      </c>
      <c r="Q753" t="str">
        <f t="shared" si="78"/>
        <v>South</v>
      </c>
      <c r="R753" t="str">
        <f>PROPER(TRIM(E753))</f>
        <v>Office</v>
      </c>
      <c r="S753" s="27">
        <f>IF(ISTEXT(B753),DATEVALUE(B753),B753)</f>
        <v>45957</v>
      </c>
      <c r="T753" s="27">
        <f>COUNTIF($A$2:$A$1986,A753)</f>
        <v>1</v>
      </c>
      <c r="U753" s="27" t="str">
        <f t="shared" si="79"/>
        <v>Desk Lamp</v>
      </c>
      <c r="V753" s="27">
        <f t="shared" si="80"/>
        <v>39.53</v>
      </c>
      <c r="W753" s="27">
        <f t="shared" si="81"/>
        <v>19.41</v>
      </c>
      <c r="X753" s="27">
        <f>RawSalesTable3[[#This Row],[Revenue]]-RawSalesTable3[[#This Row],[Total_Cost]]</f>
        <v>20.12</v>
      </c>
      <c r="Y753" s="28">
        <f>RawSalesTable3[[#This Row],[Profit]]/RawSalesTable3[[#This Row],[Revenue]]</f>
        <v>0.50898052112319758</v>
      </c>
      <c r="Z753" s="27" t="str">
        <f>TEXT(RawSalesTable3[[#This Row],[Order_Date_Clean]],"MMM YYYY")</f>
        <v>Oct 2025</v>
      </c>
      <c r="AA753" s="27"/>
      <c r="AB753" s="27">
        <f t="shared" si="82"/>
        <v>0</v>
      </c>
      <c r="AC753" s="27">
        <f t="shared" si="83"/>
        <v>0</v>
      </c>
    </row>
    <row r="754" spans="1:29">
      <c r="A754" t="s">
        <v>854</v>
      </c>
      <c r="B754" s="3">
        <v>46018</v>
      </c>
      <c r="C754" t="s">
        <v>82</v>
      </c>
      <c r="D754" t="s">
        <v>55</v>
      </c>
      <c r="E754" t="s">
        <v>79</v>
      </c>
      <c r="F754" t="s">
        <v>85</v>
      </c>
      <c r="G754" s="6">
        <v>2</v>
      </c>
      <c r="H754" s="4">
        <v>131.29</v>
      </c>
      <c r="I754" s="4">
        <v>85.6</v>
      </c>
      <c r="J754" s="5">
        <v>0.1</v>
      </c>
      <c r="K754" s="6">
        <v>4</v>
      </c>
      <c r="L754" s="6">
        <v>4</v>
      </c>
      <c r="M754" t="s">
        <v>58</v>
      </c>
      <c r="N754" t="s">
        <v>59</v>
      </c>
      <c r="O754" t="s">
        <v>73</v>
      </c>
      <c r="P754" t="str">
        <f t="shared" si="77"/>
        <v>Small Business</v>
      </c>
      <c r="Q754" t="str">
        <f t="shared" si="78"/>
        <v>Midlands</v>
      </c>
      <c r="R754" t="str">
        <f>PROPER(TRIM(E754))</f>
        <v>Electronics</v>
      </c>
      <c r="S754" s="27">
        <f>IF(ISTEXT(B754),DATEVALUE(B754),B754)</f>
        <v>46018</v>
      </c>
      <c r="T754" s="27">
        <f>COUNTIF($A$2:$A$1986,A754)</f>
        <v>1</v>
      </c>
      <c r="U754" s="27" t="str">
        <f t="shared" si="79"/>
        <v>SmartHome Hub</v>
      </c>
      <c r="V754" s="27">
        <f t="shared" si="80"/>
        <v>236.322</v>
      </c>
      <c r="W754" s="27">
        <f t="shared" si="81"/>
        <v>171.2</v>
      </c>
      <c r="X754" s="27">
        <f>RawSalesTable3[[#This Row],[Revenue]]-RawSalesTable3[[#This Row],[Total_Cost]]</f>
        <v>65.122000000000014</v>
      </c>
      <c r="Y754" s="28">
        <f>RawSalesTable3[[#This Row],[Profit]]/RawSalesTable3[[#This Row],[Revenue]]</f>
        <v>0.27556469562715286</v>
      </c>
      <c r="Z754" s="27" t="str">
        <f>TEXT(RawSalesTable3[[#This Row],[Order_Date_Clean]],"MMM YYYY")</f>
        <v>Dec 2025</v>
      </c>
      <c r="AA754" s="27"/>
      <c r="AB754" s="27">
        <f t="shared" si="82"/>
        <v>0</v>
      </c>
      <c r="AC754" s="27">
        <f t="shared" si="83"/>
        <v>0</v>
      </c>
    </row>
    <row r="755" spans="1:29">
      <c r="A755" t="s">
        <v>855</v>
      </c>
      <c r="B755" s="3">
        <v>45755</v>
      </c>
      <c r="C755" t="s">
        <v>66</v>
      </c>
      <c r="D755" t="s">
        <v>62</v>
      </c>
      <c r="E755" t="s">
        <v>67</v>
      </c>
      <c r="F755" t="s">
        <v>68</v>
      </c>
      <c r="G755" s="6">
        <v>3</v>
      </c>
      <c r="H755" s="4">
        <v>40.4</v>
      </c>
      <c r="I755" s="4">
        <v>19.940000000000001</v>
      </c>
      <c r="J755" s="5">
        <v>0.05</v>
      </c>
      <c r="K755" s="6">
        <v>0</v>
      </c>
      <c r="L755" s="6">
        <v>4</v>
      </c>
      <c r="M755" t="s">
        <v>58</v>
      </c>
      <c r="N755" t="s">
        <v>69</v>
      </c>
      <c r="O755" t="s">
        <v>73</v>
      </c>
      <c r="P755" t="str">
        <f t="shared" si="77"/>
        <v>Individual</v>
      </c>
      <c r="Q755" t="str">
        <f t="shared" si="78"/>
        <v>South</v>
      </c>
      <c r="R755" t="str">
        <f>PROPER(TRIM(E755))</f>
        <v>Office</v>
      </c>
      <c r="S755" s="27">
        <f>IF(ISTEXT(B755),DATEVALUE(B755),B755)</f>
        <v>45755</v>
      </c>
      <c r="T755" s="27">
        <f>COUNTIF($A$2:$A$1986,A755)</f>
        <v>1</v>
      </c>
      <c r="U755" s="27" t="str">
        <f t="shared" si="79"/>
        <v>Desk Lamp</v>
      </c>
      <c r="V755" s="27">
        <f t="shared" si="80"/>
        <v>115.13999999999999</v>
      </c>
      <c r="W755" s="27">
        <f t="shared" si="81"/>
        <v>59.820000000000007</v>
      </c>
      <c r="X755" s="27">
        <f>RawSalesTable3[[#This Row],[Revenue]]-RawSalesTable3[[#This Row],[Total_Cost]]</f>
        <v>55.319999999999979</v>
      </c>
      <c r="Y755" s="28">
        <f>RawSalesTable3[[#This Row],[Profit]]/RawSalesTable3[[#This Row],[Revenue]]</f>
        <v>0.48045857217300664</v>
      </c>
      <c r="Z755" s="27" t="str">
        <f>TEXT(RawSalesTable3[[#This Row],[Order_Date_Clean]],"MMM YYYY")</f>
        <v>Apr 2025</v>
      </c>
      <c r="AA755" s="27"/>
      <c r="AB755" s="27">
        <f t="shared" si="82"/>
        <v>0</v>
      </c>
      <c r="AC755" s="27">
        <f t="shared" si="83"/>
        <v>0</v>
      </c>
    </row>
    <row r="756" spans="1:29">
      <c r="A756" t="s">
        <v>856</v>
      </c>
      <c r="B756" s="3">
        <v>45671</v>
      </c>
      <c r="C756" t="s">
        <v>66</v>
      </c>
      <c r="D756" t="s">
        <v>55</v>
      </c>
      <c r="E756" t="s">
        <v>67</v>
      </c>
      <c r="F756" t="s">
        <v>71</v>
      </c>
      <c r="G756" s="6">
        <v>4</v>
      </c>
      <c r="H756" s="4">
        <v>70.41</v>
      </c>
      <c r="I756" s="4">
        <v>37.79</v>
      </c>
      <c r="J756" s="5">
        <v>0.05</v>
      </c>
      <c r="K756" s="6">
        <v>5</v>
      </c>
      <c r="L756" s="6">
        <v>4</v>
      </c>
      <c r="M756" t="s">
        <v>58</v>
      </c>
      <c r="N756" t="s">
        <v>69</v>
      </c>
      <c r="O756" t="s">
        <v>64</v>
      </c>
      <c r="P756" t="str">
        <f t="shared" si="77"/>
        <v>Small Business</v>
      </c>
      <c r="Q756" t="str">
        <f t="shared" si="78"/>
        <v>South</v>
      </c>
      <c r="R756" t="str">
        <f>PROPER(TRIM(E756))</f>
        <v>Office</v>
      </c>
      <c r="S756" s="27">
        <f>IF(ISTEXT(B756),DATEVALUE(B756),B756)</f>
        <v>45671</v>
      </c>
      <c r="T756" s="27">
        <f>COUNTIF($A$2:$A$1986,A756)</f>
        <v>1</v>
      </c>
      <c r="U756" s="27" t="str">
        <f t="shared" si="79"/>
        <v>Ergonomic Keyboard</v>
      </c>
      <c r="V756" s="27">
        <f t="shared" si="80"/>
        <v>267.55799999999999</v>
      </c>
      <c r="W756" s="27">
        <f t="shared" si="81"/>
        <v>151.16</v>
      </c>
      <c r="X756" s="27">
        <f>RawSalesTable3[[#This Row],[Revenue]]-RawSalesTable3[[#This Row],[Total_Cost]]</f>
        <v>116.398</v>
      </c>
      <c r="Y756" s="28">
        <f>RawSalesTable3[[#This Row],[Profit]]/RawSalesTable3[[#This Row],[Revenue]]</f>
        <v>0.43503838420080881</v>
      </c>
      <c r="Z756" s="27" t="str">
        <f>TEXT(RawSalesTable3[[#This Row],[Order_Date_Clean]],"MMM YYYY")</f>
        <v>Jan 2025</v>
      </c>
      <c r="AA756" s="27"/>
      <c r="AB756" s="27">
        <f t="shared" si="82"/>
        <v>0</v>
      </c>
      <c r="AC756" s="27">
        <f t="shared" si="83"/>
        <v>0</v>
      </c>
    </row>
    <row r="757" spans="1:29">
      <c r="A757" t="s">
        <v>857</v>
      </c>
      <c r="B757" s="3">
        <v>45852</v>
      </c>
      <c r="C757" t="s">
        <v>54</v>
      </c>
      <c r="D757" t="s">
        <v>62</v>
      </c>
      <c r="E757" t="s">
        <v>75</v>
      </c>
      <c r="F757" t="s">
        <v>146</v>
      </c>
      <c r="G757" s="6">
        <v>1</v>
      </c>
      <c r="H757" s="4">
        <v>184.86</v>
      </c>
      <c r="I757" s="4">
        <v>117.75</v>
      </c>
      <c r="J757" s="5">
        <v>0.05</v>
      </c>
      <c r="K757" s="6">
        <v>3</v>
      </c>
      <c r="L757" s="6">
        <v>5</v>
      </c>
      <c r="M757" t="s">
        <v>58</v>
      </c>
      <c r="N757" t="s">
        <v>69</v>
      </c>
      <c r="O757" t="s">
        <v>64</v>
      </c>
      <c r="P757" t="str">
        <f t="shared" si="77"/>
        <v>Individual</v>
      </c>
      <c r="Q757" t="str">
        <f t="shared" si="78"/>
        <v>North</v>
      </c>
      <c r="R757" t="str">
        <f>PROPER(TRIM(E757))</f>
        <v>Furniture</v>
      </c>
      <c r="S757" s="27">
        <f>IF(ISTEXT(B757),DATEVALUE(B757),B757)</f>
        <v>45852</v>
      </c>
      <c r="T757" s="27">
        <f>COUNTIF($A$2:$A$1986,A757)</f>
        <v>1</v>
      </c>
      <c r="U757" s="27" t="str">
        <f t="shared" si="79"/>
        <v>Office Chair</v>
      </c>
      <c r="V757" s="27">
        <f t="shared" si="80"/>
        <v>175.61700000000002</v>
      </c>
      <c r="W757" s="27">
        <f t="shared" si="81"/>
        <v>117.75</v>
      </c>
      <c r="X757" s="27">
        <f>RawSalesTable3[[#This Row],[Revenue]]-RawSalesTable3[[#This Row],[Total_Cost]]</f>
        <v>57.867000000000019</v>
      </c>
      <c r="Y757" s="28">
        <f>RawSalesTable3[[#This Row],[Profit]]/RawSalesTable3[[#This Row],[Revenue]]</f>
        <v>0.32950682451015567</v>
      </c>
      <c r="Z757" s="27" t="str">
        <f>TEXT(RawSalesTable3[[#This Row],[Order_Date_Clean]],"MMM YYYY")</f>
        <v>Jul 2025</v>
      </c>
      <c r="AA757" s="27"/>
      <c r="AB757" s="27">
        <f t="shared" si="82"/>
        <v>0</v>
      </c>
      <c r="AC757" s="27">
        <f t="shared" si="83"/>
        <v>0</v>
      </c>
    </row>
    <row r="758" spans="1:29">
      <c r="A758" t="s">
        <v>858</v>
      </c>
      <c r="B758" s="3">
        <v>46002</v>
      </c>
      <c r="C758" t="s">
        <v>78</v>
      </c>
      <c r="D758" t="s">
        <v>62</v>
      </c>
      <c r="E758" t="s">
        <v>56</v>
      </c>
      <c r="F758" t="s">
        <v>89</v>
      </c>
      <c r="G758" s="6">
        <v>1</v>
      </c>
      <c r="H758" s="4">
        <v>79.78</v>
      </c>
      <c r="I758" s="4">
        <v>46.42</v>
      </c>
      <c r="J758" s="5">
        <v>0.15000000000000002</v>
      </c>
      <c r="K758" s="6">
        <v>5</v>
      </c>
      <c r="L758" s="6">
        <v>4</v>
      </c>
      <c r="M758" t="s">
        <v>58</v>
      </c>
      <c r="N758" t="s">
        <v>69</v>
      </c>
      <c r="O758" t="s">
        <v>73</v>
      </c>
      <c r="P758" t="str">
        <f t="shared" si="77"/>
        <v>Individual</v>
      </c>
      <c r="Q758" t="str">
        <f t="shared" si="78"/>
        <v>London</v>
      </c>
      <c r="R758" t="str">
        <f>PROPER(TRIM(E758))</f>
        <v>Home &amp; Kitchen</v>
      </c>
      <c r="S758" s="27">
        <f>IF(ISTEXT(B758),DATEVALUE(B758),B758)</f>
        <v>46002</v>
      </c>
      <c r="T758" s="27">
        <f>COUNTIF($A$2:$A$1986,A758)</f>
        <v>1</v>
      </c>
      <c r="U758" s="27" t="str">
        <f t="shared" si="79"/>
        <v>Coffee Maker</v>
      </c>
      <c r="V758" s="27">
        <f t="shared" si="80"/>
        <v>67.813000000000002</v>
      </c>
      <c r="W758" s="27">
        <f t="shared" si="81"/>
        <v>46.42</v>
      </c>
      <c r="X758" s="27">
        <f>RawSalesTable3[[#This Row],[Revenue]]-RawSalesTable3[[#This Row],[Total_Cost]]</f>
        <v>21.393000000000001</v>
      </c>
      <c r="Y758" s="28">
        <f>RawSalesTable3[[#This Row],[Profit]]/RawSalesTable3[[#This Row],[Revenue]]</f>
        <v>0.31547048501024877</v>
      </c>
      <c r="Z758" s="27" t="str">
        <f>TEXT(RawSalesTable3[[#This Row],[Order_Date_Clean]],"MMM YYYY")</f>
        <v>Dec 2025</v>
      </c>
      <c r="AA758" s="27"/>
      <c r="AB758" s="27">
        <f t="shared" si="82"/>
        <v>0</v>
      </c>
      <c r="AC758" s="27">
        <f t="shared" si="83"/>
        <v>0</v>
      </c>
    </row>
    <row r="759" spans="1:29">
      <c r="A759" t="s">
        <v>859</v>
      </c>
      <c r="B759" s="3">
        <v>45930</v>
      </c>
      <c r="C759" t="s">
        <v>66</v>
      </c>
      <c r="D759" t="s">
        <v>55</v>
      </c>
      <c r="E759" t="s">
        <v>227</v>
      </c>
      <c r="F759" t="s">
        <v>115</v>
      </c>
      <c r="G759" s="6">
        <v>2</v>
      </c>
      <c r="H759" s="4">
        <v>60.79</v>
      </c>
      <c r="I759" s="4">
        <v>34.68</v>
      </c>
      <c r="J759" s="5">
        <v>0.05</v>
      </c>
      <c r="K759" s="6">
        <v>4</v>
      </c>
      <c r="L759" s="6">
        <v>5</v>
      </c>
      <c r="M759" t="s">
        <v>58</v>
      </c>
      <c r="N759" t="s">
        <v>69</v>
      </c>
      <c r="O759" t="s">
        <v>64</v>
      </c>
      <c r="P759" t="str">
        <f t="shared" si="77"/>
        <v>Small Business</v>
      </c>
      <c r="Q759" t="str">
        <f t="shared" si="78"/>
        <v>South</v>
      </c>
      <c r="R759" t="str">
        <f>PROPER(TRIM(E759))</f>
        <v>Electronics</v>
      </c>
      <c r="S759" s="27">
        <f>IF(ISTEXT(B759),DATEVALUE(B759),B759)</f>
        <v>45930</v>
      </c>
      <c r="T759" s="27">
        <f>COUNTIF($A$2:$A$1986,A759)</f>
        <v>1</v>
      </c>
      <c r="U759" s="27" t="str">
        <f t="shared" si="79"/>
        <v>Wireless Headset</v>
      </c>
      <c r="V759" s="27">
        <f t="shared" si="80"/>
        <v>115.50099999999999</v>
      </c>
      <c r="W759" s="27">
        <f t="shared" si="81"/>
        <v>69.36</v>
      </c>
      <c r="X759" s="27">
        <f>RawSalesTable3[[#This Row],[Revenue]]-RawSalesTable3[[#This Row],[Total_Cost]]</f>
        <v>46.140999999999991</v>
      </c>
      <c r="Y759" s="28">
        <f>RawSalesTable3[[#This Row],[Profit]]/RawSalesTable3[[#This Row],[Revenue]]</f>
        <v>0.39948571873836586</v>
      </c>
      <c r="Z759" s="27" t="str">
        <f>TEXT(RawSalesTable3[[#This Row],[Order_Date_Clean]],"MMM YYYY")</f>
        <v>Sep 2025</v>
      </c>
      <c r="AA759" s="27"/>
      <c r="AB759" s="27">
        <f t="shared" si="82"/>
        <v>0</v>
      </c>
      <c r="AC759" s="27">
        <f t="shared" si="83"/>
        <v>0</v>
      </c>
    </row>
    <row r="760" spans="1:29">
      <c r="A760" t="s">
        <v>860</v>
      </c>
      <c r="B760" s="3">
        <v>45998</v>
      </c>
      <c r="C760" t="s">
        <v>66</v>
      </c>
      <c r="D760" t="s">
        <v>129</v>
      </c>
      <c r="E760" t="s">
        <v>75</v>
      </c>
      <c r="F760" t="s">
        <v>110</v>
      </c>
      <c r="G760" s="6">
        <v>6</v>
      </c>
      <c r="H760" s="4">
        <v>163.56</v>
      </c>
      <c r="I760" s="4">
        <v>102.33</v>
      </c>
      <c r="J760" s="5">
        <v>0.1</v>
      </c>
      <c r="K760" s="6">
        <v>3</v>
      </c>
      <c r="L760" s="6">
        <v>4</v>
      </c>
      <c r="M760" t="s">
        <v>126</v>
      </c>
      <c r="N760" t="s">
        <v>87</v>
      </c>
      <c r="O760" t="s">
        <v>64</v>
      </c>
      <c r="P760" t="str">
        <f t="shared" si="77"/>
        <v>Corporate</v>
      </c>
      <c r="Q760" t="str">
        <f t="shared" si="78"/>
        <v>South</v>
      </c>
      <c r="R760" t="str">
        <f>PROPER(TRIM(E760))</f>
        <v>Furniture</v>
      </c>
      <c r="S760" s="27">
        <f>IF(ISTEXT(B760),DATEVALUE(B760),B760)</f>
        <v>45998</v>
      </c>
      <c r="T760" s="27">
        <f>COUNTIF($A$2:$A$1986,A760)</f>
        <v>1</v>
      </c>
      <c r="U760" s="27" t="str">
        <f t="shared" si="79"/>
        <v>Storage Cabinet</v>
      </c>
      <c r="V760" s="27">
        <f t="shared" si="80"/>
        <v>883.22400000000005</v>
      </c>
      <c r="W760" s="27">
        <f t="shared" si="81"/>
        <v>613.98</v>
      </c>
      <c r="X760" s="27">
        <f>RawSalesTable3[[#This Row],[Revenue]]-RawSalesTable3[[#This Row],[Total_Cost]]</f>
        <v>269.24400000000003</v>
      </c>
      <c r="Y760" s="28">
        <f>RawSalesTable3[[#This Row],[Profit]]/RawSalesTable3[[#This Row],[Revenue]]</f>
        <v>0.30484225972120327</v>
      </c>
      <c r="Z760" s="27" t="str">
        <f>TEXT(RawSalesTable3[[#This Row],[Order_Date_Clean]],"MMM YYYY")</f>
        <v>Dec 2025</v>
      </c>
      <c r="AA760" s="27"/>
      <c r="AB760" s="27">
        <f t="shared" si="82"/>
        <v>0</v>
      </c>
      <c r="AC760" s="27">
        <f t="shared" si="83"/>
        <v>0</v>
      </c>
    </row>
    <row r="761" spans="1:29">
      <c r="A761" t="s">
        <v>861</v>
      </c>
      <c r="B761" s="3">
        <v>46019</v>
      </c>
      <c r="C761" t="s">
        <v>66</v>
      </c>
      <c r="D761" t="s">
        <v>55</v>
      </c>
      <c r="E761" t="s">
        <v>67</v>
      </c>
      <c r="F761" t="s">
        <v>107</v>
      </c>
      <c r="G761" s="6">
        <v>3</v>
      </c>
      <c r="H761" s="4">
        <v>45.36</v>
      </c>
      <c r="I761" s="4">
        <v>21.5</v>
      </c>
      <c r="J761" s="5">
        <v>0.2</v>
      </c>
      <c r="K761" s="6">
        <v>2</v>
      </c>
      <c r="L761" s="6">
        <v>5</v>
      </c>
      <c r="M761" t="s">
        <v>58</v>
      </c>
      <c r="N761" t="s">
        <v>87</v>
      </c>
      <c r="O761" t="s">
        <v>73</v>
      </c>
      <c r="P761" t="str">
        <f t="shared" si="77"/>
        <v>Small Business</v>
      </c>
      <c r="Q761" t="str">
        <f t="shared" si="78"/>
        <v>South</v>
      </c>
      <c r="R761" t="str">
        <f>PROPER(TRIM(E761))</f>
        <v>Office</v>
      </c>
      <c r="S761" s="27">
        <f>IF(ISTEXT(B761),DATEVALUE(B761),B761)</f>
        <v>46019</v>
      </c>
      <c r="T761" s="27">
        <f>COUNTIF($A$2:$A$1986,A761)</f>
        <v>1</v>
      </c>
      <c r="U761" s="27" t="str">
        <f t="shared" si="79"/>
        <v>Laptop Stand</v>
      </c>
      <c r="V761" s="27">
        <f t="shared" si="80"/>
        <v>108.86399999999999</v>
      </c>
      <c r="W761" s="27">
        <f t="shared" si="81"/>
        <v>64.5</v>
      </c>
      <c r="X761" s="27">
        <f>RawSalesTable3[[#This Row],[Revenue]]-RawSalesTable3[[#This Row],[Total_Cost]]</f>
        <v>44.36399999999999</v>
      </c>
      <c r="Y761" s="28">
        <f>RawSalesTable3[[#This Row],[Profit]]/RawSalesTable3[[#This Row],[Revenue]]</f>
        <v>0.4075176366843033</v>
      </c>
      <c r="Z761" s="27" t="str">
        <f>TEXT(RawSalesTable3[[#This Row],[Order_Date_Clean]],"MMM YYYY")</f>
        <v>Dec 2025</v>
      </c>
      <c r="AA761" s="27"/>
      <c r="AB761" s="27">
        <f t="shared" si="82"/>
        <v>0</v>
      </c>
      <c r="AC761" s="27">
        <f t="shared" si="83"/>
        <v>0</v>
      </c>
    </row>
    <row r="762" spans="1:29">
      <c r="A762" t="s">
        <v>862</v>
      </c>
      <c r="B762" s="3">
        <v>45985</v>
      </c>
      <c r="C762" t="s">
        <v>66</v>
      </c>
      <c r="D762" t="s">
        <v>62</v>
      </c>
      <c r="E762" t="s">
        <v>67</v>
      </c>
      <c r="F762" t="s">
        <v>107</v>
      </c>
      <c r="G762" s="6">
        <v>4</v>
      </c>
      <c r="H762" s="4">
        <v>45.1</v>
      </c>
      <c r="I762" s="4">
        <v>20.93</v>
      </c>
      <c r="J762" s="5">
        <v>0.15000000000000002</v>
      </c>
      <c r="K762" s="6">
        <v>3</v>
      </c>
      <c r="L762" s="6">
        <v>4</v>
      </c>
      <c r="M762" t="s">
        <v>58</v>
      </c>
      <c r="N762" t="s">
        <v>69</v>
      </c>
      <c r="O762" t="s">
        <v>64</v>
      </c>
      <c r="P762" t="str">
        <f t="shared" si="77"/>
        <v>Individual</v>
      </c>
      <c r="Q762" t="str">
        <f t="shared" si="78"/>
        <v>South</v>
      </c>
      <c r="R762" t="str">
        <f>PROPER(TRIM(E762))</f>
        <v>Office</v>
      </c>
      <c r="S762" s="27">
        <f>IF(ISTEXT(B762),DATEVALUE(B762),B762)</f>
        <v>45985</v>
      </c>
      <c r="T762" s="27">
        <f>COUNTIF($A$2:$A$1986,A762)</f>
        <v>1</v>
      </c>
      <c r="U762" s="27" t="str">
        <f t="shared" si="79"/>
        <v>Laptop Stand</v>
      </c>
      <c r="V762" s="27">
        <f t="shared" si="80"/>
        <v>153.34</v>
      </c>
      <c r="W762" s="27">
        <f t="shared" si="81"/>
        <v>83.72</v>
      </c>
      <c r="X762" s="27">
        <f>RawSalesTable3[[#This Row],[Revenue]]-RawSalesTable3[[#This Row],[Total_Cost]]</f>
        <v>69.62</v>
      </c>
      <c r="Y762" s="28">
        <f>RawSalesTable3[[#This Row],[Profit]]/RawSalesTable3[[#This Row],[Revenue]]</f>
        <v>0.45402373809834357</v>
      </c>
      <c r="Z762" s="27" t="str">
        <f>TEXT(RawSalesTable3[[#This Row],[Order_Date_Clean]],"MMM YYYY")</f>
        <v>Nov 2025</v>
      </c>
      <c r="AA762" s="27"/>
      <c r="AB762" s="27">
        <f t="shared" si="82"/>
        <v>0</v>
      </c>
      <c r="AC762" s="27">
        <f t="shared" si="83"/>
        <v>0</v>
      </c>
    </row>
    <row r="763" spans="1:29">
      <c r="A763" t="s">
        <v>863</v>
      </c>
      <c r="B763" s="3">
        <v>45828</v>
      </c>
      <c r="C763" t="s">
        <v>54</v>
      </c>
      <c r="D763" t="s">
        <v>62</v>
      </c>
      <c r="E763" t="s">
        <v>79</v>
      </c>
      <c r="F763" t="s">
        <v>80</v>
      </c>
      <c r="G763" s="6">
        <v>1</v>
      </c>
      <c r="H763" s="4">
        <v>73.989999999999995</v>
      </c>
      <c r="I763" s="4">
        <v>45.15</v>
      </c>
      <c r="J763" s="5">
        <v>0</v>
      </c>
      <c r="K763" s="6">
        <v>0</v>
      </c>
      <c r="L763" s="6">
        <v>4</v>
      </c>
      <c r="M763" t="s">
        <v>58</v>
      </c>
      <c r="N763" t="s">
        <v>69</v>
      </c>
      <c r="O763" t="s">
        <v>64</v>
      </c>
      <c r="P763" t="str">
        <f t="shared" si="77"/>
        <v>Individual</v>
      </c>
      <c r="Q763" t="str">
        <f t="shared" si="78"/>
        <v>North</v>
      </c>
      <c r="R763" t="str">
        <f>PROPER(TRIM(E763))</f>
        <v>Electronics</v>
      </c>
      <c r="S763" s="27">
        <f>IF(ISTEXT(B763),DATEVALUE(B763),B763)</f>
        <v>45828</v>
      </c>
      <c r="T763" s="27">
        <f>COUNTIF($A$2:$A$1986,A763)</f>
        <v>1</v>
      </c>
      <c r="U763" s="27" t="str">
        <f t="shared" si="79"/>
        <v>Portable Speaker</v>
      </c>
      <c r="V763" s="27">
        <f t="shared" si="80"/>
        <v>73.989999999999995</v>
      </c>
      <c r="W763" s="27">
        <f t="shared" si="81"/>
        <v>45.15</v>
      </c>
      <c r="X763" s="27">
        <f>RawSalesTable3[[#This Row],[Revenue]]-RawSalesTable3[[#This Row],[Total_Cost]]</f>
        <v>28.839999999999996</v>
      </c>
      <c r="Y763" s="28">
        <f>RawSalesTable3[[#This Row],[Profit]]/RawSalesTable3[[#This Row],[Revenue]]</f>
        <v>0.38978240302743611</v>
      </c>
      <c r="Z763" s="27" t="str">
        <f>TEXT(RawSalesTable3[[#This Row],[Order_Date_Clean]],"MMM YYYY")</f>
        <v>Jun 2025</v>
      </c>
      <c r="AA763" s="27"/>
      <c r="AB763" s="27">
        <f t="shared" si="82"/>
        <v>0</v>
      </c>
      <c r="AC763" s="27">
        <f t="shared" si="83"/>
        <v>0</v>
      </c>
    </row>
    <row r="764" spans="1:29">
      <c r="A764" t="s">
        <v>864</v>
      </c>
      <c r="B764" s="3">
        <v>45882</v>
      </c>
      <c r="C764" t="s">
        <v>78</v>
      </c>
      <c r="D764" t="s">
        <v>129</v>
      </c>
      <c r="E764" t="s">
        <v>79</v>
      </c>
      <c r="F764" t="s">
        <v>92</v>
      </c>
      <c r="G764" s="6">
        <v>8</v>
      </c>
      <c r="H764" s="4">
        <v>50.79</v>
      </c>
      <c r="I764" s="4">
        <v>25.42</v>
      </c>
      <c r="J764" s="5">
        <v>0.15000000000000002</v>
      </c>
      <c r="K764" s="6">
        <v>3</v>
      </c>
      <c r="L764" s="6">
        <v>4</v>
      </c>
      <c r="M764" t="s">
        <v>58</v>
      </c>
      <c r="N764" t="s">
        <v>87</v>
      </c>
      <c r="O764" t="s">
        <v>64</v>
      </c>
      <c r="P764" t="str">
        <f t="shared" si="77"/>
        <v>Corporate</v>
      </c>
      <c r="Q764" t="str">
        <f t="shared" si="78"/>
        <v>London</v>
      </c>
      <c r="R764" t="str">
        <f>PROPER(TRIM(E764))</f>
        <v>Electronics</v>
      </c>
      <c r="S764" s="27">
        <f>IF(ISTEXT(B764),DATEVALUE(B764),B764)</f>
        <v>45882</v>
      </c>
      <c r="T764" s="27">
        <f>COUNTIF($A$2:$A$1986,A764)</f>
        <v>1</v>
      </c>
      <c r="U764" s="27" t="str">
        <f t="shared" si="79"/>
        <v>Webcam</v>
      </c>
      <c r="V764" s="27">
        <f t="shared" si="80"/>
        <v>345.37199999999996</v>
      </c>
      <c r="W764" s="27">
        <f t="shared" si="81"/>
        <v>203.36</v>
      </c>
      <c r="X764" s="27">
        <f>RawSalesTable3[[#This Row],[Revenue]]-RawSalesTable3[[#This Row],[Total_Cost]]</f>
        <v>142.01199999999994</v>
      </c>
      <c r="Y764" s="28">
        <f>RawSalesTable3[[#This Row],[Profit]]/RawSalesTable3[[#This Row],[Revenue]]</f>
        <v>0.41118562014291826</v>
      </c>
      <c r="Z764" s="27" t="str">
        <f>TEXT(RawSalesTable3[[#This Row],[Order_Date_Clean]],"MMM YYYY")</f>
        <v>Aug 2025</v>
      </c>
      <c r="AA764" s="27"/>
      <c r="AB764" s="27">
        <f t="shared" si="82"/>
        <v>0</v>
      </c>
      <c r="AC764" s="27">
        <f t="shared" si="83"/>
        <v>0</v>
      </c>
    </row>
    <row r="765" spans="1:29">
      <c r="A765" t="s">
        <v>865</v>
      </c>
      <c r="B765" s="3">
        <v>45833</v>
      </c>
      <c r="C765" t="s">
        <v>66</v>
      </c>
      <c r="D765" t="s">
        <v>55</v>
      </c>
      <c r="E765" t="s">
        <v>67</v>
      </c>
      <c r="F765" t="s">
        <v>94</v>
      </c>
      <c r="G765" s="6">
        <v>2</v>
      </c>
      <c r="H765" s="4">
        <v>35.08</v>
      </c>
      <c r="I765" s="4">
        <v>17.18</v>
      </c>
      <c r="J765" s="5">
        <v>0</v>
      </c>
      <c r="K765" s="6">
        <v>1</v>
      </c>
      <c r="L765" s="6">
        <v>4</v>
      </c>
      <c r="M765" t="s">
        <v>126</v>
      </c>
      <c r="N765" t="s">
        <v>69</v>
      </c>
      <c r="O765" t="s">
        <v>73</v>
      </c>
      <c r="P765" t="str">
        <f t="shared" si="77"/>
        <v>Small Business</v>
      </c>
      <c r="Q765" t="str">
        <f t="shared" si="78"/>
        <v>South</v>
      </c>
      <c r="R765" t="str">
        <f>PROPER(TRIM(E765))</f>
        <v>Office</v>
      </c>
      <c r="S765" s="27">
        <f>IF(ISTEXT(B765),DATEVALUE(B765),B765)</f>
        <v>45833</v>
      </c>
      <c r="T765" s="27">
        <f>COUNTIF($A$2:$A$1986,A765)</f>
        <v>1</v>
      </c>
      <c r="U765" s="27" t="str">
        <f t="shared" si="79"/>
        <v>Wireless Mouse</v>
      </c>
      <c r="V765" s="27">
        <f t="shared" si="80"/>
        <v>70.16</v>
      </c>
      <c r="W765" s="27">
        <f t="shared" si="81"/>
        <v>34.36</v>
      </c>
      <c r="X765" s="27">
        <f>RawSalesTable3[[#This Row],[Revenue]]-RawSalesTable3[[#This Row],[Total_Cost]]</f>
        <v>35.799999999999997</v>
      </c>
      <c r="Y765" s="28">
        <f>RawSalesTable3[[#This Row],[Profit]]/RawSalesTable3[[#This Row],[Revenue]]</f>
        <v>0.51026225769669331</v>
      </c>
      <c r="Z765" s="27" t="str">
        <f>TEXT(RawSalesTable3[[#This Row],[Order_Date_Clean]],"MMM YYYY")</f>
        <v>Jun 2025</v>
      </c>
      <c r="AA765" s="27"/>
      <c r="AB765" s="27">
        <f t="shared" si="82"/>
        <v>0</v>
      </c>
      <c r="AC765" s="27">
        <f t="shared" si="83"/>
        <v>0</v>
      </c>
    </row>
    <row r="766" spans="1:29">
      <c r="A766" t="s">
        <v>866</v>
      </c>
      <c r="B766" s="3">
        <v>45709</v>
      </c>
      <c r="C766" t="s">
        <v>66</v>
      </c>
      <c r="D766" t="s">
        <v>55</v>
      </c>
      <c r="E766" t="s">
        <v>79</v>
      </c>
      <c r="F766" t="s">
        <v>85</v>
      </c>
      <c r="G766" s="6">
        <v>3</v>
      </c>
      <c r="H766" s="4">
        <v>126.58</v>
      </c>
      <c r="I766" s="4">
        <v>85.06</v>
      </c>
      <c r="J766" s="5">
        <v>0.05</v>
      </c>
      <c r="K766" s="6">
        <v>5</v>
      </c>
      <c r="L766" s="6">
        <v>4</v>
      </c>
      <c r="M766" t="s">
        <v>58</v>
      </c>
      <c r="N766" t="s">
        <v>59</v>
      </c>
      <c r="O766" t="s">
        <v>64</v>
      </c>
      <c r="P766" t="str">
        <f t="shared" si="77"/>
        <v>Small Business</v>
      </c>
      <c r="Q766" t="str">
        <f t="shared" si="78"/>
        <v>South</v>
      </c>
      <c r="R766" t="str">
        <f>PROPER(TRIM(E766))</f>
        <v>Electronics</v>
      </c>
      <c r="S766" s="27">
        <f>IF(ISTEXT(B766),DATEVALUE(B766),B766)</f>
        <v>45709</v>
      </c>
      <c r="T766" s="27">
        <f>COUNTIF($A$2:$A$1986,A766)</f>
        <v>1</v>
      </c>
      <c r="U766" s="27" t="str">
        <f t="shared" si="79"/>
        <v>SmartHome Hub</v>
      </c>
      <c r="V766" s="27">
        <f t="shared" si="80"/>
        <v>360.75299999999999</v>
      </c>
      <c r="W766" s="27">
        <f t="shared" si="81"/>
        <v>255.18</v>
      </c>
      <c r="X766" s="27">
        <f>RawSalesTable3[[#This Row],[Revenue]]-RawSalesTable3[[#This Row],[Total_Cost]]</f>
        <v>105.57299999999998</v>
      </c>
      <c r="Y766" s="28">
        <f>RawSalesTable3[[#This Row],[Profit]]/RawSalesTable3[[#This Row],[Revenue]]</f>
        <v>0.29264621500029103</v>
      </c>
      <c r="Z766" s="27" t="str">
        <f>TEXT(RawSalesTable3[[#This Row],[Order_Date_Clean]],"MMM YYYY")</f>
        <v>Feb 2025</v>
      </c>
      <c r="AA766" s="27"/>
      <c r="AB766" s="27">
        <f t="shared" si="82"/>
        <v>0</v>
      </c>
      <c r="AC766" s="27">
        <f t="shared" si="83"/>
        <v>0</v>
      </c>
    </row>
    <row r="767" spans="1:29">
      <c r="A767" t="s">
        <v>867</v>
      </c>
      <c r="B767" s="3">
        <v>45950</v>
      </c>
      <c r="C767" t="s">
        <v>66</v>
      </c>
      <c r="D767" t="s">
        <v>55</v>
      </c>
      <c r="E767" t="s">
        <v>75</v>
      </c>
      <c r="F767" t="s">
        <v>110</v>
      </c>
      <c r="G767" s="6">
        <v>1</v>
      </c>
      <c r="H767" s="4">
        <v>156.27000000000001</v>
      </c>
      <c r="I767" s="4">
        <v>105.73</v>
      </c>
      <c r="J767" s="5">
        <v>0.1</v>
      </c>
      <c r="K767" s="6">
        <v>1</v>
      </c>
      <c r="L767" s="6">
        <v>5</v>
      </c>
      <c r="M767" t="s">
        <v>58</v>
      </c>
      <c r="N767" t="s">
        <v>69</v>
      </c>
      <c r="O767" t="s">
        <v>64</v>
      </c>
      <c r="P767" t="str">
        <f t="shared" si="77"/>
        <v>Small Business</v>
      </c>
      <c r="Q767" t="str">
        <f t="shared" si="78"/>
        <v>South</v>
      </c>
      <c r="R767" t="str">
        <f>PROPER(TRIM(E767))</f>
        <v>Furniture</v>
      </c>
      <c r="S767" s="27">
        <f>IF(ISTEXT(B767),DATEVALUE(B767),B767)</f>
        <v>45950</v>
      </c>
      <c r="T767" s="27">
        <f>COUNTIF($A$2:$A$1986,A767)</f>
        <v>1</v>
      </c>
      <c r="U767" s="27" t="str">
        <f t="shared" si="79"/>
        <v>Storage Cabinet</v>
      </c>
      <c r="V767" s="27">
        <f t="shared" si="80"/>
        <v>140.643</v>
      </c>
      <c r="W767" s="27">
        <f t="shared" si="81"/>
        <v>105.73</v>
      </c>
      <c r="X767" s="27">
        <f>RawSalesTable3[[#This Row],[Revenue]]-RawSalesTable3[[#This Row],[Total_Cost]]</f>
        <v>34.912999999999997</v>
      </c>
      <c r="Y767" s="28">
        <f>RawSalesTable3[[#This Row],[Profit]]/RawSalesTable3[[#This Row],[Revenue]]</f>
        <v>0.24823844770091649</v>
      </c>
      <c r="Z767" s="27" t="str">
        <f>TEXT(RawSalesTable3[[#This Row],[Order_Date_Clean]],"MMM YYYY")</f>
        <v>Oct 2025</v>
      </c>
      <c r="AA767" s="27"/>
      <c r="AB767" s="27">
        <f t="shared" si="82"/>
        <v>0</v>
      </c>
      <c r="AC767" s="27">
        <f t="shared" si="83"/>
        <v>0</v>
      </c>
    </row>
    <row r="768" spans="1:29">
      <c r="A768" t="s">
        <v>868</v>
      </c>
      <c r="B768" s="3">
        <v>45986</v>
      </c>
      <c r="C768" t="s">
        <v>82</v>
      </c>
      <c r="D768" t="s">
        <v>55</v>
      </c>
      <c r="E768" t="s">
        <v>79</v>
      </c>
      <c r="F768" t="s">
        <v>80</v>
      </c>
      <c r="G768" s="6">
        <v>4</v>
      </c>
      <c r="H768" s="4">
        <v>74.89</v>
      </c>
      <c r="I768" s="4">
        <v>43.66</v>
      </c>
      <c r="J768" s="5">
        <v>0.1</v>
      </c>
      <c r="K768" s="6">
        <v>4</v>
      </c>
      <c r="L768" s="6">
        <v>4</v>
      </c>
      <c r="M768" t="s">
        <v>58</v>
      </c>
      <c r="N768" t="s">
        <v>59</v>
      </c>
      <c r="O768" t="s">
        <v>60</v>
      </c>
      <c r="P768" t="str">
        <f t="shared" si="77"/>
        <v>Small Business</v>
      </c>
      <c r="Q768" t="str">
        <f t="shared" si="78"/>
        <v>Midlands</v>
      </c>
      <c r="R768" t="str">
        <f>PROPER(TRIM(E768))</f>
        <v>Electronics</v>
      </c>
      <c r="S768" s="27">
        <f>IF(ISTEXT(B768),DATEVALUE(B768),B768)</f>
        <v>45986</v>
      </c>
      <c r="T768" s="27">
        <f>COUNTIF($A$2:$A$1986,A768)</f>
        <v>1</v>
      </c>
      <c r="U768" s="27" t="str">
        <f t="shared" si="79"/>
        <v>Portable Speaker</v>
      </c>
      <c r="V768" s="27">
        <f t="shared" si="80"/>
        <v>269.60399999999998</v>
      </c>
      <c r="W768" s="27">
        <f t="shared" si="81"/>
        <v>174.64</v>
      </c>
      <c r="X768" s="27">
        <f>RawSalesTable3[[#This Row],[Revenue]]-RawSalesTable3[[#This Row],[Total_Cost]]</f>
        <v>94.963999999999999</v>
      </c>
      <c r="Y768" s="28">
        <f>RawSalesTable3[[#This Row],[Profit]]/RawSalesTable3[[#This Row],[Revenue]]</f>
        <v>0.352235130042581</v>
      </c>
      <c r="Z768" s="27" t="str">
        <f>TEXT(RawSalesTable3[[#This Row],[Order_Date_Clean]],"MMM YYYY")</f>
        <v>Nov 2025</v>
      </c>
      <c r="AA768" s="27"/>
      <c r="AB768" s="27">
        <f t="shared" si="82"/>
        <v>0</v>
      </c>
      <c r="AC768" s="27">
        <f t="shared" si="83"/>
        <v>0</v>
      </c>
    </row>
    <row r="769" spans="1:29">
      <c r="A769" t="s">
        <v>869</v>
      </c>
      <c r="B769" s="3">
        <v>45862</v>
      </c>
      <c r="C769" t="s">
        <v>82</v>
      </c>
      <c r="D769" t="s">
        <v>62</v>
      </c>
      <c r="E769" t="s">
        <v>56</v>
      </c>
      <c r="F769" t="s">
        <v>63</v>
      </c>
      <c r="G769" s="6">
        <v>2</v>
      </c>
      <c r="H769" s="4">
        <v>39.549999999999997</v>
      </c>
      <c r="I769" s="4">
        <v>20.7</v>
      </c>
      <c r="J769" s="5">
        <v>0</v>
      </c>
      <c r="K769" s="6">
        <v>1</v>
      </c>
      <c r="L769" s="6">
        <v>5</v>
      </c>
      <c r="M769" t="s">
        <v>58</v>
      </c>
      <c r="N769" t="s">
        <v>69</v>
      </c>
      <c r="O769" t="s">
        <v>60</v>
      </c>
      <c r="P769" t="str">
        <f t="shared" si="77"/>
        <v>Individual</v>
      </c>
      <c r="Q769" t="str">
        <f t="shared" si="78"/>
        <v>Midlands</v>
      </c>
      <c r="R769" t="str">
        <f>PROPER(TRIM(E769))</f>
        <v>Home &amp; Kitchen</v>
      </c>
      <c r="S769" s="27">
        <f>IF(ISTEXT(B769),DATEVALUE(B769),B769)</f>
        <v>45862</v>
      </c>
      <c r="T769" s="27">
        <f>COUNTIF($A$2:$A$1986,A769)</f>
        <v>1</v>
      </c>
      <c r="U769" s="27" t="str">
        <f t="shared" si="79"/>
        <v>Electric Kettle</v>
      </c>
      <c r="V769" s="27">
        <f t="shared" si="80"/>
        <v>79.099999999999994</v>
      </c>
      <c r="W769" s="27">
        <f t="shared" si="81"/>
        <v>41.4</v>
      </c>
      <c r="X769" s="27">
        <f>RawSalesTable3[[#This Row],[Revenue]]-RawSalesTable3[[#This Row],[Total_Cost]]</f>
        <v>37.699999999999996</v>
      </c>
      <c r="Y769" s="28">
        <f>RawSalesTable3[[#This Row],[Profit]]/RawSalesTable3[[#This Row],[Revenue]]</f>
        <v>0.47661188369152968</v>
      </c>
      <c r="Z769" s="27" t="str">
        <f>TEXT(RawSalesTable3[[#This Row],[Order_Date_Clean]],"MMM YYYY")</f>
        <v>Jul 2025</v>
      </c>
      <c r="AA769" s="27"/>
      <c r="AB769" s="27">
        <f t="shared" si="82"/>
        <v>0</v>
      </c>
      <c r="AC769" s="27">
        <f t="shared" si="83"/>
        <v>0</v>
      </c>
    </row>
    <row r="770" spans="1:29">
      <c r="A770" t="s">
        <v>870</v>
      </c>
      <c r="B770" s="3">
        <v>45949</v>
      </c>
      <c r="C770" t="s">
        <v>54</v>
      </c>
      <c r="D770" t="s">
        <v>62</v>
      </c>
      <c r="E770" t="s">
        <v>67</v>
      </c>
      <c r="F770" t="s">
        <v>94</v>
      </c>
      <c r="G770" s="6">
        <v>2</v>
      </c>
      <c r="H770" s="4">
        <v>36.28</v>
      </c>
      <c r="I770" s="4">
        <v>17.809999999999999</v>
      </c>
      <c r="J770" s="5">
        <v>0.1</v>
      </c>
      <c r="K770" s="6">
        <v>2</v>
      </c>
      <c r="L770" s="6">
        <v>4</v>
      </c>
      <c r="M770" t="s">
        <v>58</v>
      </c>
      <c r="N770" t="s">
        <v>59</v>
      </c>
      <c r="O770" t="s">
        <v>64</v>
      </c>
      <c r="P770" t="str">
        <f t="shared" ref="P770:P833" si="84">IF(TRIM(D770)="","Unknow",PROPER(TRIM(D770)))</f>
        <v>Individual</v>
      </c>
      <c r="Q770" t="str">
        <f t="shared" ref="Q770:Q833" si="85">IF(PROPER(TRIM(C770))="Mid Lands","Midlands",PROPER(TRIM(C770)))</f>
        <v>North</v>
      </c>
      <c r="R770" t="str">
        <f>PROPER(TRIM(E770))</f>
        <v>Office</v>
      </c>
      <c r="S770" s="27">
        <f>IF(ISTEXT(B770),DATEVALUE(B770),B770)</f>
        <v>45949</v>
      </c>
      <c r="T770" s="27">
        <f>COUNTIF($A$2:$A$1986,A770)</f>
        <v>1</v>
      </c>
      <c r="U770" s="27" t="str">
        <f t="shared" ref="U770:U833" si="86">TRIM(F770)</f>
        <v>Wireless Mouse</v>
      </c>
      <c r="V770" s="27">
        <f t="shared" ref="V770:V833" si="87">G770*H770*(1-J770)</f>
        <v>65.304000000000002</v>
      </c>
      <c r="W770" s="27">
        <f t="shared" ref="W770:W833" si="88">G770*I770</f>
        <v>35.619999999999997</v>
      </c>
      <c r="X770" s="27">
        <f>RawSalesTable3[[#This Row],[Revenue]]-RawSalesTable3[[#This Row],[Total_Cost]]</f>
        <v>29.684000000000005</v>
      </c>
      <c r="Y770" s="28">
        <f>RawSalesTable3[[#This Row],[Profit]]/RawSalesTable3[[#This Row],[Revenue]]</f>
        <v>0.45455102290824456</v>
      </c>
      <c r="Z770" s="27" t="str">
        <f>TEXT(RawSalesTable3[[#This Row],[Order_Date_Clean]],"MMM YYYY")</f>
        <v>Oct 2025</v>
      </c>
      <c r="AA770" s="27"/>
      <c r="AB770" s="27">
        <f t="shared" ref="AB770:AB833" si="89">SUMIF($Z:$Z,AA770,$V:$V)</f>
        <v>0</v>
      </c>
      <c r="AC770" s="27">
        <f t="shared" ref="AC770:AC833" si="90">SUMIF($Z:$Z,AA770,$X:$X)</f>
        <v>0</v>
      </c>
    </row>
    <row r="771" spans="1:29">
      <c r="A771" t="s">
        <v>871</v>
      </c>
      <c r="B771" s="3">
        <v>45783</v>
      </c>
      <c r="C771" t="s">
        <v>54</v>
      </c>
      <c r="D771" t="s">
        <v>62</v>
      </c>
      <c r="E771" t="s">
        <v>67</v>
      </c>
      <c r="F771" t="s">
        <v>71</v>
      </c>
      <c r="G771" s="6">
        <v>1</v>
      </c>
      <c r="H771" s="4">
        <v>69.989999999999995</v>
      </c>
      <c r="I771" s="4">
        <v>38.4</v>
      </c>
      <c r="J771" s="5">
        <v>0.05</v>
      </c>
      <c r="K771" s="6">
        <v>2</v>
      </c>
      <c r="L771" s="6">
        <v>5</v>
      </c>
      <c r="M771" t="s">
        <v>58</v>
      </c>
      <c r="N771" t="s">
        <v>59</v>
      </c>
      <c r="O771" t="s">
        <v>64</v>
      </c>
      <c r="P771" t="str">
        <f t="shared" si="84"/>
        <v>Individual</v>
      </c>
      <c r="Q771" t="str">
        <f t="shared" si="85"/>
        <v>North</v>
      </c>
      <c r="R771" t="str">
        <f>PROPER(TRIM(E771))</f>
        <v>Office</v>
      </c>
      <c r="S771" s="27">
        <f>IF(ISTEXT(B771),DATEVALUE(B771),B771)</f>
        <v>45783</v>
      </c>
      <c r="T771" s="27">
        <f>COUNTIF($A$2:$A$1986,A771)</f>
        <v>1</v>
      </c>
      <c r="U771" s="27" t="str">
        <f t="shared" si="86"/>
        <v>Ergonomic Keyboard</v>
      </c>
      <c r="V771" s="27">
        <f t="shared" si="87"/>
        <v>66.490499999999997</v>
      </c>
      <c r="W771" s="27">
        <f t="shared" si="88"/>
        <v>38.4</v>
      </c>
      <c r="X771" s="27">
        <f>RawSalesTable3[[#This Row],[Revenue]]-RawSalesTable3[[#This Row],[Total_Cost]]</f>
        <v>28.090499999999999</v>
      </c>
      <c r="Y771" s="28">
        <f>RawSalesTable3[[#This Row],[Profit]]/RawSalesTable3[[#This Row],[Revenue]]</f>
        <v>0.42247388724705032</v>
      </c>
      <c r="Z771" s="27" t="str">
        <f>TEXT(RawSalesTable3[[#This Row],[Order_Date_Clean]],"MMM YYYY")</f>
        <v>May 2025</v>
      </c>
      <c r="AA771" s="27"/>
      <c r="AB771" s="27">
        <f t="shared" si="89"/>
        <v>0</v>
      </c>
      <c r="AC771" s="27">
        <f t="shared" si="90"/>
        <v>0</v>
      </c>
    </row>
    <row r="772" spans="1:29">
      <c r="A772" t="s">
        <v>872</v>
      </c>
      <c r="B772" s="3">
        <v>45931</v>
      </c>
      <c r="C772" t="s">
        <v>66</v>
      </c>
      <c r="D772" t="s">
        <v>62</v>
      </c>
      <c r="E772" t="s">
        <v>79</v>
      </c>
      <c r="F772" t="s">
        <v>80</v>
      </c>
      <c r="G772" s="6">
        <v>3</v>
      </c>
      <c r="H772" s="4">
        <v>74.16</v>
      </c>
      <c r="I772" s="4">
        <v>44.45</v>
      </c>
      <c r="J772" s="5">
        <v>0.15000000000000002</v>
      </c>
      <c r="K772" s="6">
        <v>0</v>
      </c>
      <c r="L772" s="6">
        <v>5</v>
      </c>
      <c r="M772" t="s">
        <v>58</v>
      </c>
      <c r="N772" t="s">
        <v>69</v>
      </c>
      <c r="O772" t="s">
        <v>60</v>
      </c>
      <c r="P772" t="str">
        <f t="shared" si="84"/>
        <v>Individual</v>
      </c>
      <c r="Q772" t="str">
        <f t="shared" si="85"/>
        <v>South</v>
      </c>
      <c r="R772" t="str">
        <f>PROPER(TRIM(E772))</f>
        <v>Electronics</v>
      </c>
      <c r="S772" s="27">
        <f>IF(ISTEXT(B772),DATEVALUE(B772),B772)</f>
        <v>45931</v>
      </c>
      <c r="T772" s="27">
        <f>COUNTIF($A$2:$A$1986,A772)</f>
        <v>1</v>
      </c>
      <c r="U772" s="27" t="str">
        <f t="shared" si="86"/>
        <v>Portable Speaker</v>
      </c>
      <c r="V772" s="27">
        <f t="shared" si="87"/>
        <v>189.10799999999998</v>
      </c>
      <c r="W772" s="27">
        <f t="shared" si="88"/>
        <v>133.35000000000002</v>
      </c>
      <c r="X772" s="27">
        <f>RawSalesTable3[[#This Row],[Revenue]]-RawSalesTable3[[#This Row],[Total_Cost]]</f>
        <v>55.757999999999953</v>
      </c>
      <c r="Y772" s="28">
        <f>RawSalesTable3[[#This Row],[Profit]]/RawSalesTable3[[#This Row],[Revenue]]</f>
        <v>0.29484738879370498</v>
      </c>
      <c r="Z772" s="27" t="str">
        <f>TEXT(RawSalesTable3[[#This Row],[Order_Date_Clean]],"MMM YYYY")</f>
        <v>Oct 2025</v>
      </c>
      <c r="AA772" s="27"/>
      <c r="AB772" s="27">
        <f t="shared" si="89"/>
        <v>0</v>
      </c>
      <c r="AC772" s="27">
        <f t="shared" si="90"/>
        <v>0</v>
      </c>
    </row>
    <row r="773" spans="1:29">
      <c r="A773" t="s">
        <v>873</v>
      </c>
      <c r="B773" s="3">
        <v>45867</v>
      </c>
      <c r="C773" t="s">
        <v>82</v>
      </c>
      <c r="D773" t="s">
        <v>62</v>
      </c>
      <c r="E773" t="s">
        <v>75</v>
      </c>
      <c r="F773" t="s">
        <v>76</v>
      </c>
      <c r="G773" s="6">
        <v>1</v>
      </c>
      <c r="H773" s="4">
        <v>119.05</v>
      </c>
      <c r="I773" s="4">
        <v>71.709999999999994</v>
      </c>
      <c r="J773" s="5">
        <v>0</v>
      </c>
      <c r="K773" s="6">
        <v>5</v>
      </c>
      <c r="L773" s="6">
        <v>5</v>
      </c>
      <c r="M773" t="s">
        <v>58</v>
      </c>
      <c r="N773" t="s">
        <v>59</v>
      </c>
      <c r="O773" t="s">
        <v>64</v>
      </c>
      <c r="P773" t="str">
        <f t="shared" si="84"/>
        <v>Individual</v>
      </c>
      <c r="Q773" t="str">
        <f t="shared" si="85"/>
        <v>Midlands</v>
      </c>
      <c r="R773" t="str">
        <f>PROPER(TRIM(E773))</f>
        <v>Furniture</v>
      </c>
      <c r="S773" s="27">
        <f>IF(ISTEXT(B773),DATEVALUE(B773),B773)</f>
        <v>45867</v>
      </c>
      <c r="T773" s="27">
        <f>COUNTIF($A$2:$A$1986,A773)</f>
        <v>1</v>
      </c>
      <c r="U773" s="27" t="str">
        <f t="shared" si="86"/>
        <v>Bookshelf</v>
      </c>
      <c r="V773" s="27">
        <f t="shared" si="87"/>
        <v>119.05</v>
      </c>
      <c r="W773" s="27">
        <f t="shared" si="88"/>
        <v>71.709999999999994</v>
      </c>
      <c r="X773" s="27">
        <f>RawSalesTable3[[#This Row],[Revenue]]-RawSalesTable3[[#This Row],[Total_Cost]]</f>
        <v>47.34</v>
      </c>
      <c r="Y773" s="28">
        <f>RawSalesTable3[[#This Row],[Profit]]/RawSalesTable3[[#This Row],[Revenue]]</f>
        <v>0.39764804703905926</v>
      </c>
      <c r="Z773" s="27" t="str">
        <f>TEXT(RawSalesTable3[[#This Row],[Order_Date_Clean]],"MMM YYYY")</f>
        <v>Jul 2025</v>
      </c>
      <c r="AA773" s="27"/>
      <c r="AB773" s="27">
        <f t="shared" si="89"/>
        <v>0</v>
      </c>
      <c r="AC773" s="27">
        <f t="shared" si="90"/>
        <v>0</v>
      </c>
    </row>
    <row r="774" spans="1:29">
      <c r="A774" t="s">
        <v>874</v>
      </c>
      <c r="B774" s="3">
        <v>45889</v>
      </c>
      <c r="C774" t="s">
        <v>66</v>
      </c>
      <c r="D774" t="s">
        <v>62</v>
      </c>
      <c r="E774" t="s">
        <v>75</v>
      </c>
      <c r="F774" t="s">
        <v>97</v>
      </c>
      <c r="G774" s="6">
        <v>2</v>
      </c>
      <c r="H774" s="4">
        <v>93.42</v>
      </c>
      <c r="I774" s="4">
        <v>54.95</v>
      </c>
      <c r="J774" s="5">
        <v>0.2</v>
      </c>
      <c r="K774" s="6">
        <v>1</v>
      </c>
      <c r="L774" s="6">
        <v>4</v>
      </c>
      <c r="M774" t="s">
        <v>58</v>
      </c>
      <c r="N774" t="s">
        <v>69</v>
      </c>
      <c r="O774" t="s">
        <v>73</v>
      </c>
      <c r="P774" t="str">
        <f t="shared" si="84"/>
        <v>Individual</v>
      </c>
      <c r="Q774" t="str">
        <f t="shared" si="85"/>
        <v>South</v>
      </c>
      <c r="R774" t="str">
        <f>PROPER(TRIM(E774))</f>
        <v>Furniture</v>
      </c>
      <c r="S774" s="27">
        <f>IF(ISTEXT(B774),DATEVALUE(B774),B774)</f>
        <v>45889</v>
      </c>
      <c r="T774" s="27">
        <f>COUNTIF($A$2:$A$1986,A774)</f>
        <v>1</v>
      </c>
      <c r="U774" s="27" t="str">
        <f t="shared" si="86"/>
        <v>Side Table</v>
      </c>
      <c r="V774" s="27">
        <f t="shared" si="87"/>
        <v>149.47200000000001</v>
      </c>
      <c r="W774" s="27">
        <f t="shared" si="88"/>
        <v>109.9</v>
      </c>
      <c r="X774" s="27">
        <f>RawSalesTable3[[#This Row],[Revenue]]-RawSalesTable3[[#This Row],[Total_Cost]]</f>
        <v>39.572000000000003</v>
      </c>
      <c r="Y774" s="28">
        <f>RawSalesTable3[[#This Row],[Profit]]/RawSalesTable3[[#This Row],[Revenue]]</f>
        <v>0.26474523656604582</v>
      </c>
      <c r="Z774" s="27" t="str">
        <f>TEXT(RawSalesTable3[[#This Row],[Order_Date_Clean]],"MMM YYYY")</f>
        <v>Aug 2025</v>
      </c>
      <c r="AA774" s="27"/>
      <c r="AB774" s="27">
        <f t="shared" si="89"/>
        <v>0</v>
      </c>
      <c r="AC774" s="27">
        <f t="shared" si="90"/>
        <v>0</v>
      </c>
    </row>
    <row r="775" spans="1:29">
      <c r="A775" t="s">
        <v>875</v>
      </c>
      <c r="B775" s="3">
        <v>45856</v>
      </c>
      <c r="C775" t="s">
        <v>66</v>
      </c>
      <c r="D775" t="s">
        <v>55</v>
      </c>
      <c r="E775" t="s">
        <v>56</v>
      </c>
      <c r="F775" t="s">
        <v>63</v>
      </c>
      <c r="G775" s="6">
        <v>1</v>
      </c>
      <c r="H775" s="4">
        <v>38.97</v>
      </c>
      <c r="I775" s="4">
        <v>20.98</v>
      </c>
      <c r="J775" s="5">
        <v>0.1</v>
      </c>
      <c r="K775" s="6">
        <v>5</v>
      </c>
      <c r="L775" s="6">
        <v>4</v>
      </c>
      <c r="M775" t="s">
        <v>58</v>
      </c>
      <c r="N775" t="s">
        <v>87</v>
      </c>
      <c r="O775" t="s">
        <v>64</v>
      </c>
      <c r="P775" t="str">
        <f t="shared" si="84"/>
        <v>Small Business</v>
      </c>
      <c r="Q775" t="str">
        <f t="shared" si="85"/>
        <v>South</v>
      </c>
      <c r="R775" t="str">
        <f>PROPER(TRIM(E775))</f>
        <v>Home &amp; Kitchen</v>
      </c>
      <c r="S775" s="27">
        <f>IF(ISTEXT(B775),DATEVALUE(B775),B775)</f>
        <v>45856</v>
      </c>
      <c r="T775" s="27">
        <f>COUNTIF($A$2:$A$1986,A775)</f>
        <v>1</v>
      </c>
      <c r="U775" s="27" t="str">
        <f t="shared" si="86"/>
        <v>Electric Kettle</v>
      </c>
      <c r="V775" s="27">
        <f t="shared" si="87"/>
        <v>35.073</v>
      </c>
      <c r="W775" s="27">
        <f t="shared" si="88"/>
        <v>20.98</v>
      </c>
      <c r="X775" s="27">
        <f>RawSalesTable3[[#This Row],[Revenue]]-RawSalesTable3[[#This Row],[Total_Cost]]</f>
        <v>14.093</v>
      </c>
      <c r="Y775" s="28">
        <f>RawSalesTable3[[#This Row],[Profit]]/RawSalesTable3[[#This Row],[Revenue]]</f>
        <v>0.40181906309696919</v>
      </c>
      <c r="Z775" s="27" t="str">
        <f>TEXT(RawSalesTable3[[#This Row],[Order_Date_Clean]],"MMM YYYY")</f>
        <v>Jul 2025</v>
      </c>
      <c r="AA775" s="27"/>
      <c r="AB775" s="27">
        <f t="shared" si="89"/>
        <v>0</v>
      </c>
      <c r="AC775" s="27">
        <f t="shared" si="90"/>
        <v>0</v>
      </c>
    </row>
    <row r="776" spans="1:29">
      <c r="A776" t="s">
        <v>876</v>
      </c>
      <c r="B776" s="3">
        <v>46000</v>
      </c>
      <c r="C776" t="s">
        <v>54</v>
      </c>
      <c r="D776" t="s">
        <v>62</v>
      </c>
      <c r="E776" t="s">
        <v>75</v>
      </c>
      <c r="F776" t="s">
        <v>110</v>
      </c>
      <c r="G776" s="6">
        <v>2</v>
      </c>
      <c r="H776" s="4">
        <v>157.84</v>
      </c>
      <c r="I776" s="4">
        <v>103.48</v>
      </c>
      <c r="J776" s="5">
        <v>0.05</v>
      </c>
      <c r="K776" s="6">
        <v>6</v>
      </c>
      <c r="L776" s="6">
        <v>3</v>
      </c>
      <c r="M776" t="s">
        <v>58</v>
      </c>
      <c r="N776" t="s">
        <v>59</v>
      </c>
      <c r="O776" t="s">
        <v>60</v>
      </c>
      <c r="P776" t="str">
        <f t="shared" si="84"/>
        <v>Individual</v>
      </c>
      <c r="Q776" t="str">
        <f t="shared" si="85"/>
        <v>North</v>
      </c>
      <c r="R776" t="str">
        <f>PROPER(TRIM(E776))</f>
        <v>Furniture</v>
      </c>
      <c r="S776" s="27">
        <f>IF(ISTEXT(B776),DATEVALUE(B776),B776)</f>
        <v>46000</v>
      </c>
      <c r="T776" s="27">
        <f>COUNTIF($A$2:$A$1986,A776)</f>
        <v>1</v>
      </c>
      <c r="U776" s="27" t="str">
        <f t="shared" si="86"/>
        <v>Storage Cabinet</v>
      </c>
      <c r="V776" s="27">
        <f t="shared" si="87"/>
        <v>299.89600000000002</v>
      </c>
      <c r="W776" s="27">
        <f t="shared" si="88"/>
        <v>206.96</v>
      </c>
      <c r="X776" s="27">
        <f>RawSalesTable3[[#This Row],[Revenue]]-RawSalesTable3[[#This Row],[Total_Cost]]</f>
        <v>92.936000000000007</v>
      </c>
      <c r="Y776" s="28">
        <f>RawSalesTable3[[#This Row],[Profit]]/RawSalesTable3[[#This Row],[Revenue]]</f>
        <v>0.30989409662016165</v>
      </c>
      <c r="Z776" s="27" t="str">
        <f>TEXT(RawSalesTable3[[#This Row],[Order_Date_Clean]],"MMM YYYY")</f>
        <v>Dec 2025</v>
      </c>
      <c r="AA776" s="27"/>
      <c r="AB776" s="27">
        <f t="shared" si="89"/>
        <v>0</v>
      </c>
      <c r="AC776" s="27">
        <f t="shared" si="90"/>
        <v>0</v>
      </c>
    </row>
    <row r="777" spans="1:29">
      <c r="A777" t="s">
        <v>877</v>
      </c>
      <c r="B777" s="3">
        <v>45944</v>
      </c>
      <c r="C777" t="s">
        <v>54</v>
      </c>
      <c r="D777" t="s">
        <v>62</v>
      </c>
      <c r="E777" t="s">
        <v>56</v>
      </c>
      <c r="F777" t="s">
        <v>57</v>
      </c>
      <c r="G777" s="6">
        <v>2</v>
      </c>
      <c r="H777" s="4">
        <v>108.53</v>
      </c>
      <c r="I777" s="4">
        <v>67.16</v>
      </c>
      <c r="J777" s="5">
        <v>0</v>
      </c>
      <c r="K777" s="6">
        <v>7</v>
      </c>
      <c r="L777" s="6">
        <v>4</v>
      </c>
      <c r="M777" t="s">
        <v>58</v>
      </c>
      <c r="N777" t="s">
        <v>59</v>
      </c>
      <c r="O777" t="s">
        <v>64</v>
      </c>
      <c r="P777" t="str">
        <f t="shared" si="84"/>
        <v>Individual</v>
      </c>
      <c r="Q777" t="str">
        <f t="shared" si="85"/>
        <v>North</v>
      </c>
      <c r="R777" t="str">
        <f>PROPER(TRIM(E777))</f>
        <v>Home &amp; Kitchen</v>
      </c>
      <c r="S777" s="27">
        <f>IF(ISTEXT(B777),DATEVALUE(B777),B777)</f>
        <v>45944</v>
      </c>
      <c r="T777" s="27">
        <f>COUNTIF($A$2:$A$1986,A777)</f>
        <v>1</v>
      </c>
      <c r="U777" s="27" t="str">
        <f t="shared" si="86"/>
        <v>Air Fryer</v>
      </c>
      <c r="V777" s="27">
        <f t="shared" si="87"/>
        <v>217.06</v>
      </c>
      <c r="W777" s="27">
        <f t="shared" si="88"/>
        <v>134.32</v>
      </c>
      <c r="X777" s="27">
        <f>RawSalesTable3[[#This Row],[Revenue]]-RawSalesTable3[[#This Row],[Total_Cost]]</f>
        <v>82.740000000000009</v>
      </c>
      <c r="Y777" s="28">
        <f>RawSalesTable3[[#This Row],[Profit]]/RawSalesTable3[[#This Row],[Revenue]]</f>
        <v>0.38118492582696034</v>
      </c>
      <c r="Z777" s="27" t="str">
        <f>TEXT(RawSalesTable3[[#This Row],[Order_Date_Clean]],"MMM YYYY")</f>
        <v>Oct 2025</v>
      </c>
      <c r="AA777" s="27"/>
      <c r="AB777" s="27">
        <f t="shared" si="89"/>
        <v>0</v>
      </c>
      <c r="AC777" s="27">
        <f t="shared" si="90"/>
        <v>0</v>
      </c>
    </row>
    <row r="778" spans="1:29">
      <c r="A778" t="s">
        <v>878</v>
      </c>
      <c r="B778" s="3">
        <v>46015</v>
      </c>
      <c r="C778" t="s">
        <v>66</v>
      </c>
      <c r="D778" t="s">
        <v>62</v>
      </c>
      <c r="E778" t="s">
        <v>79</v>
      </c>
      <c r="F778" t="s">
        <v>80</v>
      </c>
      <c r="G778" s="6">
        <v>1</v>
      </c>
      <c r="H778" s="4">
        <v>75</v>
      </c>
      <c r="I778" s="4">
        <v>43.65</v>
      </c>
      <c r="J778" s="5">
        <v>0.2</v>
      </c>
      <c r="K778" s="6">
        <v>2</v>
      </c>
      <c r="L778" s="6">
        <v>5</v>
      </c>
      <c r="M778" t="s">
        <v>58</v>
      </c>
      <c r="N778" t="s">
        <v>69</v>
      </c>
      <c r="O778" t="s">
        <v>64</v>
      </c>
      <c r="P778" t="str">
        <f t="shared" si="84"/>
        <v>Individual</v>
      </c>
      <c r="Q778" t="str">
        <f t="shared" si="85"/>
        <v>South</v>
      </c>
      <c r="R778" t="str">
        <f>PROPER(TRIM(E778))</f>
        <v>Electronics</v>
      </c>
      <c r="S778" s="27">
        <f>IF(ISTEXT(B778),DATEVALUE(B778),B778)</f>
        <v>46015</v>
      </c>
      <c r="T778" s="27">
        <f>COUNTIF($A$2:$A$1986,A778)</f>
        <v>1</v>
      </c>
      <c r="U778" s="27" t="str">
        <f t="shared" si="86"/>
        <v>Portable Speaker</v>
      </c>
      <c r="V778" s="27">
        <f t="shared" si="87"/>
        <v>60</v>
      </c>
      <c r="W778" s="27">
        <f t="shared" si="88"/>
        <v>43.65</v>
      </c>
      <c r="X778" s="27">
        <f>RawSalesTable3[[#This Row],[Revenue]]-RawSalesTable3[[#This Row],[Total_Cost]]</f>
        <v>16.350000000000001</v>
      </c>
      <c r="Y778" s="28">
        <f>RawSalesTable3[[#This Row],[Profit]]/RawSalesTable3[[#This Row],[Revenue]]</f>
        <v>0.27250000000000002</v>
      </c>
      <c r="Z778" s="27" t="str">
        <f>TEXT(RawSalesTable3[[#This Row],[Order_Date_Clean]],"MMM YYYY")</f>
        <v>Dec 2025</v>
      </c>
      <c r="AA778" s="27"/>
      <c r="AB778" s="27">
        <f t="shared" si="89"/>
        <v>0</v>
      </c>
      <c r="AC778" s="27">
        <f t="shared" si="90"/>
        <v>0</v>
      </c>
    </row>
    <row r="779" spans="1:29">
      <c r="A779" t="s">
        <v>879</v>
      </c>
      <c r="B779" s="3">
        <v>45912</v>
      </c>
      <c r="C779" t="s">
        <v>78</v>
      </c>
      <c r="D779" t="s">
        <v>62</v>
      </c>
      <c r="E779" t="s">
        <v>79</v>
      </c>
      <c r="F779" t="s">
        <v>85</v>
      </c>
      <c r="G779" s="6">
        <v>3</v>
      </c>
      <c r="H779" s="4">
        <v>130.33000000000001</v>
      </c>
      <c r="I779" s="4">
        <v>86.54</v>
      </c>
      <c r="J779" s="5">
        <v>0.1</v>
      </c>
      <c r="K779" s="6">
        <v>5</v>
      </c>
      <c r="L779" s="6">
        <v>3</v>
      </c>
      <c r="M779" t="s">
        <v>126</v>
      </c>
      <c r="N779" t="s">
        <v>59</v>
      </c>
      <c r="O779" t="s">
        <v>64</v>
      </c>
      <c r="P779" t="str">
        <f t="shared" si="84"/>
        <v>Individual</v>
      </c>
      <c r="Q779" t="str">
        <f t="shared" si="85"/>
        <v>London</v>
      </c>
      <c r="R779" t="str">
        <f>PROPER(TRIM(E779))</f>
        <v>Electronics</v>
      </c>
      <c r="S779" s="27">
        <f>IF(ISTEXT(B779),DATEVALUE(B779),B779)</f>
        <v>45912</v>
      </c>
      <c r="T779" s="27">
        <f>COUNTIF($A$2:$A$1986,A779)</f>
        <v>1</v>
      </c>
      <c r="U779" s="27" t="str">
        <f t="shared" si="86"/>
        <v>SmartHome Hub</v>
      </c>
      <c r="V779" s="27">
        <f t="shared" si="87"/>
        <v>351.89100000000002</v>
      </c>
      <c r="W779" s="27">
        <f t="shared" si="88"/>
        <v>259.62</v>
      </c>
      <c r="X779" s="27">
        <f>RawSalesTable3[[#This Row],[Revenue]]-RawSalesTable3[[#This Row],[Total_Cost]]</f>
        <v>92.271000000000015</v>
      </c>
      <c r="Y779" s="28">
        <f>RawSalesTable3[[#This Row],[Profit]]/RawSalesTable3[[#This Row],[Revenue]]</f>
        <v>0.2622147198990597</v>
      </c>
      <c r="Z779" s="27" t="str">
        <f>TEXT(RawSalesTable3[[#This Row],[Order_Date_Clean]],"MMM YYYY")</f>
        <v>Sep 2025</v>
      </c>
      <c r="AA779" s="27"/>
      <c r="AB779" s="27">
        <f t="shared" si="89"/>
        <v>0</v>
      </c>
      <c r="AC779" s="27">
        <f t="shared" si="90"/>
        <v>0</v>
      </c>
    </row>
    <row r="780" spans="1:29">
      <c r="A780" t="s">
        <v>880</v>
      </c>
      <c r="B780" s="3">
        <v>45990</v>
      </c>
      <c r="C780" t="s">
        <v>54</v>
      </c>
      <c r="D780" t="s">
        <v>55</v>
      </c>
      <c r="E780" t="s">
        <v>79</v>
      </c>
      <c r="F780" t="s">
        <v>85</v>
      </c>
      <c r="G780" s="6">
        <v>2</v>
      </c>
      <c r="H780" s="4">
        <v>129.29</v>
      </c>
      <c r="I780" s="4">
        <v>87.89</v>
      </c>
      <c r="J780" s="5">
        <v>0.15000000000000002</v>
      </c>
      <c r="K780" s="6">
        <v>0</v>
      </c>
      <c r="L780" s="6">
        <v>4</v>
      </c>
      <c r="M780" t="s">
        <v>58</v>
      </c>
      <c r="N780" t="s">
        <v>69</v>
      </c>
      <c r="O780" t="s">
        <v>60</v>
      </c>
      <c r="P780" t="str">
        <f t="shared" si="84"/>
        <v>Small Business</v>
      </c>
      <c r="Q780" t="str">
        <f t="shared" si="85"/>
        <v>North</v>
      </c>
      <c r="R780" t="str">
        <f>PROPER(TRIM(E780))</f>
        <v>Electronics</v>
      </c>
      <c r="S780" s="27">
        <f>IF(ISTEXT(B780),DATEVALUE(B780),B780)</f>
        <v>45990</v>
      </c>
      <c r="T780" s="27">
        <f>COUNTIF($A$2:$A$1986,A780)</f>
        <v>1</v>
      </c>
      <c r="U780" s="27" t="str">
        <f t="shared" si="86"/>
        <v>SmartHome Hub</v>
      </c>
      <c r="V780" s="27">
        <f t="shared" si="87"/>
        <v>219.79299999999998</v>
      </c>
      <c r="W780" s="27">
        <f t="shared" si="88"/>
        <v>175.78</v>
      </c>
      <c r="X780" s="27">
        <f>RawSalesTable3[[#This Row],[Revenue]]-RawSalesTable3[[#This Row],[Total_Cost]]</f>
        <v>44.012999999999977</v>
      </c>
      <c r="Y780" s="28">
        <f>RawSalesTable3[[#This Row],[Profit]]/RawSalesTable3[[#This Row],[Revenue]]</f>
        <v>0.20024750560754884</v>
      </c>
      <c r="Z780" s="27" t="str">
        <f>TEXT(RawSalesTable3[[#This Row],[Order_Date_Clean]],"MMM YYYY")</f>
        <v>Nov 2025</v>
      </c>
      <c r="AA780" s="27"/>
      <c r="AB780" s="27">
        <f t="shared" si="89"/>
        <v>0</v>
      </c>
      <c r="AC780" s="27">
        <f t="shared" si="90"/>
        <v>0</v>
      </c>
    </row>
    <row r="781" spans="1:29">
      <c r="A781" t="s">
        <v>881</v>
      </c>
      <c r="B781" s="3">
        <v>46006</v>
      </c>
      <c r="C781" t="s">
        <v>66</v>
      </c>
      <c r="D781" t="s">
        <v>62</v>
      </c>
      <c r="E781" t="s">
        <v>56</v>
      </c>
      <c r="F781" t="s">
        <v>63</v>
      </c>
      <c r="G781" s="6">
        <v>2</v>
      </c>
      <c r="H781" s="4">
        <v>40.94</v>
      </c>
      <c r="I781" s="4">
        <v>20.96</v>
      </c>
      <c r="J781" s="5">
        <v>0.1</v>
      </c>
      <c r="K781" s="6">
        <v>2</v>
      </c>
      <c r="L781" s="6">
        <v>3</v>
      </c>
      <c r="M781" t="s">
        <v>126</v>
      </c>
      <c r="N781" t="s">
        <v>69</v>
      </c>
      <c r="O781" t="s">
        <v>60</v>
      </c>
      <c r="P781" t="str">
        <f t="shared" si="84"/>
        <v>Individual</v>
      </c>
      <c r="Q781" t="str">
        <f t="shared" si="85"/>
        <v>South</v>
      </c>
      <c r="R781" t="str">
        <f>PROPER(TRIM(E781))</f>
        <v>Home &amp; Kitchen</v>
      </c>
      <c r="S781" s="27">
        <f>IF(ISTEXT(B781),DATEVALUE(B781),B781)</f>
        <v>46006</v>
      </c>
      <c r="T781" s="27">
        <f>COUNTIF($A$2:$A$1986,A781)</f>
        <v>1</v>
      </c>
      <c r="U781" s="27" t="str">
        <f t="shared" si="86"/>
        <v>Electric Kettle</v>
      </c>
      <c r="V781" s="27">
        <f t="shared" si="87"/>
        <v>73.691999999999993</v>
      </c>
      <c r="W781" s="27">
        <f t="shared" si="88"/>
        <v>41.92</v>
      </c>
      <c r="X781" s="27">
        <f>RawSalesTable3[[#This Row],[Revenue]]-RawSalesTable3[[#This Row],[Total_Cost]]</f>
        <v>31.771999999999991</v>
      </c>
      <c r="Y781" s="28">
        <f>RawSalesTable3[[#This Row],[Profit]]/RawSalesTable3[[#This Row],[Revenue]]</f>
        <v>0.43114585029582581</v>
      </c>
      <c r="Z781" s="27" t="str">
        <f>TEXT(RawSalesTable3[[#This Row],[Order_Date_Clean]],"MMM YYYY")</f>
        <v>Dec 2025</v>
      </c>
      <c r="AA781" s="27"/>
      <c r="AB781" s="27">
        <f t="shared" si="89"/>
        <v>0</v>
      </c>
      <c r="AC781" s="27">
        <f t="shared" si="90"/>
        <v>0</v>
      </c>
    </row>
    <row r="782" spans="1:29">
      <c r="A782" t="s">
        <v>882</v>
      </c>
      <c r="B782" s="3">
        <v>46004</v>
      </c>
      <c r="C782" t="s">
        <v>54</v>
      </c>
      <c r="D782" t="s">
        <v>129</v>
      </c>
      <c r="E782" t="s">
        <v>79</v>
      </c>
      <c r="F782" t="s">
        <v>85</v>
      </c>
      <c r="G782" s="6">
        <v>4</v>
      </c>
      <c r="H782" s="4">
        <v>130.38999999999999</v>
      </c>
      <c r="I782" s="4">
        <v>82.03</v>
      </c>
      <c r="J782" s="5">
        <v>0.1</v>
      </c>
      <c r="K782" s="6">
        <v>4</v>
      </c>
      <c r="L782" s="6">
        <v>3</v>
      </c>
      <c r="M782" t="s">
        <v>126</v>
      </c>
      <c r="N782" t="s">
        <v>59</v>
      </c>
      <c r="O782" t="s">
        <v>73</v>
      </c>
      <c r="P782" t="str">
        <f t="shared" si="84"/>
        <v>Corporate</v>
      </c>
      <c r="Q782" t="str">
        <f t="shared" si="85"/>
        <v>North</v>
      </c>
      <c r="R782" t="str">
        <f>PROPER(TRIM(E782))</f>
        <v>Electronics</v>
      </c>
      <c r="S782" s="27">
        <f>IF(ISTEXT(B782),DATEVALUE(B782),B782)</f>
        <v>46004</v>
      </c>
      <c r="T782" s="27">
        <f>COUNTIF($A$2:$A$1986,A782)</f>
        <v>1</v>
      </c>
      <c r="U782" s="27" t="str">
        <f t="shared" si="86"/>
        <v>SmartHome Hub</v>
      </c>
      <c r="V782" s="27">
        <f t="shared" si="87"/>
        <v>469.40399999999994</v>
      </c>
      <c r="W782" s="27">
        <f t="shared" si="88"/>
        <v>328.12</v>
      </c>
      <c r="X782" s="27">
        <f>RawSalesTable3[[#This Row],[Revenue]]-RawSalesTable3[[#This Row],[Total_Cost]]</f>
        <v>141.28399999999993</v>
      </c>
      <c r="Y782" s="28">
        <f>RawSalesTable3[[#This Row],[Profit]]/RawSalesTable3[[#This Row],[Revenue]]</f>
        <v>0.30098593109560201</v>
      </c>
      <c r="Z782" s="27" t="str">
        <f>TEXT(RawSalesTable3[[#This Row],[Order_Date_Clean]],"MMM YYYY")</f>
        <v>Dec 2025</v>
      </c>
      <c r="AA782" s="27"/>
      <c r="AB782" s="27">
        <f t="shared" si="89"/>
        <v>0</v>
      </c>
      <c r="AC782" s="27">
        <f t="shared" si="90"/>
        <v>0</v>
      </c>
    </row>
    <row r="783" spans="1:29">
      <c r="A783" t="s">
        <v>883</v>
      </c>
      <c r="B783" s="3">
        <v>45831</v>
      </c>
      <c r="C783" t="s">
        <v>54</v>
      </c>
      <c r="D783" t="s">
        <v>62</v>
      </c>
      <c r="E783" t="s">
        <v>75</v>
      </c>
      <c r="F783" t="s">
        <v>97</v>
      </c>
      <c r="G783" s="6">
        <v>1</v>
      </c>
      <c r="H783" s="4">
        <v>93.57</v>
      </c>
      <c r="I783" s="4">
        <v>52.81</v>
      </c>
      <c r="J783" s="5">
        <v>0</v>
      </c>
      <c r="K783" s="6">
        <v>2</v>
      </c>
      <c r="L783" s="6">
        <v>4</v>
      </c>
      <c r="M783" t="s">
        <v>58</v>
      </c>
      <c r="N783" t="s">
        <v>69</v>
      </c>
      <c r="O783" t="s">
        <v>64</v>
      </c>
      <c r="P783" t="str">
        <f t="shared" si="84"/>
        <v>Individual</v>
      </c>
      <c r="Q783" t="str">
        <f t="shared" si="85"/>
        <v>North</v>
      </c>
      <c r="R783" t="str">
        <f>PROPER(TRIM(E783))</f>
        <v>Furniture</v>
      </c>
      <c r="S783" s="27">
        <f>IF(ISTEXT(B783),DATEVALUE(B783),B783)</f>
        <v>45831</v>
      </c>
      <c r="T783" s="27">
        <f>COUNTIF($A$2:$A$1986,A783)</f>
        <v>1</v>
      </c>
      <c r="U783" s="27" t="str">
        <f t="shared" si="86"/>
        <v>Side Table</v>
      </c>
      <c r="V783" s="27">
        <f t="shared" si="87"/>
        <v>93.57</v>
      </c>
      <c r="W783" s="27">
        <f t="shared" si="88"/>
        <v>52.81</v>
      </c>
      <c r="X783" s="27">
        <f>RawSalesTable3[[#This Row],[Revenue]]-RawSalesTable3[[#This Row],[Total_Cost]]</f>
        <v>40.759999999999991</v>
      </c>
      <c r="Y783" s="28">
        <f>RawSalesTable3[[#This Row],[Profit]]/RawSalesTable3[[#This Row],[Revenue]]</f>
        <v>0.43560970396494597</v>
      </c>
      <c r="Z783" s="27" t="str">
        <f>TEXT(RawSalesTable3[[#This Row],[Order_Date_Clean]],"MMM YYYY")</f>
        <v>Jun 2025</v>
      </c>
      <c r="AA783" s="27"/>
      <c r="AB783" s="27">
        <f t="shared" si="89"/>
        <v>0</v>
      </c>
      <c r="AC783" s="27">
        <f t="shared" si="90"/>
        <v>0</v>
      </c>
    </row>
    <row r="784" spans="1:29">
      <c r="A784" t="s">
        <v>884</v>
      </c>
      <c r="B784" s="3">
        <v>45683</v>
      </c>
      <c r="C784" t="s">
        <v>66</v>
      </c>
      <c r="D784" t="s">
        <v>62</v>
      </c>
      <c r="E784" t="s">
        <v>75</v>
      </c>
      <c r="F784" t="s">
        <v>97</v>
      </c>
      <c r="G784" s="6">
        <v>1</v>
      </c>
      <c r="H784" s="4">
        <v>87.43</v>
      </c>
      <c r="I784" s="4">
        <v>55.39</v>
      </c>
      <c r="J784" s="5">
        <v>0</v>
      </c>
      <c r="K784" s="6">
        <v>6</v>
      </c>
      <c r="L784" s="6">
        <v>4</v>
      </c>
      <c r="M784" t="s">
        <v>58</v>
      </c>
      <c r="N784" t="s">
        <v>87</v>
      </c>
      <c r="O784" t="s">
        <v>64</v>
      </c>
      <c r="P784" t="str">
        <f t="shared" si="84"/>
        <v>Individual</v>
      </c>
      <c r="Q784" t="str">
        <f t="shared" si="85"/>
        <v>South</v>
      </c>
      <c r="R784" t="str">
        <f>PROPER(TRIM(E784))</f>
        <v>Furniture</v>
      </c>
      <c r="S784" s="27">
        <f>IF(ISTEXT(B784),DATEVALUE(B784),B784)</f>
        <v>45683</v>
      </c>
      <c r="T784" s="27">
        <f>COUNTIF($A$2:$A$1986,A784)</f>
        <v>1</v>
      </c>
      <c r="U784" s="27" t="str">
        <f t="shared" si="86"/>
        <v>Side Table</v>
      </c>
      <c r="V784" s="27">
        <f t="shared" si="87"/>
        <v>87.43</v>
      </c>
      <c r="W784" s="27">
        <f t="shared" si="88"/>
        <v>55.39</v>
      </c>
      <c r="X784" s="27">
        <f>RawSalesTable3[[#This Row],[Revenue]]-RawSalesTable3[[#This Row],[Total_Cost]]</f>
        <v>32.040000000000006</v>
      </c>
      <c r="Y784" s="28">
        <f>RawSalesTable3[[#This Row],[Profit]]/RawSalesTable3[[#This Row],[Revenue]]</f>
        <v>0.36646460025162991</v>
      </c>
      <c r="Z784" s="27" t="str">
        <f>TEXT(RawSalesTable3[[#This Row],[Order_Date_Clean]],"MMM YYYY")</f>
        <v>Jan 2025</v>
      </c>
      <c r="AA784" s="27"/>
      <c r="AB784" s="27">
        <f t="shared" si="89"/>
        <v>0</v>
      </c>
      <c r="AC784" s="27">
        <f t="shared" si="90"/>
        <v>0</v>
      </c>
    </row>
    <row r="785" spans="1:29">
      <c r="A785" t="s">
        <v>885</v>
      </c>
      <c r="B785" s="3">
        <v>45715</v>
      </c>
      <c r="C785" t="s">
        <v>54</v>
      </c>
      <c r="D785" t="s">
        <v>62</v>
      </c>
      <c r="E785" t="s">
        <v>75</v>
      </c>
      <c r="F785" t="s">
        <v>76</v>
      </c>
      <c r="G785" s="6">
        <v>1</v>
      </c>
      <c r="H785" s="4">
        <v>119.97</v>
      </c>
      <c r="I785" s="4">
        <v>72.3</v>
      </c>
      <c r="J785" s="5">
        <v>0.05</v>
      </c>
      <c r="K785" s="6">
        <v>0</v>
      </c>
      <c r="L785" s="6">
        <v>4</v>
      </c>
      <c r="M785" t="s">
        <v>58</v>
      </c>
      <c r="N785" t="s">
        <v>69</v>
      </c>
      <c r="O785" t="s">
        <v>64</v>
      </c>
      <c r="P785" t="str">
        <f t="shared" si="84"/>
        <v>Individual</v>
      </c>
      <c r="Q785" t="str">
        <f t="shared" si="85"/>
        <v>North</v>
      </c>
      <c r="R785" t="str">
        <f>PROPER(TRIM(E785))</f>
        <v>Furniture</v>
      </c>
      <c r="S785" s="27">
        <f>IF(ISTEXT(B785),DATEVALUE(B785),B785)</f>
        <v>45715</v>
      </c>
      <c r="T785" s="27">
        <f>COUNTIF($A$2:$A$1986,A785)</f>
        <v>1</v>
      </c>
      <c r="U785" s="27" t="str">
        <f t="shared" si="86"/>
        <v>Bookshelf</v>
      </c>
      <c r="V785" s="27">
        <f t="shared" si="87"/>
        <v>113.97149999999999</v>
      </c>
      <c r="W785" s="27">
        <f t="shared" si="88"/>
        <v>72.3</v>
      </c>
      <c r="X785" s="27">
        <f>RawSalesTable3[[#This Row],[Revenue]]-RawSalesTable3[[#This Row],[Total_Cost]]</f>
        <v>41.671499999999995</v>
      </c>
      <c r="Y785" s="28">
        <f>RawSalesTable3[[#This Row],[Profit]]/RawSalesTable3[[#This Row],[Revenue]]</f>
        <v>0.36563088140456163</v>
      </c>
      <c r="Z785" s="27" t="str">
        <f>TEXT(RawSalesTable3[[#This Row],[Order_Date_Clean]],"MMM YYYY")</f>
        <v>Feb 2025</v>
      </c>
      <c r="AA785" s="27"/>
      <c r="AB785" s="27">
        <f t="shared" si="89"/>
        <v>0</v>
      </c>
      <c r="AC785" s="27">
        <f t="shared" si="90"/>
        <v>0</v>
      </c>
    </row>
    <row r="786" spans="1:29">
      <c r="A786" t="s">
        <v>886</v>
      </c>
      <c r="B786" s="3">
        <v>46011</v>
      </c>
      <c r="C786" t="s">
        <v>54</v>
      </c>
      <c r="D786" t="s">
        <v>62</v>
      </c>
      <c r="E786" t="s">
        <v>56</v>
      </c>
      <c r="F786" t="s">
        <v>83</v>
      </c>
      <c r="G786" s="6">
        <v>2</v>
      </c>
      <c r="H786" s="4">
        <v>65.94</v>
      </c>
      <c r="I786" s="4">
        <v>34.94</v>
      </c>
      <c r="J786" s="5">
        <v>0.2</v>
      </c>
      <c r="K786" s="6">
        <v>0</v>
      </c>
      <c r="L786" s="6">
        <v>5</v>
      </c>
      <c r="M786" t="s">
        <v>58</v>
      </c>
      <c r="N786" t="s">
        <v>69</v>
      </c>
      <c r="O786" t="s">
        <v>73</v>
      </c>
      <c r="P786" t="str">
        <f t="shared" si="84"/>
        <v>Individual</v>
      </c>
      <c r="Q786" t="str">
        <f t="shared" si="85"/>
        <v>North</v>
      </c>
      <c r="R786" t="str">
        <f>PROPER(TRIM(E786))</f>
        <v>Home &amp; Kitchen</v>
      </c>
      <c r="S786" s="27">
        <f>IF(ISTEXT(B786),DATEVALUE(B786),B786)</f>
        <v>46011</v>
      </c>
      <c r="T786" s="27">
        <f>COUNTIF($A$2:$A$1986,A786)</f>
        <v>1</v>
      </c>
      <c r="U786" s="27" t="str">
        <f t="shared" si="86"/>
        <v>Blender</v>
      </c>
      <c r="V786" s="27">
        <f t="shared" si="87"/>
        <v>105.504</v>
      </c>
      <c r="W786" s="27">
        <f t="shared" si="88"/>
        <v>69.88</v>
      </c>
      <c r="X786" s="27">
        <f>RawSalesTable3[[#This Row],[Revenue]]-RawSalesTable3[[#This Row],[Total_Cost]]</f>
        <v>35.624000000000009</v>
      </c>
      <c r="Y786" s="28">
        <f>RawSalesTable3[[#This Row],[Profit]]/RawSalesTable3[[#This Row],[Revenue]]</f>
        <v>0.33765544434334249</v>
      </c>
      <c r="Z786" s="27" t="str">
        <f>TEXT(RawSalesTable3[[#This Row],[Order_Date_Clean]],"MMM YYYY")</f>
        <v>Dec 2025</v>
      </c>
      <c r="AA786" s="27"/>
      <c r="AB786" s="27">
        <f t="shared" si="89"/>
        <v>0</v>
      </c>
      <c r="AC786" s="27">
        <f t="shared" si="90"/>
        <v>0</v>
      </c>
    </row>
    <row r="787" spans="1:29">
      <c r="A787" t="s">
        <v>887</v>
      </c>
      <c r="B787" s="3">
        <v>45862</v>
      </c>
      <c r="C787" t="s">
        <v>66</v>
      </c>
      <c r="D787" t="s">
        <v>62</v>
      </c>
      <c r="E787" t="s">
        <v>56</v>
      </c>
      <c r="F787" t="s">
        <v>63</v>
      </c>
      <c r="G787" s="6">
        <v>1</v>
      </c>
      <c r="H787" s="4">
        <v>38.85</v>
      </c>
      <c r="I787" s="4">
        <v>20.81</v>
      </c>
      <c r="J787" s="5">
        <v>0</v>
      </c>
      <c r="K787" s="6">
        <v>0</v>
      </c>
      <c r="L787" s="6">
        <v>5</v>
      </c>
      <c r="M787" t="s">
        <v>58</v>
      </c>
      <c r="N787" t="s">
        <v>69</v>
      </c>
      <c r="O787" t="s">
        <v>64</v>
      </c>
      <c r="P787" t="str">
        <f t="shared" si="84"/>
        <v>Individual</v>
      </c>
      <c r="Q787" t="str">
        <f t="shared" si="85"/>
        <v>South</v>
      </c>
      <c r="R787" t="str">
        <f>PROPER(TRIM(E787))</f>
        <v>Home &amp; Kitchen</v>
      </c>
      <c r="S787" s="27">
        <f>IF(ISTEXT(B787),DATEVALUE(B787),B787)</f>
        <v>45862</v>
      </c>
      <c r="T787" s="27">
        <f>COUNTIF($A$2:$A$1986,A787)</f>
        <v>1</v>
      </c>
      <c r="U787" s="27" t="str">
        <f t="shared" si="86"/>
        <v>Electric Kettle</v>
      </c>
      <c r="V787" s="27">
        <f t="shared" si="87"/>
        <v>38.85</v>
      </c>
      <c r="W787" s="27">
        <f t="shared" si="88"/>
        <v>20.81</v>
      </c>
      <c r="X787" s="27">
        <f>RawSalesTable3[[#This Row],[Revenue]]-RawSalesTable3[[#This Row],[Total_Cost]]</f>
        <v>18.040000000000003</v>
      </c>
      <c r="Y787" s="28">
        <f>RawSalesTable3[[#This Row],[Profit]]/RawSalesTable3[[#This Row],[Revenue]]</f>
        <v>0.46435006435006443</v>
      </c>
      <c r="Z787" s="27" t="str">
        <f>TEXT(RawSalesTable3[[#This Row],[Order_Date_Clean]],"MMM YYYY")</f>
        <v>Jul 2025</v>
      </c>
      <c r="AA787" s="27"/>
      <c r="AB787" s="27">
        <f t="shared" si="89"/>
        <v>0</v>
      </c>
      <c r="AC787" s="27">
        <f t="shared" si="90"/>
        <v>0</v>
      </c>
    </row>
    <row r="788" spans="1:29">
      <c r="A788" t="s">
        <v>888</v>
      </c>
      <c r="B788" s="3">
        <v>45670</v>
      </c>
      <c r="C788" t="s">
        <v>54</v>
      </c>
      <c r="D788" t="s">
        <v>62</v>
      </c>
      <c r="E788" t="s">
        <v>67</v>
      </c>
      <c r="F788" t="s">
        <v>71</v>
      </c>
      <c r="G788" s="6">
        <v>1</v>
      </c>
      <c r="H788" s="4">
        <v>68.67</v>
      </c>
      <c r="I788" s="4">
        <v>38.4</v>
      </c>
      <c r="J788" s="5">
        <v>0.1</v>
      </c>
      <c r="K788" s="6">
        <v>1</v>
      </c>
      <c r="L788" s="6">
        <v>5</v>
      </c>
      <c r="M788" t="s">
        <v>58</v>
      </c>
      <c r="N788" t="s">
        <v>69</v>
      </c>
      <c r="O788" t="s">
        <v>64</v>
      </c>
      <c r="P788" t="str">
        <f t="shared" si="84"/>
        <v>Individual</v>
      </c>
      <c r="Q788" t="str">
        <f t="shared" si="85"/>
        <v>North</v>
      </c>
      <c r="R788" t="str">
        <f>PROPER(TRIM(E788))</f>
        <v>Office</v>
      </c>
      <c r="S788" s="27">
        <f>IF(ISTEXT(B788),DATEVALUE(B788),B788)</f>
        <v>45670</v>
      </c>
      <c r="T788" s="27">
        <f>COUNTIF($A$2:$A$1986,A788)</f>
        <v>1</v>
      </c>
      <c r="U788" s="27" t="str">
        <f t="shared" si="86"/>
        <v>Ergonomic Keyboard</v>
      </c>
      <c r="V788" s="27">
        <f t="shared" si="87"/>
        <v>61.803000000000004</v>
      </c>
      <c r="W788" s="27">
        <f t="shared" si="88"/>
        <v>38.4</v>
      </c>
      <c r="X788" s="27">
        <f>RawSalesTable3[[#This Row],[Revenue]]-RawSalesTable3[[#This Row],[Total_Cost]]</f>
        <v>23.403000000000006</v>
      </c>
      <c r="Y788" s="28">
        <f>RawSalesTable3[[#This Row],[Profit]]/RawSalesTable3[[#This Row],[Revenue]]</f>
        <v>0.37867093830396592</v>
      </c>
      <c r="Z788" s="27" t="str">
        <f>TEXT(RawSalesTable3[[#This Row],[Order_Date_Clean]],"MMM YYYY")</f>
        <v>Jan 2025</v>
      </c>
      <c r="AA788" s="27"/>
      <c r="AB788" s="27">
        <f t="shared" si="89"/>
        <v>0</v>
      </c>
      <c r="AC788" s="27">
        <f t="shared" si="90"/>
        <v>0</v>
      </c>
    </row>
    <row r="789" spans="1:29">
      <c r="A789" t="s">
        <v>889</v>
      </c>
      <c r="B789" s="3">
        <v>45796</v>
      </c>
      <c r="C789" t="s">
        <v>66</v>
      </c>
      <c r="D789" t="s">
        <v>55</v>
      </c>
      <c r="E789" t="s">
        <v>79</v>
      </c>
      <c r="F789" t="s">
        <v>85</v>
      </c>
      <c r="G789" s="6">
        <v>1</v>
      </c>
      <c r="H789" s="4">
        <v>126.11</v>
      </c>
      <c r="I789" s="4">
        <v>85.82</v>
      </c>
      <c r="J789" s="5">
        <v>0.1</v>
      </c>
      <c r="K789" s="6">
        <v>1</v>
      </c>
      <c r="L789" s="6">
        <v>4</v>
      </c>
      <c r="M789" t="s">
        <v>58</v>
      </c>
      <c r="N789" t="s">
        <v>59</v>
      </c>
      <c r="O789" t="s">
        <v>64</v>
      </c>
      <c r="P789" t="str">
        <f t="shared" si="84"/>
        <v>Small Business</v>
      </c>
      <c r="Q789" t="str">
        <f t="shared" si="85"/>
        <v>South</v>
      </c>
      <c r="R789" t="str">
        <f>PROPER(TRIM(E789))</f>
        <v>Electronics</v>
      </c>
      <c r="S789" s="27">
        <f>IF(ISTEXT(B789),DATEVALUE(B789),B789)</f>
        <v>45796</v>
      </c>
      <c r="T789" s="27">
        <f>COUNTIF($A$2:$A$1986,A789)</f>
        <v>1</v>
      </c>
      <c r="U789" s="27" t="str">
        <f t="shared" si="86"/>
        <v>SmartHome Hub</v>
      </c>
      <c r="V789" s="27">
        <f t="shared" si="87"/>
        <v>113.499</v>
      </c>
      <c r="W789" s="27">
        <f t="shared" si="88"/>
        <v>85.82</v>
      </c>
      <c r="X789" s="27">
        <f>RawSalesTable3[[#This Row],[Revenue]]-RawSalesTable3[[#This Row],[Total_Cost]]</f>
        <v>27.679000000000002</v>
      </c>
      <c r="Y789" s="28">
        <f>RawSalesTable3[[#This Row],[Profit]]/RawSalesTable3[[#This Row],[Revenue]]</f>
        <v>0.24386999004396517</v>
      </c>
      <c r="Z789" s="27" t="str">
        <f>TEXT(RawSalesTable3[[#This Row],[Order_Date_Clean]],"MMM YYYY")</f>
        <v>May 2025</v>
      </c>
      <c r="AA789" s="27"/>
      <c r="AB789" s="27">
        <f t="shared" si="89"/>
        <v>0</v>
      </c>
      <c r="AC789" s="27">
        <f t="shared" si="90"/>
        <v>0</v>
      </c>
    </row>
    <row r="790" spans="1:29">
      <c r="A790" t="s">
        <v>890</v>
      </c>
      <c r="B790" s="3">
        <v>45989</v>
      </c>
      <c r="C790" t="s">
        <v>82</v>
      </c>
      <c r="D790" t="s">
        <v>55</v>
      </c>
      <c r="E790" t="s">
        <v>79</v>
      </c>
      <c r="F790" t="s">
        <v>115</v>
      </c>
      <c r="G790" s="6">
        <v>1</v>
      </c>
      <c r="H790" s="4">
        <v>60.41</v>
      </c>
      <c r="I790" s="4">
        <v>33.42</v>
      </c>
      <c r="J790" s="5">
        <v>0.15000000000000002</v>
      </c>
      <c r="K790" s="6">
        <v>5</v>
      </c>
      <c r="L790" s="6">
        <v>4</v>
      </c>
      <c r="M790" t="s">
        <v>58</v>
      </c>
      <c r="N790" t="s">
        <v>59</v>
      </c>
      <c r="O790" t="s">
        <v>64</v>
      </c>
      <c r="P790" t="str">
        <f t="shared" si="84"/>
        <v>Small Business</v>
      </c>
      <c r="Q790" t="str">
        <f t="shared" si="85"/>
        <v>Midlands</v>
      </c>
      <c r="R790" t="str">
        <f>PROPER(TRIM(E790))</f>
        <v>Electronics</v>
      </c>
      <c r="S790" s="27">
        <f>IF(ISTEXT(B790),DATEVALUE(B790),B790)</f>
        <v>45989</v>
      </c>
      <c r="T790" s="27">
        <f>COUNTIF($A$2:$A$1986,A790)</f>
        <v>1</v>
      </c>
      <c r="U790" s="27" t="str">
        <f t="shared" si="86"/>
        <v>Wireless Headset</v>
      </c>
      <c r="V790" s="27">
        <f t="shared" si="87"/>
        <v>51.348499999999994</v>
      </c>
      <c r="W790" s="27">
        <f t="shared" si="88"/>
        <v>33.42</v>
      </c>
      <c r="X790" s="27">
        <f>RawSalesTable3[[#This Row],[Revenue]]-RawSalesTable3[[#This Row],[Total_Cost]]</f>
        <v>17.928499999999993</v>
      </c>
      <c r="Y790" s="28">
        <f>RawSalesTable3[[#This Row],[Profit]]/RawSalesTable3[[#This Row],[Revenue]]</f>
        <v>0.34915333456673503</v>
      </c>
      <c r="Z790" s="27" t="str">
        <f>TEXT(RawSalesTable3[[#This Row],[Order_Date_Clean]],"MMM YYYY")</f>
        <v>Nov 2025</v>
      </c>
      <c r="AA790" s="27"/>
      <c r="AB790" s="27">
        <f t="shared" si="89"/>
        <v>0</v>
      </c>
      <c r="AC790" s="27">
        <f t="shared" si="90"/>
        <v>0</v>
      </c>
    </row>
    <row r="791" spans="1:29">
      <c r="A791" t="s">
        <v>891</v>
      </c>
      <c r="B791" s="3">
        <v>45669</v>
      </c>
      <c r="C791" t="s">
        <v>66</v>
      </c>
      <c r="D791" t="s">
        <v>62</v>
      </c>
      <c r="E791" t="s">
        <v>79</v>
      </c>
      <c r="F791" t="s">
        <v>115</v>
      </c>
      <c r="G791" s="6">
        <v>3</v>
      </c>
      <c r="H791" s="4">
        <v>61.12</v>
      </c>
      <c r="I791" s="4">
        <v>33.869999999999997</v>
      </c>
      <c r="J791" s="5">
        <v>0.05</v>
      </c>
      <c r="K791" s="6">
        <v>6</v>
      </c>
      <c r="L791" s="6">
        <v>4</v>
      </c>
      <c r="M791" t="s">
        <v>58</v>
      </c>
      <c r="N791" t="s">
        <v>59</v>
      </c>
      <c r="O791" t="s">
        <v>60</v>
      </c>
      <c r="P791" t="str">
        <f t="shared" si="84"/>
        <v>Individual</v>
      </c>
      <c r="Q791" t="str">
        <f t="shared" si="85"/>
        <v>South</v>
      </c>
      <c r="R791" t="str">
        <f>PROPER(TRIM(E791))</f>
        <v>Electronics</v>
      </c>
      <c r="S791" s="27">
        <f>IF(ISTEXT(B791),DATEVALUE(B791),B791)</f>
        <v>45669</v>
      </c>
      <c r="T791" s="27">
        <f>COUNTIF($A$2:$A$1986,A791)</f>
        <v>1</v>
      </c>
      <c r="U791" s="27" t="str">
        <f t="shared" si="86"/>
        <v>Wireless Headset</v>
      </c>
      <c r="V791" s="27">
        <f t="shared" si="87"/>
        <v>174.19199999999998</v>
      </c>
      <c r="W791" s="27">
        <f t="shared" si="88"/>
        <v>101.60999999999999</v>
      </c>
      <c r="X791" s="27">
        <f>RawSalesTable3[[#This Row],[Revenue]]-RawSalesTable3[[#This Row],[Total_Cost]]</f>
        <v>72.581999999999994</v>
      </c>
      <c r="Y791" s="28">
        <f>RawSalesTable3[[#This Row],[Profit]]/RawSalesTable3[[#This Row],[Revenue]]</f>
        <v>0.41667814825020666</v>
      </c>
      <c r="Z791" s="27" t="str">
        <f>TEXT(RawSalesTable3[[#This Row],[Order_Date_Clean]],"MMM YYYY")</f>
        <v>Jan 2025</v>
      </c>
      <c r="AA791" s="27"/>
      <c r="AB791" s="27">
        <f t="shared" si="89"/>
        <v>0</v>
      </c>
      <c r="AC791" s="27">
        <f t="shared" si="90"/>
        <v>0</v>
      </c>
    </row>
    <row r="792" spans="1:29">
      <c r="A792" t="s">
        <v>892</v>
      </c>
      <c r="B792" s="3">
        <v>45666</v>
      </c>
      <c r="C792" t="s">
        <v>66</v>
      </c>
      <c r="D792" t="s">
        <v>62</v>
      </c>
      <c r="E792" t="s">
        <v>67</v>
      </c>
      <c r="F792" t="s">
        <v>71</v>
      </c>
      <c r="G792" s="6">
        <v>1</v>
      </c>
      <c r="H792" s="4">
        <v>71.69</v>
      </c>
      <c r="I792" s="4">
        <v>38.56</v>
      </c>
      <c r="J792" s="5">
        <v>0.1</v>
      </c>
      <c r="K792" s="6">
        <v>1</v>
      </c>
      <c r="L792" s="6">
        <v>4</v>
      </c>
      <c r="M792" t="s">
        <v>58</v>
      </c>
      <c r="N792" t="s">
        <v>69</v>
      </c>
      <c r="O792" t="s">
        <v>64</v>
      </c>
      <c r="P792" t="str">
        <f t="shared" si="84"/>
        <v>Individual</v>
      </c>
      <c r="Q792" t="str">
        <f t="shared" si="85"/>
        <v>South</v>
      </c>
      <c r="R792" t="str">
        <f>PROPER(TRIM(E792))</f>
        <v>Office</v>
      </c>
      <c r="S792" s="27">
        <f>IF(ISTEXT(B792),DATEVALUE(B792),B792)</f>
        <v>45666</v>
      </c>
      <c r="T792" s="27">
        <f>COUNTIF($A$2:$A$1986,A792)</f>
        <v>1</v>
      </c>
      <c r="U792" s="27" t="str">
        <f t="shared" si="86"/>
        <v>Ergonomic Keyboard</v>
      </c>
      <c r="V792" s="27">
        <f t="shared" si="87"/>
        <v>64.521000000000001</v>
      </c>
      <c r="W792" s="27">
        <f t="shared" si="88"/>
        <v>38.56</v>
      </c>
      <c r="X792" s="27">
        <f>RawSalesTable3[[#This Row],[Revenue]]-RawSalesTable3[[#This Row],[Total_Cost]]</f>
        <v>25.960999999999999</v>
      </c>
      <c r="Y792" s="28">
        <f>RawSalesTable3[[#This Row],[Profit]]/RawSalesTable3[[#This Row],[Revenue]]</f>
        <v>0.40236512143333175</v>
      </c>
      <c r="Z792" s="27" t="str">
        <f>TEXT(RawSalesTable3[[#This Row],[Order_Date_Clean]],"MMM YYYY")</f>
        <v>Jan 2025</v>
      </c>
      <c r="AA792" s="27"/>
      <c r="AB792" s="27">
        <f t="shared" si="89"/>
        <v>0</v>
      </c>
      <c r="AC792" s="27">
        <f t="shared" si="90"/>
        <v>0</v>
      </c>
    </row>
    <row r="793" spans="1:29">
      <c r="A793" t="s">
        <v>893</v>
      </c>
      <c r="B793" s="3">
        <v>45721</v>
      </c>
      <c r="C793" t="s">
        <v>78</v>
      </c>
      <c r="D793" t="s">
        <v>129</v>
      </c>
      <c r="E793" t="s">
        <v>67</v>
      </c>
      <c r="F793" t="s">
        <v>68</v>
      </c>
      <c r="G793" s="6">
        <v>6</v>
      </c>
      <c r="H793" s="4">
        <v>40.94</v>
      </c>
      <c r="I793" s="4">
        <v>19.059999999999999</v>
      </c>
      <c r="J793" s="5">
        <v>0.05</v>
      </c>
      <c r="K793" s="6">
        <v>3</v>
      </c>
      <c r="L793" s="6">
        <v>4</v>
      </c>
      <c r="M793" t="s">
        <v>58</v>
      </c>
      <c r="N793" t="s">
        <v>87</v>
      </c>
      <c r="O793" t="s">
        <v>64</v>
      </c>
      <c r="P793" t="str">
        <f t="shared" si="84"/>
        <v>Corporate</v>
      </c>
      <c r="Q793" t="str">
        <f t="shared" si="85"/>
        <v>London</v>
      </c>
      <c r="R793" t="str">
        <f>PROPER(TRIM(E793))</f>
        <v>Office</v>
      </c>
      <c r="S793" s="27">
        <f>IF(ISTEXT(B793),DATEVALUE(B793),B793)</f>
        <v>45721</v>
      </c>
      <c r="T793" s="27">
        <f>COUNTIF($A$2:$A$1986,A793)</f>
        <v>1</v>
      </c>
      <c r="U793" s="27" t="str">
        <f t="shared" si="86"/>
        <v>Desk Lamp</v>
      </c>
      <c r="V793" s="27">
        <f t="shared" si="87"/>
        <v>233.35799999999998</v>
      </c>
      <c r="W793" s="27">
        <f t="shared" si="88"/>
        <v>114.35999999999999</v>
      </c>
      <c r="X793" s="27">
        <f>RawSalesTable3[[#This Row],[Revenue]]-RawSalesTable3[[#This Row],[Total_Cost]]</f>
        <v>118.99799999999999</v>
      </c>
      <c r="Y793" s="28">
        <f>RawSalesTable3[[#This Row],[Profit]]/RawSalesTable3[[#This Row],[Revenue]]</f>
        <v>0.5099375208906487</v>
      </c>
      <c r="Z793" s="27" t="str">
        <f>TEXT(RawSalesTable3[[#This Row],[Order_Date_Clean]],"MMM YYYY")</f>
        <v>Mar 2025</v>
      </c>
      <c r="AA793" s="27"/>
      <c r="AB793" s="27">
        <f t="shared" si="89"/>
        <v>0</v>
      </c>
      <c r="AC793" s="27">
        <f t="shared" si="90"/>
        <v>0</v>
      </c>
    </row>
    <row r="794" spans="1:29">
      <c r="A794" t="s">
        <v>894</v>
      </c>
      <c r="B794" s="3">
        <v>45995</v>
      </c>
      <c r="C794" t="s">
        <v>66</v>
      </c>
      <c r="D794" t="s">
        <v>62</v>
      </c>
      <c r="E794" t="s">
        <v>56</v>
      </c>
      <c r="F794" t="s">
        <v>63</v>
      </c>
      <c r="G794" s="6">
        <v>1</v>
      </c>
      <c r="H794" s="4">
        <v>39.82</v>
      </c>
      <c r="I794" s="4">
        <v>20.05</v>
      </c>
      <c r="J794" s="5">
        <v>0.1</v>
      </c>
      <c r="K794" s="6">
        <v>4</v>
      </c>
      <c r="L794" s="6">
        <v>3</v>
      </c>
      <c r="M794" t="s">
        <v>126</v>
      </c>
      <c r="N794" t="s">
        <v>59</v>
      </c>
      <c r="O794" t="s">
        <v>64</v>
      </c>
      <c r="P794" t="str">
        <f t="shared" si="84"/>
        <v>Individual</v>
      </c>
      <c r="Q794" t="str">
        <f t="shared" si="85"/>
        <v>South</v>
      </c>
      <c r="R794" t="str">
        <f>PROPER(TRIM(E794))</f>
        <v>Home &amp; Kitchen</v>
      </c>
      <c r="S794" s="27">
        <f>IF(ISTEXT(B794),DATEVALUE(B794),B794)</f>
        <v>45995</v>
      </c>
      <c r="T794" s="27">
        <f>COUNTIF($A$2:$A$1986,A794)</f>
        <v>1</v>
      </c>
      <c r="U794" s="27" t="str">
        <f t="shared" si="86"/>
        <v>Electric Kettle</v>
      </c>
      <c r="V794" s="27">
        <f t="shared" si="87"/>
        <v>35.838000000000001</v>
      </c>
      <c r="W794" s="27">
        <f t="shared" si="88"/>
        <v>20.05</v>
      </c>
      <c r="X794" s="27">
        <f>RawSalesTable3[[#This Row],[Revenue]]-RawSalesTable3[[#This Row],[Total_Cost]]</f>
        <v>15.788</v>
      </c>
      <c r="Y794" s="28">
        <f>RawSalesTable3[[#This Row],[Profit]]/RawSalesTable3[[#This Row],[Revenue]]</f>
        <v>0.44053797644957865</v>
      </c>
      <c r="Z794" s="27" t="str">
        <f>TEXT(RawSalesTable3[[#This Row],[Order_Date_Clean]],"MMM YYYY")</f>
        <v>Dec 2025</v>
      </c>
      <c r="AA794" s="27"/>
      <c r="AB794" s="27">
        <f t="shared" si="89"/>
        <v>0</v>
      </c>
      <c r="AC794" s="27">
        <f t="shared" si="90"/>
        <v>0</v>
      </c>
    </row>
    <row r="795" spans="1:29">
      <c r="A795" t="s">
        <v>895</v>
      </c>
      <c r="B795" s="3">
        <v>45873</v>
      </c>
      <c r="C795" t="s">
        <v>82</v>
      </c>
      <c r="D795" t="s">
        <v>62</v>
      </c>
      <c r="E795" t="s">
        <v>67</v>
      </c>
      <c r="F795" t="s">
        <v>94</v>
      </c>
      <c r="G795" s="6">
        <v>1</v>
      </c>
      <c r="H795" s="4">
        <v>36.049999999999997</v>
      </c>
      <c r="I795" s="4">
        <v>17.68</v>
      </c>
      <c r="J795" s="5">
        <v>0.1</v>
      </c>
      <c r="K795" s="6">
        <v>4</v>
      </c>
      <c r="L795" s="6">
        <v>4</v>
      </c>
      <c r="M795" t="s">
        <v>58</v>
      </c>
      <c r="N795" t="s">
        <v>59</v>
      </c>
      <c r="O795" t="s">
        <v>64</v>
      </c>
      <c r="P795" t="str">
        <f t="shared" si="84"/>
        <v>Individual</v>
      </c>
      <c r="Q795" t="str">
        <f t="shared" si="85"/>
        <v>Midlands</v>
      </c>
      <c r="R795" t="str">
        <f>PROPER(TRIM(E795))</f>
        <v>Office</v>
      </c>
      <c r="S795" s="27">
        <f>IF(ISTEXT(B795),DATEVALUE(B795),B795)</f>
        <v>45873</v>
      </c>
      <c r="T795" s="27">
        <f>COUNTIF($A$2:$A$1986,A795)</f>
        <v>1</v>
      </c>
      <c r="U795" s="27" t="str">
        <f t="shared" si="86"/>
        <v>Wireless Mouse</v>
      </c>
      <c r="V795" s="27">
        <f t="shared" si="87"/>
        <v>32.445</v>
      </c>
      <c r="W795" s="27">
        <f t="shared" si="88"/>
        <v>17.68</v>
      </c>
      <c r="X795" s="27">
        <f>RawSalesTable3[[#This Row],[Revenue]]-RawSalesTable3[[#This Row],[Total_Cost]]</f>
        <v>14.765000000000001</v>
      </c>
      <c r="Y795" s="28">
        <f>RawSalesTable3[[#This Row],[Profit]]/RawSalesTable3[[#This Row],[Revenue]]</f>
        <v>0.45507782400986285</v>
      </c>
      <c r="Z795" s="27" t="str">
        <f>TEXT(RawSalesTable3[[#This Row],[Order_Date_Clean]],"MMM YYYY")</f>
        <v>Aug 2025</v>
      </c>
      <c r="AA795" s="27"/>
      <c r="AB795" s="27">
        <f t="shared" si="89"/>
        <v>0</v>
      </c>
      <c r="AC795" s="27">
        <f t="shared" si="90"/>
        <v>0</v>
      </c>
    </row>
    <row r="796" spans="1:29">
      <c r="A796" t="s">
        <v>896</v>
      </c>
      <c r="B796" s="3">
        <v>45726</v>
      </c>
      <c r="C796" t="s">
        <v>82</v>
      </c>
      <c r="D796" t="s">
        <v>62</v>
      </c>
      <c r="E796" t="s">
        <v>56</v>
      </c>
      <c r="F796" t="s">
        <v>63</v>
      </c>
      <c r="G796" s="6">
        <v>1</v>
      </c>
      <c r="H796" s="4">
        <v>39.71</v>
      </c>
      <c r="I796" s="4">
        <v>19.62</v>
      </c>
      <c r="J796" s="5">
        <v>0</v>
      </c>
      <c r="K796" s="6">
        <v>2</v>
      </c>
      <c r="L796" s="6">
        <v>4</v>
      </c>
      <c r="M796" t="s">
        <v>58</v>
      </c>
      <c r="N796" t="s">
        <v>59</v>
      </c>
      <c r="O796" t="s">
        <v>64</v>
      </c>
      <c r="P796" t="str">
        <f t="shared" si="84"/>
        <v>Individual</v>
      </c>
      <c r="Q796" t="str">
        <f t="shared" si="85"/>
        <v>Midlands</v>
      </c>
      <c r="R796" t="str">
        <f>PROPER(TRIM(E796))</f>
        <v>Home &amp; Kitchen</v>
      </c>
      <c r="S796" s="27">
        <f>IF(ISTEXT(B796),DATEVALUE(B796),B796)</f>
        <v>45726</v>
      </c>
      <c r="T796" s="27">
        <f>COUNTIF($A$2:$A$1986,A796)</f>
        <v>1</v>
      </c>
      <c r="U796" s="27" t="str">
        <f t="shared" si="86"/>
        <v>Electric Kettle</v>
      </c>
      <c r="V796" s="27">
        <f t="shared" si="87"/>
        <v>39.71</v>
      </c>
      <c r="W796" s="27">
        <f t="shared" si="88"/>
        <v>19.62</v>
      </c>
      <c r="X796" s="27">
        <f>RawSalesTable3[[#This Row],[Revenue]]-RawSalesTable3[[#This Row],[Total_Cost]]</f>
        <v>20.09</v>
      </c>
      <c r="Y796" s="28">
        <f>RawSalesTable3[[#This Row],[Profit]]/RawSalesTable3[[#This Row],[Revenue]]</f>
        <v>0.50591790480987153</v>
      </c>
      <c r="Z796" s="27" t="str">
        <f>TEXT(RawSalesTable3[[#This Row],[Order_Date_Clean]],"MMM YYYY")</f>
        <v>Mar 2025</v>
      </c>
      <c r="AA796" s="27"/>
      <c r="AB796" s="27">
        <f t="shared" si="89"/>
        <v>0</v>
      </c>
      <c r="AC796" s="27">
        <f t="shared" si="90"/>
        <v>0</v>
      </c>
    </row>
    <row r="797" spans="1:29">
      <c r="A797" t="s">
        <v>897</v>
      </c>
      <c r="B797" s="3">
        <v>45970</v>
      </c>
      <c r="C797" t="s">
        <v>78</v>
      </c>
      <c r="D797" t="s">
        <v>62</v>
      </c>
      <c r="E797" t="s">
        <v>67</v>
      </c>
      <c r="F797" t="s">
        <v>107</v>
      </c>
      <c r="G797" s="6">
        <v>1</v>
      </c>
      <c r="H797" s="4">
        <v>45.81</v>
      </c>
      <c r="I797" s="4">
        <v>21.48</v>
      </c>
      <c r="J797" s="5">
        <v>0.1</v>
      </c>
      <c r="K797" s="6">
        <v>6</v>
      </c>
      <c r="L797" s="6">
        <v>4</v>
      </c>
      <c r="M797" t="s">
        <v>58</v>
      </c>
      <c r="N797" t="s">
        <v>59</v>
      </c>
      <c r="O797" t="s">
        <v>73</v>
      </c>
      <c r="P797" t="str">
        <f t="shared" si="84"/>
        <v>Individual</v>
      </c>
      <c r="Q797" t="str">
        <f t="shared" si="85"/>
        <v>London</v>
      </c>
      <c r="R797" t="str">
        <f>PROPER(TRIM(E797))</f>
        <v>Office</v>
      </c>
      <c r="S797" s="27">
        <f>IF(ISTEXT(B797),DATEVALUE(B797),B797)</f>
        <v>45970</v>
      </c>
      <c r="T797" s="27">
        <f>COUNTIF($A$2:$A$1986,A797)</f>
        <v>1</v>
      </c>
      <c r="U797" s="27" t="str">
        <f t="shared" si="86"/>
        <v>Laptop Stand</v>
      </c>
      <c r="V797" s="27">
        <f t="shared" si="87"/>
        <v>41.229000000000006</v>
      </c>
      <c r="W797" s="27">
        <f t="shared" si="88"/>
        <v>21.48</v>
      </c>
      <c r="X797" s="27">
        <f>RawSalesTable3[[#This Row],[Revenue]]-RawSalesTable3[[#This Row],[Total_Cost]]</f>
        <v>19.749000000000006</v>
      </c>
      <c r="Y797" s="28">
        <f>RawSalesTable3[[#This Row],[Profit]]/RawSalesTable3[[#This Row],[Revenue]]</f>
        <v>0.47900749472458715</v>
      </c>
      <c r="Z797" s="27" t="str">
        <f>TEXT(RawSalesTable3[[#This Row],[Order_Date_Clean]],"MMM YYYY")</f>
        <v>Nov 2025</v>
      </c>
      <c r="AA797" s="27"/>
      <c r="AB797" s="27">
        <f t="shared" si="89"/>
        <v>0</v>
      </c>
      <c r="AC797" s="27">
        <f t="shared" si="90"/>
        <v>0</v>
      </c>
    </row>
    <row r="798" spans="1:29">
      <c r="A798" t="s">
        <v>898</v>
      </c>
      <c r="B798" s="3">
        <v>45908</v>
      </c>
      <c r="C798" t="s">
        <v>54</v>
      </c>
      <c r="D798" t="s">
        <v>55</v>
      </c>
      <c r="E798" t="s">
        <v>79</v>
      </c>
      <c r="F798" t="s">
        <v>115</v>
      </c>
      <c r="G798" s="6">
        <v>1</v>
      </c>
      <c r="H798" s="4">
        <v>58.55</v>
      </c>
      <c r="I798" s="4">
        <v>33.409999999999997</v>
      </c>
      <c r="J798" s="5">
        <v>0</v>
      </c>
      <c r="K798" s="6">
        <v>2</v>
      </c>
      <c r="L798" s="6">
        <v>4</v>
      </c>
      <c r="M798" t="s">
        <v>58</v>
      </c>
      <c r="N798" t="s">
        <v>59</v>
      </c>
      <c r="O798" t="s">
        <v>73</v>
      </c>
      <c r="P798" t="str">
        <f t="shared" si="84"/>
        <v>Small Business</v>
      </c>
      <c r="Q798" t="str">
        <f t="shared" si="85"/>
        <v>North</v>
      </c>
      <c r="R798" t="str">
        <f>PROPER(TRIM(E798))</f>
        <v>Electronics</v>
      </c>
      <c r="S798" s="27">
        <f>IF(ISTEXT(B798),DATEVALUE(B798),B798)</f>
        <v>45908</v>
      </c>
      <c r="T798" s="27">
        <f>COUNTIF($A$2:$A$1986,A798)</f>
        <v>1</v>
      </c>
      <c r="U798" s="27" t="str">
        <f t="shared" si="86"/>
        <v>Wireless Headset</v>
      </c>
      <c r="V798" s="27">
        <f t="shared" si="87"/>
        <v>58.55</v>
      </c>
      <c r="W798" s="27">
        <f t="shared" si="88"/>
        <v>33.409999999999997</v>
      </c>
      <c r="X798" s="27">
        <f>RawSalesTable3[[#This Row],[Revenue]]-RawSalesTable3[[#This Row],[Total_Cost]]</f>
        <v>25.14</v>
      </c>
      <c r="Y798" s="28">
        <f>RawSalesTable3[[#This Row],[Profit]]/RawSalesTable3[[#This Row],[Revenue]]</f>
        <v>0.42937660119555937</v>
      </c>
      <c r="Z798" s="27" t="str">
        <f>TEXT(RawSalesTable3[[#This Row],[Order_Date_Clean]],"MMM YYYY")</f>
        <v>Sep 2025</v>
      </c>
      <c r="AA798" s="27"/>
      <c r="AB798" s="27">
        <f t="shared" si="89"/>
        <v>0</v>
      </c>
      <c r="AC798" s="27">
        <f t="shared" si="90"/>
        <v>0</v>
      </c>
    </row>
    <row r="799" spans="1:29">
      <c r="A799" t="s">
        <v>899</v>
      </c>
      <c r="B799" s="3">
        <v>45880</v>
      </c>
      <c r="C799" t="s">
        <v>54</v>
      </c>
      <c r="D799" t="s">
        <v>55</v>
      </c>
      <c r="E799" t="s">
        <v>67</v>
      </c>
      <c r="F799" t="s">
        <v>107</v>
      </c>
      <c r="G799" s="6">
        <v>1</v>
      </c>
      <c r="H799" s="4">
        <v>45.01</v>
      </c>
      <c r="I799" s="4">
        <v>21.64</v>
      </c>
      <c r="J799" s="5">
        <v>0.05</v>
      </c>
      <c r="K799" s="6">
        <v>3</v>
      </c>
      <c r="L799" s="6">
        <v>4</v>
      </c>
      <c r="M799" t="s">
        <v>58</v>
      </c>
      <c r="N799" t="s">
        <v>59</v>
      </c>
      <c r="O799" t="s">
        <v>60</v>
      </c>
      <c r="P799" t="str">
        <f t="shared" si="84"/>
        <v>Small Business</v>
      </c>
      <c r="Q799" t="str">
        <f t="shared" si="85"/>
        <v>North</v>
      </c>
      <c r="R799" t="str">
        <f>PROPER(TRIM(E799))</f>
        <v>Office</v>
      </c>
      <c r="S799" s="27">
        <f>IF(ISTEXT(B799),DATEVALUE(B799),B799)</f>
        <v>45880</v>
      </c>
      <c r="T799" s="27">
        <f>COUNTIF($A$2:$A$1986,A799)</f>
        <v>1</v>
      </c>
      <c r="U799" s="27" t="str">
        <f t="shared" si="86"/>
        <v>Laptop Stand</v>
      </c>
      <c r="V799" s="27">
        <f t="shared" si="87"/>
        <v>42.759499999999996</v>
      </c>
      <c r="W799" s="27">
        <f t="shared" si="88"/>
        <v>21.64</v>
      </c>
      <c r="X799" s="27">
        <f>RawSalesTable3[[#This Row],[Revenue]]-RawSalesTable3[[#This Row],[Total_Cost]]</f>
        <v>21.119499999999995</v>
      </c>
      <c r="Y799" s="28">
        <f>RawSalesTable3[[#This Row],[Profit]]/RawSalesTable3[[#This Row],[Revenue]]</f>
        <v>0.49391363322770371</v>
      </c>
      <c r="Z799" s="27" t="str">
        <f>TEXT(RawSalesTable3[[#This Row],[Order_Date_Clean]],"MMM YYYY")</f>
        <v>Aug 2025</v>
      </c>
      <c r="AA799" s="27"/>
      <c r="AB799" s="27">
        <f t="shared" si="89"/>
        <v>0</v>
      </c>
      <c r="AC799" s="27">
        <f t="shared" si="90"/>
        <v>0</v>
      </c>
    </row>
    <row r="800" spans="1:29">
      <c r="A800" t="s">
        <v>900</v>
      </c>
      <c r="B800" s="3">
        <v>45824</v>
      </c>
      <c r="C800" t="s">
        <v>66</v>
      </c>
      <c r="D800" t="s">
        <v>62</v>
      </c>
      <c r="E800" t="s">
        <v>79</v>
      </c>
      <c r="F800" t="s">
        <v>92</v>
      </c>
      <c r="G800" s="6">
        <v>1</v>
      </c>
      <c r="H800" s="4">
        <v>50.6</v>
      </c>
      <c r="I800" s="4">
        <v>25.68</v>
      </c>
      <c r="J800" s="5">
        <v>0.2</v>
      </c>
      <c r="K800" s="6">
        <v>4</v>
      </c>
      <c r="L800" s="6">
        <v>5</v>
      </c>
      <c r="M800" t="s">
        <v>58</v>
      </c>
      <c r="N800" t="s">
        <v>59</v>
      </c>
      <c r="O800" t="s">
        <v>64</v>
      </c>
      <c r="P800" t="str">
        <f t="shared" si="84"/>
        <v>Individual</v>
      </c>
      <c r="Q800" t="str">
        <f t="shared" si="85"/>
        <v>South</v>
      </c>
      <c r="R800" t="str">
        <f>PROPER(TRIM(E800))</f>
        <v>Electronics</v>
      </c>
      <c r="S800" s="27">
        <f>IF(ISTEXT(B800),DATEVALUE(B800),B800)</f>
        <v>45824</v>
      </c>
      <c r="T800" s="27">
        <f>COUNTIF($A$2:$A$1986,A800)</f>
        <v>1</v>
      </c>
      <c r="U800" s="27" t="str">
        <f t="shared" si="86"/>
        <v>Webcam</v>
      </c>
      <c r="V800" s="27">
        <f t="shared" si="87"/>
        <v>40.480000000000004</v>
      </c>
      <c r="W800" s="27">
        <f t="shared" si="88"/>
        <v>25.68</v>
      </c>
      <c r="X800" s="27">
        <f>RawSalesTable3[[#This Row],[Revenue]]-RawSalesTable3[[#This Row],[Total_Cost]]</f>
        <v>14.800000000000004</v>
      </c>
      <c r="Y800" s="28">
        <f>RawSalesTable3[[#This Row],[Profit]]/RawSalesTable3[[#This Row],[Revenue]]</f>
        <v>0.36561264822134393</v>
      </c>
      <c r="Z800" s="27" t="str">
        <f>TEXT(RawSalesTable3[[#This Row],[Order_Date_Clean]],"MMM YYYY")</f>
        <v>Jun 2025</v>
      </c>
      <c r="AA800" s="27"/>
      <c r="AB800" s="27">
        <f t="shared" si="89"/>
        <v>0</v>
      </c>
      <c r="AC800" s="27">
        <f t="shared" si="90"/>
        <v>0</v>
      </c>
    </row>
    <row r="801" spans="1:29">
      <c r="A801" t="s">
        <v>901</v>
      </c>
      <c r="B801" s="3">
        <v>45920</v>
      </c>
      <c r="C801" t="s">
        <v>66</v>
      </c>
      <c r="D801" t="s">
        <v>55</v>
      </c>
      <c r="E801" t="s">
        <v>79</v>
      </c>
      <c r="F801" t="s">
        <v>80</v>
      </c>
      <c r="G801" s="6">
        <v>4</v>
      </c>
      <c r="H801" s="4">
        <v>77.64</v>
      </c>
      <c r="I801" s="4">
        <v>44.6</v>
      </c>
      <c r="J801" s="5">
        <v>0.1</v>
      </c>
      <c r="K801" s="6">
        <v>0</v>
      </c>
      <c r="L801" s="6">
        <v>4</v>
      </c>
      <c r="M801" t="s">
        <v>58</v>
      </c>
      <c r="N801" t="s">
        <v>69</v>
      </c>
      <c r="O801" t="s">
        <v>64</v>
      </c>
      <c r="P801" t="str">
        <f t="shared" si="84"/>
        <v>Small Business</v>
      </c>
      <c r="Q801" t="str">
        <f t="shared" si="85"/>
        <v>South</v>
      </c>
      <c r="R801" t="str">
        <f>PROPER(TRIM(E801))</f>
        <v>Electronics</v>
      </c>
      <c r="S801" s="27">
        <f>IF(ISTEXT(B801),DATEVALUE(B801),B801)</f>
        <v>45920</v>
      </c>
      <c r="T801" s="27">
        <f>COUNTIF($A$2:$A$1986,A801)</f>
        <v>1</v>
      </c>
      <c r="U801" s="27" t="str">
        <f t="shared" si="86"/>
        <v>Portable Speaker</v>
      </c>
      <c r="V801" s="27">
        <f t="shared" si="87"/>
        <v>279.50400000000002</v>
      </c>
      <c r="W801" s="27">
        <f t="shared" si="88"/>
        <v>178.4</v>
      </c>
      <c r="X801" s="27">
        <f>RawSalesTable3[[#This Row],[Revenue]]-RawSalesTable3[[#This Row],[Total_Cost]]</f>
        <v>101.10400000000001</v>
      </c>
      <c r="Y801" s="28">
        <f>RawSalesTable3[[#This Row],[Profit]]/RawSalesTable3[[#This Row],[Revenue]]</f>
        <v>0.36172648691968634</v>
      </c>
      <c r="Z801" s="27" t="str">
        <f>TEXT(RawSalesTable3[[#This Row],[Order_Date_Clean]],"MMM YYYY")</f>
        <v>Sep 2025</v>
      </c>
      <c r="AA801" s="27"/>
      <c r="AB801" s="27">
        <f t="shared" si="89"/>
        <v>0</v>
      </c>
      <c r="AC801" s="27">
        <f t="shared" si="90"/>
        <v>0</v>
      </c>
    </row>
    <row r="802" spans="1:29">
      <c r="A802" t="s">
        <v>902</v>
      </c>
      <c r="B802" s="3">
        <v>45803</v>
      </c>
      <c r="C802" t="s">
        <v>78</v>
      </c>
      <c r="D802" t="s">
        <v>62</v>
      </c>
      <c r="E802" t="s">
        <v>56</v>
      </c>
      <c r="F802" t="s">
        <v>57</v>
      </c>
      <c r="G802" s="6">
        <v>1</v>
      </c>
      <c r="H802" s="4">
        <v>107.79</v>
      </c>
      <c r="I802" s="4">
        <v>66.989999999999995</v>
      </c>
      <c r="J802" s="5">
        <v>0.05</v>
      </c>
      <c r="K802" s="6">
        <v>1</v>
      </c>
      <c r="L802" s="6">
        <v>5</v>
      </c>
      <c r="M802" t="s">
        <v>58</v>
      </c>
      <c r="N802" t="s">
        <v>69</v>
      </c>
      <c r="O802" t="s">
        <v>64</v>
      </c>
      <c r="P802" t="str">
        <f t="shared" si="84"/>
        <v>Individual</v>
      </c>
      <c r="Q802" t="str">
        <f t="shared" si="85"/>
        <v>London</v>
      </c>
      <c r="R802" t="str">
        <f>PROPER(TRIM(E802))</f>
        <v>Home &amp; Kitchen</v>
      </c>
      <c r="S802" s="27">
        <f>IF(ISTEXT(B802),DATEVALUE(B802),B802)</f>
        <v>45803</v>
      </c>
      <c r="T802" s="27">
        <f>COUNTIF($A$2:$A$1986,A802)</f>
        <v>1</v>
      </c>
      <c r="U802" s="27" t="str">
        <f t="shared" si="86"/>
        <v>Air Fryer</v>
      </c>
      <c r="V802" s="27">
        <f t="shared" si="87"/>
        <v>102.40050000000001</v>
      </c>
      <c r="W802" s="27">
        <f t="shared" si="88"/>
        <v>66.989999999999995</v>
      </c>
      <c r="X802" s="27">
        <f>RawSalesTable3[[#This Row],[Revenue]]-RawSalesTable3[[#This Row],[Total_Cost]]</f>
        <v>35.410500000000013</v>
      </c>
      <c r="Y802" s="28">
        <f>RawSalesTable3[[#This Row],[Profit]]/RawSalesTable3[[#This Row],[Revenue]]</f>
        <v>0.34580397556652565</v>
      </c>
      <c r="Z802" s="27" t="str">
        <f>TEXT(RawSalesTable3[[#This Row],[Order_Date_Clean]],"MMM YYYY")</f>
        <v>May 2025</v>
      </c>
      <c r="AA802" s="27"/>
      <c r="AB802" s="27">
        <f t="shared" si="89"/>
        <v>0</v>
      </c>
      <c r="AC802" s="27">
        <f t="shared" si="90"/>
        <v>0</v>
      </c>
    </row>
    <row r="803" spans="1:29">
      <c r="A803" t="s">
        <v>903</v>
      </c>
      <c r="B803" s="3">
        <v>45774</v>
      </c>
      <c r="C803" t="s">
        <v>82</v>
      </c>
      <c r="D803" t="s">
        <v>55</v>
      </c>
      <c r="E803" t="s">
        <v>56</v>
      </c>
      <c r="F803" t="s">
        <v>83</v>
      </c>
      <c r="G803" s="6">
        <v>4</v>
      </c>
      <c r="H803" s="4">
        <v>63.05</v>
      </c>
      <c r="I803" s="4">
        <v>34.270000000000003</v>
      </c>
      <c r="J803" s="5">
        <v>0</v>
      </c>
      <c r="K803" s="6">
        <v>0</v>
      </c>
      <c r="L803" s="6">
        <v>5</v>
      </c>
      <c r="M803" t="s">
        <v>58</v>
      </c>
      <c r="N803" t="s">
        <v>69</v>
      </c>
      <c r="O803" t="s">
        <v>64</v>
      </c>
      <c r="P803" t="str">
        <f t="shared" si="84"/>
        <v>Small Business</v>
      </c>
      <c r="Q803" t="str">
        <f t="shared" si="85"/>
        <v>Midlands</v>
      </c>
      <c r="R803" t="str">
        <f>PROPER(TRIM(E803))</f>
        <v>Home &amp; Kitchen</v>
      </c>
      <c r="S803" s="27">
        <f>IF(ISTEXT(B803),DATEVALUE(B803),B803)</f>
        <v>45774</v>
      </c>
      <c r="T803" s="27">
        <f>COUNTIF($A$2:$A$1986,A803)</f>
        <v>1</v>
      </c>
      <c r="U803" s="27" t="str">
        <f t="shared" si="86"/>
        <v>Blender</v>
      </c>
      <c r="V803" s="27">
        <f t="shared" si="87"/>
        <v>252.2</v>
      </c>
      <c r="W803" s="27">
        <f t="shared" si="88"/>
        <v>137.08000000000001</v>
      </c>
      <c r="X803" s="27">
        <f>RawSalesTable3[[#This Row],[Revenue]]-RawSalesTable3[[#This Row],[Total_Cost]]</f>
        <v>115.11999999999998</v>
      </c>
      <c r="Y803" s="28">
        <f>RawSalesTable3[[#This Row],[Profit]]/RawSalesTable3[[#This Row],[Revenue]]</f>
        <v>0.45646312450436155</v>
      </c>
      <c r="Z803" s="27" t="str">
        <f>TEXT(RawSalesTable3[[#This Row],[Order_Date_Clean]],"MMM YYYY")</f>
        <v>Apr 2025</v>
      </c>
      <c r="AA803" s="27"/>
      <c r="AB803" s="27">
        <f t="shared" si="89"/>
        <v>0</v>
      </c>
      <c r="AC803" s="27">
        <f t="shared" si="90"/>
        <v>0</v>
      </c>
    </row>
    <row r="804" spans="1:29">
      <c r="A804" t="s">
        <v>904</v>
      </c>
      <c r="B804" s="3">
        <v>45718</v>
      </c>
      <c r="C804" t="s">
        <v>54</v>
      </c>
      <c r="D804" t="s">
        <v>55</v>
      </c>
      <c r="E804" t="s">
        <v>79</v>
      </c>
      <c r="F804" t="s">
        <v>85</v>
      </c>
      <c r="G804" s="6">
        <v>4</v>
      </c>
      <c r="H804" s="4">
        <v>130.22</v>
      </c>
      <c r="I804" s="4">
        <v>87.64</v>
      </c>
      <c r="J804" s="5">
        <v>0</v>
      </c>
      <c r="K804" s="6">
        <v>4</v>
      </c>
      <c r="L804" s="6">
        <v>4</v>
      </c>
      <c r="M804" t="s">
        <v>58</v>
      </c>
      <c r="N804" t="s">
        <v>59</v>
      </c>
      <c r="O804" t="s">
        <v>64</v>
      </c>
      <c r="P804" t="str">
        <f t="shared" si="84"/>
        <v>Small Business</v>
      </c>
      <c r="Q804" t="str">
        <f t="shared" si="85"/>
        <v>North</v>
      </c>
      <c r="R804" t="str">
        <f>PROPER(TRIM(E804))</f>
        <v>Electronics</v>
      </c>
      <c r="S804" s="27">
        <f>IF(ISTEXT(B804),DATEVALUE(B804),B804)</f>
        <v>45718</v>
      </c>
      <c r="T804" s="27">
        <f>COUNTIF($A$2:$A$1986,A804)</f>
        <v>1</v>
      </c>
      <c r="U804" s="27" t="str">
        <f t="shared" si="86"/>
        <v>SmartHome Hub</v>
      </c>
      <c r="V804" s="27">
        <f t="shared" si="87"/>
        <v>520.88</v>
      </c>
      <c r="W804" s="27">
        <f t="shared" si="88"/>
        <v>350.56</v>
      </c>
      <c r="X804" s="27">
        <f>RawSalesTable3[[#This Row],[Revenue]]-RawSalesTable3[[#This Row],[Total_Cost]]</f>
        <v>170.32</v>
      </c>
      <c r="Y804" s="28">
        <f>RawSalesTable3[[#This Row],[Profit]]/RawSalesTable3[[#This Row],[Revenue]]</f>
        <v>0.32698510213484872</v>
      </c>
      <c r="Z804" s="27" t="str">
        <f>TEXT(RawSalesTable3[[#This Row],[Order_Date_Clean]],"MMM YYYY")</f>
        <v>Mar 2025</v>
      </c>
      <c r="AA804" s="27"/>
      <c r="AB804" s="27">
        <f t="shared" si="89"/>
        <v>0</v>
      </c>
      <c r="AC804" s="27">
        <f t="shared" si="90"/>
        <v>0</v>
      </c>
    </row>
    <row r="805" spans="1:29">
      <c r="A805" t="s">
        <v>905</v>
      </c>
      <c r="B805" s="3">
        <v>45727</v>
      </c>
      <c r="C805" t="s">
        <v>78</v>
      </c>
      <c r="D805" t="s">
        <v>55</v>
      </c>
      <c r="E805" t="s">
        <v>56</v>
      </c>
      <c r="F805" t="s">
        <v>63</v>
      </c>
      <c r="G805" s="6">
        <v>3</v>
      </c>
      <c r="H805" s="4">
        <v>39.729999999999997</v>
      </c>
      <c r="I805" s="4">
        <v>19.829999999999998</v>
      </c>
      <c r="J805" s="5">
        <v>0</v>
      </c>
      <c r="K805" s="6">
        <v>5</v>
      </c>
      <c r="L805" s="6">
        <v>4</v>
      </c>
      <c r="M805" t="s">
        <v>58</v>
      </c>
      <c r="N805" t="s">
        <v>69</v>
      </c>
      <c r="O805" t="s">
        <v>64</v>
      </c>
      <c r="P805" t="str">
        <f t="shared" si="84"/>
        <v>Small Business</v>
      </c>
      <c r="Q805" t="str">
        <f t="shared" si="85"/>
        <v>London</v>
      </c>
      <c r="R805" t="str">
        <f>PROPER(TRIM(E805))</f>
        <v>Home &amp; Kitchen</v>
      </c>
      <c r="S805" s="27">
        <f>IF(ISTEXT(B805),DATEVALUE(B805),B805)</f>
        <v>45727</v>
      </c>
      <c r="T805" s="27">
        <f>COUNTIF($A$2:$A$1986,A805)</f>
        <v>1</v>
      </c>
      <c r="U805" s="27" t="str">
        <f t="shared" si="86"/>
        <v>Electric Kettle</v>
      </c>
      <c r="V805" s="27">
        <f t="shared" si="87"/>
        <v>119.19</v>
      </c>
      <c r="W805" s="27">
        <f t="shared" si="88"/>
        <v>59.489999999999995</v>
      </c>
      <c r="X805" s="27">
        <f>RawSalesTable3[[#This Row],[Revenue]]-RawSalesTable3[[#This Row],[Total_Cost]]</f>
        <v>59.7</v>
      </c>
      <c r="Y805" s="28">
        <f>RawSalesTable3[[#This Row],[Profit]]/RawSalesTable3[[#This Row],[Revenue]]</f>
        <v>0.50088094638811986</v>
      </c>
      <c r="Z805" s="27" t="str">
        <f>TEXT(RawSalesTable3[[#This Row],[Order_Date_Clean]],"MMM YYYY")</f>
        <v>Mar 2025</v>
      </c>
      <c r="AA805" s="27"/>
      <c r="AB805" s="27">
        <f t="shared" si="89"/>
        <v>0</v>
      </c>
      <c r="AC805" s="27">
        <f t="shared" si="90"/>
        <v>0</v>
      </c>
    </row>
    <row r="806" spans="1:29">
      <c r="A806" t="s">
        <v>906</v>
      </c>
      <c r="B806" s="3">
        <v>45947</v>
      </c>
      <c r="C806" t="s">
        <v>66</v>
      </c>
      <c r="D806" t="s">
        <v>62</v>
      </c>
      <c r="E806" t="s">
        <v>79</v>
      </c>
      <c r="F806" t="s">
        <v>92</v>
      </c>
      <c r="G806" s="6">
        <v>1</v>
      </c>
      <c r="H806" s="4">
        <v>50</v>
      </c>
      <c r="I806" s="4">
        <v>26.85</v>
      </c>
      <c r="J806" s="5">
        <v>0.15000000000000002</v>
      </c>
      <c r="K806" s="6">
        <v>2</v>
      </c>
      <c r="L806" s="6">
        <v>4</v>
      </c>
      <c r="M806" t="s">
        <v>58</v>
      </c>
      <c r="N806" t="s">
        <v>59</v>
      </c>
      <c r="O806" t="s">
        <v>73</v>
      </c>
      <c r="P806" t="str">
        <f t="shared" si="84"/>
        <v>Individual</v>
      </c>
      <c r="Q806" t="str">
        <f t="shared" si="85"/>
        <v>South</v>
      </c>
      <c r="R806" t="str">
        <f>PROPER(TRIM(E806))</f>
        <v>Electronics</v>
      </c>
      <c r="S806" s="27">
        <f>IF(ISTEXT(B806),DATEVALUE(B806),B806)</f>
        <v>45947</v>
      </c>
      <c r="T806" s="27">
        <f>COUNTIF($A$2:$A$1986,A806)</f>
        <v>1</v>
      </c>
      <c r="U806" s="27" t="str">
        <f t="shared" si="86"/>
        <v>Webcam</v>
      </c>
      <c r="V806" s="27">
        <f t="shared" si="87"/>
        <v>42.5</v>
      </c>
      <c r="W806" s="27">
        <f t="shared" si="88"/>
        <v>26.85</v>
      </c>
      <c r="X806" s="27">
        <f>RawSalesTable3[[#This Row],[Revenue]]-RawSalesTable3[[#This Row],[Total_Cost]]</f>
        <v>15.649999999999999</v>
      </c>
      <c r="Y806" s="28">
        <f>RawSalesTable3[[#This Row],[Profit]]/RawSalesTable3[[#This Row],[Revenue]]</f>
        <v>0.36823529411764705</v>
      </c>
      <c r="Z806" s="27" t="str">
        <f>TEXT(RawSalesTable3[[#This Row],[Order_Date_Clean]],"MMM YYYY")</f>
        <v>Oct 2025</v>
      </c>
      <c r="AA806" s="27"/>
      <c r="AB806" s="27">
        <f t="shared" si="89"/>
        <v>0</v>
      </c>
      <c r="AC806" s="27">
        <f t="shared" si="90"/>
        <v>0</v>
      </c>
    </row>
    <row r="807" spans="1:29">
      <c r="A807" t="s">
        <v>907</v>
      </c>
      <c r="B807" s="3">
        <v>45700</v>
      </c>
      <c r="C807" t="s">
        <v>82</v>
      </c>
      <c r="D807" t="s">
        <v>62</v>
      </c>
      <c r="E807" t="s">
        <v>79</v>
      </c>
      <c r="F807" t="s">
        <v>80</v>
      </c>
      <c r="G807" s="6">
        <v>2</v>
      </c>
      <c r="H807" s="4">
        <v>74.81</v>
      </c>
      <c r="I807" s="4">
        <v>42.37</v>
      </c>
      <c r="J807" s="5">
        <v>0.05</v>
      </c>
      <c r="K807" s="6">
        <v>3</v>
      </c>
      <c r="L807" s="6">
        <v>4</v>
      </c>
      <c r="M807" t="s">
        <v>58</v>
      </c>
      <c r="N807" t="s">
        <v>59</v>
      </c>
      <c r="O807" t="s">
        <v>64</v>
      </c>
      <c r="P807" t="str">
        <f t="shared" si="84"/>
        <v>Individual</v>
      </c>
      <c r="Q807" t="str">
        <f t="shared" si="85"/>
        <v>Midlands</v>
      </c>
      <c r="R807" t="str">
        <f>PROPER(TRIM(E807))</f>
        <v>Electronics</v>
      </c>
      <c r="S807" s="27">
        <f>IF(ISTEXT(B807),DATEVALUE(B807),B807)</f>
        <v>45700</v>
      </c>
      <c r="T807" s="27">
        <f>COUNTIF($A$2:$A$1986,A807)</f>
        <v>1</v>
      </c>
      <c r="U807" s="27" t="str">
        <f t="shared" si="86"/>
        <v>Portable Speaker</v>
      </c>
      <c r="V807" s="27">
        <f t="shared" si="87"/>
        <v>142.13900000000001</v>
      </c>
      <c r="W807" s="27">
        <f t="shared" si="88"/>
        <v>84.74</v>
      </c>
      <c r="X807" s="27">
        <f>RawSalesTable3[[#This Row],[Revenue]]-RawSalesTable3[[#This Row],[Total_Cost]]</f>
        <v>57.399000000000015</v>
      </c>
      <c r="Y807" s="28">
        <f>RawSalesTable3[[#This Row],[Profit]]/RawSalesTable3[[#This Row],[Revenue]]</f>
        <v>0.40382301831305983</v>
      </c>
      <c r="Z807" s="27" t="str">
        <f>TEXT(RawSalesTable3[[#This Row],[Order_Date_Clean]],"MMM YYYY")</f>
        <v>Feb 2025</v>
      </c>
      <c r="AA807" s="27"/>
      <c r="AB807" s="27">
        <f t="shared" si="89"/>
        <v>0</v>
      </c>
      <c r="AC807" s="27">
        <f t="shared" si="90"/>
        <v>0</v>
      </c>
    </row>
    <row r="808" spans="1:29">
      <c r="A808" t="s">
        <v>908</v>
      </c>
      <c r="B808" s="3">
        <v>45797</v>
      </c>
      <c r="C808" t="s">
        <v>66</v>
      </c>
      <c r="D808" t="s">
        <v>62</v>
      </c>
      <c r="E808" t="s">
        <v>79</v>
      </c>
      <c r="F808" t="s">
        <v>115</v>
      </c>
      <c r="G808" s="6">
        <v>2</v>
      </c>
      <c r="H808" s="4">
        <v>60.71</v>
      </c>
      <c r="I808" s="4">
        <v>35.69</v>
      </c>
      <c r="J808" s="5">
        <v>0.05</v>
      </c>
      <c r="K808" s="6">
        <v>1</v>
      </c>
      <c r="L808" s="6">
        <v>4</v>
      </c>
      <c r="M808" t="s">
        <v>58</v>
      </c>
      <c r="N808" t="s">
        <v>69</v>
      </c>
      <c r="O808" t="s">
        <v>64</v>
      </c>
      <c r="P808" t="str">
        <f t="shared" si="84"/>
        <v>Individual</v>
      </c>
      <c r="Q808" t="str">
        <f t="shared" si="85"/>
        <v>South</v>
      </c>
      <c r="R808" t="str">
        <f>PROPER(TRIM(E808))</f>
        <v>Electronics</v>
      </c>
      <c r="S808" s="27">
        <f>IF(ISTEXT(B808),DATEVALUE(B808),B808)</f>
        <v>45797</v>
      </c>
      <c r="T808" s="27">
        <f>COUNTIF($A$2:$A$1986,A808)</f>
        <v>1</v>
      </c>
      <c r="U808" s="27" t="str">
        <f t="shared" si="86"/>
        <v>Wireless Headset</v>
      </c>
      <c r="V808" s="27">
        <f t="shared" si="87"/>
        <v>115.34899999999999</v>
      </c>
      <c r="W808" s="27">
        <f t="shared" si="88"/>
        <v>71.38</v>
      </c>
      <c r="X808" s="27">
        <f>RawSalesTable3[[#This Row],[Revenue]]-RawSalesTable3[[#This Row],[Total_Cost]]</f>
        <v>43.968999999999994</v>
      </c>
      <c r="Y808" s="28">
        <f>RawSalesTable3[[#This Row],[Profit]]/RawSalesTable3[[#This Row],[Revenue]]</f>
        <v>0.38118232494429943</v>
      </c>
      <c r="Z808" s="27" t="str">
        <f>TEXT(RawSalesTable3[[#This Row],[Order_Date_Clean]],"MMM YYYY")</f>
        <v>May 2025</v>
      </c>
      <c r="AA808" s="27"/>
      <c r="AB808" s="27">
        <f t="shared" si="89"/>
        <v>0</v>
      </c>
      <c r="AC808" s="27">
        <f t="shared" si="90"/>
        <v>0</v>
      </c>
    </row>
    <row r="809" spans="1:29">
      <c r="A809" t="s">
        <v>909</v>
      </c>
      <c r="B809" s="3">
        <v>45758</v>
      </c>
      <c r="C809" t="s">
        <v>78</v>
      </c>
      <c r="D809" t="s">
        <v>62</v>
      </c>
      <c r="E809" t="s">
        <v>79</v>
      </c>
      <c r="F809" t="s">
        <v>92</v>
      </c>
      <c r="G809" s="6">
        <v>1</v>
      </c>
      <c r="H809" s="4">
        <v>50.7</v>
      </c>
      <c r="I809" s="4">
        <v>26.83</v>
      </c>
      <c r="J809" s="5">
        <v>0.1</v>
      </c>
      <c r="K809" s="6">
        <v>5</v>
      </c>
      <c r="L809" s="6">
        <v>4</v>
      </c>
      <c r="M809" t="s">
        <v>58</v>
      </c>
      <c r="N809" t="s">
        <v>59</v>
      </c>
      <c r="O809" t="s">
        <v>73</v>
      </c>
      <c r="P809" t="str">
        <f t="shared" si="84"/>
        <v>Individual</v>
      </c>
      <c r="Q809" t="str">
        <f t="shared" si="85"/>
        <v>London</v>
      </c>
      <c r="R809" t="str">
        <f>PROPER(TRIM(E809))</f>
        <v>Electronics</v>
      </c>
      <c r="S809" s="27">
        <f>IF(ISTEXT(B809),DATEVALUE(B809),B809)</f>
        <v>45758</v>
      </c>
      <c r="T809" s="27">
        <f>COUNTIF($A$2:$A$1986,A809)</f>
        <v>1</v>
      </c>
      <c r="U809" s="27" t="str">
        <f t="shared" si="86"/>
        <v>Webcam</v>
      </c>
      <c r="V809" s="27">
        <f t="shared" si="87"/>
        <v>45.63</v>
      </c>
      <c r="W809" s="27">
        <f t="shared" si="88"/>
        <v>26.83</v>
      </c>
      <c r="X809" s="27">
        <f>RawSalesTable3[[#This Row],[Revenue]]-RawSalesTable3[[#This Row],[Total_Cost]]</f>
        <v>18.800000000000004</v>
      </c>
      <c r="Y809" s="28">
        <f>RawSalesTable3[[#This Row],[Profit]]/RawSalesTable3[[#This Row],[Revenue]]</f>
        <v>0.41200964277887364</v>
      </c>
      <c r="Z809" s="27" t="str">
        <f>TEXT(RawSalesTable3[[#This Row],[Order_Date_Clean]],"MMM YYYY")</f>
        <v>Apr 2025</v>
      </c>
      <c r="AA809" s="27"/>
      <c r="AB809" s="27">
        <f t="shared" si="89"/>
        <v>0</v>
      </c>
      <c r="AC809" s="27">
        <f t="shared" si="90"/>
        <v>0</v>
      </c>
    </row>
    <row r="810" spans="1:29">
      <c r="A810" t="s">
        <v>910</v>
      </c>
      <c r="B810" s="3">
        <v>45948</v>
      </c>
      <c r="C810" t="s">
        <v>78</v>
      </c>
      <c r="D810" t="s">
        <v>62</v>
      </c>
      <c r="E810" t="s">
        <v>67</v>
      </c>
      <c r="F810" t="s">
        <v>94</v>
      </c>
      <c r="G810" s="6">
        <v>3</v>
      </c>
      <c r="H810" s="4">
        <v>34.840000000000003</v>
      </c>
      <c r="I810" s="4">
        <v>17.739999999999998</v>
      </c>
      <c r="J810" s="5">
        <v>0.05</v>
      </c>
      <c r="K810" s="6">
        <v>0</v>
      </c>
      <c r="L810" s="6">
        <v>4</v>
      </c>
      <c r="M810" t="s">
        <v>58</v>
      </c>
      <c r="N810" t="s">
        <v>69</v>
      </c>
      <c r="O810" t="s">
        <v>73</v>
      </c>
      <c r="P810" t="str">
        <f t="shared" si="84"/>
        <v>Individual</v>
      </c>
      <c r="Q810" t="str">
        <f t="shared" si="85"/>
        <v>London</v>
      </c>
      <c r="R810" t="str">
        <f>PROPER(TRIM(E810))</f>
        <v>Office</v>
      </c>
      <c r="S810" s="27">
        <f>IF(ISTEXT(B810),DATEVALUE(B810),B810)</f>
        <v>45948</v>
      </c>
      <c r="T810" s="27">
        <f>COUNTIF($A$2:$A$1986,A810)</f>
        <v>1</v>
      </c>
      <c r="U810" s="27" t="str">
        <f t="shared" si="86"/>
        <v>Wireless Mouse</v>
      </c>
      <c r="V810" s="27">
        <f t="shared" si="87"/>
        <v>99.294000000000011</v>
      </c>
      <c r="W810" s="27">
        <f t="shared" si="88"/>
        <v>53.22</v>
      </c>
      <c r="X810" s="27">
        <f>RawSalesTable3[[#This Row],[Revenue]]-RawSalesTable3[[#This Row],[Total_Cost]]</f>
        <v>46.074000000000012</v>
      </c>
      <c r="Y810" s="28">
        <f>RawSalesTable3[[#This Row],[Profit]]/RawSalesTable3[[#This Row],[Revenue]]</f>
        <v>0.46401595262553635</v>
      </c>
      <c r="Z810" s="27" t="str">
        <f>TEXT(RawSalesTable3[[#This Row],[Order_Date_Clean]],"MMM YYYY")</f>
        <v>Oct 2025</v>
      </c>
      <c r="AA810" s="27"/>
      <c r="AB810" s="27">
        <f t="shared" si="89"/>
        <v>0</v>
      </c>
      <c r="AC810" s="27">
        <f t="shared" si="90"/>
        <v>0</v>
      </c>
    </row>
    <row r="811" spans="1:29">
      <c r="A811" t="s">
        <v>911</v>
      </c>
      <c r="B811" s="3">
        <v>45659</v>
      </c>
      <c r="C811" t="s">
        <v>66</v>
      </c>
      <c r="D811" t="s">
        <v>62</v>
      </c>
      <c r="E811" t="s">
        <v>67</v>
      </c>
      <c r="F811" t="s">
        <v>107</v>
      </c>
      <c r="G811" s="6">
        <v>1</v>
      </c>
      <c r="H811" s="4">
        <v>43.69</v>
      </c>
      <c r="I811" s="4">
        <v>21.57</v>
      </c>
      <c r="J811" s="5">
        <v>0</v>
      </c>
      <c r="K811" s="6">
        <v>4</v>
      </c>
      <c r="L811" s="6">
        <v>4</v>
      </c>
      <c r="M811" t="s">
        <v>58</v>
      </c>
      <c r="N811" t="s">
        <v>87</v>
      </c>
      <c r="O811" t="s">
        <v>73</v>
      </c>
      <c r="P811" t="str">
        <f t="shared" si="84"/>
        <v>Individual</v>
      </c>
      <c r="Q811" t="str">
        <f t="shared" si="85"/>
        <v>South</v>
      </c>
      <c r="R811" t="str">
        <f>PROPER(TRIM(E811))</f>
        <v>Office</v>
      </c>
      <c r="S811" s="27">
        <f>IF(ISTEXT(B811),DATEVALUE(B811),B811)</f>
        <v>45659</v>
      </c>
      <c r="T811" s="27">
        <f>COUNTIF($A$2:$A$1986,A811)</f>
        <v>1</v>
      </c>
      <c r="U811" s="27" t="str">
        <f t="shared" si="86"/>
        <v>Laptop Stand</v>
      </c>
      <c r="V811" s="27">
        <f t="shared" si="87"/>
        <v>43.69</v>
      </c>
      <c r="W811" s="27">
        <f t="shared" si="88"/>
        <v>21.57</v>
      </c>
      <c r="X811" s="27">
        <f>RawSalesTable3[[#This Row],[Revenue]]-RawSalesTable3[[#This Row],[Total_Cost]]</f>
        <v>22.119999999999997</v>
      </c>
      <c r="Y811" s="28">
        <f>RawSalesTable3[[#This Row],[Profit]]/RawSalesTable3[[#This Row],[Revenue]]</f>
        <v>0.50629434653238725</v>
      </c>
      <c r="Z811" s="27" t="str">
        <f>TEXT(RawSalesTable3[[#This Row],[Order_Date_Clean]],"MMM YYYY")</f>
        <v>Jan 2025</v>
      </c>
      <c r="AA811" s="27"/>
      <c r="AB811" s="27">
        <f t="shared" si="89"/>
        <v>0</v>
      </c>
      <c r="AC811" s="27">
        <f t="shared" si="90"/>
        <v>0</v>
      </c>
    </row>
    <row r="812" spans="1:29">
      <c r="A812" t="s">
        <v>912</v>
      </c>
      <c r="B812" s="3">
        <v>45995</v>
      </c>
      <c r="C812" t="s">
        <v>54</v>
      </c>
      <c r="D812" t="s">
        <v>62</v>
      </c>
      <c r="E812" t="s">
        <v>56</v>
      </c>
      <c r="F812" t="s">
        <v>63</v>
      </c>
      <c r="G812" s="6">
        <v>1</v>
      </c>
      <c r="H812" s="4">
        <v>39.85</v>
      </c>
      <c r="I812" s="4">
        <v>20.22</v>
      </c>
      <c r="J812" s="5">
        <v>0.1</v>
      </c>
      <c r="K812" s="6">
        <v>2</v>
      </c>
      <c r="L812" s="6">
        <v>5</v>
      </c>
      <c r="M812" t="s">
        <v>58</v>
      </c>
      <c r="N812" t="s">
        <v>59</v>
      </c>
      <c r="O812" t="s">
        <v>64</v>
      </c>
      <c r="P812" t="str">
        <f t="shared" si="84"/>
        <v>Individual</v>
      </c>
      <c r="Q812" t="str">
        <f t="shared" si="85"/>
        <v>North</v>
      </c>
      <c r="R812" t="str">
        <f>PROPER(TRIM(E812))</f>
        <v>Home &amp; Kitchen</v>
      </c>
      <c r="S812" s="27">
        <f>IF(ISTEXT(B812),DATEVALUE(B812),B812)</f>
        <v>45995</v>
      </c>
      <c r="T812" s="27">
        <f>COUNTIF($A$2:$A$1986,A812)</f>
        <v>1</v>
      </c>
      <c r="U812" s="27" t="str">
        <f t="shared" si="86"/>
        <v>Electric Kettle</v>
      </c>
      <c r="V812" s="27">
        <f t="shared" si="87"/>
        <v>35.865000000000002</v>
      </c>
      <c r="W812" s="27">
        <f t="shared" si="88"/>
        <v>20.22</v>
      </c>
      <c r="X812" s="27">
        <f>RawSalesTable3[[#This Row],[Revenue]]-RawSalesTable3[[#This Row],[Total_Cost]]</f>
        <v>15.645000000000003</v>
      </c>
      <c r="Y812" s="28">
        <f>RawSalesTable3[[#This Row],[Profit]]/RawSalesTable3[[#This Row],[Revenue]]</f>
        <v>0.43621915516520293</v>
      </c>
      <c r="Z812" s="27" t="str">
        <f>TEXT(RawSalesTable3[[#This Row],[Order_Date_Clean]],"MMM YYYY")</f>
        <v>Dec 2025</v>
      </c>
      <c r="AA812" s="27"/>
      <c r="AB812" s="27">
        <f t="shared" si="89"/>
        <v>0</v>
      </c>
      <c r="AC812" s="27">
        <f t="shared" si="90"/>
        <v>0</v>
      </c>
    </row>
    <row r="813" spans="1:29">
      <c r="A813" t="s">
        <v>913</v>
      </c>
      <c r="B813" s="3">
        <v>45861</v>
      </c>
      <c r="C813" t="s">
        <v>54</v>
      </c>
      <c r="D813" t="s">
        <v>62</v>
      </c>
      <c r="E813" t="s">
        <v>56</v>
      </c>
      <c r="F813" t="s">
        <v>89</v>
      </c>
      <c r="G813" s="6">
        <v>1</v>
      </c>
      <c r="H813" s="4">
        <v>80.97</v>
      </c>
      <c r="I813" s="4">
        <v>44.05</v>
      </c>
      <c r="J813" s="5">
        <v>0.05</v>
      </c>
      <c r="K813" s="6">
        <v>1</v>
      </c>
      <c r="L813" s="6">
        <v>4</v>
      </c>
      <c r="M813" t="s">
        <v>58</v>
      </c>
      <c r="N813" t="s">
        <v>69</v>
      </c>
      <c r="O813" t="s">
        <v>64</v>
      </c>
      <c r="P813" t="str">
        <f t="shared" si="84"/>
        <v>Individual</v>
      </c>
      <c r="Q813" t="str">
        <f t="shared" si="85"/>
        <v>North</v>
      </c>
      <c r="R813" t="str">
        <f>PROPER(TRIM(E813))</f>
        <v>Home &amp; Kitchen</v>
      </c>
      <c r="S813" s="27">
        <f>IF(ISTEXT(B813),DATEVALUE(B813),B813)</f>
        <v>45861</v>
      </c>
      <c r="T813" s="27">
        <f>COUNTIF($A$2:$A$1986,A813)</f>
        <v>1</v>
      </c>
      <c r="U813" s="27" t="str">
        <f t="shared" si="86"/>
        <v>Coffee Maker</v>
      </c>
      <c r="V813" s="27">
        <f t="shared" si="87"/>
        <v>76.921499999999995</v>
      </c>
      <c r="W813" s="27">
        <f t="shared" si="88"/>
        <v>44.05</v>
      </c>
      <c r="X813" s="27">
        <f>RawSalesTable3[[#This Row],[Revenue]]-RawSalesTable3[[#This Row],[Total_Cost]]</f>
        <v>32.871499999999997</v>
      </c>
      <c r="Y813" s="28">
        <f>RawSalesTable3[[#This Row],[Profit]]/RawSalesTable3[[#This Row],[Revenue]]</f>
        <v>0.42733826043433892</v>
      </c>
      <c r="Z813" s="27" t="str">
        <f>TEXT(RawSalesTable3[[#This Row],[Order_Date_Clean]],"MMM YYYY")</f>
        <v>Jul 2025</v>
      </c>
      <c r="AA813" s="27"/>
      <c r="AB813" s="27">
        <f t="shared" si="89"/>
        <v>0</v>
      </c>
      <c r="AC813" s="27">
        <f t="shared" si="90"/>
        <v>0</v>
      </c>
    </row>
    <row r="814" spans="1:29">
      <c r="A814" t="s">
        <v>914</v>
      </c>
      <c r="B814" s="3">
        <v>45699</v>
      </c>
      <c r="C814" t="s">
        <v>82</v>
      </c>
      <c r="D814" t="s">
        <v>62</v>
      </c>
      <c r="E814" t="s">
        <v>75</v>
      </c>
      <c r="F814" t="s">
        <v>110</v>
      </c>
      <c r="G814" s="6">
        <v>1</v>
      </c>
      <c r="H814" s="4">
        <v>158.57</v>
      </c>
      <c r="I814" s="4">
        <v>98.24</v>
      </c>
      <c r="J814" s="5">
        <v>0</v>
      </c>
      <c r="K814" s="6">
        <v>4</v>
      </c>
      <c r="L814" s="6">
        <v>3</v>
      </c>
      <c r="M814" t="s">
        <v>126</v>
      </c>
      <c r="N814" t="s">
        <v>59</v>
      </c>
      <c r="O814" t="s">
        <v>60</v>
      </c>
      <c r="P814" t="str">
        <f t="shared" si="84"/>
        <v>Individual</v>
      </c>
      <c r="Q814" t="str">
        <f t="shared" si="85"/>
        <v>Midlands</v>
      </c>
      <c r="R814" t="str">
        <f>PROPER(TRIM(E814))</f>
        <v>Furniture</v>
      </c>
      <c r="S814" s="27">
        <f>IF(ISTEXT(B814),DATEVALUE(B814),B814)</f>
        <v>45699</v>
      </c>
      <c r="T814" s="27">
        <f>COUNTIF($A$2:$A$1986,A814)</f>
        <v>1</v>
      </c>
      <c r="U814" s="27" t="str">
        <f t="shared" si="86"/>
        <v>Storage Cabinet</v>
      </c>
      <c r="V814" s="27">
        <f t="shared" si="87"/>
        <v>158.57</v>
      </c>
      <c r="W814" s="27">
        <f t="shared" si="88"/>
        <v>98.24</v>
      </c>
      <c r="X814" s="27">
        <f>RawSalesTable3[[#This Row],[Revenue]]-RawSalesTable3[[#This Row],[Total_Cost]]</f>
        <v>60.33</v>
      </c>
      <c r="Y814" s="28">
        <f>RawSalesTable3[[#This Row],[Profit]]/RawSalesTable3[[#This Row],[Revenue]]</f>
        <v>0.38046288705303655</v>
      </c>
      <c r="Z814" s="27" t="str">
        <f>TEXT(RawSalesTable3[[#This Row],[Order_Date_Clean]],"MMM YYYY")</f>
        <v>Feb 2025</v>
      </c>
      <c r="AA814" s="27"/>
      <c r="AB814" s="27">
        <f t="shared" si="89"/>
        <v>0</v>
      </c>
      <c r="AC814" s="27">
        <f t="shared" si="90"/>
        <v>0</v>
      </c>
    </row>
    <row r="815" spans="1:29">
      <c r="A815" t="s">
        <v>915</v>
      </c>
      <c r="B815" s="3">
        <v>45821</v>
      </c>
      <c r="C815" t="s">
        <v>78</v>
      </c>
      <c r="D815" t="s">
        <v>62</v>
      </c>
      <c r="E815" t="s">
        <v>75</v>
      </c>
      <c r="F815" t="s">
        <v>110</v>
      </c>
      <c r="G815" s="6">
        <v>1</v>
      </c>
      <c r="H815" s="4">
        <v>164.09</v>
      </c>
      <c r="I815" s="4">
        <v>102.54</v>
      </c>
      <c r="J815" s="5">
        <v>0</v>
      </c>
      <c r="K815" s="6">
        <v>4</v>
      </c>
      <c r="L815" s="6">
        <v>4</v>
      </c>
      <c r="M815" t="s">
        <v>58</v>
      </c>
      <c r="N815" t="s">
        <v>69</v>
      </c>
      <c r="O815" t="s">
        <v>64</v>
      </c>
      <c r="P815" t="str">
        <f t="shared" si="84"/>
        <v>Individual</v>
      </c>
      <c r="Q815" t="str">
        <f t="shared" si="85"/>
        <v>London</v>
      </c>
      <c r="R815" t="str">
        <f>PROPER(TRIM(E815))</f>
        <v>Furniture</v>
      </c>
      <c r="S815" s="27">
        <f>IF(ISTEXT(B815),DATEVALUE(B815),B815)</f>
        <v>45821</v>
      </c>
      <c r="T815" s="27">
        <f>COUNTIF($A$2:$A$1986,A815)</f>
        <v>1</v>
      </c>
      <c r="U815" s="27" t="str">
        <f t="shared" si="86"/>
        <v>Storage Cabinet</v>
      </c>
      <c r="V815" s="27">
        <f t="shared" si="87"/>
        <v>164.09</v>
      </c>
      <c r="W815" s="27">
        <f t="shared" si="88"/>
        <v>102.54</v>
      </c>
      <c r="X815" s="27">
        <f>RawSalesTable3[[#This Row],[Revenue]]-RawSalesTable3[[#This Row],[Total_Cost]]</f>
        <v>61.55</v>
      </c>
      <c r="Y815" s="28">
        <f>RawSalesTable3[[#This Row],[Profit]]/RawSalesTable3[[#This Row],[Revenue]]</f>
        <v>0.37509903101956243</v>
      </c>
      <c r="Z815" s="27" t="str">
        <f>TEXT(RawSalesTable3[[#This Row],[Order_Date_Clean]],"MMM YYYY")</f>
        <v>Jun 2025</v>
      </c>
      <c r="AA815" s="27"/>
      <c r="AB815" s="27">
        <f t="shared" si="89"/>
        <v>0</v>
      </c>
      <c r="AC815" s="27">
        <f t="shared" si="90"/>
        <v>0</v>
      </c>
    </row>
    <row r="816" spans="1:29">
      <c r="A816" t="s">
        <v>916</v>
      </c>
      <c r="B816" s="3">
        <v>45691</v>
      </c>
      <c r="C816" t="s">
        <v>54</v>
      </c>
      <c r="D816" t="s">
        <v>62</v>
      </c>
      <c r="E816" t="s">
        <v>67</v>
      </c>
      <c r="F816" t="s">
        <v>94</v>
      </c>
      <c r="G816" s="6">
        <v>1</v>
      </c>
      <c r="H816" s="4">
        <v>33.94</v>
      </c>
      <c r="I816" s="4">
        <v>17.059999999999999</v>
      </c>
      <c r="J816" s="5">
        <v>0</v>
      </c>
      <c r="K816" s="6">
        <v>0</v>
      </c>
      <c r="L816" s="6">
        <v>5</v>
      </c>
      <c r="M816" t="s">
        <v>58</v>
      </c>
      <c r="N816" t="s">
        <v>69</v>
      </c>
      <c r="O816" t="s">
        <v>64</v>
      </c>
      <c r="P816" t="str">
        <f t="shared" si="84"/>
        <v>Individual</v>
      </c>
      <c r="Q816" t="str">
        <f t="shared" si="85"/>
        <v>North</v>
      </c>
      <c r="R816" t="str">
        <f>PROPER(TRIM(E816))</f>
        <v>Office</v>
      </c>
      <c r="S816" s="27">
        <f>IF(ISTEXT(B816),DATEVALUE(B816),B816)</f>
        <v>45691</v>
      </c>
      <c r="T816" s="27">
        <f>COUNTIF($A$2:$A$1986,A816)</f>
        <v>1</v>
      </c>
      <c r="U816" s="27" t="str">
        <f t="shared" si="86"/>
        <v>Wireless Mouse</v>
      </c>
      <c r="V816" s="27">
        <f t="shared" si="87"/>
        <v>33.94</v>
      </c>
      <c r="W816" s="27">
        <f t="shared" si="88"/>
        <v>17.059999999999999</v>
      </c>
      <c r="X816" s="27">
        <f>RawSalesTable3[[#This Row],[Revenue]]-RawSalesTable3[[#This Row],[Total_Cost]]</f>
        <v>16.88</v>
      </c>
      <c r="Y816" s="28">
        <f>RawSalesTable3[[#This Row],[Profit]]/RawSalesTable3[[#This Row],[Revenue]]</f>
        <v>0.49734826163818502</v>
      </c>
      <c r="Z816" s="27" t="str">
        <f>TEXT(RawSalesTable3[[#This Row],[Order_Date_Clean]],"MMM YYYY")</f>
        <v>Feb 2025</v>
      </c>
      <c r="AA816" s="27"/>
      <c r="AB816" s="27">
        <f t="shared" si="89"/>
        <v>0</v>
      </c>
      <c r="AC816" s="27">
        <f t="shared" si="90"/>
        <v>0</v>
      </c>
    </row>
    <row r="817" spans="1:29">
      <c r="A817" t="s">
        <v>917</v>
      </c>
      <c r="B817" s="3">
        <v>45951</v>
      </c>
      <c r="C817" t="s">
        <v>66</v>
      </c>
      <c r="D817" t="s">
        <v>62</v>
      </c>
      <c r="E817" t="s">
        <v>75</v>
      </c>
      <c r="F817" t="s">
        <v>76</v>
      </c>
      <c r="G817" s="6">
        <v>1</v>
      </c>
      <c r="H817" s="4">
        <v>118.78</v>
      </c>
      <c r="I817" s="4">
        <v>71.25</v>
      </c>
      <c r="J817" s="5">
        <v>0.1</v>
      </c>
      <c r="K817" s="6">
        <v>4</v>
      </c>
      <c r="L817" s="6">
        <v>4</v>
      </c>
      <c r="M817" t="s">
        <v>58</v>
      </c>
      <c r="N817" t="s">
        <v>69</v>
      </c>
      <c r="O817" t="s">
        <v>64</v>
      </c>
      <c r="P817" t="str">
        <f t="shared" si="84"/>
        <v>Individual</v>
      </c>
      <c r="Q817" t="str">
        <f t="shared" si="85"/>
        <v>South</v>
      </c>
      <c r="R817" t="str">
        <f>PROPER(TRIM(E817))</f>
        <v>Furniture</v>
      </c>
      <c r="S817" s="27">
        <f>IF(ISTEXT(B817),DATEVALUE(B817),B817)</f>
        <v>45951</v>
      </c>
      <c r="T817" s="27">
        <f>COUNTIF($A$2:$A$1986,A817)</f>
        <v>1</v>
      </c>
      <c r="U817" s="27" t="str">
        <f t="shared" si="86"/>
        <v>Bookshelf</v>
      </c>
      <c r="V817" s="27">
        <f t="shared" si="87"/>
        <v>106.902</v>
      </c>
      <c r="W817" s="27">
        <f t="shared" si="88"/>
        <v>71.25</v>
      </c>
      <c r="X817" s="27">
        <f>RawSalesTable3[[#This Row],[Revenue]]-RawSalesTable3[[#This Row],[Total_Cost]]</f>
        <v>35.652000000000001</v>
      </c>
      <c r="Y817" s="28">
        <f>RawSalesTable3[[#This Row],[Profit]]/RawSalesTable3[[#This Row],[Revenue]]</f>
        <v>0.33350171184823485</v>
      </c>
      <c r="Z817" s="27" t="str">
        <f>TEXT(RawSalesTable3[[#This Row],[Order_Date_Clean]],"MMM YYYY")</f>
        <v>Oct 2025</v>
      </c>
      <c r="AA817" s="27"/>
      <c r="AB817" s="27">
        <f t="shared" si="89"/>
        <v>0</v>
      </c>
      <c r="AC817" s="27">
        <f t="shared" si="90"/>
        <v>0</v>
      </c>
    </row>
    <row r="818" spans="1:29">
      <c r="A818" t="s">
        <v>918</v>
      </c>
      <c r="B818" s="3">
        <v>45889</v>
      </c>
      <c r="C818" t="s">
        <v>54</v>
      </c>
      <c r="D818" t="s">
        <v>62</v>
      </c>
      <c r="E818" t="s">
        <v>75</v>
      </c>
      <c r="F818" t="s">
        <v>146</v>
      </c>
      <c r="G818" s="6">
        <v>1</v>
      </c>
      <c r="H818" s="4">
        <v>177.26</v>
      </c>
      <c r="I818" s="4">
        <v>118.74</v>
      </c>
      <c r="J818" s="5">
        <v>0</v>
      </c>
      <c r="K818" s="6">
        <v>4</v>
      </c>
      <c r="L818" s="6">
        <v>5</v>
      </c>
      <c r="M818" t="s">
        <v>58</v>
      </c>
      <c r="N818" t="s">
        <v>59</v>
      </c>
      <c r="O818" t="s">
        <v>73</v>
      </c>
      <c r="P818" t="str">
        <f t="shared" si="84"/>
        <v>Individual</v>
      </c>
      <c r="Q818" t="str">
        <f t="shared" si="85"/>
        <v>North</v>
      </c>
      <c r="R818" t="str">
        <f>PROPER(TRIM(E818))</f>
        <v>Furniture</v>
      </c>
      <c r="S818" s="27">
        <f>IF(ISTEXT(B818),DATEVALUE(B818),B818)</f>
        <v>45889</v>
      </c>
      <c r="T818" s="27">
        <f>COUNTIF($A$2:$A$1986,A818)</f>
        <v>1</v>
      </c>
      <c r="U818" s="27" t="str">
        <f t="shared" si="86"/>
        <v>Office Chair</v>
      </c>
      <c r="V818" s="27">
        <f t="shared" si="87"/>
        <v>177.26</v>
      </c>
      <c r="W818" s="27">
        <f t="shared" si="88"/>
        <v>118.74</v>
      </c>
      <c r="X818" s="27">
        <f>RawSalesTable3[[#This Row],[Revenue]]-RawSalesTable3[[#This Row],[Total_Cost]]</f>
        <v>58.519999999999996</v>
      </c>
      <c r="Y818" s="28">
        <f>RawSalesTable3[[#This Row],[Profit]]/RawSalesTable3[[#This Row],[Revenue]]</f>
        <v>0.33013652262213694</v>
      </c>
      <c r="Z818" s="27" t="str">
        <f>TEXT(RawSalesTable3[[#This Row],[Order_Date_Clean]],"MMM YYYY")</f>
        <v>Aug 2025</v>
      </c>
      <c r="AA818" s="27"/>
      <c r="AB818" s="27">
        <f t="shared" si="89"/>
        <v>0</v>
      </c>
      <c r="AC818" s="27">
        <f t="shared" si="90"/>
        <v>0</v>
      </c>
    </row>
    <row r="819" spans="1:29">
      <c r="A819" t="s">
        <v>919</v>
      </c>
      <c r="B819" s="3">
        <v>45915</v>
      </c>
      <c r="C819" t="s">
        <v>78</v>
      </c>
      <c r="D819" t="s">
        <v>55</v>
      </c>
      <c r="E819" t="s">
        <v>56</v>
      </c>
      <c r="F819" t="s">
        <v>63</v>
      </c>
      <c r="G819" s="6">
        <v>1</v>
      </c>
      <c r="H819" s="4">
        <v>41.29</v>
      </c>
      <c r="I819" s="4">
        <v>19.420000000000002</v>
      </c>
      <c r="J819" s="5">
        <v>0.05</v>
      </c>
      <c r="K819" s="6">
        <v>4</v>
      </c>
      <c r="L819" s="6">
        <v>4</v>
      </c>
      <c r="M819" t="s">
        <v>58</v>
      </c>
      <c r="N819" t="s">
        <v>87</v>
      </c>
      <c r="O819" t="s">
        <v>64</v>
      </c>
      <c r="P819" t="str">
        <f t="shared" si="84"/>
        <v>Small Business</v>
      </c>
      <c r="Q819" t="str">
        <f t="shared" si="85"/>
        <v>London</v>
      </c>
      <c r="R819" t="str">
        <f>PROPER(TRIM(E819))</f>
        <v>Home &amp; Kitchen</v>
      </c>
      <c r="S819" s="27">
        <f>IF(ISTEXT(B819),DATEVALUE(B819),B819)</f>
        <v>45915</v>
      </c>
      <c r="T819" s="27">
        <f>COUNTIF($A$2:$A$1986,A819)</f>
        <v>1</v>
      </c>
      <c r="U819" s="27" t="str">
        <f t="shared" si="86"/>
        <v>Electric Kettle</v>
      </c>
      <c r="V819" s="27">
        <f t="shared" si="87"/>
        <v>39.225499999999997</v>
      </c>
      <c r="W819" s="27">
        <f t="shared" si="88"/>
        <v>19.420000000000002</v>
      </c>
      <c r="X819" s="27">
        <f>RawSalesTable3[[#This Row],[Revenue]]-RawSalesTable3[[#This Row],[Total_Cost]]</f>
        <v>19.805499999999995</v>
      </c>
      <c r="Y819" s="28">
        <f>RawSalesTable3[[#This Row],[Profit]]/RawSalesTable3[[#This Row],[Revenue]]</f>
        <v>0.5049138952977017</v>
      </c>
      <c r="Z819" s="27" t="str">
        <f>TEXT(RawSalesTable3[[#This Row],[Order_Date_Clean]],"MMM YYYY")</f>
        <v>Sep 2025</v>
      </c>
      <c r="AA819" s="27"/>
      <c r="AB819" s="27">
        <f t="shared" si="89"/>
        <v>0</v>
      </c>
      <c r="AC819" s="27">
        <f t="shared" si="90"/>
        <v>0</v>
      </c>
    </row>
    <row r="820" spans="1:29">
      <c r="A820" t="s">
        <v>920</v>
      </c>
      <c r="B820" s="3">
        <v>45753</v>
      </c>
      <c r="C820" t="s">
        <v>82</v>
      </c>
      <c r="D820" t="s">
        <v>62</v>
      </c>
      <c r="E820" t="s">
        <v>56</v>
      </c>
      <c r="F820" t="s">
        <v>83</v>
      </c>
      <c r="G820" s="6">
        <v>1</v>
      </c>
      <c r="H820" s="4">
        <v>64.739999999999995</v>
      </c>
      <c r="I820" s="4">
        <v>36.43</v>
      </c>
      <c r="J820" s="5">
        <v>0.1</v>
      </c>
      <c r="K820" s="6">
        <v>4</v>
      </c>
      <c r="L820" s="6">
        <v>4</v>
      </c>
      <c r="M820" t="s">
        <v>58</v>
      </c>
      <c r="N820" t="s">
        <v>59</v>
      </c>
      <c r="O820" t="s">
        <v>60</v>
      </c>
      <c r="P820" t="str">
        <f t="shared" si="84"/>
        <v>Individual</v>
      </c>
      <c r="Q820" t="str">
        <f t="shared" si="85"/>
        <v>Midlands</v>
      </c>
      <c r="R820" t="str">
        <f>PROPER(TRIM(E820))</f>
        <v>Home &amp; Kitchen</v>
      </c>
      <c r="S820" s="27">
        <f>IF(ISTEXT(B820),DATEVALUE(B820),B820)</f>
        <v>45753</v>
      </c>
      <c r="T820" s="27">
        <f>COUNTIF($A$2:$A$1986,A820)</f>
        <v>1</v>
      </c>
      <c r="U820" s="27" t="str">
        <f t="shared" si="86"/>
        <v>Blender</v>
      </c>
      <c r="V820" s="27">
        <f t="shared" si="87"/>
        <v>58.265999999999998</v>
      </c>
      <c r="W820" s="27">
        <f t="shared" si="88"/>
        <v>36.43</v>
      </c>
      <c r="X820" s="27">
        <f>RawSalesTable3[[#This Row],[Revenue]]-RawSalesTable3[[#This Row],[Total_Cost]]</f>
        <v>21.835999999999999</v>
      </c>
      <c r="Y820" s="28">
        <f>RawSalesTable3[[#This Row],[Profit]]/RawSalesTable3[[#This Row],[Revenue]]</f>
        <v>0.37476401331823017</v>
      </c>
      <c r="Z820" s="27" t="str">
        <f>TEXT(RawSalesTable3[[#This Row],[Order_Date_Clean]],"MMM YYYY")</f>
        <v>Apr 2025</v>
      </c>
      <c r="AA820" s="27"/>
      <c r="AB820" s="27">
        <f t="shared" si="89"/>
        <v>0</v>
      </c>
      <c r="AC820" s="27">
        <f t="shared" si="90"/>
        <v>0</v>
      </c>
    </row>
    <row r="821" spans="1:29">
      <c r="A821" t="s">
        <v>921</v>
      </c>
      <c r="B821" s="3">
        <v>46016</v>
      </c>
      <c r="C821" t="s">
        <v>54</v>
      </c>
      <c r="D821" t="s">
        <v>62</v>
      </c>
      <c r="E821" t="s">
        <v>75</v>
      </c>
      <c r="F821" t="s">
        <v>110</v>
      </c>
      <c r="G821" s="6">
        <v>2</v>
      </c>
      <c r="H821" s="4">
        <v>156.55000000000001</v>
      </c>
      <c r="I821" s="4">
        <v>104.41</v>
      </c>
      <c r="J821" s="5">
        <v>0.05</v>
      </c>
      <c r="K821" s="6">
        <v>7</v>
      </c>
      <c r="L821" s="6">
        <v>4</v>
      </c>
      <c r="M821" t="s">
        <v>58</v>
      </c>
      <c r="N821" t="s">
        <v>59</v>
      </c>
      <c r="O821" t="s">
        <v>64</v>
      </c>
      <c r="P821" t="str">
        <f t="shared" si="84"/>
        <v>Individual</v>
      </c>
      <c r="Q821" t="str">
        <f t="shared" si="85"/>
        <v>North</v>
      </c>
      <c r="R821" t="str">
        <f>PROPER(TRIM(E821))</f>
        <v>Furniture</v>
      </c>
      <c r="S821" s="27">
        <f>IF(ISTEXT(B821),DATEVALUE(B821),B821)</f>
        <v>46016</v>
      </c>
      <c r="T821" s="27">
        <f>COUNTIF($A$2:$A$1986,A821)</f>
        <v>1</v>
      </c>
      <c r="U821" s="27" t="str">
        <f t="shared" si="86"/>
        <v>Storage Cabinet</v>
      </c>
      <c r="V821" s="27">
        <f t="shared" si="87"/>
        <v>297.44499999999999</v>
      </c>
      <c r="W821" s="27">
        <f t="shared" si="88"/>
        <v>208.82</v>
      </c>
      <c r="X821" s="27">
        <f>RawSalesTable3[[#This Row],[Revenue]]-RawSalesTable3[[#This Row],[Total_Cost]]</f>
        <v>88.625</v>
      </c>
      <c r="Y821" s="28">
        <f>RawSalesTable3[[#This Row],[Profit]]/RawSalesTable3[[#This Row],[Revenue]]</f>
        <v>0.29795424364168166</v>
      </c>
      <c r="Z821" s="27" t="str">
        <f>TEXT(RawSalesTable3[[#This Row],[Order_Date_Clean]],"MMM YYYY")</f>
        <v>Dec 2025</v>
      </c>
      <c r="AA821" s="27"/>
      <c r="AB821" s="27">
        <f t="shared" si="89"/>
        <v>0</v>
      </c>
      <c r="AC821" s="27">
        <f t="shared" si="90"/>
        <v>0</v>
      </c>
    </row>
    <row r="822" spans="1:29">
      <c r="A822" t="s">
        <v>922</v>
      </c>
      <c r="B822" s="3">
        <v>45670</v>
      </c>
      <c r="C822" t="s">
        <v>66</v>
      </c>
      <c r="D822" t="s">
        <v>62</v>
      </c>
      <c r="E822" t="s">
        <v>56</v>
      </c>
      <c r="F822" t="s">
        <v>63</v>
      </c>
      <c r="G822" s="6">
        <v>4</v>
      </c>
      <c r="H822" s="4">
        <v>40.65</v>
      </c>
      <c r="I822" s="4">
        <v>19.89</v>
      </c>
      <c r="J822" s="5">
        <v>0.15000000000000002</v>
      </c>
      <c r="K822" s="6">
        <v>5</v>
      </c>
      <c r="L822" s="6">
        <v>4</v>
      </c>
      <c r="M822" t="s">
        <v>58</v>
      </c>
      <c r="N822" t="s">
        <v>59</v>
      </c>
      <c r="O822" t="s">
        <v>64</v>
      </c>
      <c r="P822" t="str">
        <f t="shared" si="84"/>
        <v>Individual</v>
      </c>
      <c r="Q822" t="str">
        <f t="shared" si="85"/>
        <v>South</v>
      </c>
      <c r="R822" t="str">
        <f>PROPER(TRIM(E822))</f>
        <v>Home &amp; Kitchen</v>
      </c>
      <c r="S822" s="27">
        <f>IF(ISTEXT(B822),DATEVALUE(B822),B822)</f>
        <v>45670</v>
      </c>
      <c r="T822" s="27">
        <f>COUNTIF($A$2:$A$1986,A822)</f>
        <v>1</v>
      </c>
      <c r="U822" s="27" t="str">
        <f t="shared" si="86"/>
        <v>Electric Kettle</v>
      </c>
      <c r="V822" s="27">
        <f t="shared" si="87"/>
        <v>138.20999999999998</v>
      </c>
      <c r="W822" s="27">
        <f t="shared" si="88"/>
        <v>79.56</v>
      </c>
      <c r="X822" s="27">
        <f>RawSalesTable3[[#This Row],[Revenue]]-RawSalesTable3[[#This Row],[Total_Cost]]</f>
        <v>58.649999999999977</v>
      </c>
      <c r="Y822" s="28">
        <f>RawSalesTable3[[#This Row],[Profit]]/RawSalesTable3[[#This Row],[Revenue]]</f>
        <v>0.42435424354243534</v>
      </c>
      <c r="Z822" s="27" t="str">
        <f>TEXT(RawSalesTable3[[#This Row],[Order_Date_Clean]],"MMM YYYY")</f>
        <v>Jan 2025</v>
      </c>
      <c r="AA822" s="27"/>
      <c r="AB822" s="27">
        <f t="shared" si="89"/>
        <v>0</v>
      </c>
      <c r="AC822" s="27">
        <f t="shared" si="90"/>
        <v>0</v>
      </c>
    </row>
    <row r="823" spans="1:29">
      <c r="A823" t="s">
        <v>923</v>
      </c>
      <c r="B823" s="3">
        <v>45759</v>
      </c>
      <c r="C823" t="s">
        <v>66</v>
      </c>
      <c r="D823" t="s">
        <v>62</v>
      </c>
      <c r="E823" t="s">
        <v>56</v>
      </c>
      <c r="F823" t="s">
        <v>89</v>
      </c>
      <c r="G823" s="6">
        <v>1</v>
      </c>
      <c r="H823" s="4">
        <v>78.08</v>
      </c>
      <c r="I823" s="4">
        <v>45.62</v>
      </c>
      <c r="J823" s="5">
        <v>0.1</v>
      </c>
      <c r="K823" s="6">
        <v>3</v>
      </c>
      <c r="L823" s="6">
        <v>4</v>
      </c>
      <c r="M823" t="s">
        <v>58</v>
      </c>
      <c r="N823" t="s">
        <v>59</v>
      </c>
      <c r="O823" t="s">
        <v>64</v>
      </c>
      <c r="P823" t="str">
        <f t="shared" si="84"/>
        <v>Individual</v>
      </c>
      <c r="Q823" t="str">
        <f t="shared" si="85"/>
        <v>South</v>
      </c>
      <c r="R823" t="str">
        <f>PROPER(TRIM(E823))</f>
        <v>Home &amp; Kitchen</v>
      </c>
      <c r="S823" s="27">
        <f>IF(ISTEXT(B823),DATEVALUE(B823),B823)</f>
        <v>45759</v>
      </c>
      <c r="T823" s="27">
        <f>COUNTIF($A$2:$A$1986,A823)</f>
        <v>1</v>
      </c>
      <c r="U823" s="27" t="str">
        <f t="shared" si="86"/>
        <v>Coffee Maker</v>
      </c>
      <c r="V823" s="27">
        <f t="shared" si="87"/>
        <v>70.272000000000006</v>
      </c>
      <c r="W823" s="27">
        <f t="shared" si="88"/>
        <v>45.62</v>
      </c>
      <c r="X823" s="27">
        <f>RawSalesTable3[[#This Row],[Revenue]]-RawSalesTable3[[#This Row],[Total_Cost]]</f>
        <v>24.652000000000008</v>
      </c>
      <c r="Y823" s="28">
        <f>RawSalesTable3[[#This Row],[Profit]]/RawSalesTable3[[#This Row],[Revenue]]</f>
        <v>0.35080828779599282</v>
      </c>
      <c r="Z823" s="27" t="str">
        <f>TEXT(RawSalesTable3[[#This Row],[Order_Date_Clean]],"MMM YYYY")</f>
        <v>Apr 2025</v>
      </c>
      <c r="AA823" s="27"/>
      <c r="AB823" s="27">
        <f t="shared" si="89"/>
        <v>0</v>
      </c>
      <c r="AC823" s="27">
        <f t="shared" si="90"/>
        <v>0</v>
      </c>
    </row>
    <row r="824" spans="1:29">
      <c r="A824" t="s">
        <v>924</v>
      </c>
      <c r="B824" s="3">
        <v>45765</v>
      </c>
      <c r="C824" t="s">
        <v>78</v>
      </c>
      <c r="D824" t="s">
        <v>62</v>
      </c>
      <c r="E824" t="s">
        <v>56</v>
      </c>
      <c r="F824" t="s">
        <v>57</v>
      </c>
      <c r="G824" s="6">
        <v>2</v>
      </c>
      <c r="H824" s="4">
        <v>112.72</v>
      </c>
      <c r="I824" s="4">
        <v>68.81</v>
      </c>
      <c r="J824" s="5">
        <v>0.05</v>
      </c>
      <c r="K824" s="6">
        <v>3</v>
      </c>
      <c r="L824" s="6">
        <v>5</v>
      </c>
      <c r="M824" t="s">
        <v>58</v>
      </c>
      <c r="N824" t="s">
        <v>87</v>
      </c>
      <c r="O824" t="s">
        <v>64</v>
      </c>
      <c r="P824" t="str">
        <f t="shared" si="84"/>
        <v>Individual</v>
      </c>
      <c r="Q824" t="str">
        <f t="shared" si="85"/>
        <v>London</v>
      </c>
      <c r="R824" t="str">
        <f>PROPER(TRIM(E824))</f>
        <v>Home &amp; Kitchen</v>
      </c>
      <c r="S824" s="27">
        <f>IF(ISTEXT(B824),DATEVALUE(B824),B824)</f>
        <v>45765</v>
      </c>
      <c r="T824" s="27">
        <f>COUNTIF($A$2:$A$1986,A824)</f>
        <v>1</v>
      </c>
      <c r="U824" s="27" t="str">
        <f t="shared" si="86"/>
        <v>Air Fryer</v>
      </c>
      <c r="V824" s="27">
        <f t="shared" si="87"/>
        <v>214.16799999999998</v>
      </c>
      <c r="W824" s="27">
        <f t="shared" si="88"/>
        <v>137.62</v>
      </c>
      <c r="X824" s="27">
        <f>RawSalesTable3[[#This Row],[Revenue]]-RawSalesTable3[[#This Row],[Total_Cost]]</f>
        <v>76.547999999999973</v>
      </c>
      <c r="Y824" s="28">
        <f>RawSalesTable3[[#This Row],[Profit]]/RawSalesTable3[[#This Row],[Revenue]]</f>
        <v>0.35742034290837094</v>
      </c>
      <c r="Z824" s="27" t="str">
        <f>TEXT(RawSalesTable3[[#This Row],[Order_Date_Clean]],"MMM YYYY")</f>
        <v>Apr 2025</v>
      </c>
      <c r="AA824" s="27"/>
      <c r="AB824" s="27">
        <f t="shared" si="89"/>
        <v>0</v>
      </c>
      <c r="AC824" s="27">
        <f t="shared" si="90"/>
        <v>0</v>
      </c>
    </row>
    <row r="825" spans="1:29">
      <c r="A825" t="s">
        <v>925</v>
      </c>
      <c r="B825" s="3">
        <v>45866</v>
      </c>
      <c r="C825" t="s">
        <v>78</v>
      </c>
      <c r="D825" t="s">
        <v>55</v>
      </c>
      <c r="E825" t="s">
        <v>75</v>
      </c>
      <c r="F825" t="s">
        <v>97</v>
      </c>
      <c r="G825" s="6">
        <v>4</v>
      </c>
      <c r="H825" s="4">
        <v>89.22</v>
      </c>
      <c r="I825" s="4">
        <v>55.9</v>
      </c>
      <c r="J825" s="5">
        <v>0.1</v>
      </c>
      <c r="K825" s="6">
        <v>3</v>
      </c>
      <c r="L825" s="6">
        <v>5</v>
      </c>
      <c r="M825" t="s">
        <v>58</v>
      </c>
      <c r="N825" t="s">
        <v>69</v>
      </c>
      <c r="O825" t="s">
        <v>64</v>
      </c>
      <c r="P825" t="str">
        <f t="shared" si="84"/>
        <v>Small Business</v>
      </c>
      <c r="Q825" t="str">
        <f t="shared" si="85"/>
        <v>London</v>
      </c>
      <c r="R825" t="str">
        <f>PROPER(TRIM(E825))</f>
        <v>Furniture</v>
      </c>
      <c r="S825" s="27">
        <f>IF(ISTEXT(B825),DATEVALUE(B825),B825)</f>
        <v>45866</v>
      </c>
      <c r="T825" s="27">
        <f>COUNTIF($A$2:$A$1986,A825)</f>
        <v>1</v>
      </c>
      <c r="U825" s="27" t="str">
        <f t="shared" si="86"/>
        <v>Side Table</v>
      </c>
      <c r="V825" s="27">
        <f t="shared" si="87"/>
        <v>321.19200000000001</v>
      </c>
      <c r="W825" s="27">
        <f t="shared" si="88"/>
        <v>223.6</v>
      </c>
      <c r="X825" s="27">
        <f>RawSalesTable3[[#This Row],[Revenue]]-RawSalesTable3[[#This Row],[Total_Cost]]</f>
        <v>97.592000000000013</v>
      </c>
      <c r="Y825" s="28">
        <f>RawSalesTable3[[#This Row],[Profit]]/RawSalesTable3[[#This Row],[Revenue]]</f>
        <v>0.30384318413908196</v>
      </c>
      <c r="Z825" s="27" t="str">
        <f>TEXT(RawSalesTable3[[#This Row],[Order_Date_Clean]],"MMM YYYY")</f>
        <v>Jul 2025</v>
      </c>
      <c r="AA825" s="27"/>
      <c r="AB825" s="27">
        <f t="shared" si="89"/>
        <v>0</v>
      </c>
      <c r="AC825" s="27">
        <f t="shared" si="90"/>
        <v>0</v>
      </c>
    </row>
    <row r="826" spans="1:29">
      <c r="A826" t="s">
        <v>926</v>
      </c>
      <c r="B826" s="3">
        <v>46014</v>
      </c>
      <c r="C826" t="s">
        <v>66</v>
      </c>
      <c r="D826" t="s">
        <v>62</v>
      </c>
      <c r="E826" t="s">
        <v>56</v>
      </c>
      <c r="F826" t="s">
        <v>63</v>
      </c>
      <c r="G826" s="6">
        <v>3</v>
      </c>
      <c r="H826" s="4">
        <v>40.200000000000003</v>
      </c>
      <c r="I826" s="4">
        <v>20.440000000000001</v>
      </c>
      <c r="J826" s="5">
        <v>0.05</v>
      </c>
      <c r="K826" s="6">
        <v>3</v>
      </c>
      <c r="L826" s="6">
        <v>4</v>
      </c>
      <c r="M826" t="s">
        <v>58</v>
      </c>
      <c r="N826" t="s">
        <v>69</v>
      </c>
      <c r="O826" t="s">
        <v>64</v>
      </c>
      <c r="P826" t="str">
        <f t="shared" si="84"/>
        <v>Individual</v>
      </c>
      <c r="Q826" t="str">
        <f t="shared" si="85"/>
        <v>South</v>
      </c>
      <c r="R826" t="str">
        <f>PROPER(TRIM(E826))</f>
        <v>Home &amp; Kitchen</v>
      </c>
      <c r="S826" s="27">
        <f>IF(ISTEXT(B826),DATEVALUE(B826),B826)</f>
        <v>46014</v>
      </c>
      <c r="T826" s="27">
        <f>COUNTIF($A$2:$A$1986,A826)</f>
        <v>1</v>
      </c>
      <c r="U826" s="27" t="str">
        <f t="shared" si="86"/>
        <v>Electric Kettle</v>
      </c>
      <c r="V826" s="27">
        <f t="shared" si="87"/>
        <v>114.57000000000001</v>
      </c>
      <c r="W826" s="27">
        <f t="shared" si="88"/>
        <v>61.320000000000007</v>
      </c>
      <c r="X826" s="27">
        <f>RawSalesTable3[[#This Row],[Revenue]]-RawSalesTable3[[#This Row],[Total_Cost]]</f>
        <v>53.25</v>
      </c>
      <c r="Y826" s="28">
        <f>RawSalesTable3[[#This Row],[Profit]]/RawSalesTable3[[#This Row],[Revenue]]</f>
        <v>0.46478135637601464</v>
      </c>
      <c r="Z826" s="27" t="str">
        <f>TEXT(RawSalesTable3[[#This Row],[Order_Date_Clean]],"MMM YYYY")</f>
        <v>Dec 2025</v>
      </c>
      <c r="AA826" s="27"/>
      <c r="AB826" s="27">
        <f t="shared" si="89"/>
        <v>0</v>
      </c>
      <c r="AC826" s="27">
        <f t="shared" si="90"/>
        <v>0</v>
      </c>
    </row>
    <row r="827" spans="1:29">
      <c r="A827" t="s">
        <v>927</v>
      </c>
      <c r="B827" s="3">
        <v>45774</v>
      </c>
      <c r="C827" t="s">
        <v>54</v>
      </c>
      <c r="D827" t="s">
        <v>55</v>
      </c>
      <c r="E827" t="s">
        <v>67</v>
      </c>
      <c r="F827" t="s">
        <v>94</v>
      </c>
      <c r="G827" s="6">
        <v>2</v>
      </c>
      <c r="H827" s="4">
        <v>33.99</v>
      </c>
      <c r="I827" s="4">
        <v>17.21</v>
      </c>
      <c r="J827" s="5">
        <v>0</v>
      </c>
      <c r="K827" s="6">
        <v>0</v>
      </c>
      <c r="L827" s="6">
        <v>5</v>
      </c>
      <c r="M827" t="s">
        <v>58</v>
      </c>
      <c r="N827" t="s">
        <v>69</v>
      </c>
      <c r="O827" t="s">
        <v>64</v>
      </c>
      <c r="P827" t="str">
        <f t="shared" si="84"/>
        <v>Small Business</v>
      </c>
      <c r="Q827" t="str">
        <f t="shared" si="85"/>
        <v>North</v>
      </c>
      <c r="R827" t="str">
        <f>PROPER(TRIM(E827))</f>
        <v>Office</v>
      </c>
      <c r="S827" s="27">
        <f>IF(ISTEXT(B827),DATEVALUE(B827),B827)</f>
        <v>45774</v>
      </c>
      <c r="T827" s="27">
        <f>COUNTIF($A$2:$A$1986,A827)</f>
        <v>1</v>
      </c>
      <c r="U827" s="27" t="str">
        <f t="shared" si="86"/>
        <v>Wireless Mouse</v>
      </c>
      <c r="V827" s="27">
        <f t="shared" si="87"/>
        <v>67.98</v>
      </c>
      <c r="W827" s="27">
        <f t="shared" si="88"/>
        <v>34.42</v>
      </c>
      <c r="X827" s="27">
        <f>RawSalesTable3[[#This Row],[Revenue]]-RawSalesTable3[[#This Row],[Total_Cost]]</f>
        <v>33.56</v>
      </c>
      <c r="Y827" s="28">
        <f>RawSalesTable3[[#This Row],[Profit]]/RawSalesTable3[[#This Row],[Revenue]]</f>
        <v>0.49367461017946457</v>
      </c>
      <c r="Z827" s="27" t="str">
        <f>TEXT(RawSalesTable3[[#This Row],[Order_Date_Clean]],"MMM YYYY")</f>
        <v>Apr 2025</v>
      </c>
      <c r="AA827" s="27"/>
      <c r="AB827" s="27">
        <f t="shared" si="89"/>
        <v>0</v>
      </c>
      <c r="AC827" s="27">
        <f t="shared" si="90"/>
        <v>0</v>
      </c>
    </row>
    <row r="828" spans="1:29">
      <c r="A828" t="s">
        <v>928</v>
      </c>
      <c r="B828" s="3">
        <v>45988</v>
      </c>
      <c r="C828" t="s">
        <v>78</v>
      </c>
      <c r="D828" t="s">
        <v>62</v>
      </c>
      <c r="E828" t="s">
        <v>75</v>
      </c>
      <c r="F828" t="s">
        <v>97</v>
      </c>
      <c r="G828" s="6">
        <v>3</v>
      </c>
      <c r="H828" s="4">
        <v>89.64</v>
      </c>
      <c r="I828" s="4">
        <v>56.35</v>
      </c>
      <c r="J828" s="5">
        <v>0.1</v>
      </c>
      <c r="K828" s="6">
        <v>6</v>
      </c>
      <c r="L828" s="6">
        <v>4</v>
      </c>
      <c r="M828" t="s">
        <v>58</v>
      </c>
      <c r="N828" t="s">
        <v>87</v>
      </c>
      <c r="O828" t="s">
        <v>60</v>
      </c>
      <c r="P828" t="str">
        <f t="shared" si="84"/>
        <v>Individual</v>
      </c>
      <c r="Q828" t="str">
        <f t="shared" si="85"/>
        <v>London</v>
      </c>
      <c r="R828" t="str">
        <f>PROPER(TRIM(E828))</f>
        <v>Furniture</v>
      </c>
      <c r="S828" s="27">
        <f>IF(ISTEXT(B828),DATEVALUE(B828),B828)</f>
        <v>45988</v>
      </c>
      <c r="T828" s="27">
        <f>COUNTIF($A$2:$A$1986,A828)</f>
        <v>1</v>
      </c>
      <c r="U828" s="27" t="str">
        <f t="shared" si="86"/>
        <v>Side Table</v>
      </c>
      <c r="V828" s="27">
        <f t="shared" si="87"/>
        <v>242.02800000000002</v>
      </c>
      <c r="W828" s="27">
        <f t="shared" si="88"/>
        <v>169.05</v>
      </c>
      <c r="X828" s="27">
        <f>RawSalesTable3[[#This Row],[Revenue]]-RawSalesTable3[[#This Row],[Total_Cost]]</f>
        <v>72.978000000000009</v>
      </c>
      <c r="Y828" s="28">
        <f>RawSalesTable3[[#This Row],[Profit]]/RawSalesTable3[[#This Row],[Revenue]]</f>
        <v>0.30152709603847488</v>
      </c>
      <c r="Z828" s="27" t="str">
        <f>TEXT(RawSalesTable3[[#This Row],[Order_Date_Clean]],"MMM YYYY")</f>
        <v>Nov 2025</v>
      </c>
      <c r="AA828" s="27"/>
      <c r="AB828" s="27">
        <f t="shared" si="89"/>
        <v>0</v>
      </c>
      <c r="AC828" s="27">
        <f t="shared" si="90"/>
        <v>0</v>
      </c>
    </row>
    <row r="829" spans="1:29">
      <c r="A829" t="s">
        <v>929</v>
      </c>
      <c r="B829" s="3">
        <v>45849</v>
      </c>
      <c r="C829" t="s">
        <v>66</v>
      </c>
      <c r="D829" t="s">
        <v>55</v>
      </c>
      <c r="E829" t="s">
        <v>67</v>
      </c>
      <c r="F829" t="s">
        <v>94</v>
      </c>
      <c r="G829" s="6">
        <v>4</v>
      </c>
      <c r="H829" s="4">
        <v>35.380000000000003</v>
      </c>
      <c r="I829" s="4">
        <v>17.059999999999999</v>
      </c>
      <c r="J829" s="5">
        <v>0.2</v>
      </c>
      <c r="K829" s="6">
        <v>8</v>
      </c>
      <c r="L829" s="6">
        <v>2</v>
      </c>
      <c r="M829" t="s">
        <v>126</v>
      </c>
      <c r="N829" t="s">
        <v>59</v>
      </c>
      <c r="O829" t="s">
        <v>64</v>
      </c>
      <c r="P829" t="str">
        <f t="shared" si="84"/>
        <v>Small Business</v>
      </c>
      <c r="Q829" t="str">
        <f t="shared" si="85"/>
        <v>South</v>
      </c>
      <c r="R829" t="str">
        <f>PROPER(TRIM(E829))</f>
        <v>Office</v>
      </c>
      <c r="S829" s="27">
        <f>IF(ISTEXT(B829),DATEVALUE(B829),B829)</f>
        <v>45849</v>
      </c>
      <c r="T829" s="27">
        <f>COUNTIF($A$2:$A$1986,A829)</f>
        <v>1</v>
      </c>
      <c r="U829" s="27" t="str">
        <f t="shared" si="86"/>
        <v>Wireless Mouse</v>
      </c>
      <c r="V829" s="27">
        <f t="shared" si="87"/>
        <v>113.21600000000001</v>
      </c>
      <c r="W829" s="27">
        <f t="shared" si="88"/>
        <v>68.239999999999995</v>
      </c>
      <c r="X829" s="27">
        <f>RawSalesTable3[[#This Row],[Revenue]]-RawSalesTable3[[#This Row],[Total_Cost]]</f>
        <v>44.976000000000013</v>
      </c>
      <c r="Y829" s="28">
        <f>RawSalesTable3[[#This Row],[Profit]]/RawSalesTable3[[#This Row],[Revenue]]</f>
        <v>0.39725833804409277</v>
      </c>
      <c r="Z829" s="27" t="str">
        <f>TEXT(RawSalesTable3[[#This Row],[Order_Date_Clean]],"MMM YYYY")</f>
        <v>Jul 2025</v>
      </c>
      <c r="AA829" s="27"/>
      <c r="AB829" s="27">
        <f t="shared" si="89"/>
        <v>0</v>
      </c>
      <c r="AC829" s="27">
        <f t="shared" si="90"/>
        <v>0</v>
      </c>
    </row>
    <row r="830" spans="1:29">
      <c r="A830" t="s">
        <v>930</v>
      </c>
      <c r="B830" s="3">
        <v>45883</v>
      </c>
      <c r="C830" t="s">
        <v>66</v>
      </c>
      <c r="D830" t="s">
        <v>62</v>
      </c>
      <c r="E830" t="s">
        <v>67</v>
      </c>
      <c r="F830" t="s">
        <v>68</v>
      </c>
      <c r="G830" s="6">
        <v>1</v>
      </c>
      <c r="H830" s="4">
        <v>39.07</v>
      </c>
      <c r="I830" s="4">
        <v>19.64</v>
      </c>
      <c r="J830" s="5">
        <v>0.1</v>
      </c>
      <c r="K830" s="6">
        <v>8</v>
      </c>
      <c r="L830" s="6">
        <v>4</v>
      </c>
      <c r="M830" t="s">
        <v>58</v>
      </c>
      <c r="N830" t="s">
        <v>59</v>
      </c>
      <c r="O830" t="s">
        <v>64</v>
      </c>
      <c r="P830" t="str">
        <f t="shared" si="84"/>
        <v>Individual</v>
      </c>
      <c r="Q830" t="str">
        <f t="shared" si="85"/>
        <v>South</v>
      </c>
      <c r="R830" t="str">
        <f>PROPER(TRIM(E830))</f>
        <v>Office</v>
      </c>
      <c r="S830" s="27">
        <f>IF(ISTEXT(B830),DATEVALUE(B830),B830)</f>
        <v>45883</v>
      </c>
      <c r="T830" s="27">
        <f>COUNTIF($A$2:$A$1986,A830)</f>
        <v>1</v>
      </c>
      <c r="U830" s="27" t="str">
        <f t="shared" si="86"/>
        <v>Desk Lamp</v>
      </c>
      <c r="V830" s="27">
        <f t="shared" si="87"/>
        <v>35.163000000000004</v>
      </c>
      <c r="W830" s="27">
        <f t="shared" si="88"/>
        <v>19.64</v>
      </c>
      <c r="X830" s="27">
        <f>RawSalesTable3[[#This Row],[Revenue]]-RawSalesTable3[[#This Row],[Total_Cost]]</f>
        <v>15.523000000000003</v>
      </c>
      <c r="Y830" s="28">
        <f>RawSalesTable3[[#This Row],[Profit]]/RawSalesTable3[[#This Row],[Revenue]]</f>
        <v>0.44145835110769849</v>
      </c>
      <c r="Z830" s="27" t="str">
        <f>TEXT(RawSalesTable3[[#This Row],[Order_Date_Clean]],"MMM YYYY")</f>
        <v>Aug 2025</v>
      </c>
      <c r="AA830" s="27"/>
      <c r="AB830" s="27">
        <f t="shared" si="89"/>
        <v>0</v>
      </c>
      <c r="AC830" s="27">
        <f t="shared" si="90"/>
        <v>0</v>
      </c>
    </row>
    <row r="831" spans="1:29">
      <c r="A831" t="s">
        <v>931</v>
      </c>
      <c r="B831" s="3">
        <v>45767</v>
      </c>
      <c r="C831" t="s">
        <v>78</v>
      </c>
      <c r="D831" t="s">
        <v>62</v>
      </c>
      <c r="E831" t="s">
        <v>79</v>
      </c>
      <c r="F831" t="s">
        <v>80</v>
      </c>
      <c r="G831" s="6">
        <v>3</v>
      </c>
      <c r="H831" s="4">
        <v>75.819999999999993</v>
      </c>
      <c r="I831" s="4">
        <v>41.76</v>
      </c>
      <c r="J831" s="5">
        <v>0.05</v>
      </c>
      <c r="K831" s="6">
        <v>6</v>
      </c>
      <c r="L831" s="6">
        <v>4</v>
      </c>
      <c r="M831" t="s">
        <v>58</v>
      </c>
      <c r="N831" t="s">
        <v>59</v>
      </c>
      <c r="O831" t="s">
        <v>73</v>
      </c>
      <c r="P831" t="str">
        <f t="shared" si="84"/>
        <v>Individual</v>
      </c>
      <c r="Q831" t="str">
        <f t="shared" si="85"/>
        <v>London</v>
      </c>
      <c r="R831" t="str">
        <f>PROPER(TRIM(E831))</f>
        <v>Electronics</v>
      </c>
      <c r="S831" s="27">
        <f>IF(ISTEXT(B831),DATEVALUE(B831),B831)</f>
        <v>45767</v>
      </c>
      <c r="T831" s="27">
        <f>COUNTIF($A$2:$A$1986,A831)</f>
        <v>1</v>
      </c>
      <c r="U831" s="27" t="str">
        <f t="shared" si="86"/>
        <v>Portable Speaker</v>
      </c>
      <c r="V831" s="27">
        <f t="shared" si="87"/>
        <v>216.08699999999996</v>
      </c>
      <c r="W831" s="27">
        <f t="shared" si="88"/>
        <v>125.28</v>
      </c>
      <c r="X831" s="27">
        <f>RawSalesTable3[[#This Row],[Revenue]]-RawSalesTable3[[#This Row],[Total_Cost]]</f>
        <v>90.80699999999996</v>
      </c>
      <c r="Y831" s="28">
        <f>RawSalesTable3[[#This Row],[Profit]]/RawSalesTable3[[#This Row],[Revenue]]</f>
        <v>0.42023351705563028</v>
      </c>
      <c r="Z831" s="27" t="str">
        <f>TEXT(RawSalesTable3[[#This Row],[Order_Date_Clean]],"MMM YYYY")</f>
        <v>Apr 2025</v>
      </c>
      <c r="AA831" s="27"/>
      <c r="AB831" s="27">
        <f t="shared" si="89"/>
        <v>0</v>
      </c>
      <c r="AC831" s="27">
        <f t="shared" si="90"/>
        <v>0</v>
      </c>
    </row>
    <row r="832" spans="1:29">
      <c r="A832" t="s">
        <v>932</v>
      </c>
      <c r="B832" s="3">
        <v>45990</v>
      </c>
      <c r="C832" t="s">
        <v>54</v>
      </c>
      <c r="D832" t="s">
        <v>55</v>
      </c>
      <c r="E832" t="s">
        <v>79</v>
      </c>
      <c r="F832" t="s">
        <v>80</v>
      </c>
      <c r="G832" s="6">
        <v>3</v>
      </c>
      <c r="H832" s="4">
        <v>77.489999999999995</v>
      </c>
      <c r="I832" s="4">
        <v>43.98</v>
      </c>
      <c r="J832" s="5">
        <v>0.05</v>
      </c>
      <c r="K832" s="6">
        <v>6</v>
      </c>
      <c r="L832" s="6">
        <v>3</v>
      </c>
      <c r="M832" t="s">
        <v>58</v>
      </c>
      <c r="N832" t="s">
        <v>59</v>
      </c>
      <c r="O832" t="s">
        <v>64</v>
      </c>
      <c r="P832" t="str">
        <f t="shared" si="84"/>
        <v>Small Business</v>
      </c>
      <c r="Q832" t="str">
        <f t="shared" si="85"/>
        <v>North</v>
      </c>
      <c r="R832" t="str">
        <f>PROPER(TRIM(E832))</f>
        <v>Electronics</v>
      </c>
      <c r="S832" s="27">
        <f>IF(ISTEXT(B832),DATEVALUE(B832),B832)</f>
        <v>45990</v>
      </c>
      <c r="T832" s="27">
        <f>COUNTIF($A$2:$A$1986,A832)</f>
        <v>1</v>
      </c>
      <c r="U832" s="27" t="str">
        <f t="shared" si="86"/>
        <v>Portable Speaker</v>
      </c>
      <c r="V832" s="27">
        <f t="shared" si="87"/>
        <v>220.84649999999996</v>
      </c>
      <c r="W832" s="27">
        <f t="shared" si="88"/>
        <v>131.94</v>
      </c>
      <c r="X832" s="27">
        <f>RawSalesTable3[[#This Row],[Revenue]]-RawSalesTable3[[#This Row],[Total_Cost]]</f>
        <v>88.906499999999966</v>
      </c>
      <c r="Y832" s="28">
        <f>RawSalesTable3[[#This Row],[Profit]]/RawSalesTable3[[#This Row],[Revenue]]</f>
        <v>0.40257146932371568</v>
      </c>
      <c r="Z832" s="27" t="str">
        <f>TEXT(RawSalesTable3[[#This Row],[Order_Date_Clean]],"MMM YYYY")</f>
        <v>Nov 2025</v>
      </c>
      <c r="AA832" s="27"/>
      <c r="AB832" s="27">
        <f t="shared" si="89"/>
        <v>0</v>
      </c>
      <c r="AC832" s="27">
        <f t="shared" si="90"/>
        <v>0</v>
      </c>
    </row>
    <row r="833" spans="1:29">
      <c r="A833" t="s">
        <v>933</v>
      </c>
      <c r="B833" s="3">
        <v>45782</v>
      </c>
      <c r="C833" t="s">
        <v>66</v>
      </c>
      <c r="D833" t="s">
        <v>62</v>
      </c>
      <c r="E833" t="s">
        <v>79</v>
      </c>
      <c r="F833" t="s">
        <v>92</v>
      </c>
      <c r="G833" s="6">
        <v>1</v>
      </c>
      <c r="H833" s="4">
        <v>49.2</v>
      </c>
      <c r="I833" s="4">
        <v>26.05</v>
      </c>
      <c r="J833" s="5">
        <v>0</v>
      </c>
      <c r="K833" s="6">
        <v>0</v>
      </c>
      <c r="L833" s="6">
        <v>5</v>
      </c>
      <c r="M833" t="s">
        <v>58</v>
      </c>
      <c r="N833" t="s">
        <v>69</v>
      </c>
      <c r="O833" t="s">
        <v>64</v>
      </c>
      <c r="P833" t="str">
        <f t="shared" si="84"/>
        <v>Individual</v>
      </c>
      <c r="Q833" t="str">
        <f t="shared" si="85"/>
        <v>South</v>
      </c>
      <c r="R833" t="str">
        <f>PROPER(TRIM(E833))</f>
        <v>Electronics</v>
      </c>
      <c r="S833" s="27">
        <f>IF(ISTEXT(B833),DATEVALUE(B833),B833)</f>
        <v>45782</v>
      </c>
      <c r="T833" s="27">
        <f>COUNTIF($A$2:$A$1986,A833)</f>
        <v>1</v>
      </c>
      <c r="U833" s="27" t="str">
        <f t="shared" si="86"/>
        <v>Webcam</v>
      </c>
      <c r="V833" s="27">
        <f t="shared" si="87"/>
        <v>49.2</v>
      </c>
      <c r="W833" s="27">
        <f t="shared" si="88"/>
        <v>26.05</v>
      </c>
      <c r="X833" s="27">
        <f>RawSalesTable3[[#This Row],[Revenue]]-RawSalesTable3[[#This Row],[Total_Cost]]</f>
        <v>23.150000000000002</v>
      </c>
      <c r="Y833" s="28">
        <f>RawSalesTable3[[#This Row],[Profit]]/RawSalesTable3[[#This Row],[Revenue]]</f>
        <v>0.47052845528455284</v>
      </c>
      <c r="Z833" s="27" t="str">
        <f>TEXT(RawSalesTable3[[#This Row],[Order_Date_Clean]],"MMM YYYY")</f>
        <v>May 2025</v>
      </c>
      <c r="AA833" s="27"/>
      <c r="AB833" s="27">
        <f t="shared" si="89"/>
        <v>0</v>
      </c>
      <c r="AC833" s="27">
        <f t="shared" si="90"/>
        <v>0</v>
      </c>
    </row>
    <row r="834" spans="1:29">
      <c r="A834" t="s">
        <v>934</v>
      </c>
      <c r="B834" s="3">
        <v>45897</v>
      </c>
      <c r="C834" t="s">
        <v>66</v>
      </c>
      <c r="D834" t="s">
        <v>62</v>
      </c>
      <c r="E834" t="s">
        <v>56</v>
      </c>
      <c r="F834" t="s">
        <v>63</v>
      </c>
      <c r="G834" s="6">
        <v>1</v>
      </c>
      <c r="H834" s="4">
        <v>39.76</v>
      </c>
      <c r="I834" s="4">
        <v>19.8</v>
      </c>
      <c r="J834" s="5">
        <v>0.15000000000000002</v>
      </c>
      <c r="K834" s="6">
        <v>2</v>
      </c>
      <c r="L834" s="6">
        <v>4</v>
      </c>
      <c r="M834" t="s">
        <v>58</v>
      </c>
      <c r="N834" t="s">
        <v>69</v>
      </c>
      <c r="O834" t="s">
        <v>60</v>
      </c>
      <c r="P834" t="str">
        <f t="shared" ref="P834:P897" si="91">IF(TRIM(D834)="","Unknow",PROPER(TRIM(D834)))</f>
        <v>Individual</v>
      </c>
      <c r="Q834" t="str">
        <f t="shared" ref="Q834:Q897" si="92">IF(PROPER(TRIM(C834))="Mid Lands","Midlands",PROPER(TRIM(C834)))</f>
        <v>South</v>
      </c>
      <c r="R834" t="str">
        <f>PROPER(TRIM(E834))</f>
        <v>Home &amp; Kitchen</v>
      </c>
      <c r="S834" s="27">
        <f>IF(ISTEXT(B834),DATEVALUE(B834),B834)</f>
        <v>45897</v>
      </c>
      <c r="T834" s="27">
        <f>COUNTIF($A$2:$A$1986,A834)</f>
        <v>1</v>
      </c>
      <c r="U834" s="27" t="str">
        <f t="shared" ref="U834:U897" si="93">TRIM(F834)</f>
        <v>Electric Kettle</v>
      </c>
      <c r="V834" s="27">
        <f t="shared" ref="V834:V897" si="94">G834*H834*(1-J834)</f>
        <v>33.795999999999999</v>
      </c>
      <c r="W834" s="27">
        <f t="shared" ref="W834:W897" si="95">G834*I834</f>
        <v>19.8</v>
      </c>
      <c r="X834" s="27">
        <f>RawSalesTable3[[#This Row],[Revenue]]-RawSalesTable3[[#This Row],[Total_Cost]]</f>
        <v>13.995999999999999</v>
      </c>
      <c r="Y834" s="28">
        <f>RawSalesTable3[[#This Row],[Profit]]/RawSalesTable3[[#This Row],[Revenue]]</f>
        <v>0.41413184992306779</v>
      </c>
      <c r="Z834" s="27" t="str">
        <f>TEXT(RawSalesTable3[[#This Row],[Order_Date_Clean]],"MMM YYYY")</f>
        <v>Aug 2025</v>
      </c>
      <c r="AA834" s="27"/>
      <c r="AB834" s="27">
        <f t="shared" ref="AB834:AB897" si="96">SUMIF($Z:$Z,AA834,$V:$V)</f>
        <v>0</v>
      </c>
      <c r="AC834" s="27">
        <f t="shared" ref="AC834:AC897" si="97">SUMIF($Z:$Z,AA834,$X:$X)</f>
        <v>0</v>
      </c>
    </row>
    <row r="835" spans="1:29">
      <c r="A835" t="s">
        <v>935</v>
      </c>
      <c r="B835" s="3">
        <v>45845</v>
      </c>
      <c r="C835" t="s">
        <v>66</v>
      </c>
      <c r="D835" t="s">
        <v>55</v>
      </c>
      <c r="E835" t="s">
        <v>67</v>
      </c>
      <c r="F835" t="s">
        <v>71</v>
      </c>
      <c r="G835" s="6">
        <v>6</v>
      </c>
      <c r="H835" s="4">
        <v>72.290000000000006</v>
      </c>
      <c r="I835" s="4">
        <v>38.49</v>
      </c>
      <c r="J835" s="5">
        <v>0.2</v>
      </c>
      <c r="K835" s="6">
        <v>5</v>
      </c>
      <c r="L835" s="6">
        <v>5</v>
      </c>
      <c r="M835" t="s">
        <v>58</v>
      </c>
      <c r="N835" t="s">
        <v>87</v>
      </c>
      <c r="O835" t="s">
        <v>64</v>
      </c>
      <c r="P835" t="str">
        <f t="shared" si="91"/>
        <v>Small Business</v>
      </c>
      <c r="Q835" t="str">
        <f t="shared" si="92"/>
        <v>South</v>
      </c>
      <c r="R835" t="str">
        <f>PROPER(TRIM(E835))</f>
        <v>Office</v>
      </c>
      <c r="S835" s="27">
        <f>IF(ISTEXT(B835),DATEVALUE(B835),B835)</f>
        <v>45845</v>
      </c>
      <c r="T835" s="27">
        <f>COUNTIF($A$2:$A$1986,A835)</f>
        <v>1</v>
      </c>
      <c r="U835" s="27" t="str">
        <f t="shared" si="93"/>
        <v>Ergonomic Keyboard</v>
      </c>
      <c r="V835" s="27">
        <f t="shared" si="94"/>
        <v>346.99200000000002</v>
      </c>
      <c r="W835" s="27">
        <f t="shared" si="95"/>
        <v>230.94</v>
      </c>
      <c r="X835" s="27">
        <f>RawSalesTable3[[#This Row],[Revenue]]-RawSalesTable3[[#This Row],[Total_Cost]]</f>
        <v>116.05200000000002</v>
      </c>
      <c r="Y835" s="28">
        <f>RawSalesTable3[[#This Row],[Profit]]/RawSalesTable3[[#This Row],[Revenue]]</f>
        <v>0.33445151473232815</v>
      </c>
      <c r="Z835" s="27" t="str">
        <f>TEXT(RawSalesTable3[[#This Row],[Order_Date_Clean]],"MMM YYYY")</f>
        <v>Jul 2025</v>
      </c>
      <c r="AA835" s="27"/>
      <c r="AB835" s="27">
        <f t="shared" si="96"/>
        <v>0</v>
      </c>
      <c r="AC835" s="27">
        <f t="shared" si="97"/>
        <v>0</v>
      </c>
    </row>
    <row r="836" spans="1:29">
      <c r="A836" t="s">
        <v>936</v>
      </c>
      <c r="B836" s="3">
        <v>46013</v>
      </c>
      <c r="C836" t="s">
        <v>66</v>
      </c>
      <c r="D836" t="s">
        <v>62</v>
      </c>
      <c r="E836" t="s">
        <v>79</v>
      </c>
      <c r="F836" t="s">
        <v>92</v>
      </c>
      <c r="G836" s="6">
        <v>1</v>
      </c>
      <c r="H836" s="4">
        <v>48.85</v>
      </c>
      <c r="I836" s="4">
        <v>25.47</v>
      </c>
      <c r="J836" s="5">
        <v>0.1</v>
      </c>
      <c r="K836" s="6">
        <v>0</v>
      </c>
      <c r="L836" s="6">
        <v>4</v>
      </c>
      <c r="M836" t="s">
        <v>58</v>
      </c>
      <c r="N836" t="s">
        <v>69</v>
      </c>
      <c r="O836" t="s">
        <v>60</v>
      </c>
      <c r="P836" t="str">
        <f t="shared" si="91"/>
        <v>Individual</v>
      </c>
      <c r="Q836" t="str">
        <f t="shared" si="92"/>
        <v>South</v>
      </c>
      <c r="R836" t="str">
        <f>PROPER(TRIM(E836))</f>
        <v>Electronics</v>
      </c>
      <c r="S836" s="27">
        <f>IF(ISTEXT(B836),DATEVALUE(B836),B836)</f>
        <v>46013</v>
      </c>
      <c r="T836" s="27">
        <f>COUNTIF($A$2:$A$1986,A836)</f>
        <v>1</v>
      </c>
      <c r="U836" s="27" t="str">
        <f t="shared" si="93"/>
        <v>Webcam</v>
      </c>
      <c r="V836" s="27">
        <f t="shared" si="94"/>
        <v>43.965000000000003</v>
      </c>
      <c r="W836" s="27">
        <f t="shared" si="95"/>
        <v>25.47</v>
      </c>
      <c r="X836" s="27">
        <f>RawSalesTable3[[#This Row],[Revenue]]-RawSalesTable3[[#This Row],[Total_Cost]]</f>
        <v>18.495000000000005</v>
      </c>
      <c r="Y836" s="28">
        <f>RawSalesTable3[[#This Row],[Profit]]/RawSalesTable3[[#This Row],[Revenue]]</f>
        <v>0.42067553735926311</v>
      </c>
      <c r="Z836" s="27" t="str">
        <f>TEXT(RawSalesTable3[[#This Row],[Order_Date_Clean]],"MMM YYYY")</f>
        <v>Dec 2025</v>
      </c>
      <c r="AA836" s="27"/>
      <c r="AB836" s="27">
        <f t="shared" si="96"/>
        <v>0</v>
      </c>
      <c r="AC836" s="27">
        <f t="shared" si="97"/>
        <v>0</v>
      </c>
    </row>
    <row r="837" spans="1:29">
      <c r="A837" t="s">
        <v>937</v>
      </c>
      <c r="B837" s="3">
        <v>45855</v>
      </c>
      <c r="C837" t="s">
        <v>66</v>
      </c>
      <c r="D837" t="s">
        <v>62</v>
      </c>
      <c r="E837" t="s">
        <v>79</v>
      </c>
      <c r="F837" t="s">
        <v>85</v>
      </c>
      <c r="G837" s="6">
        <v>1</v>
      </c>
      <c r="H837" s="4">
        <v>130.6</v>
      </c>
      <c r="I837" s="4">
        <v>83.12</v>
      </c>
      <c r="J837" s="5">
        <v>0.1</v>
      </c>
      <c r="K837" s="6">
        <v>2</v>
      </c>
      <c r="L837" s="6">
        <v>4</v>
      </c>
      <c r="M837" t="s">
        <v>58</v>
      </c>
      <c r="N837" t="s">
        <v>69</v>
      </c>
      <c r="O837" t="s">
        <v>64</v>
      </c>
      <c r="P837" t="str">
        <f t="shared" si="91"/>
        <v>Individual</v>
      </c>
      <c r="Q837" t="str">
        <f t="shared" si="92"/>
        <v>South</v>
      </c>
      <c r="R837" t="str">
        <f>PROPER(TRIM(E837))</f>
        <v>Electronics</v>
      </c>
      <c r="S837" s="27">
        <f>IF(ISTEXT(B837),DATEVALUE(B837),B837)</f>
        <v>45855</v>
      </c>
      <c r="T837" s="27">
        <f>COUNTIF($A$2:$A$1986,A837)</f>
        <v>1</v>
      </c>
      <c r="U837" s="27" t="str">
        <f t="shared" si="93"/>
        <v>SmartHome Hub</v>
      </c>
      <c r="V837" s="27">
        <f t="shared" si="94"/>
        <v>117.53999999999999</v>
      </c>
      <c r="W837" s="27">
        <f t="shared" si="95"/>
        <v>83.12</v>
      </c>
      <c r="X837" s="27">
        <f>RawSalesTable3[[#This Row],[Revenue]]-RawSalesTable3[[#This Row],[Total_Cost]]</f>
        <v>34.419999999999987</v>
      </c>
      <c r="Y837" s="28">
        <f>RawSalesTable3[[#This Row],[Profit]]/RawSalesTable3[[#This Row],[Revenue]]</f>
        <v>0.29283648119789002</v>
      </c>
      <c r="Z837" s="27" t="str">
        <f>TEXT(RawSalesTable3[[#This Row],[Order_Date_Clean]],"MMM YYYY")</f>
        <v>Jul 2025</v>
      </c>
      <c r="AA837" s="27"/>
      <c r="AB837" s="27">
        <f t="shared" si="96"/>
        <v>0</v>
      </c>
      <c r="AC837" s="27">
        <f t="shared" si="97"/>
        <v>0</v>
      </c>
    </row>
    <row r="838" spans="1:29">
      <c r="A838" t="s">
        <v>938</v>
      </c>
      <c r="B838" s="3">
        <v>45974</v>
      </c>
      <c r="C838" t="s">
        <v>82</v>
      </c>
      <c r="D838" t="s">
        <v>62</v>
      </c>
      <c r="E838" t="s">
        <v>56</v>
      </c>
      <c r="F838" t="s">
        <v>89</v>
      </c>
      <c r="G838" s="6">
        <v>1</v>
      </c>
      <c r="H838" s="4">
        <v>82.62</v>
      </c>
      <c r="I838" s="4">
        <v>46.44</v>
      </c>
      <c r="J838" s="5">
        <v>0</v>
      </c>
      <c r="K838" s="6">
        <v>5</v>
      </c>
      <c r="L838" s="6">
        <v>5</v>
      </c>
      <c r="M838" t="s">
        <v>58</v>
      </c>
      <c r="N838" t="s">
        <v>87</v>
      </c>
      <c r="O838" t="s">
        <v>64</v>
      </c>
      <c r="P838" t="str">
        <f t="shared" si="91"/>
        <v>Individual</v>
      </c>
      <c r="Q838" t="str">
        <f t="shared" si="92"/>
        <v>Midlands</v>
      </c>
      <c r="R838" t="str">
        <f>PROPER(TRIM(E838))</f>
        <v>Home &amp; Kitchen</v>
      </c>
      <c r="S838" s="27">
        <f>IF(ISTEXT(B838),DATEVALUE(B838),B838)</f>
        <v>45974</v>
      </c>
      <c r="T838" s="27">
        <f>COUNTIF($A$2:$A$1986,A838)</f>
        <v>1</v>
      </c>
      <c r="U838" s="27" t="str">
        <f t="shared" si="93"/>
        <v>Coffee Maker</v>
      </c>
      <c r="V838" s="27">
        <f t="shared" si="94"/>
        <v>82.62</v>
      </c>
      <c r="W838" s="27">
        <f t="shared" si="95"/>
        <v>46.44</v>
      </c>
      <c r="X838" s="27">
        <f>RawSalesTable3[[#This Row],[Revenue]]-RawSalesTable3[[#This Row],[Total_Cost]]</f>
        <v>36.180000000000007</v>
      </c>
      <c r="Y838" s="28">
        <f>RawSalesTable3[[#This Row],[Profit]]/RawSalesTable3[[#This Row],[Revenue]]</f>
        <v>0.4379084967320262</v>
      </c>
      <c r="Z838" s="27" t="str">
        <f>TEXT(RawSalesTable3[[#This Row],[Order_Date_Clean]],"MMM YYYY")</f>
        <v>Nov 2025</v>
      </c>
      <c r="AA838" s="27"/>
      <c r="AB838" s="27">
        <f t="shared" si="96"/>
        <v>0</v>
      </c>
      <c r="AC838" s="27">
        <f t="shared" si="97"/>
        <v>0</v>
      </c>
    </row>
    <row r="839" spans="1:29">
      <c r="A839" t="s">
        <v>939</v>
      </c>
      <c r="B839" s="3">
        <v>45777</v>
      </c>
      <c r="C839" t="s">
        <v>82</v>
      </c>
      <c r="D839" t="s">
        <v>62</v>
      </c>
      <c r="E839" t="s">
        <v>79</v>
      </c>
      <c r="F839" t="s">
        <v>92</v>
      </c>
      <c r="G839" s="6">
        <v>1</v>
      </c>
      <c r="H839" s="4">
        <v>49.48</v>
      </c>
      <c r="I839" s="4">
        <v>26.56</v>
      </c>
      <c r="J839" s="5">
        <v>0</v>
      </c>
      <c r="K839" s="6">
        <v>0</v>
      </c>
      <c r="L839" s="6">
        <v>5</v>
      </c>
      <c r="M839" t="s">
        <v>58</v>
      </c>
      <c r="N839" t="s">
        <v>69</v>
      </c>
      <c r="O839" t="s">
        <v>64</v>
      </c>
      <c r="P839" t="str">
        <f t="shared" si="91"/>
        <v>Individual</v>
      </c>
      <c r="Q839" t="str">
        <f t="shared" si="92"/>
        <v>Midlands</v>
      </c>
      <c r="R839" t="str">
        <f>PROPER(TRIM(E839))</f>
        <v>Electronics</v>
      </c>
      <c r="S839" s="27">
        <f>IF(ISTEXT(B839),DATEVALUE(B839),B839)</f>
        <v>45777</v>
      </c>
      <c r="T839" s="27">
        <f>COUNTIF($A$2:$A$1986,A839)</f>
        <v>1</v>
      </c>
      <c r="U839" s="27" t="str">
        <f t="shared" si="93"/>
        <v>Webcam</v>
      </c>
      <c r="V839" s="27">
        <f t="shared" si="94"/>
        <v>49.48</v>
      </c>
      <c r="W839" s="27">
        <f t="shared" si="95"/>
        <v>26.56</v>
      </c>
      <c r="X839" s="27">
        <f>RawSalesTable3[[#This Row],[Revenue]]-RawSalesTable3[[#This Row],[Total_Cost]]</f>
        <v>22.919999999999998</v>
      </c>
      <c r="Y839" s="28">
        <f>RawSalesTable3[[#This Row],[Profit]]/RawSalesTable3[[#This Row],[Revenue]]</f>
        <v>0.4632174616006467</v>
      </c>
      <c r="Z839" s="27" t="str">
        <f>TEXT(RawSalesTable3[[#This Row],[Order_Date_Clean]],"MMM YYYY")</f>
        <v>Apr 2025</v>
      </c>
      <c r="AA839" s="27"/>
      <c r="AB839" s="27">
        <f t="shared" si="96"/>
        <v>0</v>
      </c>
      <c r="AC839" s="27">
        <f t="shared" si="97"/>
        <v>0</v>
      </c>
    </row>
    <row r="840" spans="1:29">
      <c r="A840" t="s">
        <v>940</v>
      </c>
      <c r="B840" s="3">
        <v>45890</v>
      </c>
      <c r="C840" t="s">
        <v>54</v>
      </c>
      <c r="D840" t="s">
        <v>62</v>
      </c>
      <c r="E840" t="s">
        <v>67</v>
      </c>
      <c r="F840" t="s">
        <v>71</v>
      </c>
      <c r="G840" s="6">
        <v>1</v>
      </c>
      <c r="H840" s="4">
        <v>69.040000000000006</v>
      </c>
      <c r="I840" s="4">
        <v>39.46</v>
      </c>
      <c r="J840" s="5">
        <v>0</v>
      </c>
      <c r="K840" s="6">
        <v>4</v>
      </c>
      <c r="L840" s="6">
        <v>5</v>
      </c>
      <c r="M840" t="s">
        <v>58</v>
      </c>
      <c r="N840" t="s">
        <v>59</v>
      </c>
      <c r="O840" t="s">
        <v>73</v>
      </c>
      <c r="P840" t="str">
        <f t="shared" si="91"/>
        <v>Individual</v>
      </c>
      <c r="Q840" t="str">
        <f t="shared" si="92"/>
        <v>North</v>
      </c>
      <c r="R840" t="str">
        <f>PROPER(TRIM(E840))</f>
        <v>Office</v>
      </c>
      <c r="S840" s="27">
        <f>IF(ISTEXT(B840),DATEVALUE(B840),B840)</f>
        <v>45890</v>
      </c>
      <c r="T840" s="27">
        <f>COUNTIF($A$2:$A$1986,A840)</f>
        <v>1</v>
      </c>
      <c r="U840" s="27" t="str">
        <f t="shared" si="93"/>
        <v>Ergonomic Keyboard</v>
      </c>
      <c r="V840" s="27">
        <f t="shared" si="94"/>
        <v>69.040000000000006</v>
      </c>
      <c r="W840" s="27">
        <f t="shared" si="95"/>
        <v>39.46</v>
      </c>
      <c r="X840" s="27">
        <f>RawSalesTable3[[#This Row],[Revenue]]-RawSalesTable3[[#This Row],[Total_Cost]]</f>
        <v>29.580000000000005</v>
      </c>
      <c r="Y840" s="28">
        <f>RawSalesTable3[[#This Row],[Profit]]/RawSalesTable3[[#This Row],[Revenue]]</f>
        <v>0.42844727694090384</v>
      </c>
      <c r="Z840" s="27" t="str">
        <f>TEXT(RawSalesTable3[[#This Row],[Order_Date_Clean]],"MMM YYYY")</f>
        <v>Aug 2025</v>
      </c>
      <c r="AA840" s="27"/>
      <c r="AB840" s="27">
        <f t="shared" si="96"/>
        <v>0</v>
      </c>
      <c r="AC840" s="27">
        <f t="shared" si="97"/>
        <v>0</v>
      </c>
    </row>
    <row r="841" spans="1:29">
      <c r="A841" t="s">
        <v>941</v>
      </c>
      <c r="B841" s="3">
        <v>45998</v>
      </c>
      <c r="C841" t="s">
        <v>66</v>
      </c>
      <c r="D841" t="s">
        <v>62</v>
      </c>
      <c r="E841" t="s">
        <v>56</v>
      </c>
      <c r="F841" t="s">
        <v>83</v>
      </c>
      <c r="G841" s="6">
        <v>2</v>
      </c>
      <c r="H841" s="4">
        <v>64.62</v>
      </c>
      <c r="I841" s="4">
        <v>34.880000000000003</v>
      </c>
      <c r="J841" s="5">
        <v>0.2</v>
      </c>
      <c r="K841" s="6">
        <v>0</v>
      </c>
      <c r="L841" s="6">
        <v>4</v>
      </c>
      <c r="M841" t="s">
        <v>58</v>
      </c>
      <c r="N841" t="s">
        <v>69</v>
      </c>
      <c r="O841" t="s">
        <v>64</v>
      </c>
      <c r="P841" t="str">
        <f t="shared" si="91"/>
        <v>Individual</v>
      </c>
      <c r="Q841" t="str">
        <f t="shared" si="92"/>
        <v>South</v>
      </c>
      <c r="R841" t="str">
        <f>PROPER(TRIM(E841))</f>
        <v>Home &amp; Kitchen</v>
      </c>
      <c r="S841" s="27">
        <f>IF(ISTEXT(B841),DATEVALUE(B841),B841)</f>
        <v>45998</v>
      </c>
      <c r="T841" s="27">
        <f>COUNTIF($A$2:$A$1986,A841)</f>
        <v>1</v>
      </c>
      <c r="U841" s="27" t="str">
        <f t="shared" si="93"/>
        <v>Blender</v>
      </c>
      <c r="V841" s="27">
        <f t="shared" si="94"/>
        <v>103.39200000000001</v>
      </c>
      <c r="W841" s="27">
        <f t="shared" si="95"/>
        <v>69.760000000000005</v>
      </c>
      <c r="X841" s="27">
        <f>RawSalesTable3[[#This Row],[Revenue]]-RawSalesTable3[[#This Row],[Total_Cost]]</f>
        <v>33.632000000000005</v>
      </c>
      <c r="Y841" s="28">
        <f>RawSalesTable3[[#This Row],[Profit]]/RawSalesTable3[[#This Row],[Revenue]]</f>
        <v>0.32528628907458995</v>
      </c>
      <c r="Z841" s="27" t="str">
        <f>TEXT(RawSalesTable3[[#This Row],[Order_Date_Clean]],"MMM YYYY")</f>
        <v>Dec 2025</v>
      </c>
      <c r="AA841" s="27"/>
      <c r="AB841" s="27">
        <f t="shared" si="96"/>
        <v>0</v>
      </c>
      <c r="AC841" s="27">
        <f t="shared" si="97"/>
        <v>0</v>
      </c>
    </row>
    <row r="842" spans="1:29">
      <c r="A842" t="s">
        <v>942</v>
      </c>
      <c r="B842" s="3">
        <v>45818</v>
      </c>
      <c r="C842" t="s">
        <v>66</v>
      </c>
      <c r="D842" t="s">
        <v>62</v>
      </c>
      <c r="E842" t="s">
        <v>79</v>
      </c>
      <c r="F842" t="s">
        <v>85</v>
      </c>
      <c r="G842" s="6">
        <v>2</v>
      </c>
      <c r="H842" s="4">
        <v>132.44</v>
      </c>
      <c r="I842" s="4">
        <v>87.99</v>
      </c>
      <c r="J842" s="5">
        <v>0.15000000000000002</v>
      </c>
      <c r="K842" s="6">
        <v>5</v>
      </c>
      <c r="L842" s="6">
        <v>3</v>
      </c>
      <c r="M842" t="s">
        <v>126</v>
      </c>
      <c r="N842" t="s">
        <v>87</v>
      </c>
      <c r="O842" t="s">
        <v>64</v>
      </c>
      <c r="P842" t="str">
        <f t="shared" si="91"/>
        <v>Individual</v>
      </c>
      <c r="Q842" t="str">
        <f t="shared" si="92"/>
        <v>South</v>
      </c>
      <c r="R842" t="str">
        <f>PROPER(TRIM(E842))</f>
        <v>Electronics</v>
      </c>
      <c r="S842" s="27">
        <f>IF(ISTEXT(B842),DATEVALUE(B842),B842)</f>
        <v>45818</v>
      </c>
      <c r="T842" s="27">
        <f>COUNTIF($A$2:$A$1986,A842)</f>
        <v>1</v>
      </c>
      <c r="U842" s="27" t="str">
        <f t="shared" si="93"/>
        <v>SmartHome Hub</v>
      </c>
      <c r="V842" s="27">
        <f t="shared" si="94"/>
        <v>225.148</v>
      </c>
      <c r="W842" s="27">
        <f t="shared" si="95"/>
        <v>175.98</v>
      </c>
      <c r="X842" s="27">
        <f>RawSalesTable3[[#This Row],[Revenue]]-RawSalesTable3[[#This Row],[Total_Cost]]</f>
        <v>49.168000000000006</v>
      </c>
      <c r="Y842" s="28">
        <f>RawSalesTable3[[#This Row],[Profit]]/RawSalesTable3[[#This Row],[Revenue]]</f>
        <v>0.21838079840815822</v>
      </c>
      <c r="Z842" s="27" t="str">
        <f>TEXT(RawSalesTable3[[#This Row],[Order_Date_Clean]],"MMM YYYY")</f>
        <v>Jun 2025</v>
      </c>
      <c r="AA842" s="27"/>
      <c r="AB842" s="27">
        <f t="shared" si="96"/>
        <v>0</v>
      </c>
      <c r="AC842" s="27">
        <f t="shared" si="97"/>
        <v>0</v>
      </c>
    </row>
    <row r="843" spans="1:29">
      <c r="A843" t="s">
        <v>943</v>
      </c>
      <c r="B843" s="3">
        <v>45995</v>
      </c>
      <c r="C843" t="s">
        <v>66</v>
      </c>
      <c r="D843" t="s">
        <v>62</v>
      </c>
      <c r="E843" t="s">
        <v>67</v>
      </c>
      <c r="F843" t="s">
        <v>68</v>
      </c>
      <c r="G843" s="6">
        <v>1</v>
      </c>
      <c r="H843" s="4">
        <v>40.369999999999997</v>
      </c>
      <c r="I843" s="4">
        <v>19.62</v>
      </c>
      <c r="J843" s="5">
        <v>0.1</v>
      </c>
      <c r="K843" s="6">
        <v>4</v>
      </c>
      <c r="L843" s="6">
        <v>4</v>
      </c>
      <c r="M843" t="s">
        <v>58</v>
      </c>
      <c r="N843" t="s">
        <v>59</v>
      </c>
      <c r="O843" t="s">
        <v>73</v>
      </c>
      <c r="P843" t="str">
        <f t="shared" si="91"/>
        <v>Individual</v>
      </c>
      <c r="Q843" t="str">
        <f t="shared" si="92"/>
        <v>South</v>
      </c>
      <c r="R843" t="str">
        <f>PROPER(TRIM(E843))</f>
        <v>Office</v>
      </c>
      <c r="S843" s="27">
        <f>IF(ISTEXT(B843),DATEVALUE(B843),B843)</f>
        <v>45995</v>
      </c>
      <c r="T843" s="27">
        <f>COUNTIF($A$2:$A$1986,A843)</f>
        <v>1</v>
      </c>
      <c r="U843" s="27" t="str">
        <f t="shared" si="93"/>
        <v>Desk Lamp</v>
      </c>
      <c r="V843" s="27">
        <f t="shared" si="94"/>
        <v>36.332999999999998</v>
      </c>
      <c r="W843" s="27">
        <f t="shared" si="95"/>
        <v>19.62</v>
      </c>
      <c r="X843" s="27">
        <f>RawSalesTable3[[#This Row],[Revenue]]-RawSalesTable3[[#This Row],[Total_Cost]]</f>
        <v>16.712999999999997</v>
      </c>
      <c r="Y843" s="28">
        <f>RawSalesTable3[[#This Row],[Profit]]/RawSalesTable3[[#This Row],[Revenue]]</f>
        <v>0.45999504582610845</v>
      </c>
      <c r="Z843" s="27" t="str">
        <f>TEXT(RawSalesTable3[[#This Row],[Order_Date_Clean]],"MMM YYYY")</f>
        <v>Dec 2025</v>
      </c>
      <c r="AA843" s="27"/>
      <c r="AB843" s="27">
        <f t="shared" si="96"/>
        <v>0</v>
      </c>
      <c r="AC843" s="27">
        <f t="shared" si="97"/>
        <v>0</v>
      </c>
    </row>
    <row r="844" spans="1:29">
      <c r="A844" t="s">
        <v>944</v>
      </c>
      <c r="B844" s="3">
        <v>45915</v>
      </c>
      <c r="C844" t="s">
        <v>54</v>
      </c>
      <c r="D844" t="s">
        <v>62</v>
      </c>
      <c r="E844" t="s">
        <v>56</v>
      </c>
      <c r="F844" t="s">
        <v>57</v>
      </c>
      <c r="G844" s="6">
        <v>1</v>
      </c>
      <c r="H844" s="4">
        <v>109.44</v>
      </c>
      <c r="I844" s="4">
        <v>65.05</v>
      </c>
      <c r="J844" s="5">
        <v>0</v>
      </c>
      <c r="K844" s="6">
        <v>2</v>
      </c>
      <c r="L844" s="6">
        <v>4</v>
      </c>
      <c r="M844" t="s">
        <v>58</v>
      </c>
      <c r="N844" t="s">
        <v>69</v>
      </c>
      <c r="O844" t="s">
        <v>64</v>
      </c>
      <c r="P844" t="str">
        <f t="shared" si="91"/>
        <v>Individual</v>
      </c>
      <c r="Q844" t="str">
        <f t="shared" si="92"/>
        <v>North</v>
      </c>
      <c r="R844" t="str">
        <f>PROPER(TRIM(E844))</f>
        <v>Home &amp; Kitchen</v>
      </c>
      <c r="S844" s="27">
        <f>IF(ISTEXT(B844),DATEVALUE(B844),B844)</f>
        <v>45915</v>
      </c>
      <c r="T844" s="27">
        <f>COUNTIF($A$2:$A$1986,A844)</f>
        <v>1</v>
      </c>
      <c r="U844" s="27" t="str">
        <f t="shared" si="93"/>
        <v>Air Fryer</v>
      </c>
      <c r="V844" s="27">
        <f t="shared" si="94"/>
        <v>109.44</v>
      </c>
      <c r="W844" s="27">
        <f t="shared" si="95"/>
        <v>65.05</v>
      </c>
      <c r="X844" s="27">
        <f>RawSalesTable3[[#This Row],[Revenue]]-RawSalesTable3[[#This Row],[Total_Cost]]</f>
        <v>44.39</v>
      </c>
      <c r="Y844" s="28">
        <f>RawSalesTable3[[#This Row],[Profit]]/RawSalesTable3[[#This Row],[Revenue]]</f>
        <v>0.4056103801169591</v>
      </c>
      <c r="Z844" s="27" t="str">
        <f>TEXT(RawSalesTable3[[#This Row],[Order_Date_Clean]],"MMM YYYY")</f>
        <v>Sep 2025</v>
      </c>
      <c r="AA844" s="27"/>
      <c r="AB844" s="27">
        <f t="shared" si="96"/>
        <v>0</v>
      </c>
      <c r="AC844" s="27">
        <f t="shared" si="97"/>
        <v>0</v>
      </c>
    </row>
    <row r="845" spans="1:29">
      <c r="A845" t="s">
        <v>945</v>
      </c>
      <c r="B845" s="3">
        <v>45715</v>
      </c>
      <c r="C845" t="s">
        <v>82</v>
      </c>
      <c r="D845" t="s">
        <v>129</v>
      </c>
      <c r="E845" t="s">
        <v>79</v>
      </c>
      <c r="F845" t="s">
        <v>92</v>
      </c>
      <c r="G845" s="6">
        <v>4</v>
      </c>
      <c r="H845" s="4">
        <v>50.21</v>
      </c>
      <c r="I845" s="4">
        <v>26.55</v>
      </c>
      <c r="J845" s="5">
        <v>0.05</v>
      </c>
      <c r="K845" s="6">
        <v>4</v>
      </c>
      <c r="L845" s="6">
        <v>4</v>
      </c>
      <c r="M845" t="s">
        <v>58</v>
      </c>
      <c r="N845" t="s">
        <v>59</v>
      </c>
      <c r="O845" t="s">
        <v>73</v>
      </c>
      <c r="P845" t="str">
        <f t="shared" si="91"/>
        <v>Corporate</v>
      </c>
      <c r="Q845" t="str">
        <f t="shared" si="92"/>
        <v>Midlands</v>
      </c>
      <c r="R845" t="str">
        <f>PROPER(TRIM(E845))</f>
        <v>Electronics</v>
      </c>
      <c r="S845" s="27">
        <f>IF(ISTEXT(B845),DATEVALUE(B845),B845)</f>
        <v>45715</v>
      </c>
      <c r="T845" s="27">
        <f>COUNTIF($A$2:$A$1986,A845)</f>
        <v>1</v>
      </c>
      <c r="U845" s="27" t="str">
        <f t="shared" si="93"/>
        <v>Webcam</v>
      </c>
      <c r="V845" s="27">
        <f t="shared" si="94"/>
        <v>190.798</v>
      </c>
      <c r="W845" s="27">
        <f t="shared" si="95"/>
        <v>106.2</v>
      </c>
      <c r="X845" s="27">
        <f>RawSalesTable3[[#This Row],[Revenue]]-RawSalesTable3[[#This Row],[Total_Cost]]</f>
        <v>84.597999999999999</v>
      </c>
      <c r="Y845" s="28">
        <f>RawSalesTable3[[#This Row],[Profit]]/RawSalesTable3[[#This Row],[Revenue]]</f>
        <v>0.44339039193282948</v>
      </c>
      <c r="Z845" s="27" t="str">
        <f>TEXT(RawSalesTable3[[#This Row],[Order_Date_Clean]],"MMM YYYY")</f>
        <v>Feb 2025</v>
      </c>
      <c r="AA845" s="27"/>
      <c r="AB845" s="27">
        <f t="shared" si="96"/>
        <v>0</v>
      </c>
      <c r="AC845" s="27">
        <f t="shared" si="97"/>
        <v>0</v>
      </c>
    </row>
    <row r="846" spans="1:29">
      <c r="A846" t="s">
        <v>946</v>
      </c>
      <c r="B846" s="3">
        <v>45906</v>
      </c>
      <c r="C846" t="s">
        <v>66</v>
      </c>
      <c r="D846" t="s">
        <v>55</v>
      </c>
      <c r="E846" t="s">
        <v>56</v>
      </c>
      <c r="F846" t="s">
        <v>89</v>
      </c>
      <c r="G846" s="6">
        <v>2</v>
      </c>
      <c r="H846" s="4">
        <v>79.11</v>
      </c>
      <c r="I846" s="4">
        <v>46.46</v>
      </c>
      <c r="J846" s="5">
        <v>0.05</v>
      </c>
      <c r="K846" s="6">
        <v>6</v>
      </c>
      <c r="L846" s="6">
        <v>4</v>
      </c>
      <c r="M846" t="s">
        <v>58</v>
      </c>
      <c r="N846" t="s">
        <v>69</v>
      </c>
      <c r="O846" t="s">
        <v>64</v>
      </c>
      <c r="P846" t="str">
        <f t="shared" si="91"/>
        <v>Small Business</v>
      </c>
      <c r="Q846" t="str">
        <f t="shared" si="92"/>
        <v>South</v>
      </c>
      <c r="R846" t="str">
        <f>PROPER(TRIM(E846))</f>
        <v>Home &amp; Kitchen</v>
      </c>
      <c r="S846" s="27">
        <f>IF(ISTEXT(B846),DATEVALUE(B846),B846)</f>
        <v>45906</v>
      </c>
      <c r="T846" s="27">
        <f>COUNTIF($A$2:$A$1986,A846)</f>
        <v>1</v>
      </c>
      <c r="U846" s="27" t="str">
        <f t="shared" si="93"/>
        <v>Coffee Maker</v>
      </c>
      <c r="V846" s="27">
        <f t="shared" si="94"/>
        <v>150.309</v>
      </c>
      <c r="W846" s="27">
        <f t="shared" si="95"/>
        <v>92.92</v>
      </c>
      <c r="X846" s="27">
        <f>RawSalesTable3[[#This Row],[Revenue]]-RawSalesTable3[[#This Row],[Total_Cost]]</f>
        <v>57.388999999999996</v>
      </c>
      <c r="Y846" s="28">
        <f>RawSalesTable3[[#This Row],[Profit]]/RawSalesTable3[[#This Row],[Revenue]]</f>
        <v>0.38180681130205107</v>
      </c>
      <c r="Z846" s="27" t="str">
        <f>TEXT(RawSalesTable3[[#This Row],[Order_Date_Clean]],"MMM YYYY")</f>
        <v>Sep 2025</v>
      </c>
      <c r="AA846" s="27"/>
      <c r="AB846" s="27">
        <f t="shared" si="96"/>
        <v>0</v>
      </c>
      <c r="AC846" s="27">
        <f t="shared" si="97"/>
        <v>0</v>
      </c>
    </row>
    <row r="847" spans="1:29">
      <c r="A847" t="s">
        <v>947</v>
      </c>
      <c r="B847" s="3">
        <v>45689</v>
      </c>
      <c r="C847" t="s">
        <v>82</v>
      </c>
      <c r="D847" t="s">
        <v>129</v>
      </c>
      <c r="E847" t="s">
        <v>75</v>
      </c>
      <c r="F847" t="s">
        <v>110</v>
      </c>
      <c r="G847" s="6">
        <v>10</v>
      </c>
      <c r="H847" s="4">
        <v>160.4</v>
      </c>
      <c r="I847" s="4">
        <v>102.53</v>
      </c>
      <c r="J847" s="5">
        <v>0.05</v>
      </c>
      <c r="K847" s="6">
        <v>8</v>
      </c>
      <c r="L847" s="6">
        <v>3</v>
      </c>
      <c r="M847" t="s">
        <v>58</v>
      </c>
      <c r="N847" t="s">
        <v>59</v>
      </c>
      <c r="O847" t="s">
        <v>60</v>
      </c>
      <c r="P847" t="str">
        <f t="shared" si="91"/>
        <v>Corporate</v>
      </c>
      <c r="Q847" t="str">
        <f t="shared" si="92"/>
        <v>Midlands</v>
      </c>
      <c r="R847" t="str">
        <f>PROPER(TRIM(E847))</f>
        <v>Furniture</v>
      </c>
      <c r="S847" s="27">
        <f>IF(ISTEXT(B847),DATEVALUE(B847),B847)</f>
        <v>45689</v>
      </c>
      <c r="T847" s="27">
        <f>COUNTIF($A$2:$A$1986,A847)</f>
        <v>1</v>
      </c>
      <c r="U847" s="27" t="str">
        <f t="shared" si="93"/>
        <v>Storage Cabinet</v>
      </c>
      <c r="V847" s="27">
        <f t="shared" si="94"/>
        <v>1523.8</v>
      </c>
      <c r="W847" s="27">
        <f t="shared" si="95"/>
        <v>1025.3</v>
      </c>
      <c r="X847" s="27">
        <f>RawSalesTable3[[#This Row],[Revenue]]-RawSalesTable3[[#This Row],[Total_Cost]]</f>
        <v>498.5</v>
      </c>
      <c r="Y847" s="28">
        <f>RawSalesTable3[[#This Row],[Profit]]/RawSalesTable3[[#This Row],[Revenue]]</f>
        <v>0.32714266964168526</v>
      </c>
      <c r="Z847" s="27" t="str">
        <f>TEXT(RawSalesTable3[[#This Row],[Order_Date_Clean]],"MMM YYYY")</f>
        <v>Feb 2025</v>
      </c>
      <c r="AA847" s="27"/>
      <c r="AB847" s="27">
        <f t="shared" si="96"/>
        <v>0</v>
      </c>
      <c r="AC847" s="27">
        <f t="shared" si="97"/>
        <v>0</v>
      </c>
    </row>
    <row r="848" spans="1:29">
      <c r="A848" t="s">
        <v>948</v>
      </c>
      <c r="B848" s="3">
        <v>45951</v>
      </c>
      <c r="C848" t="s">
        <v>66</v>
      </c>
      <c r="D848" t="s">
        <v>62</v>
      </c>
      <c r="E848" t="s">
        <v>67</v>
      </c>
      <c r="F848" t="s">
        <v>71</v>
      </c>
      <c r="G848" s="6">
        <v>2</v>
      </c>
      <c r="H848" s="4">
        <v>69.67</v>
      </c>
      <c r="I848" s="4">
        <v>37.82</v>
      </c>
      <c r="J848" s="5">
        <v>0.05</v>
      </c>
      <c r="K848" s="6">
        <v>4</v>
      </c>
      <c r="L848" s="6">
        <v>5</v>
      </c>
      <c r="M848" t="s">
        <v>58</v>
      </c>
      <c r="N848" t="s">
        <v>59</v>
      </c>
      <c r="O848" t="s">
        <v>73</v>
      </c>
      <c r="P848" t="str">
        <f t="shared" si="91"/>
        <v>Individual</v>
      </c>
      <c r="Q848" t="str">
        <f t="shared" si="92"/>
        <v>South</v>
      </c>
      <c r="R848" t="str">
        <f>PROPER(TRIM(E848))</f>
        <v>Office</v>
      </c>
      <c r="S848" s="27">
        <f>IF(ISTEXT(B848),DATEVALUE(B848),B848)</f>
        <v>45951</v>
      </c>
      <c r="T848" s="27">
        <f>COUNTIF($A$2:$A$1986,A848)</f>
        <v>1</v>
      </c>
      <c r="U848" s="27" t="str">
        <f t="shared" si="93"/>
        <v>Ergonomic Keyboard</v>
      </c>
      <c r="V848" s="27">
        <f t="shared" si="94"/>
        <v>132.37299999999999</v>
      </c>
      <c r="W848" s="27">
        <f t="shared" si="95"/>
        <v>75.64</v>
      </c>
      <c r="X848" s="27">
        <f>RawSalesTable3[[#This Row],[Revenue]]-RawSalesTable3[[#This Row],[Total_Cost]]</f>
        <v>56.73299999999999</v>
      </c>
      <c r="Y848" s="28">
        <f>RawSalesTable3[[#This Row],[Profit]]/RawSalesTable3[[#This Row],[Revenue]]</f>
        <v>0.42858437898967305</v>
      </c>
      <c r="Z848" s="27" t="str">
        <f>TEXT(RawSalesTable3[[#This Row],[Order_Date_Clean]],"MMM YYYY")</f>
        <v>Oct 2025</v>
      </c>
      <c r="AA848" s="27"/>
      <c r="AB848" s="27">
        <f t="shared" si="96"/>
        <v>0</v>
      </c>
      <c r="AC848" s="27">
        <f t="shared" si="97"/>
        <v>0</v>
      </c>
    </row>
    <row r="849" spans="1:29">
      <c r="A849" t="s">
        <v>949</v>
      </c>
      <c r="B849" s="3">
        <v>45978</v>
      </c>
      <c r="C849" t="s">
        <v>66</v>
      </c>
      <c r="D849" t="s">
        <v>62</v>
      </c>
      <c r="E849" t="s">
        <v>75</v>
      </c>
      <c r="F849" t="s">
        <v>76</v>
      </c>
      <c r="G849" s="6">
        <v>1</v>
      </c>
      <c r="H849" s="4">
        <v>118.51</v>
      </c>
      <c r="I849" s="4">
        <v>72.09</v>
      </c>
      <c r="J849" s="5">
        <v>0.2</v>
      </c>
      <c r="K849" s="6">
        <v>5</v>
      </c>
      <c r="L849" s="6">
        <v>4</v>
      </c>
      <c r="M849" t="s">
        <v>126</v>
      </c>
      <c r="N849" t="s">
        <v>59</v>
      </c>
      <c r="O849" t="s">
        <v>64</v>
      </c>
      <c r="P849" t="str">
        <f t="shared" si="91"/>
        <v>Individual</v>
      </c>
      <c r="Q849" t="str">
        <f t="shared" si="92"/>
        <v>South</v>
      </c>
      <c r="R849" t="str">
        <f>PROPER(TRIM(E849))</f>
        <v>Furniture</v>
      </c>
      <c r="S849" s="27">
        <f>IF(ISTEXT(B849),DATEVALUE(B849),B849)</f>
        <v>45978</v>
      </c>
      <c r="T849" s="27">
        <f>COUNTIF($A$2:$A$1986,A849)</f>
        <v>1</v>
      </c>
      <c r="U849" s="27" t="str">
        <f t="shared" si="93"/>
        <v>Bookshelf</v>
      </c>
      <c r="V849" s="27">
        <f t="shared" si="94"/>
        <v>94.808000000000007</v>
      </c>
      <c r="W849" s="27">
        <f t="shared" si="95"/>
        <v>72.09</v>
      </c>
      <c r="X849" s="27">
        <f>RawSalesTable3[[#This Row],[Revenue]]-RawSalesTable3[[#This Row],[Total_Cost]]</f>
        <v>22.718000000000004</v>
      </c>
      <c r="Y849" s="28">
        <f>RawSalesTable3[[#This Row],[Profit]]/RawSalesTable3[[#This Row],[Revenue]]</f>
        <v>0.23962112901864824</v>
      </c>
      <c r="Z849" s="27" t="str">
        <f>TEXT(RawSalesTable3[[#This Row],[Order_Date_Clean]],"MMM YYYY")</f>
        <v>Nov 2025</v>
      </c>
      <c r="AA849" s="27"/>
      <c r="AB849" s="27">
        <f t="shared" si="96"/>
        <v>0</v>
      </c>
      <c r="AC849" s="27">
        <f t="shared" si="97"/>
        <v>0</v>
      </c>
    </row>
    <row r="850" spans="1:29">
      <c r="A850" t="s">
        <v>950</v>
      </c>
      <c r="B850" s="3">
        <v>45797</v>
      </c>
      <c r="C850" t="s">
        <v>54</v>
      </c>
      <c r="D850" t="s">
        <v>62</v>
      </c>
      <c r="E850" t="s">
        <v>75</v>
      </c>
      <c r="F850" t="s">
        <v>97</v>
      </c>
      <c r="G850" s="6">
        <v>2</v>
      </c>
      <c r="H850" s="4">
        <v>88.26</v>
      </c>
      <c r="I850" s="4">
        <v>56.28</v>
      </c>
      <c r="J850" s="5">
        <v>0.05</v>
      </c>
      <c r="K850" s="6">
        <v>3</v>
      </c>
      <c r="L850" s="6">
        <v>4</v>
      </c>
      <c r="M850" t="s">
        <v>58</v>
      </c>
      <c r="N850" t="s">
        <v>59</v>
      </c>
      <c r="O850" t="s">
        <v>64</v>
      </c>
      <c r="P850" t="str">
        <f t="shared" si="91"/>
        <v>Individual</v>
      </c>
      <c r="Q850" t="str">
        <f t="shared" si="92"/>
        <v>North</v>
      </c>
      <c r="R850" t="str">
        <f>PROPER(TRIM(E850))</f>
        <v>Furniture</v>
      </c>
      <c r="S850" s="27">
        <f>IF(ISTEXT(B850),DATEVALUE(B850),B850)</f>
        <v>45797</v>
      </c>
      <c r="T850" s="27">
        <f>COUNTIF($A$2:$A$1986,A850)</f>
        <v>1</v>
      </c>
      <c r="U850" s="27" t="str">
        <f t="shared" si="93"/>
        <v>Side Table</v>
      </c>
      <c r="V850" s="27">
        <f t="shared" si="94"/>
        <v>167.69399999999999</v>
      </c>
      <c r="W850" s="27">
        <f t="shared" si="95"/>
        <v>112.56</v>
      </c>
      <c r="X850" s="27">
        <f>RawSalesTable3[[#This Row],[Revenue]]-RawSalesTable3[[#This Row],[Total_Cost]]</f>
        <v>55.133999999999986</v>
      </c>
      <c r="Y850" s="28">
        <f>RawSalesTable3[[#This Row],[Profit]]/RawSalesTable3[[#This Row],[Revenue]]</f>
        <v>0.32877741600772831</v>
      </c>
      <c r="Z850" s="27" t="str">
        <f>TEXT(RawSalesTable3[[#This Row],[Order_Date_Clean]],"MMM YYYY")</f>
        <v>May 2025</v>
      </c>
      <c r="AA850" s="27"/>
      <c r="AB850" s="27">
        <f t="shared" si="96"/>
        <v>0</v>
      </c>
      <c r="AC850" s="27">
        <f t="shared" si="97"/>
        <v>0</v>
      </c>
    </row>
    <row r="851" spans="1:29">
      <c r="A851" t="s">
        <v>951</v>
      </c>
      <c r="B851" s="3">
        <v>45765</v>
      </c>
      <c r="C851" t="s">
        <v>78</v>
      </c>
      <c r="D851" t="s">
        <v>62</v>
      </c>
      <c r="E851" t="s">
        <v>67</v>
      </c>
      <c r="F851" t="s">
        <v>94</v>
      </c>
      <c r="G851" s="6">
        <v>2</v>
      </c>
      <c r="H851" s="4">
        <v>35.090000000000003</v>
      </c>
      <c r="I851" s="4">
        <v>17.5</v>
      </c>
      <c r="J851" s="5">
        <v>0</v>
      </c>
      <c r="K851" s="6">
        <v>4</v>
      </c>
      <c r="L851" s="6">
        <v>4</v>
      </c>
      <c r="M851" t="s">
        <v>58</v>
      </c>
      <c r="N851" t="s">
        <v>69</v>
      </c>
      <c r="O851" t="s">
        <v>64</v>
      </c>
      <c r="P851" t="str">
        <f t="shared" si="91"/>
        <v>Individual</v>
      </c>
      <c r="Q851" t="str">
        <f t="shared" si="92"/>
        <v>London</v>
      </c>
      <c r="R851" t="str">
        <f>PROPER(TRIM(E851))</f>
        <v>Office</v>
      </c>
      <c r="S851" s="27">
        <f>IF(ISTEXT(B851),DATEVALUE(B851),B851)</f>
        <v>45765</v>
      </c>
      <c r="T851" s="27">
        <f>COUNTIF($A$2:$A$1986,A851)</f>
        <v>1</v>
      </c>
      <c r="U851" s="27" t="str">
        <f t="shared" si="93"/>
        <v>Wireless Mouse</v>
      </c>
      <c r="V851" s="27">
        <f t="shared" si="94"/>
        <v>70.180000000000007</v>
      </c>
      <c r="W851" s="27">
        <f t="shared" si="95"/>
        <v>35</v>
      </c>
      <c r="X851" s="27">
        <f>RawSalesTable3[[#This Row],[Revenue]]-RawSalesTable3[[#This Row],[Total_Cost]]</f>
        <v>35.180000000000007</v>
      </c>
      <c r="Y851" s="28">
        <f>RawSalesTable3[[#This Row],[Profit]]/RawSalesTable3[[#This Row],[Revenue]]</f>
        <v>0.50128241664291828</v>
      </c>
      <c r="Z851" s="27" t="str">
        <f>TEXT(RawSalesTable3[[#This Row],[Order_Date_Clean]],"MMM YYYY")</f>
        <v>Apr 2025</v>
      </c>
      <c r="AA851" s="27"/>
      <c r="AB851" s="27">
        <f t="shared" si="96"/>
        <v>0</v>
      </c>
      <c r="AC851" s="27">
        <f t="shared" si="97"/>
        <v>0</v>
      </c>
    </row>
    <row r="852" spans="1:29">
      <c r="A852" t="s">
        <v>952</v>
      </c>
      <c r="B852" s="3">
        <v>45775</v>
      </c>
      <c r="C852" t="s">
        <v>54</v>
      </c>
      <c r="D852" t="s">
        <v>62</v>
      </c>
      <c r="E852" t="s">
        <v>67</v>
      </c>
      <c r="F852" t="s">
        <v>94</v>
      </c>
      <c r="G852" s="6">
        <v>2</v>
      </c>
      <c r="H852" s="4">
        <v>33.96</v>
      </c>
      <c r="I852" s="4">
        <v>17.75</v>
      </c>
      <c r="J852" s="5">
        <v>0</v>
      </c>
      <c r="K852" s="6">
        <v>3</v>
      </c>
      <c r="L852" s="6">
        <v>4</v>
      </c>
      <c r="M852" t="s">
        <v>58</v>
      </c>
      <c r="N852" t="s">
        <v>59</v>
      </c>
      <c r="O852" t="s">
        <v>64</v>
      </c>
      <c r="P852" t="str">
        <f t="shared" si="91"/>
        <v>Individual</v>
      </c>
      <c r="Q852" t="str">
        <f t="shared" si="92"/>
        <v>North</v>
      </c>
      <c r="R852" t="str">
        <f>PROPER(TRIM(E852))</f>
        <v>Office</v>
      </c>
      <c r="S852" s="27">
        <f>IF(ISTEXT(B852),DATEVALUE(B852),B852)</f>
        <v>45775</v>
      </c>
      <c r="T852" s="27">
        <f>COUNTIF($A$2:$A$1986,A852)</f>
        <v>1</v>
      </c>
      <c r="U852" s="27" t="str">
        <f t="shared" si="93"/>
        <v>Wireless Mouse</v>
      </c>
      <c r="V852" s="27">
        <f t="shared" si="94"/>
        <v>67.92</v>
      </c>
      <c r="W852" s="27">
        <f t="shared" si="95"/>
        <v>35.5</v>
      </c>
      <c r="X852" s="27">
        <f>RawSalesTable3[[#This Row],[Revenue]]-RawSalesTable3[[#This Row],[Total_Cost]]</f>
        <v>32.42</v>
      </c>
      <c r="Y852" s="28">
        <f>RawSalesTable3[[#This Row],[Profit]]/RawSalesTable3[[#This Row],[Revenue]]</f>
        <v>0.47732626619552415</v>
      </c>
      <c r="Z852" s="27" t="str">
        <f>TEXT(RawSalesTable3[[#This Row],[Order_Date_Clean]],"MMM YYYY")</f>
        <v>Apr 2025</v>
      </c>
      <c r="AA852" s="27"/>
      <c r="AB852" s="27">
        <f t="shared" si="96"/>
        <v>0</v>
      </c>
      <c r="AC852" s="27">
        <f t="shared" si="97"/>
        <v>0</v>
      </c>
    </row>
    <row r="853" spans="1:29">
      <c r="A853" t="s">
        <v>953</v>
      </c>
      <c r="B853" s="3">
        <v>45888</v>
      </c>
      <c r="C853" t="s">
        <v>66</v>
      </c>
      <c r="D853" t="s">
        <v>62</v>
      </c>
      <c r="E853" t="s">
        <v>56</v>
      </c>
      <c r="F853" t="s">
        <v>83</v>
      </c>
      <c r="G853" s="6">
        <v>2</v>
      </c>
      <c r="H853" s="4">
        <v>65.17</v>
      </c>
      <c r="I853" s="4">
        <v>35.99</v>
      </c>
      <c r="J853" s="5">
        <v>0.2</v>
      </c>
      <c r="K853" s="6">
        <v>4</v>
      </c>
      <c r="L853" s="6">
        <v>4</v>
      </c>
      <c r="M853" t="s">
        <v>58</v>
      </c>
      <c r="N853" t="s">
        <v>59</v>
      </c>
      <c r="O853" t="s">
        <v>64</v>
      </c>
      <c r="P853" t="str">
        <f t="shared" si="91"/>
        <v>Individual</v>
      </c>
      <c r="Q853" t="str">
        <f t="shared" si="92"/>
        <v>South</v>
      </c>
      <c r="R853" t="str">
        <f>PROPER(TRIM(E853))</f>
        <v>Home &amp; Kitchen</v>
      </c>
      <c r="S853" s="27">
        <f>IF(ISTEXT(B853),DATEVALUE(B853),B853)</f>
        <v>45888</v>
      </c>
      <c r="T853" s="27">
        <f>COUNTIF($A$2:$A$1986,A853)</f>
        <v>1</v>
      </c>
      <c r="U853" s="27" t="str">
        <f t="shared" si="93"/>
        <v>Blender</v>
      </c>
      <c r="V853" s="27">
        <f t="shared" si="94"/>
        <v>104.27200000000001</v>
      </c>
      <c r="W853" s="27">
        <f t="shared" si="95"/>
        <v>71.98</v>
      </c>
      <c r="X853" s="27">
        <f>RawSalesTable3[[#This Row],[Revenue]]-RawSalesTable3[[#This Row],[Total_Cost]]</f>
        <v>32.292000000000002</v>
      </c>
      <c r="Y853" s="28">
        <f>RawSalesTable3[[#This Row],[Profit]]/RawSalesTable3[[#This Row],[Revenue]]</f>
        <v>0.30969004143010587</v>
      </c>
      <c r="Z853" s="27" t="str">
        <f>TEXT(RawSalesTable3[[#This Row],[Order_Date_Clean]],"MMM YYYY")</f>
        <v>Aug 2025</v>
      </c>
      <c r="AA853" s="27"/>
      <c r="AB853" s="27">
        <f t="shared" si="96"/>
        <v>0</v>
      </c>
      <c r="AC853" s="27">
        <f t="shared" si="97"/>
        <v>0</v>
      </c>
    </row>
    <row r="854" spans="1:29">
      <c r="A854" t="s">
        <v>954</v>
      </c>
      <c r="B854" s="3">
        <v>45809</v>
      </c>
      <c r="C854" t="s">
        <v>66</v>
      </c>
      <c r="D854" t="s">
        <v>55</v>
      </c>
      <c r="E854" t="s">
        <v>79</v>
      </c>
      <c r="F854" t="s">
        <v>92</v>
      </c>
      <c r="G854" s="6">
        <v>2</v>
      </c>
      <c r="H854" s="4">
        <v>49.14</v>
      </c>
      <c r="I854" s="4">
        <v>25.63</v>
      </c>
      <c r="J854" s="5">
        <v>0</v>
      </c>
      <c r="K854" s="6">
        <v>8</v>
      </c>
      <c r="L854" s="6">
        <v>3</v>
      </c>
      <c r="M854" t="s">
        <v>126</v>
      </c>
      <c r="N854" t="s">
        <v>59</v>
      </c>
      <c r="O854" t="s">
        <v>60</v>
      </c>
      <c r="P854" t="str">
        <f t="shared" si="91"/>
        <v>Small Business</v>
      </c>
      <c r="Q854" t="str">
        <f t="shared" si="92"/>
        <v>South</v>
      </c>
      <c r="R854" t="str">
        <f>PROPER(TRIM(E854))</f>
        <v>Electronics</v>
      </c>
      <c r="S854" s="27">
        <f>IF(ISTEXT(B854),DATEVALUE(B854),B854)</f>
        <v>45809</v>
      </c>
      <c r="T854" s="27">
        <f>COUNTIF($A$2:$A$1986,A854)</f>
        <v>1</v>
      </c>
      <c r="U854" s="27" t="str">
        <f t="shared" si="93"/>
        <v>Webcam</v>
      </c>
      <c r="V854" s="27">
        <f t="shared" si="94"/>
        <v>98.28</v>
      </c>
      <c r="W854" s="27">
        <f t="shared" si="95"/>
        <v>51.26</v>
      </c>
      <c r="X854" s="27">
        <f>RawSalesTable3[[#This Row],[Revenue]]-RawSalesTable3[[#This Row],[Total_Cost]]</f>
        <v>47.02</v>
      </c>
      <c r="Y854" s="28">
        <f>RawSalesTable3[[#This Row],[Profit]]/RawSalesTable3[[#This Row],[Revenue]]</f>
        <v>0.47842897842897847</v>
      </c>
      <c r="Z854" s="27" t="str">
        <f>TEXT(RawSalesTable3[[#This Row],[Order_Date_Clean]],"MMM YYYY")</f>
        <v>Jun 2025</v>
      </c>
      <c r="AA854" s="27"/>
      <c r="AB854" s="27">
        <f t="shared" si="96"/>
        <v>0</v>
      </c>
      <c r="AC854" s="27">
        <f t="shared" si="97"/>
        <v>0</v>
      </c>
    </row>
    <row r="855" spans="1:29">
      <c r="A855" t="s">
        <v>955</v>
      </c>
      <c r="B855" s="3">
        <v>45789</v>
      </c>
      <c r="C855" t="s">
        <v>78</v>
      </c>
      <c r="D855" t="s">
        <v>55</v>
      </c>
      <c r="E855" t="s">
        <v>56</v>
      </c>
      <c r="F855" t="s">
        <v>89</v>
      </c>
      <c r="G855" s="6">
        <v>5</v>
      </c>
      <c r="H855" s="4">
        <v>77.78</v>
      </c>
      <c r="I855" s="4">
        <v>44.99</v>
      </c>
      <c r="J855" s="5">
        <v>0.05</v>
      </c>
      <c r="K855" s="6">
        <v>0</v>
      </c>
      <c r="L855" s="6">
        <v>4</v>
      </c>
      <c r="M855" t="s">
        <v>58</v>
      </c>
      <c r="N855" t="s">
        <v>69</v>
      </c>
      <c r="O855" t="s">
        <v>64</v>
      </c>
      <c r="P855" t="str">
        <f t="shared" si="91"/>
        <v>Small Business</v>
      </c>
      <c r="Q855" t="str">
        <f t="shared" si="92"/>
        <v>London</v>
      </c>
      <c r="R855" t="str">
        <f>PROPER(TRIM(E855))</f>
        <v>Home &amp; Kitchen</v>
      </c>
      <c r="S855" s="27">
        <f>IF(ISTEXT(B855),DATEVALUE(B855),B855)</f>
        <v>45789</v>
      </c>
      <c r="T855" s="27">
        <f>COUNTIF($A$2:$A$1986,A855)</f>
        <v>1</v>
      </c>
      <c r="U855" s="27" t="str">
        <f t="shared" si="93"/>
        <v>Coffee Maker</v>
      </c>
      <c r="V855" s="27">
        <f t="shared" si="94"/>
        <v>369.45499999999998</v>
      </c>
      <c r="W855" s="27">
        <f t="shared" si="95"/>
        <v>224.95000000000002</v>
      </c>
      <c r="X855" s="27">
        <f>RawSalesTable3[[#This Row],[Revenue]]-RawSalesTable3[[#This Row],[Total_Cost]]</f>
        <v>144.50499999999997</v>
      </c>
      <c r="Y855" s="28">
        <f>RawSalesTable3[[#This Row],[Profit]]/RawSalesTable3[[#This Row],[Revenue]]</f>
        <v>0.391130178235509</v>
      </c>
      <c r="Z855" s="27" t="str">
        <f>TEXT(RawSalesTable3[[#This Row],[Order_Date_Clean]],"MMM YYYY")</f>
        <v>May 2025</v>
      </c>
      <c r="AA855" s="27"/>
      <c r="AB855" s="27">
        <f t="shared" si="96"/>
        <v>0</v>
      </c>
      <c r="AC855" s="27">
        <f t="shared" si="97"/>
        <v>0</v>
      </c>
    </row>
    <row r="856" spans="1:29">
      <c r="A856" t="s">
        <v>956</v>
      </c>
      <c r="B856" s="3">
        <v>45902</v>
      </c>
      <c r="C856" t="s">
        <v>66</v>
      </c>
      <c r="D856" t="s">
        <v>55</v>
      </c>
      <c r="E856" t="s">
        <v>75</v>
      </c>
      <c r="F856" t="s">
        <v>110</v>
      </c>
      <c r="G856" s="6">
        <v>1</v>
      </c>
      <c r="H856" s="4">
        <v>161.07</v>
      </c>
      <c r="I856" s="4">
        <v>98.7</v>
      </c>
      <c r="J856" s="5">
        <v>0.05</v>
      </c>
      <c r="K856" s="6">
        <v>6</v>
      </c>
      <c r="L856" s="6">
        <v>4</v>
      </c>
      <c r="M856" t="s">
        <v>58</v>
      </c>
      <c r="N856" t="s">
        <v>59</v>
      </c>
      <c r="O856" t="s">
        <v>60</v>
      </c>
      <c r="P856" t="str">
        <f t="shared" si="91"/>
        <v>Small Business</v>
      </c>
      <c r="Q856" t="str">
        <f t="shared" si="92"/>
        <v>South</v>
      </c>
      <c r="R856" t="str">
        <f>PROPER(TRIM(E856))</f>
        <v>Furniture</v>
      </c>
      <c r="S856" s="27">
        <f>IF(ISTEXT(B856),DATEVALUE(B856),B856)</f>
        <v>45902</v>
      </c>
      <c r="T856" s="27">
        <f>COUNTIF($A$2:$A$1986,A856)</f>
        <v>1</v>
      </c>
      <c r="U856" s="27" t="str">
        <f t="shared" si="93"/>
        <v>Storage Cabinet</v>
      </c>
      <c r="V856" s="27">
        <f t="shared" si="94"/>
        <v>153.01649999999998</v>
      </c>
      <c r="W856" s="27">
        <f t="shared" si="95"/>
        <v>98.7</v>
      </c>
      <c r="X856" s="27">
        <f>RawSalesTable3[[#This Row],[Revenue]]-RawSalesTable3[[#This Row],[Total_Cost]]</f>
        <v>54.316499999999976</v>
      </c>
      <c r="Y856" s="28">
        <f>RawSalesTable3[[#This Row],[Profit]]/RawSalesTable3[[#This Row],[Revenue]]</f>
        <v>0.35497152267892668</v>
      </c>
      <c r="Z856" s="27" t="str">
        <f>TEXT(RawSalesTable3[[#This Row],[Order_Date_Clean]],"MMM YYYY")</f>
        <v>Sep 2025</v>
      </c>
      <c r="AA856" s="27"/>
      <c r="AB856" s="27">
        <f t="shared" si="96"/>
        <v>0</v>
      </c>
      <c r="AC856" s="27">
        <f t="shared" si="97"/>
        <v>0</v>
      </c>
    </row>
    <row r="857" spans="1:29">
      <c r="A857" t="s">
        <v>957</v>
      </c>
      <c r="B857" s="3">
        <v>45745</v>
      </c>
      <c r="C857" t="s">
        <v>78</v>
      </c>
      <c r="D857" t="s">
        <v>55</v>
      </c>
      <c r="E857" t="s">
        <v>67</v>
      </c>
      <c r="F857" t="s">
        <v>71</v>
      </c>
      <c r="G857" s="6">
        <v>2</v>
      </c>
      <c r="H857" s="4">
        <v>70.48</v>
      </c>
      <c r="I857" s="4">
        <v>39.770000000000003</v>
      </c>
      <c r="J857" s="5">
        <v>0</v>
      </c>
      <c r="K857" s="6">
        <v>4</v>
      </c>
      <c r="L857" s="6">
        <v>5</v>
      </c>
      <c r="M857" t="s">
        <v>58</v>
      </c>
      <c r="N857" t="s">
        <v>59</v>
      </c>
      <c r="O857" t="s">
        <v>64</v>
      </c>
      <c r="P857" t="str">
        <f t="shared" si="91"/>
        <v>Small Business</v>
      </c>
      <c r="Q857" t="str">
        <f t="shared" si="92"/>
        <v>London</v>
      </c>
      <c r="R857" t="str">
        <f>PROPER(TRIM(E857))</f>
        <v>Office</v>
      </c>
      <c r="S857" s="27">
        <f>IF(ISTEXT(B857),DATEVALUE(B857),B857)</f>
        <v>45745</v>
      </c>
      <c r="T857" s="27">
        <f>COUNTIF($A$2:$A$1986,A857)</f>
        <v>1</v>
      </c>
      <c r="U857" s="27" t="str">
        <f t="shared" si="93"/>
        <v>Ergonomic Keyboard</v>
      </c>
      <c r="V857" s="27">
        <f t="shared" si="94"/>
        <v>140.96</v>
      </c>
      <c r="W857" s="27">
        <f t="shared" si="95"/>
        <v>79.540000000000006</v>
      </c>
      <c r="X857" s="27">
        <f>RawSalesTable3[[#This Row],[Revenue]]-RawSalesTable3[[#This Row],[Total_Cost]]</f>
        <v>61.42</v>
      </c>
      <c r="Y857" s="28">
        <f>RawSalesTable3[[#This Row],[Profit]]/RawSalesTable3[[#This Row],[Revenue]]</f>
        <v>0.43572644721906922</v>
      </c>
      <c r="Z857" s="27" t="str">
        <f>TEXT(RawSalesTable3[[#This Row],[Order_Date_Clean]],"MMM YYYY")</f>
        <v>Mar 2025</v>
      </c>
      <c r="AA857" s="27"/>
      <c r="AB857" s="27">
        <f t="shared" si="96"/>
        <v>0</v>
      </c>
      <c r="AC857" s="27">
        <f t="shared" si="97"/>
        <v>0</v>
      </c>
    </row>
    <row r="858" spans="1:29">
      <c r="A858" t="s">
        <v>958</v>
      </c>
      <c r="B858" s="3">
        <v>45855</v>
      </c>
      <c r="C858" t="s">
        <v>78</v>
      </c>
      <c r="D858" t="s">
        <v>62</v>
      </c>
      <c r="E858" t="s">
        <v>56</v>
      </c>
      <c r="F858" t="s">
        <v>89</v>
      </c>
      <c r="G858" s="6">
        <v>3</v>
      </c>
      <c r="H858" s="4">
        <v>78.25</v>
      </c>
      <c r="I858" s="4">
        <v>45.35</v>
      </c>
      <c r="J858" s="5">
        <v>0.05</v>
      </c>
      <c r="K858" s="6">
        <v>3</v>
      </c>
      <c r="L858" s="6">
        <v>4</v>
      </c>
      <c r="M858" t="s">
        <v>58</v>
      </c>
      <c r="N858" t="s">
        <v>59</v>
      </c>
      <c r="O858" t="s">
        <v>64</v>
      </c>
      <c r="P858" t="str">
        <f t="shared" si="91"/>
        <v>Individual</v>
      </c>
      <c r="Q858" t="str">
        <f t="shared" si="92"/>
        <v>London</v>
      </c>
      <c r="R858" t="str">
        <f>PROPER(TRIM(E858))</f>
        <v>Home &amp; Kitchen</v>
      </c>
      <c r="S858" s="27">
        <f>IF(ISTEXT(B858),DATEVALUE(B858),B858)</f>
        <v>45855</v>
      </c>
      <c r="T858" s="27">
        <f>COUNTIF($A$2:$A$1986,A858)</f>
        <v>1</v>
      </c>
      <c r="U858" s="27" t="str">
        <f t="shared" si="93"/>
        <v>Coffee Maker</v>
      </c>
      <c r="V858" s="27">
        <f t="shared" si="94"/>
        <v>223.01249999999999</v>
      </c>
      <c r="W858" s="27">
        <f t="shared" si="95"/>
        <v>136.05000000000001</v>
      </c>
      <c r="X858" s="27">
        <f>RawSalesTable3[[#This Row],[Revenue]]-RawSalesTable3[[#This Row],[Total_Cost]]</f>
        <v>86.962499999999977</v>
      </c>
      <c r="Y858" s="28">
        <f>RawSalesTable3[[#This Row],[Profit]]/RawSalesTable3[[#This Row],[Revenue]]</f>
        <v>0.38994450983689249</v>
      </c>
      <c r="Z858" s="27" t="str">
        <f>TEXT(RawSalesTable3[[#This Row],[Order_Date_Clean]],"MMM YYYY")</f>
        <v>Jul 2025</v>
      </c>
      <c r="AA858" s="27"/>
      <c r="AB858" s="27">
        <f t="shared" si="96"/>
        <v>0</v>
      </c>
      <c r="AC858" s="27">
        <f t="shared" si="97"/>
        <v>0</v>
      </c>
    </row>
    <row r="859" spans="1:29">
      <c r="A859" t="s">
        <v>959</v>
      </c>
      <c r="B859" s="3">
        <v>45774</v>
      </c>
      <c r="C859" t="s">
        <v>78</v>
      </c>
      <c r="D859" t="s">
        <v>62</v>
      </c>
      <c r="E859" t="s">
        <v>67</v>
      </c>
      <c r="F859" t="s">
        <v>107</v>
      </c>
      <c r="G859" s="6">
        <v>3</v>
      </c>
      <c r="H859" s="4">
        <v>45.94</v>
      </c>
      <c r="I859" s="4">
        <v>20.84</v>
      </c>
      <c r="J859" s="5">
        <v>0</v>
      </c>
      <c r="K859" s="6">
        <v>2</v>
      </c>
      <c r="L859" s="6">
        <v>4</v>
      </c>
      <c r="M859" t="s">
        <v>58</v>
      </c>
      <c r="N859" t="s">
        <v>59</v>
      </c>
      <c r="O859" t="s">
        <v>60</v>
      </c>
      <c r="P859" t="str">
        <f t="shared" si="91"/>
        <v>Individual</v>
      </c>
      <c r="Q859" t="str">
        <f t="shared" si="92"/>
        <v>London</v>
      </c>
      <c r="R859" t="str">
        <f>PROPER(TRIM(E859))</f>
        <v>Office</v>
      </c>
      <c r="S859" s="27">
        <f>IF(ISTEXT(B859),DATEVALUE(B859),B859)</f>
        <v>45774</v>
      </c>
      <c r="T859" s="27">
        <f>COUNTIF($A$2:$A$1986,A859)</f>
        <v>1</v>
      </c>
      <c r="U859" s="27" t="str">
        <f t="shared" si="93"/>
        <v>Laptop Stand</v>
      </c>
      <c r="V859" s="27">
        <f t="shared" si="94"/>
        <v>137.82</v>
      </c>
      <c r="W859" s="27">
        <f t="shared" si="95"/>
        <v>62.519999999999996</v>
      </c>
      <c r="X859" s="27">
        <f>RawSalesTable3[[#This Row],[Revenue]]-RawSalesTable3[[#This Row],[Total_Cost]]</f>
        <v>75.3</v>
      </c>
      <c r="Y859" s="28">
        <f>RawSalesTable3[[#This Row],[Profit]]/RawSalesTable3[[#This Row],[Revenue]]</f>
        <v>0.54636482368306483</v>
      </c>
      <c r="Z859" s="27" t="str">
        <f>TEXT(RawSalesTable3[[#This Row],[Order_Date_Clean]],"MMM YYYY")</f>
        <v>Apr 2025</v>
      </c>
      <c r="AA859" s="27"/>
      <c r="AB859" s="27">
        <f t="shared" si="96"/>
        <v>0</v>
      </c>
      <c r="AC859" s="27">
        <f t="shared" si="97"/>
        <v>0</v>
      </c>
    </row>
    <row r="860" spans="1:29">
      <c r="A860" t="s">
        <v>960</v>
      </c>
      <c r="B860" s="3">
        <v>45946</v>
      </c>
      <c r="C860" t="s">
        <v>78</v>
      </c>
      <c r="D860" t="s">
        <v>62</v>
      </c>
      <c r="E860" t="s">
        <v>75</v>
      </c>
      <c r="F860" t="s">
        <v>146</v>
      </c>
      <c r="G860" s="6">
        <v>2</v>
      </c>
      <c r="H860" s="4">
        <v>179.17</v>
      </c>
      <c r="I860" s="4">
        <v>116.86</v>
      </c>
      <c r="J860" s="5">
        <v>0.05</v>
      </c>
      <c r="K860" s="6">
        <v>3</v>
      </c>
      <c r="L860" s="6">
        <v>5</v>
      </c>
      <c r="M860" t="s">
        <v>58</v>
      </c>
      <c r="N860" t="s">
        <v>69</v>
      </c>
      <c r="O860" t="s">
        <v>64</v>
      </c>
      <c r="P860" t="str">
        <f t="shared" si="91"/>
        <v>Individual</v>
      </c>
      <c r="Q860" t="str">
        <f t="shared" si="92"/>
        <v>London</v>
      </c>
      <c r="R860" t="str">
        <f>PROPER(TRIM(E860))</f>
        <v>Furniture</v>
      </c>
      <c r="S860" s="27">
        <f>IF(ISTEXT(B860),DATEVALUE(B860),B860)</f>
        <v>45946</v>
      </c>
      <c r="T860" s="27">
        <f>COUNTIF($A$2:$A$1986,A860)</f>
        <v>1</v>
      </c>
      <c r="U860" s="27" t="str">
        <f t="shared" si="93"/>
        <v>Office Chair</v>
      </c>
      <c r="V860" s="27">
        <f t="shared" si="94"/>
        <v>340.42299999999994</v>
      </c>
      <c r="W860" s="27">
        <f t="shared" si="95"/>
        <v>233.72</v>
      </c>
      <c r="X860" s="27">
        <f>RawSalesTable3[[#This Row],[Revenue]]-RawSalesTable3[[#This Row],[Total_Cost]]</f>
        <v>106.70299999999995</v>
      </c>
      <c r="Y860" s="28">
        <f>RawSalesTable3[[#This Row],[Profit]]/RawSalesTable3[[#This Row],[Revenue]]</f>
        <v>0.31344239372780325</v>
      </c>
      <c r="Z860" s="27" t="str">
        <f>TEXT(RawSalesTable3[[#This Row],[Order_Date_Clean]],"MMM YYYY")</f>
        <v>Oct 2025</v>
      </c>
      <c r="AA860" s="27"/>
      <c r="AB860" s="27">
        <f t="shared" si="96"/>
        <v>0</v>
      </c>
      <c r="AC860" s="27">
        <f t="shared" si="97"/>
        <v>0</v>
      </c>
    </row>
    <row r="861" spans="1:29">
      <c r="A861" t="s">
        <v>961</v>
      </c>
      <c r="B861" s="3">
        <v>45772</v>
      </c>
      <c r="C861" t="s">
        <v>54</v>
      </c>
      <c r="D861" t="s">
        <v>62</v>
      </c>
      <c r="E861" t="s">
        <v>79</v>
      </c>
      <c r="F861" t="s">
        <v>92</v>
      </c>
      <c r="G861" s="6">
        <v>4</v>
      </c>
      <c r="H861" s="4">
        <v>50.95</v>
      </c>
      <c r="I861" s="4">
        <v>27.21</v>
      </c>
      <c r="J861" s="5">
        <v>0.1</v>
      </c>
      <c r="K861" s="6">
        <v>3</v>
      </c>
      <c r="L861" s="6">
        <v>5</v>
      </c>
      <c r="M861" t="s">
        <v>58</v>
      </c>
      <c r="N861" t="s">
        <v>59</v>
      </c>
      <c r="O861" t="s">
        <v>64</v>
      </c>
      <c r="P861" t="str">
        <f t="shared" si="91"/>
        <v>Individual</v>
      </c>
      <c r="Q861" t="str">
        <f t="shared" si="92"/>
        <v>North</v>
      </c>
      <c r="R861" t="str">
        <f>PROPER(TRIM(E861))</f>
        <v>Electronics</v>
      </c>
      <c r="S861" s="27">
        <f>IF(ISTEXT(B861),DATEVALUE(B861),B861)</f>
        <v>45772</v>
      </c>
      <c r="T861" s="27">
        <f>COUNTIF($A$2:$A$1986,A861)</f>
        <v>1</v>
      </c>
      <c r="U861" s="27" t="str">
        <f t="shared" si="93"/>
        <v>Webcam</v>
      </c>
      <c r="V861" s="27">
        <f t="shared" si="94"/>
        <v>183.42000000000002</v>
      </c>
      <c r="W861" s="27">
        <f t="shared" si="95"/>
        <v>108.84</v>
      </c>
      <c r="X861" s="27">
        <f>RawSalesTable3[[#This Row],[Revenue]]-RawSalesTable3[[#This Row],[Total_Cost]]</f>
        <v>74.580000000000013</v>
      </c>
      <c r="Y861" s="28">
        <f>RawSalesTable3[[#This Row],[Profit]]/RawSalesTable3[[#This Row],[Revenue]]</f>
        <v>0.40660778541053322</v>
      </c>
      <c r="Z861" s="27" t="str">
        <f>TEXT(RawSalesTable3[[#This Row],[Order_Date_Clean]],"MMM YYYY")</f>
        <v>Apr 2025</v>
      </c>
      <c r="AA861" s="27"/>
      <c r="AB861" s="27">
        <f t="shared" si="96"/>
        <v>0</v>
      </c>
      <c r="AC861" s="27">
        <f t="shared" si="97"/>
        <v>0</v>
      </c>
    </row>
    <row r="862" spans="1:29">
      <c r="A862" t="s">
        <v>962</v>
      </c>
      <c r="B862" s="3">
        <v>45779</v>
      </c>
      <c r="C862" t="s">
        <v>82</v>
      </c>
      <c r="D862" t="s">
        <v>62</v>
      </c>
      <c r="E862" t="s">
        <v>75</v>
      </c>
      <c r="F862" t="s">
        <v>146</v>
      </c>
      <c r="G862" s="6">
        <v>1</v>
      </c>
      <c r="H862" s="4">
        <v>177</v>
      </c>
      <c r="I862" s="4">
        <v>117.57</v>
      </c>
      <c r="J862" s="5">
        <v>0.05</v>
      </c>
      <c r="K862" s="6">
        <v>0</v>
      </c>
      <c r="L862" s="6">
        <v>4</v>
      </c>
      <c r="M862" t="s">
        <v>58</v>
      </c>
      <c r="N862" t="s">
        <v>69</v>
      </c>
      <c r="O862" t="s">
        <v>64</v>
      </c>
      <c r="P862" t="str">
        <f t="shared" si="91"/>
        <v>Individual</v>
      </c>
      <c r="Q862" t="str">
        <f t="shared" si="92"/>
        <v>Midlands</v>
      </c>
      <c r="R862" t="str">
        <f>PROPER(TRIM(E862))</f>
        <v>Furniture</v>
      </c>
      <c r="S862" s="27">
        <f>IF(ISTEXT(B862),DATEVALUE(B862),B862)</f>
        <v>45779</v>
      </c>
      <c r="T862" s="27">
        <f>COUNTIF($A$2:$A$1986,A862)</f>
        <v>1</v>
      </c>
      <c r="U862" s="27" t="str">
        <f t="shared" si="93"/>
        <v>Office Chair</v>
      </c>
      <c r="V862" s="27">
        <f t="shared" si="94"/>
        <v>168.15</v>
      </c>
      <c r="W862" s="27">
        <f t="shared" si="95"/>
        <v>117.57</v>
      </c>
      <c r="X862" s="27">
        <f>RawSalesTable3[[#This Row],[Revenue]]-RawSalesTable3[[#This Row],[Total_Cost]]</f>
        <v>50.580000000000013</v>
      </c>
      <c r="Y862" s="28">
        <f>RawSalesTable3[[#This Row],[Profit]]/RawSalesTable3[[#This Row],[Revenue]]</f>
        <v>0.30080285459411249</v>
      </c>
      <c r="Z862" s="27" t="str">
        <f>TEXT(RawSalesTable3[[#This Row],[Order_Date_Clean]],"MMM YYYY")</f>
        <v>May 2025</v>
      </c>
      <c r="AA862" s="27"/>
      <c r="AB862" s="27">
        <f t="shared" si="96"/>
        <v>0</v>
      </c>
      <c r="AC862" s="27">
        <f t="shared" si="97"/>
        <v>0</v>
      </c>
    </row>
    <row r="863" spans="1:29">
      <c r="A863" t="s">
        <v>963</v>
      </c>
      <c r="B863" s="3">
        <v>45979</v>
      </c>
      <c r="C863" t="s">
        <v>78</v>
      </c>
      <c r="D863" t="s">
        <v>62</v>
      </c>
      <c r="E863" t="s">
        <v>67</v>
      </c>
      <c r="F863" t="s">
        <v>107</v>
      </c>
      <c r="G863" s="6">
        <v>1</v>
      </c>
      <c r="H863" s="4">
        <v>45.03</v>
      </c>
      <c r="I863" s="4">
        <v>21.48</v>
      </c>
      <c r="J863" s="5">
        <v>0.15000000000000002</v>
      </c>
      <c r="K863" s="6">
        <v>1</v>
      </c>
      <c r="L863" s="6">
        <v>4</v>
      </c>
      <c r="M863" t="s">
        <v>58</v>
      </c>
      <c r="N863" t="s">
        <v>69</v>
      </c>
      <c r="O863" t="s">
        <v>64</v>
      </c>
      <c r="P863" t="str">
        <f t="shared" si="91"/>
        <v>Individual</v>
      </c>
      <c r="Q863" t="str">
        <f t="shared" si="92"/>
        <v>London</v>
      </c>
      <c r="R863" t="str">
        <f>PROPER(TRIM(E863))</f>
        <v>Office</v>
      </c>
      <c r="S863" s="27">
        <f>IF(ISTEXT(B863),DATEVALUE(B863),B863)</f>
        <v>45979</v>
      </c>
      <c r="T863" s="27">
        <f>COUNTIF($A$2:$A$1986,A863)</f>
        <v>1</v>
      </c>
      <c r="U863" s="27" t="str">
        <f t="shared" si="93"/>
        <v>Laptop Stand</v>
      </c>
      <c r="V863" s="27">
        <f t="shared" si="94"/>
        <v>38.275500000000001</v>
      </c>
      <c r="W863" s="27">
        <f t="shared" si="95"/>
        <v>21.48</v>
      </c>
      <c r="X863" s="27">
        <f>RawSalesTable3[[#This Row],[Revenue]]-RawSalesTable3[[#This Row],[Total_Cost]]</f>
        <v>16.795500000000001</v>
      </c>
      <c r="Y863" s="28">
        <f>RawSalesTable3[[#This Row],[Profit]]/RawSalesTable3[[#This Row],[Revenue]]</f>
        <v>0.43880550221421016</v>
      </c>
      <c r="Z863" s="27" t="str">
        <f>TEXT(RawSalesTable3[[#This Row],[Order_Date_Clean]],"MMM YYYY")</f>
        <v>Nov 2025</v>
      </c>
      <c r="AA863" s="27"/>
      <c r="AB863" s="27">
        <f t="shared" si="96"/>
        <v>0</v>
      </c>
      <c r="AC863" s="27">
        <f t="shared" si="97"/>
        <v>0</v>
      </c>
    </row>
    <row r="864" spans="1:29">
      <c r="A864" t="s">
        <v>964</v>
      </c>
      <c r="B864" s="3">
        <v>45950</v>
      </c>
      <c r="C864" t="s">
        <v>82</v>
      </c>
      <c r="D864" t="s">
        <v>62</v>
      </c>
      <c r="E864" t="s">
        <v>67</v>
      </c>
      <c r="F864" t="s">
        <v>94</v>
      </c>
      <c r="G864" s="6">
        <v>2</v>
      </c>
      <c r="H864" s="4">
        <v>34.26</v>
      </c>
      <c r="I864" s="4">
        <v>17.12</v>
      </c>
      <c r="J864" s="5">
        <v>0</v>
      </c>
      <c r="K864" s="6">
        <v>4</v>
      </c>
      <c r="L864" s="6">
        <v>5</v>
      </c>
      <c r="M864" t="s">
        <v>58</v>
      </c>
      <c r="N864" t="s">
        <v>59</v>
      </c>
      <c r="O864" t="s">
        <v>60</v>
      </c>
      <c r="P864" t="str">
        <f t="shared" si="91"/>
        <v>Individual</v>
      </c>
      <c r="Q864" t="str">
        <f t="shared" si="92"/>
        <v>Midlands</v>
      </c>
      <c r="R864" t="str">
        <f>PROPER(TRIM(E864))</f>
        <v>Office</v>
      </c>
      <c r="S864" s="27">
        <f>IF(ISTEXT(B864),DATEVALUE(B864),B864)</f>
        <v>45950</v>
      </c>
      <c r="T864" s="27">
        <f>COUNTIF($A$2:$A$1986,A864)</f>
        <v>1</v>
      </c>
      <c r="U864" s="27" t="str">
        <f t="shared" si="93"/>
        <v>Wireless Mouse</v>
      </c>
      <c r="V864" s="27">
        <f t="shared" si="94"/>
        <v>68.52</v>
      </c>
      <c r="W864" s="27">
        <f t="shared" si="95"/>
        <v>34.24</v>
      </c>
      <c r="X864" s="27">
        <f>RawSalesTable3[[#This Row],[Revenue]]-RawSalesTable3[[#This Row],[Total_Cost]]</f>
        <v>34.279999999999994</v>
      </c>
      <c r="Y864" s="28">
        <f>RawSalesTable3[[#This Row],[Profit]]/RawSalesTable3[[#This Row],[Revenue]]</f>
        <v>0.50029188558085225</v>
      </c>
      <c r="Z864" s="27" t="str">
        <f>TEXT(RawSalesTable3[[#This Row],[Order_Date_Clean]],"MMM YYYY")</f>
        <v>Oct 2025</v>
      </c>
      <c r="AA864" s="27"/>
      <c r="AB864" s="27">
        <f t="shared" si="96"/>
        <v>0</v>
      </c>
      <c r="AC864" s="27">
        <f t="shared" si="97"/>
        <v>0</v>
      </c>
    </row>
    <row r="865" spans="1:29">
      <c r="A865" t="s">
        <v>965</v>
      </c>
      <c r="B865" s="3">
        <v>45889</v>
      </c>
      <c r="C865" t="s">
        <v>66</v>
      </c>
      <c r="D865" t="s">
        <v>62</v>
      </c>
      <c r="E865" t="s">
        <v>67</v>
      </c>
      <c r="F865" t="s">
        <v>68</v>
      </c>
      <c r="G865" s="6">
        <v>1</v>
      </c>
      <c r="H865" s="4">
        <v>39.909999999999997</v>
      </c>
      <c r="I865" s="4">
        <v>19.88</v>
      </c>
      <c r="J865" s="5">
        <v>0</v>
      </c>
      <c r="K865" s="6">
        <v>6</v>
      </c>
      <c r="L865" s="6">
        <v>4</v>
      </c>
      <c r="M865" t="s">
        <v>58</v>
      </c>
      <c r="N865" t="s">
        <v>59</v>
      </c>
      <c r="O865" t="s">
        <v>64</v>
      </c>
      <c r="P865" t="str">
        <f t="shared" si="91"/>
        <v>Individual</v>
      </c>
      <c r="Q865" t="str">
        <f t="shared" si="92"/>
        <v>South</v>
      </c>
      <c r="R865" t="str">
        <f>PROPER(TRIM(E865))</f>
        <v>Office</v>
      </c>
      <c r="S865" s="27">
        <f>IF(ISTEXT(B865),DATEVALUE(B865),B865)</f>
        <v>45889</v>
      </c>
      <c r="T865" s="27">
        <f>COUNTIF($A$2:$A$1986,A865)</f>
        <v>1</v>
      </c>
      <c r="U865" s="27" t="str">
        <f t="shared" si="93"/>
        <v>Desk Lamp</v>
      </c>
      <c r="V865" s="27">
        <f t="shared" si="94"/>
        <v>39.909999999999997</v>
      </c>
      <c r="W865" s="27">
        <f t="shared" si="95"/>
        <v>19.88</v>
      </c>
      <c r="X865" s="27">
        <f>RawSalesTable3[[#This Row],[Revenue]]-RawSalesTable3[[#This Row],[Total_Cost]]</f>
        <v>20.029999999999998</v>
      </c>
      <c r="Y865" s="28">
        <f>RawSalesTable3[[#This Row],[Profit]]/RawSalesTable3[[#This Row],[Revenue]]</f>
        <v>0.5018792282635931</v>
      </c>
      <c r="Z865" s="27" t="str">
        <f>TEXT(RawSalesTable3[[#This Row],[Order_Date_Clean]],"MMM YYYY")</f>
        <v>Aug 2025</v>
      </c>
      <c r="AA865" s="27"/>
      <c r="AB865" s="27">
        <f t="shared" si="96"/>
        <v>0</v>
      </c>
      <c r="AC865" s="27">
        <f t="shared" si="97"/>
        <v>0</v>
      </c>
    </row>
    <row r="866" spans="1:29">
      <c r="A866" t="s">
        <v>966</v>
      </c>
      <c r="B866" s="3">
        <v>46021</v>
      </c>
      <c r="C866" t="s">
        <v>66</v>
      </c>
      <c r="D866" t="s">
        <v>62</v>
      </c>
      <c r="E866" t="s">
        <v>79</v>
      </c>
      <c r="F866" t="s">
        <v>85</v>
      </c>
      <c r="G866" s="6">
        <v>2</v>
      </c>
      <c r="H866" s="4">
        <v>131.38</v>
      </c>
      <c r="I866" s="4">
        <v>87.73</v>
      </c>
      <c r="J866" s="5">
        <v>0.25</v>
      </c>
      <c r="K866" s="6">
        <v>5</v>
      </c>
      <c r="L866" s="6">
        <v>4</v>
      </c>
      <c r="M866" t="s">
        <v>58</v>
      </c>
      <c r="N866" t="s">
        <v>59</v>
      </c>
      <c r="O866" t="s">
        <v>64</v>
      </c>
      <c r="P866" t="str">
        <f t="shared" si="91"/>
        <v>Individual</v>
      </c>
      <c r="Q866" t="str">
        <f t="shared" si="92"/>
        <v>South</v>
      </c>
      <c r="R866" t="str">
        <f>PROPER(TRIM(E866))</f>
        <v>Electronics</v>
      </c>
      <c r="S866" s="27">
        <f>IF(ISTEXT(B866),DATEVALUE(B866),B866)</f>
        <v>46021</v>
      </c>
      <c r="T866" s="27">
        <f>COUNTIF($A$2:$A$1986,A866)</f>
        <v>1</v>
      </c>
      <c r="U866" s="27" t="str">
        <f t="shared" si="93"/>
        <v>SmartHome Hub</v>
      </c>
      <c r="V866" s="27">
        <f t="shared" si="94"/>
        <v>197.07</v>
      </c>
      <c r="W866" s="27">
        <f t="shared" si="95"/>
        <v>175.46</v>
      </c>
      <c r="X866" s="27">
        <f>RawSalesTable3[[#This Row],[Revenue]]-RawSalesTable3[[#This Row],[Total_Cost]]</f>
        <v>21.609999999999985</v>
      </c>
      <c r="Y866" s="28">
        <f>RawSalesTable3[[#This Row],[Profit]]/RawSalesTable3[[#This Row],[Revenue]]</f>
        <v>0.10965646724514125</v>
      </c>
      <c r="Z866" s="27" t="str">
        <f>TEXT(RawSalesTable3[[#This Row],[Order_Date_Clean]],"MMM YYYY")</f>
        <v>Dec 2025</v>
      </c>
      <c r="AA866" s="27"/>
      <c r="AB866" s="27">
        <f t="shared" si="96"/>
        <v>0</v>
      </c>
      <c r="AC866" s="27">
        <f t="shared" si="97"/>
        <v>0</v>
      </c>
    </row>
    <row r="867" spans="1:29">
      <c r="A867" t="s">
        <v>967</v>
      </c>
      <c r="B867" s="3">
        <v>45773</v>
      </c>
      <c r="C867" t="s">
        <v>66</v>
      </c>
      <c r="D867" t="s">
        <v>62</v>
      </c>
      <c r="E867" t="s">
        <v>79</v>
      </c>
      <c r="F867" t="s">
        <v>92</v>
      </c>
      <c r="G867" s="6">
        <v>1</v>
      </c>
      <c r="H867" s="4">
        <v>49.99</v>
      </c>
      <c r="I867" s="4">
        <v>27.3</v>
      </c>
      <c r="J867" s="5">
        <v>0.05</v>
      </c>
      <c r="K867" s="6">
        <v>4</v>
      </c>
      <c r="L867" s="6">
        <v>3</v>
      </c>
      <c r="M867" t="s">
        <v>126</v>
      </c>
      <c r="N867" t="s">
        <v>59</v>
      </c>
      <c r="O867" t="s">
        <v>73</v>
      </c>
      <c r="P867" t="str">
        <f t="shared" si="91"/>
        <v>Individual</v>
      </c>
      <c r="Q867" t="str">
        <f t="shared" si="92"/>
        <v>South</v>
      </c>
      <c r="R867" t="str">
        <f>PROPER(TRIM(E867))</f>
        <v>Electronics</v>
      </c>
      <c r="S867" s="27">
        <f>IF(ISTEXT(B867),DATEVALUE(B867),B867)</f>
        <v>45773</v>
      </c>
      <c r="T867" s="27">
        <f>COUNTIF($A$2:$A$1986,A867)</f>
        <v>1</v>
      </c>
      <c r="U867" s="27" t="str">
        <f t="shared" si="93"/>
        <v>Webcam</v>
      </c>
      <c r="V867" s="27">
        <f t="shared" si="94"/>
        <v>47.490499999999997</v>
      </c>
      <c r="W867" s="27">
        <f t="shared" si="95"/>
        <v>27.3</v>
      </c>
      <c r="X867" s="27">
        <f>RawSalesTable3[[#This Row],[Revenue]]-RawSalesTable3[[#This Row],[Total_Cost]]</f>
        <v>20.190499999999997</v>
      </c>
      <c r="Y867" s="28">
        <f>RawSalesTable3[[#This Row],[Profit]]/RawSalesTable3[[#This Row],[Revenue]]</f>
        <v>0.42514818753224326</v>
      </c>
      <c r="Z867" s="27" t="str">
        <f>TEXT(RawSalesTable3[[#This Row],[Order_Date_Clean]],"MMM YYYY")</f>
        <v>Apr 2025</v>
      </c>
      <c r="AA867" s="27"/>
      <c r="AB867" s="27">
        <f t="shared" si="96"/>
        <v>0</v>
      </c>
      <c r="AC867" s="27">
        <f t="shared" si="97"/>
        <v>0</v>
      </c>
    </row>
    <row r="868" spans="1:29">
      <c r="A868" t="s">
        <v>968</v>
      </c>
      <c r="B868" s="3">
        <v>45762</v>
      </c>
      <c r="C868" t="s">
        <v>82</v>
      </c>
      <c r="D868" t="s">
        <v>55</v>
      </c>
      <c r="E868" t="s">
        <v>56</v>
      </c>
      <c r="F868" t="s">
        <v>89</v>
      </c>
      <c r="G868" s="6">
        <v>2</v>
      </c>
      <c r="H868" s="4">
        <v>81.89</v>
      </c>
      <c r="I868" s="4">
        <v>45.73</v>
      </c>
      <c r="J868" s="5">
        <v>0.05</v>
      </c>
      <c r="K868" s="6">
        <v>2</v>
      </c>
      <c r="L868" s="6">
        <v>4</v>
      </c>
      <c r="M868" t="s">
        <v>58</v>
      </c>
      <c r="N868" t="s">
        <v>59</v>
      </c>
      <c r="O868" t="s">
        <v>64</v>
      </c>
      <c r="P868" t="str">
        <f t="shared" si="91"/>
        <v>Small Business</v>
      </c>
      <c r="Q868" t="str">
        <f t="shared" si="92"/>
        <v>Midlands</v>
      </c>
      <c r="R868" t="str">
        <f>PROPER(TRIM(E868))</f>
        <v>Home &amp; Kitchen</v>
      </c>
      <c r="S868" s="27">
        <f>IF(ISTEXT(B868),DATEVALUE(B868),B868)</f>
        <v>45762</v>
      </c>
      <c r="T868" s="27">
        <f>COUNTIF($A$2:$A$1986,A868)</f>
        <v>1</v>
      </c>
      <c r="U868" s="27" t="str">
        <f t="shared" si="93"/>
        <v>Coffee Maker</v>
      </c>
      <c r="V868" s="27">
        <f t="shared" si="94"/>
        <v>155.59099999999998</v>
      </c>
      <c r="W868" s="27">
        <f t="shared" si="95"/>
        <v>91.46</v>
      </c>
      <c r="X868" s="27">
        <f>RawSalesTable3[[#This Row],[Revenue]]-RawSalesTable3[[#This Row],[Total_Cost]]</f>
        <v>64.130999999999986</v>
      </c>
      <c r="Y868" s="28">
        <f>RawSalesTable3[[#This Row],[Profit]]/RawSalesTable3[[#This Row],[Revenue]]</f>
        <v>0.41217679685843006</v>
      </c>
      <c r="Z868" s="27" t="str">
        <f>TEXT(RawSalesTable3[[#This Row],[Order_Date_Clean]],"MMM YYYY")</f>
        <v>Apr 2025</v>
      </c>
      <c r="AA868" s="27"/>
      <c r="AB868" s="27">
        <f t="shared" si="96"/>
        <v>0</v>
      </c>
      <c r="AC868" s="27">
        <f t="shared" si="97"/>
        <v>0</v>
      </c>
    </row>
    <row r="869" spans="1:29">
      <c r="A869" t="s">
        <v>969</v>
      </c>
      <c r="B869" s="3">
        <v>45814</v>
      </c>
      <c r="C869" t="s">
        <v>78</v>
      </c>
      <c r="D869" t="s">
        <v>55</v>
      </c>
      <c r="E869" t="s">
        <v>79</v>
      </c>
      <c r="F869" t="s">
        <v>80</v>
      </c>
      <c r="G869" s="6">
        <v>1</v>
      </c>
      <c r="H869" s="4">
        <v>75.8</v>
      </c>
      <c r="I869" s="4">
        <v>44.14</v>
      </c>
      <c r="J869" s="5">
        <v>0.05</v>
      </c>
      <c r="K869" s="6">
        <v>5</v>
      </c>
      <c r="L869" s="6">
        <v>3</v>
      </c>
      <c r="M869" t="s">
        <v>126</v>
      </c>
      <c r="N869" t="s">
        <v>69</v>
      </c>
      <c r="O869" t="s">
        <v>64</v>
      </c>
      <c r="P869" t="str">
        <f t="shared" si="91"/>
        <v>Small Business</v>
      </c>
      <c r="Q869" t="str">
        <f t="shared" si="92"/>
        <v>London</v>
      </c>
      <c r="R869" t="str">
        <f>PROPER(TRIM(E869))</f>
        <v>Electronics</v>
      </c>
      <c r="S869" s="27">
        <f>IF(ISTEXT(B869),DATEVALUE(B869),B869)</f>
        <v>45814</v>
      </c>
      <c r="T869" s="27">
        <f>COUNTIF($A$2:$A$1986,A869)</f>
        <v>1</v>
      </c>
      <c r="U869" s="27" t="str">
        <f t="shared" si="93"/>
        <v>Portable Speaker</v>
      </c>
      <c r="V869" s="27">
        <f t="shared" si="94"/>
        <v>72.009999999999991</v>
      </c>
      <c r="W869" s="27">
        <f t="shared" si="95"/>
        <v>44.14</v>
      </c>
      <c r="X869" s="27">
        <f>RawSalesTable3[[#This Row],[Revenue]]-RawSalesTable3[[#This Row],[Total_Cost]]</f>
        <v>27.86999999999999</v>
      </c>
      <c r="Y869" s="28">
        <f>RawSalesTable3[[#This Row],[Profit]]/RawSalesTable3[[#This Row],[Revenue]]</f>
        <v>0.38702957922510756</v>
      </c>
      <c r="Z869" s="27" t="str">
        <f>TEXT(RawSalesTable3[[#This Row],[Order_Date_Clean]],"MMM YYYY")</f>
        <v>Jun 2025</v>
      </c>
      <c r="AA869" s="27"/>
      <c r="AB869" s="27">
        <f t="shared" si="96"/>
        <v>0</v>
      </c>
      <c r="AC869" s="27">
        <f t="shared" si="97"/>
        <v>0</v>
      </c>
    </row>
    <row r="870" spans="1:29">
      <c r="A870" t="s">
        <v>970</v>
      </c>
      <c r="B870" s="3">
        <v>45791</v>
      </c>
      <c r="C870" t="s">
        <v>82</v>
      </c>
      <c r="D870" t="s">
        <v>55</v>
      </c>
      <c r="E870" t="s">
        <v>79</v>
      </c>
      <c r="F870" t="s">
        <v>92</v>
      </c>
      <c r="G870" s="6">
        <v>2</v>
      </c>
      <c r="H870" s="4">
        <v>51.43</v>
      </c>
      <c r="I870" s="4">
        <v>26.23</v>
      </c>
      <c r="J870" s="5">
        <v>0</v>
      </c>
      <c r="K870" s="6">
        <v>5</v>
      </c>
      <c r="L870" s="6">
        <v>4</v>
      </c>
      <c r="M870" t="s">
        <v>58</v>
      </c>
      <c r="N870" t="s">
        <v>87</v>
      </c>
      <c r="O870" t="s">
        <v>60</v>
      </c>
      <c r="P870" t="str">
        <f t="shared" si="91"/>
        <v>Small Business</v>
      </c>
      <c r="Q870" t="str">
        <f t="shared" si="92"/>
        <v>Midlands</v>
      </c>
      <c r="R870" t="str">
        <f>PROPER(TRIM(E870))</f>
        <v>Electronics</v>
      </c>
      <c r="S870" s="27">
        <f>IF(ISTEXT(B870),DATEVALUE(B870),B870)</f>
        <v>45791</v>
      </c>
      <c r="T870" s="27">
        <f>COUNTIF($A$2:$A$1986,A870)</f>
        <v>1</v>
      </c>
      <c r="U870" s="27" t="str">
        <f t="shared" si="93"/>
        <v>Webcam</v>
      </c>
      <c r="V870" s="27">
        <f t="shared" si="94"/>
        <v>102.86</v>
      </c>
      <c r="W870" s="27">
        <f t="shared" si="95"/>
        <v>52.46</v>
      </c>
      <c r="X870" s="27">
        <f>RawSalesTable3[[#This Row],[Revenue]]-RawSalesTable3[[#This Row],[Total_Cost]]</f>
        <v>50.4</v>
      </c>
      <c r="Y870" s="28">
        <f>RawSalesTable3[[#This Row],[Profit]]/RawSalesTable3[[#This Row],[Revenue]]</f>
        <v>0.48998638926696481</v>
      </c>
      <c r="Z870" s="27" t="str">
        <f>TEXT(RawSalesTable3[[#This Row],[Order_Date_Clean]],"MMM YYYY")</f>
        <v>May 2025</v>
      </c>
      <c r="AA870" s="27"/>
      <c r="AB870" s="27">
        <f t="shared" si="96"/>
        <v>0</v>
      </c>
      <c r="AC870" s="27">
        <f t="shared" si="97"/>
        <v>0</v>
      </c>
    </row>
    <row r="871" spans="1:29">
      <c r="A871" t="s">
        <v>971</v>
      </c>
      <c r="B871" s="3">
        <v>45998</v>
      </c>
      <c r="C871" t="s">
        <v>66</v>
      </c>
      <c r="D871" t="s">
        <v>129</v>
      </c>
      <c r="E871" t="s">
        <v>67</v>
      </c>
      <c r="F871" t="s">
        <v>94</v>
      </c>
      <c r="G871" s="6">
        <v>4</v>
      </c>
      <c r="H871" s="4">
        <v>36.340000000000003</v>
      </c>
      <c r="I871" s="4">
        <v>17.68</v>
      </c>
      <c r="J871" s="5">
        <v>0.2</v>
      </c>
      <c r="K871" s="6">
        <v>4</v>
      </c>
      <c r="L871" s="6">
        <v>5</v>
      </c>
      <c r="M871" t="s">
        <v>58</v>
      </c>
      <c r="N871" t="s">
        <v>59</v>
      </c>
      <c r="O871" t="s">
        <v>64</v>
      </c>
      <c r="P871" t="str">
        <f t="shared" si="91"/>
        <v>Corporate</v>
      </c>
      <c r="Q871" t="str">
        <f t="shared" si="92"/>
        <v>South</v>
      </c>
      <c r="R871" t="str">
        <f>PROPER(TRIM(E871))</f>
        <v>Office</v>
      </c>
      <c r="S871" s="27">
        <f>IF(ISTEXT(B871),DATEVALUE(B871),B871)</f>
        <v>45998</v>
      </c>
      <c r="T871" s="27">
        <f>COUNTIF($A$2:$A$1986,A871)</f>
        <v>1</v>
      </c>
      <c r="U871" s="27" t="str">
        <f t="shared" si="93"/>
        <v>Wireless Mouse</v>
      </c>
      <c r="V871" s="27">
        <f t="shared" si="94"/>
        <v>116.28800000000001</v>
      </c>
      <c r="W871" s="27">
        <f t="shared" si="95"/>
        <v>70.72</v>
      </c>
      <c r="X871" s="27">
        <f>RawSalesTable3[[#This Row],[Revenue]]-RawSalesTable3[[#This Row],[Total_Cost]]</f>
        <v>45.568000000000012</v>
      </c>
      <c r="Y871" s="28">
        <f>RawSalesTable3[[#This Row],[Profit]]/RawSalesTable3[[#This Row],[Revenue]]</f>
        <v>0.39185470555861318</v>
      </c>
      <c r="Z871" s="27" t="str">
        <f>TEXT(RawSalesTable3[[#This Row],[Order_Date_Clean]],"MMM YYYY")</f>
        <v>Dec 2025</v>
      </c>
      <c r="AA871" s="27"/>
      <c r="AB871" s="27">
        <f t="shared" si="96"/>
        <v>0</v>
      </c>
      <c r="AC871" s="27">
        <f t="shared" si="97"/>
        <v>0</v>
      </c>
    </row>
    <row r="872" spans="1:29">
      <c r="A872" t="s">
        <v>972</v>
      </c>
      <c r="B872" s="3">
        <v>45979</v>
      </c>
      <c r="C872" t="s">
        <v>78</v>
      </c>
      <c r="D872" t="s">
        <v>62</v>
      </c>
      <c r="E872" t="s">
        <v>67</v>
      </c>
      <c r="F872" t="s">
        <v>68</v>
      </c>
      <c r="G872" s="6">
        <v>1</v>
      </c>
      <c r="H872" s="4">
        <v>40.659999999999997</v>
      </c>
      <c r="I872" s="4">
        <v>18.62</v>
      </c>
      <c r="J872" s="5">
        <v>0</v>
      </c>
      <c r="K872" s="6">
        <v>3</v>
      </c>
      <c r="L872" s="6">
        <v>5</v>
      </c>
      <c r="M872" t="s">
        <v>58</v>
      </c>
      <c r="N872" t="s">
        <v>69</v>
      </c>
      <c r="O872" t="s">
        <v>73</v>
      </c>
      <c r="P872" t="str">
        <f t="shared" si="91"/>
        <v>Individual</v>
      </c>
      <c r="Q872" t="str">
        <f t="shared" si="92"/>
        <v>London</v>
      </c>
      <c r="R872" t="str">
        <f>PROPER(TRIM(E872))</f>
        <v>Office</v>
      </c>
      <c r="S872" s="27">
        <f>IF(ISTEXT(B872),DATEVALUE(B872),B872)</f>
        <v>45979</v>
      </c>
      <c r="T872" s="27">
        <f>COUNTIF($A$2:$A$1986,A872)</f>
        <v>1</v>
      </c>
      <c r="U872" s="27" t="str">
        <f t="shared" si="93"/>
        <v>Desk Lamp</v>
      </c>
      <c r="V872" s="27">
        <f t="shared" si="94"/>
        <v>40.659999999999997</v>
      </c>
      <c r="W872" s="27">
        <f t="shared" si="95"/>
        <v>18.62</v>
      </c>
      <c r="X872" s="27">
        <f>RawSalesTable3[[#This Row],[Revenue]]-RawSalesTable3[[#This Row],[Total_Cost]]</f>
        <v>22.039999999999996</v>
      </c>
      <c r="Y872" s="28">
        <f>RawSalesTable3[[#This Row],[Profit]]/RawSalesTable3[[#This Row],[Revenue]]</f>
        <v>0.54205607476635509</v>
      </c>
      <c r="Z872" s="27" t="str">
        <f>TEXT(RawSalesTable3[[#This Row],[Order_Date_Clean]],"MMM YYYY")</f>
        <v>Nov 2025</v>
      </c>
      <c r="AA872" s="27"/>
      <c r="AB872" s="27">
        <f t="shared" si="96"/>
        <v>0</v>
      </c>
      <c r="AC872" s="27">
        <f t="shared" si="97"/>
        <v>0</v>
      </c>
    </row>
    <row r="873" spans="1:29">
      <c r="A873" t="s">
        <v>973</v>
      </c>
      <c r="B873" s="3">
        <v>46004</v>
      </c>
      <c r="C873" t="s">
        <v>66</v>
      </c>
      <c r="D873" t="s">
        <v>62</v>
      </c>
      <c r="E873" t="s">
        <v>67</v>
      </c>
      <c r="F873" t="s">
        <v>71</v>
      </c>
      <c r="G873" s="6">
        <v>1</v>
      </c>
      <c r="H873" s="4">
        <v>69.290000000000006</v>
      </c>
      <c r="I873" s="4">
        <v>38.619999999999997</v>
      </c>
      <c r="J873" s="5">
        <v>0.1</v>
      </c>
      <c r="K873" s="6">
        <v>0</v>
      </c>
      <c r="L873" s="6">
        <v>5</v>
      </c>
      <c r="M873" t="s">
        <v>58</v>
      </c>
      <c r="N873" t="s">
        <v>69</v>
      </c>
      <c r="O873" t="s">
        <v>64</v>
      </c>
      <c r="P873" t="str">
        <f t="shared" si="91"/>
        <v>Individual</v>
      </c>
      <c r="Q873" t="str">
        <f t="shared" si="92"/>
        <v>South</v>
      </c>
      <c r="R873" t="str">
        <f>PROPER(TRIM(E873))</f>
        <v>Office</v>
      </c>
      <c r="S873" s="27">
        <f>IF(ISTEXT(B873),DATEVALUE(B873),B873)</f>
        <v>46004</v>
      </c>
      <c r="T873" s="27">
        <f>COUNTIF($A$2:$A$1986,A873)</f>
        <v>1</v>
      </c>
      <c r="U873" s="27" t="str">
        <f t="shared" si="93"/>
        <v>Ergonomic Keyboard</v>
      </c>
      <c r="V873" s="27">
        <f t="shared" si="94"/>
        <v>62.361000000000004</v>
      </c>
      <c r="W873" s="27">
        <f t="shared" si="95"/>
        <v>38.619999999999997</v>
      </c>
      <c r="X873" s="27">
        <f>RawSalesTable3[[#This Row],[Revenue]]-RawSalesTable3[[#This Row],[Total_Cost]]</f>
        <v>23.741000000000007</v>
      </c>
      <c r="Y873" s="28">
        <f>RawSalesTable3[[#This Row],[Profit]]/RawSalesTable3[[#This Row],[Revenue]]</f>
        <v>0.38070268276647273</v>
      </c>
      <c r="Z873" s="27" t="str">
        <f>TEXT(RawSalesTable3[[#This Row],[Order_Date_Clean]],"MMM YYYY")</f>
        <v>Dec 2025</v>
      </c>
      <c r="AA873" s="27"/>
      <c r="AB873" s="27">
        <f t="shared" si="96"/>
        <v>0</v>
      </c>
      <c r="AC873" s="27">
        <f t="shared" si="97"/>
        <v>0</v>
      </c>
    </row>
    <row r="874" spans="1:29">
      <c r="A874" t="s">
        <v>974</v>
      </c>
      <c r="B874" s="3">
        <v>45662</v>
      </c>
      <c r="C874" t="s">
        <v>66</v>
      </c>
      <c r="D874" t="s">
        <v>62</v>
      </c>
      <c r="E874" t="s">
        <v>79</v>
      </c>
      <c r="F874" t="s">
        <v>80</v>
      </c>
      <c r="G874" s="6">
        <v>1</v>
      </c>
      <c r="H874" s="4">
        <v>77.81</v>
      </c>
      <c r="I874" s="4">
        <v>43.42</v>
      </c>
      <c r="J874" s="5">
        <v>0.05</v>
      </c>
      <c r="K874" s="6">
        <v>3</v>
      </c>
      <c r="L874" s="6">
        <v>5</v>
      </c>
      <c r="M874" t="s">
        <v>58</v>
      </c>
      <c r="N874" t="s">
        <v>59</v>
      </c>
      <c r="O874" t="s">
        <v>64</v>
      </c>
      <c r="P874" t="str">
        <f t="shared" si="91"/>
        <v>Individual</v>
      </c>
      <c r="Q874" t="str">
        <f t="shared" si="92"/>
        <v>South</v>
      </c>
      <c r="R874" t="str">
        <f>PROPER(TRIM(E874))</f>
        <v>Electronics</v>
      </c>
      <c r="S874" s="27">
        <f>IF(ISTEXT(B874),DATEVALUE(B874),B874)</f>
        <v>45662</v>
      </c>
      <c r="T874" s="27">
        <f>COUNTIF($A$2:$A$1986,A874)</f>
        <v>1</v>
      </c>
      <c r="U874" s="27" t="str">
        <f t="shared" si="93"/>
        <v>Portable Speaker</v>
      </c>
      <c r="V874" s="27">
        <f t="shared" si="94"/>
        <v>73.919499999999999</v>
      </c>
      <c r="W874" s="27">
        <f t="shared" si="95"/>
        <v>43.42</v>
      </c>
      <c r="X874" s="27">
        <f>RawSalesTable3[[#This Row],[Revenue]]-RawSalesTable3[[#This Row],[Total_Cost]]</f>
        <v>30.499499999999998</v>
      </c>
      <c r="Y874" s="28">
        <f>RawSalesTable3[[#This Row],[Profit]]/RawSalesTable3[[#This Row],[Revenue]]</f>
        <v>0.41260425192269967</v>
      </c>
      <c r="Z874" s="27" t="str">
        <f>TEXT(RawSalesTable3[[#This Row],[Order_Date_Clean]],"MMM YYYY")</f>
        <v>Jan 2025</v>
      </c>
      <c r="AA874" s="27"/>
      <c r="AB874" s="27">
        <f t="shared" si="96"/>
        <v>0</v>
      </c>
      <c r="AC874" s="27">
        <f t="shared" si="97"/>
        <v>0</v>
      </c>
    </row>
    <row r="875" spans="1:29">
      <c r="A875" t="s">
        <v>975</v>
      </c>
      <c r="B875" s="3">
        <v>45689</v>
      </c>
      <c r="C875" t="s">
        <v>78</v>
      </c>
      <c r="D875" t="s">
        <v>62</v>
      </c>
      <c r="E875" t="s">
        <v>75</v>
      </c>
      <c r="F875" t="s">
        <v>76</v>
      </c>
      <c r="G875" s="6">
        <v>2</v>
      </c>
      <c r="H875" s="4">
        <v>120.87</v>
      </c>
      <c r="I875" s="4">
        <v>70.17</v>
      </c>
      <c r="J875" s="5">
        <v>0.1</v>
      </c>
      <c r="K875" s="6">
        <v>4</v>
      </c>
      <c r="L875" s="6">
        <v>4</v>
      </c>
      <c r="M875" t="s">
        <v>58</v>
      </c>
      <c r="N875" t="s">
        <v>69</v>
      </c>
      <c r="O875" t="s">
        <v>73</v>
      </c>
      <c r="P875" t="str">
        <f t="shared" si="91"/>
        <v>Individual</v>
      </c>
      <c r="Q875" t="str">
        <f t="shared" si="92"/>
        <v>London</v>
      </c>
      <c r="R875" t="str">
        <f>PROPER(TRIM(E875))</f>
        <v>Furniture</v>
      </c>
      <c r="S875" s="27">
        <f>IF(ISTEXT(B875),DATEVALUE(B875),B875)</f>
        <v>45689</v>
      </c>
      <c r="T875" s="27">
        <f>COUNTIF($A$2:$A$1986,A875)</f>
        <v>1</v>
      </c>
      <c r="U875" s="27" t="str">
        <f t="shared" si="93"/>
        <v>Bookshelf</v>
      </c>
      <c r="V875" s="27">
        <f t="shared" si="94"/>
        <v>217.566</v>
      </c>
      <c r="W875" s="27">
        <f t="shared" si="95"/>
        <v>140.34</v>
      </c>
      <c r="X875" s="27">
        <f>RawSalesTable3[[#This Row],[Revenue]]-RawSalesTable3[[#This Row],[Total_Cost]]</f>
        <v>77.225999999999999</v>
      </c>
      <c r="Y875" s="28">
        <f>RawSalesTable3[[#This Row],[Profit]]/RawSalesTable3[[#This Row],[Revenue]]</f>
        <v>0.35495435867736685</v>
      </c>
      <c r="Z875" s="27" t="str">
        <f>TEXT(RawSalesTable3[[#This Row],[Order_Date_Clean]],"MMM YYYY")</f>
        <v>Feb 2025</v>
      </c>
      <c r="AA875" s="27"/>
      <c r="AB875" s="27">
        <f t="shared" si="96"/>
        <v>0</v>
      </c>
      <c r="AC875" s="27">
        <f t="shared" si="97"/>
        <v>0</v>
      </c>
    </row>
    <row r="876" spans="1:29">
      <c r="A876" t="s">
        <v>976</v>
      </c>
      <c r="B876" s="3">
        <v>45997</v>
      </c>
      <c r="C876" t="s">
        <v>82</v>
      </c>
      <c r="D876" t="s">
        <v>62</v>
      </c>
      <c r="E876" t="s">
        <v>79</v>
      </c>
      <c r="F876" t="s">
        <v>80</v>
      </c>
      <c r="G876" s="6">
        <v>1</v>
      </c>
      <c r="H876" s="4">
        <v>73.13</v>
      </c>
      <c r="I876" s="4">
        <v>41.81</v>
      </c>
      <c r="J876" s="5">
        <v>0.1</v>
      </c>
      <c r="K876" s="6">
        <v>2</v>
      </c>
      <c r="L876" s="6">
        <v>5</v>
      </c>
      <c r="M876" t="s">
        <v>58</v>
      </c>
      <c r="N876" t="s">
        <v>69</v>
      </c>
      <c r="O876" t="s">
        <v>60</v>
      </c>
      <c r="P876" t="str">
        <f t="shared" si="91"/>
        <v>Individual</v>
      </c>
      <c r="Q876" t="str">
        <f t="shared" si="92"/>
        <v>Midlands</v>
      </c>
      <c r="R876" t="str">
        <f>PROPER(TRIM(E876))</f>
        <v>Electronics</v>
      </c>
      <c r="S876" s="27">
        <f>IF(ISTEXT(B876),DATEVALUE(B876),B876)</f>
        <v>45997</v>
      </c>
      <c r="T876" s="27">
        <f>COUNTIF($A$2:$A$1986,A876)</f>
        <v>1</v>
      </c>
      <c r="U876" s="27" t="str">
        <f t="shared" si="93"/>
        <v>Portable Speaker</v>
      </c>
      <c r="V876" s="27">
        <f t="shared" si="94"/>
        <v>65.816999999999993</v>
      </c>
      <c r="W876" s="27">
        <f t="shared" si="95"/>
        <v>41.81</v>
      </c>
      <c r="X876" s="27">
        <f>RawSalesTable3[[#This Row],[Revenue]]-RawSalesTable3[[#This Row],[Total_Cost]]</f>
        <v>24.006999999999991</v>
      </c>
      <c r="Y876" s="28">
        <f>RawSalesTable3[[#This Row],[Profit]]/RawSalesTable3[[#This Row],[Revenue]]</f>
        <v>0.36475378701551259</v>
      </c>
      <c r="Z876" s="27" t="str">
        <f>TEXT(RawSalesTable3[[#This Row],[Order_Date_Clean]],"MMM YYYY")</f>
        <v>Dec 2025</v>
      </c>
      <c r="AA876" s="27"/>
      <c r="AB876" s="27">
        <f t="shared" si="96"/>
        <v>0</v>
      </c>
      <c r="AC876" s="27">
        <f t="shared" si="97"/>
        <v>0</v>
      </c>
    </row>
    <row r="877" spans="1:29">
      <c r="A877" t="s">
        <v>977</v>
      </c>
      <c r="B877" s="3">
        <v>45914</v>
      </c>
      <c r="C877" t="s">
        <v>66</v>
      </c>
      <c r="D877" t="s">
        <v>55</v>
      </c>
      <c r="E877" t="s">
        <v>67</v>
      </c>
      <c r="F877" t="s">
        <v>107</v>
      </c>
      <c r="G877" s="6">
        <v>4</v>
      </c>
      <c r="H877" s="4">
        <v>45.69</v>
      </c>
      <c r="I877" s="4">
        <v>20.64</v>
      </c>
      <c r="J877" s="5">
        <v>0.05</v>
      </c>
      <c r="K877" s="6">
        <v>7</v>
      </c>
      <c r="L877" s="6">
        <v>4</v>
      </c>
      <c r="M877" t="s">
        <v>58</v>
      </c>
      <c r="N877" t="s">
        <v>59</v>
      </c>
      <c r="O877" t="s">
        <v>64</v>
      </c>
      <c r="P877" t="str">
        <f t="shared" si="91"/>
        <v>Small Business</v>
      </c>
      <c r="Q877" t="str">
        <f t="shared" si="92"/>
        <v>South</v>
      </c>
      <c r="R877" t="str">
        <f>PROPER(TRIM(E877))</f>
        <v>Office</v>
      </c>
      <c r="S877" s="27">
        <f>IF(ISTEXT(B877),DATEVALUE(B877),B877)</f>
        <v>45914</v>
      </c>
      <c r="T877" s="27">
        <f>COUNTIF($A$2:$A$1986,A877)</f>
        <v>1</v>
      </c>
      <c r="U877" s="27" t="str">
        <f t="shared" si="93"/>
        <v>Laptop Stand</v>
      </c>
      <c r="V877" s="27">
        <f t="shared" si="94"/>
        <v>173.62199999999999</v>
      </c>
      <c r="W877" s="27">
        <f t="shared" si="95"/>
        <v>82.56</v>
      </c>
      <c r="X877" s="27">
        <f>RawSalesTable3[[#This Row],[Revenue]]-RawSalesTable3[[#This Row],[Total_Cost]]</f>
        <v>91.061999999999983</v>
      </c>
      <c r="Y877" s="28">
        <f>RawSalesTable3[[#This Row],[Profit]]/RawSalesTable3[[#This Row],[Revenue]]</f>
        <v>0.52448422434944875</v>
      </c>
      <c r="Z877" s="27" t="str">
        <f>TEXT(RawSalesTable3[[#This Row],[Order_Date_Clean]],"MMM YYYY")</f>
        <v>Sep 2025</v>
      </c>
      <c r="AA877" s="27"/>
      <c r="AB877" s="27">
        <f t="shared" si="96"/>
        <v>0</v>
      </c>
      <c r="AC877" s="27">
        <f t="shared" si="97"/>
        <v>0</v>
      </c>
    </row>
    <row r="878" spans="1:29">
      <c r="A878" t="s">
        <v>978</v>
      </c>
      <c r="B878" s="3">
        <v>45732</v>
      </c>
      <c r="C878" t="s">
        <v>54</v>
      </c>
      <c r="D878" t="s">
        <v>62</v>
      </c>
      <c r="E878" t="s">
        <v>75</v>
      </c>
      <c r="F878" t="s">
        <v>76</v>
      </c>
      <c r="G878" s="6">
        <v>2</v>
      </c>
      <c r="H878" s="4">
        <v>121.76</v>
      </c>
      <c r="I878" s="4">
        <v>70.33</v>
      </c>
      <c r="J878" s="5">
        <v>0.1</v>
      </c>
      <c r="K878" s="6">
        <v>7</v>
      </c>
      <c r="L878" s="6">
        <v>4</v>
      </c>
      <c r="M878" t="s">
        <v>58</v>
      </c>
      <c r="N878" t="s">
        <v>59</v>
      </c>
      <c r="O878" t="s">
        <v>64</v>
      </c>
      <c r="P878" t="str">
        <f t="shared" si="91"/>
        <v>Individual</v>
      </c>
      <c r="Q878" t="str">
        <f t="shared" si="92"/>
        <v>North</v>
      </c>
      <c r="R878" t="str">
        <f>PROPER(TRIM(E878))</f>
        <v>Furniture</v>
      </c>
      <c r="S878" s="27">
        <f>IF(ISTEXT(B878),DATEVALUE(B878),B878)</f>
        <v>45732</v>
      </c>
      <c r="T878" s="27">
        <f>COUNTIF($A$2:$A$1986,A878)</f>
        <v>1</v>
      </c>
      <c r="U878" s="27" t="str">
        <f t="shared" si="93"/>
        <v>Bookshelf</v>
      </c>
      <c r="V878" s="27">
        <f t="shared" si="94"/>
        <v>219.16800000000001</v>
      </c>
      <c r="W878" s="27">
        <f t="shared" si="95"/>
        <v>140.66</v>
      </c>
      <c r="X878" s="27">
        <f>RawSalesTable3[[#This Row],[Revenue]]-RawSalesTable3[[#This Row],[Total_Cost]]</f>
        <v>78.50800000000001</v>
      </c>
      <c r="Y878" s="28">
        <f>RawSalesTable3[[#This Row],[Profit]]/RawSalesTable3[[#This Row],[Revenue]]</f>
        <v>0.35820922762447077</v>
      </c>
      <c r="Z878" s="27" t="str">
        <f>TEXT(RawSalesTable3[[#This Row],[Order_Date_Clean]],"MMM YYYY")</f>
        <v>Mar 2025</v>
      </c>
      <c r="AA878" s="27"/>
      <c r="AB878" s="27">
        <f t="shared" si="96"/>
        <v>0</v>
      </c>
      <c r="AC878" s="27">
        <f t="shared" si="97"/>
        <v>0</v>
      </c>
    </row>
    <row r="879" spans="1:29">
      <c r="A879" t="s">
        <v>979</v>
      </c>
      <c r="B879" s="3">
        <v>45884</v>
      </c>
      <c r="C879" t="s">
        <v>82</v>
      </c>
      <c r="D879" t="s">
        <v>55</v>
      </c>
      <c r="E879" t="s">
        <v>56</v>
      </c>
      <c r="F879" t="s">
        <v>89</v>
      </c>
      <c r="G879" s="6">
        <v>1</v>
      </c>
      <c r="H879" s="4">
        <v>79.25</v>
      </c>
      <c r="I879" s="4">
        <v>45.53</v>
      </c>
      <c r="J879" s="5">
        <v>0.05</v>
      </c>
      <c r="K879" s="6">
        <v>4</v>
      </c>
      <c r="L879" s="6">
        <v>4</v>
      </c>
      <c r="M879" t="s">
        <v>58</v>
      </c>
      <c r="N879" t="s">
        <v>59</v>
      </c>
      <c r="O879" t="s">
        <v>73</v>
      </c>
      <c r="P879" t="str">
        <f t="shared" si="91"/>
        <v>Small Business</v>
      </c>
      <c r="Q879" t="str">
        <f t="shared" si="92"/>
        <v>Midlands</v>
      </c>
      <c r="R879" t="str">
        <f>PROPER(TRIM(E879))</f>
        <v>Home &amp; Kitchen</v>
      </c>
      <c r="S879" s="27">
        <f>IF(ISTEXT(B879),DATEVALUE(B879),B879)</f>
        <v>45884</v>
      </c>
      <c r="T879" s="27">
        <f>COUNTIF($A$2:$A$1986,A879)</f>
        <v>1</v>
      </c>
      <c r="U879" s="27" t="str">
        <f t="shared" si="93"/>
        <v>Coffee Maker</v>
      </c>
      <c r="V879" s="27">
        <f t="shared" si="94"/>
        <v>75.287499999999994</v>
      </c>
      <c r="W879" s="27">
        <f t="shared" si="95"/>
        <v>45.53</v>
      </c>
      <c r="X879" s="27">
        <f>RawSalesTable3[[#This Row],[Revenue]]-RawSalesTable3[[#This Row],[Total_Cost]]</f>
        <v>29.757499999999993</v>
      </c>
      <c r="Y879" s="28">
        <f>RawSalesTable3[[#This Row],[Profit]]/RawSalesTable3[[#This Row],[Revenue]]</f>
        <v>0.39525153577951183</v>
      </c>
      <c r="Z879" s="27" t="str">
        <f>TEXT(RawSalesTable3[[#This Row],[Order_Date_Clean]],"MMM YYYY")</f>
        <v>Aug 2025</v>
      </c>
      <c r="AA879" s="27"/>
      <c r="AB879" s="27">
        <f t="shared" si="96"/>
        <v>0</v>
      </c>
      <c r="AC879" s="27">
        <f t="shared" si="97"/>
        <v>0</v>
      </c>
    </row>
    <row r="880" spans="1:29">
      <c r="A880" t="s">
        <v>980</v>
      </c>
      <c r="B880" s="3">
        <v>45785</v>
      </c>
      <c r="C880" t="s">
        <v>82</v>
      </c>
      <c r="D880" t="s">
        <v>62</v>
      </c>
      <c r="E880" t="s">
        <v>56</v>
      </c>
      <c r="F880" t="s">
        <v>57</v>
      </c>
      <c r="G880" s="6">
        <v>3</v>
      </c>
      <c r="H880" s="4">
        <v>109.63</v>
      </c>
      <c r="I880" s="4">
        <v>65.400000000000006</v>
      </c>
      <c r="J880" s="5">
        <v>0.05</v>
      </c>
      <c r="K880" s="6">
        <v>4</v>
      </c>
      <c r="L880" s="6">
        <v>4</v>
      </c>
      <c r="M880" t="s">
        <v>58</v>
      </c>
      <c r="N880" t="s">
        <v>69</v>
      </c>
      <c r="O880" t="s">
        <v>64</v>
      </c>
      <c r="P880" t="str">
        <f t="shared" si="91"/>
        <v>Individual</v>
      </c>
      <c r="Q880" t="str">
        <f t="shared" si="92"/>
        <v>Midlands</v>
      </c>
      <c r="R880" t="str">
        <f>PROPER(TRIM(E880))</f>
        <v>Home &amp; Kitchen</v>
      </c>
      <c r="S880" s="27">
        <f>IF(ISTEXT(B880),DATEVALUE(B880),B880)</f>
        <v>45785</v>
      </c>
      <c r="T880" s="27">
        <f>COUNTIF($A$2:$A$1986,A880)</f>
        <v>1</v>
      </c>
      <c r="U880" s="27" t="str">
        <f t="shared" si="93"/>
        <v>Air Fryer</v>
      </c>
      <c r="V880" s="27">
        <f t="shared" si="94"/>
        <v>312.44549999999998</v>
      </c>
      <c r="W880" s="27">
        <f t="shared" si="95"/>
        <v>196.20000000000002</v>
      </c>
      <c r="X880" s="27">
        <f>RawSalesTable3[[#This Row],[Revenue]]-RawSalesTable3[[#This Row],[Total_Cost]]</f>
        <v>116.24549999999996</v>
      </c>
      <c r="Y880" s="28">
        <f>RawSalesTable3[[#This Row],[Profit]]/RawSalesTable3[[#This Row],[Revenue]]</f>
        <v>0.37205048560468934</v>
      </c>
      <c r="Z880" s="27" t="str">
        <f>TEXT(RawSalesTable3[[#This Row],[Order_Date_Clean]],"MMM YYYY")</f>
        <v>May 2025</v>
      </c>
      <c r="AA880" s="27"/>
      <c r="AB880" s="27">
        <f t="shared" si="96"/>
        <v>0</v>
      </c>
      <c r="AC880" s="27">
        <f t="shared" si="97"/>
        <v>0</v>
      </c>
    </row>
    <row r="881" spans="1:29">
      <c r="A881" t="s">
        <v>981</v>
      </c>
      <c r="B881" s="3">
        <v>45893</v>
      </c>
      <c r="C881" t="s">
        <v>54</v>
      </c>
      <c r="D881" t="s">
        <v>62</v>
      </c>
      <c r="E881" t="s">
        <v>79</v>
      </c>
      <c r="F881" t="s">
        <v>85</v>
      </c>
      <c r="G881" s="6">
        <v>2</v>
      </c>
      <c r="H881" s="4">
        <v>128.04</v>
      </c>
      <c r="I881" s="4">
        <v>86.8</v>
      </c>
      <c r="J881" s="5">
        <v>0</v>
      </c>
      <c r="K881" s="6">
        <v>7</v>
      </c>
      <c r="L881" s="6">
        <v>4</v>
      </c>
      <c r="M881" t="s">
        <v>58</v>
      </c>
      <c r="N881" t="s">
        <v>59</v>
      </c>
      <c r="O881" t="s">
        <v>60</v>
      </c>
      <c r="P881" t="str">
        <f t="shared" si="91"/>
        <v>Individual</v>
      </c>
      <c r="Q881" t="str">
        <f t="shared" si="92"/>
        <v>North</v>
      </c>
      <c r="R881" t="str">
        <f>PROPER(TRIM(E881))</f>
        <v>Electronics</v>
      </c>
      <c r="S881" s="27">
        <f>IF(ISTEXT(B881),DATEVALUE(B881),B881)</f>
        <v>45893</v>
      </c>
      <c r="T881" s="27">
        <f>COUNTIF($A$2:$A$1986,A881)</f>
        <v>1</v>
      </c>
      <c r="U881" s="27" t="str">
        <f t="shared" si="93"/>
        <v>SmartHome Hub</v>
      </c>
      <c r="V881" s="27">
        <f t="shared" si="94"/>
        <v>256.08</v>
      </c>
      <c r="W881" s="27">
        <f t="shared" si="95"/>
        <v>173.6</v>
      </c>
      <c r="X881" s="27">
        <f>RawSalesTable3[[#This Row],[Revenue]]-RawSalesTable3[[#This Row],[Total_Cost]]</f>
        <v>82.47999999999999</v>
      </c>
      <c r="Y881" s="28">
        <f>RawSalesTable3[[#This Row],[Profit]]/RawSalesTable3[[#This Row],[Revenue]]</f>
        <v>0.32208684786004371</v>
      </c>
      <c r="Z881" s="27" t="str">
        <f>TEXT(RawSalesTable3[[#This Row],[Order_Date_Clean]],"MMM YYYY")</f>
        <v>Aug 2025</v>
      </c>
      <c r="AA881" s="27"/>
      <c r="AB881" s="27">
        <f t="shared" si="96"/>
        <v>0</v>
      </c>
      <c r="AC881" s="27">
        <f t="shared" si="97"/>
        <v>0</v>
      </c>
    </row>
    <row r="882" spans="1:29">
      <c r="A882" t="s">
        <v>982</v>
      </c>
      <c r="B882" s="3">
        <v>45737</v>
      </c>
      <c r="C882" t="s">
        <v>82</v>
      </c>
      <c r="D882" t="s">
        <v>62</v>
      </c>
      <c r="E882" t="s">
        <v>79</v>
      </c>
      <c r="F882" t="s">
        <v>85</v>
      </c>
      <c r="G882" s="6">
        <v>1</v>
      </c>
      <c r="H882" s="4">
        <v>131.03</v>
      </c>
      <c r="I882" s="4">
        <v>86.94</v>
      </c>
      <c r="J882" s="5">
        <v>0</v>
      </c>
      <c r="K882" s="6">
        <v>3</v>
      </c>
      <c r="L882" s="6">
        <v>4</v>
      </c>
      <c r="M882" t="s">
        <v>58</v>
      </c>
      <c r="N882" t="s">
        <v>59</v>
      </c>
      <c r="O882" t="s">
        <v>64</v>
      </c>
      <c r="P882" t="str">
        <f t="shared" si="91"/>
        <v>Individual</v>
      </c>
      <c r="Q882" t="str">
        <f t="shared" si="92"/>
        <v>Midlands</v>
      </c>
      <c r="R882" t="str">
        <f>PROPER(TRIM(E882))</f>
        <v>Electronics</v>
      </c>
      <c r="S882" s="27">
        <f>IF(ISTEXT(B882),DATEVALUE(B882),B882)</f>
        <v>45737</v>
      </c>
      <c r="T882" s="27">
        <f>COUNTIF($A$2:$A$1986,A882)</f>
        <v>1</v>
      </c>
      <c r="U882" s="27" t="str">
        <f t="shared" si="93"/>
        <v>SmartHome Hub</v>
      </c>
      <c r="V882" s="27">
        <f t="shared" si="94"/>
        <v>131.03</v>
      </c>
      <c r="W882" s="27">
        <f t="shared" si="95"/>
        <v>86.94</v>
      </c>
      <c r="X882" s="27">
        <f>RawSalesTable3[[#This Row],[Revenue]]-RawSalesTable3[[#This Row],[Total_Cost]]</f>
        <v>44.09</v>
      </c>
      <c r="Y882" s="28">
        <f>RawSalesTable3[[#This Row],[Profit]]/RawSalesTable3[[#This Row],[Revenue]]</f>
        <v>0.33648782721514159</v>
      </c>
      <c r="Z882" s="27" t="str">
        <f>TEXT(RawSalesTable3[[#This Row],[Order_Date_Clean]],"MMM YYYY")</f>
        <v>Mar 2025</v>
      </c>
      <c r="AA882" s="27"/>
      <c r="AB882" s="27">
        <f t="shared" si="96"/>
        <v>0</v>
      </c>
      <c r="AC882" s="27">
        <f t="shared" si="97"/>
        <v>0</v>
      </c>
    </row>
    <row r="883" spans="1:29">
      <c r="A883" t="s">
        <v>983</v>
      </c>
      <c r="B883" s="3">
        <v>45795</v>
      </c>
      <c r="C883" t="s">
        <v>82</v>
      </c>
      <c r="D883" t="s">
        <v>62</v>
      </c>
      <c r="E883" t="s">
        <v>67</v>
      </c>
      <c r="F883" t="s">
        <v>94</v>
      </c>
      <c r="G883" s="6">
        <v>1</v>
      </c>
      <c r="H883" s="4">
        <v>34.69</v>
      </c>
      <c r="I883" s="4">
        <v>17.420000000000002</v>
      </c>
      <c r="J883" s="5">
        <v>0</v>
      </c>
      <c r="K883" s="6">
        <v>4</v>
      </c>
      <c r="L883" s="6">
        <v>5</v>
      </c>
      <c r="M883" t="s">
        <v>58</v>
      </c>
      <c r="N883" t="s">
        <v>59</v>
      </c>
      <c r="O883" t="s">
        <v>64</v>
      </c>
      <c r="P883" t="str">
        <f t="shared" si="91"/>
        <v>Individual</v>
      </c>
      <c r="Q883" t="str">
        <f t="shared" si="92"/>
        <v>Midlands</v>
      </c>
      <c r="R883" t="str">
        <f>PROPER(TRIM(E883))</f>
        <v>Office</v>
      </c>
      <c r="S883" s="27">
        <f>IF(ISTEXT(B883),DATEVALUE(B883),B883)</f>
        <v>45795</v>
      </c>
      <c r="T883" s="27">
        <f>COUNTIF($A$2:$A$1986,A883)</f>
        <v>1</v>
      </c>
      <c r="U883" s="27" t="str">
        <f t="shared" si="93"/>
        <v>Wireless Mouse</v>
      </c>
      <c r="V883" s="27">
        <f t="shared" si="94"/>
        <v>34.69</v>
      </c>
      <c r="W883" s="27">
        <f t="shared" si="95"/>
        <v>17.420000000000002</v>
      </c>
      <c r="X883" s="27">
        <f>RawSalesTable3[[#This Row],[Revenue]]-RawSalesTable3[[#This Row],[Total_Cost]]</f>
        <v>17.269999999999996</v>
      </c>
      <c r="Y883" s="28">
        <f>RawSalesTable3[[#This Row],[Profit]]/RawSalesTable3[[#This Row],[Revenue]]</f>
        <v>0.49783799365811465</v>
      </c>
      <c r="Z883" s="27" t="str">
        <f>TEXT(RawSalesTable3[[#This Row],[Order_Date_Clean]],"MMM YYYY")</f>
        <v>May 2025</v>
      </c>
      <c r="AA883" s="27"/>
      <c r="AB883" s="27">
        <f t="shared" si="96"/>
        <v>0</v>
      </c>
      <c r="AC883" s="27">
        <f t="shared" si="97"/>
        <v>0</v>
      </c>
    </row>
    <row r="884" spans="1:29">
      <c r="A884" t="s">
        <v>984</v>
      </c>
      <c r="B884" s="3">
        <v>45789</v>
      </c>
      <c r="C884" t="s">
        <v>66</v>
      </c>
      <c r="D884" t="s">
        <v>62</v>
      </c>
      <c r="E884" t="s">
        <v>67</v>
      </c>
      <c r="F884" t="s">
        <v>71</v>
      </c>
      <c r="G884" s="6">
        <v>1</v>
      </c>
      <c r="H884" s="4">
        <v>70.430000000000007</v>
      </c>
      <c r="I884" s="4">
        <v>37.97</v>
      </c>
      <c r="J884" s="5">
        <v>0.15000000000000002</v>
      </c>
      <c r="K884" s="6">
        <v>5</v>
      </c>
      <c r="L884" s="6">
        <v>4</v>
      </c>
      <c r="M884" t="s">
        <v>58</v>
      </c>
      <c r="N884" t="s">
        <v>59</v>
      </c>
      <c r="O884" t="s">
        <v>60</v>
      </c>
      <c r="P884" t="str">
        <f t="shared" si="91"/>
        <v>Individual</v>
      </c>
      <c r="Q884" t="str">
        <f t="shared" si="92"/>
        <v>South</v>
      </c>
      <c r="R884" t="str">
        <f>PROPER(TRIM(E884))</f>
        <v>Office</v>
      </c>
      <c r="S884" s="27">
        <f>IF(ISTEXT(B884),DATEVALUE(B884),B884)</f>
        <v>45789</v>
      </c>
      <c r="T884" s="27">
        <f>COUNTIF($A$2:$A$1986,A884)</f>
        <v>1</v>
      </c>
      <c r="U884" s="27" t="str">
        <f t="shared" si="93"/>
        <v>Ergonomic Keyboard</v>
      </c>
      <c r="V884" s="27">
        <f t="shared" si="94"/>
        <v>59.865500000000004</v>
      </c>
      <c r="W884" s="27">
        <f t="shared" si="95"/>
        <v>37.97</v>
      </c>
      <c r="X884" s="27">
        <f>RawSalesTable3[[#This Row],[Revenue]]-RawSalesTable3[[#This Row],[Total_Cost]]</f>
        <v>21.895500000000006</v>
      </c>
      <c r="Y884" s="28">
        <f>RawSalesTable3[[#This Row],[Profit]]/RawSalesTable3[[#This Row],[Revenue]]</f>
        <v>0.36574487810174483</v>
      </c>
      <c r="Z884" s="27" t="str">
        <f>TEXT(RawSalesTable3[[#This Row],[Order_Date_Clean]],"MMM YYYY")</f>
        <v>May 2025</v>
      </c>
      <c r="AA884" s="27"/>
      <c r="AB884" s="27">
        <f t="shared" si="96"/>
        <v>0</v>
      </c>
      <c r="AC884" s="27">
        <f t="shared" si="97"/>
        <v>0</v>
      </c>
    </row>
    <row r="885" spans="1:29">
      <c r="A885" t="s">
        <v>985</v>
      </c>
      <c r="B885" s="3">
        <v>45942</v>
      </c>
      <c r="C885" t="s">
        <v>78</v>
      </c>
      <c r="D885" t="s">
        <v>55</v>
      </c>
      <c r="E885" t="s">
        <v>56</v>
      </c>
      <c r="F885" t="s">
        <v>89</v>
      </c>
      <c r="G885" s="6">
        <v>4</v>
      </c>
      <c r="H885" s="4">
        <v>82.02</v>
      </c>
      <c r="I885" s="4">
        <v>46.09</v>
      </c>
      <c r="J885" s="5">
        <v>0</v>
      </c>
      <c r="K885" s="6">
        <v>4</v>
      </c>
      <c r="L885" s="6">
        <v>4</v>
      </c>
      <c r="M885" t="s">
        <v>58</v>
      </c>
      <c r="N885" t="s">
        <v>59</v>
      </c>
      <c r="O885" t="s">
        <v>64</v>
      </c>
      <c r="P885" t="str">
        <f t="shared" si="91"/>
        <v>Small Business</v>
      </c>
      <c r="Q885" t="str">
        <f t="shared" si="92"/>
        <v>London</v>
      </c>
      <c r="R885" t="str">
        <f>PROPER(TRIM(E885))</f>
        <v>Home &amp; Kitchen</v>
      </c>
      <c r="S885" s="27">
        <f>IF(ISTEXT(B885),DATEVALUE(B885),B885)</f>
        <v>45942</v>
      </c>
      <c r="T885" s="27">
        <f>COUNTIF($A$2:$A$1986,A885)</f>
        <v>1</v>
      </c>
      <c r="U885" s="27" t="str">
        <f t="shared" si="93"/>
        <v>Coffee Maker</v>
      </c>
      <c r="V885" s="27">
        <f t="shared" si="94"/>
        <v>328.08</v>
      </c>
      <c r="W885" s="27">
        <f t="shared" si="95"/>
        <v>184.36</v>
      </c>
      <c r="X885" s="27">
        <f>RawSalesTable3[[#This Row],[Revenue]]-RawSalesTable3[[#This Row],[Total_Cost]]</f>
        <v>143.71999999999997</v>
      </c>
      <c r="Y885" s="28">
        <f>RawSalesTable3[[#This Row],[Profit]]/RawSalesTable3[[#This Row],[Revenue]]</f>
        <v>0.43806388685686409</v>
      </c>
      <c r="Z885" s="27" t="str">
        <f>TEXT(RawSalesTable3[[#This Row],[Order_Date_Clean]],"MMM YYYY")</f>
        <v>Oct 2025</v>
      </c>
      <c r="AA885" s="27"/>
      <c r="AB885" s="27">
        <f t="shared" si="96"/>
        <v>0</v>
      </c>
      <c r="AC885" s="27">
        <f t="shared" si="97"/>
        <v>0</v>
      </c>
    </row>
    <row r="886" spans="1:29">
      <c r="A886" t="s">
        <v>986</v>
      </c>
      <c r="B886" s="3">
        <v>45868</v>
      </c>
      <c r="C886" t="s">
        <v>78</v>
      </c>
      <c r="D886" t="s">
        <v>62</v>
      </c>
      <c r="E886" t="s">
        <v>56</v>
      </c>
      <c r="F886" t="s">
        <v>89</v>
      </c>
      <c r="G886" s="6">
        <v>1</v>
      </c>
      <c r="H886" s="4">
        <v>79.94</v>
      </c>
      <c r="I886" s="4">
        <v>44.81</v>
      </c>
      <c r="J886" s="5">
        <v>0</v>
      </c>
      <c r="K886" s="6">
        <v>7</v>
      </c>
      <c r="L886" s="6">
        <v>4</v>
      </c>
      <c r="M886" t="s">
        <v>58</v>
      </c>
      <c r="N886" t="s">
        <v>59</v>
      </c>
      <c r="O886" t="s">
        <v>73</v>
      </c>
      <c r="P886" t="str">
        <f t="shared" si="91"/>
        <v>Individual</v>
      </c>
      <c r="Q886" t="str">
        <f t="shared" si="92"/>
        <v>London</v>
      </c>
      <c r="R886" t="str">
        <f>PROPER(TRIM(E886))</f>
        <v>Home &amp; Kitchen</v>
      </c>
      <c r="S886" s="27">
        <f>IF(ISTEXT(B886),DATEVALUE(B886),B886)</f>
        <v>45868</v>
      </c>
      <c r="T886" s="27">
        <f>COUNTIF($A$2:$A$1986,A886)</f>
        <v>1</v>
      </c>
      <c r="U886" s="27" t="str">
        <f t="shared" si="93"/>
        <v>Coffee Maker</v>
      </c>
      <c r="V886" s="27">
        <f t="shared" si="94"/>
        <v>79.94</v>
      </c>
      <c r="W886" s="27">
        <f t="shared" si="95"/>
        <v>44.81</v>
      </c>
      <c r="X886" s="27">
        <f>RawSalesTable3[[#This Row],[Revenue]]-RawSalesTable3[[#This Row],[Total_Cost]]</f>
        <v>35.129999999999995</v>
      </c>
      <c r="Y886" s="28">
        <f>RawSalesTable3[[#This Row],[Profit]]/RawSalesTable3[[#This Row],[Revenue]]</f>
        <v>0.43945459094320738</v>
      </c>
      <c r="Z886" s="27" t="str">
        <f>TEXT(RawSalesTable3[[#This Row],[Order_Date_Clean]],"MMM YYYY")</f>
        <v>Jul 2025</v>
      </c>
      <c r="AA886" s="27"/>
      <c r="AB886" s="27">
        <f t="shared" si="96"/>
        <v>0</v>
      </c>
      <c r="AC886" s="27">
        <f t="shared" si="97"/>
        <v>0</v>
      </c>
    </row>
    <row r="887" spans="1:29">
      <c r="A887" t="s">
        <v>987</v>
      </c>
      <c r="B887" s="3">
        <v>46013</v>
      </c>
      <c r="C887" t="s">
        <v>78</v>
      </c>
      <c r="D887" t="s">
        <v>62</v>
      </c>
      <c r="E887" t="s">
        <v>79</v>
      </c>
      <c r="F887" t="s">
        <v>80</v>
      </c>
      <c r="G887" s="6">
        <v>1</v>
      </c>
      <c r="H887" s="4">
        <v>76.41</v>
      </c>
      <c r="I887" s="4">
        <v>43.05</v>
      </c>
      <c r="J887" s="5">
        <v>0</v>
      </c>
      <c r="K887" s="6">
        <v>1</v>
      </c>
      <c r="L887" s="6">
        <v>5</v>
      </c>
      <c r="M887" t="s">
        <v>58</v>
      </c>
      <c r="N887" t="s">
        <v>59</v>
      </c>
      <c r="O887" t="s">
        <v>64</v>
      </c>
      <c r="P887" t="str">
        <f t="shared" si="91"/>
        <v>Individual</v>
      </c>
      <c r="Q887" t="str">
        <f t="shared" si="92"/>
        <v>London</v>
      </c>
      <c r="R887" t="str">
        <f>PROPER(TRIM(E887))</f>
        <v>Electronics</v>
      </c>
      <c r="S887" s="27">
        <f>IF(ISTEXT(B887),DATEVALUE(B887),B887)</f>
        <v>46013</v>
      </c>
      <c r="T887" s="27">
        <f>COUNTIF($A$2:$A$1986,A887)</f>
        <v>1</v>
      </c>
      <c r="U887" s="27" t="str">
        <f t="shared" si="93"/>
        <v>Portable Speaker</v>
      </c>
      <c r="V887" s="27">
        <f t="shared" si="94"/>
        <v>76.41</v>
      </c>
      <c r="W887" s="27">
        <f t="shared" si="95"/>
        <v>43.05</v>
      </c>
      <c r="X887" s="27">
        <f>RawSalesTable3[[#This Row],[Revenue]]-RawSalesTable3[[#This Row],[Total_Cost]]</f>
        <v>33.36</v>
      </c>
      <c r="Y887" s="28">
        <f>RawSalesTable3[[#This Row],[Profit]]/RawSalesTable3[[#This Row],[Revenue]]</f>
        <v>0.43659206910090304</v>
      </c>
      <c r="Z887" s="27" t="str">
        <f>TEXT(RawSalesTable3[[#This Row],[Order_Date_Clean]],"MMM YYYY")</f>
        <v>Dec 2025</v>
      </c>
      <c r="AA887" s="27"/>
      <c r="AB887" s="27">
        <f t="shared" si="96"/>
        <v>0</v>
      </c>
      <c r="AC887" s="27">
        <f t="shared" si="97"/>
        <v>0</v>
      </c>
    </row>
    <row r="888" spans="1:29">
      <c r="A888" t="s">
        <v>988</v>
      </c>
      <c r="B888" s="3">
        <v>45903</v>
      </c>
      <c r="C888" t="s">
        <v>78</v>
      </c>
      <c r="D888" t="s">
        <v>62</v>
      </c>
      <c r="E888" t="s">
        <v>67</v>
      </c>
      <c r="F888" t="s">
        <v>107</v>
      </c>
      <c r="G888" s="6">
        <v>1</v>
      </c>
      <c r="H888" s="4">
        <v>45.65</v>
      </c>
      <c r="I888" s="4">
        <v>20.45</v>
      </c>
      <c r="J888" s="5">
        <v>0</v>
      </c>
      <c r="K888" s="6">
        <v>2</v>
      </c>
      <c r="L888" s="6">
        <v>4</v>
      </c>
      <c r="M888" t="s">
        <v>58</v>
      </c>
      <c r="N888" t="s">
        <v>59</v>
      </c>
      <c r="O888" t="s">
        <v>64</v>
      </c>
      <c r="P888" t="str">
        <f t="shared" si="91"/>
        <v>Individual</v>
      </c>
      <c r="Q888" t="str">
        <f t="shared" si="92"/>
        <v>London</v>
      </c>
      <c r="R888" t="str">
        <f>PROPER(TRIM(E888))</f>
        <v>Office</v>
      </c>
      <c r="S888" s="27">
        <f>IF(ISTEXT(B888),DATEVALUE(B888),B888)</f>
        <v>45903</v>
      </c>
      <c r="T888" s="27">
        <f>COUNTIF($A$2:$A$1986,A888)</f>
        <v>1</v>
      </c>
      <c r="U888" s="27" t="str">
        <f t="shared" si="93"/>
        <v>Laptop Stand</v>
      </c>
      <c r="V888" s="27">
        <f t="shared" si="94"/>
        <v>45.65</v>
      </c>
      <c r="W888" s="27">
        <f t="shared" si="95"/>
        <v>20.45</v>
      </c>
      <c r="X888" s="27">
        <f>RawSalesTable3[[#This Row],[Revenue]]-RawSalesTable3[[#This Row],[Total_Cost]]</f>
        <v>25.2</v>
      </c>
      <c r="Y888" s="28">
        <f>RawSalesTable3[[#This Row],[Profit]]/RawSalesTable3[[#This Row],[Revenue]]</f>
        <v>0.55202628696604605</v>
      </c>
      <c r="Z888" s="27" t="str">
        <f>TEXT(RawSalesTable3[[#This Row],[Order_Date_Clean]],"MMM YYYY")</f>
        <v>Sep 2025</v>
      </c>
      <c r="AA888" s="27"/>
      <c r="AB888" s="27">
        <f t="shared" si="96"/>
        <v>0</v>
      </c>
      <c r="AC888" s="27">
        <f t="shared" si="97"/>
        <v>0</v>
      </c>
    </row>
    <row r="889" spans="1:29">
      <c r="A889" t="s">
        <v>989</v>
      </c>
      <c r="B889" s="3">
        <v>45712</v>
      </c>
      <c r="C889" t="s">
        <v>66</v>
      </c>
      <c r="D889" t="s">
        <v>62</v>
      </c>
      <c r="E889" t="s">
        <v>67</v>
      </c>
      <c r="F889" t="s">
        <v>94</v>
      </c>
      <c r="G889" s="6">
        <v>1</v>
      </c>
      <c r="H889" s="4">
        <v>35.22</v>
      </c>
      <c r="I889" s="4">
        <v>17.04</v>
      </c>
      <c r="J889" s="5">
        <v>0.2</v>
      </c>
      <c r="K889" s="6">
        <v>0</v>
      </c>
      <c r="L889" s="6">
        <v>4</v>
      </c>
      <c r="M889" t="s">
        <v>58</v>
      </c>
      <c r="N889" t="s">
        <v>69</v>
      </c>
      <c r="O889" t="s">
        <v>73</v>
      </c>
      <c r="P889" t="str">
        <f t="shared" si="91"/>
        <v>Individual</v>
      </c>
      <c r="Q889" t="str">
        <f t="shared" si="92"/>
        <v>South</v>
      </c>
      <c r="R889" t="str">
        <f>PROPER(TRIM(E889))</f>
        <v>Office</v>
      </c>
      <c r="S889" s="27">
        <f>IF(ISTEXT(B889),DATEVALUE(B889),B889)</f>
        <v>45712</v>
      </c>
      <c r="T889" s="27">
        <f>COUNTIF($A$2:$A$1986,A889)</f>
        <v>1</v>
      </c>
      <c r="U889" s="27" t="str">
        <f t="shared" si="93"/>
        <v>Wireless Mouse</v>
      </c>
      <c r="V889" s="27">
        <f t="shared" si="94"/>
        <v>28.176000000000002</v>
      </c>
      <c r="W889" s="27">
        <f t="shared" si="95"/>
        <v>17.04</v>
      </c>
      <c r="X889" s="27">
        <f>RawSalesTable3[[#This Row],[Revenue]]-RawSalesTable3[[#This Row],[Total_Cost]]</f>
        <v>11.136000000000003</v>
      </c>
      <c r="Y889" s="28">
        <f>RawSalesTable3[[#This Row],[Profit]]/RawSalesTable3[[#This Row],[Revenue]]</f>
        <v>0.39522998296422496</v>
      </c>
      <c r="Z889" s="27" t="str">
        <f>TEXT(RawSalesTable3[[#This Row],[Order_Date_Clean]],"MMM YYYY")</f>
        <v>Feb 2025</v>
      </c>
      <c r="AA889" s="27"/>
      <c r="AB889" s="27">
        <f t="shared" si="96"/>
        <v>0</v>
      </c>
      <c r="AC889" s="27">
        <f t="shared" si="97"/>
        <v>0</v>
      </c>
    </row>
    <row r="890" spans="1:29">
      <c r="A890" t="s">
        <v>990</v>
      </c>
      <c r="B890" s="3">
        <v>45781</v>
      </c>
      <c r="C890" t="s">
        <v>66</v>
      </c>
      <c r="D890" t="s">
        <v>55</v>
      </c>
      <c r="E890" t="s">
        <v>56</v>
      </c>
      <c r="F890" t="s">
        <v>83</v>
      </c>
      <c r="G890" s="6">
        <v>4</v>
      </c>
      <c r="H890" s="4">
        <v>64.75</v>
      </c>
      <c r="I890" s="4">
        <v>34.549999999999997</v>
      </c>
      <c r="J890" s="5">
        <v>0.05</v>
      </c>
      <c r="K890" s="6">
        <v>0</v>
      </c>
      <c r="L890" s="6">
        <v>3</v>
      </c>
      <c r="M890" t="s">
        <v>126</v>
      </c>
      <c r="N890" t="s">
        <v>69</v>
      </c>
      <c r="O890" t="s">
        <v>64</v>
      </c>
      <c r="P890" t="str">
        <f t="shared" si="91"/>
        <v>Small Business</v>
      </c>
      <c r="Q890" t="str">
        <f t="shared" si="92"/>
        <v>South</v>
      </c>
      <c r="R890" t="str">
        <f>PROPER(TRIM(E890))</f>
        <v>Home &amp; Kitchen</v>
      </c>
      <c r="S890" s="27">
        <f>IF(ISTEXT(B890),DATEVALUE(B890),B890)</f>
        <v>45781</v>
      </c>
      <c r="T890" s="27">
        <f>COUNTIF($A$2:$A$1986,A890)</f>
        <v>1</v>
      </c>
      <c r="U890" s="27" t="str">
        <f t="shared" si="93"/>
        <v>Blender</v>
      </c>
      <c r="V890" s="27">
        <f t="shared" si="94"/>
        <v>246.04999999999998</v>
      </c>
      <c r="W890" s="27">
        <f t="shared" si="95"/>
        <v>138.19999999999999</v>
      </c>
      <c r="X890" s="27">
        <f>RawSalesTable3[[#This Row],[Revenue]]-RawSalesTable3[[#This Row],[Total_Cost]]</f>
        <v>107.85</v>
      </c>
      <c r="Y890" s="28">
        <f>RawSalesTable3[[#This Row],[Profit]]/RawSalesTable3[[#This Row],[Revenue]]</f>
        <v>0.43832554358870152</v>
      </c>
      <c r="Z890" s="27" t="str">
        <f>TEXT(RawSalesTable3[[#This Row],[Order_Date_Clean]],"MMM YYYY")</f>
        <v>May 2025</v>
      </c>
      <c r="AA890" s="27"/>
      <c r="AB890" s="27">
        <f t="shared" si="96"/>
        <v>0</v>
      </c>
      <c r="AC890" s="27">
        <f t="shared" si="97"/>
        <v>0</v>
      </c>
    </row>
    <row r="891" spans="1:29">
      <c r="A891" t="s">
        <v>991</v>
      </c>
      <c r="B891" s="3">
        <v>45679</v>
      </c>
      <c r="C891" t="s">
        <v>78</v>
      </c>
      <c r="D891" t="s">
        <v>62</v>
      </c>
      <c r="E891" t="s">
        <v>79</v>
      </c>
      <c r="F891" t="s">
        <v>115</v>
      </c>
      <c r="G891" s="6">
        <v>2</v>
      </c>
      <c r="H891" s="4">
        <v>61.09</v>
      </c>
      <c r="I891" s="4">
        <v>34.479999999999997</v>
      </c>
      <c r="J891" s="5">
        <v>0</v>
      </c>
      <c r="K891" s="6">
        <v>0</v>
      </c>
      <c r="L891" s="6">
        <v>4</v>
      </c>
      <c r="M891" t="s">
        <v>58</v>
      </c>
      <c r="N891" t="s">
        <v>69</v>
      </c>
      <c r="O891" t="s">
        <v>64</v>
      </c>
      <c r="P891" t="str">
        <f t="shared" si="91"/>
        <v>Individual</v>
      </c>
      <c r="Q891" t="str">
        <f t="shared" si="92"/>
        <v>London</v>
      </c>
      <c r="R891" t="str">
        <f>PROPER(TRIM(E891))</f>
        <v>Electronics</v>
      </c>
      <c r="S891" s="27">
        <f>IF(ISTEXT(B891),DATEVALUE(B891),B891)</f>
        <v>45679</v>
      </c>
      <c r="T891" s="27">
        <f>COUNTIF($A$2:$A$1986,A891)</f>
        <v>1</v>
      </c>
      <c r="U891" s="27" t="str">
        <f t="shared" si="93"/>
        <v>Wireless Headset</v>
      </c>
      <c r="V891" s="27">
        <f t="shared" si="94"/>
        <v>122.18</v>
      </c>
      <c r="W891" s="27">
        <f t="shared" si="95"/>
        <v>68.959999999999994</v>
      </c>
      <c r="X891" s="27">
        <f>RawSalesTable3[[#This Row],[Revenue]]-RawSalesTable3[[#This Row],[Total_Cost]]</f>
        <v>53.220000000000013</v>
      </c>
      <c r="Y891" s="28">
        <f>RawSalesTable3[[#This Row],[Profit]]/RawSalesTable3[[#This Row],[Revenue]]</f>
        <v>0.43558683908986751</v>
      </c>
      <c r="Z891" s="27" t="str">
        <f>TEXT(RawSalesTable3[[#This Row],[Order_Date_Clean]],"MMM YYYY")</f>
        <v>Jan 2025</v>
      </c>
      <c r="AA891" s="27"/>
      <c r="AB891" s="27">
        <f t="shared" si="96"/>
        <v>0</v>
      </c>
      <c r="AC891" s="27">
        <f t="shared" si="97"/>
        <v>0</v>
      </c>
    </row>
    <row r="892" spans="1:29">
      <c r="A892" t="s">
        <v>992</v>
      </c>
      <c r="B892" s="3">
        <v>46011</v>
      </c>
      <c r="C892" t="s">
        <v>82</v>
      </c>
      <c r="D892" t="s">
        <v>62</v>
      </c>
      <c r="E892" t="s">
        <v>67</v>
      </c>
      <c r="F892" t="s">
        <v>107</v>
      </c>
      <c r="G892" s="6">
        <v>1</v>
      </c>
      <c r="H892" s="4">
        <v>46.08</v>
      </c>
      <c r="I892" s="4">
        <v>20.59</v>
      </c>
      <c r="J892" s="5">
        <v>0</v>
      </c>
      <c r="K892" s="6">
        <v>0</v>
      </c>
      <c r="L892" s="6">
        <v>4</v>
      </c>
      <c r="M892" t="s">
        <v>58</v>
      </c>
      <c r="N892" t="s">
        <v>69</v>
      </c>
      <c r="O892" t="s">
        <v>64</v>
      </c>
      <c r="P892" t="str">
        <f t="shared" si="91"/>
        <v>Individual</v>
      </c>
      <c r="Q892" t="str">
        <f t="shared" si="92"/>
        <v>Midlands</v>
      </c>
      <c r="R892" t="str">
        <f>PROPER(TRIM(E892))</f>
        <v>Office</v>
      </c>
      <c r="S892" s="27">
        <f>IF(ISTEXT(B892),DATEVALUE(B892),B892)</f>
        <v>46011</v>
      </c>
      <c r="T892" s="27">
        <f>COUNTIF($A$2:$A$1986,A892)</f>
        <v>1</v>
      </c>
      <c r="U892" s="27" t="str">
        <f t="shared" si="93"/>
        <v>Laptop Stand</v>
      </c>
      <c r="V892" s="27">
        <f t="shared" si="94"/>
        <v>46.08</v>
      </c>
      <c r="W892" s="27">
        <f t="shared" si="95"/>
        <v>20.59</v>
      </c>
      <c r="X892" s="27">
        <f>RawSalesTable3[[#This Row],[Revenue]]-RawSalesTable3[[#This Row],[Total_Cost]]</f>
        <v>25.49</v>
      </c>
      <c r="Y892" s="28">
        <f>RawSalesTable3[[#This Row],[Profit]]/RawSalesTable3[[#This Row],[Revenue]]</f>
        <v>0.55316840277777779</v>
      </c>
      <c r="Z892" s="27" t="str">
        <f>TEXT(RawSalesTable3[[#This Row],[Order_Date_Clean]],"MMM YYYY")</f>
        <v>Dec 2025</v>
      </c>
      <c r="AA892" s="27"/>
      <c r="AB892" s="27">
        <f t="shared" si="96"/>
        <v>0</v>
      </c>
      <c r="AC892" s="27">
        <f t="shared" si="97"/>
        <v>0</v>
      </c>
    </row>
    <row r="893" spans="1:29">
      <c r="A893" t="s">
        <v>993</v>
      </c>
      <c r="B893" s="3">
        <v>45822</v>
      </c>
      <c r="C893" t="s">
        <v>78</v>
      </c>
      <c r="D893" t="s">
        <v>62</v>
      </c>
      <c r="E893" t="s">
        <v>79</v>
      </c>
      <c r="F893" t="s">
        <v>92</v>
      </c>
      <c r="G893" s="6">
        <v>2</v>
      </c>
      <c r="H893" s="4">
        <v>50.67</v>
      </c>
      <c r="I893" s="4">
        <v>26.56</v>
      </c>
      <c r="J893" s="5">
        <v>0</v>
      </c>
      <c r="K893" s="6">
        <v>0</v>
      </c>
      <c r="L893" s="6">
        <v>4</v>
      </c>
      <c r="M893" t="s">
        <v>58</v>
      </c>
      <c r="N893" t="s">
        <v>69</v>
      </c>
      <c r="O893" t="s">
        <v>60</v>
      </c>
      <c r="P893" t="str">
        <f t="shared" si="91"/>
        <v>Individual</v>
      </c>
      <c r="Q893" t="str">
        <f t="shared" si="92"/>
        <v>London</v>
      </c>
      <c r="R893" t="str">
        <f>PROPER(TRIM(E893))</f>
        <v>Electronics</v>
      </c>
      <c r="S893" s="27">
        <f>IF(ISTEXT(B893),DATEVALUE(B893),B893)</f>
        <v>45822</v>
      </c>
      <c r="T893" s="27">
        <f>COUNTIF($A$2:$A$1986,A893)</f>
        <v>1</v>
      </c>
      <c r="U893" s="27" t="str">
        <f t="shared" si="93"/>
        <v>Webcam</v>
      </c>
      <c r="V893" s="27">
        <f t="shared" si="94"/>
        <v>101.34</v>
      </c>
      <c r="W893" s="27">
        <f t="shared" si="95"/>
        <v>53.12</v>
      </c>
      <c r="X893" s="27">
        <f>RawSalesTable3[[#This Row],[Revenue]]-RawSalesTable3[[#This Row],[Total_Cost]]</f>
        <v>48.220000000000006</v>
      </c>
      <c r="Y893" s="28">
        <f>RawSalesTable3[[#This Row],[Profit]]/RawSalesTable3[[#This Row],[Revenue]]</f>
        <v>0.47582395895006913</v>
      </c>
      <c r="Z893" s="27" t="str">
        <f>TEXT(RawSalesTable3[[#This Row],[Order_Date_Clean]],"MMM YYYY")</f>
        <v>Jun 2025</v>
      </c>
      <c r="AA893" s="27"/>
      <c r="AB893" s="27">
        <f t="shared" si="96"/>
        <v>0</v>
      </c>
      <c r="AC893" s="27">
        <f t="shared" si="97"/>
        <v>0</v>
      </c>
    </row>
    <row r="894" spans="1:29">
      <c r="A894" t="s">
        <v>994</v>
      </c>
      <c r="B894" s="3">
        <v>45818</v>
      </c>
      <c r="C894" t="s">
        <v>54</v>
      </c>
      <c r="D894" t="s">
        <v>62</v>
      </c>
      <c r="E894" t="s">
        <v>67</v>
      </c>
      <c r="F894" t="s">
        <v>94</v>
      </c>
      <c r="G894" s="6">
        <v>2</v>
      </c>
      <c r="H894" s="4">
        <v>35.049999999999997</v>
      </c>
      <c r="I894" s="4">
        <v>17.649999999999999</v>
      </c>
      <c r="J894" s="5">
        <v>0.05</v>
      </c>
      <c r="K894" s="6">
        <v>1</v>
      </c>
      <c r="L894" s="6">
        <v>4</v>
      </c>
      <c r="M894" t="s">
        <v>58</v>
      </c>
      <c r="N894" t="s">
        <v>59</v>
      </c>
      <c r="O894" t="s">
        <v>60</v>
      </c>
      <c r="P894" t="str">
        <f t="shared" si="91"/>
        <v>Individual</v>
      </c>
      <c r="Q894" t="str">
        <f t="shared" si="92"/>
        <v>North</v>
      </c>
      <c r="R894" t="str">
        <f>PROPER(TRIM(E894))</f>
        <v>Office</v>
      </c>
      <c r="S894" s="27">
        <f>IF(ISTEXT(B894),DATEVALUE(B894),B894)</f>
        <v>45818</v>
      </c>
      <c r="T894" s="27">
        <f>COUNTIF($A$2:$A$1986,A894)</f>
        <v>1</v>
      </c>
      <c r="U894" s="27" t="str">
        <f t="shared" si="93"/>
        <v>Wireless Mouse</v>
      </c>
      <c r="V894" s="27">
        <f t="shared" si="94"/>
        <v>66.594999999999985</v>
      </c>
      <c r="W894" s="27">
        <f t="shared" si="95"/>
        <v>35.299999999999997</v>
      </c>
      <c r="X894" s="27">
        <f>RawSalesTable3[[#This Row],[Revenue]]-RawSalesTable3[[#This Row],[Total_Cost]]</f>
        <v>31.294999999999987</v>
      </c>
      <c r="Y894" s="28">
        <f>RawSalesTable3[[#This Row],[Profit]]/RawSalesTable3[[#This Row],[Revenue]]</f>
        <v>0.46993017493805833</v>
      </c>
      <c r="Z894" s="27" t="str">
        <f>TEXT(RawSalesTable3[[#This Row],[Order_Date_Clean]],"MMM YYYY")</f>
        <v>Jun 2025</v>
      </c>
      <c r="AA894" s="27"/>
      <c r="AB894" s="27">
        <f t="shared" si="96"/>
        <v>0</v>
      </c>
      <c r="AC894" s="27">
        <f t="shared" si="97"/>
        <v>0</v>
      </c>
    </row>
    <row r="895" spans="1:29">
      <c r="A895" t="s">
        <v>995</v>
      </c>
      <c r="B895" s="3">
        <v>45906</v>
      </c>
      <c r="C895" t="s">
        <v>66</v>
      </c>
      <c r="D895" t="s">
        <v>62</v>
      </c>
      <c r="E895" t="s">
        <v>56</v>
      </c>
      <c r="F895" t="s">
        <v>83</v>
      </c>
      <c r="G895" s="6">
        <v>2</v>
      </c>
      <c r="H895" s="4">
        <v>67.38</v>
      </c>
      <c r="I895" s="4">
        <v>35.35</v>
      </c>
      <c r="J895" s="5">
        <v>0.1</v>
      </c>
      <c r="K895" s="6">
        <v>5</v>
      </c>
      <c r="L895" s="6">
        <v>5</v>
      </c>
      <c r="M895" t="s">
        <v>58</v>
      </c>
      <c r="N895" t="s">
        <v>59</v>
      </c>
      <c r="O895" t="s">
        <v>64</v>
      </c>
      <c r="P895" t="str">
        <f t="shared" si="91"/>
        <v>Individual</v>
      </c>
      <c r="Q895" t="str">
        <f t="shared" si="92"/>
        <v>South</v>
      </c>
      <c r="R895" t="str">
        <f>PROPER(TRIM(E895))</f>
        <v>Home &amp; Kitchen</v>
      </c>
      <c r="S895" s="27">
        <f>IF(ISTEXT(B895),DATEVALUE(B895),B895)</f>
        <v>45906</v>
      </c>
      <c r="T895" s="27">
        <f>COUNTIF($A$2:$A$1986,A895)</f>
        <v>1</v>
      </c>
      <c r="U895" s="27" t="str">
        <f t="shared" si="93"/>
        <v>Blender</v>
      </c>
      <c r="V895" s="27">
        <f t="shared" si="94"/>
        <v>121.28399999999999</v>
      </c>
      <c r="W895" s="27">
        <f t="shared" si="95"/>
        <v>70.7</v>
      </c>
      <c r="X895" s="27">
        <f>RawSalesTable3[[#This Row],[Revenue]]-RawSalesTable3[[#This Row],[Total_Cost]]</f>
        <v>50.583999999999989</v>
      </c>
      <c r="Y895" s="28">
        <f>RawSalesTable3[[#This Row],[Profit]]/RawSalesTable3[[#This Row],[Revenue]]</f>
        <v>0.41707067708848644</v>
      </c>
      <c r="Z895" s="27" t="str">
        <f>TEXT(RawSalesTable3[[#This Row],[Order_Date_Clean]],"MMM YYYY")</f>
        <v>Sep 2025</v>
      </c>
      <c r="AA895" s="27"/>
      <c r="AB895" s="27">
        <f t="shared" si="96"/>
        <v>0</v>
      </c>
      <c r="AC895" s="27">
        <f t="shared" si="97"/>
        <v>0</v>
      </c>
    </row>
    <row r="896" spans="1:29">
      <c r="A896" t="s">
        <v>996</v>
      </c>
      <c r="B896" s="3">
        <v>45961</v>
      </c>
      <c r="C896" t="s">
        <v>66</v>
      </c>
      <c r="D896" t="s">
        <v>62</v>
      </c>
      <c r="E896" t="s">
        <v>56</v>
      </c>
      <c r="F896" t="s">
        <v>89</v>
      </c>
      <c r="G896" s="6">
        <v>1</v>
      </c>
      <c r="H896" s="4">
        <v>80.2</v>
      </c>
      <c r="I896" s="4">
        <v>46.58</v>
      </c>
      <c r="J896" s="5">
        <v>0.1</v>
      </c>
      <c r="K896" s="6">
        <v>6</v>
      </c>
      <c r="L896" s="6">
        <v>4</v>
      </c>
      <c r="M896" t="s">
        <v>58</v>
      </c>
      <c r="N896" t="s">
        <v>59</v>
      </c>
      <c r="O896" t="s">
        <v>64</v>
      </c>
      <c r="P896" t="str">
        <f t="shared" si="91"/>
        <v>Individual</v>
      </c>
      <c r="Q896" t="str">
        <f t="shared" si="92"/>
        <v>South</v>
      </c>
      <c r="R896" t="str">
        <f>PROPER(TRIM(E896))</f>
        <v>Home &amp; Kitchen</v>
      </c>
      <c r="S896" s="27">
        <f>IF(ISTEXT(B896),DATEVALUE(B896),B896)</f>
        <v>45961</v>
      </c>
      <c r="T896" s="27">
        <f>COUNTIF($A$2:$A$1986,A896)</f>
        <v>1</v>
      </c>
      <c r="U896" s="27" t="str">
        <f t="shared" si="93"/>
        <v>Coffee Maker</v>
      </c>
      <c r="V896" s="27">
        <f t="shared" si="94"/>
        <v>72.180000000000007</v>
      </c>
      <c r="W896" s="27">
        <f t="shared" si="95"/>
        <v>46.58</v>
      </c>
      <c r="X896" s="27">
        <f>RawSalesTable3[[#This Row],[Revenue]]-RawSalesTable3[[#This Row],[Total_Cost]]</f>
        <v>25.600000000000009</v>
      </c>
      <c r="Y896" s="28">
        <f>RawSalesTable3[[#This Row],[Profit]]/RawSalesTable3[[#This Row],[Revenue]]</f>
        <v>0.35466888334718766</v>
      </c>
      <c r="Z896" s="27" t="str">
        <f>TEXT(RawSalesTable3[[#This Row],[Order_Date_Clean]],"MMM YYYY")</f>
        <v>Oct 2025</v>
      </c>
      <c r="AA896" s="27"/>
      <c r="AB896" s="27">
        <f t="shared" si="96"/>
        <v>0</v>
      </c>
      <c r="AC896" s="27">
        <f t="shared" si="97"/>
        <v>0</v>
      </c>
    </row>
    <row r="897" spans="1:29">
      <c r="A897" t="s">
        <v>997</v>
      </c>
      <c r="B897" s="3">
        <v>45976</v>
      </c>
      <c r="C897" t="s">
        <v>82</v>
      </c>
      <c r="D897" t="s">
        <v>62</v>
      </c>
      <c r="E897" t="s">
        <v>79</v>
      </c>
      <c r="F897" t="s">
        <v>92</v>
      </c>
      <c r="G897" s="6">
        <v>3</v>
      </c>
      <c r="H897" s="4">
        <v>50.38</v>
      </c>
      <c r="I897" s="4">
        <v>26.92</v>
      </c>
      <c r="J897" s="5">
        <v>0.1</v>
      </c>
      <c r="K897" s="6">
        <v>2</v>
      </c>
      <c r="L897" s="6">
        <v>5</v>
      </c>
      <c r="M897" t="s">
        <v>58</v>
      </c>
      <c r="N897" t="s">
        <v>69</v>
      </c>
      <c r="O897" t="s">
        <v>60</v>
      </c>
      <c r="P897" t="str">
        <f t="shared" si="91"/>
        <v>Individual</v>
      </c>
      <c r="Q897" t="str">
        <f t="shared" si="92"/>
        <v>Midlands</v>
      </c>
      <c r="R897" t="str">
        <f>PROPER(TRIM(E897))</f>
        <v>Electronics</v>
      </c>
      <c r="S897" s="27">
        <f>IF(ISTEXT(B897),DATEVALUE(B897),B897)</f>
        <v>45976</v>
      </c>
      <c r="T897" s="27">
        <f>COUNTIF($A$2:$A$1986,A897)</f>
        <v>1</v>
      </c>
      <c r="U897" s="27" t="str">
        <f t="shared" si="93"/>
        <v>Webcam</v>
      </c>
      <c r="V897" s="27">
        <f t="shared" si="94"/>
        <v>136.02600000000001</v>
      </c>
      <c r="W897" s="27">
        <f t="shared" si="95"/>
        <v>80.760000000000005</v>
      </c>
      <c r="X897" s="27">
        <f>RawSalesTable3[[#This Row],[Revenue]]-RawSalesTable3[[#This Row],[Total_Cost]]</f>
        <v>55.266000000000005</v>
      </c>
      <c r="Y897" s="28">
        <f>RawSalesTable3[[#This Row],[Profit]]/RawSalesTable3[[#This Row],[Revenue]]</f>
        <v>0.40628997397556349</v>
      </c>
      <c r="Z897" s="27" t="str">
        <f>TEXT(RawSalesTable3[[#This Row],[Order_Date_Clean]],"MMM YYYY")</f>
        <v>Nov 2025</v>
      </c>
      <c r="AA897" s="27"/>
      <c r="AB897" s="27">
        <f t="shared" si="96"/>
        <v>0</v>
      </c>
      <c r="AC897" s="27">
        <f t="shared" si="97"/>
        <v>0</v>
      </c>
    </row>
    <row r="898" spans="1:29">
      <c r="A898" t="s">
        <v>998</v>
      </c>
      <c r="B898" s="3">
        <v>45992</v>
      </c>
      <c r="C898" t="s">
        <v>78</v>
      </c>
      <c r="D898" t="s">
        <v>62</v>
      </c>
      <c r="E898" t="s">
        <v>56</v>
      </c>
      <c r="F898" t="s">
        <v>63</v>
      </c>
      <c r="G898" s="6">
        <v>1</v>
      </c>
      <c r="H898" s="4">
        <v>38.82</v>
      </c>
      <c r="I898" s="4">
        <v>20.22</v>
      </c>
      <c r="J898" s="5">
        <v>0.1</v>
      </c>
      <c r="K898" s="6">
        <v>0</v>
      </c>
      <c r="L898" s="6">
        <v>4</v>
      </c>
      <c r="M898" t="s">
        <v>58</v>
      </c>
      <c r="N898" t="s">
        <v>69</v>
      </c>
      <c r="O898" t="s">
        <v>64</v>
      </c>
      <c r="P898" t="str">
        <f t="shared" ref="P898:P961" si="98">IF(TRIM(D898)="","Unknow",PROPER(TRIM(D898)))</f>
        <v>Individual</v>
      </c>
      <c r="Q898" t="str">
        <f t="shared" ref="Q898:Q961" si="99">IF(PROPER(TRIM(C898))="Mid Lands","Midlands",PROPER(TRIM(C898)))</f>
        <v>London</v>
      </c>
      <c r="R898" t="str">
        <f>PROPER(TRIM(E898))</f>
        <v>Home &amp; Kitchen</v>
      </c>
      <c r="S898" s="27">
        <f>IF(ISTEXT(B898),DATEVALUE(B898),B898)</f>
        <v>45992</v>
      </c>
      <c r="T898" s="27">
        <f>COUNTIF($A$2:$A$1986,A898)</f>
        <v>1</v>
      </c>
      <c r="U898" s="27" t="str">
        <f t="shared" ref="U898:U961" si="100">TRIM(F898)</f>
        <v>Electric Kettle</v>
      </c>
      <c r="V898" s="27">
        <f t="shared" ref="V898:V961" si="101">G898*H898*(1-J898)</f>
        <v>34.938000000000002</v>
      </c>
      <c r="W898" s="27">
        <f t="shared" ref="W898:W961" si="102">G898*I898</f>
        <v>20.22</v>
      </c>
      <c r="X898" s="27">
        <f>RawSalesTable3[[#This Row],[Revenue]]-RawSalesTable3[[#This Row],[Total_Cost]]</f>
        <v>14.718000000000004</v>
      </c>
      <c r="Y898" s="28">
        <f>RawSalesTable3[[#This Row],[Profit]]/RawSalesTable3[[#This Row],[Revenue]]</f>
        <v>0.42126051863300712</v>
      </c>
      <c r="Z898" s="27" t="str">
        <f>TEXT(RawSalesTable3[[#This Row],[Order_Date_Clean]],"MMM YYYY")</f>
        <v>Dec 2025</v>
      </c>
      <c r="AA898" s="27"/>
      <c r="AB898" s="27">
        <f t="shared" ref="AB898:AB961" si="103">SUMIF($Z:$Z,AA898,$V:$V)</f>
        <v>0</v>
      </c>
      <c r="AC898" s="27">
        <f t="shared" ref="AC898:AC961" si="104">SUMIF($Z:$Z,AA898,$X:$X)</f>
        <v>0</v>
      </c>
    </row>
    <row r="899" spans="1:29">
      <c r="A899" t="s">
        <v>999</v>
      </c>
      <c r="B899" s="3">
        <v>45941</v>
      </c>
      <c r="C899" t="s">
        <v>66</v>
      </c>
      <c r="D899" t="s">
        <v>62</v>
      </c>
      <c r="E899" t="s">
        <v>56</v>
      </c>
      <c r="F899" t="s">
        <v>89</v>
      </c>
      <c r="G899" s="6">
        <v>3</v>
      </c>
      <c r="H899" s="4">
        <v>82.18</v>
      </c>
      <c r="I899" s="4">
        <v>44.61</v>
      </c>
      <c r="J899" s="5">
        <v>0</v>
      </c>
      <c r="K899" s="6">
        <v>0</v>
      </c>
      <c r="L899" s="6">
        <v>5</v>
      </c>
      <c r="M899" t="s">
        <v>58</v>
      </c>
      <c r="N899" t="s">
        <v>69</v>
      </c>
      <c r="O899" t="s">
        <v>64</v>
      </c>
      <c r="P899" t="str">
        <f t="shared" si="98"/>
        <v>Individual</v>
      </c>
      <c r="Q899" t="str">
        <f t="shared" si="99"/>
        <v>South</v>
      </c>
      <c r="R899" t="str">
        <f>PROPER(TRIM(E899))</f>
        <v>Home &amp; Kitchen</v>
      </c>
      <c r="S899" s="27">
        <f>IF(ISTEXT(B899),DATEVALUE(B899),B899)</f>
        <v>45941</v>
      </c>
      <c r="T899" s="27">
        <f>COUNTIF($A$2:$A$1986,A899)</f>
        <v>1</v>
      </c>
      <c r="U899" s="27" t="str">
        <f t="shared" si="100"/>
        <v>Coffee Maker</v>
      </c>
      <c r="V899" s="27">
        <f t="shared" si="101"/>
        <v>246.54000000000002</v>
      </c>
      <c r="W899" s="27">
        <f t="shared" si="102"/>
        <v>133.82999999999998</v>
      </c>
      <c r="X899" s="27">
        <f>RawSalesTable3[[#This Row],[Revenue]]-RawSalesTable3[[#This Row],[Total_Cost]]</f>
        <v>112.71000000000004</v>
      </c>
      <c r="Y899" s="28">
        <f>RawSalesTable3[[#This Row],[Profit]]/RawSalesTable3[[#This Row],[Revenue]]</f>
        <v>0.45716719396446837</v>
      </c>
      <c r="Z899" s="27" t="str">
        <f>TEXT(RawSalesTable3[[#This Row],[Order_Date_Clean]],"MMM YYYY")</f>
        <v>Oct 2025</v>
      </c>
      <c r="AA899" s="27"/>
      <c r="AB899" s="27">
        <f t="shared" si="103"/>
        <v>0</v>
      </c>
      <c r="AC899" s="27">
        <f t="shared" si="104"/>
        <v>0</v>
      </c>
    </row>
    <row r="900" spans="1:29">
      <c r="A900" t="s">
        <v>1000</v>
      </c>
      <c r="B900" s="3">
        <v>45812</v>
      </c>
      <c r="C900" t="s">
        <v>66</v>
      </c>
      <c r="D900" t="s">
        <v>62</v>
      </c>
      <c r="E900" t="s">
        <v>79</v>
      </c>
      <c r="F900" t="s">
        <v>115</v>
      </c>
      <c r="G900" s="6">
        <v>1</v>
      </c>
      <c r="H900" s="4">
        <v>60.1</v>
      </c>
      <c r="I900" s="4">
        <v>33.4</v>
      </c>
      <c r="J900" s="5">
        <v>0</v>
      </c>
      <c r="K900" s="6">
        <v>7</v>
      </c>
      <c r="L900" s="6">
        <v>3</v>
      </c>
      <c r="M900" t="s">
        <v>58</v>
      </c>
      <c r="N900" t="s">
        <v>59</v>
      </c>
      <c r="O900" t="s">
        <v>64</v>
      </c>
      <c r="P900" t="str">
        <f t="shared" si="98"/>
        <v>Individual</v>
      </c>
      <c r="Q900" t="str">
        <f t="shared" si="99"/>
        <v>South</v>
      </c>
      <c r="R900" t="str">
        <f>PROPER(TRIM(E900))</f>
        <v>Electronics</v>
      </c>
      <c r="S900" s="27">
        <f>IF(ISTEXT(B900),DATEVALUE(B900),B900)</f>
        <v>45812</v>
      </c>
      <c r="T900" s="27">
        <f>COUNTIF($A$2:$A$1986,A900)</f>
        <v>1</v>
      </c>
      <c r="U900" s="27" t="str">
        <f t="shared" si="100"/>
        <v>Wireless Headset</v>
      </c>
      <c r="V900" s="27">
        <f t="shared" si="101"/>
        <v>60.1</v>
      </c>
      <c r="W900" s="27">
        <f t="shared" si="102"/>
        <v>33.4</v>
      </c>
      <c r="X900" s="27">
        <f>RawSalesTable3[[#This Row],[Revenue]]-RawSalesTable3[[#This Row],[Total_Cost]]</f>
        <v>26.700000000000003</v>
      </c>
      <c r="Y900" s="28">
        <f>RawSalesTable3[[#This Row],[Profit]]/RawSalesTable3[[#This Row],[Revenue]]</f>
        <v>0.44425956738768724</v>
      </c>
      <c r="Z900" s="27" t="str">
        <f>TEXT(RawSalesTable3[[#This Row],[Order_Date_Clean]],"MMM YYYY")</f>
        <v>Jun 2025</v>
      </c>
      <c r="AA900" s="27"/>
      <c r="AB900" s="27">
        <f t="shared" si="103"/>
        <v>0</v>
      </c>
      <c r="AC900" s="27">
        <f t="shared" si="104"/>
        <v>0</v>
      </c>
    </row>
    <row r="901" spans="1:29">
      <c r="A901" t="s">
        <v>1001</v>
      </c>
      <c r="B901" s="3">
        <v>45985</v>
      </c>
      <c r="C901" t="s">
        <v>54</v>
      </c>
      <c r="D901" t="s">
        <v>62</v>
      </c>
      <c r="E901" t="s">
        <v>79</v>
      </c>
      <c r="F901" t="s">
        <v>80</v>
      </c>
      <c r="G901" s="6">
        <v>3</v>
      </c>
      <c r="H901" s="4">
        <v>77.23</v>
      </c>
      <c r="I901" s="4">
        <v>43.91</v>
      </c>
      <c r="J901" s="5">
        <v>0.1</v>
      </c>
      <c r="K901" s="6">
        <v>1</v>
      </c>
      <c r="L901" s="6">
        <v>4</v>
      </c>
      <c r="M901" t="s">
        <v>58</v>
      </c>
      <c r="N901" t="s">
        <v>69</v>
      </c>
      <c r="O901" t="s">
        <v>73</v>
      </c>
      <c r="P901" t="str">
        <f t="shared" si="98"/>
        <v>Individual</v>
      </c>
      <c r="Q901" t="str">
        <f t="shared" si="99"/>
        <v>North</v>
      </c>
      <c r="R901" t="str">
        <f>PROPER(TRIM(E901))</f>
        <v>Electronics</v>
      </c>
      <c r="S901" s="27">
        <f>IF(ISTEXT(B901),DATEVALUE(B901),B901)</f>
        <v>45985</v>
      </c>
      <c r="T901" s="27">
        <f>COUNTIF($A$2:$A$1986,A901)</f>
        <v>1</v>
      </c>
      <c r="U901" s="27" t="str">
        <f t="shared" si="100"/>
        <v>Portable Speaker</v>
      </c>
      <c r="V901" s="27">
        <f t="shared" si="101"/>
        <v>208.52100000000002</v>
      </c>
      <c r="W901" s="27">
        <f t="shared" si="102"/>
        <v>131.72999999999999</v>
      </c>
      <c r="X901" s="27">
        <f>RawSalesTable3[[#This Row],[Revenue]]-RawSalesTable3[[#This Row],[Total_Cost]]</f>
        <v>76.791000000000025</v>
      </c>
      <c r="Y901" s="28">
        <f>RawSalesTable3[[#This Row],[Profit]]/RawSalesTable3[[#This Row],[Revenue]]</f>
        <v>0.36826506682780163</v>
      </c>
      <c r="Z901" s="27" t="str">
        <f>TEXT(RawSalesTable3[[#This Row],[Order_Date_Clean]],"MMM YYYY")</f>
        <v>Nov 2025</v>
      </c>
      <c r="AA901" s="27"/>
      <c r="AB901" s="27">
        <f t="shared" si="103"/>
        <v>0</v>
      </c>
      <c r="AC901" s="27">
        <f t="shared" si="104"/>
        <v>0</v>
      </c>
    </row>
    <row r="902" spans="1:29">
      <c r="A902" t="s">
        <v>1002</v>
      </c>
      <c r="B902" s="3">
        <v>45993</v>
      </c>
      <c r="C902" t="s">
        <v>66</v>
      </c>
      <c r="D902" t="s">
        <v>62</v>
      </c>
      <c r="E902" t="s">
        <v>56</v>
      </c>
      <c r="F902" t="s">
        <v>57</v>
      </c>
      <c r="G902" s="6">
        <v>2</v>
      </c>
      <c r="H902" s="4">
        <v>108.33</v>
      </c>
      <c r="I902" s="4">
        <v>68.099999999999994</v>
      </c>
      <c r="J902" s="5">
        <v>0.15000000000000002</v>
      </c>
      <c r="K902" s="6">
        <v>3</v>
      </c>
      <c r="L902" s="6">
        <v>5</v>
      </c>
      <c r="M902" t="s">
        <v>58</v>
      </c>
      <c r="N902" t="s">
        <v>59</v>
      </c>
      <c r="O902" t="s">
        <v>64</v>
      </c>
      <c r="P902" t="str">
        <f t="shared" si="98"/>
        <v>Individual</v>
      </c>
      <c r="Q902" t="str">
        <f t="shared" si="99"/>
        <v>South</v>
      </c>
      <c r="R902" t="str">
        <f>PROPER(TRIM(E902))</f>
        <v>Home &amp; Kitchen</v>
      </c>
      <c r="S902" s="27">
        <f>IF(ISTEXT(B902),DATEVALUE(B902),B902)</f>
        <v>45993</v>
      </c>
      <c r="T902" s="27">
        <f>COUNTIF($A$2:$A$1986,A902)</f>
        <v>1</v>
      </c>
      <c r="U902" s="27" t="str">
        <f t="shared" si="100"/>
        <v>Air Fryer</v>
      </c>
      <c r="V902" s="27">
        <f t="shared" si="101"/>
        <v>184.161</v>
      </c>
      <c r="W902" s="27">
        <f t="shared" si="102"/>
        <v>136.19999999999999</v>
      </c>
      <c r="X902" s="27">
        <f>RawSalesTable3[[#This Row],[Revenue]]-RawSalesTable3[[#This Row],[Total_Cost]]</f>
        <v>47.961000000000013</v>
      </c>
      <c r="Y902" s="28">
        <f>RawSalesTable3[[#This Row],[Profit]]/RawSalesTable3[[#This Row],[Revenue]]</f>
        <v>0.2604297326795576</v>
      </c>
      <c r="Z902" s="27" t="str">
        <f>TEXT(RawSalesTable3[[#This Row],[Order_Date_Clean]],"MMM YYYY")</f>
        <v>Dec 2025</v>
      </c>
      <c r="AA902" s="27"/>
      <c r="AB902" s="27">
        <f t="shared" si="103"/>
        <v>0</v>
      </c>
      <c r="AC902" s="27">
        <f t="shared" si="104"/>
        <v>0</v>
      </c>
    </row>
    <row r="903" spans="1:29">
      <c r="A903" t="s">
        <v>1003</v>
      </c>
      <c r="B903" s="3">
        <v>45976</v>
      </c>
      <c r="C903" t="s">
        <v>78</v>
      </c>
      <c r="D903" t="s">
        <v>55</v>
      </c>
      <c r="E903" t="s">
        <v>75</v>
      </c>
      <c r="F903" t="s">
        <v>146</v>
      </c>
      <c r="G903" s="6">
        <v>4</v>
      </c>
      <c r="H903" s="4">
        <v>181.68</v>
      </c>
      <c r="I903" s="4">
        <v>114.9</v>
      </c>
      <c r="J903" s="5">
        <v>0</v>
      </c>
      <c r="K903" s="6">
        <v>8</v>
      </c>
      <c r="L903" s="6">
        <v>3</v>
      </c>
      <c r="M903" t="s">
        <v>58</v>
      </c>
      <c r="N903" t="s">
        <v>59</v>
      </c>
      <c r="O903" t="s">
        <v>64</v>
      </c>
      <c r="P903" t="str">
        <f t="shared" si="98"/>
        <v>Small Business</v>
      </c>
      <c r="Q903" t="str">
        <f t="shared" si="99"/>
        <v>London</v>
      </c>
      <c r="R903" t="str">
        <f>PROPER(TRIM(E903))</f>
        <v>Furniture</v>
      </c>
      <c r="S903" s="27">
        <f>IF(ISTEXT(B903),DATEVALUE(B903),B903)</f>
        <v>45976</v>
      </c>
      <c r="T903" s="27">
        <f>COUNTIF($A$2:$A$1986,A903)</f>
        <v>1</v>
      </c>
      <c r="U903" s="27" t="str">
        <f t="shared" si="100"/>
        <v>Office Chair</v>
      </c>
      <c r="V903" s="27">
        <f t="shared" si="101"/>
        <v>726.72</v>
      </c>
      <c r="W903" s="27">
        <f t="shared" si="102"/>
        <v>459.6</v>
      </c>
      <c r="X903" s="27">
        <f>RawSalesTable3[[#This Row],[Revenue]]-RawSalesTable3[[#This Row],[Total_Cost]]</f>
        <v>267.12</v>
      </c>
      <c r="Y903" s="28">
        <f>RawSalesTable3[[#This Row],[Profit]]/RawSalesTable3[[#This Row],[Revenue]]</f>
        <v>0.36756935270805813</v>
      </c>
      <c r="Z903" s="27" t="str">
        <f>TEXT(RawSalesTable3[[#This Row],[Order_Date_Clean]],"MMM YYYY")</f>
        <v>Nov 2025</v>
      </c>
      <c r="AA903" s="27"/>
      <c r="AB903" s="27">
        <f t="shared" si="103"/>
        <v>0</v>
      </c>
      <c r="AC903" s="27">
        <f t="shared" si="104"/>
        <v>0</v>
      </c>
    </row>
    <row r="904" spans="1:29">
      <c r="A904" t="s">
        <v>1004</v>
      </c>
      <c r="B904" s="3">
        <v>46003</v>
      </c>
      <c r="C904" t="s">
        <v>78</v>
      </c>
      <c r="D904" t="s">
        <v>62</v>
      </c>
      <c r="E904" t="s">
        <v>79</v>
      </c>
      <c r="F904" t="s">
        <v>85</v>
      </c>
      <c r="G904" s="6">
        <v>1</v>
      </c>
      <c r="H904" s="4">
        <v>128.11000000000001</v>
      </c>
      <c r="I904" s="4">
        <v>83.17</v>
      </c>
      <c r="J904" s="5">
        <v>0.1</v>
      </c>
      <c r="K904" s="6">
        <v>4</v>
      </c>
      <c r="L904" s="6">
        <v>4</v>
      </c>
      <c r="M904" t="s">
        <v>58</v>
      </c>
      <c r="N904" t="s">
        <v>59</v>
      </c>
      <c r="O904" t="s">
        <v>64</v>
      </c>
      <c r="P904" t="str">
        <f t="shared" si="98"/>
        <v>Individual</v>
      </c>
      <c r="Q904" t="str">
        <f t="shared" si="99"/>
        <v>London</v>
      </c>
      <c r="R904" t="str">
        <f>PROPER(TRIM(E904))</f>
        <v>Electronics</v>
      </c>
      <c r="S904" s="27">
        <f>IF(ISTEXT(B904),DATEVALUE(B904),B904)</f>
        <v>46003</v>
      </c>
      <c r="T904" s="27">
        <f>COUNTIF($A$2:$A$1986,A904)</f>
        <v>1</v>
      </c>
      <c r="U904" s="27" t="str">
        <f t="shared" si="100"/>
        <v>SmartHome Hub</v>
      </c>
      <c r="V904" s="27">
        <f t="shared" si="101"/>
        <v>115.29900000000002</v>
      </c>
      <c r="W904" s="27">
        <f t="shared" si="102"/>
        <v>83.17</v>
      </c>
      <c r="X904" s="27">
        <f>RawSalesTable3[[#This Row],[Revenue]]-RawSalesTable3[[#This Row],[Total_Cost]]</f>
        <v>32.129000000000019</v>
      </c>
      <c r="Y904" s="28">
        <f>RawSalesTable3[[#This Row],[Profit]]/RawSalesTable3[[#This Row],[Revenue]]</f>
        <v>0.27865809764178368</v>
      </c>
      <c r="Z904" s="27" t="str">
        <f>TEXT(RawSalesTable3[[#This Row],[Order_Date_Clean]],"MMM YYYY")</f>
        <v>Dec 2025</v>
      </c>
      <c r="AA904" s="27"/>
      <c r="AB904" s="27">
        <f t="shared" si="103"/>
        <v>0</v>
      </c>
      <c r="AC904" s="27">
        <f t="shared" si="104"/>
        <v>0</v>
      </c>
    </row>
    <row r="905" spans="1:29">
      <c r="A905" t="s">
        <v>1005</v>
      </c>
      <c r="B905" s="3">
        <v>45730</v>
      </c>
      <c r="C905" t="s">
        <v>78</v>
      </c>
      <c r="D905" t="s">
        <v>55</v>
      </c>
      <c r="E905" t="s">
        <v>56</v>
      </c>
      <c r="F905" t="s">
        <v>89</v>
      </c>
      <c r="G905" s="6">
        <v>3</v>
      </c>
      <c r="H905" s="4">
        <v>80.94</v>
      </c>
      <c r="I905" s="4">
        <v>44.65</v>
      </c>
      <c r="J905" s="5">
        <v>0.05</v>
      </c>
      <c r="K905" s="6">
        <v>6</v>
      </c>
      <c r="L905" s="6">
        <v>3</v>
      </c>
      <c r="M905" t="s">
        <v>58</v>
      </c>
      <c r="N905" t="s">
        <v>87</v>
      </c>
      <c r="O905" t="s">
        <v>64</v>
      </c>
      <c r="P905" t="str">
        <f t="shared" si="98"/>
        <v>Small Business</v>
      </c>
      <c r="Q905" t="str">
        <f t="shared" si="99"/>
        <v>London</v>
      </c>
      <c r="R905" t="str">
        <f>PROPER(TRIM(E905))</f>
        <v>Home &amp; Kitchen</v>
      </c>
      <c r="S905" s="27">
        <f>IF(ISTEXT(B905),DATEVALUE(B905),B905)</f>
        <v>45730</v>
      </c>
      <c r="T905" s="27">
        <f>COUNTIF($A$2:$A$1986,A905)</f>
        <v>1</v>
      </c>
      <c r="U905" s="27" t="str">
        <f t="shared" si="100"/>
        <v>Coffee Maker</v>
      </c>
      <c r="V905" s="27">
        <f t="shared" si="101"/>
        <v>230.67899999999997</v>
      </c>
      <c r="W905" s="27">
        <f t="shared" si="102"/>
        <v>133.94999999999999</v>
      </c>
      <c r="X905" s="27">
        <f>RawSalesTable3[[#This Row],[Revenue]]-RawSalesTable3[[#This Row],[Total_Cost]]</f>
        <v>96.728999999999985</v>
      </c>
      <c r="Y905" s="28">
        <f>RawSalesTable3[[#This Row],[Profit]]/RawSalesTable3[[#This Row],[Revenue]]</f>
        <v>0.41932295527551272</v>
      </c>
      <c r="Z905" s="27" t="str">
        <f>TEXT(RawSalesTable3[[#This Row],[Order_Date_Clean]],"MMM YYYY")</f>
        <v>Mar 2025</v>
      </c>
      <c r="AA905" s="27"/>
      <c r="AB905" s="27">
        <f t="shared" si="103"/>
        <v>0</v>
      </c>
      <c r="AC905" s="27">
        <f t="shared" si="104"/>
        <v>0</v>
      </c>
    </row>
    <row r="906" spans="1:29">
      <c r="A906" t="s">
        <v>1006</v>
      </c>
      <c r="B906" s="3">
        <v>45919</v>
      </c>
      <c r="C906" t="s">
        <v>82</v>
      </c>
      <c r="D906" t="s">
        <v>62</v>
      </c>
      <c r="E906" t="s">
        <v>79</v>
      </c>
      <c r="F906" t="s">
        <v>115</v>
      </c>
      <c r="G906" s="6">
        <v>1</v>
      </c>
      <c r="H906" s="4">
        <v>59.61</v>
      </c>
      <c r="I906" s="4">
        <v>33.979999999999997</v>
      </c>
      <c r="J906" s="5">
        <v>0</v>
      </c>
      <c r="K906" s="6">
        <v>3</v>
      </c>
      <c r="L906" s="6">
        <v>4</v>
      </c>
      <c r="M906" t="s">
        <v>58</v>
      </c>
      <c r="N906" t="s">
        <v>59</v>
      </c>
      <c r="O906" t="s">
        <v>64</v>
      </c>
      <c r="P906" t="str">
        <f t="shared" si="98"/>
        <v>Individual</v>
      </c>
      <c r="Q906" t="str">
        <f t="shared" si="99"/>
        <v>Midlands</v>
      </c>
      <c r="R906" t="str">
        <f>PROPER(TRIM(E906))</f>
        <v>Electronics</v>
      </c>
      <c r="S906" s="27">
        <f>IF(ISTEXT(B906),DATEVALUE(B906),B906)</f>
        <v>45919</v>
      </c>
      <c r="T906" s="27">
        <f>COUNTIF($A$2:$A$1986,A906)</f>
        <v>1</v>
      </c>
      <c r="U906" s="27" t="str">
        <f t="shared" si="100"/>
        <v>Wireless Headset</v>
      </c>
      <c r="V906" s="27">
        <f t="shared" si="101"/>
        <v>59.61</v>
      </c>
      <c r="W906" s="27">
        <f t="shared" si="102"/>
        <v>33.979999999999997</v>
      </c>
      <c r="X906" s="27">
        <f>RawSalesTable3[[#This Row],[Revenue]]-RawSalesTable3[[#This Row],[Total_Cost]]</f>
        <v>25.630000000000003</v>
      </c>
      <c r="Y906" s="28">
        <f>RawSalesTable3[[#This Row],[Profit]]/RawSalesTable3[[#This Row],[Revenue]]</f>
        <v>0.42996141586982056</v>
      </c>
      <c r="Z906" s="27" t="str">
        <f>TEXT(RawSalesTable3[[#This Row],[Order_Date_Clean]],"MMM YYYY")</f>
        <v>Sep 2025</v>
      </c>
      <c r="AA906" s="27"/>
      <c r="AB906" s="27">
        <f t="shared" si="103"/>
        <v>0</v>
      </c>
      <c r="AC906" s="27">
        <f t="shared" si="104"/>
        <v>0</v>
      </c>
    </row>
    <row r="907" spans="1:29">
      <c r="A907" t="s">
        <v>1007</v>
      </c>
      <c r="B907" s="3">
        <v>45788</v>
      </c>
      <c r="C907" t="s">
        <v>66</v>
      </c>
      <c r="D907" t="s">
        <v>129</v>
      </c>
      <c r="E907" t="s">
        <v>56</v>
      </c>
      <c r="F907" t="s">
        <v>83</v>
      </c>
      <c r="G907" s="6">
        <v>6</v>
      </c>
      <c r="H907" s="4">
        <v>66.930000000000007</v>
      </c>
      <c r="I907" s="4">
        <v>36.08</v>
      </c>
      <c r="J907" s="5">
        <v>0.15000000000000002</v>
      </c>
      <c r="K907" s="6">
        <v>6</v>
      </c>
      <c r="L907" s="6">
        <v>3</v>
      </c>
      <c r="M907" t="s">
        <v>126</v>
      </c>
      <c r="N907" t="s">
        <v>69</v>
      </c>
      <c r="O907" t="s">
        <v>73</v>
      </c>
      <c r="P907" t="str">
        <f t="shared" si="98"/>
        <v>Corporate</v>
      </c>
      <c r="Q907" t="str">
        <f t="shared" si="99"/>
        <v>South</v>
      </c>
      <c r="R907" t="str">
        <f>PROPER(TRIM(E907))</f>
        <v>Home &amp; Kitchen</v>
      </c>
      <c r="S907" s="27">
        <f>IF(ISTEXT(B907),DATEVALUE(B907),B907)</f>
        <v>45788</v>
      </c>
      <c r="T907" s="27">
        <f>COUNTIF($A$2:$A$1986,A907)</f>
        <v>1</v>
      </c>
      <c r="U907" s="27" t="str">
        <f t="shared" si="100"/>
        <v>Blender</v>
      </c>
      <c r="V907" s="27">
        <f t="shared" si="101"/>
        <v>341.34300000000002</v>
      </c>
      <c r="W907" s="27">
        <f t="shared" si="102"/>
        <v>216.48</v>
      </c>
      <c r="X907" s="27">
        <f>RawSalesTable3[[#This Row],[Revenue]]-RawSalesTable3[[#This Row],[Total_Cost]]</f>
        <v>124.86300000000003</v>
      </c>
      <c r="Y907" s="28">
        <f>RawSalesTable3[[#This Row],[Profit]]/RawSalesTable3[[#This Row],[Revenue]]</f>
        <v>0.36579921076453897</v>
      </c>
      <c r="Z907" s="27" t="str">
        <f>TEXT(RawSalesTable3[[#This Row],[Order_Date_Clean]],"MMM YYYY")</f>
        <v>May 2025</v>
      </c>
      <c r="AA907" s="27"/>
      <c r="AB907" s="27">
        <f t="shared" si="103"/>
        <v>0</v>
      </c>
      <c r="AC907" s="27">
        <f t="shared" si="104"/>
        <v>0</v>
      </c>
    </row>
    <row r="908" spans="1:29">
      <c r="A908" t="s">
        <v>1008</v>
      </c>
      <c r="B908" s="3">
        <v>45937</v>
      </c>
      <c r="C908" t="s">
        <v>82</v>
      </c>
      <c r="D908" t="s">
        <v>62</v>
      </c>
      <c r="E908" t="s">
        <v>56</v>
      </c>
      <c r="F908" t="s">
        <v>63</v>
      </c>
      <c r="G908" s="6">
        <v>1</v>
      </c>
      <c r="H908" s="4">
        <v>40.71</v>
      </c>
      <c r="I908" s="4">
        <v>19.829999999999998</v>
      </c>
      <c r="J908" s="5">
        <v>0.05</v>
      </c>
      <c r="K908" s="6">
        <v>2</v>
      </c>
      <c r="L908" s="6">
        <v>3</v>
      </c>
      <c r="M908" t="s">
        <v>126</v>
      </c>
      <c r="N908" t="s">
        <v>87</v>
      </c>
      <c r="O908" t="s">
        <v>64</v>
      </c>
      <c r="P908" t="str">
        <f t="shared" si="98"/>
        <v>Individual</v>
      </c>
      <c r="Q908" t="str">
        <f t="shared" si="99"/>
        <v>Midlands</v>
      </c>
      <c r="R908" t="str">
        <f>PROPER(TRIM(E908))</f>
        <v>Home &amp; Kitchen</v>
      </c>
      <c r="S908" s="27">
        <f>IF(ISTEXT(B908),DATEVALUE(B908),B908)</f>
        <v>45937</v>
      </c>
      <c r="T908" s="27">
        <f>COUNTIF($A$2:$A$1986,A908)</f>
        <v>1</v>
      </c>
      <c r="U908" s="27" t="str">
        <f t="shared" si="100"/>
        <v>Electric Kettle</v>
      </c>
      <c r="V908" s="27">
        <f t="shared" si="101"/>
        <v>38.674500000000002</v>
      </c>
      <c r="W908" s="27">
        <f t="shared" si="102"/>
        <v>19.829999999999998</v>
      </c>
      <c r="X908" s="27">
        <f>RawSalesTable3[[#This Row],[Revenue]]-RawSalesTable3[[#This Row],[Total_Cost]]</f>
        <v>18.844500000000004</v>
      </c>
      <c r="Y908" s="28">
        <f>RawSalesTable3[[#This Row],[Profit]]/RawSalesTable3[[#This Row],[Revenue]]</f>
        <v>0.48725904665865111</v>
      </c>
      <c r="Z908" s="27" t="str">
        <f>TEXT(RawSalesTable3[[#This Row],[Order_Date_Clean]],"MMM YYYY")</f>
        <v>Oct 2025</v>
      </c>
      <c r="AA908" s="27"/>
      <c r="AB908" s="27">
        <f t="shared" si="103"/>
        <v>0</v>
      </c>
      <c r="AC908" s="27">
        <f t="shared" si="104"/>
        <v>0</v>
      </c>
    </row>
    <row r="909" spans="1:29">
      <c r="A909" t="s">
        <v>1009</v>
      </c>
      <c r="B909" s="3">
        <v>45748</v>
      </c>
      <c r="C909" t="s">
        <v>82</v>
      </c>
      <c r="D909" t="s">
        <v>62</v>
      </c>
      <c r="E909" t="s">
        <v>79</v>
      </c>
      <c r="F909" t="s">
        <v>115</v>
      </c>
      <c r="G909" s="6">
        <v>4</v>
      </c>
      <c r="H909" s="4">
        <v>58.44</v>
      </c>
      <c r="I909" s="4">
        <v>35.42</v>
      </c>
      <c r="J909" s="5">
        <v>0</v>
      </c>
      <c r="K909" s="6">
        <v>5</v>
      </c>
      <c r="L909" s="6">
        <v>5</v>
      </c>
      <c r="M909" t="s">
        <v>58</v>
      </c>
      <c r="N909" t="s">
        <v>59</v>
      </c>
      <c r="O909" t="s">
        <v>64</v>
      </c>
      <c r="P909" t="str">
        <f t="shared" si="98"/>
        <v>Individual</v>
      </c>
      <c r="Q909" t="str">
        <f t="shared" si="99"/>
        <v>Midlands</v>
      </c>
      <c r="R909" t="str">
        <f>PROPER(TRIM(E909))</f>
        <v>Electronics</v>
      </c>
      <c r="S909" s="27">
        <f>IF(ISTEXT(B909),DATEVALUE(B909),B909)</f>
        <v>45748</v>
      </c>
      <c r="T909" s="27">
        <f>COUNTIF($A$2:$A$1986,A909)</f>
        <v>1</v>
      </c>
      <c r="U909" s="27" t="str">
        <f t="shared" si="100"/>
        <v>Wireless Headset</v>
      </c>
      <c r="V909" s="27">
        <f t="shared" si="101"/>
        <v>233.76</v>
      </c>
      <c r="W909" s="27">
        <f t="shared" si="102"/>
        <v>141.68</v>
      </c>
      <c r="X909" s="27">
        <f>RawSalesTable3[[#This Row],[Revenue]]-RawSalesTable3[[#This Row],[Total_Cost]]</f>
        <v>92.079999999999984</v>
      </c>
      <c r="Y909" s="28">
        <f>RawSalesTable3[[#This Row],[Profit]]/RawSalesTable3[[#This Row],[Revenue]]</f>
        <v>0.39390828199863104</v>
      </c>
      <c r="Z909" s="27" t="str">
        <f>TEXT(RawSalesTable3[[#This Row],[Order_Date_Clean]],"MMM YYYY")</f>
        <v>Apr 2025</v>
      </c>
      <c r="AA909" s="27"/>
      <c r="AB909" s="27">
        <f t="shared" si="103"/>
        <v>0</v>
      </c>
      <c r="AC909" s="27">
        <f t="shared" si="104"/>
        <v>0</v>
      </c>
    </row>
    <row r="910" spans="1:29">
      <c r="A910" t="s">
        <v>1010</v>
      </c>
      <c r="B910" s="3">
        <v>45760</v>
      </c>
      <c r="C910" t="s">
        <v>82</v>
      </c>
      <c r="D910" t="s">
        <v>62</v>
      </c>
      <c r="E910" t="s">
        <v>56</v>
      </c>
      <c r="F910" t="s">
        <v>63</v>
      </c>
      <c r="G910" s="6">
        <v>1</v>
      </c>
      <c r="H910" s="4">
        <v>40.99</v>
      </c>
      <c r="I910" s="4">
        <v>20.5</v>
      </c>
      <c r="J910" s="5">
        <v>0</v>
      </c>
      <c r="K910" s="6">
        <v>7</v>
      </c>
      <c r="L910" s="6">
        <v>3</v>
      </c>
      <c r="M910" t="s">
        <v>58</v>
      </c>
      <c r="N910" t="s">
        <v>59</v>
      </c>
      <c r="O910" t="s">
        <v>64</v>
      </c>
      <c r="P910" t="str">
        <f t="shared" si="98"/>
        <v>Individual</v>
      </c>
      <c r="Q910" t="str">
        <f t="shared" si="99"/>
        <v>Midlands</v>
      </c>
      <c r="R910" t="str">
        <f>PROPER(TRIM(E910))</f>
        <v>Home &amp; Kitchen</v>
      </c>
      <c r="S910" s="27">
        <f>IF(ISTEXT(B910),DATEVALUE(B910),B910)</f>
        <v>45760</v>
      </c>
      <c r="T910" s="27">
        <f>COUNTIF($A$2:$A$1986,A910)</f>
        <v>1</v>
      </c>
      <c r="U910" s="27" t="str">
        <f t="shared" si="100"/>
        <v>Electric Kettle</v>
      </c>
      <c r="V910" s="27">
        <f t="shared" si="101"/>
        <v>40.99</v>
      </c>
      <c r="W910" s="27">
        <f t="shared" si="102"/>
        <v>20.5</v>
      </c>
      <c r="X910" s="27">
        <f>RawSalesTable3[[#This Row],[Revenue]]-RawSalesTable3[[#This Row],[Total_Cost]]</f>
        <v>20.490000000000002</v>
      </c>
      <c r="Y910" s="28">
        <f>RawSalesTable3[[#This Row],[Profit]]/RawSalesTable3[[#This Row],[Revenue]]</f>
        <v>0.49987801902903151</v>
      </c>
      <c r="Z910" s="27" t="str">
        <f>TEXT(RawSalesTable3[[#This Row],[Order_Date_Clean]],"MMM YYYY")</f>
        <v>Apr 2025</v>
      </c>
      <c r="AA910" s="27"/>
      <c r="AB910" s="27">
        <f t="shared" si="103"/>
        <v>0</v>
      </c>
      <c r="AC910" s="27">
        <f t="shared" si="104"/>
        <v>0</v>
      </c>
    </row>
    <row r="911" spans="1:29">
      <c r="A911" t="s">
        <v>1011</v>
      </c>
      <c r="B911" s="3">
        <v>45764</v>
      </c>
      <c r="C911" t="s">
        <v>78</v>
      </c>
      <c r="D911" t="s">
        <v>62</v>
      </c>
      <c r="E911" t="s">
        <v>56</v>
      </c>
      <c r="F911" t="s">
        <v>89</v>
      </c>
      <c r="G911" s="6">
        <v>3</v>
      </c>
      <c r="H911" s="4">
        <v>80.47</v>
      </c>
      <c r="I911" s="4">
        <v>43.81</v>
      </c>
      <c r="J911" s="5">
        <v>0.05</v>
      </c>
      <c r="K911" s="6">
        <v>4</v>
      </c>
      <c r="L911" s="6">
        <v>5</v>
      </c>
      <c r="M911" t="s">
        <v>58</v>
      </c>
      <c r="N911" t="s">
        <v>59</v>
      </c>
      <c r="O911" t="s">
        <v>60</v>
      </c>
      <c r="P911" t="str">
        <f t="shared" si="98"/>
        <v>Individual</v>
      </c>
      <c r="Q911" t="str">
        <f t="shared" si="99"/>
        <v>London</v>
      </c>
      <c r="R911" t="str">
        <f>PROPER(TRIM(E911))</f>
        <v>Home &amp; Kitchen</v>
      </c>
      <c r="S911" s="27">
        <f>IF(ISTEXT(B911),DATEVALUE(B911),B911)</f>
        <v>45764</v>
      </c>
      <c r="T911" s="27">
        <f>COUNTIF($A$2:$A$1986,A911)</f>
        <v>1</v>
      </c>
      <c r="U911" s="27" t="str">
        <f t="shared" si="100"/>
        <v>Coffee Maker</v>
      </c>
      <c r="V911" s="27">
        <f t="shared" si="101"/>
        <v>229.33949999999999</v>
      </c>
      <c r="W911" s="27">
        <f t="shared" si="102"/>
        <v>131.43</v>
      </c>
      <c r="X911" s="27">
        <f>RawSalesTable3[[#This Row],[Revenue]]-RawSalesTable3[[#This Row],[Total_Cost]]</f>
        <v>97.90949999999998</v>
      </c>
      <c r="Y911" s="28">
        <f>RawSalesTable3[[#This Row],[Profit]]/RawSalesTable3[[#This Row],[Revenue]]</f>
        <v>0.42691947963608529</v>
      </c>
      <c r="Z911" s="27" t="str">
        <f>TEXT(RawSalesTable3[[#This Row],[Order_Date_Clean]],"MMM YYYY")</f>
        <v>Apr 2025</v>
      </c>
      <c r="AA911" s="27"/>
      <c r="AB911" s="27">
        <f t="shared" si="103"/>
        <v>0</v>
      </c>
      <c r="AC911" s="27">
        <f t="shared" si="104"/>
        <v>0</v>
      </c>
    </row>
    <row r="912" spans="1:29">
      <c r="A912" t="s">
        <v>1012</v>
      </c>
      <c r="B912" s="3">
        <v>45986</v>
      </c>
      <c r="C912" t="s">
        <v>78</v>
      </c>
      <c r="D912" t="s">
        <v>62</v>
      </c>
      <c r="E912" t="s">
        <v>75</v>
      </c>
      <c r="F912" t="s">
        <v>97</v>
      </c>
      <c r="G912" s="6">
        <v>1</v>
      </c>
      <c r="H912" s="4">
        <v>91.87</v>
      </c>
      <c r="I912" s="4">
        <v>56.34</v>
      </c>
      <c r="J912" s="5">
        <v>0.05</v>
      </c>
      <c r="K912" s="6">
        <v>6</v>
      </c>
      <c r="L912" s="6">
        <v>4</v>
      </c>
      <c r="M912" t="s">
        <v>58</v>
      </c>
      <c r="N912" t="s">
        <v>59</v>
      </c>
      <c r="O912" t="s">
        <v>64</v>
      </c>
      <c r="P912" t="str">
        <f t="shared" si="98"/>
        <v>Individual</v>
      </c>
      <c r="Q912" t="str">
        <f t="shared" si="99"/>
        <v>London</v>
      </c>
      <c r="R912" t="str">
        <f>PROPER(TRIM(E912))</f>
        <v>Furniture</v>
      </c>
      <c r="S912" s="27">
        <f>IF(ISTEXT(B912),DATEVALUE(B912),B912)</f>
        <v>45986</v>
      </c>
      <c r="T912" s="27">
        <f>COUNTIF($A$2:$A$1986,A912)</f>
        <v>1</v>
      </c>
      <c r="U912" s="27" t="str">
        <f t="shared" si="100"/>
        <v>Side Table</v>
      </c>
      <c r="V912" s="27">
        <f t="shared" si="101"/>
        <v>87.276499999999999</v>
      </c>
      <c r="W912" s="27">
        <f t="shared" si="102"/>
        <v>56.34</v>
      </c>
      <c r="X912" s="27">
        <f>RawSalesTable3[[#This Row],[Revenue]]-RawSalesTable3[[#This Row],[Total_Cost]]</f>
        <v>30.936499999999995</v>
      </c>
      <c r="Y912" s="28">
        <f>RawSalesTable3[[#This Row],[Profit]]/RawSalesTable3[[#This Row],[Revenue]]</f>
        <v>0.35446540592255643</v>
      </c>
      <c r="Z912" s="27" t="str">
        <f>TEXT(RawSalesTable3[[#This Row],[Order_Date_Clean]],"MMM YYYY")</f>
        <v>Nov 2025</v>
      </c>
      <c r="AA912" s="27"/>
      <c r="AB912" s="27">
        <f t="shared" si="103"/>
        <v>0</v>
      </c>
      <c r="AC912" s="27">
        <f t="shared" si="104"/>
        <v>0</v>
      </c>
    </row>
    <row r="913" spans="1:29">
      <c r="A913" t="s">
        <v>1013</v>
      </c>
      <c r="B913" s="3">
        <v>45856</v>
      </c>
      <c r="C913" t="s">
        <v>66</v>
      </c>
      <c r="D913" t="s">
        <v>62</v>
      </c>
      <c r="E913" t="s">
        <v>79</v>
      </c>
      <c r="F913" t="s">
        <v>85</v>
      </c>
      <c r="G913" s="6">
        <v>1</v>
      </c>
      <c r="H913" s="4">
        <v>131.65</v>
      </c>
      <c r="I913" s="4">
        <v>82.01</v>
      </c>
      <c r="J913" s="5">
        <v>0.05</v>
      </c>
      <c r="K913" s="6">
        <v>1</v>
      </c>
      <c r="L913" s="6">
        <v>3</v>
      </c>
      <c r="M913" t="s">
        <v>126</v>
      </c>
      <c r="N913" t="s">
        <v>69</v>
      </c>
      <c r="O913" t="s">
        <v>64</v>
      </c>
      <c r="P913" t="str">
        <f t="shared" si="98"/>
        <v>Individual</v>
      </c>
      <c r="Q913" t="str">
        <f t="shared" si="99"/>
        <v>South</v>
      </c>
      <c r="R913" t="str">
        <f>PROPER(TRIM(E913))</f>
        <v>Electronics</v>
      </c>
      <c r="S913" s="27">
        <f>IF(ISTEXT(B913),DATEVALUE(B913),B913)</f>
        <v>45856</v>
      </c>
      <c r="T913" s="27">
        <f>COUNTIF($A$2:$A$1986,A913)</f>
        <v>1</v>
      </c>
      <c r="U913" s="27" t="str">
        <f t="shared" si="100"/>
        <v>SmartHome Hub</v>
      </c>
      <c r="V913" s="27">
        <f t="shared" si="101"/>
        <v>125.0675</v>
      </c>
      <c r="W913" s="27">
        <f t="shared" si="102"/>
        <v>82.01</v>
      </c>
      <c r="X913" s="27">
        <f>RawSalesTable3[[#This Row],[Revenue]]-RawSalesTable3[[#This Row],[Total_Cost]]</f>
        <v>43.05749999999999</v>
      </c>
      <c r="Y913" s="28">
        <f>RawSalesTable3[[#This Row],[Profit]]/RawSalesTable3[[#This Row],[Revenue]]</f>
        <v>0.34427409199032516</v>
      </c>
      <c r="Z913" s="27" t="str">
        <f>TEXT(RawSalesTable3[[#This Row],[Order_Date_Clean]],"MMM YYYY")</f>
        <v>Jul 2025</v>
      </c>
      <c r="AA913" s="27"/>
      <c r="AB913" s="27">
        <f t="shared" si="103"/>
        <v>0</v>
      </c>
      <c r="AC913" s="27">
        <f t="shared" si="104"/>
        <v>0</v>
      </c>
    </row>
    <row r="914" spans="1:29">
      <c r="A914" t="s">
        <v>1014</v>
      </c>
      <c r="B914" s="3">
        <v>45874</v>
      </c>
      <c r="C914" t="s">
        <v>66</v>
      </c>
      <c r="D914" t="s">
        <v>62</v>
      </c>
      <c r="E914" t="s">
        <v>67</v>
      </c>
      <c r="F914" t="s">
        <v>71</v>
      </c>
      <c r="G914" s="6">
        <v>1</v>
      </c>
      <c r="H914" s="4">
        <v>72.739999999999995</v>
      </c>
      <c r="I914" s="4">
        <v>37.729999999999997</v>
      </c>
      <c r="J914" s="5">
        <v>0.05</v>
      </c>
      <c r="K914" s="6">
        <v>1</v>
      </c>
      <c r="L914" s="6">
        <v>5</v>
      </c>
      <c r="M914" t="s">
        <v>58</v>
      </c>
      <c r="N914" t="s">
        <v>69</v>
      </c>
      <c r="O914" t="s">
        <v>60</v>
      </c>
      <c r="P914" t="str">
        <f t="shared" si="98"/>
        <v>Individual</v>
      </c>
      <c r="Q914" t="str">
        <f t="shared" si="99"/>
        <v>South</v>
      </c>
      <c r="R914" t="str">
        <f>PROPER(TRIM(E914))</f>
        <v>Office</v>
      </c>
      <c r="S914" s="27">
        <f>IF(ISTEXT(B914),DATEVALUE(B914),B914)</f>
        <v>45874</v>
      </c>
      <c r="T914" s="27">
        <f>COUNTIF($A$2:$A$1986,A914)</f>
        <v>1</v>
      </c>
      <c r="U914" s="27" t="str">
        <f t="shared" si="100"/>
        <v>Ergonomic Keyboard</v>
      </c>
      <c r="V914" s="27">
        <f t="shared" si="101"/>
        <v>69.102999999999994</v>
      </c>
      <c r="W914" s="27">
        <f t="shared" si="102"/>
        <v>37.729999999999997</v>
      </c>
      <c r="X914" s="27">
        <f>RawSalesTable3[[#This Row],[Revenue]]-RawSalesTable3[[#This Row],[Total_Cost]]</f>
        <v>31.372999999999998</v>
      </c>
      <c r="Y914" s="28">
        <f>RawSalesTable3[[#This Row],[Profit]]/RawSalesTable3[[#This Row],[Revenue]]</f>
        <v>0.45400344413411864</v>
      </c>
      <c r="Z914" s="27" t="str">
        <f>TEXT(RawSalesTable3[[#This Row],[Order_Date_Clean]],"MMM YYYY")</f>
        <v>Aug 2025</v>
      </c>
      <c r="AA914" s="27"/>
      <c r="AB914" s="27">
        <f t="shared" si="103"/>
        <v>0</v>
      </c>
      <c r="AC914" s="27">
        <f t="shared" si="104"/>
        <v>0</v>
      </c>
    </row>
    <row r="915" spans="1:29">
      <c r="A915" t="s">
        <v>1015</v>
      </c>
      <c r="B915" s="3">
        <v>45765</v>
      </c>
      <c r="C915" t="s">
        <v>78</v>
      </c>
      <c r="D915" t="s">
        <v>62</v>
      </c>
      <c r="E915" t="s">
        <v>56</v>
      </c>
      <c r="F915" t="s">
        <v>57</v>
      </c>
      <c r="G915" s="6">
        <v>1</v>
      </c>
      <c r="H915" s="4">
        <v>108.33</v>
      </c>
      <c r="I915" s="4">
        <v>69.959999999999994</v>
      </c>
      <c r="J915" s="5">
        <v>0.1</v>
      </c>
      <c r="K915" s="6">
        <v>4</v>
      </c>
      <c r="L915" s="6">
        <v>5</v>
      </c>
      <c r="M915" t="s">
        <v>58</v>
      </c>
      <c r="N915" t="s">
        <v>59</v>
      </c>
      <c r="O915" t="s">
        <v>60</v>
      </c>
      <c r="P915" t="str">
        <f t="shared" si="98"/>
        <v>Individual</v>
      </c>
      <c r="Q915" t="str">
        <f t="shared" si="99"/>
        <v>London</v>
      </c>
      <c r="R915" t="str">
        <f>PROPER(TRIM(E915))</f>
        <v>Home &amp; Kitchen</v>
      </c>
      <c r="S915" s="27">
        <f>IF(ISTEXT(B915),DATEVALUE(B915),B915)</f>
        <v>45765</v>
      </c>
      <c r="T915" s="27">
        <f>COUNTIF($A$2:$A$1986,A915)</f>
        <v>1</v>
      </c>
      <c r="U915" s="27" t="str">
        <f t="shared" si="100"/>
        <v>Air Fryer</v>
      </c>
      <c r="V915" s="27">
        <f t="shared" si="101"/>
        <v>97.497</v>
      </c>
      <c r="W915" s="27">
        <f t="shared" si="102"/>
        <v>69.959999999999994</v>
      </c>
      <c r="X915" s="27">
        <f>RawSalesTable3[[#This Row],[Revenue]]-RawSalesTable3[[#This Row],[Total_Cost]]</f>
        <v>27.537000000000006</v>
      </c>
      <c r="Y915" s="28">
        <f>RawSalesTable3[[#This Row],[Profit]]/RawSalesTable3[[#This Row],[Revenue]]</f>
        <v>0.2824394596756824</v>
      </c>
      <c r="Z915" s="27" t="str">
        <f>TEXT(RawSalesTable3[[#This Row],[Order_Date_Clean]],"MMM YYYY")</f>
        <v>Apr 2025</v>
      </c>
      <c r="AA915" s="27"/>
      <c r="AB915" s="27">
        <f t="shared" si="103"/>
        <v>0</v>
      </c>
      <c r="AC915" s="27">
        <f t="shared" si="104"/>
        <v>0</v>
      </c>
    </row>
    <row r="916" spans="1:29">
      <c r="A916" t="s">
        <v>1016</v>
      </c>
      <c r="B916" s="3">
        <v>45979</v>
      </c>
      <c r="C916" t="s">
        <v>66</v>
      </c>
      <c r="D916" t="s">
        <v>62</v>
      </c>
      <c r="E916" t="s">
        <v>67</v>
      </c>
      <c r="F916" t="s">
        <v>94</v>
      </c>
      <c r="G916" s="6">
        <v>2</v>
      </c>
      <c r="H916" s="4">
        <v>35.07</v>
      </c>
      <c r="I916" s="4">
        <v>17.760000000000002</v>
      </c>
      <c r="J916" s="5">
        <v>0.2</v>
      </c>
      <c r="K916" s="6">
        <v>1</v>
      </c>
      <c r="L916" s="6">
        <v>4</v>
      </c>
      <c r="M916" t="s">
        <v>58</v>
      </c>
      <c r="N916" t="s">
        <v>69</v>
      </c>
      <c r="O916" t="s">
        <v>64</v>
      </c>
      <c r="P916" t="str">
        <f t="shared" si="98"/>
        <v>Individual</v>
      </c>
      <c r="Q916" t="str">
        <f t="shared" si="99"/>
        <v>South</v>
      </c>
      <c r="R916" t="str">
        <f>PROPER(TRIM(E916))</f>
        <v>Office</v>
      </c>
      <c r="S916" s="27">
        <f>IF(ISTEXT(B916),DATEVALUE(B916),B916)</f>
        <v>45979</v>
      </c>
      <c r="T916" s="27">
        <f>COUNTIF($A$2:$A$1986,A916)</f>
        <v>1</v>
      </c>
      <c r="U916" s="27" t="str">
        <f t="shared" si="100"/>
        <v>Wireless Mouse</v>
      </c>
      <c r="V916" s="27">
        <f t="shared" si="101"/>
        <v>56.112000000000002</v>
      </c>
      <c r="W916" s="27">
        <f t="shared" si="102"/>
        <v>35.520000000000003</v>
      </c>
      <c r="X916" s="27">
        <f>RawSalesTable3[[#This Row],[Revenue]]-RawSalesTable3[[#This Row],[Total_Cost]]</f>
        <v>20.591999999999999</v>
      </c>
      <c r="Y916" s="28">
        <f>RawSalesTable3[[#This Row],[Profit]]/RawSalesTable3[[#This Row],[Revenue]]</f>
        <v>0.36698032506415734</v>
      </c>
      <c r="Z916" s="27" t="str">
        <f>TEXT(RawSalesTable3[[#This Row],[Order_Date_Clean]],"MMM YYYY")</f>
        <v>Nov 2025</v>
      </c>
      <c r="AA916" s="27"/>
      <c r="AB916" s="27">
        <f t="shared" si="103"/>
        <v>0</v>
      </c>
      <c r="AC916" s="27">
        <f t="shared" si="104"/>
        <v>0</v>
      </c>
    </row>
    <row r="917" spans="1:29">
      <c r="A917" t="s">
        <v>1017</v>
      </c>
      <c r="B917" s="3">
        <v>46009</v>
      </c>
      <c r="C917" t="s">
        <v>82</v>
      </c>
      <c r="D917" t="s">
        <v>62</v>
      </c>
      <c r="E917" t="s">
        <v>67</v>
      </c>
      <c r="F917" t="s">
        <v>107</v>
      </c>
      <c r="G917" s="6">
        <v>4</v>
      </c>
      <c r="H917" s="4">
        <v>44.52</v>
      </c>
      <c r="I917" s="4">
        <v>20.62</v>
      </c>
      <c r="J917" s="5">
        <v>0.1</v>
      </c>
      <c r="K917" s="6">
        <v>2</v>
      </c>
      <c r="L917" s="6">
        <v>4</v>
      </c>
      <c r="M917" t="s">
        <v>58</v>
      </c>
      <c r="N917" t="s">
        <v>87</v>
      </c>
      <c r="O917" t="s">
        <v>64</v>
      </c>
      <c r="P917" t="str">
        <f t="shared" si="98"/>
        <v>Individual</v>
      </c>
      <c r="Q917" t="str">
        <f t="shared" si="99"/>
        <v>Midlands</v>
      </c>
      <c r="R917" t="str">
        <f>PROPER(TRIM(E917))</f>
        <v>Office</v>
      </c>
      <c r="S917" s="27">
        <f>IF(ISTEXT(B917),DATEVALUE(B917),B917)</f>
        <v>46009</v>
      </c>
      <c r="T917" s="27">
        <f>COUNTIF($A$2:$A$1986,A917)</f>
        <v>1</v>
      </c>
      <c r="U917" s="27" t="str">
        <f t="shared" si="100"/>
        <v>Laptop Stand</v>
      </c>
      <c r="V917" s="27">
        <f t="shared" si="101"/>
        <v>160.27200000000002</v>
      </c>
      <c r="W917" s="27">
        <f t="shared" si="102"/>
        <v>82.48</v>
      </c>
      <c r="X917" s="27">
        <f>RawSalesTable3[[#This Row],[Revenue]]-RawSalesTable3[[#This Row],[Total_Cost]]</f>
        <v>77.792000000000016</v>
      </c>
      <c r="Y917" s="28">
        <f>RawSalesTable3[[#This Row],[Profit]]/RawSalesTable3[[#This Row],[Revenue]]</f>
        <v>0.48537486273335334</v>
      </c>
      <c r="Z917" s="27" t="str">
        <f>TEXT(RawSalesTable3[[#This Row],[Order_Date_Clean]],"MMM YYYY")</f>
        <v>Dec 2025</v>
      </c>
      <c r="AA917" s="27"/>
      <c r="AB917" s="27">
        <f t="shared" si="103"/>
        <v>0</v>
      </c>
      <c r="AC917" s="27">
        <f t="shared" si="104"/>
        <v>0</v>
      </c>
    </row>
    <row r="918" spans="1:29">
      <c r="A918" t="s">
        <v>1018</v>
      </c>
      <c r="B918" s="3">
        <v>45680</v>
      </c>
      <c r="C918" t="s">
        <v>54</v>
      </c>
      <c r="D918" t="s">
        <v>62</v>
      </c>
      <c r="E918" t="s">
        <v>79</v>
      </c>
      <c r="F918" t="s">
        <v>92</v>
      </c>
      <c r="G918" s="6">
        <v>1</v>
      </c>
      <c r="H918" s="4">
        <v>49.84</v>
      </c>
      <c r="I918" s="4">
        <v>26.61</v>
      </c>
      <c r="J918" s="5">
        <v>0.05</v>
      </c>
      <c r="K918" s="6">
        <v>7</v>
      </c>
      <c r="L918" s="6">
        <v>3</v>
      </c>
      <c r="M918" t="s">
        <v>58</v>
      </c>
      <c r="N918" t="s">
        <v>59</v>
      </c>
      <c r="O918" t="s">
        <v>60</v>
      </c>
      <c r="P918" t="str">
        <f t="shared" si="98"/>
        <v>Individual</v>
      </c>
      <c r="Q918" t="str">
        <f t="shared" si="99"/>
        <v>North</v>
      </c>
      <c r="R918" t="str">
        <f>PROPER(TRIM(E918))</f>
        <v>Electronics</v>
      </c>
      <c r="S918" s="27">
        <f>IF(ISTEXT(B918),DATEVALUE(B918),B918)</f>
        <v>45680</v>
      </c>
      <c r="T918" s="27">
        <f>COUNTIF($A$2:$A$1986,A918)</f>
        <v>1</v>
      </c>
      <c r="U918" s="27" t="str">
        <f t="shared" si="100"/>
        <v>Webcam</v>
      </c>
      <c r="V918" s="27">
        <f t="shared" si="101"/>
        <v>47.347999999999999</v>
      </c>
      <c r="W918" s="27">
        <f t="shared" si="102"/>
        <v>26.61</v>
      </c>
      <c r="X918" s="27">
        <f>RawSalesTable3[[#This Row],[Revenue]]-RawSalesTable3[[#This Row],[Total_Cost]]</f>
        <v>20.738</v>
      </c>
      <c r="Y918" s="28">
        <f>RawSalesTable3[[#This Row],[Profit]]/RawSalesTable3[[#This Row],[Revenue]]</f>
        <v>0.43799104502830111</v>
      </c>
      <c r="Z918" s="27" t="str">
        <f>TEXT(RawSalesTable3[[#This Row],[Order_Date_Clean]],"MMM YYYY")</f>
        <v>Jan 2025</v>
      </c>
      <c r="AA918" s="27"/>
      <c r="AB918" s="27">
        <f t="shared" si="103"/>
        <v>0</v>
      </c>
      <c r="AC918" s="27">
        <f t="shared" si="104"/>
        <v>0</v>
      </c>
    </row>
    <row r="919" spans="1:29">
      <c r="A919" t="s">
        <v>1019</v>
      </c>
      <c r="B919" s="3">
        <v>45867</v>
      </c>
      <c r="C919" t="s">
        <v>82</v>
      </c>
      <c r="D919" t="s">
        <v>55</v>
      </c>
      <c r="E919" t="s">
        <v>79</v>
      </c>
      <c r="F919" t="s">
        <v>92</v>
      </c>
      <c r="G919" s="6">
        <v>4</v>
      </c>
      <c r="H919" s="4">
        <v>51.73</v>
      </c>
      <c r="I919" s="4">
        <v>27.1</v>
      </c>
      <c r="J919" s="5">
        <v>0.1</v>
      </c>
      <c r="K919" s="6">
        <v>4</v>
      </c>
      <c r="L919" s="6">
        <v>4</v>
      </c>
      <c r="M919" t="s">
        <v>58</v>
      </c>
      <c r="N919" t="s">
        <v>59</v>
      </c>
      <c r="O919" t="s">
        <v>73</v>
      </c>
      <c r="P919" t="str">
        <f t="shared" si="98"/>
        <v>Small Business</v>
      </c>
      <c r="Q919" t="str">
        <f t="shared" si="99"/>
        <v>Midlands</v>
      </c>
      <c r="R919" t="str">
        <f>PROPER(TRIM(E919))</f>
        <v>Electronics</v>
      </c>
      <c r="S919" s="27">
        <f>IF(ISTEXT(B919),DATEVALUE(B919),B919)</f>
        <v>45867</v>
      </c>
      <c r="T919" s="27">
        <f>COUNTIF($A$2:$A$1986,A919)</f>
        <v>1</v>
      </c>
      <c r="U919" s="27" t="str">
        <f t="shared" si="100"/>
        <v>Webcam</v>
      </c>
      <c r="V919" s="27">
        <f t="shared" si="101"/>
        <v>186.22799999999998</v>
      </c>
      <c r="W919" s="27">
        <f t="shared" si="102"/>
        <v>108.4</v>
      </c>
      <c r="X919" s="27">
        <f>RawSalesTable3[[#This Row],[Revenue]]-RawSalesTable3[[#This Row],[Total_Cost]]</f>
        <v>77.827999999999975</v>
      </c>
      <c r="Y919" s="28">
        <f>RawSalesTable3[[#This Row],[Profit]]/RawSalesTable3[[#This Row],[Revenue]]</f>
        <v>0.41791782116545301</v>
      </c>
      <c r="Z919" s="27" t="str">
        <f>TEXT(RawSalesTable3[[#This Row],[Order_Date_Clean]],"MMM YYYY")</f>
        <v>Jul 2025</v>
      </c>
      <c r="AA919" s="27"/>
      <c r="AB919" s="27">
        <f t="shared" si="103"/>
        <v>0</v>
      </c>
      <c r="AC919" s="27">
        <f t="shared" si="104"/>
        <v>0</v>
      </c>
    </row>
    <row r="920" spans="1:29">
      <c r="A920" t="s">
        <v>1020</v>
      </c>
      <c r="B920" s="3">
        <v>45716</v>
      </c>
      <c r="C920" t="s">
        <v>66</v>
      </c>
      <c r="D920" t="s">
        <v>62</v>
      </c>
      <c r="E920" t="s">
        <v>79</v>
      </c>
      <c r="F920" t="s">
        <v>80</v>
      </c>
      <c r="G920" s="6">
        <v>4</v>
      </c>
      <c r="H920" s="4">
        <v>73.540000000000006</v>
      </c>
      <c r="I920" s="4">
        <v>44.74</v>
      </c>
      <c r="J920" s="5">
        <v>0.05</v>
      </c>
      <c r="K920" s="6">
        <v>4</v>
      </c>
      <c r="L920" s="6">
        <v>4</v>
      </c>
      <c r="M920" t="s">
        <v>58</v>
      </c>
      <c r="N920" t="s">
        <v>69</v>
      </c>
      <c r="O920" t="s">
        <v>73</v>
      </c>
      <c r="P920" t="str">
        <f t="shared" si="98"/>
        <v>Individual</v>
      </c>
      <c r="Q920" t="str">
        <f t="shared" si="99"/>
        <v>South</v>
      </c>
      <c r="R920" t="str">
        <f>PROPER(TRIM(E920))</f>
        <v>Electronics</v>
      </c>
      <c r="S920" s="27">
        <f>IF(ISTEXT(B920),DATEVALUE(B920),B920)</f>
        <v>45716</v>
      </c>
      <c r="T920" s="27">
        <f>COUNTIF($A$2:$A$1986,A920)</f>
        <v>1</v>
      </c>
      <c r="U920" s="27" t="str">
        <f t="shared" si="100"/>
        <v>Portable Speaker</v>
      </c>
      <c r="V920" s="27">
        <f t="shared" si="101"/>
        <v>279.452</v>
      </c>
      <c r="W920" s="27">
        <f t="shared" si="102"/>
        <v>178.96</v>
      </c>
      <c r="X920" s="27">
        <f>RawSalesTable3[[#This Row],[Revenue]]-RawSalesTable3[[#This Row],[Total_Cost]]</f>
        <v>100.49199999999999</v>
      </c>
      <c r="Y920" s="28">
        <f>RawSalesTable3[[#This Row],[Profit]]/RawSalesTable3[[#This Row],[Revenue]]</f>
        <v>0.35960379600074427</v>
      </c>
      <c r="Z920" s="27" t="str">
        <f>TEXT(RawSalesTable3[[#This Row],[Order_Date_Clean]],"MMM YYYY")</f>
        <v>Feb 2025</v>
      </c>
      <c r="AA920" s="27"/>
      <c r="AB920" s="27">
        <f t="shared" si="103"/>
        <v>0</v>
      </c>
      <c r="AC920" s="27">
        <f t="shared" si="104"/>
        <v>0</v>
      </c>
    </row>
    <row r="921" spans="1:29">
      <c r="A921" t="s">
        <v>1021</v>
      </c>
      <c r="B921" s="3">
        <v>46005</v>
      </c>
      <c r="C921" t="s">
        <v>54</v>
      </c>
      <c r="D921" t="s">
        <v>129</v>
      </c>
      <c r="E921" t="s">
        <v>56</v>
      </c>
      <c r="F921" t="s">
        <v>89</v>
      </c>
      <c r="G921" s="6">
        <v>4</v>
      </c>
      <c r="H921" s="4">
        <v>80.08</v>
      </c>
      <c r="I921" s="4">
        <v>44.08</v>
      </c>
      <c r="J921" s="5">
        <v>0.2</v>
      </c>
      <c r="K921" s="6">
        <v>4</v>
      </c>
      <c r="L921" s="6">
        <v>5</v>
      </c>
      <c r="M921" t="s">
        <v>58</v>
      </c>
      <c r="N921" t="s">
        <v>87</v>
      </c>
      <c r="O921" t="s">
        <v>73</v>
      </c>
      <c r="P921" t="str">
        <f t="shared" si="98"/>
        <v>Corporate</v>
      </c>
      <c r="Q921" t="str">
        <f t="shared" si="99"/>
        <v>North</v>
      </c>
      <c r="R921" t="str">
        <f>PROPER(TRIM(E921))</f>
        <v>Home &amp; Kitchen</v>
      </c>
      <c r="S921" s="27">
        <f>IF(ISTEXT(B921),DATEVALUE(B921),B921)</f>
        <v>46005</v>
      </c>
      <c r="T921" s="27">
        <f>COUNTIF($A$2:$A$1986,A921)</f>
        <v>1</v>
      </c>
      <c r="U921" s="27" t="str">
        <f t="shared" si="100"/>
        <v>Coffee Maker</v>
      </c>
      <c r="V921" s="27">
        <f t="shared" si="101"/>
        <v>256.25600000000003</v>
      </c>
      <c r="W921" s="27">
        <f t="shared" si="102"/>
        <v>176.32</v>
      </c>
      <c r="X921" s="27">
        <f>RawSalesTable3[[#This Row],[Revenue]]-RawSalesTable3[[#This Row],[Total_Cost]]</f>
        <v>79.936000000000035</v>
      </c>
      <c r="Y921" s="28">
        <f>RawSalesTable3[[#This Row],[Profit]]/RawSalesTable3[[#This Row],[Revenue]]</f>
        <v>0.31193806193806206</v>
      </c>
      <c r="Z921" s="27" t="str">
        <f>TEXT(RawSalesTable3[[#This Row],[Order_Date_Clean]],"MMM YYYY")</f>
        <v>Dec 2025</v>
      </c>
      <c r="AA921" s="27"/>
      <c r="AB921" s="27">
        <f t="shared" si="103"/>
        <v>0</v>
      </c>
      <c r="AC921" s="27">
        <f t="shared" si="104"/>
        <v>0</v>
      </c>
    </row>
    <row r="922" spans="1:29">
      <c r="A922" t="s">
        <v>1022</v>
      </c>
      <c r="B922" s="3">
        <v>45740</v>
      </c>
      <c r="C922" t="s">
        <v>78</v>
      </c>
      <c r="D922" t="s">
        <v>62</v>
      </c>
      <c r="E922" t="s">
        <v>79</v>
      </c>
      <c r="F922" t="s">
        <v>85</v>
      </c>
      <c r="G922" s="6">
        <v>4</v>
      </c>
      <c r="H922" s="4">
        <v>132.51</v>
      </c>
      <c r="I922" s="4">
        <v>83.83</v>
      </c>
      <c r="J922" s="5">
        <v>0</v>
      </c>
      <c r="K922" s="6">
        <v>3</v>
      </c>
      <c r="L922" s="6">
        <v>4</v>
      </c>
      <c r="M922" t="s">
        <v>58</v>
      </c>
      <c r="N922" t="s">
        <v>59</v>
      </c>
      <c r="O922" t="s">
        <v>64</v>
      </c>
      <c r="P922" t="str">
        <f t="shared" si="98"/>
        <v>Individual</v>
      </c>
      <c r="Q922" t="str">
        <f t="shared" si="99"/>
        <v>London</v>
      </c>
      <c r="R922" t="str">
        <f>PROPER(TRIM(E922))</f>
        <v>Electronics</v>
      </c>
      <c r="S922" s="27">
        <f>IF(ISTEXT(B922),DATEVALUE(B922),B922)</f>
        <v>45740</v>
      </c>
      <c r="T922" s="27">
        <f>COUNTIF($A$2:$A$1986,A922)</f>
        <v>1</v>
      </c>
      <c r="U922" s="27" t="str">
        <f t="shared" si="100"/>
        <v>SmartHome Hub</v>
      </c>
      <c r="V922" s="27">
        <f t="shared" si="101"/>
        <v>530.04</v>
      </c>
      <c r="W922" s="27">
        <f t="shared" si="102"/>
        <v>335.32</v>
      </c>
      <c r="X922" s="27">
        <f>RawSalesTable3[[#This Row],[Revenue]]-RawSalesTable3[[#This Row],[Total_Cost]]</f>
        <v>194.71999999999997</v>
      </c>
      <c r="Y922" s="28">
        <f>RawSalesTable3[[#This Row],[Profit]]/RawSalesTable3[[#This Row],[Revenue]]</f>
        <v>0.36736850049052899</v>
      </c>
      <c r="Z922" s="27" t="str">
        <f>TEXT(RawSalesTable3[[#This Row],[Order_Date_Clean]],"MMM YYYY")</f>
        <v>Mar 2025</v>
      </c>
      <c r="AA922" s="27"/>
      <c r="AB922" s="27">
        <f t="shared" si="103"/>
        <v>0</v>
      </c>
      <c r="AC922" s="27">
        <f t="shared" si="104"/>
        <v>0</v>
      </c>
    </row>
    <row r="923" spans="1:29">
      <c r="A923" t="s">
        <v>1023</v>
      </c>
      <c r="B923" s="3">
        <v>45853</v>
      </c>
      <c r="C923" t="s">
        <v>78</v>
      </c>
      <c r="D923" t="s">
        <v>62</v>
      </c>
      <c r="E923" t="s">
        <v>56</v>
      </c>
      <c r="F923" t="s">
        <v>63</v>
      </c>
      <c r="G923" s="6">
        <v>3</v>
      </c>
      <c r="H923" s="4">
        <v>39.56</v>
      </c>
      <c r="I923" s="4">
        <v>19.86</v>
      </c>
      <c r="J923" s="5">
        <v>0</v>
      </c>
      <c r="K923" s="6">
        <v>1</v>
      </c>
      <c r="L923" s="6">
        <v>5</v>
      </c>
      <c r="M923" t="s">
        <v>58</v>
      </c>
      <c r="N923" t="s">
        <v>69</v>
      </c>
      <c r="O923" t="s">
        <v>64</v>
      </c>
      <c r="P923" t="str">
        <f t="shared" si="98"/>
        <v>Individual</v>
      </c>
      <c r="Q923" t="str">
        <f t="shared" si="99"/>
        <v>London</v>
      </c>
      <c r="R923" t="str">
        <f>PROPER(TRIM(E923))</f>
        <v>Home &amp; Kitchen</v>
      </c>
      <c r="S923" s="27">
        <f>IF(ISTEXT(B923),DATEVALUE(B923),B923)</f>
        <v>45853</v>
      </c>
      <c r="T923" s="27">
        <f>COUNTIF($A$2:$A$1986,A923)</f>
        <v>1</v>
      </c>
      <c r="U923" s="27" t="str">
        <f t="shared" si="100"/>
        <v>Electric Kettle</v>
      </c>
      <c r="V923" s="27">
        <f t="shared" si="101"/>
        <v>118.68</v>
      </c>
      <c r="W923" s="27">
        <f t="shared" si="102"/>
        <v>59.58</v>
      </c>
      <c r="X923" s="27">
        <f>RawSalesTable3[[#This Row],[Revenue]]-RawSalesTable3[[#This Row],[Total_Cost]]</f>
        <v>59.100000000000009</v>
      </c>
      <c r="Y923" s="28">
        <f>RawSalesTable3[[#This Row],[Profit]]/RawSalesTable3[[#This Row],[Revenue]]</f>
        <v>0.49797775530839233</v>
      </c>
      <c r="Z923" s="27" t="str">
        <f>TEXT(RawSalesTable3[[#This Row],[Order_Date_Clean]],"MMM YYYY")</f>
        <v>Jul 2025</v>
      </c>
      <c r="AA923" s="27"/>
      <c r="AB923" s="27">
        <f t="shared" si="103"/>
        <v>0</v>
      </c>
      <c r="AC923" s="27">
        <f t="shared" si="104"/>
        <v>0</v>
      </c>
    </row>
    <row r="924" spans="1:29">
      <c r="A924" t="s">
        <v>1024</v>
      </c>
      <c r="B924" s="3">
        <v>45948</v>
      </c>
      <c r="C924" t="s">
        <v>66</v>
      </c>
      <c r="D924" t="s">
        <v>62</v>
      </c>
      <c r="E924" t="s">
        <v>56</v>
      </c>
      <c r="F924" t="s">
        <v>57</v>
      </c>
      <c r="G924" s="6">
        <v>1</v>
      </c>
      <c r="H924" s="4">
        <v>112.06</v>
      </c>
      <c r="I924" s="4">
        <v>67.239999999999995</v>
      </c>
      <c r="J924" s="5">
        <v>0.1</v>
      </c>
      <c r="K924" s="6">
        <v>2</v>
      </c>
      <c r="L924" s="6">
        <v>5</v>
      </c>
      <c r="M924" t="s">
        <v>58</v>
      </c>
      <c r="N924" t="s">
        <v>69</v>
      </c>
      <c r="O924" t="s">
        <v>60</v>
      </c>
      <c r="P924" t="str">
        <f t="shared" si="98"/>
        <v>Individual</v>
      </c>
      <c r="Q924" t="str">
        <f t="shared" si="99"/>
        <v>South</v>
      </c>
      <c r="R924" t="str">
        <f>PROPER(TRIM(E924))</f>
        <v>Home &amp; Kitchen</v>
      </c>
      <c r="S924" s="27">
        <f>IF(ISTEXT(B924),DATEVALUE(B924),B924)</f>
        <v>45948</v>
      </c>
      <c r="T924" s="27">
        <f>COUNTIF($A$2:$A$1986,A924)</f>
        <v>1</v>
      </c>
      <c r="U924" s="27" t="str">
        <f t="shared" si="100"/>
        <v>Air Fryer</v>
      </c>
      <c r="V924" s="27">
        <f t="shared" si="101"/>
        <v>100.854</v>
      </c>
      <c r="W924" s="27">
        <f t="shared" si="102"/>
        <v>67.239999999999995</v>
      </c>
      <c r="X924" s="27">
        <f>RawSalesTable3[[#This Row],[Revenue]]-RawSalesTable3[[#This Row],[Total_Cost]]</f>
        <v>33.614000000000004</v>
      </c>
      <c r="Y924" s="28">
        <f>RawSalesTable3[[#This Row],[Profit]]/RawSalesTable3[[#This Row],[Revenue]]</f>
        <v>0.33329367204077187</v>
      </c>
      <c r="Z924" s="27" t="str">
        <f>TEXT(RawSalesTable3[[#This Row],[Order_Date_Clean]],"MMM YYYY")</f>
        <v>Oct 2025</v>
      </c>
      <c r="AA924" s="27"/>
      <c r="AB924" s="27">
        <f t="shared" si="103"/>
        <v>0</v>
      </c>
      <c r="AC924" s="27">
        <f t="shared" si="104"/>
        <v>0</v>
      </c>
    </row>
    <row r="925" spans="1:29">
      <c r="A925" t="s">
        <v>1025</v>
      </c>
      <c r="B925" s="3">
        <v>45821</v>
      </c>
      <c r="C925" t="s">
        <v>66</v>
      </c>
      <c r="D925" t="s">
        <v>62</v>
      </c>
      <c r="E925" t="s">
        <v>67</v>
      </c>
      <c r="F925" t="s">
        <v>71</v>
      </c>
      <c r="G925" s="6">
        <v>1</v>
      </c>
      <c r="H925" s="4">
        <v>71.150000000000006</v>
      </c>
      <c r="I925" s="4">
        <v>36.9</v>
      </c>
      <c r="J925" s="5">
        <v>0</v>
      </c>
      <c r="K925" s="6">
        <v>0</v>
      </c>
      <c r="L925" s="6">
        <v>4</v>
      </c>
      <c r="M925" t="s">
        <v>58</v>
      </c>
      <c r="N925" t="s">
        <v>69</v>
      </c>
      <c r="O925" t="s">
        <v>60</v>
      </c>
      <c r="P925" t="str">
        <f t="shared" si="98"/>
        <v>Individual</v>
      </c>
      <c r="Q925" t="str">
        <f t="shared" si="99"/>
        <v>South</v>
      </c>
      <c r="R925" t="str">
        <f>PROPER(TRIM(E925))</f>
        <v>Office</v>
      </c>
      <c r="S925" s="27">
        <f>IF(ISTEXT(B925),DATEVALUE(B925),B925)</f>
        <v>45821</v>
      </c>
      <c r="T925" s="27">
        <f>COUNTIF($A$2:$A$1986,A925)</f>
        <v>1</v>
      </c>
      <c r="U925" s="27" t="str">
        <f t="shared" si="100"/>
        <v>Ergonomic Keyboard</v>
      </c>
      <c r="V925" s="27">
        <f t="shared" si="101"/>
        <v>71.150000000000006</v>
      </c>
      <c r="W925" s="27">
        <f t="shared" si="102"/>
        <v>36.9</v>
      </c>
      <c r="X925" s="27">
        <f>RawSalesTable3[[#This Row],[Revenue]]-RawSalesTable3[[#This Row],[Total_Cost]]</f>
        <v>34.250000000000007</v>
      </c>
      <c r="Y925" s="28">
        <f>RawSalesTable3[[#This Row],[Profit]]/RawSalesTable3[[#This Row],[Revenue]]</f>
        <v>0.48137737174982437</v>
      </c>
      <c r="Z925" s="27" t="str">
        <f>TEXT(RawSalesTable3[[#This Row],[Order_Date_Clean]],"MMM YYYY")</f>
        <v>Jun 2025</v>
      </c>
      <c r="AA925" s="27"/>
      <c r="AB925" s="27">
        <f t="shared" si="103"/>
        <v>0</v>
      </c>
      <c r="AC925" s="27">
        <f t="shared" si="104"/>
        <v>0</v>
      </c>
    </row>
    <row r="926" spans="1:29">
      <c r="A926" t="s">
        <v>1026</v>
      </c>
      <c r="B926" s="3">
        <v>45742</v>
      </c>
      <c r="C926" t="s">
        <v>66</v>
      </c>
      <c r="D926" t="s">
        <v>129</v>
      </c>
      <c r="E926" t="s">
        <v>79</v>
      </c>
      <c r="F926" t="s">
        <v>92</v>
      </c>
      <c r="G926" s="6">
        <v>6</v>
      </c>
      <c r="H926" s="4">
        <v>51.78</v>
      </c>
      <c r="I926" s="4">
        <v>26.32</v>
      </c>
      <c r="J926" s="5">
        <v>0.05</v>
      </c>
      <c r="K926" s="6">
        <v>4</v>
      </c>
      <c r="L926" s="6">
        <v>4</v>
      </c>
      <c r="M926" t="s">
        <v>58</v>
      </c>
      <c r="N926" t="s">
        <v>59</v>
      </c>
      <c r="O926" t="s">
        <v>73</v>
      </c>
      <c r="P926" t="str">
        <f t="shared" si="98"/>
        <v>Corporate</v>
      </c>
      <c r="Q926" t="str">
        <f t="shared" si="99"/>
        <v>South</v>
      </c>
      <c r="R926" t="str">
        <f>PROPER(TRIM(E926))</f>
        <v>Electronics</v>
      </c>
      <c r="S926" s="27">
        <f>IF(ISTEXT(B926),DATEVALUE(B926),B926)</f>
        <v>45742</v>
      </c>
      <c r="T926" s="27">
        <f>COUNTIF($A$2:$A$1986,A926)</f>
        <v>1</v>
      </c>
      <c r="U926" s="27" t="str">
        <f t="shared" si="100"/>
        <v>Webcam</v>
      </c>
      <c r="V926" s="27">
        <f t="shared" si="101"/>
        <v>295.14600000000002</v>
      </c>
      <c r="W926" s="27">
        <f t="shared" si="102"/>
        <v>157.92000000000002</v>
      </c>
      <c r="X926" s="27">
        <f>RawSalesTable3[[#This Row],[Revenue]]-RawSalesTable3[[#This Row],[Total_Cost]]</f>
        <v>137.226</v>
      </c>
      <c r="Y926" s="28">
        <f>RawSalesTable3[[#This Row],[Profit]]/RawSalesTable3[[#This Row],[Revenue]]</f>
        <v>0.46494277408469026</v>
      </c>
      <c r="Z926" s="27" t="str">
        <f>TEXT(RawSalesTable3[[#This Row],[Order_Date_Clean]],"MMM YYYY")</f>
        <v>Mar 2025</v>
      </c>
      <c r="AA926" s="27"/>
      <c r="AB926" s="27">
        <f t="shared" si="103"/>
        <v>0</v>
      </c>
      <c r="AC926" s="27">
        <f t="shared" si="104"/>
        <v>0</v>
      </c>
    </row>
    <row r="927" spans="1:29">
      <c r="A927" t="s">
        <v>1027</v>
      </c>
      <c r="B927" s="3">
        <v>45783</v>
      </c>
      <c r="C927" t="s">
        <v>54</v>
      </c>
      <c r="D927" t="s">
        <v>62</v>
      </c>
      <c r="E927" t="s">
        <v>67</v>
      </c>
      <c r="F927" t="s">
        <v>94</v>
      </c>
      <c r="G927" s="6">
        <v>3</v>
      </c>
      <c r="H927" s="4">
        <v>36.229999999999997</v>
      </c>
      <c r="I927" s="4">
        <v>16.96</v>
      </c>
      <c r="J927" s="5">
        <v>0</v>
      </c>
      <c r="K927" s="6">
        <v>1</v>
      </c>
      <c r="L927" s="6">
        <v>5</v>
      </c>
      <c r="M927" t="s">
        <v>58</v>
      </c>
      <c r="N927" t="s">
        <v>87</v>
      </c>
      <c r="O927" t="s">
        <v>73</v>
      </c>
      <c r="P927" t="str">
        <f t="shared" si="98"/>
        <v>Individual</v>
      </c>
      <c r="Q927" t="str">
        <f t="shared" si="99"/>
        <v>North</v>
      </c>
      <c r="R927" t="str">
        <f>PROPER(TRIM(E927))</f>
        <v>Office</v>
      </c>
      <c r="S927" s="27">
        <f>IF(ISTEXT(B927),DATEVALUE(B927),B927)</f>
        <v>45783</v>
      </c>
      <c r="T927" s="27">
        <f>COUNTIF($A$2:$A$1986,A927)</f>
        <v>1</v>
      </c>
      <c r="U927" s="27" t="str">
        <f t="shared" si="100"/>
        <v>Wireless Mouse</v>
      </c>
      <c r="V927" s="27">
        <f t="shared" si="101"/>
        <v>108.69</v>
      </c>
      <c r="W927" s="27">
        <f t="shared" si="102"/>
        <v>50.88</v>
      </c>
      <c r="X927" s="27">
        <f>RawSalesTable3[[#This Row],[Revenue]]-RawSalesTable3[[#This Row],[Total_Cost]]</f>
        <v>57.809999999999995</v>
      </c>
      <c r="Y927" s="28">
        <f>RawSalesTable3[[#This Row],[Profit]]/RawSalesTable3[[#This Row],[Revenue]]</f>
        <v>0.53187965774220258</v>
      </c>
      <c r="Z927" s="27" t="str">
        <f>TEXT(RawSalesTable3[[#This Row],[Order_Date_Clean]],"MMM YYYY")</f>
        <v>May 2025</v>
      </c>
      <c r="AA927" s="27"/>
      <c r="AB927" s="27">
        <f t="shared" si="103"/>
        <v>0</v>
      </c>
      <c r="AC927" s="27">
        <f t="shared" si="104"/>
        <v>0</v>
      </c>
    </row>
    <row r="928" spans="1:29">
      <c r="A928" t="s">
        <v>1028</v>
      </c>
      <c r="B928" s="3">
        <v>45952</v>
      </c>
      <c r="C928" t="s">
        <v>54</v>
      </c>
      <c r="D928" t="s">
        <v>55</v>
      </c>
      <c r="E928" t="s">
        <v>79</v>
      </c>
      <c r="F928" t="s">
        <v>85</v>
      </c>
      <c r="G928" s="6">
        <v>5</v>
      </c>
      <c r="H928" s="4">
        <v>132.47999999999999</v>
      </c>
      <c r="I928" s="4">
        <v>85.34</v>
      </c>
      <c r="J928" s="5">
        <v>0</v>
      </c>
      <c r="K928" s="6">
        <v>0</v>
      </c>
      <c r="L928" s="6">
        <v>3</v>
      </c>
      <c r="M928" t="s">
        <v>126</v>
      </c>
      <c r="N928" t="s">
        <v>69</v>
      </c>
      <c r="O928" t="s">
        <v>64</v>
      </c>
      <c r="P928" t="str">
        <f t="shared" si="98"/>
        <v>Small Business</v>
      </c>
      <c r="Q928" t="str">
        <f t="shared" si="99"/>
        <v>North</v>
      </c>
      <c r="R928" t="str">
        <f>PROPER(TRIM(E928))</f>
        <v>Electronics</v>
      </c>
      <c r="S928" s="27">
        <f>IF(ISTEXT(B928),DATEVALUE(B928),B928)</f>
        <v>45952</v>
      </c>
      <c r="T928" s="27">
        <f>COUNTIF($A$2:$A$1986,A928)</f>
        <v>1</v>
      </c>
      <c r="U928" s="27" t="str">
        <f t="shared" si="100"/>
        <v>SmartHome Hub</v>
      </c>
      <c r="V928" s="27">
        <f t="shared" si="101"/>
        <v>662.4</v>
      </c>
      <c r="W928" s="27">
        <f t="shared" si="102"/>
        <v>426.70000000000005</v>
      </c>
      <c r="X928" s="27">
        <f>RawSalesTable3[[#This Row],[Revenue]]-RawSalesTable3[[#This Row],[Total_Cost]]</f>
        <v>235.69999999999993</v>
      </c>
      <c r="Y928" s="28">
        <f>RawSalesTable3[[#This Row],[Profit]]/RawSalesTable3[[#This Row],[Revenue]]</f>
        <v>0.35582729468599023</v>
      </c>
      <c r="Z928" s="27" t="str">
        <f>TEXT(RawSalesTable3[[#This Row],[Order_Date_Clean]],"MMM YYYY")</f>
        <v>Oct 2025</v>
      </c>
      <c r="AA928" s="27"/>
      <c r="AB928" s="27">
        <f t="shared" si="103"/>
        <v>0</v>
      </c>
      <c r="AC928" s="27">
        <f t="shared" si="104"/>
        <v>0</v>
      </c>
    </row>
    <row r="929" spans="1:29">
      <c r="A929" t="s">
        <v>1029</v>
      </c>
      <c r="B929" s="3">
        <v>46014</v>
      </c>
      <c r="C929" t="s">
        <v>78</v>
      </c>
      <c r="D929" t="s">
        <v>62</v>
      </c>
      <c r="E929" t="s">
        <v>56</v>
      </c>
      <c r="F929" t="s">
        <v>83</v>
      </c>
      <c r="G929" s="6">
        <v>1</v>
      </c>
      <c r="H929" s="4">
        <v>64.81</v>
      </c>
      <c r="I929" s="4">
        <v>35.76</v>
      </c>
      <c r="J929" s="5">
        <v>0.15000000000000002</v>
      </c>
      <c r="K929" s="6">
        <v>2</v>
      </c>
      <c r="L929" s="6">
        <v>4</v>
      </c>
      <c r="M929" t="s">
        <v>58</v>
      </c>
      <c r="N929" t="s">
        <v>59</v>
      </c>
      <c r="O929" t="s">
        <v>64</v>
      </c>
      <c r="P929" t="str">
        <f t="shared" si="98"/>
        <v>Individual</v>
      </c>
      <c r="Q929" t="str">
        <f t="shared" si="99"/>
        <v>London</v>
      </c>
      <c r="R929" t="str">
        <f>PROPER(TRIM(E929))</f>
        <v>Home &amp; Kitchen</v>
      </c>
      <c r="S929" s="27">
        <f>IF(ISTEXT(B929),DATEVALUE(B929),B929)</f>
        <v>46014</v>
      </c>
      <c r="T929" s="27">
        <f>COUNTIF($A$2:$A$1986,A929)</f>
        <v>1</v>
      </c>
      <c r="U929" s="27" t="str">
        <f t="shared" si="100"/>
        <v>Blender</v>
      </c>
      <c r="V929" s="27">
        <f t="shared" si="101"/>
        <v>55.088500000000003</v>
      </c>
      <c r="W929" s="27">
        <f t="shared" si="102"/>
        <v>35.76</v>
      </c>
      <c r="X929" s="27">
        <f>RawSalesTable3[[#This Row],[Revenue]]-RawSalesTable3[[#This Row],[Total_Cost]]</f>
        <v>19.328500000000005</v>
      </c>
      <c r="Y929" s="28">
        <f>RawSalesTable3[[#This Row],[Profit]]/RawSalesTable3[[#This Row],[Revenue]]</f>
        <v>0.35086270274195164</v>
      </c>
      <c r="Z929" s="27" t="str">
        <f>TEXT(RawSalesTable3[[#This Row],[Order_Date_Clean]],"MMM YYYY")</f>
        <v>Dec 2025</v>
      </c>
      <c r="AA929" s="27"/>
      <c r="AB929" s="27">
        <f t="shared" si="103"/>
        <v>0</v>
      </c>
      <c r="AC929" s="27">
        <f t="shared" si="104"/>
        <v>0</v>
      </c>
    </row>
    <row r="930" spans="1:29">
      <c r="A930" t="s">
        <v>1030</v>
      </c>
      <c r="B930" s="3">
        <v>46008</v>
      </c>
      <c r="C930" t="s">
        <v>66</v>
      </c>
      <c r="D930" t="s">
        <v>55</v>
      </c>
      <c r="E930" t="s">
        <v>79</v>
      </c>
      <c r="F930" t="s">
        <v>85</v>
      </c>
      <c r="G930" s="6">
        <v>2</v>
      </c>
      <c r="H930" s="4">
        <v>134.74</v>
      </c>
      <c r="I930" s="4">
        <v>85.81</v>
      </c>
      <c r="J930" s="5">
        <v>0.2</v>
      </c>
      <c r="K930" s="6">
        <v>3</v>
      </c>
      <c r="L930" s="6">
        <v>3</v>
      </c>
      <c r="M930" t="s">
        <v>126</v>
      </c>
      <c r="N930" t="s">
        <v>69</v>
      </c>
      <c r="O930" t="s">
        <v>73</v>
      </c>
      <c r="P930" t="str">
        <f t="shared" si="98"/>
        <v>Small Business</v>
      </c>
      <c r="Q930" t="str">
        <f t="shared" si="99"/>
        <v>South</v>
      </c>
      <c r="R930" t="str">
        <f>PROPER(TRIM(E930))</f>
        <v>Electronics</v>
      </c>
      <c r="S930" s="27">
        <f>IF(ISTEXT(B930),DATEVALUE(B930),B930)</f>
        <v>46008</v>
      </c>
      <c r="T930" s="27">
        <f>COUNTIF($A$2:$A$1986,A930)</f>
        <v>1</v>
      </c>
      <c r="U930" s="27" t="str">
        <f t="shared" si="100"/>
        <v>SmartHome Hub</v>
      </c>
      <c r="V930" s="27">
        <f t="shared" si="101"/>
        <v>215.58400000000003</v>
      </c>
      <c r="W930" s="27">
        <f t="shared" si="102"/>
        <v>171.62</v>
      </c>
      <c r="X930" s="27">
        <f>RawSalesTable3[[#This Row],[Revenue]]-RawSalesTable3[[#This Row],[Total_Cost]]</f>
        <v>43.964000000000027</v>
      </c>
      <c r="Y930" s="28">
        <f>RawSalesTable3[[#This Row],[Profit]]/RawSalesTable3[[#This Row],[Revenue]]</f>
        <v>0.20392979070803038</v>
      </c>
      <c r="Z930" s="27" t="str">
        <f>TEXT(RawSalesTable3[[#This Row],[Order_Date_Clean]],"MMM YYYY")</f>
        <v>Dec 2025</v>
      </c>
      <c r="AA930" s="27"/>
      <c r="AB930" s="27">
        <f t="shared" si="103"/>
        <v>0</v>
      </c>
      <c r="AC930" s="27">
        <f t="shared" si="104"/>
        <v>0</v>
      </c>
    </row>
    <row r="931" spans="1:29">
      <c r="A931" t="s">
        <v>1031</v>
      </c>
      <c r="B931" s="3">
        <v>46000</v>
      </c>
      <c r="C931" t="s">
        <v>82</v>
      </c>
      <c r="D931" t="s">
        <v>62</v>
      </c>
      <c r="E931" t="s">
        <v>67</v>
      </c>
      <c r="F931" t="s">
        <v>107</v>
      </c>
      <c r="G931" s="6">
        <v>2</v>
      </c>
      <c r="H931" s="4">
        <v>43.82</v>
      </c>
      <c r="I931" s="4">
        <v>21.62</v>
      </c>
      <c r="J931" s="5">
        <v>0.15000000000000002</v>
      </c>
      <c r="K931" s="6">
        <v>4</v>
      </c>
      <c r="L931" s="6">
        <v>5</v>
      </c>
      <c r="M931" t="s">
        <v>58</v>
      </c>
      <c r="N931" t="s">
        <v>59</v>
      </c>
      <c r="O931" t="s">
        <v>64</v>
      </c>
      <c r="P931" t="str">
        <f t="shared" si="98"/>
        <v>Individual</v>
      </c>
      <c r="Q931" t="str">
        <f t="shared" si="99"/>
        <v>Midlands</v>
      </c>
      <c r="R931" t="str">
        <f>PROPER(TRIM(E931))</f>
        <v>Office</v>
      </c>
      <c r="S931" s="27">
        <f>IF(ISTEXT(B931),DATEVALUE(B931),B931)</f>
        <v>46000</v>
      </c>
      <c r="T931" s="27">
        <f>COUNTIF($A$2:$A$1986,A931)</f>
        <v>1</v>
      </c>
      <c r="U931" s="27" t="str">
        <f t="shared" si="100"/>
        <v>Laptop Stand</v>
      </c>
      <c r="V931" s="27">
        <f t="shared" si="101"/>
        <v>74.494</v>
      </c>
      <c r="W931" s="27">
        <f t="shared" si="102"/>
        <v>43.24</v>
      </c>
      <c r="X931" s="27">
        <f>RawSalesTable3[[#This Row],[Revenue]]-RawSalesTable3[[#This Row],[Total_Cost]]</f>
        <v>31.253999999999998</v>
      </c>
      <c r="Y931" s="28">
        <f>RawSalesTable3[[#This Row],[Profit]]/RawSalesTable3[[#This Row],[Revenue]]</f>
        <v>0.41955056783096623</v>
      </c>
      <c r="Z931" s="27" t="str">
        <f>TEXT(RawSalesTable3[[#This Row],[Order_Date_Clean]],"MMM YYYY")</f>
        <v>Dec 2025</v>
      </c>
      <c r="AA931" s="27"/>
      <c r="AB931" s="27">
        <f t="shared" si="103"/>
        <v>0</v>
      </c>
      <c r="AC931" s="27">
        <f t="shared" si="104"/>
        <v>0</v>
      </c>
    </row>
    <row r="932" spans="1:29">
      <c r="A932" t="s">
        <v>1032</v>
      </c>
      <c r="B932" s="3">
        <v>45825</v>
      </c>
      <c r="C932" t="s">
        <v>66</v>
      </c>
      <c r="D932" t="s">
        <v>62</v>
      </c>
      <c r="E932" t="s">
        <v>79</v>
      </c>
      <c r="F932" t="s">
        <v>115</v>
      </c>
      <c r="G932" s="6">
        <v>1</v>
      </c>
      <c r="H932" s="4">
        <v>59.27</v>
      </c>
      <c r="I932" s="4">
        <v>33.78</v>
      </c>
      <c r="J932" s="5">
        <v>0</v>
      </c>
      <c r="K932" s="6">
        <v>4</v>
      </c>
      <c r="L932" s="6">
        <v>5</v>
      </c>
      <c r="M932" t="s">
        <v>58</v>
      </c>
      <c r="N932" t="s">
        <v>59</v>
      </c>
      <c r="O932" t="s">
        <v>73</v>
      </c>
      <c r="P932" t="str">
        <f t="shared" si="98"/>
        <v>Individual</v>
      </c>
      <c r="Q932" t="str">
        <f t="shared" si="99"/>
        <v>South</v>
      </c>
      <c r="R932" t="str">
        <f>PROPER(TRIM(E932))</f>
        <v>Electronics</v>
      </c>
      <c r="S932" s="27">
        <f>IF(ISTEXT(B932),DATEVALUE(B932),B932)</f>
        <v>45825</v>
      </c>
      <c r="T932" s="27">
        <f>COUNTIF($A$2:$A$1986,A932)</f>
        <v>1</v>
      </c>
      <c r="U932" s="27" t="str">
        <f t="shared" si="100"/>
        <v>Wireless Headset</v>
      </c>
      <c r="V932" s="27">
        <f t="shared" si="101"/>
        <v>59.27</v>
      </c>
      <c r="W932" s="27">
        <f t="shared" si="102"/>
        <v>33.78</v>
      </c>
      <c r="X932" s="27">
        <f>RawSalesTable3[[#This Row],[Revenue]]-RawSalesTable3[[#This Row],[Total_Cost]]</f>
        <v>25.490000000000002</v>
      </c>
      <c r="Y932" s="28">
        <f>RawSalesTable3[[#This Row],[Profit]]/RawSalesTable3[[#This Row],[Revenue]]</f>
        <v>0.43006580057364602</v>
      </c>
      <c r="Z932" s="27" t="str">
        <f>TEXT(RawSalesTable3[[#This Row],[Order_Date_Clean]],"MMM YYYY")</f>
        <v>Jun 2025</v>
      </c>
      <c r="AA932" s="27"/>
      <c r="AB932" s="27">
        <f t="shared" si="103"/>
        <v>0</v>
      </c>
      <c r="AC932" s="27">
        <f t="shared" si="104"/>
        <v>0</v>
      </c>
    </row>
    <row r="933" spans="1:29">
      <c r="A933" t="s">
        <v>1033</v>
      </c>
      <c r="B933" s="3">
        <v>45778</v>
      </c>
      <c r="C933" t="s">
        <v>78</v>
      </c>
      <c r="D933" t="s">
        <v>55</v>
      </c>
      <c r="E933" t="s">
        <v>56</v>
      </c>
      <c r="F933" t="s">
        <v>63</v>
      </c>
      <c r="G933" s="6">
        <v>5</v>
      </c>
      <c r="H933" s="4">
        <v>41.44</v>
      </c>
      <c r="I933" s="4">
        <v>20.86</v>
      </c>
      <c r="J933" s="5">
        <v>0.1</v>
      </c>
      <c r="K933" s="6">
        <v>0</v>
      </c>
      <c r="L933" s="6">
        <v>4</v>
      </c>
      <c r="M933" t="s">
        <v>58</v>
      </c>
      <c r="N933" t="s">
        <v>69</v>
      </c>
      <c r="O933" t="s">
        <v>64</v>
      </c>
      <c r="P933" t="str">
        <f t="shared" si="98"/>
        <v>Small Business</v>
      </c>
      <c r="Q933" t="str">
        <f t="shared" si="99"/>
        <v>London</v>
      </c>
      <c r="R933" t="str">
        <f>PROPER(TRIM(E933))</f>
        <v>Home &amp; Kitchen</v>
      </c>
      <c r="S933" s="27">
        <f>IF(ISTEXT(B933),DATEVALUE(B933),B933)</f>
        <v>45778</v>
      </c>
      <c r="T933" s="27">
        <f>COUNTIF($A$2:$A$1986,A933)</f>
        <v>1</v>
      </c>
      <c r="U933" s="27" t="str">
        <f t="shared" si="100"/>
        <v>Electric Kettle</v>
      </c>
      <c r="V933" s="27">
        <f t="shared" si="101"/>
        <v>186.48</v>
      </c>
      <c r="W933" s="27">
        <f t="shared" si="102"/>
        <v>104.3</v>
      </c>
      <c r="X933" s="27">
        <f>RawSalesTable3[[#This Row],[Revenue]]-RawSalesTable3[[#This Row],[Total_Cost]]</f>
        <v>82.179999999999993</v>
      </c>
      <c r="Y933" s="28">
        <f>RawSalesTable3[[#This Row],[Profit]]/RawSalesTable3[[#This Row],[Revenue]]</f>
        <v>0.44069069069069067</v>
      </c>
      <c r="Z933" s="27" t="str">
        <f>TEXT(RawSalesTable3[[#This Row],[Order_Date_Clean]],"MMM YYYY")</f>
        <v>May 2025</v>
      </c>
      <c r="AA933" s="27"/>
      <c r="AB933" s="27">
        <f t="shared" si="103"/>
        <v>0</v>
      </c>
      <c r="AC933" s="27">
        <f t="shared" si="104"/>
        <v>0</v>
      </c>
    </row>
    <row r="934" spans="1:29">
      <c r="A934" t="s">
        <v>1034</v>
      </c>
      <c r="B934" s="3">
        <v>45676</v>
      </c>
      <c r="C934" t="s">
        <v>66</v>
      </c>
      <c r="D934" t="s">
        <v>55</v>
      </c>
      <c r="E934" t="s">
        <v>67</v>
      </c>
      <c r="F934" t="s">
        <v>107</v>
      </c>
      <c r="G934" s="6">
        <v>2</v>
      </c>
      <c r="H934" s="4">
        <v>44.93</v>
      </c>
      <c r="I934" s="4">
        <v>21.79</v>
      </c>
      <c r="J934" s="5">
        <v>0.05</v>
      </c>
      <c r="K934" s="6">
        <v>4</v>
      </c>
      <c r="L934" s="6">
        <v>4</v>
      </c>
      <c r="M934" t="s">
        <v>58</v>
      </c>
      <c r="N934" t="s">
        <v>59</v>
      </c>
      <c r="O934" t="s">
        <v>73</v>
      </c>
      <c r="P934" t="str">
        <f t="shared" si="98"/>
        <v>Small Business</v>
      </c>
      <c r="Q934" t="str">
        <f t="shared" si="99"/>
        <v>South</v>
      </c>
      <c r="R934" t="str">
        <f>PROPER(TRIM(E934))</f>
        <v>Office</v>
      </c>
      <c r="S934" s="27">
        <f>IF(ISTEXT(B934),DATEVALUE(B934),B934)</f>
        <v>45676</v>
      </c>
      <c r="T934" s="27">
        <f>COUNTIF($A$2:$A$1986,A934)</f>
        <v>1</v>
      </c>
      <c r="U934" s="27" t="str">
        <f t="shared" si="100"/>
        <v>Laptop Stand</v>
      </c>
      <c r="V934" s="27">
        <f t="shared" si="101"/>
        <v>85.36699999999999</v>
      </c>
      <c r="W934" s="27">
        <f t="shared" si="102"/>
        <v>43.58</v>
      </c>
      <c r="X934" s="27">
        <f>RawSalesTable3[[#This Row],[Revenue]]-RawSalesTable3[[#This Row],[Total_Cost]]</f>
        <v>41.786999999999992</v>
      </c>
      <c r="Y934" s="28">
        <f>RawSalesTable3[[#This Row],[Profit]]/RawSalesTable3[[#This Row],[Revenue]]</f>
        <v>0.48949828388018785</v>
      </c>
      <c r="Z934" s="27" t="str">
        <f>TEXT(RawSalesTable3[[#This Row],[Order_Date_Clean]],"MMM YYYY")</f>
        <v>Jan 2025</v>
      </c>
      <c r="AA934" s="27"/>
      <c r="AB934" s="27">
        <f t="shared" si="103"/>
        <v>0</v>
      </c>
      <c r="AC934" s="27">
        <f t="shared" si="104"/>
        <v>0</v>
      </c>
    </row>
    <row r="935" spans="1:29">
      <c r="A935" t="s">
        <v>1035</v>
      </c>
      <c r="B935" s="3">
        <v>45946</v>
      </c>
      <c r="C935" t="s">
        <v>54</v>
      </c>
      <c r="D935" t="s">
        <v>62</v>
      </c>
      <c r="E935" t="s">
        <v>79</v>
      </c>
      <c r="F935" t="s">
        <v>92</v>
      </c>
      <c r="G935" s="6">
        <v>2</v>
      </c>
      <c r="H935" s="4">
        <v>50.83</v>
      </c>
      <c r="I935" s="4">
        <v>25.78</v>
      </c>
      <c r="J935" s="5">
        <v>0</v>
      </c>
      <c r="K935" s="6">
        <v>3</v>
      </c>
      <c r="L935" s="6">
        <v>4</v>
      </c>
      <c r="M935" t="s">
        <v>58</v>
      </c>
      <c r="N935" t="s">
        <v>59</v>
      </c>
      <c r="O935" t="s">
        <v>64</v>
      </c>
      <c r="P935" t="str">
        <f t="shared" si="98"/>
        <v>Individual</v>
      </c>
      <c r="Q935" t="str">
        <f t="shared" si="99"/>
        <v>North</v>
      </c>
      <c r="R935" t="str">
        <f>PROPER(TRIM(E935))</f>
        <v>Electronics</v>
      </c>
      <c r="S935" s="27">
        <f>IF(ISTEXT(B935),DATEVALUE(B935),B935)</f>
        <v>45946</v>
      </c>
      <c r="T935" s="27">
        <f>COUNTIF($A$2:$A$1986,A935)</f>
        <v>1</v>
      </c>
      <c r="U935" s="27" t="str">
        <f t="shared" si="100"/>
        <v>Webcam</v>
      </c>
      <c r="V935" s="27">
        <f t="shared" si="101"/>
        <v>101.66</v>
      </c>
      <c r="W935" s="27">
        <f t="shared" si="102"/>
        <v>51.56</v>
      </c>
      <c r="X935" s="27">
        <f>RawSalesTable3[[#This Row],[Revenue]]-RawSalesTable3[[#This Row],[Total_Cost]]</f>
        <v>50.099999999999994</v>
      </c>
      <c r="Y935" s="28">
        <f>RawSalesTable3[[#This Row],[Profit]]/RawSalesTable3[[#This Row],[Revenue]]</f>
        <v>0.49281920125909889</v>
      </c>
      <c r="Z935" s="27" t="str">
        <f>TEXT(RawSalesTable3[[#This Row],[Order_Date_Clean]],"MMM YYYY")</f>
        <v>Oct 2025</v>
      </c>
      <c r="AA935" s="27"/>
      <c r="AB935" s="27">
        <f t="shared" si="103"/>
        <v>0</v>
      </c>
      <c r="AC935" s="27">
        <f t="shared" si="104"/>
        <v>0</v>
      </c>
    </row>
    <row r="936" spans="1:29">
      <c r="A936" t="s">
        <v>1036</v>
      </c>
      <c r="B936" s="3">
        <v>45950</v>
      </c>
      <c r="C936" t="s">
        <v>78</v>
      </c>
      <c r="D936" t="s">
        <v>129</v>
      </c>
      <c r="E936" t="s">
        <v>79</v>
      </c>
      <c r="F936" t="s">
        <v>80</v>
      </c>
      <c r="G936" s="6">
        <v>8</v>
      </c>
      <c r="H936" s="4">
        <v>73.27</v>
      </c>
      <c r="I936" s="4">
        <v>42.57</v>
      </c>
      <c r="J936" s="5">
        <v>0.1</v>
      </c>
      <c r="K936" s="6">
        <v>3</v>
      </c>
      <c r="L936" s="6">
        <v>5</v>
      </c>
      <c r="M936" t="s">
        <v>58</v>
      </c>
      <c r="N936" t="s">
        <v>59</v>
      </c>
      <c r="O936" t="s">
        <v>60</v>
      </c>
      <c r="P936" t="str">
        <f t="shared" si="98"/>
        <v>Corporate</v>
      </c>
      <c r="Q936" t="str">
        <f t="shared" si="99"/>
        <v>London</v>
      </c>
      <c r="R936" t="str">
        <f>PROPER(TRIM(E936))</f>
        <v>Electronics</v>
      </c>
      <c r="S936" s="27">
        <f>IF(ISTEXT(B936),DATEVALUE(B936),B936)</f>
        <v>45950</v>
      </c>
      <c r="T936" s="27">
        <f>COUNTIF($A$2:$A$1986,A936)</f>
        <v>1</v>
      </c>
      <c r="U936" s="27" t="str">
        <f t="shared" si="100"/>
        <v>Portable Speaker</v>
      </c>
      <c r="V936" s="27">
        <f t="shared" si="101"/>
        <v>527.54399999999998</v>
      </c>
      <c r="W936" s="27">
        <f t="shared" si="102"/>
        <v>340.56</v>
      </c>
      <c r="X936" s="27">
        <f>RawSalesTable3[[#This Row],[Revenue]]-RawSalesTable3[[#This Row],[Total_Cost]]</f>
        <v>186.98399999999998</v>
      </c>
      <c r="Y936" s="28">
        <f>RawSalesTable3[[#This Row],[Profit]]/RawSalesTable3[[#This Row],[Revenue]]</f>
        <v>0.3544424730449024</v>
      </c>
      <c r="Z936" s="27" t="str">
        <f>TEXT(RawSalesTable3[[#This Row],[Order_Date_Clean]],"MMM YYYY")</f>
        <v>Oct 2025</v>
      </c>
      <c r="AA936" s="27"/>
      <c r="AB936" s="27">
        <f t="shared" si="103"/>
        <v>0</v>
      </c>
      <c r="AC936" s="27">
        <f t="shared" si="104"/>
        <v>0</v>
      </c>
    </row>
    <row r="937" spans="1:29">
      <c r="A937" t="s">
        <v>1037</v>
      </c>
      <c r="B937" s="3">
        <v>45791</v>
      </c>
      <c r="C937" t="s">
        <v>1038</v>
      </c>
      <c r="D937" t="s">
        <v>62</v>
      </c>
      <c r="E937" t="s">
        <v>79</v>
      </c>
      <c r="F937" t="s">
        <v>115</v>
      </c>
      <c r="G937" s="6">
        <v>2</v>
      </c>
      <c r="H937" s="4">
        <v>61.3</v>
      </c>
      <c r="I937" s="4">
        <v>34.29</v>
      </c>
      <c r="J937" s="5">
        <v>0</v>
      </c>
      <c r="K937" s="6">
        <v>0</v>
      </c>
      <c r="L937" s="6">
        <v>4</v>
      </c>
      <c r="M937" t="s">
        <v>58</v>
      </c>
      <c r="N937" t="s">
        <v>69</v>
      </c>
      <c r="O937" t="s">
        <v>64</v>
      </c>
      <c r="P937" t="str">
        <f t="shared" si="98"/>
        <v>Individual</v>
      </c>
      <c r="Q937" t="str">
        <f t="shared" si="99"/>
        <v>North</v>
      </c>
      <c r="R937" t="str">
        <f>PROPER(TRIM(E937))</f>
        <v>Electronics</v>
      </c>
      <c r="S937" s="27">
        <f>IF(ISTEXT(B937),DATEVALUE(B937),B937)</f>
        <v>45791</v>
      </c>
      <c r="T937" s="27">
        <f>COUNTIF($A$2:$A$1986,A937)</f>
        <v>1</v>
      </c>
      <c r="U937" s="27" t="str">
        <f t="shared" si="100"/>
        <v>Wireless Headset</v>
      </c>
      <c r="V937" s="27">
        <f t="shared" si="101"/>
        <v>122.6</v>
      </c>
      <c r="W937" s="27">
        <f t="shared" si="102"/>
        <v>68.58</v>
      </c>
      <c r="X937" s="27">
        <f>RawSalesTable3[[#This Row],[Revenue]]-RawSalesTable3[[#This Row],[Total_Cost]]</f>
        <v>54.019999999999996</v>
      </c>
      <c r="Y937" s="28">
        <f>RawSalesTable3[[#This Row],[Profit]]/RawSalesTable3[[#This Row],[Revenue]]</f>
        <v>0.44061990212071778</v>
      </c>
      <c r="Z937" s="27" t="str">
        <f>TEXT(RawSalesTable3[[#This Row],[Order_Date_Clean]],"MMM YYYY")</f>
        <v>May 2025</v>
      </c>
      <c r="AA937" s="27"/>
      <c r="AB937" s="27">
        <f t="shared" si="103"/>
        <v>0</v>
      </c>
      <c r="AC937" s="27">
        <f t="shared" si="104"/>
        <v>0</v>
      </c>
    </row>
    <row r="938" spans="1:29">
      <c r="A938" t="s">
        <v>1039</v>
      </c>
      <c r="B938" s="3">
        <v>45987</v>
      </c>
      <c r="C938" t="s">
        <v>78</v>
      </c>
      <c r="D938" t="s">
        <v>62</v>
      </c>
      <c r="E938" t="s">
        <v>75</v>
      </c>
      <c r="F938" t="s">
        <v>97</v>
      </c>
      <c r="G938" s="6">
        <v>1</v>
      </c>
      <c r="H938" s="4">
        <v>90.17</v>
      </c>
      <c r="I938" s="4">
        <v>55.84</v>
      </c>
      <c r="J938" s="5">
        <v>0.1</v>
      </c>
      <c r="K938" s="6">
        <v>3</v>
      </c>
      <c r="L938" s="6">
        <v>4</v>
      </c>
      <c r="M938" t="s">
        <v>58</v>
      </c>
      <c r="N938" t="s">
        <v>69</v>
      </c>
      <c r="O938" t="s">
        <v>73</v>
      </c>
      <c r="P938" t="str">
        <f t="shared" si="98"/>
        <v>Individual</v>
      </c>
      <c r="Q938" t="str">
        <f t="shared" si="99"/>
        <v>London</v>
      </c>
      <c r="R938" t="str">
        <f>PROPER(TRIM(E938))</f>
        <v>Furniture</v>
      </c>
      <c r="S938" s="27">
        <f>IF(ISTEXT(B938),DATEVALUE(B938),B938)</f>
        <v>45987</v>
      </c>
      <c r="T938" s="27">
        <f>COUNTIF($A$2:$A$1986,A938)</f>
        <v>1</v>
      </c>
      <c r="U938" s="27" t="str">
        <f t="shared" si="100"/>
        <v>Side Table</v>
      </c>
      <c r="V938" s="27">
        <f t="shared" si="101"/>
        <v>81.153000000000006</v>
      </c>
      <c r="W938" s="27">
        <f t="shared" si="102"/>
        <v>55.84</v>
      </c>
      <c r="X938" s="27">
        <f>RawSalesTable3[[#This Row],[Revenue]]-RawSalesTable3[[#This Row],[Total_Cost]]</f>
        <v>25.313000000000002</v>
      </c>
      <c r="Y938" s="28">
        <f>RawSalesTable3[[#This Row],[Profit]]/RawSalesTable3[[#This Row],[Revenue]]</f>
        <v>0.31191699629095659</v>
      </c>
      <c r="Z938" s="27" t="str">
        <f>TEXT(RawSalesTable3[[#This Row],[Order_Date_Clean]],"MMM YYYY")</f>
        <v>Nov 2025</v>
      </c>
      <c r="AA938" s="27"/>
      <c r="AB938" s="27">
        <f t="shared" si="103"/>
        <v>0</v>
      </c>
      <c r="AC938" s="27">
        <f t="shared" si="104"/>
        <v>0</v>
      </c>
    </row>
    <row r="939" spans="1:29">
      <c r="A939" t="s">
        <v>1040</v>
      </c>
      <c r="B939" s="3">
        <v>45722</v>
      </c>
      <c r="C939" t="s">
        <v>78</v>
      </c>
      <c r="D939" t="s">
        <v>62</v>
      </c>
      <c r="E939" t="s">
        <v>79</v>
      </c>
      <c r="F939" t="s">
        <v>115</v>
      </c>
      <c r="G939" s="6">
        <v>1</v>
      </c>
      <c r="H939" s="4">
        <v>59.46</v>
      </c>
      <c r="I939" s="4">
        <v>35.090000000000003</v>
      </c>
      <c r="J939" s="5">
        <v>0</v>
      </c>
      <c r="K939" s="6">
        <v>2</v>
      </c>
      <c r="L939" s="6">
        <v>4</v>
      </c>
      <c r="M939" t="s">
        <v>58</v>
      </c>
      <c r="N939" t="s">
        <v>59</v>
      </c>
      <c r="O939" t="s">
        <v>73</v>
      </c>
      <c r="P939" t="str">
        <f t="shared" si="98"/>
        <v>Individual</v>
      </c>
      <c r="Q939" t="str">
        <f t="shared" si="99"/>
        <v>London</v>
      </c>
      <c r="R939" t="str">
        <f>PROPER(TRIM(E939))</f>
        <v>Electronics</v>
      </c>
      <c r="S939" s="27">
        <f>IF(ISTEXT(B939),DATEVALUE(B939),B939)</f>
        <v>45722</v>
      </c>
      <c r="T939" s="27">
        <f>COUNTIF($A$2:$A$1986,A939)</f>
        <v>1</v>
      </c>
      <c r="U939" s="27" t="str">
        <f t="shared" si="100"/>
        <v>Wireless Headset</v>
      </c>
      <c r="V939" s="27">
        <f t="shared" si="101"/>
        <v>59.46</v>
      </c>
      <c r="W939" s="27">
        <f t="shared" si="102"/>
        <v>35.090000000000003</v>
      </c>
      <c r="X939" s="27">
        <f>RawSalesTable3[[#This Row],[Revenue]]-RawSalesTable3[[#This Row],[Total_Cost]]</f>
        <v>24.369999999999997</v>
      </c>
      <c r="Y939" s="28">
        <f>RawSalesTable3[[#This Row],[Profit]]/RawSalesTable3[[#This Row],[Revenue]]</f>
        <v>0.40985536495122765</v>
      </c>
      <c r="Z939" s="27" t="str">
        <f>TEXT(RawSalesTable3[[#This Row],[Order_Date_Clean]],"MMM YYYY")</f>
        <v>Mar 2025</v>
      </c>
      <c r="AA939" s="27"/>
      <c r="AB939" s="27">
        <f t="shared" si="103"/>
        <v>0</v>
      </c>
      <c r="AC939" s="27">
        <f t="shared" si="104"/>
        <v>0</v>
      </c>
    </row>
    <row r="940" spans="1:29">
      <c r="A940" t="s">
        <v>1041</v>
      </c>
      <c r="B940" s="3">
        <v>45917</v>
      </c>
      <c r="C940" t="s">
        <v>54</v>
      </c>
      <c r="D940" t="s">
        <v>62</v>
      </c>
      <c r="E940" t="s">
        <v>79</v>
      </c>
      <c r="F940" t="s">
        <v>80</v>
      </c>
      <c r="G940" s="6">
        <v>2</v>
      </c>
      <c r="H940" s="4">
        <v>75.959999999999994</v>
      </c>
      <c r="I940" s="4">
        <v>44.03</v>
      </c>
      <c r="J940" s="5">
        <v>0</v>
      </c>
      <c r="K940" s="6">
        <v>4</v>
      </c>
      <c r="L940" s="6">
        <v>5</v>
      </c>
      <c r="M940" t="s">
        <v>58</v>
      </c>
      <c r="N940" t="s">
        <v>59</v>
      </c>
      <c r="O940" t="s">
        <v>64</v>
      </c>
      <c r="P940" t="str">
        <f t="shared" si="98"/>
        <v>Individual</v>
      </c>
      <c r="Q940" t="str">
        <f t="shared" si="99"/>
        <v>North</v>
      </c>
      <c r="R940" t="str">
        <f>PROPER(TRIM(E940))</f>
        <v>Electronics</v>
      </c>
      <c r="S940" s="27">
        <f>IF(ISTEXT(B940),DATEVALUE(B940),B940)</f>
        <v>45917</v>
      </c>
      <c r="T940" s="27">
        <f>COUNTIF($A$2:$A$1986,A940)</f>
        <v>1</v>
      </c>
      <c r="U940" s="27" t="str">
        <f t="shared" si="100"/>
        <v>Portable Speaker</v>
      </c>
      <c r="V940" s="27">
        <f t="shared" si="101"/>
        <v>151.91999999999999</v>
      </c>
      <c r="W940" s="27">
        <f t="shared" si="102"/>
        <v>88.06</v>
      </c>
      <c r="X940" s="27">
        <f>RawSalesTable3[[#This Row],[Revenue]]-RawSalesTable3[[#This Row],[Total_Cost]]</f>
        <v>63.859999999999985</v>
      </c>
      <c r="Y940" s="28">
        <f>RawSalesTable3[[#This Row],[Profit]]/RawSalesTable3[[#This Row],[Revenue]]</f>
        <v>0.42035281727224849</v>
      </c>
      <c r="Z940" s="27" t="str">
        <f>TEXT(RawSalesTable3[[#This Row],[Order_Date_Clean]],"MMM YYYY")</f>
        <v>Sep 2025</v>
      </c>
      <c r="AA940" s="27"/>
      <c r="AB940" s="27">
        <f t="shared" si="103"/>
        <v>0</v>
      </c>
      <c r="AC940" s="27">
        <f t="shared" si="104"/>
        <v>0</v>
      </c>
    </row>
    <row r="941" spans="1:29">
      <c r="A941" t="s">
        <v>1042</v>
      </c>
      <c r="B941" s="3">
        <v>45938</v>
      </c>
      <c r="C941" t="s">
        <v>78</v>
      </c>
      <c r="D941" t="s">
        <v>55</v>
      </c>
      <c r="E941" t="s">
        <v>67</v>
      </c>
      <c r="F941" t="s">
        <v>94</v>
      </c>
      <c r="G941" s="6">
        <v>4</v>
      </c>
      <c r="H941" s="4">
        <v>35.36</v>
      </c>
      <c r="I941" s="4">
        <v>16.5</v>
      </c>
      <c r="J941" s="5">
        <v>0.05</v>
      </c>
      <c r="K941" s="6">
        <v>1</v>
      </c>
      <c r="L941" s="6">
        <v>5</v>
      </c>
      <c r="M941" t="s">
        <v>58</v>
      </c>
      <c r="N941" t="s">
        <v>59</v>
      </c>
      <c r="O941" t="s">
        <v>64</v>
      </c>
      <c r="P941" t="str">
        <f t="shared" si="98"/>
        <v>Small Business</v>
      </c>
      <c r="Q941" t="str">
        <f t="shared" si="99"/>
        <v>London</v>
      </c>
      <c r="R941" t="str">
        <f>PROPER(TRIM(E941))</f>
        <v>Office</v>
      </c>
      <c r="S941" s="27">
        <f>IF(ISTEXT(B941),DATEVALUE(B941),B941)</f>
        <v>45938</v>
      </c>
      <c r="T941" s="27">
        <f>COUNTIF($A$2:$A$1986,A941)</f>
        <v>1</v>
      </c>
      <c r="U941" s="27" t="str">
        <f t="shared" si="100"/>
        <v>Wireless Mouse</v>
      </c>
      <c r="V941" s="27">
        <f t="shared" si="101"/>
        <v>134.36799999999999</v>
      </c>
      <c r="W941" s="27">
        <f t="shared" si="102"/>
        <v>66</v>
      </c>
      <c r="X941" s="27">
        <f>RawSalesTable3[[#This Row],[Revenue]]-RawSalesTable3[[#This Row],[Total_Cost]]</f>
        <v>68.367999999999995</v>
      </c>
      <c r="Y941" s="28">
        <f>RawSalesTable3[[#This Row],[Profit]]/RawSalesTable3[[#This Row],[Revenue]]</f>
        <v>0.50881162181471773</v>
      </c>
      <c r="Z941" s="27" t="str">
        <f>TEXT(RawSalesTable3[[#This Row],[Order_Date_Clean]],"MMM YYYY")</f>
        <v>Oct 2025</v>
      </c>
      <c r="AA941" s="27"/>
      <c r="AB941" s="27">
        <f t="shared" si="103"/>
        <v>0</v>
      </c>
      <c r="AC941" s="27">
        <f t="shared" si="104"/>
        <v>0</v>
      </c>
    </row>
    <row r="942" spans="1:29">
      <c r="A942" t="s">
        <v>1043</v>
      </c>
      <c r="B942" s="3">
        <v>45965</v>
      </c>
      <c r="C942" t="s">
        <v>82</v>
      </c>
      <c r="D942" t="s">
        <v>55</v>
      </c>
      <c r="E942" t="s">
        <v>79</v>
      </c>
      <c r="F942" t="s">
        <v>85</v>
      </c>
      <c r="G942" s="6">
        <v>4</v>
      </c>
      <c r="H942" s="4">
        <v>128.16</v>
      </c>
      <c r="I942" s="4">
        <v>83.03</v>
      </c>
      <c r="J942" s="5">
        <v>0.1</v>
      </c>
      <c r="K942" s="6">
        <v>4</v>
      </c>
      <c r="L942" s="6">
        <v>4</v>
      </c>
      <c r="M942" t="s">
        <v>58</v>
      </c>
      <c r="N942" t="s">
        <v>59</v>
      </c>
      <c r="O942" t="s">
        <v>64</v>
      </c>
      <c r="P942" t="str">
        <f t="shared" si="98"/>
        <v>Small Business</v>
      </c>
      <c r="Q942" t="str">
        <f t="shared" si="99"/>
        <v>Midlands</v>
      </c>
      <c r="R942" t="str">
        <f>PROPER(TRIM(E942))</f>
        <v>Electronics</v>
      </c>
      <c r="S942" s="27">
        <f>IF(ISTEXT(B942),DATEVALUE(B942),B942)</f>
        <v>45965</v>
      </c>
      <c r="T942" s="27">
        <f>COUNTIF($A$2:$A$1986,A942)</f>
        <v>1</v>
      </c>
      <c r="U942" s="27" t="str">
        <f t="shared" si="100"/>
        <v>SmartHome Hub</v>
      </c>
      <c r="V942" s="27">
        <f t="shared" si="101"/>
        <v>461.37599999999998</v>
      </c>
      <c r="W942" s="27">
        <f t="shared" si="102"/>
        <v>332.12</v>
      </c>
      <c r="X942" s="27">
        <f>RawSalesTable3[[#This Row],[Revenue]]-RawSalesTable3[[#This Row],[Total_Cost]]</f>
        <v>129.25599999999997</v>
      </c>
      <c r="Y942" s="28">
        <f>RawSalesTable3[[#This Row],[Profit]]/RawSalesTable3[[#This Row],[Revenue]]</f>
        <v>0.28015328062144534</v>
      </c>
      <c r="Z942" s="27" t="str">
        <f>TEXT(RawSalesTable3[[#This Row],[Order_Date_Clean]],"MMM YYYY")</f>
        <v>Nov 2025</v>
      </c>
      <c r="AA942" s="27"/>
      <c r="AB942" s="27">
        <f t="shared" si="103"/>
        <v>0</v>
      </c>
      <c r="AC942" s="27">
        <f t="shared" si="104"/>
        <v>0</v>
      </c>
    </row>
    <row r="943" spans="1:29">
      <c r="A943" t="s">
        <v>1044</v>
      </c>
      <c r="B943" s="3">
        <v>45955</v>
      </c>
      <c r="C943" t="s">
        <v>54</v>
      </c>
      <c r="D943" t="s">
        <v>62</v>
      </c>
      <c r="E943" t="s">
        <v>79</v>
      </c>
      <c r="F943" t="s">
        <v>92</v>
      </c>
      <c r="G943" s="6">
        <v>1</v>
      </c>
      <c r="H943" s="4">
        <v>51.31</v>
      </c>
      <c r="I943" s="4">
        <v>26.53</v>
      </c>
      <c r="J943" s="5">
        <v>0</v>
      </c>
      <c r="K943" s="6">
        <v>4</v>
      </c>
      <c r="L943" s="6">
        <v>4</v>
      </c>
      <c r="M943" t="s">
        <v>58</v>
      </c>
      <c r="N943" t="s">
        <v>69</v>
      </c>
      <c r="O943" t="s">
        <v>64</v>
      </c>
      <c r="P943" t="str">
        <f t="shared" si="98"/>
        <v>Individual</v>
      </c>
      <c r="Q943" t="str">
        <f t="shared" si="99"/>
        <v>North</v>
      </c>
      <c r="R943" t="str">
        <f>PROPER(TRIM(E943))</f>
        <v>Electronics</v>
      </c>
      <c r="S943" s="27">
        <f>IF(ISTEXT(B943),DATEVALUE(B943),B943)</f>
        <v>45955</v>
      </c>
      <c r="T943" s="27">
        <f>COUNTIF($A$2:$A$1986,A943)</f>
        <v>1</v>
      </c>
      <c r="U943" s="27" t="str">
        <f t="shared" si="100"/>
        <v>Webcam</v>
      </c>
      <c r="V943" s="27">
        <f t="shared" si="101"/>
        <v>51.31</v>
      </c>
      <c r="W943" s="27">
        <f t="shared" si="102"/>
        <v>26.53</v>
      </c>
      <c r="X943" s="27">
        <f>RawSalesTable3[[#This Row],[Revenue]]-RawSalesTable3[[#This Row],[Total_Cost]]</f>
        <v>24.78</v>
      </c>
      <c r="Y943" s="28">
        <f>RawSalesTable3[[#This Row],[Profit]]/RawSalesTable3[[#This Row],[Revenue]]</f>
        <v>0.48294679399727147</v>
      </c>
      <c r="Z943" s="27" t="str">
        <f>TEXT(RawSalesTable3[[#This Row],[Order_Date_Clean]],"MMM YYYY")</f>
        <v>Oct 2025</v>
      </c>
      <c r="AA943" s="27"/>
      <c r="AB943" s="27">
        <f t="shared" si="103"/>
        <v>0</v>
      </c>
      <c r="AC943" s="27">
        <f t="shared" si="104"/>
        <v>0</v>
      </c>
    </row>
    <row r="944" spans="1:29">
      <c r="A944" t="s">
        <v>1045</v>
      </c>
      <c r="B944" s="3">
        <v>45976</v>
      </c>
      <c r="C944" t="s">
        <v>66</v>
      </c>
      <c r="D944" t="s">
        <v>62</v>
      </c>
      <c r="E944" t="s">
        <v>75</v>
      </c>
      <c r="F944" t="s">
        <v>110</v>
      </c>
      <c r="G944" s="6">
        <v>1</v>
      </c>
      <c r="H944" s="4">
        <v>156.63999999999999</v>
      </c>
      <c r="I944" s="4">
        <v>98</v>
      </c>
      <c r="J944" s="5">
        <v>0.1</v>
      </c>
      <c r="K944" s="6">
        <v>8</v>
      </c>
      <c r="L944" s="6">
        <v>3</v>
      </c>
      <c r="M944" t="s">
        <v>58</v>
      </c>
      <c r="N944" t="s">
        <v>59</v>
      </c>
      <c r="O944" t="s">
        <v>60</v>
      </c>
      <c r="P944" t="str">
        <f t="shared" si="98"/>
        <v>Individual</v>
      </c>
      <c r="Q944" t="str">
        <f t="shared" si="99"/>
        <v>South</v>
      </c>
      <c r="R944" t="str">
        <f>PROPER(TRIM(E944))</f>
        <v>Furniture</v>
      </c>
      <c r="S944" s="27">
        <f>IF(ISTEXT(B944),DATEVALUE(B944),B944)</f>
        <v>45976</v>
      </c>
      <c r="T944" s="27">
        <f>COUNTIF($A$2:$A$1986,A944)</f>
        <v>1</v>
      </c>
      <c r="U944" s="27" t="str">
        <f t="shared" si="100"/>
        <v>Storage Cabinet</v>
      </c>
      <c r="V944" s="27">
        <f t="shared" si="101"/>
        <v>140.976</v>
      </c>
      <c r="W944" s="27">
        <f t="shared" si="102"/>
        <v>98</v>
      </c>
      <c r="X944" s="27">
        <f>RawSalesTable3[[#This Row],[Revenue]]-RawSalesTable3[[#This Row],[Total_Cost]]</f>
        <v>42.975999999999999</v>
      </c>
      <c r="Y944" s="28">
        <f>RawSalesTable3[[#This Row],[Profit]]/RawSalesTable3[[#This Row],[Revenue]]</f>
        <v>0.3048462149585745</v>
      </c>
      <c r="Z944" s="27" t="str">
        <f>TEXT(RawSalesTable3[[#This Row],[Order_Date_Clean]],"MMM YYYY")</f>
        <v>Nov 2025</v>
      </c>
      <c r="AA944" s="27"/>
      <c r="AB944" s="27">
        <f t="shared" si="103"/>
        <v>0</v>
      </c>
      <c r="AC944" s="27">
        <f t="shared" si="104"/>
        <v>0</v>
      </c>
    </row>
    <row r="945" spans="1:29">
      <c r="A945" t="s">
        <v>1046</v>
      </c>
      <c r="B945" s="3">
        <v>46019</v>
      </c>
      <c r="C945" t="s">
        <v>66</v>
      </c>
      <c r="D945" t="s">
        <v>55</v>
      </c>
      <c r="E945" t="s">
        <v>79</v>
      </c>
      <c r="F945" t="s">
        <v>92</v>
      </c>
      <c r="G945" s="6">
        <v>2</v>
      </c>
      <c r="H945" s="4">
        <v>50.93</v>
      </c>
      <c r="I945" s="4">
        <v>26.83</v>
      </c>
      <c r="J945" s="5">
        <v>0.1</v>
      </c>
      <c r="K945" s="6">
        <v>2</v>
      </c>
      <c r="L945" s="6">
        <v>4</v>
      </c>
      <c r="M945" t="s">
        <v>58</v>
      </c>
      <c r="N945" t="s">
        <v>59</v>
      </c>
      <c r="O945" t="s">
        <v>64</v>
      </c>
      <c r="P945" t="str">
        <f t="shared" si="98"/>
        <v>Small Business</v>
      </c>
      <c r="Q945" t="str">
        <f t="shared" si="99"/>
        <v>South</v>
      </c>
      <c r="R945" t="str">
        <f>PROPER(TRIM(E945))</f>
        <v>Electronics</v>
      </c>
      <c r="S945" s="27">
        <f>IF(ISTEXT(B945),DATEVALUE(B945),B945)</f>
        <v>46019</v>
      </c>
      <c r="T945" s="27">
        <f>COUNTIF($A$2:$A$1986,A945)</f>
        <v>1</v>
      </c>
      <c r="U945" s="27" t="str">
        <f t="shared" si="100"/>
        <v>Webcam</v>
      </c>
      <c r="V945" s="27">
        <f t="shared" si="101"/>
        <v>91.674000000000007</v>
      </c>
      <c r="W945" s="27">
        <f t="shared" si="102"/>
        <v>53.66</v>
      </c>
      <c r="X945" s="27">
        <f>RawSalesTable3[[#This Row],[Revenue]]-RawSalesTable3[[#This Row],[Total_Cost]]</f>
        <v>38.01400000000001</v>
      </c>
      <c r="Y945" s="28">
        <f>RawSalesTable3[[#This Row],[Profit]]/RawSalesTable3[[#This Row],[Revenue]]</f>
        <v>0.4146650086174925</v>
      </c>
      <c r="Z945" s="27" t="str">
        <f>TEXT(RawSalesTable3[[#This Row],[Order_Date_Clean]],"MMM YYYY")</f>
        <v>Dec 2025</v>
      </c>
      <c r="AA945" s="27"/>
      <c r="AB945" s="27">
        <f t="shared" si="103"/>
        <v>0</v>
      </c>
      <c r="AC945" s="27">
        <f t="shared" si="104"/>
        <v>0</v>
      </c>
    </row>
    <row r="946" spans="1:29">
      <c r="A946" t="s">
        <v>1047</v>
      </c>
      <c r="B946" s="3">
        <v>46008</v>
      </c>
      <c r="C946" t="s">
        <v>82</v>
      </c>
      <c r="D946" t="s">
        <v>62</v>
      </c>
      <c r="E946" t="s">
        <v>79</v>
      </c>
      <c r="F946" t="s">
        <v>85</v>
      </c>
      <c r="G946" s="6">
        <v>1</v>
      </c>
      <c r="H946" s="4">
        <v>128.72</v>
      </c>
      <c r="I946" s="4">
        <v>84.82</v>
      </c>
      <c r="J946" s="5">
        <v>0.1</v>
      </c>
      <c r="K946" s="6">
        <v>3</v>
      </c>
      <c r="L946" s="6">
        <v>3</v>
      </c>
      <c r="M946" t="s">
        <v>126</v>
      </c>
      <c r="N946" t="s">
        <v>59</v>
      </c>
      <c r="O946" t="s">
        <v>64</v>
      </c>
      <c r="P946" t="str">
        <f t="shared" si="98"/>
        <v>Individual</v>
      </c>
      <c r="Q946" t="str">
        <f t="shared" si="99"/>
        <v>Midlands</v>
      </c>
      <c r="R946" t="str">
        <f>PROPER(TRIM(E946))</f>
        <v>Electronics</v>
      </c>
      <c r="S946" s="27">
        <f>IF(ISTEXT(B946),DATEVALUE(B946),B946)</f>
        <v>46008</v>
      </c>
      <c r="T946" s="27">
        <f>COUNTIF($A$2:$A$1986,A946)</f>
        <v>1</v>
      </c>
      <c r="U946" s="27" t="str">
        <f t="shared" si="100"/>
        <v>SmartHome Hub</v>
      </c>
      <c r="V946" s="27">
        <f t="shared" si="101"/>
        <v>115.848</v>
      </c>
      <c r="W946" s="27">
        <f t="shared" si="102"/>
        <v>84.82</v>
      </c>
      <c r="X946" s="27">
        <f>RawSalesTable3[[#This Row],[Revenue]]-RawSalesTable3[[#This Row],[Total_Cost]]</f>
        <v>31.028000000000006</v>
      </c>
      <c r="Y946" s="28">
        <f>RawSalesTable3[[#This Row],[Profit]]/RawSalesTable3[[#This Row],[Revenue]]</f>
        <v>0.26783371314135768</v>
      </c>
      <c r="Z946" s="27" t="str">
        <f>TEXT(RawSalesTable3[[#This Row],[Order_Date_Clean]],"MMM YYYY")</f>
        <v>Dec 2025</v>
      </c>
      <c r="AA946" s="27"/>
      <c r="AB946" s="27">
        <f t="shared" si="103"/>
        <v>0</v>
      </c>
      <c r="AC946" s="27">
        <f t="shared" si="104"/>
        <v>0</v>
      </c>
    </row>
    <row r="947" spans="1:29">
      <c r="A947" t="s">
        <v>1048</v>
      </c>
      <c r="B947" s="3">
        <v>46013</v>
      </c>
      <c r="C947" t="s">
        <v>66</v>
      </c>
      <c r="D947" t="s">
        <v>62</v>
      </c>
      <c r="E947" t="s">
        <v>79</v>
      </c>
      <c r="F947" t="s">
        <v>92</v>
      </c>
      <c r="G947" s="6">
        <v>1</v>
      </c>
      <c r="H947" s="4">
        <v>48.54</v>
      </c>
      <c r="I947" s="4">
        <v>26.55</v>
      </c>
      <c r="J947" s="5">
        <v>0.1</v>
      </c>
      <c r="K947" s="6">
        <v>2</v>
      </c>
      <c r="L947" s="6">
        <v>5</v>
      </c>
      <c r="M947" t="s">
        <v>58</v>
      </c>
      <c r="N947" t="s">
        <v>59</v>
      </c>
      <c r="O947" t="s">
        <v>60</v>
      </c>
      <c r="P947" t="str">
        <f t="shared" si="98"/>
        <v>Individual</v>
      </c>
      <c r="Q947" t="str">
        <f t="shared" si="99"/>
        <v>South</v>
      </c>
      <c r="R947" t="str">
        <f>PROPER(TRIM(E947))</f>
        <v>Electronics</v>
      </c>
      <c r="S947" s="27">
        <f>IF(ISTEXT(B947),DATEVALUE(B947),B947)</f>
        <v>46013</v>
      </c>
      <c r="T947" s="27">
        <f>COUNTIF($A$2:$A$1986,A947)</f>
        <v>1</v>
      </c>
      <c r="U947" s="27" t="str">
        <f t="shared" si="100"/>
        <v>Webcam</v>
      </c>
      <c r="V947" s="27">
        <f t="shared" si="101"/>
        <v>43.686</v>
      </c>
      <c r="W947" s="27">
        <f t="shared" si="102"/>
        <v>26.55</v>
      </c>
      <c r="X947" s="27">
        <f>RawSalesTable3[[#This Row],[Revenue]]-RawSalesTable3[[#This Row],[Total_Cost]]</f>
        <v>17.135999999999999</v>
      </c>
      <c r="Y947" s="28">
        <f>RawSalesTable3[[#This Row],[Profit]]/RawSalesTable3[[#This Row],[Revenue]]</f>
        <v>0.39225381128965797</v>
      </c>
      <c r="Z947" s="27" t="str">
        <f>TEXT(RawSalesTable3[[#This Row],[Order_Date_Clean]],"MMM YYYY")</f>
        <v>Dec 2025</v>
      </c>
      <c r="AA947" s="27"/>
      <c r="AB947" s="27">
        <f t="shared" si="103"/>
        <v>0</v>
      </c>
      <c r="AC947" s="27">
        <f t="shared" si="104"/>
        <v>0</v>
      </c>
    </row>
    <row r="948" spans="1:29">
      <c r="A948" t="s">
        <v>1049</v>
      </c>
      <c r="B948" s="3">
        <v>45869</v>
      </c>
      <c r="C948" t="s">
        <v>66</v>
      </c>
      <c r="D948" t="s">
        <v>55</v>
      </c>
      <c r="E948" t="s">
        <v>79</v>
      </c>
      <c r="F948" t="s">
        <v>85</v>
      </c>
      <c r="G948" s="6">
        <v>2</v>
      </c>
      <c r="H948" s="4">
        <v>128.80000000000001</v>
      </c>
      <c r="I948" s="4">
        <v>86.41</v>
      </c>
      <c r="J948" s="5">
        <v>0.05</v>
      </c>
      <c r="K948" s="6">
        <v>5</v>
      </c>
      <c r="L948" s="6">
        <v>4</v>
      </c>
      <c r="M948" t="s">
        <v>58</v>
      </c>
      <c r="N948" t="s">
        <v>59</v>
      </c>
      <c r="O948" t="s">
        <v>64</v>
      </c>
      <c r="P948" t="str">
        <f t="shared" si="98"/>
        <v>Small Business</v>
      </c>
      <c r="Q948" t="str">
        <f t="shared" si="99"/>
        <v>South</v>
      </c>
      <c r="R948" t="str">
        <f>PROPER(TRIM(E948))</f>
        <v>Electronics</v>
      </c>
      <c r="S948" s="27">
        <f>IF(ISTEXT(B948),DATEVALUE(B948),B948)</f>
        <v>45869</v>
      </c>
      <c r="T948" s="27">
        <f>COUNTIF($A$2:$A$1986,A948)</f>
        <v>1</v>
      </c>
      <c r="U948" s="27" t="str">
        <f t="shared" si="100"/>
        <v>SmartHome Hub</v>
      </c>
      <c r="V948" s="27">
        <f t="shared" si="101"/>
        <v>244.72</v>
      </c>
      <c r="W948" s="27">
        <f t="shared" si="102"/>
        <v>172.82</v>
      </c>
      <c r="X948" s="27">
        <f>RawSalesTable3[[#This Row],[Revenue]]-RawSalesTable3[[#This Row],[Total_Cost]]</f>
        <v>71.900000000000006</v>
      </c>
      <c r="Y948" s="28">
        <f>RawSalesTable3[[#This Row],[Profit]]/RawSalesTable3[[#This Row],[Revenue]]</f>
        <v>0.29380516508662963</v>
      </c>
      <c r="Z948" s="27" t="str">
        <f>TEXT(RawSalesTable3[[#This Row],[Order_Date_Clean]],"MMM YYYY")</f>
        <v>Jul 2025</v>
      </c>
      <c r="AA948" s="27"/>
      <c r="AB948" s="27">
        <f t="shared" si="103"/>
        <v>0</v>
      </c>
      <c r="AC948" s="27">
        <f t="shared" si="104"/>
        <v>0</v>
      </c>
    </row>
    <row r="949" spans="1:29">
      <c r="A949" t="s">
        <v>1050</v>
      </c>
      <c r="B949" s="3">
        <v>45922</v>
      </c>
      <c r="C949" t="s">
        <v>54</v>
      </c>
      <c r="D949" t="s">
        <v>62</v>
      </c>
      <c r="E949" t="s">
        <v>56</v>
      </c>
      <c r="F949" t="s">
        <v>89</v>
      </c>
      <c r="G949" s="6">
        <v>1</v>
      </c>
      <c r="H949" s="4">
        <v>81.23</v>
      </c>
      <c r="I949" s="4">
        <v>46.68</v>
      </c>
      <c r="J949" s="5">
        <v>0</v>
      </c>
      <c r="K949" s="6">
        <v>1</v>
      </c>
      <c r="L949" s="6">
        <v>5</v>
      </c>
      <c r="M949" t="s">
        <v>58</v>
      </c>
      <c r="N949" t="s">
        <v>59</v>
      </c>
      <c r="O949" t="s">
        <v>64</v>
      </c>
      <c r="P949" t="str">
        <f t="shared" si="98"/>
        <v>Individual</v>
      </c>
      <c r="Q949" t="str">
        <f t="shared" si="99"/>
        <v>North</v>
      </c>
      <c r="R949" t="str">
        <f>PROPER(TRIM(E949))</f>
        <v>Home &amp; Kitchen</v>
      </c>
      <c r="S949" s="27">
        <f>IF(ISTEXT(B949),DATEVALUE(B949),B949)</f>
        <v>45922</v>
      </c>
      <c r="T949" s="27">
        <f>COUNTIF($A$2:$A$1986,A949)</f>
        <v>1</v>
      </c>
      <c r="U949" s="27" t="str">
        <f t="shared" si="100"/>
        <v>Coffee Maker</v>
      </c>
      <c r="V949" s="27">
        <f t="shared" si="101"/>
        <v>81.23</v>
      </c>
      <c r="W949" s="27">
        <f t="shared" si="102"/>
        <v>46.68</v>
      </c>
      <c r="X949" s="27">
        <f>RawSalesTable3[[#This Row],[Revenue]]-RawSalesTable3[[#This Row],[Total_Cost]]</f>
        <v>34.550000000000004</v>
      </c>
      <c r="Y949" s="28">
        <f>RawSalesTable3[[#This Row],[Profit]]/RawSalesTable3[[#This Row],[Revenue]]</f>
        <v>0.42533546719192422</v>
      </c>
      <c r="Z949" s="27" t="str">
        <f>TEXT(RawSalesTable3[[#This Row],[Order_Date_Clean]],"MMM YYYY")</f>
        <v>Sep 2025</v>
      </c>
      <c r="AA949" s="27"/>
      <c r="AB949" s="27">
        <f t="shared" si="103"/>
        <v>0</v>
      </c>
      <c r="AC949" s="27">
        <f t="shared" si="104"/>
        <v>0</v>
      </c>
    </row>
    <row r="950" spans="1:29">
      <c r="A950" t="s">
        <v>1051</v>
      </c>
      <c r="B950" s="3">
        <v>45658</v>
      </c>
      <c r="C950" t="s">
        <v>66</v>
      </c>
      <c r="D950" t="s">
        <v>62</v>
      </c>
      <c r="E950" t="s">
        <v>56</v>
      </c>
      <c r="F950" t="s">
        <v>57</v>
      </c>
      <c r="G950" s="6">
        <v>1</v>
      </c>
      <c r="H950" s="4">
        <v>112.96</v>
      </c>
      <c r="I950" s="4">
        <v>65.36</v>
      </c>
      <c r="J950" s="5">
        <v>0.05</v>
      </c>
      <c r="K950" s="6">
        <v>5</v>
      </c>
      <c r="L950" s="6">
        <v>3</v>
      </c>
      <c r="M950" t="s">
        <v>126</v>
      </c>
      <c r="N950" t="s">
        <v>59</v>
      </c>
      <c r="O950" t="s">
        <v>64</v>
      </c>
      <c r="P950" t="str">
        <f t="shared" si="98"/>
        <v>Individual</v>
      </c>
      <c r="Q950" t="str">
        <f t="shared" si="99"/>
        <v>South</v>
      </c>
      <c r="R950" t="str">
        <f>PROPER(TRIM(E950))</f>
        <v>Home &amp; Kitchen</v>
      </c>
      <c r="S950" s="27">
        <f>IF(ISTEXT(B950),DATEVALUE(B950),B950)</f>
        <v>45658</v>
      </c>
      <c r="T950" s="27">
        <f>COUNTIF($A$2:$A$1986,A950)</f>
        <v>1</v>
      </c>
      <c r="U950" s="27" t="str">
        <f t="shared" si="100"/>
        <v>Air Fryer</v>
      </c>
      <c r="V950" s="27">
        <f t="shared" si="101"/>
        <v>107.31199999999998</v>
      </c>
      <c r="W950" s="27">
        <f t="shared" si="102"/>
        <v>65.36</v>
      </c>
      <c r="X950" s="27">
        <f>RawSalesTable3[[#This Row],[Revenue]]-RawSalesTable3[[#This Row],[Total_Cost]]</f>
        <v>41.951999999999984</v>
      </c>
      <c r="Y950" s="28">
        <f>RawSalesTable3[[#This Row],[Profit]]/RawSalesTable3[[#This Row],[Revenue]]</f>
        <v>0.39093484419263447</v>
      </c>
      <c r="Z950" s="27" t="str">
        <f>TEXT(RawSalesTable3[[#This Row],[Order_Date_Clean]],"MMM YYYY")</f>
        <v>Jan 2025</v>
      </c>
      <c r="AA950" s="27"/>
      <c r="AB950" s="27">
        <f t="shared" si="103"/>
        <v>0</v>
      </c>
      <c r="AC950" s="27">
        <f t="shared" si="104"/>
        <v>0</v>
      </c>
    </row>
    <row r="951" spans="1:29">
      <c r="A951" t="s">
        <v>1052</v>
      </c>
      <c r="B951" s="3">
        <v>45847</v>
      </c>
      <c r="C951" t="s">
        <v>66</v>
      </c>
      <c r="D951" t="s">
        <v>62</v>
      </c>
      <c r="E951" t="s">
        <v>56</v>
      </c>
      <c r="F951" t="s">
        <v>83</v>
      </c>
      <c r="G951" s="6">
        <v>2</v>
      </c>
      <c r="H951" s="4">
        <v>63.13</v>
      </c>
      <c r="I951" s="4">
        <v>36.4</v>
      </c>
      <c r="J951" s="5">
        <v>0.1</v>
      </c>
      <c r="K951" s="6">
        <v>6</v>
      </c>
      <c r="L951" s="6">
        <v>3</v>
      </c>
      <c r="M951" t="s">
        <v>58</v>
      </c>
      <c r="N951" t="s">
        <v>59</v>
      </c>
      <c r="O951" t="s">
        <v>64</v>
      </c>
      <c r="P951" t="str">
        <f t="shared" si="98"/>
        <v>Individual</v>
      </c>
      <c r="Q951" t="str">
        <f t="shared" si="99"/>
        <v>South</v>
      </c>
      <c r="R951" t="str">
        <f>PROPER(TRIM(E951))</f>
        <v>Home &amp; Kitchen</v>
      </c>
      <c r="S951" s="27">
        <f>IF(ISTEXT(B951),DATEVALUE(B951),B951)</f>
        <v>45847</v>
      </c>
      <c r="T951" s="27">
        <f>COUNTIF($A$2:$A$1986,A951)</f>
        <v>1</v>
      </c>
      <c r="U951" s="27" t="str">
        <f t="shared" si="100"/>
        <v>Blender</v>
      </c>
      <c r="V951" s="27">
        <f t="shared" si="101"/>
        <v>113.634</v>
      </c>
      <c r="W951" s="27">
        <f t="shared" si="102"/>
        <v>72.8</v>
      </c>
      <c r="X951" s="27">
        <f>RawSalesTable3[[#This Row],[Revenue]]-RawSalesTable3[[#This Row],[Total_Cost]]</f>
        <v>40.834000000000003</v>
      </c>
      <c r="Y951" s="28">
        <f>RawSalesTable3[[#This Row],[Profit]]/RawSalesTable3[[#This Row],[Revenue]]</f>
        <v>0.35934667441082779</v>
      </c>
      <c r="Z951" s="27" t="str">
        <f>TEXT(RawSalesTable3[[#This Row],[Order_Date_Clean]],"MMM YYYY")</f>
        <v>Jul 2025</v>
      </c>
      <c r="AA951" s="27"/>
      <c r="AB951" s="27">
        <f t="shared" si="103"/>
        <v>0</v>
      </c>
      <c r="AC951" s="27">
        <f t="shared" si="104"/>
        <v>0</v>
      </c>
    </row>
    <row r="952" spans="1:29">
      <c r="A952" t="s">
        <v>1053</v>
      </c>
      <c r="B952" s="3">
        <v>45735</v>
      </c>
      <c r="C952" t="s">
        <v>82</v>
      </c>
      <c r="D952" t="s">
        <v>55</v>
      </c>
      <c r="E952" t="s">
        <v>56</v>
      </c>
      <c r="F952" t="s">
        <v>57</v>
      </c>
      <c r="G952" s="6">
        <v>3</v>
      </c>
      <c r="H952" s="4">
        <v>110.97</v>
      </c>
      <c r="I952" s="4">
        <v>65.739999999999995</v>
      </c>
      <c r="J952" s="5">
        <v>0.05</v>
      </c>
      <c r="K952" s="6">
        <v>6</v>
      </c>
      <c r="L952" s="6">
        <v>4</v>
      </c>
      <c r="M952" t="s">
        <v>58</v>
      </c>
      <c r="N952" t="s">
        <v>87</v>
      </c>
      <c r="O952" t="s">
        <v>60</v>
      </c>
      <c r="P952" t="str">
        <f t="shared" si="98"/>
        <v>Small Business</v>
      </c>
      <c r="Q952" t="str">
        <f t="shared" si="99"/>
        <v>Midlands</v>
      </c>
      <c r="R952" t="str">
        <f>PROPER(TRIM(E952))</f>
        <v>Home &amp; Kitchen</v>
      </c>
      <c r="S952" s="27">
        <f>IF(ISTEXT(B952),DATEVALUE(B952),B952)</f>
        <v>45735</v>
      </c>
      <c r="T952" s="27">
        <f>COUNTIF($A$2:$A$1986,A952)</f>
        <v>1</v>
      </c>
      <c r="U952" s="27" t="str">
        <f t="shared" si="100"/>
        <v>Air Fryer</v>
      </c>
      <c r="V952" s="27">
        <f t="shared" si="101"/>
        <v>316.26449999999994</v>
      </c>
      <c r="W952" s="27">
        <f t="shared" si="102"/>
        <v>197.21999999999997</v>
      </c>
      <c r="X952" s="27">
        <f>RawSalesTable3[[#This Row],[Revenue]]-RawSalesTable3[[#This Row],[Total_Cost]]</f>
        <v>119.04449999999997</v>
      </c>
      <c r="Y952" s="28">
        <f>RawSalesTable3[[#This Row],[Profit]]/RawSalesTable3[[#This Row],[Revenue]]</f>
        <v>0.37640803820852481</v>
      </c>
      <c r="Z952" s="27" t="str">
        <f>TEXT(RawSalesTable3[[#This Row],[Order_Date_Clean]],"MMM YYYY")</f>
        <v>Mar 2025</v>
      </c>
      <c r="AA952" s="27"/>
      <c r="AB952" s="27">
        <f t="shared" si="103"/>
        <v>0</v>
      </c>
      <c r="AC952" s="27">
        <f t="shared" si="104"/>
        <v>0</v>
      </c>
    </row>
    <row r="953" spans="1:29">
      <c r="A953" t="s">
        <v>1054</v>
      </c>
      <c r="B953" s="3">
        <v>45677</v>
      </c>
      <c r="C953" t="s">
        <v>54</v>
      </c>
      <c r="D953" t="s">
        <v>62</v>
      </c>
      <c r="E953" t="s">
        <v>56</v>
      </c>
      <c r="F953" t="s">
        <v>83</v>
      </c>
      <c r="G953" s="6">
        <v>1</v>
      </c>
      <c r="H953" s="4">
        <v>67.260000000000005</v>
      </c>
      <c r="I953" s="4">
        <v>35.92</v>
      </c>
      <c r="J953" s="5">
        <v>0</v>
      </c>
      <c r="K953" s="6">
        <v>3</v>
      </c>
      <c r="L953" s="6">
        <v>5</v>
      </c>
      <c r="M953" t="s">
        <v>58</v>
      </c>
      <c r="N953" t="s">
        <v>59</v>
      </c>
      <c r="O953" t="s">
        <v>60</v>
      </c>
      <c r="P953" t="str">
        <f t="shared" si="98"/>
        <v>Individual</v>
      </c>
      <c r="Q953" t="str">
        <f t="shared" si="99"/>
        <v>North</v>
      </c>
      <c r="R953" t="str">
        <f>PROPER(TRIM(E953))</f>
        <v>Home &amp; Kitchen</v>
      </c>
      <c r="S953" s="27">
        <f>IF(ISTEXT(B953),DATEVALUE(B953),B953)</f>
        <v>45677</v>
      </c>
      <c r="T953" s="27">
        <f>COUNTIF($A$2:$A$1986,A953)</f>
        <v>1</v>
      </c>
      <c r="U953" s="27" t="str">
        <f t="shared" si="100"/>
        <v>Blender</v>
      </c>
      <c r="V953" s="27">
        <f t="shared" si="101"/>
        <v>67.260000000000005</v>
      </c>
      <c r="W953" s="27">
        <f t="shared" si="102"/>
        <v>35.92</v>
      </c>
      <c r="X953" s="27">
        <f>RawSalesTable3[[#This Row],[Revenue]]-RawSalesTable3[[#This Row],[Total_Cost]]</f>
        <v>31.340000000000003</v>
      </c>
      <c r="Y953" s="28">
        <f>RawSalesTable3[[#This Row],[Profit]]/RawSalesTable3[[#This Row],[Revenue]]</f>
        <v>0.46595301813856677</v>
      </c>
      <c r="Z953" s="27" t="str">
        <f>TEXT(RawSalesTable3[[#This Row],[Order_Date_Clean]],"MMM YYYY")</f>
        <v>Jan 2025</v>
      </c>
      <c r="AA953" s="27"/>
      <c r="AB953" s="27">
        <f t="shared" si="103"/>
        <v>0</v>
      </c>
      <c r="AC953" s="27">
        <f t="shared" si="104"/>
        <v>0</v>
      </c>
    </row>
    <row r="954" spans="1:29">
      <c r="A954" t="s">
        <v>1055</v>
      </c>
      <c r="B954" s="3">
        <v>45939</v>
      </c>
      <c r="C954" t="s">
        <v>82</v>
      </c>
      <c r="D954" t="s">
        <v>62</v>
      </c>
      <c r="E954" t="s">
        <v>75</v>
      </c>
      <c r="F954" t="s">
        <v>97</v>
      </c>
      <c r="G954" s="6">
        <v>1</v>
      </c>
      <c r="H954" s="4">
        <v>87.4</v>
      </c>
      <c r="I954" s="4">
        <v>55.21</v>
      </c>
      <c r="J954" s="5">
        <v>0</v>
      </c>
      <c r="K954" s="6">
        <v>3</v>
      </c>
      <c r="L954" s="6">
        <v>4</v>
      </c>
      <c r="M954" t="s">
        <v>58</v>
      </c>
      <c r="N954" t="s">
        <v>69</v>
      </c>
      <c r="O954" t="s">
        <v>60</v>
      </c>
      <c r="P954" t="str">
        <f t="shared" si="98"/>
        <v>Individual</v>
      </c>
      <c r="Q954" t="str">
        <f t="shared" si="99"/>
        <v>Midlands</v>
      </c>
      <c r="R954" t="str">
        <f>PROPER(TRIM(E954))</f>
        <v>Furniture</v>
      </c>
      <c r="S954" s="27">
        <f>IF(ISTEXT(B954),DATEVALUE(B954),B954)</f>
        <v>45939</v>
      </c>
      <c r="T954" s="27">
        <f>COUNTIF($A$2:$A$1986,A954)</f>
        <v>1</v>
      </c>
      <c r="U954" s="27" t="str">
        <f t="shared" si="100"/>
        <v>Side Table</v>
      </c>
      <c r="V954" s="27">
        <f t="shared" si="101"/>
        <v>87.4</v>
      </c>
      <c r="W954" s="27">
        <f t="shared" si="102"/>
        <v>55.21</v>
      </c>
      <c r="X954" s="27">
        <f>RawSalesTable3[[#This Row],[Revenue]]-RawSalesTable3[[#This Row],[Total_Cost]]</f>
        <v>32.190000000000005</v>
      </c>
      <c r="Y954" s="28">
        <f>RawSalesTable3[[#This Row],[Profit]]/RawSalesTable3[[#This Row],[Revenue]]</f>
        <v>0.36830663615560644</v>
      </c>
      <c r="Z954" s="27" t="str">
        <f>TEXT(RawSalesTable3[[#This Row],[Order_Date_Clean]],"MMM YYYY")</f>
        <v>Oct 2025</v>
      </c>
      <c r="AA954" s="27"/>
      <c r="AB954" s="27">
        <f t="shared" si="103"/>
        <v>0</v>
      </c>
      <c r="AC954" s="27">
        <f t="shared" si="104"/>
        <v>0</v>
      </c>
    </row>
    <row r="955" spans="1:29">
      <c r="A955" t="s">
        <v>1056</v>
      </c>
      <c r="B955" s="3">
        <v>45786</v>
      </c>
      <c r="C955" t="s">
        <v>78</v>
      </c>
      <c r="D955" t="s">
        <v>55</v>
      </c>
      <c r="E955" t="s">
        <v>56</v>
      </c>
      <c r="F955" t="s">
        <v>83</v>
      </c>
      <c r="G955" s="6">
        <v>4</v>
      </c>
      <c r="H955" s="4">
        <v>66.53</v>
      </c>
      <c r="I955" s="4">
        <v>36.479999999999997</v>
      </c>
      <c r="J955" s="5">
        <v>0</v>
      </c>
      <c r="K955" s="6">
        <v>6</v>
      </c>
      <c r="L955" s="6">
        <v>4</v>
      </c>
      <c r="M955" t="s">
        <v>58</v>
      </c>
      <c r="N955" t="s">
        <v>59</v>
      </c>
      <c r="O955" t="s">
        <v>73</v>
      </c>
      <c r="P955" t="str">
        <f t="shared" si="98"/>
        <v>Small Business</v>
      </c>
      <c r="Q955" t="str">
        <f t="shared" si="99"/>
        <v>London</v>
      </c>
      <c r="R955" t="str">
        <f>PROPER(TRIM(E955))</f>
        <v>Home &amp; Kitchen</v>
      </c>
      <c r="S955" s="27">
        <f>IF(ISTEXT(B955),DATEVALUE(B955),B955)</f>
        <v>45786</v>
      </c>
      <c r="T955" s="27">
        <f>COUNTIF($A$2:$A$1986,A955)</f>
        <v>1</v>
      </c>
      <c r="U955" s="27" t="str">
        <f t="shared" si="100"/>
        <v>Blender</v>
      </c>
      <c r="V955" s="27">
        <f t="shared" si="101"/>
        <v>266.12</v>
      </c>
      <c r="W955" s="27">
        <f t="shared" si="102"/>
        <v>145.91999999999999</v>
      </c>
      <c r="X955" s="27">
        <f>RawSalesTable3[[#This Row],[Revenue]]-RawSalesTable3[[#This Row],[Total_Cost]]</f>
        <v>120.20000000000002</v>
      </c>
      <c r="Y955" s="28">
        <f>RawSalesTable3[[#This Row],[Profit]]/RawSalesTable3[[#This Row],[Revenue]]</f>
        <v>0.4516759356681197</v>
      </c>
      <c r="Z955" s="27" t="str">
        <f>TEXT(RawSalesTable3[[#This Row],[Order_Date_Clean]],"MMM YYYY")</f>
        <v>May 2025</v>
      </c>
      <c r="AA955" s="27"/>
      <c r="AB955" s="27">
        <f t="shared" si="103"/>
        <v>0</v>
      </c>
      <c r="AC955" s="27">
        <f t="shared" si="104"/>
        <v>0</v>
      </c>
    </row>
    <row r="956" spans="1:29">
      <c r="A956" t="s">
        <v>1057</v>
      </c>
      <c r="B956" s="3">
        <v>45740</v>
      </c>
      <c r="C956" t="s">
        <v>66</v>
      </c>
      <c r="D956" t="s">
        <v>62</v>
      </c>
      <c r="E956" t="s">
        <v>67</v>
      </c>
      <c r="F956" t="s">
        <v>94</v>
      </c>
      <c r="G956" s="6">
        <v>1</v>
      </c>
      <c r="H956" s="4">
        <v>34.9</v>
      </c>
      <c r="I956" s="4">
        <v>17.22</v>
      </c>
      <c r="J956" s="5">
        <v>0.05</v>
      </c>
      <c r="K956" s="6">
        <v>3</v>
      </c>
      <c r="L956" s="6">
        <v>4</v>
      </c>
      <c r="M956" t="s">
        <v>58</v>
      </c>
      <c r="N956" t="s">
        <v>59</v>
      </c>
      <c r="O956" t="s">
        <v>64</v>
      </c>
      <c r="P956" t="str">
        <f t="shared" si="98"/>
        <v>Individual</v>
      </c>
      <c r="Q956" t="str">
        <f t="shared" si="99"/>
        <v>South</v>
      </c>
      <c r="R956" t="str">
        <f>PROPER(TRIM(E956))</f>
        <v>Office</v>
      </c>
      <c r="S956" s="27">
        <f>IF(ISTEXT(B956),DATEVALUE(B956),B956)</f>
        <v>45740</v>
      </c>
      <c r="T956" s="27">
        <f>COUNTIF($A$2:$A$1986,A956)</f>
        <v>1</v>
      </c>
      <c r="U956" s="27" t="str">
        <f t="shared" si="100"/>
        <v>Wireless Mouse</v>
      </c>
      <c r="V956" s="27">
        <f t="shared" si="101"/>
        <v>33.154999999999994</v>
      </c>
      <c r="W956" s="27">
        <f t="shared" si="102"/>
        <v>17.22</v>
      </c>
      <c r="X956" s="27">
        <f>RawSalesTable3[[#This Row],[Revenue]]-RawSalesTable3[[#This Row],[Total_Cost]]</f>
        <v>15.934999999999995</v>
      </c>
      <c r="Y956" s="28">
        <f>RawSalesTable3[[#This Row],[Profit]]/RawSalesTable3[[#This Row],[Revenue]]</f>
        <v>0.48062132408384856</v>
      </c>
      <c r="Z956" s="27" t="str">
        <f>TEXT(RawSalesTable3[[#This Row],[Order_Date_Clean]],"MMM YYYY")</f>
        <v>Mar 2025</v>
      </c>
      <c r="AA956" s="27"/>
      <c r="AB956" s="27">
        <f t="shared" si="103"/>
        <v>0</v>
      </c>
      <c r="AC956" s="27">
        <f t="shared" si="104"/>
        <v>0</v>
      </c>
    </row>
    <row r="957" spans="1:29">
      <c r="A957" t="s">
        <v>1058</v>
      </c>
      <c r="B957" s="3">
        <v>46009</v>
      </c>
      <c r="C957" t="s">
        <v>78</v>
      </c>
      <c r="D957" t="s">
        <v>129</v>
      </c>
      <c r="E957" t="s">
        <v>67</v>
      </c>
      <c r="F957" t="s">
        <v>71</v>
      </c>
      <c r="G957" s="6">
        <v>8</v>
      </c>
      <c r="H957" s="4">
        <v>69.900000000000006</v>
      </c>
      <c r="I957" s="4">
        <v>39.65</v>
      </c>
      <c r="J957" s="5">
        <v>0.05</v>
      </c>
      <c r="K957" s="6">
        <v>1</v>
      </c>
      <c r="L957" s="6">
        <v>4</v>
      </c>
      <c r="M957" t="s">
        <v>58</v>
      </c>
      <c r="N957" t="s">
        <v>69</v>
      </c>
      <c r="O957" t="s">
        <v>60</v>
      </c>
      <c r="P957" t="str">
        <f t="shared" si="98"/>
        <v>Corporate</v>
      </c>
      <c r="Q957" t="str">
        <f t="shared" si="99"/>
        <v>London</v>
      </c>
      <c r="R957" t="str">
        <f>PROPER(TRIM(E957))</f>
        <v>Office</v>
      </c>
      <c r="S957" s="27">
        <f>IF(ISTEXT(B957),DATEVALUE(B957),B957)</f>
        <v>46009</v>
      </c>
      <c r="T957" s="27">
        <f>COUNTIF($A$2:$A$1986,A957)</f>
        <v>1</v>
      </c>
      <c r="U957" s="27" t="str">
        <f t="shared" si="100"/>
        <v>Ergonomic Keyboard</v>
      </c>
      <c r="V957" s="27">
        <f t="shared" si="101"/>
        <v>531.24</v>
      </c>
      <c r="W957" s="27">
        <f t="shared" si="102"/>
        <v>317.2</v>
      </c>
      <c r="X957" s="27">
        <f>RawSalesTable3[[#This Row],[Revenue]]-RawSalesTable3[[#This Row],[Total_Cost]]</f>
        <v>214.04000000000002</v>
      </c>
      <c r="Y957" s="28">
        <f>RawSalesTable3[[#This Row],[Profit]]/RawSalesTable3[[#This Row],[Revenue]]</f>
        <v>0.40290640765002639</v>
      </c>
      <c r="Z957" s="27" t="str">
        <f>TEXT(RawSalesTable3[[#This Row],[Order_Date_Clean]],"MMM YYYY")</f>
        <v>Dec 2025</v>
      </c>
      <c r="AA957" s="27"/>
      <c r="AB957" s="27">
        <f t="shared" si="103"/>
        <v>0</v>
      </c>
      <c r="AC957" s="27">
        <f t="shared" si="104"/>
        <v>0</v>
      </c>
    </row>
    <row r="958" spans="1:29">
      <c r="A958" t="s">
        <v>1059</v>
      </c>
      <c r="B958" s="3">
        <v>45775</v>
      </c>
      <c r="C958" t="s">
        <v>66</v>
      </c>
      <c r="D958" t="s">
        <v>55</v>
      </c>
      <c r="E958" t="s">
        <v>67</v>
      </c>
      <c r="F958" t="s">
        <v>107</v>
      </c>
      <c r="G958" s="6">
        <v>4</v>
      </c>
      <c r="H958" s="4">
        <v>44.96</v>
      </c>
      <c r="I958" s="4">
        <v>20.55</v>
      </c>
      <c r="J958" s="5">
        <v>0.1</v>
      </c>
      <c r="K958" s="6">
        <v>3</v>
      </c>
      <c r="L958" s="6">
        <v>4</v>
      </c>
      <c r="M958" t="s">
        <v>58</v>
      </c>
      <c r="N958" t="s">
        <v>59</v>
      </c>
      <c r="O958" t="s">
        <v>64</v>
      </c>
      <c r="P958" t="str">
        <f t="shared" si="98"/>
        <v>Small Business</v>
      </c>
      <c r="Q958" t="str">
        <f t="shared" si="99"/>
        <v>South</v>
      </c>
      <c r="R958" t="str">
        <f>PROPER(TRIM(E958))</f>
        <v>Office</v>
      </c>
      <c r="S958" s="27">
        <f>IF(ISTEXT(B958),DATEVALUE(B958),B958)</f>
        <v>45775</v>
      </c>
      <c r="T958" s="27">
        <f>COUNTIF($A$2:$A$1986,A958)</f>
        <v>1</v>
      </c>
      <c r="U958" s="27" t="str">
        <f t="shared" si="100"/>
        <v>Laptop Stand</v>
      </c>
      <c r="V958" s="27">
        <f t="shared" si="101"/>
        <v>161.85599999999999</v>
      </c>
      <c r="W958" s="27">
        <f t="shared" si="102"/>
        <v>82.2</v>
      </c>
      <c r="X958" s="27">
        <f>RawSalesTable3[[#This Row],[Revenue]]-RawSalesTable3[[#This Row],[Total_Cost]]</f>
        <v>79.655999999999992</v>
      </c>
      <c r="Y958" s="28">
        <f>RawSalesTable3[[#This Row],[Profit]]/RawSalesTable3[[#This Row],[Revenue]]</f>
        <v>0.49214116251482798</v>
      </c>
      <c r="Z958" s="27" t="str">
        <f>TEXT(RawSalesTable3[[#This Row],[Order_Date_Clean]],"MMM YYYY")</f>
        <v>Apr 2025</v>
      </c>
      <c r="AA958" s="27"/>
      <c r="AB958" s="27">
        <f t="shared" si="103"/>
        <v>0</v>
      </c>
      <c r="AC958" s="27">
        <f t="shared" si="104"/>
        <v>0</v>
      </c>
    </row>
    <row r="959" spans="1:29">
      <c r="A959" t="s">
        <v>1060</v>
      </c>
      <c r="B959" s="3">
        <v>45780</v>
      </c>
      <c r="C959" t="s">
        <v>82</v>
      </c>
      <c r="D959" t="s">
        <v>62</v>
      </c>
      <c r="E959" t="s">
        <v>56</v>
      </c>
      <c r="F959" t="s">
        <v>89</v>
      </c>
      <c r="G959" s="6">
        <v>1</v>
      </c>
      <c r="H959" s="4">
        <v>82.41</v>
      </c>
      <c r="I959" s="4">
        <v>47.01</v>
      </c>
      <c r="J959" s="5">
        <v>0</v>
      </c>
      <c r="K959" s="6">
        <v>1</v>
      </c>
      <c r="L959" s="6">
        <v>4</v>
      </c>
      <c r="M959" t="s">
        <v>58</v>
      </c>
      <c r="N959" t="s">
        <v>59</v>
      </c>
      <c r="O959" t="s">
        <v>64</v>
      </c>
      <c r="P959" t="str">
        <f t="shared" si="98"/>
        <v>Individual</v>
      </c>
      <c r="Q959" t="str">
        <f t="shared" si="99"/>
        <v>Midlands</v>
      </c>
      <c r="R959" t="str">
        <f>PROPER(TRIM(E959))</f>
        <v>Home &amp; Kitchen</v>
      </c>
      <c r="S959" s="27">
        <f>IF(ISTEXT(B959),DATEVALUE(B959),B959)</f>
        <v>45780</v>
      </c>
      <c r="T959" s="27">
        <f>COUNTIF($A$2:$A$1986,A959)</f>
        <v>1</v>
      </c>
      <c r="U959" s="27" t="str">
        <f t="shared" si="100"/>
        <v>Coffee Maker</v>
      </c>
      <c r="V959" s="27">
        <f t="shared" si="101"/>
        <v>82.41</v>
      </c>
      <c r="W959" s="27">
        <f t="shared" si="102"/>
        <v>47.01</v>
      </c>
      <c r="X959" s="27">
        <f>RawSalesTable3[[#This Row],[Revenue]]-RawSalesTable3[[#This Row],[Total_Cost]]</f>
        <v>35.4</v>
      </c>
      <c r="Y959" s="28">
        <f>RawSalesTable3[[#This Row],[Profit]]/RawSalesTable3[[#This Row],[Revenue]]</f>
        <v>0.4295595194757918</v>
      </c>
      <c r="Z959" s="27" t="str">
        <f>TEXT(RawSalesTable3[[#This Row],[Order_Date_Clean]],"MMM YYYY")</f>
        <v>May 2025</v>
      </c>
      <c r="AA959" s="27"/>
      <c r="AB959" s="27">
        <f t="shared" si="103"/>
        <v>0</v>
      </c>
      <c r="AC959" s="27">
        <f t="shared" si="104"/>
        <v>0</v>
      </c>
    </row>
    <row r="960" spans="1:29">
      <c r="A960" t="s">
        <v>1061</v>
      </c>
      <c r="B960" s="3">
        <v>45674</v>
      </c>
      <c r="C960" t="s">
        <v>54</v>
      </c>
      <c r="D960" t="s">
        <v>129</v>
      </c>
      <c r="E960" t="s">
        <v>56</v>
      </c>
      <c r="F960" t="s">
        <v>89</v>
      </c>
      <c r="G960" s="6">
        <v>4</v>
      </c>
      <c r="H960" s="4">
        <v>79.930000000000007</v>
      </c>
      <c r="I960" s="4">
        <v>45.06</v>
      </c>
      <c r="J960" s="5">
        <v>0.05</v>
      </c>
      <c r="K960" s="6">
        <v>4</v>
      </c>
      <c r="L960" s="6">
        <v>5</v>
      </c>
      <c r="M960" t="s">
        <v>58</v>
      </c>
      <c r="N960" t="s">
        <v>59</v>
      </c>
      <c r="O960" t="s">
        <v>64</v>
      </c>
      <c r="P960" t="str">
        <f t="shared" si="98"/>
        <v>Corporate</v>
      </c>
      <c r="Q960" t="str">
        <f t="shared" si="99"/>
        <v>North</v>
      </c>
      <c r="R960" t="str">
        <f>PROPER(TRIM(E960))</f>
        <v>Home &amp; Kitchen</v>
      </c>
      <c r="S960" s="27">
        <f>IF(ISTEXT(B960),DATEVALUE(B960),B960)</f>
        <v>45674</v>
      </c>
      <c r="T960" s="27">
        <f>COUNTIF($A$2:$A$1986,A960)</f>
        <v>1</v>
      </c>
      <c r="U960" s="27" t="str">
        <f t="shared" si="100"/>
        <v>Coffee Maker</v>
      </c>
      <c r="V960" s="27">
        <f t="shared" si="101"/>
        <v>303.73400000000004</v>
      </c>
      <c r="W960" s="27">
        <f t="shared" si="102"/>
        <v>180.24</v>
      </c>
      <c r="X960" s="27">
        <f>RawSalesTable3[[#This Row],[Revenue]]-RawSalesTable3[[#This Row],[Total_Cost]]</f>
        <v>123.49400000000003</v>
      </c>
      <c r="Y960" s="28">
        <f>RawSalesTable3[[#This Row],[Profit]]/RawSalesTable3[[#This Row],[Revenue]]</f>
        <v>0.40658602593058402</v>
      </c>
      <c r="Z960" s="27" t="str">
        <f>TEXT(RawSalesTable3[[#This Row],[Order_Date_Clean]],"MMM YYYY")</f>
        <v>Jan 2025</v>
      </c>
      <c r="AA960" s="27"/>
      <c r="AB960" s="27">
        <f t="shared" si="103"/>
        <v>0</v>
      </c>
      <c r="AC960" s="27">
        <f t="shared" si="104"/>
        <v>0</v>
      </c>
    </row>
    <row r="961" spans="1:29">
      <c r="A961" t="s">
        <v>1062</v>
      </c>
      <c r="B961" s="3">
        <v>45678</v>
      </c>
      <c r="C961" t="s">
        <v>82</v>
      </c>
      <c r="D961" t="s">
        <v>55</v>
      </c>
      <c r="E961" t="s">
        <v>79</v>
      </c>
      <c r="F961" t="s">
        <v>80</v>
      </c>
      <c r="G961" s="6">
        <v>2</v>
      </c>
      <c r="H961" s="4">
        <v>74.17</v>
      </c>
      <c r="I961" s="4">
        <v>45.05</v>
      </c>
      <c r="J961" s="5">
        <v>0.05</v>
      </c>
      <c r="K961" s="6">
        <v>3</v>
      </c>
      <c r="L961" s="6">
        <v>4</v>
      </c>
      <c r="M961" t="s">
        <v>58</v>
      </c>
      <c r="N961" t="s">
        <v>59</v>
      </c>
      <c r="O961" t="s">
        <v>64</v>
      </c>
      <c r="P961" t="str">
        <f t="shared" si="98"/>
        <v>Small Business</v>
      </c>
      <c r="Q961" t="str">
        <f t="shared" si="99"/>
        <v>Midlands</v>
      </c>
      <c r="R961" t="str">
        <f>PROPER(TRIM(E961))</f>
        <v>Electronics</v>
      </c>
      <c r="S961" s="27">
        <f>IF(ISTEXT(B961),DATEVALUE(B961),B961)</f>
        <v>45678</v>
      </c>
      <c r="T961" s="27">
        <f>COUNTIF($A$2:$A$1986,A961)</f>
        <v>1</v>
      </c>
      <c r="U961" s="27" t="str">
        <f t="shared" si="100"/>
        <v>Portable Speaker</v>
      </c>
      <c r="V961" s="27">
        <f t="shared" si="101"/>
        <v>140.923</v>
      </c>
      <c r="W961" s="27">
        <f t="shared" si="102"/>
        <v>90.1</v>
      </c>
      <c r="X961" s="27">
        <f>RawSalesTable3[[#This Row],[Revenue]]-RawSalesTable3[[#This Row],[Total_Cost]]</f>
        <v>50.823000000000008</v>
      </c>
      <c r="Y961" s="28">
        <f>RawSalesTable3[[#This Row],[Profit]]/RawSalesTable3[[#This Row],[Revenue]]</f>
        <v>0.36064375580991043</v>
      </c>
      <c r="Z961" s="27" t="str">
        <f>TEXT(RawSalesTable3[[#This Row],[Order_Date_Clean]],"MMM YYYY")</f>
        <v>Jan 2025</v>
      </c>
      <c r="AA961" s="27"/>
      <c r="AB961" s="27">
        <f t="shared" si="103"/>
        <v>0</v>
      </c>
      <c r="AC961" s="27">
        <f t="shared" si="104"/>
        <v>0</v>
      </c>
    </row>
    <row r="962" spans="1:29">
      <c r="A962" t="s">
        <v>1063</v>
      </c>
      <c r="B962" s="3">
        <v>45835</v>
      </c>
      <c r="C962" t="s">
        <v>78</v>
      </c>
      <c r="D962" t="s">
        <v>55</v>
      </c>
      <c r="E962" t="s">
        <v>402</v>
      </c>
      <c r="F962" t="s">
        <v>71</v>
      </c>
      <c r="G962" s="6">
        <v>6</v>
      </c>
      <c r="H962" s="4">
        <v>70.17</v>
      </c>
      <c r="I962" s="4">
        <v>37.159999999999997</v>
      </c>
      <c r="J962" s="5">
        <v>0</v>
      </c>
      <c r="K962" s="6">
        <v>0</v>
      </c>
      <c r="L962" s="6">
        <v>5</v>
      </c>
      <c r="M962" t="s">
        <v>58</v>
      </c>
      <c r="N962" t="s">
        <v>69</v>
      </c>
      <c r="O962" t="s">
        <v>73</v>
      </c>
      <c r="P962" t="str">
        <f t="shared" ref="P962:P1025" si="105">IF(TRIM(D962)="","Unknow",PROPER(TRIM(D962)))</f>
        <v>Small Business</v>
      </c>
      <c r="Q962" t="str">
        <f t="shared" ref="Q962:Q1025" si="106">IF(PROPER(TRIM(C962))="Mid Lands","Midlands",PROPER(TRIM(C962)))</f>
        <v>London</v>
      </c>
      <c r="R962" t="str">
        <f>PROPER(TRIM(E962))</f>
        <v>Office</v>
      </c>
      <c r="S962" s="27">
        <f>IF(ISTEXT(B962),DATEVALUE(B962),B962)</f>
        <v>45835</v>
      </c>
      <c r="T962" s="27">
        <f>COUNTIF($A$2:$A$1986,A962)</f>
        <v>1</v>
      </c>
      <c r="U962" s="27" t="str">
        <f t="shared" ref="U962:U1025" si="107">TRIM(F962)</f>
        <v>Ergonomic Keyboard</v>
      </c>
      <c r="V962" s="27">
        <f t="shared" ref="V962:V1025" si="108">G962*H962*(1-J962)</f>
        <v>421.02</v>
      </c>
      <c r="W962" s="27">
        <f t="shared" ref="W962:W1025" si="109">G962*I962</f>
        <v>222.95999999999998</v>
      </c>
      <c r="X962" s="27">
        <f>RawSalesTable3[[#This Row],[Revenue]]-RawSalesTable3[[#This Row],[Total_Cost]]</f>
        <v>198.06</v>
      </c>
      <c r="Y962" s="28">
        <f>RawSalesTable3[[#This Row],[Profit]]/RawSalesTable3[[#This Row],[Revenue]]</f>
        <v>0.47042895824426395</v>
      </c>
      <c r="Z962" s="27" t="str">
        <f>TEXT(RawSalesTable3[[#This Row],[Order_Date_Clean]],"MMM YYYY")</f>
        <v>Jun 2025</v>
      </c>
      <c r="AA962" s="27"/>
      <c r="AB962" s="27">
        <f t="shared" ref="AB962:AB1025" si="110">SUMIF($Z:$Z,AA962,$V:$V)</f>
        <v>0</v>
      </c>
      <c r="AC962" s="27">
        <f t="shared" ref="AC962:AC1025" si="111">SUMIF($Z:$Z,AA962,$X:$X)</f>
        <v>0</v>
      </c>
    </row>
    <row r="963" spans="1:29">
      <c r="A963" t="s">
        <v>1064</v>
      </c>
      <c r="B963" s="3">
        <v>46019</v>
      </c>
      <c r="C963" t="s">
        <v>78</v>
      </c>
      <c r="D963" t="s">
        <v>55</v>
      </c>
      <c r="E963" t="s">
        <v>75</v>
      </c>
      <c r="F963" t="s">
        <v>76</v>
      </c>
      <c r="G963" s="6">
        <v>4</v>
      </c>
      <c r="H963" s="4">
        <v>123.68</v>
      </c>
      <c r="I963" s="4">
        <v>74.81</v>
      </c>
      <c r="J963" s="5">
        <v>0.05</v>
      </c>
      <c r="K963" s="6">
        <v>6</v>
      </c>
      <c r="L963" s="6">
        <v>4</v>
      </c>
      <c r="M963" t="s">
        <v>58</v>
      </c>
      <c r="N963" t="s">
        <v>59</v>
      </c>
      <c r="O963" t="s">
        <v>64</v>
      </c>
      <c r="P963" t="str">
        <f t="shared" si="105"/>
        <v>Small Business</v>
      </c>
      <c r="Q963" t="str">
        <f t="shared" si="106"/>
        <v>London</v>
      </c>
      <c r="R963" t="str">
        <f>PROPER(TRIM(E963))</f>
        <v>Furniture</v>
      </c>
      <c r="S963" s="27">
        <f>IF(ISTEXT(B963),DATEVALUE(B963),B963)</f>
        <v>46019</v>
      </c>
      <c r="T963" s="27">
        <f>COUNTIF($A$2:$A$1986,A963)</f>
        <v>1</v>
      </c>
      <c r="U963" s="27" t="str">
        <f t="shared" si="107"/>
        <v>Bookshelf</v>
      </c>
      <c r="V963" s="27">
        <f t="shared" si="108"/>
        <v>469.98399999999998</v>
      </c>
      <c r="W963" s="27">
        <f t="shared" si="109"/>
        <v>299.24</v>
      </c>
      <c r="X963" s="27">
        <f>RawSalesTable3[[#This Row],[Revenue]]-RawSalesTable3[[#This Row],[Total_Cost]]</f>
        <v>170.74399999999997</v>
      </c>
      <c r="Y963" s="28">
        <f>RawSalesTable3[[#This Row],[Profit]]/RawSalesTable3[[#This Row],[Revenue]]</f>
        <v>0.3632974739565602</v>
      </c>
      <c r="Z963" s="27" t="str">
        <f>TEXT(RawSalesTable3[[#This Row],[Order_Date_Clean]],"MMM YYYY")</f>
        <v>Dec 2025</v>
      </c>
      <c r="AA963" s="27"/>
      <c r="AB963" s="27">
        <f t="shared" si="110"/>
        <v>0</v>
      </c>
      <c r="AC963" s="27">
        <f t="shared" si="111"/>
        <v>0</v>
      </c>
    </row>
    <row r="964" spans="1:29">
      <c r="A964" t="s">
        <v>1065</v>
      </c>
      <c r="B964" s="3">
        <v>45678</v>
      </c>
      <c r="C964" t="s">
        <v>78</v>
      </c>
      <c r="D964" t="s">
        <v>62</v>
      </c>
      <c r="E964" t="s">
        <v>56</v>
      </c>
      <c r="F964" t="s">
        <v>63</v>
      </c>
      <c r="G964" s="6">
        <v>3</v>
      </c>
      <c r="H964" s="4">
        <v>38.82</v>
      </c>
      <c r="I964" s="4">
        <v>20.04</v>
      </c>
      <c r="J964" s="5">
        <v>0</v>
      </c>
      <c r="K964" s="6">
        <v>3</v>
      </c>
      <c r="L964" s="6">
        <v>4</v>
      </c>
      <c r="M964" t="s">
        <v>58</v>
      </c>
      <c r="N964" t="s">
        <v>87</v>
      </c>
      <c r="O964" t="s">
        <v>73</v>
      </c>
      <c r="P964" t="str">
        <f t="shared" si="105"/>
        <v>Individual</v>
      </c>
      <c r="Q964" t="str">
        <f t="shared" si="106"/>
        <v>London</v>
      </c>
      <c r="R964" t="str">
        <f>PROPER(TRIM(E964))</f>
        <v>Home &amp; Kitchen</v>
      </c>
      <c r="S964" s="27">
        <f>IF(ISTEXT(B964),DATEVALUE(B964),B964)</f>
        <v>45678</v>
      </c>
      <c r="T964" s="27">
        <f>COUNTIF($A$2:$A$1986,A964)</f>
        <v>1</v>
      </c>
      <c r="U964" s="27" t="str">
        <f t="shared" si="107"/>
        <v>Electric Kettle</v>
      </c>
      <c r="V964" s="27">
        <f t="shared" si="108"/>
        <v>116.46000000000001</v>
      </c>
      <c r="W964" s="27">
        <f t="shared" si="109"/>
        <v>60.12</v>
      </c>
      <c r="X964" s="27">
        <f>RawSalesTable3[[#This Row],[Revenue]]-RawSalesTable3[[#This Row],[Total_Cost]]</f>
        <v>56.340000000000011</v>
      </c>
      <c r="Y964" s="28">
        <f>RawSalesTable3[[#This Row],[Profit]]/RawSalesTable3[[#This Row],[Revenue]]</f>
        <v>0.48377125193199388</v>
      </c>
      <c r="Z964" s="27" t="str">
        <f>TEXT(RawSalesTable3[[#This Row],[Order_Date_Clean]],"MMM YYYY")</f>
        <v>Jan 2025</v>
      </c>
      <c r="AA964" s="27"/>
      <c r="AB964" s="27">
        <f t="shared" si="110"/>
        <v>0</v>
      </c>
      <c r="AC964" s="27">
        <f t="shared" si="111"/>
        <v>0</v>
      </c>
    </row>
    <row r="965" spans="1:29">
      <c r="A965" t="s">
        <v>1066</v>
      </c>
      <c r="B965" s="3">
        <v>45781</v>
      </c>
      <c r="C965" t="s">
        <v>66</v>
      </c>
      <c r="D965" t="s">
        <v>62</v>
      </c>
      <c r="E965" t="s">
        <v>75</v>
      </c>
      <c r="F965" t="s">
        <v>97</v>
      </c>
      <c r="G965" s="6">
        <v>1</v>
      </c>
      <c r="H965" s="4">
        <v>91.88</v>
      </c>
      <c r="I965" s="4">
        <v>54.29</v>
      </c>
      <c r="J965" s="5">
        <v>0.15000000000000002</v>
      </c>
      <c r="K965" s="6">
        <v>1</v>
      </c>
      <c r="L965" s="6">
        <v>4</v>
      </c>
      <c r="M965" t="s">
        <v>58</v>
      </c>
      <c r="N965" t="s">
        <v>69</v>
      </c>
      <c r="O965" t="s">
        <v>64</v>
      </c>
      <c r="P965" t="str">
        <f t="shared" si="105"/>
        <v>Individual</v>
      </c>
      <c r="Q965" t="str">
        <f t="shared" si="106"/>
        <v>South</v>
      </c>
      <c r="R965" t="str">
        <f>PROPER(TRIM(E965))</f>
        <v>Furniture</v>
      </c>
      <c r="S965" s="27">
        <f>IF(ISTEXT(B965),DATEVALUE(B965),B965)</f>
        <v>45781</v>
      </c>
      <c r="T965" s="27">
        <f>COUNTIF($A$2:$A$1986,A965)</f>
        <v>1</v>
      </c>
      <c r="U965" s="27" t="str">
        <f t="shared" si="107"/>
        <v>Side Table</v>
      </c>
      <c r="V965" s="27">
        <f t="shared" si="108"/>
        <v>78.097999999999999</v>
      </c>
      <c r="W965" s="27">
        <f t="shared" si="109"/>
        <v>54.29</v>
      </c>
      <c r="X965" s="27">
        <f>RawSalesTable3[[#This Row],[Revenue]]-RawSalesTable3[[#This Row],[Total_Cost]]</f>
        <v>23.808</v>
      </c>
      <c r="Y965" s="28">
        <f>RawSalesTable3[[#This Row],[Profit]]/RawSalesTable3[[#This Row],[Revenue]]</f>
        <v>0.30484775538426079</v>
      </c>
      <c r="Z965" s="27" t="str">
        <f>TEXT(RawSalesTable3[[#This Row],[Order_Date_Clean]],"MMM YYYY")</f>
        <v>May 2025</v>
      </c>
      <c r="AA965" s="27"/>
      <c r="AB965" s="27">
        <f t="shared" si="110"/>
        <v>0</v>
      </c>
      <c r="AC965" s="27">
        <f t="shared" si="111"/>
        <v>0</v>
      </c>
    </row>
    <row r="966" spans="1:29">
      <c r="A966" t="s">
        <v>1067</v>
      </c>
      <c r="B966" s="3">
        <v>46003</v>
      </c>
      <c r="C966" t="s">
        <v>54</v>
      </c>
      <c r="D966" t="s">
        <v>55</v>
      </c>
      <c r="E966" t="s">
        <v>56</v>
      </c>
      <c r="F966" t="s">
        <v>63</v>
      </c>
      <c r="G966" s="6">
        <v>2</v>
      </c>
      <c r="H966" s="4">
        <v>39.26</v>
      </c>
      <c r="I966" s="4">
        <v>20.39</v>
      </c>
      <c r="J966" s="5">
        <v>0.1</v>
      </c>
      <c r="K966" s="6">
        <v>6</v>
      </c>
      <c r="L966" s="6">
        <v>4</v>
      </c>
      <c r="M966" t="s">
        <v>58</v>
      </c>
      <c r="N966" t="s">
        <v>59</v>
      </c>
      <c r="O966" t="s">
        <v>64</v>
      </c>
      <c r="P966" t="str">
        <f t="shared" si="105"/>
        <v>Small Business</v>
      </c>
      <c r="Q966" t="str">
        <f t="shared" si="106"/>
        <v>North</v>
      </c>
      <c r="R966" t="str">
        <f>PROPER(TRIM(E966))</f>
        <v>Home &amp; Kitchen</v>
      </c>
      <c r="S966" s="27">
        <f>IF(ISTEXT(B966),DATEVALUE(B966),B966)</f>
        <v>46003</v>
      </c>
      <c r="T966" s="27">
        <f>COUNTIF($A$2:$A$1986,A966)</f>
        <v>1</v>
      </c>
      <c r="U966" s="27" t="str">
        <f t="shared" si="107"/>
        <v>Electric Kettle</v>
      </c>
      <c r="V966" s="27">
        <f t="shared" si="108"/>
        <v>70.667999999999992</v>
      </c>
      <c r="W966" s="27">
        <f t="shared" si="109"/>
        <v>40.78</v>
      </c>
      <c r="X966" s="27">
        <f>RawSalesTable3[[#This Row],[Revenue]]-RawSalesTable3[[#This Row],[Total_Cost]]</f>
        <v>29.887999999999991</v>
      </c>
      <c r="Y966" s="28">
        <f>RawSalesTable3[[#This Row],[Profit]]/RawSalesTable3[[#This Row],[Revenue]]</f>
        <v>0.42293541631289966</v>
      </c>
      <c r="Z966" s="27" t="str">
        <f>TEXT(RawSalesTable3[[#This Row],[Order_Date_Clean]],"MMM YYYY")</f>
        <v>Dec 2025</v>
      </c>
      <c r="AA966" s="27"/>
      <c r="AB966" s="27">
        <f t="shared" si="110"/>
        <v>0</v>
      </c>
      <c r="AC966" s="27">
        <f t="shared" si="111"/>
        <v>0</v>
      </c>
    </row>
    <row r="967" spans="1:29">
      <c r="A967" t="s">
        <v>1068</v>
      </c>
      <c r="B967" s="3">
        <v>45981</v>
      </c>
      <c r="C967" t="s">
        <v>78</v>
      </c>
      <c r="D967" t="s">
        <v>62</v>
      </c>
      <c r="E967" t="s">
        <v>56</v>
      </c>
      <c r="F967" t="s">
        <v>63</v>
      </c>
      <c r="G967" s="6">
        <v>1</v>
      </c>
      <c r="H967" s="4">
        <v>39.75</v>
      </c>
      <c r="I967" s="4">
        <v>20.56</v>
      </c>
      <c r="J967" s="5">
        <v>0.15000000000000002</v>
      </c>
      <c r="K967" s="6">
        <v>2</v>
      </c>
      <c r="L967" s="6">
        <v>4</v>
      </c>
      <c r="M967" t="s">
        <v>58</v>
      </c>
      <c r="N967" t="s">
        <v>59</v>
      </c>
      <c r="O967" t="s">
        <v>64</v>
      </c>
      <c r="P967" t="str">
        <f t="shared" si="105"/>
        <v>Individual</v>
      </c>
      <c r="Q967" t="str">
        <f t="shared" si="106"/>
        <v>London</v>
      </c>
      <c r="R967" t="str">
        <f>PROPER(TRIM(E967))</f>
        <v>Home &amp; Kitchen</v>
      </c>
      <c r="S967" s="27">
        <f>IF(ISTEXT(B967),DATEVALUE(B967),B967)</f>
        <v>45981</v>
      </c>
      <c r="T967" s="27">
        <f>COUNTIF($A$2:$A$1986,A967)</f>
        <v>1</v>
      </c>
      <c r="U967" s="27" t="str">
        <f t="shared" si="107"/>
        <v>Electric Kettle</v>
      </c>
      <c r="V967" s="27">
        <f t="shared" si="108"/>
        <v>33.787500000000001</v>
      </c>
      <c r="W967" s="27">
        <f t="shared" si="109"/>
        <v>20.56</v>
      </c>
      <c r="X967" s="27">
        <f>RawSalesTable3[[#This Row],[Revenue]]-RawSalesTable3[[#This Row],[Total_Cost]]</f>
        <v>13.227500000000003</v>
      </c>
      <c r="Y967" s="28">
        <f>RawSalesTable3[[#This Row],[Profit]]/RawSalesTable3[[#This Row],[Revenue]]</f>
        <v>0.39149093599704038</v>
      </c>
      <c r="Z967" s="27" t="str">
        <f>TEXT(RawSalesTable3[[#This Row],[Order_Date_Clean]],"MMM YYYY")</f>
        <v>Nov 2025</v>
      </c>
      <c r="AA967" s="27"/>
      <c r="AB967" s="27">
        <f t="shared" si="110"/>
        <v>0</v>
      </c>
      <c r="AC967" s="27">
        <f t="shared" si="111"/>
        <v>0</v>
      </c>
    </row>
    <row r="968" spans="1:29">
      <c r="A968" t="s">
        <v>1069</v>
      </c>
      <c r="B968" s="3">
        <v>45981</v>
      </c>
      <c r="C968" t="s">
        <v>66</v>
      </c>
      <c r="D968" t="s">
        <v>55</v>
      </c>
      <c r="E968" t="s">
        <v>67</v>
      </c>
      <c r="F968" t="s">
        <v>71</v>
      </c>
      <c r="G968" s="6">
        <v>2</v>
      </c>
      <c r="H968" s="4">
        <v>71.959999999999994</v>
      </c>
      <c r="I968" s="4">
        <v>38.42</v>
      </c>
      <c r="J968" s="5">
        <v>0.15000000000000002</v>
      </c>
      <c r="K968" s="6">
        <v>6</v>
      </c>
      <c r="L968" s="6">
        <v>4</v>
      </c>
      <c r="M968" t="s">
        <v>58</v>
      </c>
      <c r="N968" t="s">
        <v>59</v>
      </c>
      <c r="O968" t="s">
        <v>64</v>
      </c>
      <c r="P968" t="str">
        <f t="shared" si="105"/>
        <v>Small Business</v>
      </c>
      <c r="Q968" t="str">
        <f t="shared" si="106"/>
        <v>South</v>
      </c>
      <c r="R968" t="str">
        <f>PROPER(TRIM(E968))</f>
        <v>Office</v>
      </c>
      <c r="S968" s="27">
        <f>IF(ISTEXT(B968),DATEVALUE(B968),B968)</f>
        <v>45981</v>
      </c>
      <c r="T968" s="27">
        <f>COUNTIF($A$2:$A$1986,A968)</f>
        <v>1</v>
      </c>
      <c r="U968" s="27" t="str">
        <f t="shared" si="107"/>
        <v>Ergonomic Keyboard</v>
      </c>
      <c r="V968" s="27">
        <f t="shared" si="108"/>
        <v>122.33199999999998</v>
      </c>
      <c r="W968" s="27">
        <f t="shared" si="109"/>
        <v>76.84</v>
      </c>
      <c r="X968" s="27">
        <f>RawSalesTable3[[#This Row],[Revenue]]-RawSalesTable3[[#This Row],[Total_Cost]]</f>
        <v>45.491999999999976</v>
      </c>
      <c r="Y968" s="28">
        <f>RawSalesTable3[[#This Row],[Profit]]/RawSalesTable3[[#This Row],[Revenue]]</f>
        <v>0.37187326292384643</v>
      </c>
      <c r="Z968" s="27" t="str">
        <f>TEXT(RawSalesTable3[[#This Row],[Order_Date_Clean]],"MMM YYYY")</f>
        <v>Nov 2025</v>
      </c>
      <c r="AA968" s="27"/>
      <c r="AB968" s="27">
        <f t="shared" si="110"/>
        <v>0</v>
      </c>
      <c r="AC968" s="27">
        <f t="shared" si="111"/>
        <v>0</v>
      </c>
    </row>
    <row r="969" spans="1:29">
      <c r="A969" t="s">
        <v>1070</v>
      </c>
      <c r="B969" s="3">
        <v>45992</v>
      </c>
      <c r="C969" t="s">
        <v>66</v>
      </c>
      <c r="D969" t="s">
        <v>62</v>
      </c>
      <c r="E969" t="s">
        <v>75</v>
      </c>
      <c r="F969" t="s">
        <v>76</v>
      </c>
      <c r="G969" s="6">
        <v>3</v>
      </c>
      <c r="H969" s="4">
        <v>124.67</v>
      </c>
      <c r="I969" s="4">
        <v>72.44</v>
      </c>
      <c r="J969" s="5">
        <v>0.05</v>
      </c>
      <c r="K969" s="6">
        <v>2</v>
      </c>
      <c r="L969" s="6">
        <v>4</v>
      </c>
      <c r="M969" t="s">
        <v>58</v>
      </c>
      <c r="N969" t="s">
        <v>69</v>
      </c>
      <c r="O969" t="s">
        <v>64</v>
      </c>
      <c r="P969" t="str">
        <f t="shared" si="105"/>
        <v>Individual</v>
      </c>
      <c r="Q969" t="str">
        <f t="shared" si="106"/>
        <v>South</v>
      </c>
      <c r="R969" t="str">
        <f>PROPER(TRIM(E969))</f>
        <v>Furniture</v>
      </c>
      <c r="S969" s="27">
        <f>IF(ISTEXT(B969),DATEVALUE(B969),B969)</f>
        <v>45992</v>
      </c>
      <c r="T969" s="27">
        <f>COUNTIF($A$2:$A$1986,A969)</f>
        <v>1</v>
      </c>
      <c r="U969" s="27" t="str">
        <f t="shared" si="107"/>
        <v>Bookshelf</v>
      </c>
      <c r="V969" s="27">
        <f t="shared" si="108"/>
        <v>355.30949999999996</v>
      </c>
      <c r="W969" s="27">
        <f t="shared" si="109"/>
        <v>217.32</v>
      </c>
      <c r="X969" s="27">
        <f>RawSalesTable3[[#This Row],[Revenue]]-RawSalesTable3[[#This Row],[Total_Cost]]</f>
        <v>137.98949999999996</v>
      </c>
      <c r="Y969" s="28">
        <f>RawSalesTable3[[#This Row],[Profit]]/RawSalesTable3[[#This Row],[Revenue]]</f>
        <v>0.38836422893280359</v>
      </c>
      <c r="Z969" s="27" t="str">
        <f>TEXT(RawSalesTable3[[#This Row],[Order_Date_Clean]],"MMM YYYY")</f>
        <v>Dec 2025</v>
      </c>
      <c r="AA969" s="27"/>
      <c r="AB969" s="27">
        <f t="shared" si="110"/>
        <v>0</v>
      </c>
      <c r="AC969" s="27">
        <f t="shared" si="111"/>
        <v>0</v>
      </c>
    </row>
    <row r="970" spans="1:29">
      <c r="A970" t="s">
        <v>1071</v>
      </c>
      <c r="B970" s="3">
        <v>45886</v>
      </c>
      <c r="C970" t="s">
        <v>66</v>
      </c>
      <c r="D970" t="s">
        <v>62</v>
      </c>
      <c r="E970" t="s">
        <v>75</v>
      </c>
      <c r="F970" t="s">
        <v>76</v>
      </c>
      <c r="G970" s="6">
        <v>2</v>
      </c>
      <c r="H970" s="4">
        <v>120.49</v>
      </c>
      <c r="I970" s="4">
        <v>72.2</v>
      </c>
      <c r="J970" s="5">
        <v>0.15000000000000002</v>
      </c>
      <c r="K970" s="6">
        <v>7</v>
      </c>
      <c r="L970" s="6">
        <v>4</v>
      </c>
      <c r="M970" t="s">
        <v>58</v>
      </c>
      <c r="N970" t="s">
        <v>59</v>
      </c>
      <c r="O970" t="s">
        <v>73</v>
      </c>
      <c r="P970" t="str">
        <f t="shared" si="105"/>
        <v>Individual</v>
      </c>
      <c r="Q970" t="str">
        <f t="shared" si="106"/>
        <v>South</v>
      </c>
      <c r="R970" t="str">
        <f>PROPER(TRIM(E970))</f>
        <v>Furniture</v>
      </c>
      <c r="S970" s="27">
        <f>IF(ISTEXT(B970),DATEVALUE(B970),B970)</f>
        <v>45886</v>
      </c>
      <c r="T970" s="27">
        <f>COUNTIF($A$2:$A$1986,A970)</f>
        <v>1</v>
      </c>
      <c r="U970" s="27" t="str">
        <f t="shared" si="107"/>
        <v>Bookshelf</v>
      </c>
      <c r="V970" s="27">
        <f t="shared" si="108"/>
        <v>204.833</v>
      </c>
      <c r="W970" s="27">
        <f t="shared" si="109"/>
        <v>144.4</v>
      </c>
      <c r="X970" s="27">
        <f>RawSalesTable3[[#This Row],[Revenue]]-RawSalesTable3[[#This Row],[Total_Cost]]</f>
        <v>60.432999999999993</v>
      </c>
      <c r="Y970" s="28">
        <f>RawSalesTable3[[#This Row],[Profit]]/RawSalesTable3[[#This Row],[Revenue]]</f>
        <v>0.29503546791776714</v>
      </c>
      <c r="Z970" s="27" t="str">
        <f>TEXT(RawSalesTable3[[#This Row],[Order_Date_Clean]],"MMM YYYY")</f>
        <v>Aug 2025</v>
      </c>
      <c r="AA970" s="27"/>
      <c r="AB970" s="27">
        <f t="shared" si="110"/>
        <v>0</v>
      </c>
      <c r="AC970" s="27">
        <f t="shared" si="111"/>
        <v>0</v>
      </c>
    </row>
    <row r="971" spans="1:29">
      <c r="A971" t="s">
        <v>1072</v>
      </c>
      <c r="B971" s="3">
        <v>46011</v>
      </c>
      <c r="C971" t="s">
        <v>82</v>
      </c>
      <c r="D971" t="s">
        <v>55</v>
      </c>
      <c r="E971" t="s">
        <v>56</v>
      </c>
      <c r="F971" t="s">
        <v>57</v>
      </c>
      <c r="G971" s="6">
        <v>1</v>
      </c>
      <c r="H971" s="4">
        <v>114.21</v>
      </c>
      <c r="I971" s="4">
        <v>64.989999999999995</v>
      </c>
      <c r="J971" s="5">
        <v>0.15000000000000002</v>
      </c>
      <c r="K971" s="6">
        <v>5</v>
      </c>
      <c r="L971" s="6">
        <v>5</v>
      </c>
      <c r="M971" t="s">
        <v>58</v>
      </c>
      <c r="N971" t="s">
        <v>59</v>
      </c>
      <c r="O971" t="s">
        <v>60</v>
      </c>
      <c r="P971" t="str">
        <f t="shared" si="105"/>
        <v>Small Business</v>
      </c>
      <c r="Q971" t="str">
        <f t="shared" si="106"/>
        <v>Midlands</v>
      </c>
      <c r="R971" t="str">
        <f>PROPER(TRIM(E971))</f>
        <v>Home &amp; Kitchen</v>
      </c>
      <c r="S971" s="27">
        <f>IF(ISTEXT(B971),DATEVALUE(B971),B971)</f>
        <v>46011</v>
      </c>
      <c r="T971" s="27">
        <f>COUNTIF($A$2:$A$1986,A971)</f>
        <v>1</v>
      </c>
      <c r="U971" s="27" t="str">
        <f t="shared" si="107"/>
        <v>Air Fryer</v>
      </c>
      <c r="V971" s="27">
        <f t="shared" si="108"/>
        <v>97.078499999999991</v>
      </c>
      <c r="W971" s="27">
        <f t="shared" si="109"/>
        <v>64.989999999999995</v>
      </c>
      <c r="X971" s="27">
        <f>RawSalesTable3[[#This Row],[Revenue]]-RawSalesTable3[[#This Row],[Total_Cost]]</f>
        <v>32.088499999999996</v>
      </c>
      <c r="Y971" s="28">
        <f>RawSalesTable3[[#This Row],[Profit]]/RawSalesTable3[[#This Row],[Revenue]]</f>
        <v>0.33054177804560225</v>
      </c>
      <c r="Z971" s="27" t="str">
        <f>TEXT(RawSalesTable3[[#This Row],[Order_Date_Clean]],"MMM YYYY")</f>
        <v>Dec 2025</v>
      </c>
      <c r="AA971" s="27"/>
      <c r="AB971" s="27">
        <f t="shared" si="110"/>
        <v>0</v>
      </c>
      <c r="AC971" s="27">
        <f t="shared" si="111"/>
        <v>0</v>
      </c>
    </row>
    <row r="972" spans="1:29">
      <c r="A972" t="s">
        <v>1073</v>
      </c>
      <c r="B972" s="3">
        <v>46022</v>
      </c>
      <c r="C972" t="s">
        <v>66</v>
      </c>
      <c r="D972" t="s">
        <v>129</v>
      </c>
      <c r="E972" t="s">
        <v>56</v>
      </c>
      <c r="F972" t="s">
        <v>63</v>
      </c>
      <c r="G972" s="6">
        <v>10</v>
      </c>
      <c r="H972" s="4">
        <v>40.659999999999997</v>
      </c>
      <c r="I972" s="4">
        <v>20.36</v>
      </c>
      <c r="J972" s="5">
        <v>0.2</v>
      </c>
      <c r="K972" s="6">
        <v>1</v>
      </c>
      <c r="L972" s="6">
        <v>3</v>
      </c>
      <c r="M972" t="s">
        <v>126</v>
      </c>
      <c r="N972" t="s">
        <v>59</v>
      </c>
      <c r="O972" t="s">
        <v>73</v>
      </c>
      <c r="P972" t="str">
        <f t="shared" si="105"/>
        <v>Corporate</v>
      </c>
      <c r="Q972" t="str">
        <f t="shared" si="106"/>
        <v>South</v>
      </c>
      <c r="R972" t="str">
        <f>PROPER(TRIM(E972))</f>
        <v>Home &amp; Kitchen</v>
      </c>
      <c r="S972" s="27">
        <f>IF(ISTEXT(B972),DATEVALUE(B972),B972)</f>
        <v>46022</v>
      </c>
      <c r="T972" s="27">
        <f>COUNTIF($A$2:$A$1986,A972)</f>
        <v>1</v>
      </c>
      <c r="U972" s="27" t="str">
        <f t="shared" si="107"/>
        <v>Electric Kettle</v>
      </c>
      <c r="V972" s="27">
        <f t="shared" si="108"/>
        <v>325.27999999999997</v>
      </c>
      <c r="W972" s="27">
        <f t="shared" si="109"/>
        <v>203.6</v>
      </c>
      <c r="X972" s="27">
        <f>RawSalesTable3[[#This Row],[Revenue]]-RawSalesTable3[[#This Row],[Total_Cost]]</f>
        <v>121.67999999999998</v>
      </c>
      <c r="Y972" s="28">
        <f>RawSalesTable3[[#This Row],[Profit]]/RawSalesTable3[[#This Row],[Revenue]]</f>
        <v>0.37407771765863251</v>
      </c>
      <c r="Z972" s="27" t="str">
        <f>TEXT(RawSalesTable3[[#This Row],[Order_Date_Clean]],"MMM YYYY")</f>
        <v>Dec 2025</v>
      </c>
      <c r="AA972" s="27"/>
      <c r="AB972" s="27">
        <f t="shared" si="110"/>
        <v>0</v>
      </c>
      <c r="AC972" s="27">
        <f t="shared" si="111"/>
        <v>0</v>
      </c>
    </row>
    <row r="973" spans="1:29">
      <c r="A973" t="s">
        <v>1074</v>
      </c>
      <c r="B973" s="3">
        <v>45795</v>
      </c>
      <c r="C973" t="s">
        <v>82</v>
      </c>
      <c r="D973" t="s">
        <v>55</v>
      </c>
      <c r="E973" t="s">
        <v>56</v>
      </c>
      <c r="F973" t="s">
        <v>57</v>
      </c>
      <c r="G973" s="6">
        <v>1</v>
      </c>
      <c r="H973" s="4">
        <v>111.19</v>
      </c>
      <c r="I973" s="4">
        <v>67.010000000000005</v>
      </c>
      <c r="J973" s="5">
        <v>0</v>
      </c>
      <c r="K973" s="6">
        <v>1</v>
      </c>
      <c r="L973" s="6">
        <v>4</v>
      </c>
      <c r="M973" t="s">
        <v>58</v>
      </c>
      <c r="N973" t="s">
        <v>59</v>
      </c>
      <c r="O973" t="s">
        <v>64</v>
      </c>
      <c r="P973" t="str">
        <f t="shared" si="105"/>
        <v>Small Business</v>
      </c>
      <c r="Q973" t="str">
        <f t="shared" si="106"/>
        <v>Midlands</v>
      </c>
      <c r="R973" t="str">
        <f>PROPER(TRIM(E973))</f>
        <v>Home &amp; Kitchen</v>
      </c>
      <c r="S973" s="27">
        <f>IF(ISTEXT(B973),DATEVALUE(B973),B973)</f>
        <v>45795</v>
      </c>
      <c r="T973" s="27">
        <f>COUNTIF($A$2:$A$1986,A973)</f>
        <v>1</v>
      </c>
      <c r="U973" s="27" t="str">
        <f t="shared" si="107"/>
        <v>Air Fryer</v>
      </c>
      <c r="V973" s="27">
        <f t="shared" si="108"/>
        <v>111.19</v>
      </c>
      <c r="W973" s="27">
        <f t="shared" si="109"/>
        <v>67.010000000000005</v>
      </c>
      <c r="X973" s="27">
        <f>RawSalesTable3[[#This Row],[Revenue]]-RawSalesTable3[[#This Row],[Total_Cost]]</f>
        <v>44.179999999999993</v>
      </c>
      <c r="Y973" s="28">
        <f>RawSalesTable3[[#This Row],[Profit]]/RawSalesTable3[[#This Row],[Revenue]]</f>
        <v>0.39733789009803033</v>
      </c>
      <c r="Z973" s="27" t="str">
        <f>TEXT(RawSalesTable3[[#This Row],[Order_Date_Clean]],"MMM YYYY")</f>
        <v>May 2025</v>
      </c>
      <c r="AA973" s="27"/>
      <c r="AB973" s="27">
        <f t="shared" si="110"/>
        <v>0</v>
      </c>
      <c r="AC973" s="27">
        <f t="shared" si="111"/>
        <v>0</v>
      </c>
    </row>
    <row r="974" spans="1:29">
      <c r="A974" t="s">
        <v>1075</v>
      </c>
      <c r="B974" s="3">
        <v>45735</v>
      </c>
      <c r="C974" t="s">
        <v>82</v>
      </c>
      <c r="D974" t="s">
        <v>62</v>
      </c>
      <c r="E974" t="s">
        <v>79</v>
      </c>
      <c r="F974" t="s">
        <v>80</v>
      </c>
      <c r="G974" s="6">
        <v>1</v>
      </c>
      <c r="H974" s="4">
        <v>76.47</v>
      </c>
      <c r="I974" s="4">
        <v>42.93</v>
      </c>
      <c r="J974" s="5">
        <v>0</v>
      </c>
      <c r="K974" s="6">
        <v>5</v>
      </c>
      <c r="L974" s="6">
        <v>4</v>
      </c>
      <c r="M974" t="s">
        <v>58</v>
      </c>
      <c r="N974" t="s">
        <v>59</v>
      </c>
      <c r="O974" t="s">
        <v>73</v>
      </c>
      <c r="P974" t="str">
        <f t="shared" si="105"/>
        <v>Individual</v>
      </c>
      <c r="Q974" t="str">
        <f t="shared" si="106"/>
        <v>Midlands</v>
      </c>
      <c r="R974" t="str">
        <f>PROPER(TRIM(E974))</f>
        <v>Electronics</v>
      </c>
      <c r="S974" s="27">
        <f>IF(ISTEXT(B974),DATEVALUE(B974),B974)</f>
        <v>45735</v>
      </c>
      <c r="T974" s="27">
        <f>COUNTIF($A$2:$A$1986,A974)</f>
        <v>1</v>
      </c>
      <c r="U974" s="27" t="str">
        <f t="shared" si="107"/>
        <v>Portable Speaker</v>
      </c>
      <c r="V974" s="27">
        <f t="shared" si="108"/>
        <v>76.47</v>
      </c>
      <c r="W974" s="27">
        <f t="shared" si="109"/>
        <v>42.93</v>
      </c>
      <c r="X974" s="27">
        <f>RawSalesTable3[[#This Row],[Revenue]]-RawSalesTable3[[#This Row],[Total_Cost]]</f>
        <v>33.54</v>
      </c>
      <c r="Y974" s="28">
        <f>RawSalesTable3[[#This Row],[Profit]]/RawSalesTable3[[#This Row],[Revenue]]</f>
        <v>0.43860337387210668</v>
      </c>
      <c r="Z974" s="27" t="str">
        <f>TEXT(RawSalesTable3[[#This Row],[Order_Date_Clean]],"MMM YYYY")</f>
        <v>Mar 2025</v>
      </c>
      <c r="AA974" s="27"/>
      <c r="AB974" s="27">
        <f t="shared" si="110"/>
        <v>0</v>
      </c>
      <c r="AC974" s="27">
        <f t="shared" si="111"/>
        <v>0</v>
      </c>
    </row>
    <row r="975" spans="1:29">
      <c r="A975" t="s">
        <v>1076</v>
      </c>
      <c r="B975" s="3">
        <v>45659</v>
      </c>
      <c r="C975" t="s">
        <v>78</v>
      </c>
      <c r="D975" t="s">
        <v>62</v>
      </c>
      <c r="E975" t="s">
        <v>79</v>
      </c>
      <c r="F975" t="s">
        <v>115</v>
      </c>
      <c r="G975" s="6">
        <v>1</v>
      </c>
      <c r="H975" s="4">
        <v>59.85</v>
      </c>
      <c r="I975" s="4">
        <v>35.33</v>
      </c>
      <c r="J975" s="5">
        <v>0.05</v>
      </c>
      <c r="K975" s="6">
        <v>4</v>
      </c>
      <c r="L975" s="6">
        <v>4</v>
      </c>
      <c r="M975" t="s">
        <v>58</v>
      </c>
      <c r="N975" t="s">
        <v>69</v>
      </c>
      <c r="O975" t="s">
        <v>64</v>
      </c>
      <c r="P975" t="str">
        <f t="shared" si="105"/>
        <v>Individual</v>
      </c>
      <c r="Q975" t="str">
        <f t="shared" si="106"/>
        <v>London</v>
      </c>
      <c r="R975" t="str">
        <f>PROPER(TRIM(E975))</f>
        <v>Electronics</v>
      </c>
      <c r="S975" s="27">
        <f>IF(ISTEXT(B975),DATEVALUE(B975),B975)</f>
        <v>45659</v>
      </c>
      <c r="T975" s="27">
        <f>COUNTIF($A$2:$A$1986,A975)</f>
        <v>1</v>
      </c>
      <c r="U975" s="27" t="str">
        <f t="shared" si="107"/>
        <v>Wireless Headset</v>
      </c>
      <c r="V975" s="27">
        <f t="shared" si="108"/>
        <v>56.857500000000002</v>
      </c>
      <c r="W975" s="27">
        <f t="shared" si="109"/>
        <v>35.33</v>
      </c>
      <c r="X975" s="27">
        <f>RawSalesTable3[[#This Row],[Revenue]]-RawSalesTable3[[#This Row],[Total_Cost]]</f>
        <v>21.527500000000003</v>
      </c>
      <c r="Y975" s="28">
        <f>RawSalesTable3[[#This Row],[Profit]]/RawSalesTable3[[#This Row],[Revenue]]</f>
        <v>0.37862199358044241</v>
      </c>
      <c r="Z975" s="27" t="str">
        <f>TEXT(RawSalesTable3[[#This Row],[Order_Date_Clean]],"MMM YYYY")</f>
        <v>Jan 2025</v>
      </c>
      <c r="AA975" s="27"/>
      <c r="AB975" s="27">
        <f t="shared" si="110"/>
        <v>0</v>
      </c>
      <c r="AC975" s="27">
        <f t="shared" si="111"/>
        <v>0</v>
      </c>
    </row>
    <row r="976" spans="1:29">
      <c r="A976" t="s">
        <v>1077</v>
      </c>
      <c r="B976" s="3">
        <v>45977</v>
      </c>
      <c r="C976" t="s">
        <v>66</v>
      </c>
      <c r="D976" t="s">
        <v>55</v>
      </c>
      <c r="E976" t="s">
        <v>56</v>
      </c>
      <c r="F976" t="s">
        <v>57</v>
      </c>
      <c r="G976" s="6">
        <v>5</v>
      </c>
      <c r="H976" s="4">
        <v>107.57</v>
      </c>
      <c r="I976" s="4">
        <v>65.84</v>
      </c>
      <c r="J976" s="5">
        <v>0.1</v>
      </c>
      <c r="K976" s="6">
        <v>6</v>
      </c>
      <c r="L976" s="6">
        <v>4</v>
      </c>
      <c r="M976" t="s">
        <v>58</v>
      </c>
      <c r="N976" t="s">
        <v>87</v>
      </c>
      <c r="O976" t="s">
        <v>64</v>
      </c>
      <c r="P976" t="str">
        <f t="shared" si="105"/>
        <v>Small Business</v>
      </c>
      <c r="Q976" t="str">
        <f t="shared" si="106"/>
        <v>South</v>
      </c>
      <c r="R976" t="str">
        <f>PROPER(TRIM(E976))</f>
        <v>Home &amp; Kitchen</v>
      </c>
      <c r="S976" s="27">
        <f>IF(ISTEXT(B976),DATEVALUE(B976),B976)</f>
        <v>45977</v>
      </c>
      <c r="T976" s="27">
        <f>COUNTIF($A$2:$A$1986,A976)</f>
        <v>1</v>
      </c>
      <c r="U976" s="27" t="str">
        <f t="shared" si="107"/>
        <v>Air Fryer</v>
      </c>
      <c r="V976" s="27">
        <f t="shared" si="108"/>
        <v>484.06499999999994</v>
      </c>
      <c r="W976" s="27">
        <f t="shared" si="109"/>
        <v>329.20000000000005</v>
      </c>
      <c r="X976" s="27">
        <f>RawSalesTable3[[#This Row],[Revenue]]-RawSalesTable3[[#This Row],[Total_Cost]]</f>
        <v>154.8649999999999</v>
      </c>
      <c r="Y976" s="28">
        <f>RawSalesTable3[[#This Row],[Profit]]/RawSalesTable3[[#This Row],[Revenue]]</f>
        <v>0.31992604299009414</v>
      </c>
      <c r="Z976" s="27" t="str">
        <f>TEXT(RawSalesTable3[[#This Row],[Order_Date_Clean]],"MMM YYYY")</f>
        <v>Nov 2025</v>
      </c>
      <c r="AA976" s="27"/>
      <c r="AB976" s="27">
        <f t="shared" si="110"/>
        <v>0</v>
      </c>
      <c r="AC976" s="27">
        <f t="shared" si="111"/>
        <v>0</v>
      </c>
    </row>
    <row r="977" spans="1:29">
      <c r="A977" t="s">
        <v>1078</v>
      </c>
      <c r="B977" s="3">
        <v>45662</v>
      </c>
      <c r="C977" t="s">
        <v>78</v>
      </c>
      <c r="D977" t="s">
        <v>62</v>
      </c>
      <c r="E977" t="s">
        <v>79</v>
      </c>
      <c r="F977" t="s">
        <v>115</v>
      </c>
      <c r="G977" s="6">
        <v>2</v>
      </c>
      <c r="H977" s="4">
        <v>60.58</v>
      </c>
      <c r="I977" s="4">
        <v>34.03</v>
      </c>
      <c r="J977" s="5">
        <v>0</v>
      </c>
      <c r="K977" s="6">
        <v>0</v>
      </c>
      <c r="L977" s="6">
        <v>4</v>
      </c>
      <c r="M977" t="s">
        <v>58</v>
      </c>
      <c r="N977" t="s">
        <v>69</v>
      </c>
      <c r="O977" t="s">
        <v>64</v>
      </c>
      <c r="P977" t="str">
        <f t="shared" si="105"/>
        <v>Individual</v>
      </c>
      <c r="Q977" t="str">
        <f t="shared" si="106"/>
        <v>London</v>
      </c>
      <c r="R977" t="str">
        <f>PROPER(TRIM(E977))</f>
        <v>Electronics</v>
      </c>
      <c r="S977" s="27">
        <f>IF(ISTEXT(B977),DATEVALUE(B977),B977)</f>
        <v>45662</v>
      </c>
      <c r="T977" s="27">
        <f>COUNTIF($A$2:$A$1986,A977)</f>
        <v>1</v>
      </c>
      <c r="U977" s="27" t="str">
        <f t="shared" si="107"/>
        <v>Wireless Headset</v>
      </c>
      <c r="V977" s="27">
        <f t="shared" si="108"/>
        <v>121.16</v>
      </c>
      <c r="W977" s="27">
        <f t="shared" si="109"/>
        <v>68.06</v>
      </c>
      <c r="X977" s="27">
        <f>RawSalesTable3[[#This Row],[Revenue]]-RawSalesTable3[[#This Row],[Total_Cost]]</f>
        <v>53.099999999999994</v>
      </c>
      <c r="Y977" s="28">
        <f>RawSalesTable3[[#This Row],[Profit]]/RawSalesTable3[[#This Row],[Revenue]]</f>
        <v>0.43826345328491245</v>
      </c>
      <c r="Z977" s="27" t="str">
        <f>TEXT(RawSalesTable3[[#This Row],[Order_Date_Clean]],"MMM YYYY")</f>
        <v>Jan 2025</v>
      </c>
      <c r="AA977" s="27"/>
      <c r="AB977" s="27">
        <f t="shared" si="110"/>
        <v>0</v>
      </c>
      <c r="AC977" s="27">
        <f t="shared" si="111"/>
        <v>0</v>
      </c>
    </row>
    <row r="978" spans="1:29">
      <c r="A978" t="s">
        <v>1079</v>
      </c>
      <c r="B978" s="3">
        <v>46016</v>
      </c>
      <c r="C978" t="s">
        <v>82</v>
      </c>
      <c r="D978" t="s">
        <v>62</v>
      </c>
      <c r="E978" t="s">
        <v>79</v>
      </c>
      <c r="F978" t="s">
        <v>92</v>
      </c>
      <c r="G978" s="6">
        <v>2</v>
      </c>
      <c r="H978" s="4">
        <v>50.23</v>
      </c>
      <c r="I978" s="4">
        <v>25.58</v>
      </c>
      <c r="J978" s="5">
        <v>0.05</v>
      </c>
      <c r="K978" s="6">
        <v>0</v>
      </c>
      <c r="L978" s="6">
        <v>3</v>
      </c>
      <c r="M978" t="s">
        <v>126</v>
      </c>
      <c r="N978" t="s">
        <v>69</v>
      </c>
      <c r="O978" t="s">
        <v>60</v>
      </c>
      <c r="P978" t="str">
        <f t="shared" si="105"/>
        <v>Individual</v>
      </c>
      <c r="Q978" t="str">
        <f t="shared" si="106"/>
        <v>Midlands</v>
      </c>
      <c r="R978" t="str">
        <f>PROPER(TRIM(E978))</f>
        <v>Electronics</v>
      </c>
      <c r="S978" s="27">
        <f>IF(ISTEXT(B978),DATEVALUE(B978),B978)</f>
        <v>46016</v>
      </c>
      <c r="T978" s="27">
        <f>COUNTIF($A$2:$A$1986,A978)</f>
        <v>1</v>
      </c>
      <c r="U978" s="27" t="str">
        <f t="shared" si="107"/>
        <v>Webcam</v>
      </c>
      <c r="V978" s="27">
        <f t="shared" si="108"/>
        <v>95.436999999999983</v>
      </c>
      <c r="W978" s="27">
        <f t="shared" si="109"/>
        <v>51.16</v>
      </c>
      <c r="X978" s="27">
        <f>RawSalesTable3[[#This Row],[Revenue]]-RawSalesTable3[[#This Row],[Total_Cost]]</f>
        <v>44.276999999999987</v>
      </c>
      <c r="Y978" s="28">
        <f>RawSalesTable3[[#This Row],[Profit]]/RawSalesTable3[[#This Row],[Revenue]]</f>
        <v>0.4639395622242945</v>
      </c>
      <c r="Z978" s="27" t="str">
        <f>TEXT(RawSalesTable3[[#This Row],[Order_Date_Clean]],"MMM YYYY")</f>
        <v>Dec 2025</v>
      </c>
      <c r="AA978" s="27"/>
      <c r="AB978" s="27">
        <f t="shared" si="110"/>
        <v>0</v>
      </c>
      <c r="AC978" s="27">
        <f t="shared" si="111"/>
        <v>0</v>
      </c>
    </row>
    <row r="979" spans="1:29">
      <c r="A979" t="s">
        <v>1080</v>
      </c>
      <c r="B979" s="3">
        <v>45924</v>
      </c>
      <c r="C979" t="s">
        <v>66</v>
      </c>
      <c r="D979" t="s">
        <v>62</v>
      </c>
      <c r="E979" t="s">
        <v>75</v>
      </c>
      <c r="F979" t="s">
        <v>76</v>
      </c>
      <c r="G979" s="6">
        <v>1</v>
      </c>
      <c r="H979" s="4">
        <v>117.38</v>
      </c>
      <c r="I979" s="4">
        <v>72.44</v>
      </c>
      <c r="J979" s="5">
        <v>0.1</v>
      </c>
      <c r="K979" s="6">
        <v>2</v>
      </c>
      <c r="L979" s="6">
        <v>4</v>
      </c>
      <c r="M979" t="s">
        <v>58</v>
      </c>
      <c r="N979" t="s">
        <v>69</v>
      </c>
      <c r="O979" t="s">
        <v>64</v>
      </c>
      <c r="P979" t="str">
        <f t="shared" si="105"/>
        <v>Individual</v>
      </c>
      <c r="Q979" t="str">
        <f t="shared" si="106"/>
        <v>South</v>
      </c>
      <c r="R979" t="str">
        <f>PROPER(TRIM(E979))</f>
        <v>Furniture</v>
      </c>
      <c r="S979" s="27">
        <f>IF(ISTEXT(B979),DATEVALUE(B979),B979)</f>
        <v>45924</v>
      </c>
      <c r="T979" s="27">
        <f>COUNTIF($A$2:$A$1986,A979)</f>
        <v>1</v>
      </c>
      <c r="U979" s="27" t="str">
        <f t="shared" si="107"/>
        <v>Bookshelf</v>
      </c>
      <c r="V979" s="27">
        <f t="shared" si="108"/>
        <v>105.642</v>
      </c>
      <c r="W979" s="27">
        <f t="shared" si="109"/>
        <v>72.44</v>
      </c>
      <c r="X979" s="27">
        <f>RawSalesTable3[[#This Row],[Revenue]]-RawSalesTable3[[#This Row],[Total_Cost]]</f>
        <v>33.201999999999998</v>
      </c>
      <c r="Y979" s="28">
        <f>RawSalesTable3[[#This Row],[Profit]]/RawSalesTable3[[#This Row],[Revenue]]</f>
        <v>0.31428787792733948</v>
      </c>
      <c r="Z979" s="27" t="str">
        <f>TEXT(RawSalesTable3[[#This Row],[Order_Date_Clean]],"MMM YYYY")</f>
        <v>Sep 2025</v>
      </c>
      <c r="AA979" s="27"/>
      <c r="AB979" s="27">
        <f t="shared" si="110"/>
        <v>0</v>
      </c>
      <c r="AC979" s="27">
        <f t="shared" si="111"/>
        <v>0</v>
      </c>
    </row>
    <row r="980" spans="1:29">
      <c r="A980" t="s">
        <v>1081</v>
      </c>
      <c r="B980" s="3">
        <v>45750</v>
      </c>
      <c r="C980" t="s">
        <v>78</v>
      </c>
      <c r="D980" t="s">
        <v>55</v>
      </c>
      <c r="E980" t="s">
        <v>56</v>
      </c>
      <c r="F980" t="s">
        <v>89</v>
      </c>
      <c r="G980" s="6">
        <v>3</v>
      </c>
      <c r="H980" s="4">
        <v>80.67</v>
      </c>
      <c r="I980" s="4">
        <v>46.22</v>
      </c>
      <c r="J980" s="5">
        <v>0</v>
      </c>
      <c r="K980" s="6">
        <v>0</v>
      </c>
      <c r="L980" s="6">
        <v>5</v>
      </c>
      <c r="M980" t="s">
        <v>58</v>
      </c>
      <c r="N980" t="s">
        <v>69</v>
      </c>
      <c r="O980" t="s">
        <v>64</v>
      </c>
      <c r="P980" t="str">
        <f t="shared" si="105"/>
        <v>Small Business</v>
      </c>
      <c r="Q980" t="str">
        <f t="shared" si="106"/>
        <v>London</v>
      </c>
      <c r="R980" t="str">
        <f>PROPER(TRIM(E980))</f>
        <v>Home &amp; Kitchen</v>
      </c>
      <c r="S980" s="27">
        <f>IF(ISTEXT(B980),DATEVALUE(B980),B980)</f>
        <v>45750</v>
      </c>
      <c r="T980" s="27">
        <f>COUNTIF($A$2:$A$1986,A980)</f>
        <v>1</v>
      </c>
      <c r="U980" s="27" t="str">
        <f t="shared" si="107"/>
        <v>Coffee Maker</v>
      </c>
      <c r="V980" s="27">
        <f t="shared" si="108"/>
        <v>242.01</v>
      </c>
      <c r="W980" s="27">
        <f t="shared" si="109"/>
        <v>138.66</v>
      </c>
      <c r="X980" s="27">
        <f>RawSalesTable3[[#This Row],[Revenue]]-RawSalesTable3[[#This Row],[Total_Cost]]</f>
        <v>103.35</v>
      </c>
      <c r="Y980" s="28">
        <f>RawSalesTable3[[#This Row],[Profit]]/RawSalesTable3[[#This Row],[Revenue]]</f>
        <v>0.42704846907152594</v>
      </c>
      <c r="Z980" s="27" t="str">
        <f>TEXT(RawSalesTable3[[#This Row],[Order_Date_Clean]],"MMM YYYY")</f>
        <v>Apr 2025</v>
      </c>
      <c r="AA980" s="27"/>
      <c r="AB980" s="27">
        <f t="shared" si="110"/>
        <v>0</v>
      </c>
      <c r="AC980" s="27">
        <f t="shared" si="111"/>
        <v>0</v>
      </c>
    </row>
    <row r="981" spans="1:29">
      <c r="A981" t="s">
        <v>1082</v>
      </c>
      <c r="B981" s="3">
        <v>45889</v>
      </c>
      <c r="C981" t="s">
        <v>78</v>
      </c>
      <c r="D981" t="s">
        <v>62</v>
      </c>
      <c r="E981" t="s">
        <v>67</v>
      </c>
      <c r="F981" t="s">
        <v>68</v>
      </c>
      <c r="G981" s="6">
        <v>1</v>
      </c>
      <c r="H981" s="4">
        <v>38.799999999999997</v>
      </c>
      <c r="I981" s="4">
        <v>19.62</v>
      </c>
      <c r="J981" s="5">
        <v>0</v>
      </c>
      <c r="K981" s="6">
        <v>2</v>
      </c>
      <c r="L981" s="6">
        <v>5</v>
      </c>
      <c r="M981" t="s">
        <v>58</v>
      </c>
      <c r="N981" t="s">
        <v>59</v>
      </c>
      <c r="O981" t="s">
        <v>60</v>
      </c>
      <c r="P981" t="str">
        <f t="shared" si="105"/>
        <v>Individual</v>
      </c>
      <c r="Q981" t="str">
        <f t="shared" si="106"/>
        <v>London</v>
      </c>
      <c r="R981" t="str">
        <f>PROPER(TRIM(E981))</f>
        <v>Office</v>
      </c>
      <c r="S981" s="27">
        <f>IF(ISTEXT(B981),DATEVALUE(B981),B981)</f>
        <v>45889</v>
      </c>
      <c r="T981" s="27">
        <f>COUNTIF($A$2:$A$1986,A981)</f>
        <v>1</v>
      </c>
      <c r="U981" s="27" t="str">
        <f t="shared" si="107"/>
        <v>Desk Lamp</v>
      </c>
      <c r="V981" s="27">
        <f t="shared" si="108"/>
        <v>38.799999999999997</v>
      </c>
      <c r="W981" s="27">
        <f t="shared" si="109"/>
        <v>19.62</v>
      </c>
      <c r="X981" s="27">
        <f>RawSalesTable3[[#This Row],[Revenue]]-RawSalesTable3[[#This Row],[Total_Cost]]</f>
        <v>19.179999999999996</v>
      </c>
      <c r="Y981" s="28">
        <f>RawSalesTable3[[#This Row],[Profit]]/RawSalesTable3[[#This Row],[Revenue]]</f>
        <v>0.49432989690721646</v>
      </c>
      <c r="Z981" s="27" t="str">
        <f>TEXT(RawSalesTable3[[#This Row],[Order_Date_Clean]],"MMM YYYY")</f>
        <v>Aug 2025</v>
      </c>
      <c r="AA981" s="27"/>
      <c r="AB981" s="27">
        <f t="shared" si="110"/>
        <v>0</v>
      </c>
      <c r="AC981" s="27">
        <f t="shared" si="111"/>
        <v>0</v>
      </c>
    </row>
    <row r="982" spans="1:29">
      <c r="A982" t="s">
        <v>1083</v>
      </c>
      <c r="B982" s="3">
        <v>45766</v>
      </c>
      <c r="C982" t="s">
        <v>54</v>
      </c>
      <c r="D982" t="s">
        <v>129</v>
      </c>
      <c r="E982" t="s">
        <v>79</v>
      </c>
      <c r="F982" t="s">
        <v>92</v>
      </c>
      <c r="G982" s="6">
        <v>8</v>
      </c>
      <c r="H982" s="4">
        <v>51.84</v>
      </c>
      <c r="I982" s="4">
        <v>26.94</v>
      </c>
      <c r="J982" s="5">
        <v>0.05</v>
      </c>
      <c r="K982" s="6">
        <v>0</v>
      </c>
      <c r="L982" s="6">
        <v>4</v>
      </c>
      <c r="M982" t="s">
        <v>58</v>
      </c>
      <c r="N982" t="s">
        <v>69</v>
      </c>
      <c r="O982" t="s">
        <v>60</v>
      </c>
      <c r="P982" t="str">
        <f t="shared" si="105"/>
        <v>Corporate</v>
      </c>
      <c r="Q982" t="str">
        <f t="shared" si="106"/>
        <v>North</v>
      </c>
      <c r="R982" t="str">
        <f>PROPER(TRIM(E982))</f>
        <v>Electronics</v>
      </c>
      <c r="S982" s="27">
        <f>IF(ISTEXT(B982),DATEVALUE(B982),B982)</f>
        <v>45766</v>
      </c>
      <c r="T982" s="27">
        <f>COUNTIF($A$2:$A$1986,A982)</f>
        <v>1</v>
      </c>
      <c r="U982" s="27" t="str">
        <f t="shared" si="107"/>
        <v>Webcam</v>
      </c>
      <c r="V982" s="27">
        <f t="shared" si="108"/>
        <v>393.98399999999998</v>
      </c>
      <c r="W982" s="27">
        <f t="shared" si="109"/>
        <v>215.52</v>
      </c>
      <c r="X982" s="27">
        <f>RawSalesTable3[[#This Row],[Revenue]]-RawSalesTable3[[#This Row],[Total_Cost]]</f>
        <v>178.46399999999997</v>
      </c>
      <c r="Y982" s="28">
        <f>RawSalesTable3[[#This Row],[Profit]]/RawSalesTable3[[#This Row],[Revenue]]</f>
        <v>0.45297270955165686</v>
      </c>
      <c r="Z982" s="27" t="str">
        <f>TEXT(RawSalesTable3[[#This Row],[Order_Date_Clean]],"MMM YYYY")</f>
        <v>Apr 2025</v>
      </c>
      <c r="AA982" s="27"/>
      <c r="AB982" s="27">
        <f t="shared" si="110"/>
        <v>0</v>
      </c>
      <c r="AC982" s="27">
        <f t="shared" si="111"/>
        <v>0</v>
      </c>
    </row>
    <row r="983" spans="1:29">
      <c r="A983" t="s">
        <v>1084</v>
      </c>
      <c r="B983" s="3">
        <v>45795</v>
      </c>
      <c r="C983" t="s">
        <v>66</v>
      </c>
      <c r="D983" t="s">
        <v>55</v>
      </c>
      <c r="E983" t="s">
        <v>75</v>
      </c>
      <c r="F983" t="s">
        <v>97</v>
      </c>
      <c r="G983" s="6">
        <v>3</v>
      </c>
      <c r="H983" s="4">
        <v>88.84</v>
      </c>
      <c r="I983" s="4">
        <v>56.67</v>
      </c>
      <c r="J983" s="5">
        <v>0.2</v>
      </c>
      <c r="K983" s="6">
        <v>7</v>
      </c>
      <c r="L983" s="6">
        <v>4</v>
      </c>
      <c r="M983" t="s">
        <v>58</v>
      </c>
      <c r="N983" t="s">
        <v>59</v>
      </c>
      <c r="O983" t="s">
        <v>64</v>
      </c>
      <c r="P983" t="str">
        <f t="shared" si="105"/>
        <v>Small Business</v>
      </c>
      <c r="Q983" t="str">
        <f t="shared" si="106"/>
        <v>South</v>
      </c>
      <c r="R983" t="str">
        <f>PROPER(TRIM(E983))</f>
        <v>Furniture</v>
      </c>
      <c r="S983" s="27">
        <f>IF(ISTEXT(B983),DATEVALUE(B983),B983)</f>
        <v>45795</v>
      </c>
      <c r="T983" s="27">
        <f>COUNTIF($A$2:$A$1986,A983)</f>
        <v>1</v>
      </c>
      <c r="U983" s="27" t="str">
        <f t="shared" si="107"/>
        <v>Side Table</v>
      </c>
      <c r="V983" s="27">
        <f t="shared" si="108"/>
        <v>213.21600000000001</v>
      </c>
      <c r="W983" s="27">
        <f t="shared" si="109"/>
        <v>170.01</v>
      </c>
      <c r="X983" s="27">
        <f>RawSalesTable3[[#This Row],[Revenue]]-RawSalesTable3[[#This Row],[Total_Cost]]</f>
        <v>43.206000000000017</v>
      </c>
      <c r="Y983" s="28">
        <f>RawSalesTable3[[#This Row],[Profit]]/RawSalesTable3[[#This Row],[Revenue]]</f>
        <v>0.20263957676722205</v>
      </c>
      <c r="Z983" s="27" t="str">
        <f>TEXT(RawSalesTable3[[#This Row],[Order_Date_Clean]],"MMM YYYY")</f>
        <v>May 2025</v>
      </c>
      <c r="AA983" s="27"/>
      <c r="AB983" s="27">
        <f t="shared" si="110"/>
        <v>0</v>
      </c>
      <c r="AC983" s="27">
        <f t="shared" si="111"/>
        <v>0</v>
      </c>
    </row>
    <row r="984" spans="1:29">
      <c r="A984" t="s">
        <v>1085</v>
      </c>
      <c r="B984" s="3">
        <v>45948</v>
      </c>
      <c r="C984" t="s">
        <v>78</v>
      </c>
      <c r="D984" t="s">
        <v>62</v>
      </c>
      <c r="E984" t="s">
        <v>75</v>
      </c>
      <c r="F984" t="s">
        <v>110</v>
      </c>
      <c r="G984" s="6">
        <v>3</v>
      </c>
      <c r="H984" s="4">
        <v>159.57</v>
      </c>
      <c r="I984" s="4">
        <v>104.67</v>
      </c>
      <c r="J984" s="5">
        <v>0</v>
      </c>
      <c r="K984" s="6">
        <v>2</v>
      </c>
      <c r="L984" s="6">
        <v>5</v>
      </c>
      <c r="M984" t="s">
        <v>58</v>
      </c>
      <c r="N984" t="s">
        <v>69</v>
      </c>
      <c r="O984" t="s">
        <v>73</v>
      </c>
      <c r="P984" t="str">
        <f t="shared" si="105"/>
        <v>Individual</v>
      </c>
      <c r="Q984" t="str">
        <f t="shared" si="106"/>
        <v>London</v>
      </c>
      <c r="R984" t="str">
        <f>PROPER(TRIM(E984))</f>
        <v>Furniture</v>
      </c>
      <c r="S984" s="27">
        <f>IF(ISTEXT(B984),DATEVALUE(B984),B984)</f>
        <v>45948</v>
      </c>
      <c r="T984" s="27">
        <f>COUNTIF($A$2:$A$1986,A984)</f>
        <v>1</v>
      </c>
      <c r="U984" s="27" t="str">
        <f t="shared" si="107"/>
        <v>Storage Cabinet</v>
      </c>
      <c r="V984" s="27">
        <f t="shared" si="108"/>
        <v>478.71</v>
      </c>
      <c r="W984" s="27">
        <f t="shared" si="109"/>
        <v>314.01</v>
      </c>
      <c r="X984" s="27">
        <f>RawSalesTable3[[#This Row],[Revenue]]-RawSalesTable3[[#This Row],[Total_Cost]]</f>
        <v>164.7</v>
      </c>
      <c r="Y984" s="28">
        <f>RawSalesTable3[[#This Row],[Profit]]/RawSalesTable3[[#This Row],[Revenue]]</f>
        <v>0.34404963338973488</v>
      </c>
      <c r="Z984" s="27" t="str">
        <f>TEXT(RawSalesTable3[[#This Row],[Order_Date_Clean]],"MMM YYYY")</f>
        <v>Oct 2025</v>
      </c>
      <c r="AA984" s="27"/>
      <c r="AB984" s="27">
        <f t="shared" si="110"/>
        <v>0</v>
      </c>
      <c r="AC984" s="27">
        <f t="shared" si="111"/>
        <v>0</v>
      </c>
    </row>
    <row r="985" spans="1:29">
      <c r="A985" t="s">
        <v>1086</v>
      </c>
      <c r="B985" s="3">
        <v>45742</v>
      </c>
      <c r="C985" t="s">
        <v>82</v>
      </c>
      <c r="D985" t="s">
        <v>55</v>
      </c>
      <c r="E985" t="s">
        <v>79</v>
      </c>
      <c r="F985" t="s">
        <v>85</v>
      </c>
      <c r="G985" s="6">
        <v>3</v>
      </c>
      <c r="H985" s="4">
        <v>133.53</v>
      </c>
      <c r="I985" s="4">
        <v>85.91</v>
      </c>
      <c r="J985" s="5">
        <v>0.05</v>
      </c>
      <c r="K985" s="6">
        <v>2</v>
      </c>
      <c r="L985" s="6">
        <v>4</v>
      </c>
      <c r="M985" t="s">
        <v>58</v>
      </c>
      <c r="N985" t="s">
        <v>69</v>
      </c>
      <c r="O985" t="s">
        <v>64</v>
      </c>
      <c r="P985" t="str">
        <f t="shared" si="105"/>
        <v>Small Business</v>
      </c>
      <c r="Q985" t="str">
        <f t="shared" si="106"/>
        <v>Midlands</v>
      </c>
      <c r="R985" t="str">
        <f>PROPER(TRIM(E985))</f>
        <v>Electronics</v>
      </c>
      <c r="S985" s="27">
        <f>IF(ISTEXT(B985),DATEVALUE(B985),B985)</f>
        <v>45742</v>
      </c>
      <c r="T985" s="27">
        <f>COUNTIF($A$2:$A$1986,A985)</f>
        <v>1</v>
      </c>
      <c r="U985" s="27" t="str">
        <f t="shared" si="107"/>
        <v>SmartHome Hub</v>
      </c>
      <c r="V985" s="27">
        <f t="shared" si="108"/>
        <v>380.56049999999999</v>
      </c>
      <c r="W985" s="27">
        <f t="shared" si="109"/>
        <v>257.73</v>
      </c>
      <c r="X985" s="27">
        <f>RawSalesTable3[[#This Row],[Revenue]]-RawSalesTable3[[#This Row],[Total_Cost]]</f>
        <v>122.83049999999997</v>
      </c>
      <c r="Y985" s="28">
        <f>RawSalesTable3[[#This Row],[Profit]]/RawSalesTable3[[#This Row],[Revenue]]</f>
        <v>0.32276208382110066</v>
      </c>
      <c r="Z985" s="27" t="str">
        <f>TEXT(RawSalesTable3[[#This Row],[Order_Date_Clean]],"MMM YYYY")</f>
        <v>Mar 2025</v>
      </c>
      <c r="AA985" s="27"/>
      <c r="AB985" s="27">
        <f t="shared" si="110"/>
        <v>0</v>
      </c>
      <c r="AC985" s="27">
        <f t="shared" si="111"/>
        <v>0</v>
      </c>
    </row>
    <row r="986" spans="1:29">
      <c r="A986" t="s">
        <v>1087</v>
      </c>
      <c r="B986" s="3">
        <v>46000</v>
      </c>
      <c r="C986" t="s">
        <v>82</v>
      </c>
      <c r="D986" t="s">
        <v>62</v>
      </c>
      <c r="E986" t="s">
        <v>67</v>
      </c>
      <c r="F986" t="s">
        <v>68</v>
      </c>
      <c r="G986" s="6">
        <v>1</v>
      </c>
      <c r="H986" s="4">
        <v>41.04</v>
      </c>
      <c r="I986" s="4">
        <v>19.71</v>
      </c>
      <c r="J986" s="5">
        <v>0.1</v>
      </c>
      <c r="K986" s="6">
        <v>3</v>
      </c>
      <c r="L986" s="6">
        <v>4</v>
      </c>
      <c r="M986" t="s">
        <v>58</v>
      </c>
      <c r="N986" t="s">
        <v>59</v>
      </c>
      <c r="O986" t="s">
        <v>64</v>
      </c>
      <c r="P986" t="str">
        <f t="shared" si="105"/>
        <v>Individual</v>
      </c>
      <c r="Q986" t="str">
        <f t="shared" si="106"/>
        <v>Midlands</v>
      </c>
      <c r="R986" t="str">
        <f>PROPER(TRIM(E986))</f>
        <v>Office</v>
      </c>
      <c r="S986" s="27">
        <f>IF(ISTEXT(B986),DATEVALUE(B986),B986)</f>
        <v>46000</v>
      </c>
      <c r="T986" s="27">
        <f>COUNTIF($A$2:$A$1986,A986)</f>
        <v>1</v>
      </c>
      <c r="U986" s="27" t="str">
        <f t="shared" si="107"/>
        <v>Desk Lamp</v>
      </c>
      <c r="V986" s="27">
        <f t="shared" si="108"/>
        <v>36.936</v>
      </c>
      <c r="W986" s="27">
        <f t="shared" si="109"/>
        <v>19.71</v>
      </c>
      <c r="X986" s="27">
        <f>RawSalesTable3[[#This Row],[Revenue]]-RawSalesTable3[[#This Row],[Total_Cost]]</f>
        <v>17.225999999999999</v>
      </c>
      <c r="Y986" s="28">
        <f>RawSalesTable3[[#This Row],[Profit]]/RawSalesTable3[[#This Row],[Revenue]]</f>
        <v>0.46637426900584794</v>
      </c>
      <c r="Z986" s="27" t="str">
        <f>TEXT(RawSalesTable3[[#This Row],[Order_Date_Clean]],"MMM YYYY")</f>
        <v>Dec 2025</v>
      </c>
      <c r="AA986" s="27"/>
      <c r="AB986" s="27">
        <f t="shared" si="110"/>
        <v>0</v>
      </c>
      <c r="AC986" s="27">
        <f t="shared" si="111"/>
        <v>0</v>
      </c>
    </row>
    <row r="987" spans="1:29">
      <c r="A987" t="s">
        <v>1088</v>
      </c>
      <c r="B987" s="3">
        <v>45980</v>
      </c>
      <c r="C987" t="s">
        <v>66</v>
      </c>
      <c r="D987" t="s">
        <v>55</v>
      </c>
      <c r="E987" t="s">
        <v>79</v>
      </c>
      <c r="F987" t="s">
        <v>80</v>
      </c>
      <c r="G987" s="6">
        <v>3</v>
      </c>
      <c r="H987" s="4">
        <v>76.19</v>
      </c>
      <c r="I987" s="4">
        <v>43.51</v>
      </c>
      <c r="J987" s="5">
        <v>0.05</v>
      </c>
      <c r="K987" s="6">
        <v>1</v>
      </c>
      <c r="L987" s="6">
        <v>5</v>
      </c>
      <c r="M987" t="s">
        <v>58</v>
      </c>
      <c r="N987" t="s">
        <v>69</v>
      </c>
      <c r="O987" t="s">
        <v>73</v>
      </c>
      <c r="P987" t="str">
        <f t="shared" si="105"/>
        <v>Small Business</v>
      </c>
      <c r="Q987" t="str">
        <f t="shared" si="106"/>
        <v>South</v>
      </c>
      <c r="R987" t="str">
        <f>PROPER(TRIM(E987))</f>
        <v>Electronics</v>
      </c>
      <c r="S987" s="27">
        <f>IF(ISTEXT(B987),DATEVALUE(B987),B987)</f>
        <v>45980</v>
      </c>
      <c r="T987" s="27">
        <f>COUNTIF($A$2:$A$1986,A987)</f>
        <v>1</v>
      </c>
      <c r="U987" s="27" t="str">
        <f t="shared" si="107"/>
        <v>Portable Speaker</v>
      </c>
      <c r="V987" s="27">
        <f t="shared" si="108"/>
        <v>217.14149999999998</v>
      </c>
      <c r="W987" s="27">
        <f t="shared" si="109"/>
        <v>130.53</v>
      </c>
      <c r="X987" s="27">
        <f>RawSalesTable3[[#This Row],[Revenue]]-RawSalesTable3[[#This Row],[Total_Cost]]</f>
        <v>86.611499999999978</v>
      </c>
      <c r="Y987" s="28">
        <f>RawSalesTable3[[#This Row],[Profit]]/RawSalesTable3[[#This Row],[Revenue]]</f>
        <v>0.39887124294526832</v>
      </c>
      <c r="Z987" s="27" t="str">
        <f>TEXT(RawSalesTable3[[#This Row],[Order_Date_Clean]],"MMM YYYY")</f>
        <v>Nov 2025</v>
      </c>
      <c r="AA987" s="27"/>
      <c r="AB987" s="27">
        <f t="shared" si="110"/>
        <v>0</v>
      </c>
      <c r="AC987" s="27">
        <f t="shared" si="111"/>
        <v>0</v>
      </c>
    </row>
    <row r="988" spans="1:29">
      <c r="A988" t="s">
        <v>1089</v>
      </c>
      <c r="B988" s="3">
        <v>45983</v>
      </c>
      <c r="C988" t="s">
        <v>78</v>
      </c>
      <c r="D988" t="s">
        <v>55</v>
      </c>
      <c r="E988" t="s">
        <v>79</v>
      </c>
      <c r="F988" t="s">
        <v>115</v>
      </c>
      <c r="G988" s="6">
        <v>4</v>
      </c>
      <c r="H988" s="4">
        <v>58.85</v>
      </c>
      <c r="I988" s="4">
        <v>34.43</v>
      </c>
      <c r="J988" s="5">
        <v>0.05</v>
      </c>
      <c r="K988" s="6">
        <v>5</v>
      </c>
      <c r="L988" s="6">
        <v>4</v>
      </c>
      <c r="M988" t="s">
        <v>58</v>
      </c>
      <c r="N988" t="s">
        <v>59</v>
      </c>
      <c r="O988" t="s">
        <v>73</v>
      </c>
      <c r="P988" t="str">
        <f t="shared" si="105"/>
        <v>Small Business</v>
      </c>
      <c r="Q988" t="str">
        <f t="shared" si="106"/>
        <v>London</v>
      </c>
      <c r="R988" t="str">
        <f>PROPER(TRIM(E988))</f>
        <v>Electronics</v>
      </c>
      <c r="S988" s="27">
        <f>IF(ISTEXT(B988),DATEVALUE(B988),B988)</f>
        <v>45983</v>
      </c>
      <c r="T988" s="27">
        <f>COUNTIF($A$2:$A$1986,A988)</f>
        <v>1</v>
      </c>
      <c r="U988" s="27" t="str">
        <f t="shared" si="107"/>
        <v>Wireless Headset</v>
      </c>
      <c r="V988" s="27">
        <f t="shared" si="108"/>
        <v>223.63</v>
      </c>
      <c r="W988" s="27">
        <f t="shared" si="109"/>
        <v>137.72</v>
      </c>
      <c r="X988" s="27">
        <f>RawSalesTable3[[#This Row],[Revenue]]-RawSalesTable3[[#This Row],[Total_Cost]]</f>
        <v>85.91</v>
      </c>
      <c r="Y988" s="28">
        <f>RawSalesTable3[[#This Row],[Profit]]/RawSalesTable3[[#This Row],[Revenue]]</f>
        <v>0.38416133792424989</v>
      </c>
      <c r="Z988" s="27" t="str">
        <f>TEXT(RawSalesTable3[[#This Row],[Order_Date_Clean]],"MMM YYYY")</f>
        <v>Nov 2025</v>
      </c>
      <c r="AA988" s="27"/>
      <c r="AB988" s="27">
        <f t="shared" si="110"/>
        <v>0</v>
      </c>
      <c r="AC988" s="27">
        <f t="shared" si="111"/>
        <v>0</v>
      </c>
    </row>
    <row r="989" spans="1:29">
      <c r="A989" t="s">
        <v>1090</v>
      </c>
      <c r="B989" s="3">
        <v>45993</v>
      </c>
      <c r="C989" t="s">
        <v>78</v>
      </c>
      <c r="D989" t="s">
        <v>55</v>
      </c>
      <c r="E989" t="s">
        <v>67</v>
      </c>
      <c r="F989" t="s">
        <v>94</v>
      </c>
      <c r="G989" s="6">
        <v>2</v>
      </c>
      <c r="H989" s="4">
        <v>35.380000000000003</v>
      </c>
      <c r="I989" s="4">
        <v>17.489999999999998</v>
      </c>
      <c r="J989" s="5">
        <v>0.15000000000000002</v>
      </c>
      <c r="K989" s="6">
        <v>5</v>
      </c>
      <c r="L989" s="6">
        <v>4</v>
      </c>
      <c r="M989" t="s">
        <v>58</v>
      </c>
      <c r="N989" t="s">
        <v>59</v>
      </c>
      <c r="O989" t="s">
        <v>64</v>
      </c>
      <c r="P989" t="str">
        <f t="shared" si="105"/>
        <v>Small Business</v>
      </c>
      <c r="Q989" t="str">
        <f t="shared" si="106"/>
        <v>London</v>
      </c>
      <c r="R989" t="str">
        <f>PROPER(TRIM(E989))</f>
        <v>Office</v>
      </c>
      <c r="S989" s="27">
        <f>IF(ISTEXT(B989),DATEVALUE(B989),B989)</f>
        <v>45993</v>
      </c>
      <c r="T989" s="27">
        <f>COUNTIF($A$2:$A$1986,A989)</f>
        <v>1</v>
      </c>
      <c r="U989" s="27" t="str">
        <f t="shared" si="107"/>
        <v>Wireless Mouse</v>
      </c>
      <c r="V989" s="27">
        <f t="shared" si="108"/>
        <v>60.146000000000001</v>
      </c>
      <c r="W989" s="27">
        <f t="shared" si="109"/>
        <v>34.979999999999997</v>
      </c>
      <c r="X989" s="27">
        <f>RawSalesTable3[[#This Row],[Revenue]]-RawSalesTable3[[#This Row],[Total_Cost]]</f>
        <v>25.166000000000004</v>
      </c>
      <c r="Y989" s="28">
        <f>RawSalesTable3[[#This Row],[Profit]]/RawSalesTable3[[#This Row],[Revenue]]</f>
        <v>0.41841518970505109</v>
      </c>
      <c r="Z989" s="27" t="str">
        <f>TEXT(RawSalesTable3[[#This Row],[Order_Date_Clean]],"MMM YYYY")</f>
        <v>Dec 2025</v>
      </c>
      <c r="AA989" s="27"/>
      <c r="AB989" s="27">
        <f t="shared" si="110"/>
        <v>0</v>
      </c>
      <c r="AC989" s="27">
        <f t="shared" si="111"/>
        <v>0</v>
      </c>
    </row>
    <row r="990" spans="1:29">
      <c r="A990" t="s">
        <v>1091</v>
      </c>
      <c r="B990" s="3">
        <v>46018</v>
      </c>
      <c r="C990" t="s">
        <v>82</v>
      </c>
      <c r="D990" t="s">
        <v>62</v>
      </c>
      <c r="E990" t="s">
        <v>75</v>
      </c>
      <c r="F990" t="s">
        <v>97</v>
      </c>
      <c r="G990" s="6">
        <v>2</v>
      </c>
      <c r="H990" s="4">
        <v>93.31</v>
      </c>
      <c r="I990" s="4">
        <v>54.65</v>
      </c>
      <c r="J990" s="5">
        <v>0.05</v>
      </c>
      <c r="K990" s="6">
        <v>3</v>
      </c>
      <c r="L990" s="6">
        <v>4</v>
      </c>
      <c r="M990" t="s">
        <v>58</v>
      </c>
      <c r="N990" t="s">
        <v>69</v>
      </c>
      <c r="O990" t="s">
        <v>64</v>
      </c>
      <c r="P990" t="str">
        <f t="shared" si="105"/>
        <v>Individual</v>
      </c>
      <c r="Q990" t="str">
        <f t="shared" si="106"/>
        <v>Midlands</v>
      </c>
      <c r="R990" t="str">
        <f>PROPER(TRIM(E990))</f>
        <v>Furniture</v>
      </c>
      <c r="S990" s="27">
        <f>IF(ISTEXT(B990),DATEVALUE(B990),B990)</f>
        <v>46018</v>
      </c>
      <c r="T990" s="27">
        <f>COUNTIF($A$2:$A$1986,A990)</f>
        <v>1</v>
      </c>
      <c r="U990" s="27" t="str">
        <f t="shared" si="107"/>
        <v>Side Table</v>
      </c>
      <c r="V990" s="27">
        <f t="shared" si="108"/>
        <v>177.28899999999999</v>
      </c>
      <c r="W990" s="27">
        <f t="shared" si="109"/>
        <v>109.3</v>
      </c>
      <c r="X990" s="27">
        <f>RawSalesTable3[[#This Row],[Revenue]]-RawSalesTable3[[#This Row],[Total_Cost]]</f>
        <v>67.98899999999999</v>
      </c>
      <c r="Y990" s="28">
        <f>RawSalesTable3[[#This Row],[Profit]]/RawSalesTable3[[#This Row],[Revenue]]</f>
        <v>0.38349248966376931</v>
      </c>
      <c r="Z990" s="27" t="str">
        <f>TEXT(RawSalesTable3[[#This Row],[Order_Date_Clean]],"MMM YYYY")</f>
        <v>Dec 2025</v>
      </c>
      <c r="AA990" s="27"/>
      <c r="AB990" s="27">
        <f t="shared" si="110"/>
        <v>0</v>
      </c>
      <c r="AC990" s="27">
        <f t="shared" si="111"/>
        <v>0</v>
      </c>
    </row>
    <row r="991" spans="1:29">
      <c r="A991" t="s">
        <v>1092</v>
      </c>
      <c r="B991" s="3">
        <v>45807</v>
      </c>
      <c r="C991" t="s">
        <v>82</v>
      </c>
      <c r="D991" t="s">
        <v>55</v>
      </c>
      <c r="E991" t="s">
        <v>56</v>
      </c>
      <c r="F991" t="s">
        <v>89</v>
      </c>
      <c r="G991" s="6">
        <v>2</v>
      </c>
      <c r="H991" s="4">
        <v>80.319999999999993</v>
      </c>
      <c r="I991" s="4">
        <v>44.43</v>
      </c>
      <c r="J991" s="5">
        <v>0</v>
      </c>
      <c r="K991" s="6">
        <v>5</v>
      </c>
      <c r="L991" s="6">
        <v>5</v>
      </c>
      <c r="M991" t="s">
        <v>58</v>
      </c>
      <c r="N991" t="s">
        <v>59</v>
      </c>
      <c r="O991" t="s">
        <v>64</v>
      </c>
      <c r="P991" t="str">
        <f t="shared" si="105"/>
        <v>Small Business</v>
      </c>
      <c r="Q991" t="str">
        <f t="shared" si="106"/>
        <v>Midlands</v>
      </c>
      <c r="R991" t="str">
        <f>PROPER(TRIM(E991))</f>
        <v>Home &amp; Kitchen</v>
      </c>
      <c r="S991" s="27">
        <f>IF(ISTEXT(B991),DATEVALUE(B991),B991)</f>
        <v>45807</v>
      </c>
      <c r="T991" s="27">
        <f>COUNTIF($A$2:$A$1986,A991)</f>
        <v>1</v>
      </c>
      <c r="U991" s="27" t="str">
        <f t="shared" si="107"/>
        <v>Coffee Maker</v>
      </c>
      <c r="V991" s="27">
        <f t="shared" si="108"/>
        <v>160.63999999999999</v>
      </c>
      <c r="W991" s="27">
        <f t="shared" si="109"/>
        <v>88.86</v>
      </c>
      <c r="X991" s="27">
        <f>RawSalesTable3[[#This Row],[Revenue]]-RawSalesTable3[[#This Row],[Total_Cost]]</f>
        <v>71.779999999999987</v>
      </c>
      <c r="Y991" s="28">
        <f>RawSalesTable3[[#This Row],[Profit]]/RawSalesTable3[[#This Row],[Revenue]]</f>
        <v>0.4468376494023904</v>
      </c>
      <c r="Z991" s="27" t="str">
        <f>TEXT(RawSalesTable3[[#This Row],[Order_Date_Clean]],"MMM YYYY")</f>
        <v>May 2025</v>
      </c>
      <c r="AA991" s="27"/>
      <c r="AB991" s="27">
        <f t="shared" si="110"/>
        <v>0</v>
      </c>
      <c r="AC991" s="27">
        <f t="shared" si="111"/>
        <v>0</v>
      </c>
    </row>
    <row r="992" spans="1:29">
      <c r="A992" t="s">
        <v>1093</v>
      </c>
      <c r="B992" s="3">
        <v>45823</v>
      </c>
      <c r="C992" t="s">
        <v>78</v>
      </c>
      <c r="D992" t="s">
        <v>129</v>
      </c>
      <c r="E992" t="s">
        <v>75</v>
      </c>
      <c r="F992" t="s">
        <v>97</v>
      </c>
      <c r="G992" s="6">
        <v>6</v>
      </c>
      <c r="H992" s="4">
        <v>92.92</v>
      </c>
      <c r="I992" s="4">
        <v>53.18</v>
      </c>
      <c r="J992" s="5">
        <v>0.05</v>
      </c>
      <c r="K992" s="6">
        <v>3</v>
      </c>
      <c r="L992" s="6">
        <v>3</v>
      </c>
      <c r="M992" t="s">
        <v>126</v>
      </c>
      <c r="N992" t="s">
        <v>69</v>
      </c>
      <c r="O992" t="s">
        <v>64</v>
      </c>
      <c r="P992" t="str">
        <f t="shared" si="105"/>
        <v>Corporate</v>
      </c>
      <c r="Q992" t="str">
        <f t="shared" si="106"/>
        <v>London</v>
      </c>
      <c r="R992" t="str">
        <f>PROPER(TRIM(E992))</f>
        <v>Furniture</v>
      </c>
      <c r="S992" s="27">
        <f>IF(ISTEXT(B992),DATEVALUE(B992),B992)</f>
        <v>45823</v>
      </c>
      <c r="T992" s="27">
        <f>COUNTIF($A$2:$A$1986,A992)</f>
        <v>1</v>
      </c>
      <c r="U992" s="27" t="str">
        <f t="shared" si="107"/>
        <v>Side Table</v>
      </c>
      <c r="V992" s="27">
        <f t="shared" si="108"/>
        <v>529.64400000000001</v>
      </c>
      <c r="W992" s="27">
        <f t="shared" si="109"/>
        <v>319.08</v>
      </c>
      <c r="X992" s="27">
        <f>RawSalesTable3[[#This Row],[Revenue]]-RawSalesTable3[[#This Row],[Total_Cost]]</f>
        <v>210.56400000000002</v>
      </c>
      <c r="Y992" s="28">
        <f>RawSalesTable3[[#This Row],[Profit]]/RawSalesTable3[[#This Row],[Revenue]]</f>
        <v>0.39755760473072482</v>
      </c>
      <c r="Z992" s="27" t="str">
        <f>TEXT(RawSalesTable3[[#This Row],[Order_Date_Clean]],"MMM YYYY")</f>
        <v>Jun 2025</v>
      </c>
      <c r="AA992" s="27"/>
      <c r="AB992" s="27">
        <f t="shared" si="110"/>
        <v>0</v>
      </c>
      <c r="AC992" s="27">
        <f t="shared" si="111"/>
        <v>0</v>
      </c>
    </row>
    <row r="993" spans="1:29">
      <c r="A993" t="s">
        <v>1094</v>
      </c>
      <c r="B993" s="3">
        <v>45833</v>
      </c>
      <c r="C993" t="s">
        <v>66</v>
      </c>
      <c r="D993" t="s">
        <v>62</v>
      </c>
      <c r="E993" t="s">
        <v>56</v>
      </c>
      <c r="F993" t="s">
        <v>89</v>
      </c>
      <c r="G993" s="6">
        <v>1</v>
      </c>
      <c r="H993" s="4">
        <v>78.48</v>
      </c>
      <c r="I993" s="4">
        <v>46.3</v>
      </c>
      <c r="J993" s="5">
        <v>0.05</v>
      </c>
      <c r="K993" s="6">
        <v>3</v>
      </c>
      <c r="L993" s="6">
        <v>4</v>
      </c>
      <c r="M993" t="s">
        <v>58</v>
      </c>
      <c r="N993" t="s">
        <v>87</v>
      </c>
      <c r="O993" t="s">
        <v>60</v>
      </c>
      <c r="P993" t="str">
        <f t="shared" si="105"/>
        <v>Individual</v>
      </c>
      <c r="Q993" t="str">
        <f t="shared" si="106"/>
        <v>South</v>
      </c>
      <c r="R993" t="str">
        <f>PROPER(TRIM(E993))</f>
        <v>Home &amp; Kitchen</v>
      </c>
      <c r="S993" s="27">
        <f>IF(ISTEXT(B993),DATEVALUE(B993),B993)</f>
        <v>45833</v>
      </c>
      <c r="T993" s="27">
        <f>COUNTIF($A$2:$A$1986,A993)</f>
        <v>1</v>
      </c>
      <c r="U993" s="27" t="str">
        <f t="shared" si="107"/>
        <v>Coffee Maker</v>
      </c>
      <c r="V993" s="27">
        <f t="shared" si="108"/>
        <v>74.555999999999997</v>
      </c>
      <c r="W993" s="27">
        <f t="shared" si="109"/>
        <v>46.3</v>
      </c>
      <c r="X993" s="27">
        <f>RawSalesTable3[[#This Row],[Revenue]]-RawSalesTable3[[#This Row],[Total_Cost]]</f>
        <v>28.256</v>
      </c>
      <c r="Y993" s="28">
        <f>RawSalesTable3[[#This Row],[Profit]]/RawSalesTable3[[#This Row],[Revenue]]</f>
        <v>0.378990289178604</v>
      </c>
      <c r="Z993" s="27" t="str">
        <f>TEXT(RawSalesTable3[[#This Row],[Order_Date_Clean]],"MMM YYYY")</f>
        <v>Jun 2025</v>
      </c>
      <c r="AA993" s="27"/>
      <c r="AB993" s="27">
        <f t="shared" si="110"/>
        <v>0</v>
      </c>
      <c r="AC993" s="27">
        <f t="shared" si="111"/>
        <v>0</v>
      </c>
    </row>
    <row r="994" spans="1:29">
      <c r="A994" t="s">
        <v>1095</v>
      </c>
      <c r="B994" s="3">
        <v>45914</v>
      </c>
      <c r="C994" t="s">
        <v>78</v>
      </c>
      <c r="D994" t="s">
        <v>55</v>
      </c>
      <c r="E994" t="s">
        <v>75</v>
      </c>
      <c r="F994" t="s">
        <v>146</v>
      </c>
      <c r="G994" s="6">
        <v>2</v>
      </c>
      <c r="H994" s="4">
        <v>182.25</v>
      </c>
      <c r="I994" s="4">
        <v>119.46</v>
      </c>
      <c r="J994" s="5">
        <v>0</v>
      </c>
      <c r="K994" s="6">
        <v>1</v>
      </c>
      <c r="L994" s="6">
        <v>5</v>
      </c>
      <c r="M994" t="s">
        <v>58</v>
      </c>
      <c r="N994" t="s">
        <v>69</v>
      </c>
      <c r="O994" t="s">
        <v>64</v>
      </c>
      <c r="P994" t="str">
        <f t="shared" si="105"/>
        <v>Small Business</v>
      </c>
      <c r="Q994" t="str">
        <f t="shared" si="106"/>
        <v>London</v>
      </c>
      <c r="R994" t="str">
        <f>PROPER(TRIM(E994))</f>
        <v>Furniture</v>
      </c>
      <c r="S994" s="27">
        <f>IF(ISTEXT(B994),DATEVALUE(B994),B994)</f>
        <v>45914</v>
      </c>
      <c r="T994" s="27">
        <f>COUNTIF($A$2:$A$1986,A994)</f>
        <v>1</v>
      </c>
      <c r="U994" s="27" t="str">
        <f t="shared" si="107"/>
        <v>Office Chair</v>
      </c>
      <c r="V994" s="27">
        <f t="shared" si="108"/>
        <v>364.5</v>
      </c>
      <c r="W994" s="27">
        <f t="shared" si="109"/>
        <v>238.92</v>
      </c>
      <c r="X994" s="27">
        <f>RawSalesTable3[[#This Row],[Revenue]]-RawSalesTable3[[#This Row],[Total_Cost]]</f>
        <v>125.58000000000001</v>
      </c>
      <c r="Y994" s="28">
        <f>RawSalesTable3[[#This Row],[Profit]]/RawSalesTable3[[#This Row],[Revenue]]</f>
        <v>0.34452674897119345</v>
      </c>
      <c r="Z994" s="27" t="str">
        <f>TEXT(RawSalesTable3[[#This Row],[Order_Date_Clean]],"MMM YYYY")</f>
        <v>Sep 2025</v>
      </c>
      <c r="AA994" s="27"/>
      <c r="AB994" s="27">
        <f t="shared" si="110"/>
        <v>0</v>
      </c>
      <c r="AC994" s="27">
        <f t="shared" si="111"/>
        <v>0</v>
      </c>
    </row>
    <row r="995" spans="1:29">
      <c r="A995" t="s">
        <v>1096</v>
      </c>
      <c r="B995" s="3">
        <v>45817</v>
      </c>
      <c r="C995" t="s">
        <v>66</v>
      </c>
      <c r="D995" t="s">
        <v>55</v>
      </c>
      <c r="E995" t="s">
        <v>79</v>
      </c>
      <c r="F995" t="s">
        <v>92</v>
      </c>
      <c r="G995" s="6">
        <v>4</v>
      </c>
      <c r="H995" s="4">
        <v>51.86</v>
      </c>
      <c r="I995" s="4">
        <v>26.73</v>
      </c>
      <c r="J995" s="5">
        <v>0.1</v>
      </c>
      <c r="K995" s="6">
        <v>3</v>
      </c>
      <c r="L995" s="6">
        <v>4</v>
      </c>
      <c r="M995" t="s">
        <v>58</v>
      </c>
      <c r="N995" t="s">
        <v>87</v>
      </c>
      <c r="O995" t="s">
        <v>73</v>
      </c>
      <c r="P995" t="str">
        <f t="shared" si="105"/>
        <v>Small Business</v>
      </c>
      <c r="Q995" t="str">
        <f t="shared" si="106"/>
        <v>South</v>
      </c>
      <c r="R995" t="str">
        <f>PROPER(TRIM(E995))</f>
        <v>Electronics</v>
      </c>
      <c r="S995" s="27">
        <f>IF(ISTEXT(B995),DATEVALUE(B995),B995)</f>
        <v>45817</v>
      </c>
      <c r="T995" s="27">
        <f>COUNTIF($A$2:$A$1986,A995)</f>
        <v>1</v>
      </c>
      <c r="U995" s="27" t="str">
        <f t="shared" si="107"/>
        <v>Webcam</v>
      </c>
      <c r="V995" s="27">
        <f t="shared" si="108"/>
        <v>186.696</v>
      </c>
      <c r="W995" s="27">
        <f t="shared" si="109"/>
        <v>106.92</v>
      </c>
      <c r="X995" s="27">
        <f>RawSalesTable3[[#This Row],[Revenue]]-RawSalesTable3[[#This Row],[Total_Cost]]</f>
        <v>79.775999999999996</v>
      </c>
      <c r="Y995" s="28">
        <f>RawSalesTable3[[#This Row],[Profit]]/RawSalesTable3[[#This Row],[Revenue]]</f>
        <v>0.42730428075588123</v>
      </c>
      <c r="Z995" s="27" t="str">
        <f>TEXT(RawSalesTable3[[#This Row],[Order_Date_Clean]],"MMM YYYY")</f>
        <v>Jun 2025</v>
      </c>
      <c r="AA995" s="27"/>
      <c r="AB995" s="27">
        <f t="shared" si="110"/>
        <v>0</v>
      </c>
      <c r="AC995" s="27">
        <f t="shared" si="111"/>
        <v>0</v>
      </c>
    </row>
    <row r="996" spans="1:29">
      <c r="A996" t="s">
        <v>1097</v>
      </c>
      <c r="B996" s="3">
        <v>45904</v>
      </c>
      <c r="C996" t="s">
        <v>66</v>
      </c>
      <c r="D996" t="s">
        <v>129</v>
      </c>
      <c r="E996" t="s">
        <v>79</v>
      </c>
      <c r="F996" t="s">
        <v>85</v>
      </c>
      <c r="G996" s="6">
        <v>2</v>
      </c>
      <c r="H996" s="4">
        <v>134.81</v>
      </c>
      <c r="I996" s="4">
        <v>85.47</v>
      </c>
      <c r="J996" s="5">
        <v>0.1</v>
      </c>
      <c r="K996" s="6">
        <v>2</v>
      </c>
      <c r="L996" s="6">
        <v>4</v>
      </c>
      <c r="M996" t="s">
        <v>58</v>
      </c>
      <c r="N996" t="s">
        <v>59</v>
      </c>
      <c r="O996" t="s">
        <v>60</v>
      </c>
      <c r="P996" t="str">
        <f t="shared" si="105"/>
        <v>Corporate</v>
      </c>
      <c r="Q996" t="str">
        <f t="shared" si="106"/>
        <v>South</v>
      </c>
      <c r="R996" t="str">
        <f>PROPER(TRIM(E996))</f>
        <v>Electronics</v>
      </c>
      <c r="S996" s="27">
        <f>IF(ISTEXT(B996),DATEVALUE(B996),B996)</f>
        <v>45904</v>
      </c>
      <c r="T996" s="27">
        <f>COUNTIF($A$2:$A$1986,A996)</f>
        <v>1</v>
      </c>
      <c r="U996" s="27" t="str">
        <f t="shared" si="107"/>
        <v>SmartHome Hub</v>
      </c>
      <c r="V996" s="27">
        <f t="shared" si="108"/>
        <v>242.65800000000002</v>
      </c>
      <c r="W996" s="27">
        <f t="shared" si="109"/>
        <v>170.94</v>
      </c>
      <c r="X996" s="27">
        <f>RawSalesTable3[[#This Row],[Revenue]]-RawSalesTable3[[#This Row],[Total_Cost]]</f>
        <v>71.718000000000018</v>
      </c>
      <c r="Y996" s="28">
        <f>RawSalesTable3[[#This Row],[Profit]]/RawSalesTable3[[#This Row],[Revenue]]</f>
        <v>0.29555176421135926</v>
      </c>
      <c r="Z996" s="27" t="str">
        <f>TEXT(RawSalesTable3[[#This Row],[Order_Date_Clean]],"MMM YYYY")</f>
        <v>Sep 2025</v>
      </c>
      <c r="AA996" s="27"/>
      <c r="AB996" s="27">
        <f t="shared" si="110"/>
        <v>0</v>
      </c>
      <c r="AC996" s="27">
        <f t="shared" si="111"/>
        <v>0</v>
      </c>
    </row>
    <row r="997" spans="1:29">
      <c r="A997" t="s">
        <v>1098</v>
      </c>
      <c r="B997" s="3">
        <v>45951</v>
      </c>
      <c r="C997" t="s">
        <v>82</v>
      </c>
      <c r="D997" t="s">
        <v>62</v>
      </c>
      <c r="E997" t="s">
        <v>79</v>
      </c>
      <c r="F997" t="s">
        <v>115</v>
      </c>
      <c r="G997" s="6">
        <v>1</v>
      </c>
      <c r="H997" s="4">
        <v>59.6</v>
      </c>
      <c r="I997" s="4">
        <v>35.53</v>
      </c>
      <c r="J997" s="5">
        <v>0</v>
      </c>
      <c r="K997" s="6">
        <v>0</v>
      </c>
      <c r="L997" s="6">
        <v>4</v>
      </c>
      <c r="M997" t="s">
        <v>58</v>
      </c>
      <c r="N997" t="s">
        <v>69</v>
      </c>
      <c r="O997" t="s">
        <v>64</v>
      </c>
      <c r="P997" t="str">
        <f t="shared" si="105"/>
        <v>Individual</v>
      </c>
      <c r="Q997" t="str">
        <f t="shared" si="106"/>
        <v>Midlands</v>
      </c>
      <c r="R997" t="str">
        <f>PROPER(TRIM(E997))</f>
        <v>Electronics</v>
      </c>
      <c r="S997" s="27">
        <f>IF(ISTEXT(B997),DATEVALUE(B997),B997)</f>
        <v>45951</v>
      </c>
      <c r="T997" s="27">
        <f>COUNTIF($A$2:$A$1986,A997)</f>
        <v>1</v>
      </c>
      <c r="U997" s="27" t="str">
        <f t="shared" si="107"/>
        <v>Wireless Headset</v>
      </c>
      <c r="V997" s="27">
        <f t="shared" si="108"/>
        <v>59.6</v>
      </c>
      <c r="W997" s="27">
        <f t="shared" si="109"/>
        <v>35.53</v>
      </c>
      <c r="X997" s="27">
        <f>RawSalesTable3[[#This Row],[Revenue]]-RawSalesTable3[[#This Row],[Total_Cost]]</f>
        <v>24.07</v>
      </c>
      <c r="Y997" s="28">
        <f>RawSalesTable3[[#This Row],[Profit]]/RawSalesTable3[[#This Row],[Revenue]]</f>
        <v>0.40385906040268454</v>
      </c>
      <c r="Z997" s="27" t="str">
        <f>TEXT(RawSalesTable3[[#This Row],[Order_Date_Clean]],"MMM YYYY")</f>
        <v>Oct 2025</v>
      </c>
      <c r="AA997" s="27"/>
      <c r="AB997" s="27">
        <f t="shared" si="110"/>
        <v>0</v>
      </c>
      <c r="AC997" s="27">
        <f t="shared" si="111"/>
        <v>0</v>
      </c>
    </row>
    <row r="998" spans="1:29">
      <c r="A998" t="s">
        <v>1099</v>
      </c>
      <c r="B998" s="3">
        <v>45763</v>
      </c>
      <c r="C998" t="s">
        <v>82</v>
      </c>
      <c r="D998" t="s">
        <v>55</v>
      </c>
      <c r="E998" t="s">
        <v>79</v>
      </c>
      <c r="F998" t="s">
        <v>115</v>
      </c>
      <c r="G998" s="6">
        <v>3</v>
      </c>
      <c r="H998" s="4">
        <v>59.92</v>
      </c>
      <c r="I998" s="4">
        <v>35.31</v>
      </c>
      <c r="J998" s="5">
        <v>0.1</v>
      </c>
      <c r="K998" s="6">
        <v>3</v>
      </c>
      <c r="L998" s="6">
        <v>5</v>
      </c>
      <c r="M998" t="s">
        <v>58</v>
      </c>
      <c r="N998" t="s">
        <v>59</v>
      </c>
      <c r="O998" t="s">
        <v>60</v>
      </c>
      <c r="P998" t="str">
        <f t="shared" si="105"/>
        <v>Small Business</v>
      </c>
      <c r="Q998" t="str">
        <f t="shared" si="106"/>
        <v>Midlands</v>
      </c>
      <c r="R998" t="str">
        <f>PROPER(TRIM(E998))</f>
        <v>Electronics</v>
      </c>
      <c r="S998" s="27">
        <f>IF(ISTEXT(B998),DATEVALUE(B998),B998)</f>
        <v>45763</v>
      </c>
      <c r="T998" s="27">
        <f>COUNTIF($A$2:$A$1986,A998)</f>
        <v>1</v>
      </c>
      <c r="U998" s="27" t="str">
        <f t="shared" si="107"/>
        <v>Wireless Headset</v>
      </c>
      <c r="V998" s="27">
        <f t="shared" si="108"/>
        <v>161.78399999999999</v>
      </c>
      <c r="W998" s="27">
        <f t="shared" si="109"/>
        <v>105.93</v>
      </c>
      <c r="X998" s="27">
        <f>RawSalesTable3[[#This Row],[Revenue]]-RawSalesTable3[[#This Row],[Total_Cost]]</f>
        <v>55.853999999999985</v>
      </c>
      <c r="Y998" s="28">
        <f>RawSalesTable3[[#This Row],[Profit]]/RawSalesTable3[[#This Row],[Revenue]]</f>
        <v>0.34523809523809518</v>
      </c>
      <c r="Z998" s="27" t="str">
        <f>TEXT(RawSalesTable3[[#This Row],[Order_Date_Clean]],"MMM YYYY")</f>
        <v>Apr 2025</v>
      </c>
      <c r="AA998" s="27"/>
      <c r="AB998" s="27">
        <f t="shared" si="110"/>
        <v>0</v>
      </c>
      <c r="AC998" s="27">
        <f t="shared" si="111"/>
        <v>0</v>
      </c>
    </row>
    <row r="999" spans="1:29">
      <c r="A999" t="s">
        <v>1100</v>
      </c>
      <c r="B999" s="3">
        <v>45984</v>
      </c>
      <c r="C999" t="s">
        <v>78</v>
      </c>
      <c r="D999" t="s">
        <v>62</v>
      </c>
      <c r="E999" t="s">
        <v>79</v>
      </c>
      <c r="F999" t="s">
        <v>80</v>
      </c>
      <c r="G999" s="6">
        <v>2</v>
      </c>
      <c r="H999" s="4">
        <v>73.52</v>
      </c>
      <c r="I999" s="4">
        <v>45</v>
      </c>
      <c r="J999" s="5">
        <v>0.05</v>
      </c>
      <c r="K999" s="6">
        <v>1</v>
      </c>
      <c r="L999" s="6">
        <v>4</v>
      </c>
      <c r="M999" t="s">
        <v>58</v>
      </c>
      <c r="N999" t="s">
        <v>87</v>
      </c>
      <c r="O999" t="s">
        <v>64</v>
      </c>
      <c r="P999" t="str">
        <f t="shared" si="105"/>
        <v>Individual</v>
      </c>
      <c r="Q999" t="str">
        <f t="shared" si="106"/>
        <v>London</v>
      </c>
      <c r="R999" t="str">
        <f>PROPER(TRIM(E999))</f>
        <v>Electronics</v>
      </c>
      <c r="S999" s="27">
        <f>IF(ISTEXT(B999),DATEVALUE(B999),B999)</f>
        <v>45984</v>
      </c>
      <c r="T999" s="27">
        <f>COUNTIF($A$2:$A$1986,A999)</f>
        <v>1</v>
      </c>
      <c r="U999" s="27" t="str">
        <f t="shared" si="107"/>
        <v>Portable Speaker</v>
      </c>
      <c r="V999" s="27">
        <f t="shared" si="108"/>
        <v>139.68799999999999</v>
      </c>
      <c r="W999" s="27">
        <f t="shared" si="109"/>
        <v>90</v>
      </c>
      <c r="X999" s="27">
        <f>RawSalesTable3[[#This Row],[Revenue]]-RawSalesTable3[[#This Row],[Total_Cost]]</f>
        <v>49.687999999999988</v>
      </c>
      <c r="Y999" s="28">
        <f>RawSalesTable3[[#This Row],[Profit]]/RawSalesTable3[[#This Row],[Revenue]]</f>
        <v>0.35570700418074563</v>
      </c>
      <c r="Z999" s="27" t="str">
        <f>TEXT(RawSalesTable3[[#This Row],[Order_Date_Clean]],"MMM YYYY")</f>
        <v>Nov 2025</v>
      </c>
      <c r="AA999" s="27"/>
      <c r="AB999" s="27">
        <f t="shared" si="110"/>
        <v>0</v>
      </c>
      <c r="AC999" s="27">
        <f t="shared" si="111"/>
        <v>0</v>
      </c>
    </row>
    <row r="1000" spans="1:29">
      <c r="A1000" t="s">
        <v>1101</v>
      </c>
      <c r="B1000" s="3">
        <v>45986</v>
      </c>
      <c r="C1000" t="s">
        <v>82</v>
      </c>
      <c r="D1000" t="s">
        <v>62</v>
      </c>
      <c r="E1000" t="s">
        <v>56</v>
      </c>
      <c r="F1000" t="s">
        <v>57</v>
      </c>
      <c r="G1000" s="6">
        <v>2</v>
      </c>
      <c r="H1000" s="4">
        <v>107.06</v>
      </c>
      <c r="I1000" s="4">
        <v>69.84</v>
      </c>
      <c r="J1000" s="5">
        <v>0.05</v>
      </c>
      <c r="K1000" s="6">
        <v>3</v>
      </c>
      <c r="L1000" s="6">
        <v>4</v>
      </c>
      <c r="M1000" t="s">
        <v>58</v>
      </c>
      <c r="N1000" t="s">
        <v>59</v>
      </c>
      <c r="O1000" t="s">
        <v>64</v>
      </c>
      <c r="P1000" t="str">
        <f t="shared" si="105"/>
        <v>Individual</v>
      </c>
      <c r="Q1000" t="str">
        <f t="shared" si="106"/>
        <v>Midlands</v>
      </c>
      <c r="R1000" t="str">
        <f>PROPER(TRIM(E1000))</f>
        <v>Home &amp; Kitchen</v>
      </c>
      <c r="S1000" s="27">
        <f>IF(ISTEXT(B1000),DATEVALUE(B1000),B1000)</f>
        <v>45986</v>
      </c>
      <c r="T1000" s="27">
        <f>COUNTIF($A$2:$A$1986,A1000)</f>
        <v>1</v>
      </c>
      <c r="U1000" s="27" t="str">
        <f t="shared" si="107"/>
        <v>Air Fryer</v>
      </c>
      <c r="V1000" s="27">
        <f t="shared" si="108"/>
        <v>203.41399999999999</v>
      </c>
      <c r="W1000" s="27">
        <f t="shared" si="109"/>
        <v>139.68</v>
      </c>
      <c r="X1000" s="27">
        <f>RawSalesTable3[[#This Row],[Revenue]]-RawSalesTable3[[#This Row],[Total_Cost]]</f>
        <v>63.73399999999998</v>
      </c>
      <c r="Y1000" s="28">
        <f>RawSalesTable3[[#This Row],[Profit]]/RawSalesTable3[[#This Row],[Revenue]]</f>
        <v>0.31332160028316625</v>
      </c>
      <c r="Z1000" s="27" t="str">
        <f>TEXT(RawSalesTable3[[#This Row],[Order_Date_Clean]],"MMM YYYY")</f>
        <v>Nov 2025</v>
      </c>
      <c r="AA1000" s="27"/>
      <c r="AB1000" s="27">
        <f t="shared" si="110"/>
        <v>0</v>
      </c>
      <c r="AC1000" s="27">
        <f t="shared" si="111"/>
        <v>0</v>
      </c>
    </row>
    <row r="1001" spans="1:29">
      <c r="A1001" t="s">
        <v>1102</v>
      </c>
      <c r="B1001" s="3">
        <v>45726</v>
      </c>
      <c r="C1001" t="s">
        <v>78</v>
      </c>
      <c r="D1001" t="s">
        <v>62</v>
      </c>
      <c r="E1001" t="s">
        <v>75</v>
      </c>
      <c r="F1001" t="s">
        <v>97</v>
      </c>
      <c r="G1001" s="6">
        <v>1</v>
      </c>
      <c r="H1001" s="4">
        <v>88.4</v>
      </c>
      <c r="I1001" s="4">
        <v>55.36</v>
      </c>
      <c r="J1001" s="5">
        <v>0.05</v>
      </c>
      <c r="K1001" s="6">
        <v>1</v>
      </c>
      <c r="L1001" s="6">
        <v>4</v>
      </c>
      <c r="M1001" t="s">
        <v>58</v>
      </c>
      <c r="N1001" t="s">
        <v>69</v>
      </c>
      <c r="O1001" t="s">
        <v>64</v>
      </c>
      <c r="P1001" t="str">
        <f t="shared" si="105"/>
        <v>Individual</v>
      </c>
      <c r="Q1001" t="str">
        <f t="shared" si="106"/>
        <v>London</v>
      </c>
      <c r="R1001" t="str">
        <f>PROPER(TRIM(E1001))</f>
        <v>Furniture</v>
      </c>
      <c r="S1001" s="27">
        <f>IF(ISTEXT(B1001),DATEVALUE(B1001),B1001)</f>
        <v>45726</v>
      </c>
      <c r="T1001" s="27">
        <f>COUNTIF($A$2:$A$1986,A1001)</f>
        <v>1</v>
      </c>
      <c r="U1001" s="27" t="str">
        <f t="shared" si="107"/>
        <v>Side Table</v>
      </c>
      <c r="V1001" s="27">
        <f t="shared" si="108"/>
        <v>83.98</v>
      </c>
      <c r="W1001" s="27">
        <f t="shared" si="109"/>
        <v>55.36</v>
      </c>
      <c r="X1001" s="27">
        <f>RawSalesTable3[[#This Row],[Revenue]]-RawSalesTable3[[#This Row],[Total_Cost]]</f>
        <v>28.620000000000005</v>
      </c>
      <c r="Y1001" s="28">
        <f>RawSalesTable3[[#This Row],[Profit]]/RawSalesTable3[[#This Row],[Revenue]]</f>
        <v>0.340795427482734</v>
      </c>
      <c r="Z1001" s="27" t="str">
        <f>TEXT(RawSalesTable3[[#This Row],[Order_Date_Clean]],"MMM YYYY")</f>
        <v>Mar 2025</v>
      </c>
      <c r="AA1001" s="27"/>
      <c r="AB1001" s="27">
        <f t="shared" si="110"/>
        <v>0</v>
      </c>
      <c r="AC1001" s="27">
        <f t="shared" si="111"/>
        <v>0</v>
      </c>
    </row>
    <row r="1002" spans="1:29">
      <c r="A1002" t="s">
        <v>1103</v>
      </c>
      <c r="B1002" s="3">
        <v>45894</v>
      </c>
      <c r="C1002" t="s">
        <v>82</v>
      </c>
      <c r="D1002" t="s">
        <v>62</v>
      </c>
      <c r="E1002" t="s">
        <v>56</v>
      </c>
      <c r="F1002" t="s">
        <v>89</v>
      </c>
      <c r="G1002" s="6">
        <v>1</v>
      </c>
      <c r="H1002" s="4">
        <v>81.900000000000006</v>
      </c>
      <c r="I1002" s="4">
        <v>44.63</v>
      </c>
      <c r="J1002" s="5">
        <v>0.1</v>
      </c>
      <c r="K1002" s="6">
        <v>5</v>
      </c>
      <c r="L1002" s="6">
        <v>3</v>
      </c>
      <c r="M1002" t="s">
        <v>126</v>
      </c>
      <c r="N1002" t="s">
        <v>59</v>
      </c>
      <c r="O1002" t="s">
        <v>60</v>
      </c>
      <c r="P1002" t="str">
        <f t="shared" si="105"/>
        <v>Individual</v>
      </c>
      <c r="Q1002" t="str">
        <f t="shared" si="106"/>
        <v>Midlands</v>
      </c>
      <c r="R1002" t="str">
        <f>PROPER(TRIM(E1002))</f>
        <v>Home &amp; Kitchen</v>
      </c>
      <c r="S1002" s="27">
        <f>IF(ISTEXT(B1002),DATEVALUE(B1002),B1002)</f>
        <v>45894</v>
      </c>
      <c r="T1002" s="27">
        <f>COUNTIF($A$2:$A$1986,A1002)</f>
        <v>1</v>
      </c>
      <c r="U1002" s="27" t="str">
        <f t="shared" si="107"/>
        <v>Coffee Maker</v>
      </c>
      <c r="V1002" s="27">
        <f t="shared" si="108"/>
        <v>73.710000000000008</v>
      </c>
      <c r="W1002" s="27">
        <f t="shared" si="109"/>
        <v>44.63</v>
      </c>
      <c r="X1002" s="27">
        <f>RawSalesTable3[[#This Row],[Revenue]]-RawSalesTable3[[#This Row],[Total_Cost]]</f>
        <v>29.080000000000005</v>
      </c>
      <c r="Y1002" s="28">
        <f>RawSalesTable3[[#This Row],[Profit]]/RawSalesTable3[[#This Row],[Revenue]]</f>
        <v>0.39451906118572788</v>
      </c>
      <c r="Z1002" s="27" t="str">
        <f>TEXT(RawSalesTable3[[#This Row],[Order_Date_Clean]],"MMM YYYY")</f>
        <v>Aug 2025</v>
      </c>
      <c r="AA1002" s="27"/>
      <c r="AB1002" s="27">
        <f t="shared" si="110"/>
        <v>0</v>
      </c>
      <c r="AC1002" s="27">
        <f t="shared" si="111"/>
        <v>0</v>
      </c>
    </row>
    <row r="1003" spans="1:29">
      <c r="A1003" t="s">
        <v>1104</v>
      </c>
      <c r="B1003" s="3">
        <v>45989</v>
      </c>
      <c r="C1003" t="s">
        <v>54</v>
      </c>
      <c r="D1003" t="s">
        <v>62</v>
      </c>
      <c r="E1003" t="s">
        <v>75</v>
      </c>
      <c r="F1003" t="s">
        <v>146</v>
      </c>
      <c r="G1003" s="6">
        <v>2</v>
      </c>
      <c r="H1003" s="4">
        <v>182.99</v>
      </c>
      <c r="I1003" s="4">
        <v>115.91</v>
      </c>
      <c r="J1003" s="5">
        <v>0.05</v>
      </c>
      <c r="K1003" s="6">
        <v>4</v>
      </c>
      <c r="L1003" s="6">
        <v>5</v>
      </c>
      <c r="M1003" t="s">
        <v>58</v>
      </c>
      <c r="N1003" t="s">
        <v>69</v>
      </c>
      <c r="O1003" t="s">
        <v>60</v>
      </c>
      <c r="P1003" t="str">
        <f t="shared" si="105"/>
        <v>Individual</v>
      </c>
      <c r="Q1003" t="str">
        <f t="shared" si="106"/>
        <v>North</v>
      </c>
      <c r="R1003" t="str">
        <f>PROPER(TRIM(E1003))</f>
        <v>Furniture</v>
      </c>
      <c r="S1003" s="27">
        <f>IF(ISTEXT(B1003),DATEVALUE(B1003),B1003)</f>
        <v>45989</v>
      </c>
      <c r="T1003" s="27">
        <f>COUNTIF($A$2:$A$1986,A1003)</f>
        <v>1</v>
      </c>
      <c r="U1003" s="27" t="str">
        <f t="shared" si="107"/>
        <v>Office Chair</v>
      </c>
      <c r="V1003" s="27">
        <f t="shared" si="108"/>
        <v>347.68099999999998</v>
      </c>
      <c r="W1003" s="27">
        <f t="shared" si="109"/>
        <v>231.82</v>
      </c>
      <c r="X1003" s="27">
        <f>RawSalesTable3[[#This Row],[Revenue]]-RawSalesTable3[[#This Row],[Total_Cost]]</f>
        <v>115.86099999999999</v>
      </c>
      <c r="Y1003" s="28">
        <f>RawSalesTable3[[#This Row],[Profit]]/RawSalesTable3[[#This Row],[Revenue]]</f>
        <v>0.33323937747532939</v>
      </c>
      <c r="Z1003" s="27" t="str">
        <f>TEXT(RawSalesTable3[[#This Row],[Order_Date_Clean]],"MMM YYYY")</f>
        <v>Nov 2025</v>
      </c>
      <c r="AA1003" s="27"/>
      <c r="AB1003" s="27">
        <f t="shared" si="110"/>
        <v>0</v>
      </c>
      <c r="AC1003" s="27">
        <f t="shared" si="111"/>
        <v>0</v>
      </c>
    </row>
    <row r="1004" spans="1:29">
      <c r="A1004" t="s">
        <v>1105</v>
      </c>
      <c r="B1004" s="3">
        <v>45707</v>
      </c>
      <c r="C1004" t="s">
        <v>209</v>
      </c>
      <c r="D1004" t="s">
        <v>62</v>
      </c>
      <c r="E1004" t="s">
        <v>75</v>
      </c>
      <c r="F1004" t="s">
        <v>76</v>
      </c>
      <c r="G1004" s="6">
        <v>1</v>
      </c>
      <c r="H1004" s="4">
        <v>116.75</v>
      </c>
      <c r="I1004" s="4">
        <v>70.650000000000006</v>
      </c>
      <c r="J1004" s="5">
        <v>0.1</v>
      </c>
      <c r="K1004" s="6">
        <v>9</v>
      </c>
      <c r="L1004" s="6">
        <v>3</v>
      </c>
      <c r="M1004" t="s">
        <v>58</v>
      </c>
      <c r="N1004" t="s">
        <v>59</v>
      </c>
      <c r="O1004" t="s">
        <v>60</v>
      </c>
      <c r="P1004" t="str">
        <f t="shared" si="105"/>
        <v>Individual</v>
      </c>
      <c r="Q1004" t="str">
        <f t="shared" si="106"/>
        <v>Midlands</v>
      </c>
      <c r="R1004" t="str">
        <f>PROPER(TRIM(E1004))</f>
        <v>Furniture</v>
      </c>
      <c r="S1004" s="27">
        <f>IF(ISTEXT(B1004),DATEVALUE(B1004),B1004)</f>
        <v>45707</v>
      </c>
      <c r="T1004" s="27">
        <f>COUNTIF($A$2:$A$1986,A1004)</f>
        <v>1</v>
      </c>
      <c r="U1004" s="27" t="str">
        <f t="shared" si="107"/>
        <v>Bookshelf</v>
      </c>
      <c r="V1004" s="27">
        <f t="shared" si="108"/>
        <v>105.075</v>
      </c>
      <c r="W1004" s="27">
        <f t="shared" si="109"/>
        <v>70.650000000000006</v>
      </c>
      <c r="X1004" s="27">
        <f>RawSalesTable3[[#This Row],[Revenue]]-RawSalesTable3[[#This Row],[Total_Cost]]</f>
        <v>34.424999999999997</v>
      </c>
      <c r="Y1004" s="28">
        <f>RawSalesTable3[[#This Row],[Profit]]/RawSalesTable3[[#This Row],[Revenue]]</f>
        <v>0.32762312633832974</v>
      </c>
      <c r="Z1004" s="27" t="str">
        <f>TEXT(RawSalesTable3[[#This Row],[Order_Date_Clean]],"MMM YYYY")</f>
        <v>Feb 2025</v>
      </c>
      <c r="AA1004" s="27"/>
      <c r="AB1004" s="27">
        <f t="shared" si="110"/>
        <v>0</v>
      </c>
      <c r="AC1004" s="27">
        <f t="shared" si="111"/>
        <v>0</v>
      </c>
    </row>
    <row r="1005" spans="1:29">
      <c r="A1005" t="s">
        <v>1106</v>
      </c>
      <c r="B1005" s="3">
        <v>45993</v>
      </c>
      <c r="C1005" t="s">
        <v>78</v>
      </c>
      <c r="D1005" t="s">
        <v>55</v>
      </c>
      <c r="E1005" t="s">
        <v>79</v>
      </c>
      <c r="F1005" t="s">
        <v>92</v>
      </c>
      <c r="G1005" s="6">
        <v>2</v>
      </c>
      <c r="H1005" s="4">
        <v>48.86</v>
      </c>
      <c r="I1005" s="4">
        <v>25.6</v>
      </c>
      <c r="J1005" s="5">
        <v>0.05</v>
      </c>
      <c r="K1005" s="6">
        <v>0</v>
      </c>
      <c r="L1005" s="6">
        <v>5</v>
      </c>
      <c r="M1005" t="s">
        <v>58</v>
      </c>
      <c r="N1005" t="s">
        <v>69</v>
      </c>
      <c r="O1005" t="s">
        <v>64</v>
      </c>
      <c r="P1005" t="str">
        <f t="shared" si="105"/>
        <v>Small Business</v>
      </c>
      <c r="Q1005" t="str">
        <f t="shared" si="106"/>
        <v>London</v>
      </c>
      <c r="R1005" t="str">
        <f>PROPER(TRIM(E1005))</f>
        <v>Electronics</v>
      </c>
      <c r="S1005" s="27">
        <f>IF(ISTEXT(B1005),DATEVALUE(B1005),B1005)</f>
        <v>45993</v>
      </c>
      <c r="T1005" s="27">
        <f>COUNTIF($A$2:$A$1986,A1005)</f>
        <v>1</v>
      </c>
      <c r="U1005" s="27" t="str">
        <f t="shared" si="107"/>
        <v>Webcam</v>
      </c>
      <c r="V1005" s="27">
        <f t="shared" si="108"/>
        <v>92.833999999999989</v>
      </c>
      <c r="W1005" s="27">
        <f t="shared" si="109"/>
        <v>51.2</v>
      </c>
      <c r="X1005" s="27">
        <f>RawSalesTable3[[#This Row],[Revenue]]-RawSalesTable3[[#This Row],[Total_Cost]]</f>
        <v>41.633999999999986</v>
      </c>
      <c r="Y1005" s="28">
        <f>RawSalesTable3[[#This Row],[Profit]]/RawSalesTable3[[#This Row],[Revenue]]</f>
        <v>0.44847792834521827</v>
      </c>
      <c r="Z1005" s="27" t="str">
        <f>TEXT(RawSalesTable3[[#This Row],[Order_Date_Clean]],"MMM YYYY")</f>
        <v>Dec 2025</v>
      </c>
      <c r="AA1005" s="27"/>
      <c r="AB1005" s="27">
        <f t="shared" si="110"/>
        <v>0</v>
      </c>
      <c r="AC1005" s="27">
        <f t="shared" si="111"/>
        <v>0</v>
      </c>
    </row>
    <row r="1006" spans="1:29">
      <c r="A1006" t="s">
        <v>1107</v>
      </c>
      <c r="B1006" s="3">
        <v>46014</v>
      </c>
      <c r="C1006" t="s">
        <v>54</v>
      </c>
      <c r="D1006" t="s">
        <v>55</v>
      </c>
      <c r="E1006" t="s">
        <v>56</v>
      </c>
      <c r="F1006" t="s">
        <v>89</v>
      </c>
      <c r="G1006" s="6">
        <v>5</v>
      </c>
      <c r="H1006" s="4">
        <v>82.14</v>
      </c>
      <c r="I1006" s="4">
        <v>47.13</v>
      </c>
      <c r="J1006" s="5">
        <v>0.15000000000000002</v>
      </c>
      <c r="K1006" s="6">
        <v>5</v>
      </c>
      <c r="L1006" s="6">
        <v>5</v>
      </c>
      <c r="M1006" t="s">
        <v>58</v>
      </c>
      <c r="N1006" t="s">
        <v>59</v>
      </c>
      <c r="O1006" t="s">
        <v>64</v>
      </c>
      <c r="P1006" t="str">
        <f t="shared" si="105"/>
        <v>Small Business</v>
      </c>
      <c r="Q1006" t="str">
        <f t="shared" si="106"/>
        <v>North</v>
      </c>
      <c r="R1006" t="str">
        <f>PROPER(TRIM(E1006))</f>
        <v>Home &amp; Kitchen</v>
      </c>
      <c r="S1006" s="27">
        <f>IF(ISTEXT(B1006),DATEVALUE(B1006),B1006)</f>
        <v>46014</v>
      </c>
      <c r="T1006" s="27">
        <f>COUNTIF($A$2:$A$1986,A1006)</f>
        <v>1</v>
      </c>
      <c r="U1006" s="27" t="str">
        <f t="shared" si="107"/>
        <v>Coffee Maker</v>
      </c>
      <c r="V1006" s="27">
        <f t="shared" si="108"/>
        <v>349.09499999999997</v>
      </c>
      <c r="W1006" s="27">
        <f t="shared" si="109"/>
        <v>235.65</v>
      </c>
      <c r="X1006" s="27">
        <f>RawSalesTable3[[#This Row],[Revenue]]-RawSalesTable3[[#This Row],[Total_Cost]]</f>
        <v>113.44499999999996</v>
      </c>
      <c r="Y1006" s="28">
        <f>RawSalesTable3[[#This Row],[Profit]]/RawSalesTable3[[#This Row],[Revenue]]</f>
        <v>0.32496884802131215</v>
      </c>
      <c r="Z1006" s="27" t="str">
        <f>TEXT(RawSalesTable3[[#This Row],[Order_Date_Clean]],"MMM YYYY")</f>
        <v>Dec 2025</v>
      </c>
      <c r="AA1006" s="27"/>
      <c r="AB1006" s="27">
        <f t="shared" si="110"/>
        <v>0</v>
      </c>
      <c r="AC1006" s="27">
        <f t="shared" si="111"/>
        <v>0</v>
      </c>
    </row>
    <row r="1007" spans="1:29">
      <c r="A1007" t="s">
        <v>1108</v>
      </c>
      <c r="B1007" s="3">
        <v>46010</v>
      </c>
      <c r="C1007" t="s">
        <v>54</v>
      </c>
      <c r="D1007" t="s">
        <v>62</v>
      </c>
      <c r="E1007" t="s">
        <v>75</v>
      </c>
      <c r="F1007" t="s">
        <v>146</v>
      </c>
      <c r="G1007" s="6">
        <v>1</v>
      </c>
      <c r="H1007" s="4">
        <v>180.42</v>
      </c>
      <c r="I1007" s="4">
        <v>116.44</v>
      </c>
      <c r="J1007" s="5">
        <v>0.1</v>
      </c>
      <c r="K1007" s="6">
        <v>6</v>
      </c>
      <c r="L1007" s="6">
        <v>4</v>
      </c>
      <c r="M1007" t="s">
        <v>58</v>
      </c>
      <c r="N1007" t="s">
        <v>59</v>
      </c>
      <c r="O1007" t="s">
        <v>64</v>
      </c>
      <c r="P1007" t="str">
        <f t="shared" si="105"/>
        <v>Individual</v>
      </c>
      <c r="Q1007" t="str">
        <f t="shared" si="106"/>
        <v>North</v>
      </c>
      <c r="R1007" t="str">
        <f>PROPER(TRIM(E1007))</f>
        <v>Furniture</v>
      </c>
      <c r="S1007" s="27">
        <f>IF(ISTEXT(B1007),DATEVALUE(B1007),B1007)</f>
        <v>46010</v>
      </c>
      <c r="T1007" s="27">
        <f>COUNTIF($A$2:$A$1986,A1007)</f>
        <v>1</v>
      </c>
      <c r="U1007" s="27" t="str">
        <f t="shared" si="107"/>
        <v>Office Chair</v>
      </c>
      <c r="V1007" s="27">
        <f t="shared" si="108"/>
        <v>162.37799999999999</v>
      </c>
      <c r="W1007" s="27">
        <f t="shared" si="109"/>
        <v>116.44</v>
      </c>
      <c r="X1007" s="27">
        <f>RawSalesTable3[[#This Row],[Revenue]]-RawSalesTable3[[#This Row],[Total_Cost]]</f>
        <v>45.937999999999988</v>
      </c>
      <c r="Y1007" s="28">
        <f>RawSalesTable3[[#This Row],[Profit]]/RawSalesTable3[[#This Row],[Revenue]]</f>
        <v>0.28290778307406172</v>
      </c>
      <c r="Z1007" s="27" t="str">
        <f>TEXT(RawSalesTable3[[#This Row],[Order_Date_Clean]],"MMM YYYY")</f>
        <v>Dec 2025</v>
      </c>
      <c r="AA1007" s="27"/>
      <c r="AB1007" s="27">
        <f t="shared" si="110"/>
        <v>0</v>
      </c>
      <c r="AC1007" s="27">
        <f t="shared" si="111"/>
        <v>0</v>
      </c>
    </row>
    <row r="1008" spans="1:29">
      <c r="A1008" t="s">
        <v>1109</v>
      </c>
      <c r="B1008" s="3">
        <v>45741</v>
      </c>
      <c r="C1008" t="s">
        <v>78</v>
      </c>
      <c r="D1008" t="s">
        <v>62</v>
      </c>
      <c r="E1008" t="s">
        <v>67</v>
      </c>
      <c r="F1008" t="s">
        <v>68</v>
      </c>
      <c r="G1008" s="6">
        <v>3</v>
      </c>
      <c r="H1008" s="4">
        <v>38.83</v>
      </c>
      <c r="I1008" s="4">
        <v>19.37</v>
      </c>
      <c r="J1008" s="5">
        <v>0.05</v>
      </c>
      <c r="K1008" s="6">
        <v>0</v>
      </c>
      <c r="L1008" s="6">
        <v>4</v>
      </c>
      <c r="M1008" t="s">
        <v>58</v>
      </c>
      <c r="N1008" t="s">
        <v>69</v>
      </c>
      <c r="O1008" t="s">
        <v>64</v>
      </c>
      <c r="P1008" t="str">
        <f t="shared" si="105"/>
        <v>Individual</v>
      </c>
      <c r="Q1008" t="str">
        <f t="shared" si="106"/>
        <v>London</v>
      </c>
      <c r="R1008" t="str">
        <f>PROPER(TRIM(E1008))</f>
        <v>Office</v>
      </c>
      <c r="S1008" s="27">
        <f>IF(ISTEXT(B1008),DATEVALUE(B1008),B1008)</f>
        <v>45741</v>
      </c>
      <c r="T1008" s="27">
        <f>COUNTIF($A$2:$A$1986,A1008)</f>
        <v>1</v>
      </c>
      <c r="U1008" s="27" t="str">
        <f t="shared" si="107"/>
        <v>Desk Lamp</v>
      </c>
      <c r="V1008" s="27">
        <f t="shared" si="108"/>
        <v>110.66549999999999</v>
      </c>
      <c r="W1008" s="27">
        <f t="shared" si="109"/>
        <v>58.11</v>
      </c>
      <c r="X1008" s="27">
        <f>RawSalesTable3[[#This Row],[Revenue]]-RawSalesTable3[[#This Row],[Total_Cost]]</f>
        <v>52.555499999999995</v>
      </c>
      <c r="Y1008" s="28">
        <f>RawSalesTable3[[#This Row],[Profit]]/RawSalesTable3[[#This Row],[Revenue]]</f>
        <v>0.47490410290469925</v>
      </c>
      <c r="Z1008" s="27" t="str">
        <f>TEXT(RawSalesTable3[[#This Row],[Order_Date_Clean]],"MMM YYYY")</f>
        <v>Mar 2025</v>
      </c>
      <c r="AA1008" s="27"/>
      <c r="AB1008" s="27">
        <f t="shared" si="110"/>
        <v>0</v>
      </c>
      <c r="AC1008" s="27">
        <f t="shared" si="111"/>
        <v>0</v>
      </c>
    </row>
    <row r="1009" spans="1:29">
      <c r="A1009" t="s">
        <v>1110</v>
      </c>
      <c r="B1009" s="3">
        <v>45835</v>
      </c>
      <c r="C1009" t="s">
        <v>82</v>
      </c>
      <c r="D1009" t="s">
        <v>55</v>
      </c>
      <c r="E1009" t="s">
        <v>56</v>
      </c>
      <c r="F1009" t="s">
        <v>89</v>
      </c>
      <c r="G1009" s="6">
        <v>2</v>
      </c>
      <c r="H1009" s="4">
        <v>82.89</v>
      </c>
      <c r="I1009" s="4">
        <v>46.08</v>
      </c>
      <c r="J1009" s="5">
        <v>0.05</v>
      </c>
      <c r="K1009" s="6">
        <v>6</v>
      </c>
      <c r="L1009" s="6">
        <v>4</v>
      </c>
      <c r="M1009" t="s">
        <v>58</v>
      </c>
      <c r="N1009" t="s">
        <v>59</v>
      </c>
      <c r="O1009" t="s">
        <v>73</v>
      </c>
      <c r="P1009" t="str">
        <f t="shared" si="105"/>
        <v>Small Business</v>
      </c>
      <c r="Q1009" t="str">
        <f t="shared" si="106"/>
        <v>Midlands</v>
      </c>
      <c r="R1009" t="str">
        <f>PROPER(TRIM(E1009))</f>
        <v>Home &amp; Kitchen</v>
      </c>
      <c r="S1009" s="27">
        <f>IF(ISTEXT(B1009),DATEVALUE(B1009),B1009)</f>
        <v>45835</v>
      </c>
      <c r="T1009" s="27">
        <f>COUNTIF($A$2:$A$1986,A1009)</f>
        <v>1</v>
      </c>
      <c r="U1009" s="27" t="str">
        <f t="shared" si="107"/>
        <v>Coffee Maker</v>
      </c>
      <c r="V1009" s="27">
        <f t="shared" si="108"/>
        <v>157.49099999999999</v>
      </c>
      <c r="W1009" s="27">
        <f t="shared" si="109"/>
        <v>92.16</v>
      </c>
      <c r="X1009" s="27">
        <f>RawSalesTable3[[#This Row],[Revenue]]-RawSalesTable3[[#This Row],[Total_Cost]]</f>
        <v>65.330999999999989</v>
      </c>
      <c r="Y1009" s="28">
        <f>RawSalesTable3[[#This Row],[Profit]]/RawSalesTable3[[#This Row],[Revenue]]</f>
        <v>0.4148237042116692</v>
      </c>
      <c r="Z1009" s="27" t="str">
        <f>TEXT(RawSalesTable3[[#This Row],[Order_Date_Clean]],"MMM YYYY")</f>
        <v>Jun 2025</v>
      </c>
      <c r="AA1009" s="27"/>
      <c r="AB1009" s="27">
        <f t="shared" si="110"/>
        <v>0</v>
      </c>
      <c r="AC1009" s="27">
        <f t="shared" si="111"/>
        <v>0</v>
      </c>
    </row>
    <row r="1010" spans="1:29">
      <c r="A1010" t="s">
        <v>1111</v>
      </c>
      <c r="B1010" s="3">
        <v>45936</v>
      </c>
      <c r="C1010" t="s">
        <v>54</v>
      </c>
      <c r="D1010" t="s">
        <v>62</v>
      </c>
      <c r="E1010" t="s">
        <v>56</v>
      </c>
      <c r="F1010" t="s">
        <v>57</v>
      </c>
      <c r="G1010" s="6">
        <v>1</v>
      </c>
      <c r="H1010" s="4">
        <v>111.12</v>
      </c>
      <c r="I1010" s="4">
        <v>65.09</v>
      </c>
      <c r="J1010" s="5">
        <v>0</v>
      </c>
      <c r="K1010" s="6">
        <v>3</v>
      </c>
      <c r="L1010" s="6">
        <v>4</v>
      </c>
      <c r="M1010" t="s">
        <v>58</v>
      </c>
      <c r="N1010" t="s">
        <v>59</v>
      </c>
      <c r="O1010" t="s">
        <v>60</v>
      </c>
      <c r="P1010" t="str">
        <f t="shared" si="105"/>
        <v>Individual</v>
      </c>
      <c r="Q1010" t="str">
        <f t="shared" si="106"/>
        <v>North</v>
      </c>
      <c r="R1010" t="str">
        <f>PROPER(TRIM(E1010))</f>
        <v>Home &amp; Kitchen</v>
      </c>
      <c r="S1010" s="27">
        <f>IF(ISTEXT(B1010),DATEVALUE(B1010),B1010)</f>
        <v>45936</v>
      </c>
      <c r="T1010" s="27">
        <f>COUNTIF($A$2:$A$1986,A1010)</f>
        <v>1</v>
      </c>
      <c r="U1010" s="27" t="str">
        <f t="shared" si="107"/>
        <v>Air Fryer</v>
      </c>
      <c r="V1010" s="27">
        <f t="shared" si="108"/>
        <v>111.12</v>
      </c>
      <c r="W1010" s="27">
        <f t="shared" si="109"/>
        <v>65.09</v>
      </c>
      <c r="X1010" s="27">
        <f>RawSalesTable3[[#This Row],[Revenue]]-RawSalesTable3[[#This Row],[Total_Cost]]</f>
        <v>46.03</v>
      </c>
      <c r="Y1010" s="28">
        <f>RawSalesTable3[[#This Row],[Profit]]/RawSalesTable3[[#This Row],[Revenue]]</f>
        <v>0.4142368610511159</v>
      </c>
      <c r="Z1010" s="27" t="str">
        <f>TEXT(RawSalesTable3[[#This Row],[Order_Date_Clean]],"MMM YYYY")</f>
        <v>Oct 2025</v>
      </c>
      <c r="AA1010" s="27"/>
      <c r="AB1010" s="27">
        <f t="shared" si="110"/>
        <v>0</v>
      </c>
      <c r="AC1010" s="27">
        <f t="shared" si="111"/>
        <v>0</v>
      </c>
    </row>
    <row r="1011" spans="1:29">
      <c r="A1011" t="s">
        <v>1112</v>
      </c>
      <c r="B1011" s="3">
        <v>46013</v>
      </c>
      <c r="C1011" t="s">
        <v>78</v>
      </c>
      <c r="D1011" t="s">
        <v>55</v>
      </c>
      <c r="E1011" t="s">
        <v>56</v>
      </c>
      <c r="F1011" t="s">
        <v>83</v>
      </c>
      <c r="G1011" s="6">
        <v>3</v>
      </c>
      <c r="H1011" s="4">
        <v>63.85</v>
      </c>
      <c r="I1011" s="4">
        <v>36.659999999999997</v>
      </c>
      <c r="J1011" s="5">
        <v>0.1</v>
      </c>
      <c r="K1011" s="6">
        <v>0</v>
      </c>
      <c r="L1011" s="6">
        <v>4</v>
      </c>
      <c r="M1011" t="s">
        <v>58</v>
      </c>
      <c r="N1011" t="s">
        <v>69</v>
      </c>
      <c r="O1011" t="s">
        <v>64</v>
      </c>
      <c r="P1011" t="str">
        <f t="shared" si="105"/>
        <v>Small Business</v>
      </c>
      <c r="Q1011" t="str">
        <f t="shared" si="106"/>
        <v>London</v>
      </c>
      <c r="R1011" t="str">
        <f>PROPER(TRIM(E1011))</f>
        <v>Home &amp; Kitchen</v>
      </c>
      <c r="S1011" s="27">
        <f>IF(ISTEXT(B1011),DATEVALUE(B1011),B1011)</f>
        <v>46013</v>
      </c>
      <c r="T1011" s="27">
        <f>COUNTIF($A$2:$A$1986,A1011)</f>
        <v>1</v>
      </c>
      <c r="U1011" s="27" t="str">
        <f t="shared" si="107"/>
        <v>Blender</v>
      </c>
      <c r="V1011" s="27">
        <f t="shared" si="108"/>
        <v>172.39500000000001</v>
      </c>
      <c r="W1011" s="27">
        <f t="shared" si="109"/>
        <v>109.97999999999999</v>
      </c>
      <c r="X1011" s="27">
        <f>RawSalesTable3[[#This Row],[Revenue]]-RawSalesTable3[[#This Row],[Total_Cost]]</f>
        <v>62.41500000000002</v>
      </c>
      <c r="Y1011" s="28">
        <f>RawSalesTable3[[#This Row],[Profit]]/RawSalesTable3[[#This Row],[Revenue]]</f>
        <v>0.36204646306447413</v>
      </c>
      <c r="Z1011" s="27" t="str">
        <f>TEXT(RawSalesTable3[[#This Row],[Order_Date_Clean]],"MMM YYYY")</f>
        <v>Dec 2025</v>
      </c>
      <c r="AA1011" s="27"/>
      <c r="AB1011" s="27">
        <f t="shared" si="110"/>
        <v>0</v>
      </c>
      <c r="AC1011" s="27">
        <f t="shared" si="111"/>
        <v>0</v>
      </c>
    </row>
    <row r="1012" spans="1:29">
      <c r="A1012" t="s">
        <v>1113</v>
      </c>
      <c r="B1012" s="3">
        <v>45987</v>
      </c>
      <c r="C1012" t="s">
        <v>82</v>
      </c>
      <c r="D1012" t="s">
        <v>62</v>
      </c>
      <c r="E1012" t="s">
        <v>56</v>
      </c>
      <c r="F1012" t="s">
        <v>89</v>
      </c>
      <c r="G1012" s="6">
        <v>2</v>
      </c>
      <c r="H1012" s="4">
        <v>79.209999999999994</v>
      </c>
      <c r="I1012" s="4">
        <v>45.91</v>
      </c>
      <c r="J1012" s="5">
        <v>0.05</v>
      </c>
      <c r="K1012" s="6">
        <v>6</v>
      </c>
      <c r="L1012" s="6">
        <v>4</v>
      </c>
      <c r="M1012" t="s">
        <v>58</v>
      </c>
      <c r="N1012" t="s">
        <v>59</v>
      </c>
      <c r="O1012" t="s">
        <v>64</v>
      </c>
      <c r="P1012" t="str">
        <f t="shared" si="105"/>
        <v>Individual</v>
      </c>
      <c r="Q1012" t="str">
        <f t="shared" si="106"/>
        <v>Midlands</v>
      </c>
      <c r="R1012" t="str">
        <f>PROPER(TRIM(E1012))</f>
        <v>Home &amp; Kitchen</v>
      </c>
      <c r="S1012" s="27">
        <f>IF(ISTEXT(B1012),DATEVALUE(B1012),B1012)</f>
        <v>45987</v>
      </c>
      <c r="T1012" s="27">
        <f>COUNTIF($A$2:$A$1986,A1012)</f>
        <v>1</v>
      </c>
      <c r="U1012" s="27" t="str">
        <f t="shared" si="107"/>
        <v>Coffee Maker</v>
      </c>
      <c r="V1012" s="27">
        <f t="shared" si="108"/>
        <v>150.499</v>
      </c>
      <c r="W1012" s="27">
        <f t="shared" si="109"/>
        <v>91.82</v>
      </c>
      <c r="X1012" s="27">
        <f>RawSalesTable3[[#This Row],[Revenue]]-RawSalesTable3[[#This Row],[Total_Cost]]</f>
        <v>58.679000000000002</v>
      </c>
      <c r="Y1012" s="28">
        <f>RawSalesTable3[[#This Row],[Profit]]/RawSalesTable3[[#This Row],[Revenue]]</f>
        <v>0.38989627838058727</v>
      </c>
      <c r="Z1012" s="27" t="str">
        <f>TEXT(RawSalesTable3[[#This Row],[Order_Date_Clean]],"MMM YYYY")</f>
        <v>Nov 2025</v>
      </c>
      <c r="AA1012" s="27"/>
      <c r="AB1012" s="27">
        <f t="shared" si="110"/>
        <v>0</v>
      </c>
      <c r="AC1012" s="27">
        <f t="shared" si="111"/>
        <v>0</v>
      </c>
    </row>
    <row r="1013" spans="1:29">
      <c r="A1013" t="s">
        <v>1114</v>
      </c>
      <c r="B1013" s="3">
        <v>45993</v>
      </c>
      <c r="C1013" t="s">
        <v>54</v>
      </c>
      <c r="D1013" t="s">
        <v>55</v>
      </c>
      <c r="E1013" t="s">
        <v>79</v>
      </c>
      <c r="F1013" t="s">
        <v>80</v>
      </c>
      <c r="G1013" s="6">
        <v>5</v>
      </c>
      <c r="H1013" s="4">
        <v>73.989999999999995</v>
      </c>
      <c r="I1013" s="4">
        <v>43.92</v>
      </c>
      <c r="J1013" s="5">
        <v>0</v>
      </c>
      <c r="K1013" s="6">
        <v>2</v>
      </c>
      <c r="L1013" s="6">
        <v>5</v>
      </c>
      <c r="M1013" t="s">
        <v>58</v>
      </c>
      <c r="N1013" t="s">
        <v>87</v>
      </c>
      <c r="O1013" t="s">
        <v>60</v>
      </c>
      <c r="P1013" t="str">
        <f t="shared" si="105"/>
        <v>Small Business</v>
      </c>
      <c r="Q1013" t="str">
        <f t="shared" si="106"/>
        <v>North</v>
      </c>
      <c r="R1013" t="str">
        <f>PROPER(TRIM(E1013))</f>
        <v>Electronics</v>
      </c>
      <c r="S1013" s="27">
        <f>IF(ISTEXT(B1013),DATEVALUE(B1013),B1013)</f>
        <v>45993</v>
      </c>
      <c r="T1013" s="27">
        <f>COUNTIF($A$2:$A$1986,A1013)</f>
        <v>1</v>
      </c>
      <c r="U1013" s="27" t="str">
        <f t="shared" si="107"/>
        <v>Portable Speaker</v>
      </c>
      <c r="V1013" s="27">
        <f t="shared" si="108"/>
        <v>369.95</v>
      </c>
      <c r="W1013" s="27">
        <f t="shared" si="109"/>
        <v>219.60000000000002</v>
      </c>
      <c r="X1013" s="27">
        <f>RawSalesTable3[[#This Row],[Revenue]]-RawSalesTable3[[#This Row],[Total_Cost]]</f>
        <v>150.34999999999997</v>
      </c>
      <c r="Y1013" s="28">
        <f>RawSalesTable3[[#This Row],[Profit]]/RawSalesTable3[[#This Row],[Revenue]]</f>
        <v>0.40640627111771854</v>
      </c>
      <c r="Z1013" s="27" t="str">
        <f>TEXT(RawSalesTable3[[#This Row],[Order_Date_Clean]],"MMM YYYY")</f>
        <v>Dec 2025</v>
      </c>
      <c r="AA1013" s="27"/>
      <c r="AB1013" s="27">
        <f t="shared" si="110"/>
        <v>0</v>
      </c>
      <c r="AC1013" s="27">
        <f t="shared" si="111"/>
        <v>0</v>
      </c>
    </row>
    <row r="1014" spans="1:29">
      <c r="A1014" t="s">
        <v>1115</v>
      </c>
      <c r="B1014" s="3">
        <v>45827</v>
      </c>
      <c r="C1014" t="s">
        <v>54</v>
      </c>
      <c r="D1014" t="s">
        <v>55</v>
      </c>
      <c r="E1014" t="s">
        <v>56</v>
      </c>
      <c r="F1014" t="s">
        <v>83</v>
      </c>
      <c r="G1014" s="6">
        <v>3</v>
      </c>
      <c r="H1014" s="4">
        <v>64.400000000000006</v>
      </c>
      <c r="I1014" s="4">
        <v>34.4</v>
      </c>
      <c r="J1014" s="5">
        <v>0</v>
      </c>
      <c r="K1014" s="6">
        <v>2</v>
      </c>
      <c r="L1014" s="6">
        <v>4</v>
      </c>
      <c r="M1014" t="s">
        <v>58</v>
      </c>
      <c r="N1014" t="s">
        <v>59</v>
      </c>
      <c r="O1014" t="s">
        <v>64</v>
      </c>
      <c r="P1014" t="str">
        <f t="shared" si="105"/>
        <v>Small Business</v>
      </c>
      <c r="Q1014" t="str">
        <f t="shared" si="106"/>
        <v>North</v>
      </c>
      <c r="R1014" t="str">
        <f>PROPER(TRIM(E1014))</f>
        <v>Home &amp; Kitchen</v>
      </c>
      <c r="S1014" s="27">
        <f>IF(ISTEXT(B1014),DATEVALUE(B1014),B1014)</f>
        <v>45827</v>
      </c>
      <c r="T1014" s="27">
        <f>COUNTIF($A$2:$A$1986,A1014)</f>
        <v>1</v>
      </c>
      <c r="U1014" s="27" t="str">
        <f t="shared" si="107"/>
        <v>Blender</v>
      </c>
      <c r="V1014" s="27">
        <f t="shared" si="108"/>
        <v>193.20000000000002</v>
      </c>
      <c r="W1014" s="27">
        <f t="shared" si="109"/>
        <v>103.19999999999999</v>
      </c>
      <c r="X1014" s="27">
        <f>RawSalesTable3[[#This Row],[Revenue]]-RawSalesTable3[[#This Row],[Total_Cost]]</f>
        <v>90.000000000000028</v>
      </c>
      <c r="Y1014" s="28">
        <f>RawSalesTable3[[#This Row],[Profit]]/RawSalesTable3[[#This Row],[Revenue]]</f>
        <v>0.46583850931677029</v>
      </c>
      <c r="Z1014" s="27" t="str">
        <f>TEXT(RawSalesTable3[[#This Row],[Order_Date_Clean]],"MMM YYYY")</f>
        <v>Jun 2025</v>
      </c>
      <c r="AA1014" s="27"/>
      <c r="AB1014" s="27">
        <f t="shared" si="110"/>
        <v>0</v>
      </c>
      <c r="AC1014" s="27">
        <f t="shared" si="111"/>
        <v>0</v>
      </c>
    </row>
    <row r="1015" spans="1:29">
      <c r="A1015" t="s">
        <v>1116</v>
      </c>
      <c r="B1015" s="3">
        <v>45985</v>
      </c>
      <c r="C1015" t="s">
        <v>54</v>
      </c>
      <c r="D1015" t="s">
        <v>62</v>
      </c>
      <c r="E1015" t="s">
        <v>67</v>
      </c>
      <c r="F1015" t="s">
        <v>107</v>
      </c>
      <c r="G1015" s="6">
        <v>1</v>
      </c>
      <c r="H1015" s="4">
        <v>45.2</v>
      </c>
      <c r="I1015" s="4">
        <v>21.9</v>
      </c>
      <c r="J1015" s="5">
        <v>0.15000000000000002</v>
      </c>
      <c r="K1015" s="6">
        <v>4</v>
      </c>
      <c r="L1015" s="6">
        <v>4</v>
      </c>
      <c r="M1015" t="s">
        <v>58</v>
      </c>
      <c r="N1015" t="s">
        <v>69</v>
      </c>
      <c r="O1015" t="s">
        <v>64</v>
      </c>
      <c r="P1015" t="str">
        <f t="shared" si="105"/>
        <v>Individual</v>
      </c>
      <c r="Q1015" t="str">
        <f t="shared" si="106"/>
        <v>North</v>
      </c>
      <c r="R1015" t="str">
        <f>PROPER(TRIM(E1015))</f>
        <v>Office</v>
      </c>
      <c r="S1015" s="27">
        <f>IF(ISTEXT(B1015),DATEVALUE(B1015),B1015)</f>
        <v>45985</v>
      </c>
      <c r="T1015" s="27">
        <f>COUNTIF($A$2:$A$1986,A1015)</f>
        <v>1</v>
      </c>
      <c r="U1015" s="27" t="str">
        <f t="shared" si="107"/>
        <v>Laptop Stand</v>
      </c>
      <c r="V1015" s="27">
        <f t="shared" si="108"/>
        <v>38.42</v>
      </c>
      <c r="W1015" s="27">
        <f t="shared" si="109"/>
        <v>21.9</v>
      </c>
      <c r="X1015" s="27">
        <f>RawSalesTable3[[#This Row],[Revenue]]-RawSalesTable3[[#This Row],[Total_Cost]]</f>
        <v>16.520000000000003</v>
      </c>
      <c r="Y1015" s="28">
        <f>RawSalesTable3[[#This Row],[Profit]]/RawSalesTable3[[#This Row],[Revenue]]</f>
        <v>0.42998438313378456</v>
      </c>
      <c r="Z1015" s="27" t="str">
        <f>TEXT(RawSalesTable3[[#This Row],[Order_Date_Clean]],"MMM YYYY")</f>
        <v>Nov 2025</v>
      </c>
      <c r="AA1015" s="27"/>
      <c r="AB1015" s="27">
        <f t="shared" si="110"/>
        <v>0</v>
      </c>
      <c r="AC1015" s="27">
        <f t="shared" si="111"/>
        <v>0</v>
      </c>
    </row>
    <row r="1016" spans="1:29">
      <c r="A1016" t="s">
        <v>1117</v>
      </c>
      <c r="B1016" s="3">
        <v>45890</v>
      </c>
      <c r="C1016" t="s">
        <v>78</v>
      </c>
      <c r="D1016" t="s">
        <v>62</v>
      </c>
      <c r="E1016" t="s">
        <v>75</v>
      </c>
      <c r="F1016" t="s">
        <v>146</v>
      </c>
      <c r="G1016" s="6">
        <v>1</v>
      </c>
      <c r="H1016" s="4">
        <v>183.6</v>
      </c>
      <c r="I1016" s="4">
        <v>120.57</v>
      </c>
      <c r="J1016" s="5">
        <v>0</v>
      </c>
      <c r="K1016" s="6">
        <v>1</v>
      </c>
      <c r="L1016" s="6">
        <v>4</v>
      </c>
      <c r="M1016" t="s">
        <v>58</v>
      </c>
      <c r="N1016" t="s">
        <v>69</v>
      </c>
      <c r="O1016" t="s">
        <v>73</v>
      </c>
      <c r="P1016" t="str">
        <f t="shared" si="105"/>
        <v>Individual</v>
      </c>
      <c r="Q1016" t="str">
        <f t="shared" si="106"/>
        <v>London</v>
      </c>
      <c r="R1016" t="str">
        <f>PROPER(TRIM(E1016))</f>
        <v>Furniture</v>
      </c>
      <c r="S1016" s="27">
        <f>IF(ISTEXT(B1016),DATEVALUE(B1016),B1016)</f>
        <v>45890</v>
      </c>
      <c r="T1016" s="27">
        <f>COUNTIF($A$2:$A$1986,A1016)</f>
        <v>1</v>
      </c>
      <c r="U1016" s="27" t="str">
        <f t="shared" si="107"/>
        <v>Office Chair</v>
      </c>
      <c r="V1016" s="27">
        <f t="shared" si="108"/>
        <v>183.6</v>
      </c>
      <c r="W1016" s="27">
        <f t="shared" si="109"/>
        <v>120.57</v>
      </c>
      <c r="X1016" s="27">
        <f>RawSalesTable3[[#This Row],[Revenue]]-RawSalesTable3[[#This Row],[Total_Cost]]</f>
        <v>63.03</v>
      </c>
      <c r="Y1016" s="28">
        <f>RawSalesTable3[[#This Row],[Profit]]/RawSalesTable3[[#This Row],[Revenue]]</f>
        <v>0.34330065359477124</v>
      </c>
      <c r="Z1016" s="27" t="str">
        <f>TEXT(RawSalesTable3[[#This Row],[Order_Date_Clean]],"MMM YYYY")</f>
        <v>Aug 2025</v>
      </c>
      <c r="AA1016" s="27"/>
      <c r="AB1016" s="27">
        <f t="shared" si="110"/>
        <v>0</v>
      </c>
      <c r="AC1016" s="27">
        <f t="shared" si="111"/>
        <v>0</v>
      </c>
    </row>
    <row r="1017" spans="1:29">
      <c r="A1017" t="s">
        <v>1118</v>
      </c>
      <c r="B1017" s="3">
        <v>45716</v>
      </c>
      <c r="C1017" t="s">
        <v>54</v>
      </c>
      <c r="D1017" t="s">
        <v>62</v>
      </c>
      <c r="E1017" t="s">
        <v>67</v>
      </c>
      <c r="F1017" t="s">
        <v>71</v>
      </c>
      <c r="G1017" s="6">
        <v>1</v>
      </c>
      <c r="H1017" s="4">
        <v>71.98</v>
      </c>
      <c r="I1017" s="4">
        <v>37</v>
      </c>
      <c r="J1017" s="5">
        <v>0.05</v>
      </c>
      <c r="K1017" s="6">
        <v>4</v>
      </c>
      <c r="L1017" s="6">
        <v>5</v>
      </c>
      <c r="M1017" t="s">
        <v>58</v>
      </c>
      <c r="N1017" t="s">
        <v>59</v>
      </c>
      <c r="O1017" t="s">
        <v>64</v>
      </c>
      <c r="P1017" t="str">
        <f t="shared" si="105"/>
        <v>Individual</v>
      </c>
      <c r="Q1017" t="str">
        <f t="shared" si="106"/>
        <v>North</v>
      </c>
      <c r="R1017" t="str">
        <f>PROPER(TRIM(E1017))</f>
        <v>Office</v>
      </c>
      <c r="S1017" s="27">
        <f>IF(ISTEXT(B1017),DATEVALUE(B1017),B1017)</f>
        <v>45716</v>
      </c>
      <c r="T1017" s="27">
        <f>COUNTIF($A$2:$A$1986,A1017)</f>
        <v>1</v>
      </c>
      <c r="U1017" s="27" t="str">
        <f t="shared" si="107"/>
        <v>Ergonomic Keyboard</v>
      </c>
      <c r="V1017" s="27">
        <f t="shared" si="108"/>
        <v>68.381</v>
      </c>
      <c r="W1017" s="27">
        <f t="shared" si="109"/>
        <v>37</v>
      </c>
      <c r="X1017" s="27">
        <f>RawSalesTable3[[#This Row],[Revenue]]-RawSalesTable3[[#This Row],[Total_Cost]]</f>
        <v>31.381</v>
      </c>
      <c r="Y1017" s="28">
        <f>RawSalesTable3[[#This Row],[Profit]]/RawSalesTable3[[#This Row],[Revenue]]</f>
        <v>0.45891402582588731</v>
      </c>
      <c r="Z1017" s="27" t="str">
        <f>TEXT(RawSalesTable3[[#This Row],[Order_Date_Clean]],"MMM YYYY")</f>
        <v>Feb 2025</v>
      </c>
      <c r="AA1017" s="27"/>
      <c r="AB1017" s="27">
        <f t="shared" si="110"/>
        <v>0</v>
      </c>
      <c r="AC1017" s="27">
        <f t="shared" si="111"/>
        <v>0</v>
      </c>
    </row>
    <row r="1018" spans="1:29">
      <c r="A1018" t="s">
        <v>1119</v>
      </c>
      <c r="B1018" s="3">
        <v>45707</v>
      </c>
      <c r="C1018" t="s">
        <v>66</v>
      </c>
      <c r="D1018" t="s">
        <v>55</v>
      </c>
      <c r="E1018" t="s">
        <v>56</v>
      </c>
      <c r="F1018" t="s">
        <v>83</v>
      </c>
      <c r="G1018" s="6">
        <v>1</v>
      </c>
      <c r="H1018" s="4">
        <v>66.760000000000005</v>
      </c>
      <c r="I1018" s="4">
        <v>36.36</v>
      </c>
      <c r="J1018" s="5">
        <v>0.2</v>
      </c>
      <c r="K1018" s="6">
        <v>6</v>
      </c>
      <c r="L1018" s="6">
        <v>4</v>
      </c>
      <c r="M1018" t="s">
        <v>58</v>
      </c>
      <c r="N1018" t="s">
        <v>59</v>
      </c>
      <c r="O1018" t="s">
        <v>73</v>
      </c>
      <c r="P1018" t="str">
        <f t="shared" si="105"/>
        <v>Small Business</v>
      </c>
      <c r="Q1018" t="str">
        <f t="shared" si="106"/>
        <v>South</v>
      </c>
      <c r="R1018" t="str">
        <f>PROPER(TRIM(E1018))</f>
        <v>Home &amp; Kitchen</v>
      </c>
      <c r="S1018" s="27">
        <f>IF(ISTEXT(B1018),DATEVALUE(B1018),B1018)</f>
        <v>45707</v>
      </c>
      <c r="T1018" s="27">
        <f>COUNTIF($A$2:$A$1986,A1018)</f>
        <v>1</v>
      </c>
      <c r="U1018" s="27" t="str">
        <f t="shared" si="107"/>
        <v>Blender</v>
      </c>
      <c r="V1018" s="27">
        <f t="shared" si="108"/>
        <v>53.408000000000008</v>
      </c>
      <c r="W1018" s="27">
        <f t="shared" si="109"/>
        <v>36.36</v>
      </c>
      <c r="X1018" s="27">
        <f>RawSalesTable3[[#This Row],[Revenue]]-RawSalesTable3[[#This Row],[Total_Cost]]</f>
        <v>17.048000000000009</v>
      </c>
      <c r="Y1018" s="28">
        <f>RawSalesTable3[[#This Row],[Profit]]/RawSalesTable3[[#This Row],[Revenue]]</f>
        <v>0.31920311563810677</v>
      </c>
      <c r="Z1018" s="27" t="str">
        <f>TEXT(RawSalesTable3[[#This Row],[Order_Date_Clean]],"MMM YYYY")</f>
        <v>Feb 2025</v>
      </c>
      <c r="AA1018" s="27"/>
      <c r="AB1018" s="27">
        <f t="shared" si="110"/>
        <v>0</v>
      </c>
      <c r="AC1018" s="27">
        <f t="shared" si="111"/>
        <v>0</v>
      </c>
    </row>
    <row r="1019" spans="1:29">
      <c r="A1019" t="s">
        <v>1120</v>
      </c>
      <c r="B1019" s="3">
        <v>45963</v>
      </c>
      <c r="C1019" t="s">
        <v>78</v>
      </c>
      <c r="D1019" t="s">
        <v>62</v>
      </c>
      <c r="E1019" t="s">
        <v>75</v>
      </c>
      <c r="F1019" t="s">
        <v>110</v>
      </c>
      <c r="G1019" s="6">
        <v>1</v>
      </c>
      <c r="H1019" s="4">
        <v>159.04</v>
      </c>
      <c r="I1019" s="4">
        <v>99</v>
      </c>
      <c r="J1019" s="5">
        <v>0.1</v>
      </c>
      <c r="K1019" s="6">
        <v>6</v>
      </c>
      <c r="L1019" s="6">
        <v>4</v>
      </c>
      <c r="M1019" t="s">
        <v>58</v>
      </c>
      <c r="N1019" t="s">
        <v>69</v>
      </c>
      <c r="O1019" t="s">
        <v>64</v>
      </c>
      <c r="P1019" t="str">
        <f t="shared" si="105"/>
        <v>Individual</v>
      </c>
      <c r="Q1019" t="str">
        <f t="shared" si="106"/>
        <v>London</v>
      </c>
      <c r="R1019" t="str">
        <f>PROPER(TRIM(E1019))</f>
        <v>Furniture</v>
      </c>
      <c r="S1019" s="27">
        <f>IF(ISTEXT(B1019),DATEVALUE(B1019),B1019)</f>
        <v>45963</v>
      </c>
      <c r="T1019" s="27">
        <f>COUNTIF($A$2:$A$1986,A1019)</f>
        <v>1</v>
      </c>
      <c r="U1019" s="27" t="str">
        <f t="shared" si="107"/>
        <v>Storage Cabinet</v>
      </c>
      <c r="V1019" s="27">
        <f t="shared" si="108"/>
        <v>143.136</v>
      </c>
      <c r="W1019" s="27">
        <f t="shared" si="109"/>
        <v>99</v>
      </c>
      <c r="X1019" s="27">
        <f>RawSalesTable3[[#This Row],[Revenue]]-RawSalesTable3[[#This Row],[Total_Cost]]</f>
        <v>44.135999999999996</v>
      </c>
      <c r="Y1019" s="28">
        <f>RawSalesTable3[[#This Row],[Profit]]/RawSalesTable3[[#This Row],[Revenue]]</f>
        <v>0.30835010060362172</v>
      </c>
      <c r="Z1019" s="27" t="str">
        <f>TEXT(RawSalesTable3[[#This Row],[Order_Date_Clean]],"MMM YYYY")</f>
        <v>Nov 2025</v>
      </c>
      <c r="AA1019" s="27"/>
      <c r="AB1019" s="27">
        <f t="shared" si="110"/>
        <v>0</v>
      </c>
      <c r="AC1019" s="27">
        <f t="shared" si="111"/>
        <v>0</v>
      </c>
    </row>
    <row r="1020" spans="1:29">
      <c r="A1020" t="s">
        <v>1121</v>
      </c>
      <c r="B1020" s="3">
        <v>45702</v>
      </c>
      <c r="C1020" t="s">
        <v>66</v>
      </c>
      <c r="D1020" t="s">
        <v>62</v>
      </c>
      <c r="E1020" t="s">
        <v>56</v>
      </c>
      <c r="F1020" t="s">
        <v>57</v>
      </c>
      <c r="G1020" s="6">
        <v>2</v>
      </c>
      <c r="H1020" s="4">
        <v>107.02</v>
      </c>
      <c r="I1020" s="4">
        <v>66.400000000000006</v>
      </c>
      <c r="J1020" s="5">
        <v>0.1</v>
      </c>
      <c r="K1020" s="6">
        <v>0</v>
      </c>
      <c r="L1020" s="6">
        <v>4</v>
      </c>
      <c r="M1020" t="s">
        <v>58</v>
      </c>
      <c r="N1020" t="s">
        <v>69</v>
      </c>
      <c r="O1020" t="s">
        <v>64</v>
      </c>
      <c r="P1020" t="str">
        <f t="shared" si="105"/>
        <v>Individual</v>
      </c>
      <c r="Q1020" t="str">
        <f t="shared" si="106"/>
        <v>South</v>
      </c>
      <c r="R1020" t="str">
        <f>PROPER(TRIM(E1020))</f>
        <v>Home &amp; Kitchen</v>
      </c>
      <c r="S1020" s="27">
        <f>IF(ISTEXT(B1020),DATEVALUE(B1020),B1020)</f>
        <v>45702</v>
      </c>
      <c r="T1020" s="27">
        <f>COUNTIF($A$2:$A$1986,A1020)</f>
        <v>1</v>
      </c>
      <c r="U1020" s="27" t="str">
        <f t="shared" si="107"/>
        <v>Air Fryer</v>
      </c>
      <c r="V1020" s="27">
        <f t="shared" si="108"/>
        <v>192.636</v>
      </c>
      <c r="W1020" s="27">
        <f t="shared" si="109"/>
        <v>132.80000000000001</v>
      </c>
      <c r="X1020" s="27">
        <f>RawSalesTable3[[#This Row],[Revenue]]-RawSalesTable3[[#This Row],[Total_Cost]]</f>
        <v>59.835999999999984</v>
      </c>
      <c r="Y1020" s="28">
        <f>RawSalesTable3[[#This Row],[Profit]]/RawSalesTable3[[#This Row],[Revenue]]</f>
        <v>0.31061691480304815</v>
      </c>
      <c r="Z1020" s="27" t="str">
        <f>TEXT(RawSalesTable3[[#This Row],[Order_Date_Clean]],"MMM YYYY")</f>
        <v>Feb 2025</v>
      </c>
      <c r="AA1020" s="27"/>
      <c r="AB1020" s="27">
        <f t="shared" si="110"/>
        <v>0</v>
      </c>
      <c r="AC1020" s="27">
        <f t="shared" si="111"/>
        <v>0</v>
      </c>
    </row>
    <row r="1021" spans="1:29">
      <c r="A1021" t="s">
        <v>1122</v>
      </c>
      <c r="B1021" s="3">
        <v>45770</v>
      </c>
      <c r="C1021" t="s">
        <v>54</v>
      </c>
      <c r="D1021" t="s">
        <v>62</v>
      </c>
      <c r="E1021" t="s">
        <v>56</v>
      </c>
      <c r="F1021" t="s">
        <v>89</v>
      </c>
      <c r="G1021" s="6">
        <v>1</v>
      </c>
      <c r="H1021" s="4">
        <v>80.59</v>
      </c>
      <c r="I1021" s="4">
        <v>47.15</v>
      </c>
      <c r="J1021" s="5">
        <v>0.05</v>
      </c>
      <c r="K1021" s="6">
        <v>4</v>
      </c>
      <c r="L1021" s="6">
        <v>4</v>
      </c>
      <c r="M1021" t="s">
        <v>58</v>
      </c>
      <c r="N1021" t="s">
        <v>59</v>
      </c>
      <c r="O1021" t="s">
        <v>64</v>
      </c>
      <c r="P1021" t="str">
        <f t="shared" si="105"/>
        <v>Individual</v>
      </c>
      <c r="Q1021" t="str">
        <f t="shared" si="106"/>
        <v>North</v>
      </c>
      <c r="R1021" t="str">
        <f>PROPER(TRIM(E1021))</f>
        <v>Home &amp; Kitchen</v>
      </c>
      <c r="S1021" s="27">
        <f>IF(ISTEXT(B1021),DATEVALUE(B1021),B1021)</f>
        <v>45770</v>
      </c>
      <c r="T1021" s="27">
        <f>COUNTIF($A$2:$A$1986,A1021)</f>
        <v>1</v>
      </c>
      <c r="U1021" s="27" t="str">
        <f t="shared" si="107"/>
        <v>Coffee Maker</v>
      </c>
      <c r="V1021" s="27">
        <f t="shared" si="108"/>
        <v>76.560500000000005</v>
      </c>
      <c r="W1021" s="27">
        <f t="shared" si="109"/>
        <v>47.15</v>
      </c>
      <c r="X1021" s="27">
        <f>RawSalesTable3[[#This Row],[Revenue]]-RawSalesTable3[[#This Row],[Total_Cost]]</f>
        <v>29.410500000000006</v>
      </c>
      <c r="Y1021" s="28">
        <f>RawSalesTable3[[#This Row],[Profit]]/RawSalesTable3[[#This Row],[Revenue]]</f>
        <v>0.38414717772219359</v>
      </c>
      <c r="Z1021" s="27" t="str">
        <f>TEXT(RawSalesTable3[[#This Row],[Order_Date_Clean]],"MMM YYYY")</f>
        <v>Apr 2025</v>
      </c>
      <c r="AA1021" s="27"/>
      <c r="AB1021" s="27">
        <f t="shared" si="110"/>
        <v>0</v>
      </c>
      <c r="AC1021" s="27">
        <f t="shared" si="111"/>
        <v>0</v>
      </c>
    </row>
    <row r="1022" spans="1:29">
      <c r="A1022" t="s">
        <v>1123</v>
      </c>
      <c r="B1022" s="3">
        <v>45972</v>
      </c>
      <c r="C1022" t="s">
        <v>78</v>
      </c>
      <c r="D1022" t="s">
        <v>55</v>
      </c>
      <c r="E1022" t="s">
        <v>67</v>
      </c>
      <c r="F1022" t="s">
        <v>94</v>
      </c>
      <c r="G1022" s="6">
        <v>2</v>
      </c>
      <c r="H1022" s="4">
        <v>34.619999999999997</v>
      </c>
      <c r="I1022" s="4">
        <v>17.84</v>
      </c>
      <c r="J1022" s="5">
        <v>0</v>
      </c>
      <c r="K1022" s="6">
        <v>2</v>
      </c>
      <c r="L1022" s="6">
        <v>5</v>
      </c>
      <c r="M1022" t="s">
        <v>58</v>
      </c>
      <c r="N1022" t="s">
        <v>59</v>
      </c>
      <c r="O1022" t="s">
        <v>64</v>
      </c>
      <c r="P1022" t="str">
        <f t="shared" si="105"/>
        <v>Small Business</v>
      </c>
      <c r="Q1022" t="str">
        <f t="shared" si="106"/>
        <v>London</v>
      </c>
      <c r="R1022" t="str">
        <f>PROPER(TRIM(E1022))</f>
        <v>Office</v>
      </c>
      <c r="S1022" s="27">
        <f>IF(ISTEXT(B1022),DATEVALUE(B1022),B1022)</f>
        <v>45972</v>
      </c>
      <c r="T1022" s="27">
        <f>COUNTIF($A$2:$A$1986,A1022)</f>
        <v>1</v>
      </c>
      <c r="U1022" s="27" t="str">
        <f t="shared" si="107"/>
        <v>Wireless Mouse</v>
      </c>
      <c r="V1022" s="27">
        <f t="shared" si="108"/>
        <v>69.239999999999995</v>
      </c>
      <c r="W1022" s="27">
        <f t="shared" si="109"/>
        <v>35.68</v>
      </c>
      <c r="X1022" s="27">
        <f>RawSalesTable3[[#This Row],[Revenue]]-RawSalesTable3[[#This Row],[Total_Cost]]</f>
        <v>33.559999999999995</v>
      </c>
      <c r="Y1022" s="28">
        <f>RawSalesTable3[[#This Row],[Profit]]/RawSalesTable3[[#This Row],[Revenue]]</f>
        <v>0.48469093009820907</v>
      </c>
      <c r="Z1022" s="27" t="str">
        <f>TEXT(RawSalesTable3[[#This Row],[Order_Date_Clean]],"MMM YYYY")</f>
        <v>Nov 2025</v>
      </c>
      <c r="AA1022" s="27"/>
      <c r="AB1022" s="27">
        <f t="shared" si="110"/>
        <v>0</v>
      </c>
      <c r="AC1022" s="27">
        <f t="shared" si="111"/>
        <v>0</v>
      </c>
    </row>
    <row r="1023" spans="1:29">
      <c r="A1023" t="s">
        <v>1124</v>
      </c>
      <c r="B1023" s="3">
        <v>45976</v>
      </c>
      <c r="C1023" t="s">
        <v>78</v>
      </c>
      <c r="D1023" t="s">
        <v>62</v>
      </c>
      <c r="E1023" t="s">
        <v>67</v>
      </c>
      <c r="F1023" t="s">
        <v>94</v>
      </c>
      <c r="G1023" s="6">
        <v>1</v>
      </c>
      <c r="H1023" s="4">
        <v>34.75</v>
      </c>
      <c r="I1023" s="4">
        <v>17.59</v>
      </c>
      <c r="J1023" s="5">
        <v>0.15000000000000002</v>
      </c>
      <c r="K1023" s="6">
        <v>3</v>
      </c>
      <c r="L1023" s="6">
        <v>4</v>
      </c>
      <c r="M1023" t="s">
        <v>58</v>
      </c>
      <c r="N1023" t="s">
        <v>59</v>
      </c>
      <c r="O1023" t="s">
        <v>73</v>
      </c>
      <c r="P1023" t="str">
        <f t="shared" si="105"/>
        <v>Individual</v>
      </c>
      <c r="Q1023" t="str">
        <f t="shared" si="106"/>
        <v>London</v>
      </c>
      <c r="R1023" t="str">
        <f>PROPER(TRIM(E1023))</f>
        <v>Office</v>
      </c>
      <c r="S1023" s="27">
        <f>IF(ISTEXT(B1023),DATEVALUE(B1023),B1023)</f>
        <v>45976</v>
      </c>
      <c r="T1023" s="27">
        <f>COUNTIF($A$2:$A$1986,A1023)</f>
        <v>1</v>
      </c>
      <c r="U1023" s="27" t="str">
        <f t="shared" si="107"/>
        <v>Wireless Mouse</v>
      </c>
      <c r="V1023" s="27">
        <f t="shared" si="108"/>
        <v>29.537499999999998</v>
      </c>
      <c r="W1023" s="27">
        <f t="shared" si="109"/>
        <v>17.59</v>
      </c>
      <c r="X1023" s="27">
        <f>RawSalesTable3[[#This Row],[Revenue]]-RawSalesTable3[[#This Row],[Total_Cost]]</f>
        <v>11.947499999999998</v>
      </c>
      <c r="Y1023" s="28">
        <f>RawSalesTable3[[#This Row],[Profit]]/RawSalesTable3[[#This Row],[Revenue]]</f>
        <v>0.40448582310622089</v>
      </c>
      <c r="Z1023" s="27" t="str">
        <f>TEXT(RawSalesTable3[[#This Row],[Order_Date_Clean]],"MMM YYYY")</f>
        <v>Nov 2025</v>
      </c>
      <c r="AA1023" s="27"/>
      <c r="AB1023" s="27">
        <f t="shared" si="110"/>
        <v>0</v>
      </c>
      <c r="AC1023" s="27">
        <f t="shared" si="111"/>
        <v>0</v>
      </c>
    </row>
    <row r="1024" spans="1:29">
      <c r="A1024" t="s">
        <v>1125</v>
      </c>
      <c r="B1024" s="3">
        <v>46004</v>
      </c>
      <c r="C1024" t="s">
        <v>78</v>
      </c>
      <c r="D1024" t="s">
        <v>62</v>
      </c>
      <c r="E1024" t="s">
        <v>75</v>
      </c>
      <c r="F1024" t="s">
        <v>146</v>
      </c>
      <c r="G1024" s="6">
        <v>2</v>
      </c>
      <c r="H1024" s="4">
        <v>186.56</v>
      </c>
      <c r="I1024" s="4">
        <v>118.33</v>
      </c>
      <c r="J1024" s="5">
        <v>0.05</v>
      </c>
      <c r="K1024" s="6">
        <v>6</v>
      </c>
      <c r="L1024" s="6">
        <v>4</v>
      </c>
      <c r="M1024" t="s">
        <v>58</v>
      </c>
      <c r="N1024" t="s">
        <v>59</v>
      </c>
      <c r="O1024" t="s">
        <v>60</v>
      </c>
      <c r="P1024" t="str">
        <f t="shared" si="105"/>
        <v>Individual</v>
      </c>
      <c r="Q1024" t="str">
        <f t="shared" si="106"/>
        <v>London</v>
      </c>
      <c r="R1024" t="str">
        <f>PROPER(TRIM(E1024))</f>
        <v>Furniture</v>
      </c>
      <c r="S1024" s="27">
        <f>IF(ISTEXT(B1024),DATEVALUE(B1024),B1024)</f>
        <v>46004</v>
      </c>
      <c r="T1024" s="27">
        <f>COUNTIF($A$2:$A$1986,A1024)</f>
        <v>1</v>
      </c>
      <c r="U1024" s="27" t="str">
        <f t="shared" si="107"/>
        <v>Office Chair</v>
      </c>
      <c r="V1024" s="27">
        <f t="shared" si="108"/>
        <v>354.464</v>
      </c>
      <c r="W1024" s="27">
        <f t="shared" si="109"/>
        <v>236.66</v>
      </c>
      <c r="X1024" s="27">
        <f>RawSalesTable3[[#This Row],[Revenue]]-RawSalesTable3[[#This Row],[Total_Cost]]</f>
        <v>117.804</v>
      </c>
      <c r="Y1024" s="28">
        <f>RawSalesTable3[[#This Row],[Profit]]/RawSalesTable3[[#This Row],[Revenue]]</f>
        <v>0.33234404622190122</v>
      </c>
      <c r="Z1024" s="27" t="str">
        <f>TEXT(RawSalesTable3[[#This Row],[Order_Date_Clean]],"MMM YYYY")</f>
        <v>Dec 2025</v>
      </c>
      <c r="AA1024" s="27"/>
      <c r="AB1024" s="27">
        <f t="shared" si="110"/>
        <v>0</v>
      </c>
      <c r="AC1024" s="27">
        <f t="shared" si="111"/>
        <v>0</v>
      </c>
    </row>
    <row r="1025" spans="1:29">
      <c r="A1025" t="s">
        <v>1126</v>
      </c>
      <c r="B1025" s="3">
        <v>45936</v>
      </c>
      <c r="C1025" t="s">
        <v>54</v>
      </c>
      <c r="D1025" t="s">
        <v>62</v>
      </c>
      <c r="E1025" t="s">
        <v>79</v>
      </c>
      <c r="F1025" t="s">
        <v>85</v>
      </c>
      <c r="G1025" s="6">
        <v>1</v>
      </c>
      <c r="H1025" s="4">
        <v>133.57</v>
      </c>
      <c r="I1025" s="4">
        <v>84.29</v>
      </c>
      <c r="J1025" s="5">
        <v>0.05</v>
      </c>
      <c r="K1025" s="6">
        <v>1</v>
      </c>
      <c r="L1025" s="6">
        <v>4</v>
      </c>
      <c r="M1025" t="s">
        <v>58</v>
      </c>
      <c r="N1025" t="s">
        <v>69</v>
      </c>
      <c r="O1025" t="s">
        <v>64</v>
      </c>
      <c r="P1025" t="str">
        <f t="shared" si="105"/>
        <v>Individual</v>
      </c>
      <c r="Q1025" t="str">
        <f t="shared" si="106"/>
        <v>North</v>
      </c>
      <c r="R1025" t="str">
        <f>PROPER(TRIM(E1025))</f>
        <v>Electronics</v>
      </c>
      <c r="S1025" s="27">
        <f>IF(ISTEXT(B1025),DATEVALUE(B1025),B1025)</f>
        <v>45936</v>
      </c>
      <c r="T1025" s="27">
        <f>COUNTIF($A$2:$A$1986,A1025)</f>
        <v>1</v>
      </c>
      <c r="U1025" s="27" t="str">
        <f t="shared" si="107"/>
        <v>SmartHome Hub</v>
      </c>
      <c r="V1025" s="27">
        <f t="shared" si="108"/>
        <v>126.89149999999999</v>
      </c>
      <c r="W1025" s="27">
        <f t="shared" si="109"/>
        <v>84.29</v>
      </c>
      <c r="X1025" s="27">
        <f>RawSalesTable3[[#This Row],[Revenue]]-RawSalesTable3[[#This Row],[Total_Cost]]</f>
        <v>42.601499999999987</v>
      </c>
      <c r="Y1025" s="28">
        <f>RawSalesTable3[[#This Row],[Profit]]/RawSalesTable3[[#This Row],[Revenue]]</f>
        <v>0.33573170779760653</v>
      </c>
      <c r="Z1025" s="27" t="str">
        <f>TEXT(RawSalesTable3[[#This Row],[Order_Date_Clean]],"MMM YYYY")</f>
        <v>Oct 2025</v>
      </c>
      <c r="AA1025" s="27"/>
      <c r="AB1025" s="27">
        <f t="shared" si="110"/>
        <v>0</v>
      </c>
      <c r="AC1025" s="27">
        <f t="shared" si="111"/>
        <v>0</v>
      </c>
    </row>
    <row r="1026" spans="1:29">
      <c r="A1026" t="s">
        <v>1127</v>
      </c>
      <c r="B1026" s="3" t="s">
        <v>1128</v>
      </c>
      <c r="C1026" t="s">
        <v>54</v>
      </c>
      <c r="D1026" t="s">
        <v>55</v>
      </c>
      <c r="E1026" t="s">
        <v>67</v>
      </c>
      <c r="F1026" t="s">
        <v>94</v>
      </c>
      <c r="G1026" s="6">
        <v>2</v>
      </c>
      <c r="H1026" s="4">
        <v>35.119999999999997</v>
      </c>
      <c r="I1026" s="4">
        <v>17</v>
      </c>
      <c r="J1026" s="5">
        <v>0.05</v>
      </c>
      <c r="K1026" s="6">
        <v>6</v>
      </c>
      <c r="L1026" s="6">
        <v>4</v>
      </c>
      <c r="M1026" t="s">
        <v>58</v>
      </c>
      <c r="N1026" t="s">
        <v>59</v>
      </c>
      <c r="O1026" t="s">
        <v>60</v>
      </c>
      <c r="P1026" t="str">
        <f t="shared" ref="P1026:P1089" si="112">IF(TRIM(D1026)="","Unknow",PROPER(TRIM(D1026)))</f>
        <v>Small Business</v>
      </c>
      <c r="Q1026" t="str">
        <f t="shared" ref="Q1026:Q1089" si="113">IF(PROPER(TRIM(C1026))="Mid Lands","Midlands",PROPER(TRIM(C1026)))</f>
        <v>North</v>
      </c>
      <c r="R1026" t="str">
        <f>PROPER(TRIM(E1026))</f>
        <v>Office</v>
      </c>
      <c r="S1026" s="27">
        <f>IF(ISTEXT(B1026),DATEVALUE(B1026),B1026)</f>
        <v>45877</v>
      </c>
      <c r="T1026" s="27">
        <f>COUNTIF($A$2:$A$1986,A1026)</f>
        <v>1</v>
      </c>
      <c r="U1026" s="27" t="str">
        <f t="shared" ref="U1026:U1089" si="114">TRIM(F1026)</f>
        <v>Wireless Mouse</v>
      </c>
      <c r="V1026" s="27">
        <f t="shared" ref="V1026:V1089" si="115">G1026*H1026*(1-J1026)</f>
        <v>66.727999999999994</v>
      </c>
      <c r="W1026" s="27">
        <f t="shared" ref="W1026:W1089" si="116">G1026*I1026</f>
        <v>34</v>
      </c>
      <c r="X1026" s="27">
        <f>RawSalesTable3[[#This Row],[Revenue]]-RawSalesTable3[[#This Row],[Total_Cost]]</f>
        <v>32.727999999999994</v>
      </c>
      <c r="Y1026" s="28">
        <f>RawSalesTable3[[#This Row],[Profit]]/RawSalesTable3[[#This Row],[Revenue]]</f>
        <v>0.49046876873276579</v>
      </c>
      <c r="Z1026" s="27" t="str">
        <f>TEXT(RawSalesTable3[[#This Row],[Order_Date_Clean]],"MMM YYYY")</f>
        <v>Aug 2025</v>
      </c>
      <c r="AA1026" s="27"/>
      <c r="AB1026" s="27">
        <f t="shared" ref="AB1026:AB1089" si="117">SUMIF($Z:$Z,AA1026,$V:$V)</f>
        <v>0</v>
      </c>
      <c r="AC1026" s="27">
        <f t="shared" ref="AC1026:AC1089" si="118">SUMIF($Z:$Z,AA1026,$X:$X)</f>
        <v>0</v>
      </c>
    </row>
    <row r="1027" spans="1:29">
      <c r="A1027" t="s">
        <v>1129</v>
      </c>
      <c r="B1027" s="3">
        <v>45861</v>
      </c>
      <c r="C1027" t="s">
        <v>54</v>
      </c>
      <c r="D1027" t="s">
        <v>55</v>
      </c>
      <c r="E1027" t="s">
        <v>79</v>
      </c>
      <c r="F1027" t="s">
        <v>92</v>
      </c>
      <c r="G1027" s="6">
        <v>5</v>
      </c>
      <c r="H1027" s="4">
        <v>48.58</v>
      </c>
      <c r="I1027" s="4">
        <v>25.23</v>
      </c>
      <c r="J1027" s="5">
        <v>0.05</v>
      </c>
      <c r="K1027" s="6">
        <v>3</v>
      </c>
      <c r="L1027" s="6">
        <v>4</v>
      </c>
      <c r="M1027" t="s">
        <v>58</v>
      </c>
      <c r="N1027" t="s">
        <v>69</v>
      </c>
      <c r="O1027" t="s">
        <v>64</v>
      </c>
      <c r="P1027" t="str">
        <f t="shared" si="112"/>
        <v>Small Business</v>
      </c>
      <c r="Q1027" t="str">
        <f t="shared" si="113"/>
        <v>North</v>
      </c>
      <c r="R1027" t="str">
        <f>PROPER(TRIM(E1027))</f>
        <v>Electronics</v>
      </c>
      <c r="S1027" s="27">
        <f>IF(ISTEXT(B1027),DATEVALUE(B1027),B1027)</f>
        <v>45861</v>
      </c>
      <c r="T1027" s="27">
        <f>COUNTIF($A$2:$A$1986,A1027)</f>
        <v>1</v>
      </c>
      <c r="U1027" s="27" t="str">
        <f t="shared" si="114"/>
        <v>Webcam</v>
      </c>
      <c r="V1027" s="27">
        <f t="shared" si="115"/>
        <v>230.75499999999997</v>
      </c>
      <c r="W1027" s="27">
        <f t="shared" si="116"/>
        <v>126.15</v>
      </c>
      <c r="X1027" s="27">
        <f>RawSalesTable3[[#This Row],[Revenue]]-RawSalesTable3[[#This Row],[Total_Cost]]</f>
        <v>104.60499999999996</v>
      </c>
      <c r="Y1027" s="28">
        <f>RawSalesTable3[[#This Row],[Profit]]/RawSalesTable3[[#This Row],[Revenue]]</f>
        <v>0.45331628783774991</v>
      </c>
      <c r="Z1027" s="27" t="str">
        <f>TEXT(RawSalesTable3[[#This Row],[Order_Date_Clean]],"MMM YYYY")</f>
        <v>Jul 2025</v>
      </c>
      <c r="AA1027" s="27"/>
      <c r="AB1027" s="27">
        <f t="shared" si="117"/>
        <v>0</v>
      </c>
      <c r="AC1027" s="27">
        <f t="shared" si="118"/>
        <v>0</v>
      </c>
    </row>
    <row r="1028" spans="1:29">
      <c r="A1028" t="s">
        <v>1130</v>
      </c>
      <c r="B1028" s="3">
        <v>45703</v>
      </c>
      <c r="C1028" t="s">
        <v>82</v>
      </c>
      <c r="D1028" t="s">
        <v>55</v>
      </c>
      <c r="E1028" t="s">
        <v>79</v>
      </c>
      <c r="F1028" t="s">
        <v>85</v>
      </c>
      <c r="G1028" s="6">
        <v>1</v>
      </c>
      <c r="H1028" s="4">
        <v>134.74</v>
      </c>
      <c r="I1028" s="4">
        <v>85.85</v>
      </c>
      <c r="J1028" s="5">
        <v>0</v>
      </c>
      <c r="K1028" s="6">
        <v>3</v>
      </c>
      <c r="L1028" s="6">
        <v>4</v>
      </c>
      <c r="M1028" t="s">
        <v>58</v>
      </c>
      <c r="N1028" t="s">
        <v>59</v>
      </c>
      <c r="O1028" t="s">
        <v>64</v>
      </c>
      <c r="P1028" t="str">
        <f t="shared" si="112"/>
        <v>Small Business</v>
      </c>
      <c r="Q1028" t="str">
        <f t="shared" si="113"/>
        <v>Midlands</v>
      </c>
      <c r="R1028" t="str">
        <f>PROPER(TRIM(E1028))</f>
        <v>Electronics</v>
      </c>
      <c r="S1028" s="27">
        <f>IF(ISTEXT(B1028),DATEVALUE(B1028),B1028)</f>
        <v>45703</v>
      </c>
      <c r="T1028" s="27">
        <f>COUNTIF($A$2:$A$1986,A1028)</f>
        <v>1</v>
      </c>
      <c r="U1028" s="27" t="str">
        <f t="shared" si="114"/>
        <v>SmartHome Hub</v>
      </c>
      <c r="V1028" s="27">
        <f t="shared" si="115"/>
        <v>134.74</v>
      </c>
      <c r="W1028" s="27">
        <f t="shared" si="116"/>
        <v>85.85</v>
      </c>
      <c r="X1028" s="27">
        <f>RawSalesTable3[[#This Row],[Revenue]]-RawSalesTable3[[#This Row],[Total_Cost]]</f>
        <v>48.890000000000015</v>
      </c>
      <c r="Y1028" s="28">
        <f>RawSalesTable3[[#This Row],[Profit]]/RawSalesTable3[[#This Row],[Revenue]]</f>
        <v>0.36284696452426907</v>
      </c>
      <c r="Z1028" s="27" t="str">
        <f>TEXT(RawSalesTable3[[#This Row],[Order_Date_Clean]],"MMM YYYY")</f>
        <v>Feb 2025</v>
      </c>
      <c r="AA1028" s="27"/>
      <c r="AB1028" s="27">
        <f t="shared" si="117"/>
        <v>0</v>
      </c>
      <c r="AC1028" s="27">
        <f t="shared" si="118"/>
        <v>0</v>
      </c>
    </row>
    <row r="1029" spans="1:29">
      <c r="A1029" t="s">
        <v>1131</v>
      </c>
      <c r="B1029" s="3">
        <v>45858</v>
      </c>
      <c r="C1029" t="s">
        <v>54</v>
      </c>
      <c r="D1029" t="s">
        <v>62</v>
      </c>
      <c r="E1029" t="s">
        <v>79</v>
      </c>
      <c r="F1029" t="s">
        <v>92</v>
      </c>
      <c r="G1029" s="6">
        <v>1</v>
      </c>
      <c r="H1029" s="4">
        <v>49.95</v>
      </c>
      <c r="I1029" s="4">
        <v>26.75</v>
      </c>
      <c r="J1029" s="5">
        <v>0.1</v>
      </c>
      <c r="K1029" s="6">
        <v>1</v>
      </c>
      <c r="L1029" s="6">
        <v>4</v>
      </c>
      <c r="M1029" t="s">
        <v>58</v>
      </c>
      <c r="N1029" t="s">
        <v>69</v>
      </c>
      <c r="O1029" t="s">
        <v>64</v>
      </c>
      <c r="P1029" t="str">
        <f t="shared" si="112"/>
        <v>Individual</v>
      </c>
      <c r="Q1029" t="str">
        <f t="shared" si="113"/>
        <v>North</v>
      </c>
      <c r="R1029" t="str">
        <f>PROPER(TRIM(E1029))</f>
        <v>Electronics</v>
      </c>
      <c r="S1029" s="27">
        <f>IF(ISTEXT(B1029),DATEVALUE(B1029),B1029)</f>
        <v>45858</v>
      </c>
      <c r="T1029" s="27">
        <f>COUNTIF($A$2:$A$1986,A1029)</f>
        <v>1</v>
      </c>
      <c r="U1029" s="27" t="str">
        <f t="shared" si="114"/>
        <v>Webcam</v>
      </c>
      <c r="V1029" s="27">
        <f t="shared" si="115"/>
        <v>44.955000000000005</v>
      </c>
      <c r="W1029" s="27">
        <f t="shared" si="116"/>
        <v>26.75</v>
      </c>
      <c r="X1029" s="27">
        <f>RawSalesTable3[[#This Row],[Revenue]]-RawSalesTable3[[#This Row],[Total_Cost]]</f>
        <v>18.205000000000005</v>
      </c>
      <c r="Y1029" s="28">
        <f>RawSalesTable3[[#This Row],[Profit]]/RawSalesTable3[[#This Row],[Revenue]]</f>
        <v>0.40496051607162725</v>
      </c>
      <c r="Z1029" s="27" t="str">
        <f>TEXT(RawSalesTable3[[#This Row],[Order_Date_Clean]],"MMM YYYY")</f>
        <v>Jul 2025</v>
      </c>
      <c r="AA1029" s="27"/>
      <c r="AB1029" s="27">
        <f t="shared" si="117"/>
        <v>0</v>
      </c>
      <c r="AC1029" s="27">
        <f t="shared" si="118"/>
        <v>0</v>
      </c>
    </row>
    <row r="1030" spans="1:29">
      <c r="A1030" t="s">
        <v>1132</v>
      </c>
      <c r="B1030" s="3">
        <v>45900</v>
      </c>
      <c r="C1030" t="s">
        <v>82</v>
      </c>
      <c r="D1030" t="s">
        <v>62</v>
      </c>
      <c r="E1030" t="s">
        <v>75</v>
      </c>
      <c r="F1030" t="s">
        <v>97</v>
      </c>
      <c r="G1030" s="6">
        <v>1</v>
      </c>
      <c r="H1030" s="4">
        <v>87.93</v>
      </c>
      <c r="I1030" s="4">
        <v>53.28</v>
      </c>
      <c r="J1030" s="5">
        <v>0.05</v>
      </c>
      <c r="K1030" s="6">
        <v>6</v>
      </c>
      <c r="L1030" s="6">
        <v>4</v>
      </c>
      <c r="M1030" t="s">
        <v>58</v>
      </c>
      <c r="N1030" t="s">
        <v>87</v>
      </c>
      <c r="O1030" t="s">
        <v>64</v>
      </c>
      <c r="P1030" t="str">
        <f t="shared" si="112"/>
        <v>Individual</v>
      </c>
      <c r="Q1030" t="str">
        <f t="shared" si="113"/>
        <v>Midlands</v>
      </c>
      <c r="R1030" t="str">
        <f>PROPER(TRIM(E1030))</f>
        <v>Furniture</v>
      </c>
      <c r="S1030" s="27">
        <f>IF(ISTEXT(B1030),DATEVALUE(B1030),B1030)</f>
        <v>45900</v>
      </c>
      <c r="T1030" s="27">
        <f>COUNTIF($A$2:$A$1986,A1030)</f>
        <v>1</v>
      </c>
      <c r="U1030" s="27" t="str">
        <f t="shared" si="114"/>
        <v>Side Table</v>
      </c>
      <c r="V1030" s="27">
        <f t="shared" si="115"/>
        <v>83.533500000000004</v>
      </c>
      <c r="W1030" s="27">
        <f t="shared" si="116"/>
        <v>53.28</v>
      </c>
      <c r="X1030" s="27">
        <f>RawSalesTable3[[#This Row],[Revenue]]-RawSalesTable3[[#This Row],[Total_Cost]]</f>
        <v>30.253500000000003</v>
      </c>
      <c r="Y1030" s="28">
        <f>RawSalesTable3[[#This Row],[Profit]]/RawSalesTable3[[#This Row],[Revenue]]</f>
        <v>0.36217206270538171</v>
      </c>
      <c r="Z1030" s="27" t="str">
        <f>TEXT(RawSalesTable3[[#This Row],[Order_Date_Clean]],"MMM YYYY")</f>
        <v>Aug 2025</v>
      </c>
      <c r="AA1030" s="27"/>
      <c r="AB1030" s="27">
        <f t="shared" si="117"/>
        <v>0</v>
      </c>
      <c r="AC1030" s="27">
        <f t="shared" si="118"/>
        <v>0</v>
      </c>
    </row>
    <row r="1031" spans="1:29">
      <c r="A1031" t="s">
        <v>1133</v>
      </c>
      <c r="B1031" s="3">
        <v>45981</v>
      </c>
      <c r="C1031" t="s">
        <v>78</v>
      </c>
      <c r="D1031" t="s">
        <v>62</v>
      </c>
      <c r="E1031" t="s">
        <v>79</v>
      </c>
      <c r="F1031" t="s">
        <v>115</v>
      </c>
      <c r="G1031" s="6">
        <v>2</v>
      </c>
      <c r="H1031" s="4">
        <v>62.11</v>
      </c>
      <c r="I1031" s="4">
        <v>33.4</v>
      </c>
      <c r="J1031" s="5">
        <v>0.05</v>
      </c>
      <c r="K1031" s="6">
        <v>2</v>
      </c>
      <c r="L1031" s="6">
        <v>5</v>
      </c>
      <c r="M1031" t="s">
        <v>58</v>
      </c>
      <c r="N1031" t="s">
        <v>69</v>
      </c>
      <c r="O1031" t="s">
        <v>64</v>
      </c>
      <c r="P1031" t="str">
        <f t="shared" si="112"/>
        <v>Individual</v>
      </c>
      <c r="Q1031" t="str">
        <f t="shared" si="113"/>
        <v>London</v>
      </c>
      <c r="R1031" t="str">
        <f>PROPER(TRIM(E1031))</f>
        <v>Electronics</v>
      </c>
      <c r="S1031" s="27">
        <f>IF(ISTEXT(B1031),DATEVALUE(B1031),B1031)</f>
        <v>45981</v>
      </c>
      <c r="T1031" s="27">
        <f>COUNTIF($A$2:$A$1986,A1031)</f>
        <v>1</v>
      </c>
      <c r="U1031" s="27" t="str">
        <f t="shared" si="114"/>
        <v>Wireless Headset</v>
      </c>
      <c r="V1031" s="27">
        <f t="shared" si="115"/>
        <v>118.009</v>
      </c>
      <c r="W1031" s="27">
        <f t="shared" si="116"/>
        <v>66.8</v>
      </c>
      <c r="X1031" s="27">
        <f>RawSalesTable3[[#This Row],[Revenue]]-RawSalesTable3[[#This Row],[Total_Cost]]</f>
        <v>51.209000000000003</v>
      </c>
      <c r="Y1031" s="28">
        <f>RawSalesTable3[[#This Row],[Profit]]/RawSalesTable3[[#This Row],[Revenue]]</f>
        <v>0.43394147903973429</v>
      </c>
      <c r="Z1031" s="27" t="str">
        <f>TEXT(RawSalesTable3[[#This Row],[Order_Date_Clean]],"MMM YYYY")</f>
        <v>Nov 2025</v>
      </c>
      <c r="AA1031" s="27"/>
      <c r="AB1031" s="27">
        <f t="shared" si="117"/>
        <v>0</v>
      </c>
      <c r="AC1031" s="27">
        <f t="shared" si="118"/>
        <v>0</v>
      </c>
    </row>
    <row r="1032" spans="1:29">
      <c r="A1032" t="s">
        <v>1134</v>
      </c>
      <c r="B1032" s="3">
        <v>45811</v>
      </c>
      <c r="C1032" t="s">
        <v>82</v>
      </c>
      <c r="D1032" t="s">
        <v>62</v>
      </c>
      <c r="E1032" t="s">
        <v>75</v>
      </c>
      <c r="F1032" t="s">
        <v>146</v>
      </c>
      <c r="G1032" s="6">
        <v>1</v>
      </c>
      <c r="H1032" s="4">
        <v>183.45</v>
      </c>
      <c r="I1032" s="4">
        <v>119.85</v>
      </c>
      <c r="J1032" s="5">
        <v>0.05</v>
      </c>
      <c r="K1032" s="6">
        <v>6</v>
      </c>
      <c r="L1032" s="6"/>
      <c r="M1032" t="s">
        <v>58</v>
      </c>
      <c r="N1032" t="s">
        <v>69</v>
      </c>
      <c r="O1032" t="s">
        <v>64</v>
      </c>
      <c r="P1032" t="str">
        <f t="shared" si="112"/>
        <v>Individual</v>
      </c>
      <c r="Q1032" t="str">
        <f t="shared" si="113"/>
        <v>Midlands</v>
      </c>
      <c r="R1032" t="str">
        <f>PROPER(TRIM(E1032))</f>
        <v>Furniture</v>
      </c>
      <c r="S1032" s="27">
        <f>IF(ISTEXT(B1032),DATEVALUE(B1032),B1032)</f>
        <v>45811</v>
      </c>
      <c r="T1032" s="27">
        <f>COUNTIF($A$2:$A$1986,A1032)</f>
        <v>1</v>
      </c>
      <c r="U1032" s="27" t="str">
        <f t="shared" si="114"/>
        <v>Office Chair</v>
      </c>
      <c r="V1032" s="27">
        <f t="shared" si="115"/>
        <v>174.27749999999997</v>
      </c>
      <c r="W1032" s="27">
        <f t="shared" si="116"/>
        <v>119.85</v>
      </c>
      <c r="X1032" s="27">
        <f>RawSalesTable3[[#This Row],[Revenue]]-RawSalesTable3[[#This Row],[Total_Cost]]</f>
        <v>54.427499999999981</v>
      </c>
      <c r="Y1032" s="28">
        <f>RawSalesTable3[[#This Row],[Profit]]/RawSalesTable3[[#This Row],[Revenue]]</f>
        <v>0.31230365365580748</v>
      </c>
      <c r="Z1032" s="27" t="str">
        <f>TEXT(RawSalesTable3[[#This Row],[Order_Date_Clean]],"MMM YYYY")</f>
        <v>Jun 2025</v>
      </c>
      <c r="AA1032" s="27"/>
      <c r="AB1032" s="27">
        <f t="shared" si="117"/>
        <v>0</v>
      </c>
      <c r="AC1032" s="27">
        <f t="shared" si="118"/>
        <v>0</v>
      </c>
    </row>
    <row r="1033" spans="1:29">
      <c r="A1033" t="s">
        <v>1135</v>
      </c>
      <c r="B1033" s="3">
        <v>45976</v>
      </c>
      <c r="C1033" t="s">
        <v>82</v>
      </c>
      <c r="D1033" t="s">
        <v>62</v>
      </c>
      <c r="E1033" t="s">
        <v>79</v>
      </c>
      <c r="F1033" t="s">
        <v>85</v>
      </c>
      <c r="G1033" s="6">
        <v>1</v>
      </c>
      <c r="H1033" s="4">
        <v>128.16999999999999</v>
      </c>
      <c r="I1033" s="4">
        <v>85.05</v>
      </c>
      <c r="J1033" s="5">
        <v>0.05</v>
      </c>
      <c r="K1033" s="6">
        <v>2</v>
      </c>
      <c r="L1033" s="6">
        <v>4</v>
      </c>
      <c r="M1033" t="s">
        <v>58</v>
      </c>
      <c r="N1033" t="s">
        <v>69</v>
      </c>
      <c r="O1033" t="s">
        <v>64</v>
      </c>
      <c r="P1033" t="str">
        <f t="shared" si="112"/>
        <v>Individual</v>
      </c>
      <c r="Q1033" t="str">
        <f t="shared" si="113"/>
        <v>Midlands</v>
      </c>
      <c r="R1033" t="str">
        <f>PROPER(TRIM(E1033))</f>
        <v>Electronics</v>
      </c>
      <c r="S1033" s="27">
        <f>IF(ISTEXT(B1033),DATEVALUE(B1033),B1033)</f>
        <v>45976</v>
      </c>
      <c r="T1033" s="27">
        <f>COUNTIF($A$2:$A$1986,A1033)</f>
        <v>1</v>
      </c>
      <c r="U1033" s="27" t="str">
        <f t="shared" si="114"/>
        <v>SmartHome Hub</v>
      </c>
      <c r="V1033" s="27">
        <f t="shared" si="115"/>
        <v>121.76149999999998</v>
      </c>
      <c r="W1033" s="27">
        <f t="shared" si="116"/>
        <v>85.05</v>
      </c>
      <c r="X1033" s="27">
        <f>RawSalesTable3[[#This Row],[Revenue]]-RawSalesTable3[[#This Row],[Total_Cost]]</f>
        <v>36.711499999999987</v>
      </c>
      <c r="Y1033" s="28">
        <f>RawSalesTable3[[#This Row],[Profit]]/RawSalesTable3[[#This Row],[Revenue]]</f>
        <v>0.30150334875966533</v>
      </c>
      <c r="Z1033" s="27" t="str">
        <f>TEXT(RawSalesTable3[[#This Row],[Order_Date_Clean]],"MMM YYYY")</f>
        <v>Nov 2025</v>
      </c>
      <c r="AA1033" s="27"/>
      <c r="AB1033" s="27">
        <f t="shared" si="117"/>
        <v>0</v>
      </c>
      <c r="AC1033" s="27">
        <f t="shared" si="118"/>
        <v>0</v>
      </c>
    </row>
    <row r="1034" spans="1:29">
      <c r="A1034" t="s">
        <v>1136</v>
      </c>
      <c r="B1034" s="3">
        <v>45714</v>
      </c>
      <c r="C1034" t="s">
        <v>66</v>
      </c>
      <c r="D1034" t="s">
        <v>55</v>
      </c>
      <c r="E1034" t="s">
        <v>56</v>
      </c>
      <c r="F1034" t="s">
        <v>57</v>
      </c>
      <c r="G1034" s="6">
        <v>3</v>
      </c>
      <c r="H1034" s="4">
        <v>108.22</v>
      </c>
      <c r="I1034" s="4">
        <v>66.540000000000006</v>
      </c>
      <c r="J1034" s="5">
        <v>0.05</v>
      </c>
      <c r="K1034" s="6">
        <v>0</v>
      </c>
      <c r="L1034" s="6">
        <v>5</v>
      </c>
      <c r="M1034" t="s">
        <v>58</v>
      </c>
      <c r="N1034" t="s">
        <v>69</v>
      </c>
      <c r="O1034" t="s">
        <v>60</v>
      </c>
      <c r="P1034" t="str">
        <f t="shared" si="112"/>
        <v>Small Business</v>
      </c>
      <c r="Q1034" t="str">
        <f t="shared" si="113"/>
        <v>South</v>
      </c>
      <c r="R1034" t="str">
        <f>PROPER(TRIM(E1034))</f>
        <v>Home &amp; Kitchen</v>
      </c>
      <c r="S1034" s="27">
        <f>IF(ISTEXT(B1034),DATEVALUE(B1034),B1034)</f>
        <v>45714</v>
      </c>
      <c r="T1034" s="27">
        <f>COUNTIF($A$2:$A$1986,A1034)</f>
        <v>1</v>
      </c>
      <c r="U1034" s="27" t="str">
        <f t="shared" si="114"/>
        <v>Air Fryer</v>
      </c>
      <c r="V1034" s="27">
        <f t="shared" si="115"/>
        <v>308.42699999999996</v>
      </c>
      <c r="W1034" s="27">
        <f t="shared" si="116"/>
        <v>199.62</v>
      </c>
      <c r="X1034" s="27">
        <f>RawSalesTable3[[#This Row],[Revenue]]-RawSalesTable3[[#This Row],[Total_Cost]]</f>
        <v>108.80699999999996</v>
      </c>
      <c r="Y1034" s="28">
        <f>RawSalesTable3[[#This Row],[Profit]]/RawSalesTable3[[#This Row],[Revenue]]</f>
        <v>0.35278039860323501</v>
      </c>
      <c r="Z1034" s="27" t="str">
        <f>TEXT(RawSalesTable3[[#This Row],[Order_Date_Clean]],"MMM YYYY")</f>
        <v>Feb 2025</v>
      </c>
      <c r="AA1034" s="27"/>
      <c r="AB1034" s="27">
        <f t="shared" si="117"/>
        <v>0</v>
      </c>
      <c r="AC1034" s="27">
        <f t="shared" si="118"/>
        <v>0</v>
      </c>
    </row>
    <row r="1035" spans="1:29">
      <c r="A1035" t="s">
        <v>1137</v>
      </c>
      <c r="B1035" s="3">
        <v>45940</v>
      </c>
      <c r="C1035" t="s">
        <v>82</v>
      </c>
      <c r="D1035" t="s">
        <v>62</v>
      </c>
      <c r="E1035" t="s">
        <v>75</v>
      </c>
      <c r="F1035" t="s">
        <v>76</v>
      </c>
      <c r="G1035" s="6">
        <v>2</v>
      </c>
      <c r="H1035" s="4">
        <v>117.98</v>
      </c>
      <c r="I1035" s="4">
        <v>73.03</v>
      </c>
      <c r="J1035" s="5">
        <v>0.05</v>
      </c>
      <c r="K1035" s="6">
        <v>3</v>
      </c>
      <c r="L1035" s="6">
        <v>4</v>
      </c>
      <c r="M1035" t="s">
        <v>58</v>
      </c>
      <c r="N1035" t="s">
        <v>69</v>
      </c>
      <c r="O1035" t="s">
        <v>60</v>
      </c>
      <c r="P1035" t="str">
        <f t="shared" si="112"/>
        <v>Individual</v>
      </c>
      <c r="Q1035" t="str">
        <f t="shared" si="113"/>
        <v>Midlands</v>
      </c>
      <c r="R1035" t="str">
        <f>PROPER(TRIM(E1035))</f>
        <v>Furniture</v>
      </c>
      <c r="S1035" s="27">
        <f>IF(ISTEXT(B1035),DATEVALUE(B1035),B1035)</f>
        <v>45940</v>
      </c>
      <c r="T1035" s="27">
        <f>COUNTIF($A$2:$A$1986,A1035)</f>
        <v>1</v>
      </c>
      <c r="U1035" s="27" t="str">
        <f t="shared" si="114"/>
        <v>Bookshelf</v>
      </c>
      <c r="V1035" s="27">
        <f t="shared" si="115"/>
        <v>224.16200000000001</v>
      </c>
      <c r="W1035" s="27">
        <f t="shared" si="116"/>
        <v>146.06</v>
      </c>
      <c r="X1035" s="27">
        <f>RawSalesTable3[[#This Row],[Revenue]]-RawSalesTable3[[#This Row],[Total_Cost]]</f>
        <v>78.102000000000004</v>
      </c>
      <c r="Y1035" s="28">
        <f>RawSalesTable3[[#This Row],[Profit]]/RawSalesTable3[[#This Row],[Revenue]]</f>
        <v>0.34841766222642556</v>
      </c>
      <c r="Z1035" s="27" t="str">
        <f>TEXT(RawSalesTable3[[#This Row],[Order_Date_Clean]],"MMM YYYY")</f>
        <v>Oct 2025</v>
      </c>
      <c r="AA1035" s="27"/>
      <c r="AB1035" s="27">
        <f t="shared" si="117"/>
        <v>0</v>
      </c>
      <c r="AC1035" s="27">
        <f t="shared" si="118"/>
        <v>0</v>
      </c>
    </row>
    <row r="1036" spans="1:29">
      <c r="A1036" t="s">
        <v>1138</v>
      </c>
      <c r="B1036" s="3">
        <v>45742</v>
      </c>
      <c r="C1036" t="s">
        <v>54</v>
      </c>
      <c r="D1036" t="s">
        <v>129</v>
      </c>
      <c r="E1036" t="s">
        <v>56</v>
      </c>
      <c r="F1036" t="s">
        <v>63</v>
      </c>
      <c r="G1036" s="6">
        <v>5</v>
      </c>
      <c r="H1036" s="4">
        <v>40.200000000000003</v>
      </c>
      <c r="I1036" s="4">
        <v>19.46</v>
      </c>
      <c r="J1036" s="5">
        <v>0.1</v>
      </c>
      <c r="K1036" s="6">
        <v>3</v>
      </c>
      <c r="L1036" s="6">
        <v>4</v>
      </c>
      <c r="M1036" t="s">
        <v>58</v>
      </c>
      <c r="N1036" t="s">
        <v>69</v>
      </c>
      <c r="O1036" t="s">
        <v>60</v>
      </c>
      <c r="P1036" t="str">
        <f t="shared" si="112"/>
        <v>Corporate</v>
      </c>
      <c r="Q1036" t="str">
        <f t="shared" si="113"/>
        <v>North</v>
      </c>
      <c r="R1036" t="str">
        <f>PROPER(TRIM(E1036))</f>
        <v>Home &amp; Kitchen</v>
      </c>
      <c r="S1036" s="27">
        <f>IF(ISTEXT(B1036),DATEVALUE(B1036),B1036)</f>
        <v>45742</v>
      </c>
      <c r="T1036" s="27">
        <f>COUNTIF($A$2:$A$1986,A1036)</f>
        <v>1</v>
      </c>
      <c r="U1036" s="27" t="str">
        <f t="shared" si="114"/>
        <v>Electric Kettle</v>
      </c>
      <c r="V1036" s="27">
        <f t="shared" si="115"/>
        <v>180.9</v>
      </c>
      <c r="W1036" s="27">
        <f t="shared" si="116"/>
        <v>97.300000000000011</v>
      </c>
      <c r="X1036" s="27">
        <f>RawSalesTable3[[#This Row],[Revenue]]-RawSalesTable3[[#This Row],[Total_Cost]]</f>
        <v>83.6</v>
      </c>
      <c r="Y1036" s="28">
        <f>RawSalesTable3[[#This Row],[Profit]]/RawSalesTable3[[#This Row],[Revenue]]</f>
        <v>0.46213377556661134</v>
      </c>
      <c r="Z1036" s="27" t="str">
        <f>TEXT(RawSalesTable3[[#This Row],[Order_Date_Clean]],"MMM YYYY")</f>
        <v>Mar 2025</v>
      </c>
      <c r="AA1036" s="27"/>
      <c r="AB1036" s="27">
        <f t="shared" si="117"/>
        <v>0</v>
      </c>
      <c r="AC1036" s="27">
        <f t="shared" si="118"/>
        <v>0</v>
      </c>
    </row>
    <row r="1037" spans="1:29">
      <c r="A1037" t="s">
        <v>1139</v>
      </c>
      <c r="B1037" s="3">
        <v>45873</v>
      </c>
      <c r="C1037" t="s">
        <v>66</v>
      </c>
      <c r="D1037" t="s">
        <v>62</v>
      </c>
      <c r="E1037" t="s">
        <v>56</v>
      </c>
      <c r="F1037" t="s">
        <v>57</v>
      </c>
      <c r="G1037" s="6">
        <v>1</v>
      </c>
      <c r="H1037" s="4">
        <v>108.75</v>
      </c>
      <c r="I1037" s="4">
        <v>69.86</v>
      </c>
      <c r="J1037" s="5">
        <v>0</v>
      </c>
      <c r="K1037" s="6">
        <v>1</v>
      </c>
      <c r="L1037" s="6">
        <v>4</v>
      </c>
      <c r="M1037" t="s">
        <v>58</v>
      </c>
      <c r="N1037" t="s">
        <v>69</v>
      </c>
      <c r="O1037" t="s">
        <v>64</v>
      </c>
      <c r="P1037" t="str">
        <f t="shared" si="112"/>
        <v>Individual</v>
      </c>
      <c r="Q1037" t="str">
        <f t="shared" si="113"/>
        <v>South</v>
      </c>
      <c r="R1037" t="str">
        <f>PROPER(TRIM(E1037))</f>
        <v>Home &amp; Kitchen</v>
      </c>
      <c r="S1037" s="27">
        <f>IF(ISTEXT(B1037),DATEVALUE(B1037),B1037)</f>
        <v>45873</v>
      </c>
      <c r="T1037" s="27">
        <f>COUNTIF($A$2:$A$1986,A1037)</f>
        <v>1</v>
      </c>
      <c r="U1037" s="27" t="str">
        <f t="shared" si="114"/>
        <v>Air Fryer</v>
      </c>
      <c r="V1037" s="27">
        <f t="shared" si="115"/>
        <v>108.75</v>
      </c>
      <c r="W1037" s="27">
        <f t="shared" si="116"/>
        <v>69.86</v>
      </c>
      <c r="X1037" s="27">
        <f>RawSalesTable3[[#This Row],[Revenue]]-RawSalesTable3[[#This Row],[Total_Cost]]</f>
        <v>38.89</v>
      </c>
      <c r="Y1037" s="28">
        <f>RawSalesTable3[[#This Row],[Profit]]/RawSalesTable3[[#This Row],[Revenue]]</f>
        <v>0.35760919540229885</v>
      </c>
      <c r="Z1037" s="27" t="str">
        <f>TEXT(RawSalesTable3[[#This Row],[Order_Date_Clean]],"MMM YYYY")</f>
        <v>Aug 2025</v>
      </c>
      <c r="AA1037" s="27"/>
      <c r="AB1037" s="27">
        <f t="shared" si="117"/>
        <v>0</v>
      </c>
      <c r="AC1037" s="27">
        <f t="shared" si="118"/>
        <v>0</v>
      </c>
    </row>
    <row r="1038" spans="1:29">
      <c r="A1038" t="s">
        <v>1140</v>
      </c>
      <c r="B1038" s="3">
        <v>45989</v>
      </c>
      <c r="C1038" t="s">
        <v>54</v>
      </c>
      <c r="D1038" t="s">
        <v>62</v>
      </c>
      <c r="E1038" t="s">
        <v>79</v>
      </c>
      <c r="F1038" t="s">
        <v>92</v>
      </c>
      <c r="G1038" s="6">
        <v>3</v>
      </c>
      <c r="H1038" s="4">
        <v>51.3</v>
      </c>
      <c r="I1038" s="4">
        <v>25.84</v>
      </c>
      <c r="J1038" s="5">
        <v>0.05</v>
      </c>
      <c r="K1038" s="6">
        <v>0</v>
      </c>
      <c r="L1038" s="6">
        <v>5</v>
      </c>
      <c r="M1038" t="s">
        <v>58</v>
      </c>
      <c r="N1038" t="s">
        <v>69</v>
      </c>
      <c r="O1038" t="s">
        <v>73</v>
      </c>
      <c r="P1038" t="str">
        <f t="shared" si="112"/>
        <v>Individual</v>
      </c>
      <c r="Q1038" t="str">
        <f t="shared" si="113"/>
        <v>North</v>
      </c>
      <c r="R1038" t="str">
        <f>PROPER(TRIM(E1038))</f>
        <v>Electronics</v>
      </c>
      <c r="S1038" s="27">
        <f>IF(ISTEXT(B1038),DATEVALUE(B1038),B1038)</f>
        <v>45989</v>
      </c>
      <c r="T1038" s="27">
        <f>COUNTIF($A$2:$A$1986,A1038)</f>
        <v>1</v>
      </c>
      <c r="U1038" s="27" t="str">
        <f t="shared" si="114"/>
        <v>Webcam</v>
      </c>
      <c r="V1038" s="27">
        <f t="shared" si="115"/>
        <v>146.20499999999998</v>
      </c>
      <c r="W1038" s="27">
        <f t="shared" si="116"/>
        <v>77.52</v>
      </c>
      <c r="X1038" s="27">
        <f>RawSalesTable3[[#This Row],[Revenue]]-RawSalesTable3[[#This Row],[Total_Cost]]</f>
        <v>68.684999999999988</v>
      </c>
      <c r="Y1038" s="28">
        <f>RawSalesTable3[[#This Row],[Profit]]/RawSalesTable3[[#This Row],[Revenue]]</f>
        <v>0.46978557504873292</v>
      </c>
      <c r="Z1038" s="27" t="str">
        <f>TEXT(RawSalesTable3[[#This Row],[Order_Date_Clean]],"MMM YYYY")</f>
        <v>Nov 2025</v>
      </c>
      <c r="AA1038" s="27"/>
      <c r="AB1038" s="27">
        <f t="shared" si="117"/>
        <v>0</v>
      </c>
      <c r="AC1038" s="27">
        <f t="shared" si="118"/>
        <v>0</v>
      </c>
    </row>
    <row r="1039" spans="1:29">
      <c r="A1039" t="s">
        <v>1141</v>
      </c>
      <c r="B1039" s="3">
        <v>45725</v>
      </c>
      <c r="C1039" t="s">
        <v>82</v>
      </c>
      <c r="D1039" t="s">
        <v>62</v>
      </c>
      <c r="E1039" t="s">
        <v>79</v>
      </c>
      <c r="F1039" t="s">
        <v>115</v>
      </c>
      <c r="G1039" s="6">
        <v>1</v>
      </c>
      <c r="H1039" s="4">
        <v>59.43</v>
      </c>
      <c r="I1039" s="4">
        <v>33.450000000000003</v>
      </c>
      <c r="J1039" s="5">
        <v>0.05</v>
      </c>
      <c r="K1039" s="6">
        <v>6</v>
      </c>
      <c r="L1039" s="6">
        <v>3</v>
      </c>
      <c r="M1039" t="s">
        <v>58</v>
      </c>
      <c r="N1039" t="s">
        <v>59</v>
      </c>
      <c r="O1039" t="s">
        <v>64</v>
      </c>
      <c r="P1039" t="str">
        <f t="shared" si="112"/>
        <v>Individual</v>
      </c>
      <c r="Q1039" t="str">
        <f t="shared" si="113"/>
        <v>Midlands</v>
      </c>
      <c r="R1039" t="str">
        <f>PROPER(TRIM(E1039))</f>
        <v>Electronics</v>
      </c>
      <c r="S1039" s="27">
        <f>IF(ISTEXT(B1039),DATEVALUE(B1039),B1039)</f>
        <v>45725</v>
      </c>
      <c r="T1039" s="27">
        <f>COUNTIF($A$2:$A$1986,A1039)</f>
        <v>1</v>
      </c>
      <c r="U1039" s="27" t="str">
        <f t="shared" si="114"/>
        <v>Wireless Headset</v>
      </c>
      <c r="V1039" s="27">
        <f t="shared" si="115"/>
        <v>56.458499999999994</v>
      </c>
      <c r="W1039" s="27">
        <f t="shared" si="116"/>
        <v>33.450000000000003</v>
      </c>
      <c r="X1039" s="27">
        <f>RawSalesTable3[[#This Row],[Revenue]]-RawSalesTable3[[#This Row],[Total_Cost]]</f>
        <v>23.008499999999991</v>
      </c>
      <c r="Y1039" s="28">
        <f>RawSalesTable3[[#This Row],[Profit]]/RawSalesTable3[[#This Row],[Revenue]]</f>
        <v>0.40752942426738215</v>
      </c>
      <c r="Z1039" s="27" t="str">
        <f>TEXT(RawSalesTable3[[#This Row],[Order_Date_Clean]],"MMM YYYY")</f>
        <v>Mar 2025</v>
      </c>
      <c r="AA1039" s="27"/>
      <c r="AB1039" s="27">
        <f t="shared" si="117"/>
        <v>0</v>
      </c>
      <c r="AC1039" s="27">
        <f t="shared" si="118"/>
        <v>0</v>
      </c>
    </row>
    <row r="1040" spans="1:29">
      <c r="A1040" t="s">
        <v>1142</v>
      </c>
      <c r="B1040" s="3">
        <v>46017</v>
      </c>
      <c r="C1040" t="s">
        <v>82</v>
      </c>
      <c r="D1040" t="s">
        <v>62</v>
      </c>
      <c r="E1040" t="s">
        <v>75</v>
      </c>
      <c r="F1040" t="s">
        <v>110</v>
      </c>
      <c r="G1040" s="6">
        <v>2</v>
      </c>
      <c r="H1040" s="4">
        <v>161.66</v>
      </c>
      <c r="I1040" s="4">
        <v>99.75</v>
      </c>
      <c r="J1040" s="5">
        <v>0.1</v>
      </c>
      <c r="K1040" s="6">
        <v>4</v>
      </c>
      <c r="L1040" s="6">
        <v>3</v>
      </c>
      <c r="M1040" t="s">
        <v>126</v>
      </c>
      <c r="N1040" t="s">
        <v>69</v>
      </c>
      <c r="O1040" t="s">
        <v>64</v>
      </c>
      <c r="P1040" t="str">
        <f t="shared" si="112"/>
        <v>Individual</v>
      </c>
      <c r="Q1040" t="str">
        <f t="shared" si="113"/>
        <v>Midlands</v>
      </c>
      <c r="R1040" t="str">
        <f>PROPER(TRIM(E1040))</f>
        <v>Furniture</v>
      </c>
      <c r="S1040" s="27">
        <f>IF(ISTEXT(B1040),DATEVALUE(B1040),B1040)</f>
        <v>46017</v>
      </c>
      <c r="T1040" s="27">
        <f>COUNTIF($A$2:$A$1986,A1040)</f>
        <v>1</v>
      </c>
      <c r="U1040" s="27" t="str">
        <f t="shared" si="114"/>
        <v>Storage Cabinet</v>
      </c>
      <c r="V1040" s="27">
        <f t="shared" si="115"/>
        <v>290.988</v>
      </c>
      <c r="W1040" s="27">
        <f t="shared" si="116"/>
        <v>199.5</v>
      </c>
      <c r="X1040" s="27">
        <f>RawSalesTable3[[#This Row],[Revenue]]-RawSalesTable3[[#This Row],[Total_Cost]]</f>
        <v>91.488</v>
      </c>
      <c r="Y1040" s="28">
        <f>RawSalesTable3[[#This Row],[Profit]]/RawSalesTable3[[#This Row],[Revenue]]</f>
        <v>0.31440471772031836</v>
      </c>
      <c r="Z1040" s="27" t="str">
        <f>TEXT(RawSalesTable3[[#This Row],[Order_Date_Clean]],"MMM YYYY")</f>
        <v>Dec 2025</v>
      </c>
      <c r="AA1040" s="27"/>
      <c r="AB1040" s="27">
        <f t="shared" si="117"/>
        <v>0</v>
      </c>
      <c r="AC1040" s="27">
        <f t="shared" si="118"/>
        <v>0</v>
      </c>
    </row>
    <row r="1041" spans="1:29">
      <c r="A1041" t="s">
        <v>1143</v>
      </c>
      <c r="B1041" s="3">
        <v>45825</v>
      </c>
      <c r="C1041" t="s">
        <v>66</v>
      </c>
      <c r="D1041" t="s">
        <v>62</v>
      </c>
      <c r="E1041" t="s">
        <v>56</v>
      </c>
      <c r="F1041" t="s">
        <v>63</v>
      </c>
      <c r="G1041" s="6">
        <v>3</v>
      </c>
      <c r="H1041" s="4">
        <v>40.880000000000003</v>
      </c>
      <c r="I1041" s="4">
        <v>19.64</v>
      </c>
      <c r="J1041" s="5">
        <v>0.2</v>
      </c>
      <c r="K1041" s="6">
        <v>6</v>
      </c>
      <c r="L1041" s="6">
        <v>4</v>
      </c>
      <c r="M1041" t="s">
        <v>58</v>
      </c>
      <c r="N1041" t="s">
        <v>59</v>
      </c>
      <c r="O1041" t="s">
        <v>64</v>
      </c>
      <c r="P1041" t="str">
        <f t="shared" si="112"/>
        <v>Individual</v>
      </c>
      <c r="Q1041" t="str">
        <f t="shared" si="113"/>
        <v>South</v>
      </c>
      <c r="R1041" t="str">
        <f>PROPER(TRIM(E1041))</f>
        <v>Home &amp; Kitchen</v>
      </c>
      <c r="S1041" s="27">
        <f>IF(ISTEXT(B1041),DATEVALUE(B1041),B1041)</f>
        <v>45825</v>
      </c>
      <c r="T1041" s="27">
        <f>COUNTIF($A$2:$A$1986,A1041)</f>
        <v>1</v>
      </c>
      <c r="U1041" s="27" t="str">
        <f t="shared" si="114"/>
        <v>Electric Kettle</v>
      </c>
      <c r="V1041" s="27">
        <f t="shared" si="115"/>
        <v>98.112000000000023</v>
      </c>
      <c r="W1041" s="27">
        <f t="shared" si="116"/>
        <v>58.92</v>
      </c>
      <c r="X1041" s="27">
        <f>RawSalesTable3[[#This Row],[Revenue]]-RawSalesTable3[[#This Row],[Total_Cost]]</f>
        <v>39.192000000000021</v>
      </c>
      <c r="Y1041" s="28">
        <f>RawSalesTable3[[#This Row],[Profit]]/RawSalesTable3[[#This Row],[Revenue]]</f>
        <v>0.39946183953033282</v>
      </c>
      <c r="Z1041" s="27" t="str">
        <f>TEXT(RawSalesTable3[[#This Row],[Order_Date_Clean]],"MMM YYYY")</f>
        <v>Jun 2025</v>
      </c>
      <c r="AA1041" s="27"/>
      <c r="AB1041" s="27">
        <f t="shared" si="117"/>
        <v>0</v>
      </c>
      <c r="AC1041" s="27">
        <f t="shared" si="118"/>
        <v>0</v>
      </c>
    </row>
    <row r="1042" spans="1:29">
      <c r="A1042" t="s">
        <v>1144</v>
      </c>
      <c r="B1042" s="3">
        <v>45990</v>
      </c>
      <c r="C1042" t="s">
        <v>82</v>
      </c>
      <c r="D1042" t="s">
        <v>62</v>
      </c>
      <c r="E1042" t="s">
        <v>56</v>
      </c>
      <c r="F1042" t="s">
        <v>57</v>
      </c>
      <c r="G1042" s="6">
        <v>2</v>
      </c>
      <c r="H1042" s="4">
        <v>111.6</v>
      </c>
      <c r="I1042" s="4">
        <v>65.37</v>
      </c>
      <c r="J1042" s="5">
        <v>0.1</v>
      </c>
      <c r="K1042" s="6">
        <v>3</v>
      </c>
      <c r="L1042" s="6">
        <v>4</v>
      </c>
      <c r="M1042" t="s">
        <v>58</v>
      </c>
      <c r="N1042" t="s">
        <v>59</v>
      </c>
      <c r="O1042" t="s">
        <v>64</v>
      </c>
      <c r="P1042" t="str">
        <f t="shared" si="112"/>
        <v>Individual</v>
      </c>
      <c r="Q1042" t="str">
        <f t="shared" si="113"/>
        <v>Midlands</v>
      </c>
      <c r="R1042" t="str">
        <f>PROPER(TRIM(E1042))</f>
        <v>Home &amp; Kitchen</v>
      </c>
      <c r="S1042" s="27">
        <f>IF(ISTEXT(B1042),DATEVALUE(B1042),B1042)</f>
        <v>45990</v>
      </c>
      <c r="T1042" s="27">
        <f>COUNTIF($A$2:$A$1986,A1042)</f>
        <v>1</v>
      </c>
      <c r="U1042" s="27" t="str">
        <f t="shared" si="114"/>
        <v>Air Fryer</v>
      </c>
      <c r="V1042" s="27">
        <f t="shared" si="115"/>
        <v>200.88</v>
      </c>
      <c r="W1042" s="27">
        <f t="shared" si="116"/>
        <v>130.74</v>
      </c>
      <c r="X1042" s="27">
        <f>RawSalesTable3[[#This Row],[Revenue]]-RawSalesTable3[[#This Row],[Total_Cost]]</f>
        <v>70.139999999999986</v>
      </c>
      <c r="Y1042" s="28">
        <f>RawSalesTable3[[#This Row],[Profit]]/RawSalesTable3[[#This Row],[Revenue]]</f>
        <v>0.34916367980884105</v>
      </c>
      <c r="Z1042" s="27" t="str">
        <f>TEXT(RawSalesTable3[[#This Row],[Order_Date_Clean]],"MMM YYYY")</f>
        <v>Nov 2025</v>
      </c>
      <c r="AA1042" s="27"/>
      <c r="AB1042" s="27">
        <f t="shared" si="117"/>
        <v>0</v>
      </c>
      <c r="AC1042" s="27">
        <f t="shared" si="118"/>
        <v>0</v>
      </c>
    </row>
    <row r="1043" spans="1:29">
      <c r="A1043" t="s">
        <v>1145</v>
      </c>
      <c r="B1043" s="3">
        <v>46003</v>
      </c>
      <c r="C1043" t="s">
        <v>66</v>
      </c>
      <c r="D1043" t="s">
        <v>62</v>
      </c>
      <c r="E1043" t="s">
        <v>56</v>
      </c>
      <c r="F1043" t="s">
        <v>89</v>
      </c>
      <c r="G1043" s="6">
        <v>1</v>
      </c>
      <c r="H1043" s="4">
        <v>81.84</v>
      </c>
      <c r="I1043" s="4">
        <v>46.43</v>
      </c>
      <c r="J1043" s="5">
        <v>0.05</v>
      </c>
      <c r="K1043" s="6">
        <v>4</v>
      </c>
      <c r="L1043" s="6">
        <v>4</v>
      </c>
      <c r="M1043" t="s">
        <v>126</v>
      </c>
      <c r="N1043" t="s">
        <v>59</v>
      </c>
      <c r="O1043" t="s">
        <v>64</v>
      </c>
      <c r="P1043" t="str">
        <f t="shared" si="112"/>
        <v>Individual</v>
      </c>
      <c r="Q1043" t="str">
        <f t="shared" si="113"/>
        <v>South</v>
      </c>
      <c r="R1043" t="str">
        <f>PROPER(TRIM(E1043))</f>
        <v>Home &amp; Kitchen</v>
      </c>
      <c r="S1043" s="27">
        <f>IF(ISTEXT(B1043),DATEVALUE(B1043),B1043)</f>
        <v>46003</v>
      </c>
      <c r="T1043" s="27">
        <f>COUNTIF($A$2:$A$1986,A1043)</f>
        <v>1</v>
      </c>
      <c r="U1043" s="27" t="str">
        <f t="shared" si="114"/>
        <v>Coffee Maker</v>
      </c>
      <c r="V1043" s="27">
        <f t="shared" si="115"/>
        <v>77.748000000000005</v>
      </c>
      <c r="W1043" s="27">
        <f t="shared" si="116"/>
        <v>46.43</v>
      </c>
      <c r="X1043" s="27">
        <f>RawSalesTable3[[#This Row],[Revenue]]-RawSalesTable3[[#This Row],[Total_Cost]]</f>
        <v>31.318000000000005</v>
      </c>
      <c r="Y1043" s="28">
        <f>RawSalesTable3[[#This Row],[Profit]]/RawSalesTable3[[#This Row],[Revenue]]</f>
        <v>0.40281422030148689</v>
      </c>
      <c r="Z1043" s="27" t="str">
        <f>TEXT(RawSalesTable3[[#This Row],[Order_Date_Clean]],"MMM YYYY")</f>
        <v>Dec 2025</v>
      </c>
      <c r="AA1043" s="27"/>
      <c r="AB1043" s="27">
        <f t="shared" si="117"/>
        <v>0</v>
      </c>
      <c r="AC1043" s="27">
        <f t="shared" si="118"/>
        <v>0</v>
      </c>
    </row>
    <row r="1044" spans="1:29">
      <c r="A1044" t="s">
        <v>1146</v>
      </c>
      <c r="B1044" s="3">
        <v>45764</v>
      </c>
      <c r="C1044" t="s">
        <v>66</v>
      </c>
      <c r="D1044" t="s">
        <v>55</v>
      </c>
      <c r="E1044" t="s">
        <v>56</v>
      </c>
      <c r="F1044" t="s">
        <v>57</v>
      </c>
      <c r="G1044" s="6">
        <v>3</v>
      </c>
      <c r="H1044" s="4">
        <v>112.08</v>
      </c>
      <c r="I1044" s="4">
        <v>66.17</v>
      </c>
      <c r="J1044" s="5">
        <v>0.05</v>
      </c>
      <c r="K1044" s="6">
        <v>4</v>
      </c>
      <c r="L1044" s="6">
        <v>4</v>
      </c>
      <c r="M1044" t="s">
        <v>58</v>
      </c>
      <c r="N1044" t="s">
        <v>59</v>
      </c>
      <c r="O1044" t="s">
        <v>60</v>
      </c>
      <c r="P1044" t="str">
        <f t="shared" si="112"/>
        <v>Small Business</v>
      </c>
      <c r="Q1044" t="str">
        <f t="shared" si="113"/>
        <v>South</v>
      </c>
      <c r="R1044" t="str">
        <f>PROPER(TRIM(E1044))</f>
        <v>Home &amp; Kitchen</v>
      </c>
      <c r="S1044" s="27">
        <f>IF(ISTEXT(B1044),DATEVALUE(B1044),B1044)</f>
        <v>45764</v>
      </c>
      <c r="T1044" s="27">
        <f>COUNTIF($A$2:$A$1986,A1044)</f>
        <v>1</v>
      </c>
      <c r="U1044" s="27" t="str">
        <f t="shared" si="114"/>
        <v>Air Fryer</v>
      </c>
      <c r="V1044" s="27">
        <f t="shared" si="115"/>
        <v>319.428</v>
      </c>
      <c r="W1044" s="27">
        <f t="shared" si="116"/>
        <v>198.51</v>
      </c>
      <c r="X1044" s="27">
        <f>RawSalesTable3[[#This Row],[Revenue]]-RawSalesTable3[[#This Row],[Total_Cost]]</f>
        <v>120.91800000000001</v>
      </c>
      <c r="Y1044" s="28">
        <f>RawSalesTable3[[#This Row],[Profit]]/RawSalesTable3[[#This Row],[Revenue]]</f>
        <v>0.37854539990232544</v>
      </c>
      <c r="Z1044" s="27" t="str">
        <f>TEXT(RawSalesTable3[[#This Row],[Order_Date_Clean]],"MMM YYYY")</f>
        <v>Apr 2025</v>
      </c>
      <c r="AA1044" s="27"/>
      <c r="AB1044" s="27">
        <f t="shared" si="117"/>
        <v>0</v>
      </c>
      <c r="AC1044" s="27">
        <f t="shared" si="118"/>
        <v>0</v>
      </c>
    </row>
    <row r="1045" spans="1:29">
      <c r="A1045" t="s">
        <v>1147</v>
      </c>
      <c r="B1045" s="3">
        <v>45904</v>
      </c>
      <c r="C1045" t="s">
        <v>66</v>
      </c>
      <c r="D1045" t="s">
        <v>62</v>
      </c>
      <c r="E1045" t="s">
        <v>67</v>
      </c>
      <c r="F1045" t="s">
        <v>68</v>
      </c>
      <c r="G1045" s="6">
        <v>2</v>
      </c>
      <c r="H1045" s="4">
        <v>40.630000000000003</v>
      </c>
      <c r="I1045" s="4">
        <v>18.86</v>
      </c>
      <c r="J1045" s="5">
        <v>0.1</v>
      </c>
      <c r="K1045" s="6">
        <v>2</v>
      </c>
      <c r="L1045" s="6">
        <v>4</v>
      </c>
      <c r="M1045" t="s">
        <v>58</v>
      </c>
      <c r="N1045" t="s">
        <v>69</v>
      </c>
      <c r="O1045" t="s">
        <v>64</v>
      </c>
      <c r="P1045" t="str">
        <f t="shared" si="112"/>
        <v>Individual</v>
      </c>
      <c r="Q1045" t="str">
        <f t="shared" si="113"/>
        <v>South</v>
      </c>
      <c r="R1045" t="str">
        <f>PROPER(TRIM(E1045))</f>
        <v>Office</v>
      </c>
      <c r="S1045" s="27">
        <f>IF(ISTEXT(B1045),DATEVALUE(B1045),B1045)</f>
        <v>45904</v>
      </c>
      <c r="T1045" s="27">
        <f>COUNTIF($A$2:$A$1986,A1045)</f>
        <v>1</v>
      </c>
      <c r="U1045" s="27" t="str">
        <f t="shared" si="114"/>
        <v>Desk Lamp</v>
      </c>
      <c r="V1045" s="27">
        <f t="shared" si="115"/>
        <v>73.134</v>
      </c>
      <c r="W1045" s="27">
        <f t="shared" si="116"/>
        <v>37.72</v>
      </c>
      <c r="X1045" s="27">
        <f>RawSalesTable3[[#This Row],[Revenue]]-RawSalesTable3[[#This Row],[Total_Cost]]</f>
        <v>35.414000000000001</v>
      </c>
      <c r="Y1045" s="28">
        <f>RawSalesTable3[[#This Row],[Profit]]/RawSalesTable3[[#This Row],[Revenue]]</f>
        <v>0.48423441901167719</v>
      </c>
      <c r="Z1045" s="27" t="str">
        <f>TEXT(RawSalesTable3[[#This Row],[Order_Date_Clean]],"MMM YYYY")</f>
        <v>Sep 2025</v>
      </c>
      <c r="AA1045" s="27"/>
      <c r="AB1045" s="27">
        <f t="shared" si="117"/>
        <v>0</v>
      </c>
      <c r="AC1045" s="27">
        <f t="shared" si="118"/>
        <v>0</v>
      </c>
    </row>
    <row r="1046" spans="1:29">
      <c r="A1046" t="s">
        <v>1148</v>
      </c>
      <c r="B1046" s="3">
        <v>45856</v>
      </c>
      <c r="C1046" t="s">
        <v>78</v>
      </c>
      <c r="D1046" t="s">
        <v>62</v>
      </c>
      <c r="E1046" t="s">
        <v>79</v>
      </c>
      <c r="F1046" t="s">
        <v>92</v>
      </c>
      <c r="G1046" s="6">
        <v>1</v>
      </c>
      <c r="H1046" s="4">
        <v>51.85</v>
      </c>
      <c r="I1046" s="4">
        <v>26.17</v>
      </c>
      <c r="J1046" s="5">
        <v>0.05</v>
      </c>
      <c r="K1046" s="6">
        <v>3</v>
      </c>
      <c r="L1046" s="6">
        <v>5</v>
      </c>
      <c r="M1046" t="s">
        <v>58</v>
      </c>
      <c r="N1046" t="s">
        <v>59</v>
      </c>
      <c r="O1046" t="s">
        <v>60</v>
      </c>
      <c r="P1046" t="str">
        <f t="shared" si="112"/>
        <v>Individual</v>
      </c>
      <c r="Q1046" t="str">
        <f t="shared" si="113"/>
        <v>London</v>
      </c>
      <c r="R1046" t="str">
        <f>PROPER(TRIM(E1046))</f>
        <v>Electronics</v>
      </c>
      <c r="S1046" s="27">
        <f>IF(ISTEXT(B1046),DATEVALUE(B1046),B1046)</f>
        <v>45856</v>
      </c>
      <c r="T1046" s="27">
        <f>COUNTIF($A$2:$A$1986,A1046)</f>
        <v>1</v>
      </c>
      <c r="U1046" s="27" t="str">
        <f t="shared" si="114"/>
        <v>Webcam</v>
      </c>
      <c r="V1046" s="27">
        <f t="shared" si="115"/>
        <v>49.2575</v>
      </c>
      <c r="W1046" s="27">
        <f t="shared" si="116"/>
        <v>26.17</v>
      </c>
      <c r="X1046" s="27">
        <f>RawSalesTable3[[#This Row],[Revenue]]-RawSalesTable3[[#This Row],[Total_Cost]]</f>
        <v>23.087499999999999</v>
      </c>
      <c r="Y1046" s="28">
        <f>RawSalesTable3[[#This Row],[Profit]]/RawSalesTable3[[#This Row],[Revenue]]</f>
        <v>0.46871034867786626</v>
      </c>
      <c r="Z1046" s="27" t="str">
        <f>TEXT(RawSalesTable3[[#This Row],[Order_Date_Clean]],"MMM YYYY")</f>
        <v>Jul 2025</v>
      </c>
      <c r="AA1046" s="27"/>
      <c r="AB1046" s="27">
        <f t="shared" si="117"/>
        <v>0</v>
      </c>
      <c r="AC1046" s="27">
        <f t="shared" si="118"/>
        <v>0</v>
      </c>
    </row>
    <row r="1047" spans="1:29">
      <c r="A1047" t="s">
        <v>1149</v>
      </c>
      <c r="B1047" s="3">
        <v>45751</v>
      </c>
      <c r="C1047" t="s">
        <v>82</v>
      </c>
      <c r="D1047" t="s">
        <v>62</v>
      </c>
      <c r="E1047" t="s">
        <v>79</v>
      </c>
      <c r="F1047" t="s">
        <v>80</v>
      </c>
      <c r="G1047" s="6">
        <v>2</v>
      </c>
      <c r="H1047" s="4">
        <v>77.41</v>
      </c>
      <c r="I1047" s="4">
        <v>43.22</v>
      </c>
      <c r="J1047" s="5">
        <v>0</v>
      </c>
      <c r="K1047" s="6">
        <v>4</v>
      </c>
      <c r="L1047" s="6">
        <v>5</v>
      </c>
      <c r="M1047" t="s">
        <v>58</v>
      </c>
      <c r="N1047" t="s">
        <v>59</v>
      </c>
      <c r="O1047" t="s">
        <v>64</v>
      </c>
      <c r="P1047" t="str">
        <f t="shared" si="112"/>
        <v>Individual</v>
      </c>
      <c r="Q1047" t="str">
        <f t="shared" si="113"/>
        <v>Midlands</v>
      </c>
      <c r="R1047" t="str">
        <f>PROPER(TRIM(E1047))</f>
        <v>Electronics</v>
      </c>
      <c r="S1047" s="27">
        <f>IF(ISTEXT(B1047),DATEVALUE(B1047),B1047)</f>
        <v>45751</v>
      </c>
      <c r="T1047" s="27">
        <f>COUNTIF($A$2:$A$1986,A1047)</f>
        <v>1</v>
      </c>
      <c r="U1047" s="27" t="str">
        <f t="shared" si="114"/>
        <v>Portable Speaker</v>
      </c>
      <c r="V1047" s="27">
        <f t="shared" si="115"/>
        <v>154.82</v>
      </c>
      <c r="W1047" s="27">
        <f t="shared" si="116"/>
        <v>86.44</v>
      </c>
      <c r="X1047" s="27">
        <f>RawSalesTable3[[#This Row],[Revenue]]-RawSalesTable3[[#This Row],[Total_Cost]]</f>
        <v>68.38</v>
      </c>
      <c r="Y1047" s="28">
        <f>RawSalesTable3[[#This Row],[Profit]]/RawSalesTable3[[#This Row],[Revenue]]</f>
        <v>0.44167420229944448</v>
      </c>
      <c r="Z1047" s="27" t="str">
        <f>TEXT(RawSalesTable3[[#This Row],[Order_Date_Clean]],"MMM YYYY")</f>
        <v>Apr 2025</v>
      </c>
      <c r="AA1047" s="27"/>
      <c r="AB1047" s="27">
        <f t="shared" si="117"/>
        <v>0</v>
      </c>
      <c r="AC1047" s="27">
        <f t="shared" si="118"/>
        <v>0</v>
      </c>
    </row>
    <row r="1048" spans="1:29">
      <c r="A1048" t="s">
        <v>1150</v>
      </c>
      <c r="B1048" s="3">
        <v>45845</v>
      </c>
      <c r="C1048" t="s">
        <v>82</v>
      </c>
      <c r="D1048" t="s">
        <v>129</v>
      </c>
      <c r="E1048" t="s">
        <v>75</v>
      </c>
      <c r="F1048" t="s">
        <v>110</v>
      </c>
      <c r="G1048" s="6">
        <v>10</v>
      </c>
      <c r="H1048" s="4">
        <v>156.9</v>
      </c>
      <c r="I1048" s="4">
        <v>105.89</v>
      </c>
      <c r="J1048" s="5">
        <v>0.05</v>
      </c>
      <c r="K1048" s="6">
        <v>2</v>
      </c>
      <c r="L1048" s="6">
        <v>4</v>
      </c>
      <c r="M1048" t="s">
        <v>58</v>
      </c>
      <c r="N1048" t="s">
        <v>69</v>
      </c>
      <c r="O1048" t="s">
        <v>64</v>
      </c>
      <c r="P1048" t="str">
        <f t="shared" si="112"/>
        <v>Corporate</v>
      </c>
      <c r="Q1048" t="str">
        <f t="shared" si="113"/>
        <v>Midlands</v>
      </c>
      <c r="R1048" t="str">
        <f>PROPER(TRIM(E1048))</f>
        <v>Furniture</v>
      </c>
      <c r="S1048" s="27">
        <f>IF(ISTEXT(B1048),DATEVALUE(B1048),B1048)</f>
        <v>45845</v>
      </c>
      <c r="T1048" s="27">
        <f>COUNTIF($A$2:$A$1986,A1048)</f>
        <v>1</v>
      </c>
      <c r="U1048" s="27" t="str">
        <f t="shared" si="114"/>
        <v>Storage Cabinet</v>
      </c>
      <c r="V1048" s="27">
        <f t="shared" si="115"/>
        <v>1490.55</v>
      </c>
      <c r="W1048" s="27">
        <f t="shared" si="116"/>
        <v>1058.9000000000001</v>
      </c>
      <c r="X1048" s="27">
        <f>RawSalesTable3[[#This Row],[Revenue]]-RawSalesTable3[[#This Row],[Total_Cost]]</f>
        <v>431.64999999999986</v>
      </c>
      <c r="Y1048" s="28">
        <f>RawSalesTable3[[#This Row],[Profit]]/RawSalesTable3[[#This Row],[Revenue]]</f>
        <v>0.28959109053705001</v>
      </c>
      <c r="Z1048" s="27" t="str">
        <f>TEXT(RawSalesTable3[[#This Row],[Order_Date_Clean]],"MMM YYYY")</f>
        <v>Jul 2025</v>
      </c>
      <c r="AA1048" s="27"/>
      <c r="AB1048" s="27">
        <f t="shared" si="117"/>
        <v>0</v>
      </c>
      <c r="AC1048" s="27">
        <f t="shared" si="118"/>
        <v>0</v>
      </c>
    </row>
    <row r="1049" spans="1:29">
      <c r="A1049" t="s">
        <v>1151</v>
      </c>
      <c r="B1049" s="3">
        <v>45763</v>
      </c>
      <c r="C1049" t="s">
        <v>78</v>
      </c>
      <c r="D1049" t="s">
        <v>62</v>
      </c>
      <c r="E1049" t="s">
        <v>79</v>
      </c>
      <c r="F1049" t="s">
        <v>85</v>
      </c>
      <c r="G1049" s="6">
        <v>2</v>
      </c>
      <c r="H1049" s="4">
        <v>132.16999999999999</v>
      </c>
      <c r="I1049" s="4">
        <v>84.9</v>
      </c>
      <c r="J1049" s="5">
        <v>0</v>
      </c>
      <c r="K1049" s="6">
        <v>4</v>
      </c>
      <c r="L1049" s="6">
        <v>4</v>
      </c>
      <c r="M1049" t="s">
        <v>58</v>
      </c>
      <c r="N1049" t="s">
        <v>59</v>
      </c>
      <c r="O1049" t="s">
        <v>64</v>
      </c>
      <c r="P1049" t="str">
        <f t="shared" si="112"/>
        <v>Individual</v>
      </c>
      <c r="Q1049" t="str">
        <f t="shared" si="113"/>
        <v>London</v>
      </c>
      <c r="R1049" t="str">
        <f>PROPER(TRIM(E1049))</f>
        <v>Electronics</v>
      </c>
      <c r="S1049" s="27">
        <f>IF(ISTEXT(B1049),DATEVALUE(B1049),B1049)</f>
        <v>45763</v>
      </c>
      <c r="T1049" s="27">
        <f>COUNTIF($A$2:$A$1986,A1049)</f>
        <v>1</v>
      </c>
      <c r="U1049" s="27" t="str">
        <f t="shared" si="114"/>
        <v>SmartHome Hub</v>
      </c>
      <c r="V1049" s="27">
        <f t="shared" si="115"/>
        <v>264.33999999999997</v>
      </c>
      <c r="W1049" s="27">
        <f t="shared" si="116"/>
        <v>169.8</v>
      </c>
      <c r="X1049" s="27">
        <f>RawSalesTable3[[#This Row],[Revenue]]-RawSalesTable3[[#This Row],[Total_Cost]]</f>
        <v>94.539999999999964</v>
      </c>
      <c r="Y1049" s="28">
        <f>RawSalesTable3[[#This Row],[Profit]]/RawSalesTable3[[#This Row],[Revenue]]</f>
        <v>0.35764545660891267</v>
      </c>
      <c r="Z1049" s="27" t="str">
        <f>TEXT(RawSalesTable3[[#This Row],[Order_Date_Clean]],"MMM YYYY")</f>
        <v>Apr 2025</v>
      </c>
      <c r="AA1049" s="27"/>
      <c r="AB1049" s="27">
        <f t="shared" si="117"/>
        <v>0</v>
      </c>
      <c r="AC1049" s="27">
        <f t="shared" si="118"/>
        <v>0</v>
      </c>
    </row>
    <row r="1050" spans="1:29">
      <c r="A1050" t="s">
        <v>1152</v>
      </c>
      <c r="B1050" s="3">
        <v>45866</v>
      </c>
      <c r="C1050" t="s">
        <v>78</v>
      </c>
      <c r="D1050" t="s">
        <v>62</v>
      </c>
      <c r="E1050" t="s">
        <v>79</v>
      </c>
      <c r="F1050" t="s">
        <v>115</v>
      </c>
      <c r="G1050" s="6">
        <v>1</v>
      </c>
      <c r="H1050" s="4">
        <v>58.84</v>
      </c>
      <c r="I1050" s="4">
        <v>35.5</v>
      </c>
      <c r="J1050" s="5">
        <v>0.05</v>
      </c>
      <c r="K1050" s="6">
        <v>6</v>
      </c>
      <c r="L1050" s="6">
        <v>3</v>
      </c>
      <c r="M1050" t="s">
        <v>58</v>
      </c>
      <c r="N1050" t="s">
        <v>59</v>
      </c>
      <c r="O1050" t="s">
        <v>60</v>
      </c>
      <c r="P1050" t="str">
        <f t="shared" si="112"/>
        <v>Individual</v>
      </c>
      <c r="Q1050" t="str">
        <f t="shared" si="113"/>
        <v>London</v>
      </c>
      <c r="R1050" t="str">
        <f>PROPER(TRIM(E1050))</f>
        <v>Electronics</v>
      </c>
      <c r="S1050" s="27">
        <f>IF(ISTEXT(B1050),DATEVALUE(B1050),B1050)</f>
        <v>45866</v>
      </c>
      <c r="T1050" s="27">
        <f>COUNTIF($A$2:$A$1986,A1050)</f>
        <v>1</v>
      </c>
      <c r="U1050" s="27" t="str">
        <f t="shared" si="114"/>
        <v>Wireless Headset</v>
      </c>
      <c r="V1050" s="27">
        <f t="shared" si="115"/>
        <v>55.898000000000003</v>
      </c>
      <c r="W1050" s="27">
        <f t="shared" si="116"/>
        <v>35.5</v>
      </c>
      <c r="X1050" s="27">
        <f>RawSalesTable3[[#This Row],[Revenue]]-RawSalesTable3[[#This Row],[Total_Cost]]</f>
        <v>20.398000000000003</v>
      </c>
      <c r="Y1050" s="28">
        <f>RawSalesTable3[[#This Row],[Profit]]/RawSalesTable3[[#This Row],[Revenue]]</f>
        <v>0.36491466599878353</v>
      </c>
      <c r="Z1050" s="27" t="str">
        <f>TEXT(RawSalesTable3[[#This Row],[Order_Date_Clean]],"MMM YYYY")</f>
        <v>Jul 2025</v>
      </c>
      <c r="AA1050" s="27"/>
      <c r="AB1050" s="27">
        <f t="shared" si="117"/>
        <v>0</v>
      </c>
      <c r="AC1050" s="27">
        <f t="shared" si="118"/>
        <v>0</v>
      </c>
    </row>
    <row r="1051" spans="1:29">
      <c r="A1051" t="s">
        <v>1153</v>
      </c>
      <c r="B1051" s="3">
        <v>45911</v>
      </c>
      <c r="C1051" t="s">
        <v>78</v>
      </c>
      <c r="D1051" t="s">
        <v>62</v>
      </c>
      <c r="E1051" t="s">
        <v>75</v>
      </c>
      <c r="F1051" t="s">
        <v>76</v>
      </c>
      <c r="G1051" s="6">
        <v>1</v>
      </c>
      <c r="H1051" s="4">
        <v>116.94</v>
      </c>
      <c r="I1051" s="4">
        <v>74.66</v>
      </c>
      <c r="J1051" s="5">
        <v>0</v>
      </c>
      <c r="K1051" s="6">
        <v>4</v>
      </c>
      <c r="L1051" s="6">
        <v>4</v>
      </c>
      <c r="M1051" t="s">
        <v>58</v>
      </c>
      <c r="N1051" t="s">
        <v>59</v>
      </c>
      <c r="O1051" t="s">
        <v>64</v>
      </c>
      <c r="P1051" t="str">
        <f t="shared" si="112"/>
        <v>Individual</v>
      </c>
      <c r="Q1051" t="str">
        <f t="shared" si="113"/>
        <v>London</v>
      </c>
      <c r="R1051" t="str">
        <f>PROPER(TRIM(E1051))</f>
        <v>Furniture</v>
      </c>
      <c r="S1051" s="27">
        <f>IF(ISTEXT(B1051),DATEVALUE(B1051),B1051)</f>
        <v>45911</v>
      </c>
      <c r="T1051" s="27">
        <f>COUNTIF($A$2:$A$1986,A1051)</f>
        <v>1</v>
      </c>
      <c r="U1051" s="27" t="str">
        <f t="shared" si="114"/>
        <v>Bookshelf</v>
      </c>
      <c r="V1051" s="27">
        <f t="shared" si="115"/>
        <v>116.94</v>
      </c>
      <c r="W1051" s="27">
        <f t="shared" si="116"/>
        <v>74.66</v>
      </c>
      <c r="X1051" s="27">
        <f>RawSalesTable3[[#This Row],[Revenue]]-RawSalesTable3[[#This Row],[Total_Cost]]</f>
        <v>42.28</v>
      </c>
      <c r="Y1051" s="28">
        <f>RawSalesTable3[[#This Row],[Profit]]/RawSalesTable3[[#This Row],[Revenue]]</f>
        <v>0.36155293312809988</v>
      </c>
      <c r="Z1051" s="27" t="str">
        <f>TEXT(RawSalesTable3[[#This Row],[Order_Date_Clean]],"MMM YYYY")</f>
        <v>Sep 2025</v>
      </c>
      <c r="AA1051" s="27"/>
      <c r="AB1051" s="27">
        <f t="shared" si="117"/>
        <v>0</v>
      </c>
      <c r="AC1051" s="27">
        <f t="shared" si="118"/>
        <v>0</v>
      </c>
    </row>
    <row r="1052" spans="1:29">
      <c r="A1052" t="s">
        <v>1154</v>
      </c>
      <c r="B1052" s="3">
        <v>45664</v>
      </c>
      <c r="C1052" t="s">
        <v>66</v>
      </c>
      <c r="D1052" t="s">
        <v>62</v>
      </c>
      <c r="E1052" t="s">
        <v>56</v>
      </c>
      <c r="F1052" t="s">
        <v>83</v>
      </c>
      <c r="G1052" s="6">
        <v>2</v>
      </c>
      <c r="H1052" s="4">
        <v>65.11</v>
      </c>
      <c r="I1052" s="4">
        <v>34.29</v>
      </c>
      <c r="J1052" s="5">
        <v>0.05</v>
      </c>
      <c r="K1052" s="6">
        <v>5</v>
      </c>
      <c r="L1052" s="6">
        <v>4</v>
      </c>
      <c r="M1052" t="s">
        <v>58</v>
      </c>
      <c r="N1052" t="s">
        <v>59</v>
      </c>
      <c r="O1052" t="s">
        <v>64</v>
      </c>
      <c r="P1052" t="str">
        <f t="shared" si="112"/>
        <v>Individual</v>
      </c>
      <c r="Q1052" t="str">
        <f t="shared" si="113"/>
        <v>South</v>
      </c>
      <c r="R1052" t="str">
        <f>PROPER(TRIM(E1052))</f>
        <v>Home &amp; Kitchen</v>
      </c>
      <c r="S1052" s="27">
        <f>IF(ISTEXT(B1052),DATEVALUE(B1052),B1052)</f>
        <v>45664</v>
      </c>
      <c r="T1052" s="27">
        <f>COUNTIF($A$2:$A$1986,A1052)</f>
        <v>1</v>
      </c>
      <c r="U1052" s="27" t="str">
        <f t="shared" si="114"/>
        <v>Blender</v>
      </c>
      <c r="V1052" s="27">
        <f t="shared" si="115"/>
        <v>123.70899999999999</v>
      </c>
      <c r="W1052" s="27">
        <f t="shared" si="116"/>
        <v>68.58</v>
      </c>
      <c r="X1052" s="27">
        <f>RawSalesTable3[[#This Row],[Revenue]]-RawSalesTable3[[#This Row],[Total_Cost]]</f>
        <v>55.128999999999991</v>
      </c>
      <c r="Y1052" s="28">
        <f>RawSalesTable3[[#This Row],[Profit]]/RawSalesTable3[[#This Row],[Revenue]]</f>
        <v>0.44563451325287567</v>
      </c>
      <c r="Z1052" s="27" t="str">
        <f>TEXT(RawSalesTable3[[#This Row],[Order_Date_Clean]],"MMM YYYY")</f>
        <v>Jan 2025</v>
      </c>
      <c r="AA1052" s="27"/>
      <c r="AB1052" s="27">
        <f t="shared" si="117"/>
        <v>0</v>
      </c>
      <c r="AC1052" s="27">
        <f t="shared" si="118"/>
        <v>0</v>
      </c>
    </row>
    <row r="1053" spans="1:29">
      <c r="A1053" t="s">
        <v>1155</v>
      </c>
      <c r="B1053" s="3">
        <v>45926</v>
      </c>
      <c r="C1053" t="s">
        <v>82</v>
      </c>
      <c r="D1053" t="s">
        <v>129</v>
      </c>
      <c r="E1053" t="s">
        <v>67</v>
      </c>
      <c r="F1053" t="s">
        <v>71</v>
      </c>
      <c r="G1053" s="6">
        <v>5</v>
      </c>
      <c r="H1053" s="4">
        <v>68.37</v>
      </c>
      <c r="I1053" s="4">
        <v>38.159999999999997</v>
      </c>
      <c r="J1053" s="5">
        <v>0.05</v>
      </c>
      <c r="K1053" s="6">
        <v>6</v>
      </c>
      <c r="L1053" s="6">
        <v>3</v>
      </c>
      <c r="M1053" t="s">
        <v>58</v>
      </c>
      <c r="N1053" t="s">
        <v>87</v>
      </c>
      <c r="O1053" t="s">
        <v>64</v>
      </c>
      <c r="P1053" t="str">
        <f t="shared" si="112"/>
        <v>Corporate</v>
      </c>
      <c r="Q1053" t="str">
        <f t="shared" si="113"/>
        <v>Midlands</v>
      </c>
      <c r="R1053" t="str">
        <f>PROPER(TRIM(E1053))</f>
        <v>Office</v>
      </c>
      <c r="S1053" s="27">
        <f>IF(ISTEXT(B1053),DATEVALUE(B1053),B1053)</f>
        <v>45926</v>
      </c>
      <c r="T1053" s="27">
        <f>COUNTIF($A$2:$A$1986,A1053)</f>
        <v>1</v>
      </c>
      <c r="U1053" s="27" t="str">
        <f t="shared" si="114"/>
        <v>Ergonomic Keyboard</v>
      </c>
      <c r="V1053" s="27">
        <f t="shared" si="115"/>
        <v>324.75749999999999</v>
      </c>
      <c r="W1053" s="27">
        <f t="shared" si="116"/>
        <v>190.79999999999998</v>
      </c>
      <c r="X1053" s="27">
        <f>RawSalesTable3[[#This Row],[Revenue]]-RawSalesTable3[[#This Row],[Total_Cost]]</f>
        <v>133.95750000000001</v>
      </c>
      <c r="Y1053" s="28">
        <f>RawSalesTable3[[#This Row],[Profit]]/RawSalesTable3[[#This Row],[Revenue]]</f>
        <v>0.41248470012239907</v>
      </c>
      <c r="Z1053" s="27" t="str">
        <f>TEXT(RawSalesTable3[[#This Row],[Order_Date_Clean]],"MMM YYYY")</f>
        <v>Sep 2025</v>
      </c>
      <c r="AA1053" s="27"/>
      <c r="AB1053" s="27">
        <f t="shared" si="117"/>
        <v>0</v>
      </c>
      <c r="AC1053" s="27">
        <f t="shared" si="118"/>
        <v>0</v>
      </c>
    </row>
    <row r="1054" spans="1:29">
      <c r="A1054" t="s">
        <v>1156</v>
      </c>
      <c r="B1054" s="3">
        <v>46010</v>
      </c>
      <c r="C1054" t="s">
        <v>54</v>
      </c>
      <c r="D1054" t="s">
        <v>55</v>
      </c>
      <c r="E1054" t="s">
        <v>402</v>
      </c>
      <c r="F1054" t="s">
        <v>71</v>
      </c>
      <c r="G1054" s="6">
        <v>2</v>
      </c>
      <c r="H1054" s="4">
        <v>70.69</v>
      </c>
      <c r="I1054" s="4">
        <v>38.15</v>
      </c>
      <c r="J1054" s="5">
        <v>0.05</v>
      </c>
      <c r="K1054" s="6">
        <v>2</v>
      </c>
      <c r="L1054" s="6">
        <v>4</v>
      </c>
      <c r="M1054" t="s">
        <v>58</v>
      </c>
      <c r="N1054" t="s">
        <v>59</v>
      </c>
      <c r="O1054" t="s">
        <v>60</v>
      </c>
      <c r="P1054" t="str">
        <f t="shared" si="112"/>
        <v>Small Business</v>
      </c>
      <c r="Q1054" t="str">
        <f t="shared" si="113"/>
        <v>North</v>
      </c>
      <c r="R1054" t="str">
        <f>PROPER(TRIM(E1054))</f>
        <v>Office</v>
      </c>
      <c r="S1054" s="27">
        <f>IF(ISTEXT(B1054),DATEVALUE(B1054),B1054)</f>
        <v>46010</v>
      </c>
      <c r="T1054" s="27">
        <f>COUNTIF($A$2:$A$1986,A1054)</f>
        <v>1</v>
      </c>
      <c r="U1054" s="27" t="str">
        <f t="shared" si="114"/>
        <v>Ergonomic Keyboard</v>
      </c>
      <c r="V1054" s="27">
        <f t="shared" si="115"/>
        <v>134.31099999999998</v>
      </c>
      <c r="W1054" s="27">
        <f t="shared" si="116"/>
        <v>76.3</v>
      </c>
      <c r="X1054" s="27">
        <f>RawSalesTable3[[#This Row],[Revenue]]-RawSalesTable3[[#This Row],[Total_Cost]]</f>
        <v>58.010999999999981</v>
      </c>
      <c r="Y1054" s="28">
        <f>RawSalesTable3[[#This Row],[Profit]]/RawSalesTable3[[#This Row],[Revenue]]</f>
        <v>0.4319154797447714</v>
      </c>
      <c r="Z1054" s="27" t="str">
        <f>TEXT(RawSalesTable3[[#This Row],[Order_Date_Clean]],"MMM YYYY")</f>
        <v>Dec 2025</v>
      </c>
      <c r="AA1054" s="27"/>
      <c r="AB1054" s="27">
        <f t="shared" si="117"/>
        <v>0</v>
      </c>
      <c r="AC1054" s="27">
        <f t="shared" si="118"/>
        <v>0</v>
      </c>
    </row>
    <row r="1055" spans="1:29">
      <c r="A1055" t="s">
        <v>1157</v>
      </c>
      <c r="B1055" s="3">
        <v>45746</v>
      </c>
      <c r="C1055" t="s">
        <v>82</v>
      </c>
      <c r="D1055" t="s">
        <v>62</v>
      </c>
      <c r="E1055" t="s">
        <v>79</v>
      </c>
      <c r="F1055" t="s">
        <v>80</v>
      </c>
      <c r="G1055" s="6">
        <v>1</v>
      </c>
      <c r="H1055" s="4">
        <v>75.77</v>
      </c>
      <c r="I1055" s="4">
        <v>44.28</v>
      </c>
      <c r="J1055" s="5">
        <v>0</v>
      </c>
      <c r="K1055" s="6">
        <v>1</v>
      </c>
      <c r="L1055" s="6">
        <v>5</v>
      </c>
      <c r="M1055" t="s">
        <v>58</v>
      </c>
      <c r="N1055" t="s">
        <v>69</v>
      </c>
      <c r="O1055" t="s">
        <v>64</v>
      </c>
      <c r="P1055" t="str">
        <f t="shared" si="112"/>
        <v>Individual</v>
      </c>
      <c r="Q1055" t="str">
        <f t="shared" si="113"/>
        <v>Midlands</v>
      </c>
      <c r="R1055" t="str">
        <f>PROPER(TRIM(E1055))</f>
        <v>Electronics</v>
      </c>
      <c r="S1055" s="27">
        <f>IF(ISTEXT(B1055),DATEVALUE(B1055),B1055)</f>
        <v>45746</v>
      </c>
      <c r="T1055" s="27">
        <f>COUNTIF($A$2:$A$1986,A1055)</f>
        <v>1</v>
      </c>
      <c r="U1055" s="27" t="str">
        <f t="shared" si="114"/>
        <v>Portable Speaker</v>
      </c>
      <c r="V1055" s="27">
        <f t="shared" si="115"/>
        <v>75.77</v>
      </c>
      <c r="W1055" s="27">
        <f t="shared" si="116"/>
        <v>44.28</v>
      </c>
      <c r="X1055" s="27">
        <f>RawSalesTable3[[#This Row],[Revenue]]-RawSalesTable3[[#This Row],[Total_Cost]]</f>
        <v>31.489999999999995</v>
      </c>
      <c r="Y1055" s="28">
        <f>RawSalesTable3[[#This Row],[Profit]]/RawSalesTable3[[#This Row],[Revenue]]</f>
        <v>0.4155998416259733</v>
      </c>
      <c r="Z1055" s="27" t="str">
        <f>TEXT(RawSalesTable3[[#This Row],[Order_Date_Clean]],"MMM YYYY")</f>
        <v>Mar 2025</v>
      </c>
      <c r="AA1055" s="27"/>
      <c r="AB1055" s="27">
        <f t="shared" si="117"/>
        <v>0</v>
      </c>
      <c r="AC1055" s="27">
        <f t="shared" si="118"/>
        <v>0</v>
      </c>
    </row>
    <row r="1056" spans="1:29">
      <c r="A1056" t="s">
        <v>1158</v>
      </c>
      <c r="B1056" s="3">
        <v>46010</v>
      </c>
      <c r="C1056" t="s">
        <v>78</v>
      </c>
      <c r="D1056" t="s">
        <v>62</v>
      </c>
      <c r="E1056" t="s">
        <v>75</v>
      </c>
      <c r="F1056" t="s">
        <v>97</v>
      </c>
      <c r="G1056" s="6">
        <v>1</v>
      </c>
      <c r="H1056" s="4">
        <v>89.6</v>
      </c>
      <c r="I1056" s="4">
        <v>53.97</v>
      </c>
      <c r="J1056" s="5">
        <v>0.1</v>
      </c>
      <c r="K1056" s="6">
        <v>4</v>
      </c>
      <c r="L1056" s="6">
        <v>4</v>
      </c>
      <c r="M1056" t="s">
        <v>126</v>
      </c>
      <c r="N1056" t="s">
        <v>59</v>
      </c>
      <c r="O1056" t="s">
        <v>64</v>
      </c>
      <c r="P1056" t="str">
        <f t="shared" si="112"/>
        <v>Individual</v>
      </c>
      <c r="Q1056" t="str">
        <f t="shared" si="113"/>
        <v>London</v>
      </c>
      <c r="R1056" t="str">
        <f>PROPER(TRIM(E1056))</f>
        <v>Furniture</v>
      </c>
      <c r="S1056" s="27">
        <f>IF(ISTEXT(B1056),DATEVALUE(B1056),B1056)</f>
        <v>46010</v>
      </c>
      <c r="T1056" s="27">
        <f>COUNTIF($A$2:$A$1986,A1056)</f>
        <v>1</v>
      </c>
      <c r="U1056" s="27" t="str">
        <f t="shared" si="114"/>
        <v>Side Table</v>
      </c>
      <c r="V1056" s="27">
        <f t="shared" si="115"/>
        <v>80.64</v>
      </c>
      <c r="W1056" s="27">
        <f t="shared" si="116"/>
        <v>53.97</v>
      </c>
      <c r="X1056" s="27">
        <f>RawSalesTable3[[#This Row],[Revenue]]-RawSalesTable3[[#This Row],[Total_Cost]]</f>
        <v>26.67</v>
      </c>
      <c r="Y1056" s="28">
        <f>RawSalesTable3[[#This Row],[Profit]]/RawSalesTable3[[#This Row],[Revenue]]</f>
        <v>0.33072916666666669</v>
      </c>
      <c r="Z1056" s="27" t="str">
        <f>TEXT(RawSalesTable3[[#This Row],[Order_Date_Clean]],"MMM YYYY")</f>
        <v>Dec 2025</v>
      </c>
      <c r="AA1056" s="27"/>
      <c r="AB1056" s="27">
        <f t="shared" si="117"/>
        <v>0</v>
      </c>
      <c r="AC1056" s="27">
        <f t="shared" si="118"/>
        <v>0</v>
      </c>
    </row>
    <row r="1057" spans="1:29">
      <c r="A1057" t="s">
        <v>1159</v>
      </c>
      <c r="B1057" s="3">
        <v>46005</v>
      </c>
      <c r="C1057" t="s">
        <v>78</v>
      </c>
      <c r="D1057" t="s">
        <v>62</v>
      </c>
      <c r="E1057" t="s">
        <v>56</v>
      </c>
      <c r="F1057" t="s">
        <v>57</v>
      </c>
      <c r="G1057" s="6">
        <v>1</v>
      </c>
      <c r="H1057" s="4">
        <v>108.89</v>
      </c>
      <c r="I1057" s="4">
        <v>68.97</v>
      </c>
      <c r="J1057" s="5">
        <v>0.1</v>
      </c>
      <c r="K1057" s="6">
        <v>0</v>
      </c>
      <c r="L1057" s="6">
        <v>4</v>
      </c>
      <c r="M1057" t="s">
        <v>58</v>
      </c>
      <c r="N1057" t="s">
        <v>69</v>
      </c>
      <c r="O1057" t="s">
        <v>64</v>
      </c>
      <c r="P1057" t="str">
        <f t="shared" si="112"/>
        <v>Individual</v>
      </c>
      <c r="Q1057" t="str">
        <f t="shared" si="113"/>
        <v>London</v>
      </c>
      <c r="R1057" t="str">
        <f>PROPER(TRIM(E1057))</f>
        <v>Home &amp; Kitchen</v>
      </c>
      <c r="S1057" s="27">
        <f>IF(ISTEXT(B1057),DATEVALUE(B1057),B1057)</f>
        <v>46005</v>
      </c>
      <c r="T1057" s="27">
        <f>COUNTIF($A$2:$A$1986,A1057)</f>
        <v>1</v>
      </c>
      <c r="U1057" s="27" t="str">
        <f t="shared" si="114"/>
        <v>Air Fryer</v>
      </c>
      <c r="V1057" s="27">
        <f t="shared" si="115"/>
        <v>98.001000000000005</v>
      </c>
      <c r="W1057" s="27">
        <f t="shared" si="116"/>
        <v>68.97</v>
      </c>
      <c r="X1057" s="27">
        <f>RawSalesTable3[[#This Row],[Revenue]]-RawSalesTable3[[#This Row],[Total_Cost]]</f>
        <v>29.031000000000006</v>
      </c>
      <c r="Y1057" s="28">
        <f>RawSalesTable3[[#This Row],[Profit]]/RawSalesTable3[[#This Row],[Revenue]]</f>
        <v>0.29623167110539694</v>
      </c>
      <c r="Z1057" s="27" t="str">
        <f>TEXT(RawSalesTable3[[#This Row],[Order_Date_Clean]],"MMM YYYY")</f>
        <v>Dec 2025</v>
      </c>
      <c r="AA1057" s="27"/>
      <c r="AB1057" s="27">
        <f t="shared" si="117"/>
        <v>0</v>
      </c>
      <c r="AC1057" s="27">
        <f t="shared" si="118"/>
        <v>0</v>
      </c>
    </row>
    <row r="1058" spans="1:29">
      <c r="A1058" t="s">
        <v>1160</v>
      </c>
      <c r="B1058" s="3">
        <v>45876</v>
      </c>
      <c r="C1058" t="s">
        <v>54</v>
      </c>
      <c r="D1058" t="s">
        <v>129</v>
      </c>
      <c r="E1058" t="s">
        <v>79</v>
      </c>
      <c r="F1058" t="s">
        <v>80</v>
      </c>
      <c r="G1058" s="6">
        <v>5</v>
      </c>
      <c r="H1058" s="4">
        <v>77.3</v>
      </c>
      <c r="I1058" s="4">
        <v>43.55</v>
      </c>
      <c r="J1058" s="5">
        <v>0.05</v>
      </c>
      <c r="K1058" s="6">
        <v>0</v>
      </c>
      <c r="L1058" s="6">
        <v>4</v>
      </c>
      <c r="M1058" t="s">
        <v>126</v>
      </c>
      <c r="N1058" t="s">
        <v>69</v>
      </c>
      <c r="O1058" t="s">
        <v>73</v>
      </c>
      <c r="P1058" t="str">
        <f t="shared" si="112"/>
        <v>Corporate</v>
      </c>
      <c r="Q1058" t="str">
        <f t="shared" si="113"/>
        <v>North</v>
      </c>
      <c r="R1058" t="str">
        <f>PROPER(TRIM(E1058))</f>
        <v>Electronics</v>
      </c>
      <c r="S1058" s="27">
        <f>IF(ISTEXT(B1058),DATEVALUE(B1058),B1058)</f>
        <v>45876</v>
      </c>
      <c r="T1058" s="27">
        <f>COUNTIF($A$2:$A$1986,A1058)</f>
        <v>1</v>
      </c>
      <c r="U1058" s="27" t="str">
        <f t="shared" si="114"/>
        <v>Portable Speaker</v>
      </c>
      <c r="V1058" s="27">
        <f t="shared" si="115"/>
        <v>367.17499999999995</v>
      </c>
      <c r="W1058" s="27">
        <f t="shared" si="116"/>
        <v>217.75</v>
      </c>
      <c r="X1058" s="27">
        <f>RawSalesTable3[[#This Row],[Revenue]]-RawSalesTable3[[#This Row],[Total_Cost]]</f>
        <v>149.42499999999995</v>
      </c>
      <c r="Y1058" s="28">
        <f>RawSalesTable3[[#This Row],[Profit]]/RawSalesTable3[[#This Row],[Revenue]]</f>
        <v>0.40695853475863003</v>
      </c>
      <c r="Z1058" s="27" t="str">
        <f>TEXT(RawSalesTable3[[#This Row],[Order_Date_Clean]],"MMM YYYY")</f>
        <v>Aug 2025</v>
      </c>
      <c r="AA1058" s="27"/>
      <c r="AB1058" s="27">
        <f t="shared" si="117"/>
        <v>0</v>
      </c>
      <c r="AC1058" s="27">
        <f t="shared" si="118"/>
        <v>0</v>
      </c>
    </row>
    <row r="1059" spans="1:29">
      <c r="A1059" t="s">
        <v>1161</v>
      </c>
      <c r="B1059" s="3">
        <v>45890</v>
      </c>
      <c r="C1059" t="s">
        <v>78</v>
      </c>
      <c r="D1059" t="s">
        <v>55</v>
      </c>
      <c r="E1059" t="s">
        <v>67</v>
      </c>
      <c r="F1059" t="s">
        <v>68</v>
      </c>
      <c r="G1059" s="6">
        <v>1</v>
      </c>
      <c r="H1059" s="4">
        <v>39.409999999999997</v>
      </c>
      <c r="I1059" s="4">
        <v>19.88</v>
      </c>
      <c r="J1059" s="5">
        <v>0.1</v>
      </c>
      <c r="K1059" s="6">
        <v>0</v>
      </c>
      <c r="L1059" s="6">
        <v>4</v>
      </c>
      <c r="M1059" t="s">
        <v>58</v>
      </c>
      <c r="N1059" t="s">
        <v>69</v>
      </c>
      <c r="O1059" t="s">
        <v>64</v>
      </c>
      <c r="P1059" t="str">
        <f t="shared" si="112"/>
        <v>Small Business</v>
      </c>
      <c r="Q1059" t="str">
        <f t="shared" si="113"/>
        <v>London</v>
      </c>
      <c r="R1059" t="str">
        <f>PROPER(TRIM(E1059))</f>
        <v>Office</v>
      </c>
      <c r="S1059" s="27">
        <f>IF(ISTEXT(B1059),DATEVALUE(B1059),B1059)</f>
        <v>45890</v>
      </c>
      <c r="T1059" s="27">
        <f>COUNTIF($A$2:$A$1986,A1059)</f>
        <v>1</v>
      </c>
      <c r="U1059" s="27" t="str">
        <f t="shared" si="114"/>
        <v>Desk Lamp</v>
      </c>
      <c r="V1059" s="27">
        <f t="shared" si="115"/>
        <v>35.469000000000001</v>
      </c>
      <c r="W1059" s="27">
        <f t="shared" si="116"/>
        <v>19.88</v>
      </c>
      <c r="X1059" s="27">
        <f>RawSalesTable3[[#This Row],[Revenue]]-RawSalesTable3[[#This Row],[Total_Cost]]</f>
        <v>15.589000000000002</v>
      </c>
      <c r="Y1059" s="28">
        <f>RawSalesTable3[[#This Row],[Profit]]/RawSalesTable3[[#This Row],[Revenue]]</f>
        <v>0.43951055851588716</v>
      </c>
      <c r="Z1059" s="27" t="str">
        <f>TEXT(RawSalesTable3[[#This Row],[Order_Date_Clean]],"MMM YYYY")</f>
        <v>Aug 2025</v>
      </c>
      <c r="AA1059" s="27"/>
      <c r="AB1059" s="27">
        <f t="shared" si="117"/>
        <v>0</v>
      </c>
      <c r="AC1059" s="27">
        <f t="shared" si="118"/>
        <v>0</v>
      </c>
    </row>
    <row r="1060" spans="1:29">
      <c r="A1060" t="s">
        <v>1162</v>
      </c>
      <c r="B1060" s="3">
        <v>45977</v>
      </c>
      <c r="C1060" t="s">
        <v>54</v>
      </c>
      <c r="D1060" t="s">
        <v>62</v>
      </c>
      <c r="E1060" t="s">
        <v>75</v>
      </c>
      <c r="F1060" t="s">
        <v>146</v>
      </c>
      <c r="G1060" s="6">
        <v>2</v>
      </c>
      <c r="H1060" s="4">
        <v>184.64</v>
      </c>
      <c r="I1060" s="4">
        <v>119.16</v>
      </c>
      <c r="J1060" s="5">
        <v>0.05</v>
      </c>
      <c r="K1060" s="6">
        <v>0</v>
      </c>
      <c r="L1060" s="6">
        <v>4</v>
      </c>
      <c r="M1060" t="s">
        <v>58</v>
      </c>
      <c r="N1060" t="s">
        <v>69</v>
      </c>
      <c r="O1060" t="s">
        <v>64</v>
      </c>
      <c r="P1060" t="str">
        <f t="shared" si="112"/>
        <v>Individual</v>
      </c>
      <c r="Q1060" t="str">
        <f t="shared" si="113"/>
        <v>North</v>
      </c>
      <c r="R1060" t="str">
        <f>PROPER(TRIM(E1060))</f>
        <v>Furniture</v>
      </c>
      <c r="S1060" s="27">
        <f>IF(ISTEXT(B1060),DATEVALUE(B1060),B1060)</f>
        <v>45977</v>
      </c>
      <c r="T1060" s="27">
        <f>COUNTIF($A$2:$A$1986,A1060)</f>
        <v>1</v>
      </c>
      <c r="U1060" s="27" t="str">
        <f t="shared" si="114"/>
        <v>Office Chair</v>
      </c>
      <c r="V1060" s="27">
        <f t="shared" si="115"/>
        <v>350.81599999999997</v>
      </c>
      <c r="W1060" s="27">
        <f t="shared" si="116"/>
        <v>238.32</v>
      </c>
      <c r="X1060" s="27">
        <f>RawSalesTable3[[#This Row],[Revenue]]-RawSalesTable3[[#This Row],[Total_Cost]]</f>
        <v>112.49599999999998</v>
      </c>
      <c r="Y1060" s="28">
        <f>RawSalesTable3[[#This Row],[Profit]]/RawSalesTable3[[#This Row],[Revenue]]</f>
        <v>0.32066952476511901</v>
      </c>
      <c r="Z1060" s="27" t="str">
        <f>TEXT(RawSalesTable3[[#This Row],[Order_Date_Clean]],"MMM YYYY")</f>
        <v>Nov 2025</v>
      </c>
      <c r="AA1060" s="27"/>
      <c r="AB1060" s="27">
        <f t="shared" si="117"/>
        <v>0</v>
      </c>
      <c r="AC1060" s="27">
        <f t="shared" si="118"/>
        <v>0</v>
      </c>
    </row>
    <row r="1061" spans="1:29">
      <c r="A1061" t="s">
        <v>1163</v>
      </c>
      <c r="B1061" s="3">
        <v>45830</v>
      </c>
      <c r="C1061" t="s">
        <v>78</v>
      </c>
      <c r="D1061" t="s">
        <v>55</v>
      </c>
      <c r="E1061" t="s">
        <v>75</v>
      </c>
      <c r="F1061" t="s">
        <v>97</v>
      </c>
      <c r="G1061" s="6">
        <v>1</v>
      </c>
      <c r="H1061" s="4">
        <v>89.12</v>
      </c>
      <c r="I1061" s="4">
        <v>53.61</v>
      </c>
      <c r="J1061" s="5">
        <v>0</v>
      </c>
      <c r="K1061" s="6">
        <v>6</v>
      </c>
      <c r="L1061" s="6">
        <v>4</v>
      </c>
      <c r="M1061" t="s">
        <v>58</v>
      </c>
      <c r="N1061" t="s">
        <v>59</v>
      </c>
      <c r="O1061" t="s">
        <v>73</v>
      </c>
      <c r="P1061" t="str">
        <f t="shared" si="112"/>
        <v>Small Business</v>
      </c>
      <c r="Q1061" t="str">
        <f t="shared" si="113"/>
        <v>London</v>
      </c>
      <c r="R1061" t="str">
        <f>PROPER(TRIM(E1061))</f>
        <v>Furniture</v>
      </c>
      <c r="S1061" s="27">
        <f>IF(ISTEXT(B1061),DATEVALUE(B1061),B1061)</f>
        <v>45830</v>
      </c>
      <c r="T1061" s="27">
        <f>COUNTIF($A$2:$A$1986,A1061)</f>
        <v>1</v>
      </c>
      <c r="U1061" s="27" t="str">
        <f t="shared" si="114"/>
        <v>Side Table</v>
      </c>
      <c r="V1061" s="27">
        <f t="shared" si="115"/>
        <v>89.12</v>
      </c>
      <c r="W1061" s="27">
        <f t="shared" si="116"/>
        <v>53.61</v>
      </c>
      <c r="X1061" s="27">
        <f>RawSalesTable3[[#This Row],[Revenue]]-RawSalesTable3[[#This Row],[Total_Cost]]</f>
        <v>35.510000000000005</v>
      </c>
      <c r="Y1061" s="28">
        <f>RawSalesTable3[[#This Row],[Profit]]/RawSalesTable3[[#This Row],[Revenue]]</f>
        <v>0.39845152603231604</v>
      </c>
      <c r="Z1061" s="27" t="str">
        <f>TEXT(RawSalesTable3[[#This Row],[Order_Date_Clean]],"MMM YYYY")</f>
        <v>Jun 2025</v>
      </c>
      <c r="AA1061" s="27"/>
      <c r="AB1061" s="27">
        <f t="shared" si="117"/>
        <v>0</v>
      </c>
      <c r="AC1061" s="27">
        <f t="shared" si="118"/>
        <v>0</v>
      </c>
    </row>
    <row r="1062" spans="1:29">
      <c r="A1062" t="s">
        <v>1164</v>
      </c>
      <c r="B1062" s="3">
        <v>45863</v>
      </c>
      <c r="C1062" t="s">
        <v>78</v>
      </c>
      <c r="D1062" t="s">
        <v>62</v>
      </c>
      <c r="E1062" t="s">
        <v>56</v>
      </c>
      <c r="F1062" t="s">
        <v>83</v>
      </c>
      <c r="G1062" s="6">
        <v>1</v>
      </c>
      <c r="H1062" s="4">
        <v>64.16</v>
      </c>
      <c r="I1062" s="4">
        <v>35.26</v>
      </c>
      <c r="J1062" s="5">
        <v>0</v>
      </c>
      <c r="K1062" s="6">
        <v>0</v>
      </c>
      <c r="L1062" s="6">
        <v>4</v>
      </c>
      <c r="M1062" t="s">
        <v>58</v>
      </c>
      <c r="N1062" t="s">
        <v>69</v>
      </c>
      <c r="O1062" t="s">
        <v>64</v>
      </c>
      <c r="P1062" t="str">
        <f t="shared" si="112"/>
        <v>Individual</v>
      </c>
      <c r="Q1062" t="str">
        <f t="shared" si="113"/>
        <v>London</v>
      </c>
      <c r="R1062" t="str">
        <f>PROPER(TRIM(E1062))</f>
        <v>Home &amp; Kitchen</v>
      </c>
      <c r="S1062" s="27">
        <f>IF(ISTEXT(B1062),DATEVALUE(B1062),B1062)</f>
        <v>45863</v>
      </c>
      <c r="T1062" s="27">
        <f>COUNTIF($A$2:$A$1986,A1062)</f>
        <v>1</v>
      </c>
      <c r="U1062" s="27" t="str">
        <f t="shared" si="114"/>
        <v>Blender</v>
      </c>
      <c r="V1062" s="27">
        <f t="shared" si="115"/>
        <v>64.16</v>
      </c>
      <c r="W1062" s="27">
        <f t="shared" si="116"/>
        <v>35.26</v>
      </c>
      <c r="X1062" s="27">
        <f>RawSalesTable3[[#This Row],[Revenue]]-RawSalesTable3[[#This Row],[Total_Cost]]</f>
        <v>28.9</v>
      </c>
      <c r="Y1062" s="28">
        <f>RawSalesTable3[[#This Row],[Profit]]/RawSalesTable3[[#This Row],[Revenue]]</f>
        <v>0.4504364089775561</v>
      </c>
      <c r="Z1062" s="27" t="str">
        <f>TEXT(RawSalesTable3[[#This Row],[Order_Date_Clean]],"MMM YYYY")</f>
        <v>Jul 2025</v>
      </c>
      <c r="AA1062" s="27"/>
      <c r="AB1062" s="27">
        <f t="shared" si="117"/>
        <v>0</v>
      </c>
      <c r="AC1062" s="27">
        <f t="shared" si="118"/>
        <v>0</v>
      </c>
    </row>
    <row r="1063" spans="1:29">
      <c r="A1063" t="s">
        <v>1165</v>
      </c>
      <c r="B1063" s="3">
        <v>45939</v>
      </c>
      <c r="C1063" t="s">
        <v>54</v>
      </c>
      <c r="D1063" t="s">
        <v>62</v>
      </c>
      <c r="E1063" t="s">
        <v>56</v>
      </c>
      <c r="F1063" t="s">
        <v>63</v>
      </c>
      <c r="G1063" s="6">
        <v>3</v>
      </c>
      <c r="H1063" s="4">
        <v>40.25</v>
      </c>
      <c r="I1063" s="4">
        <v>20.27</v>
      </c>
      <c r="J1063" s="5">
        <v>0.05</v>
      </c>
      <c r="K1063" s="6">
        <v>2</v>
      </c>
      <c r="L1063" s="6">
        <v>4</v>
      </c>
      <c r="M1063" t="s">
        <v>58</v>
      </c>
      <c r="N1063" t="s">
        <v>59</v>
      </c>
      <c r="O1063" t="s">
        <v>64</v>
      </c>
      <c r="P1063" t="str">
        <f t="shared" si="112"/>
        <v>Individual</v>
      </c>
      <c r="Q1063" t="str">
        <f t="shared" si="113"/>
        <v>North</v>
      </c>
      <c r="R1063" t="str">
        <f>PROPER(TRIM(E1063))</f>
        <v>Home &amp; Kitchen</v>
      </c>
      <c r="S1063" s="27">
        <f>IF(ISTEXT(B1063),DATEVALUE(B1063),B1063)</f>
        <v>45939</v>
      </c>
      <c r="T1063" s="27">
        <f>COUNTIF($A$2:$A$1986,A1063)</f>
        <v>1</v>
      </c>
      <c r="U1063" s="27" t="str">
        <f t="shared" si="114"/>
        <v>Electric Kettle</v>
      </c>
      <c r="V1063" s="27">
        <f t="shared" si="115"/>
        <v>114.71249999999999</v>
      </c>
      <c r="W1063" s="27">
        <f t="shared" si="116"/>
        <v>60.81</v>
      </c>
      <c r="X1063" s="27">
        <f>RawSalesTable3[[#This Row],[Revenue]]-RawSalesTable3[[#This Row],[Total_Cost]]</f>
        <v>53.902499999999989</v>
      </c>
      <c r="Y1063" s="28">
        <f>RawSalesTable3[[#This Row],[Profit]]/RawSalesTable3[[#This Row],[Revenue]]</f>
        <v>0.46989212160836868</v>
      </c>
      <c r="Z1063" s="27" t="str">
        <f>TEXT(RawSalesTable3[[#This Row],[Order_Date_Clean]],"MMM YYYY")</f>
        <v>Oct 2025</v>
      </c>
      <c r="AA1063" s="27"/>
      <c r="AB1063" s="27">
        <f t="shared" si="117"/>
        <v>0</v>
      </c>
      <c r="AC1063" s="27">
        <f t="shared" si="118"/>
        <v>0</v>
      </c>
    </row>
    <row r="1064" spans="1:29">
      <c r="A1064" t="s">
        <v>1166</v>
      </c>
      <c r="B1064" s="3">
        <v>45995</v>
      </c>
      <c r="C1064" t="s">
        <v>78</v>
      </c>
      <c r="D1064" t="s">
        <v>55</v>
      </c>
      <c r="E1064" t="s">
        <v>67</v>
      </c>
      <c r="F1064" t="s">
        <v>94</v>
      </c>
      <c r="G1064" s="6">
        <v>2</v>
      </c>
      <c r="H1064" s="4">
        <v>35.43</v>
      </c>
      <c r="I1064" s="4">
        <v>17.29</v>
      </c>
      <c r="J1064" s="5">
        <v>0.05</v>
      </c>
      <c r="K1064" s="6">
        <v>2</v>
      </c>
      <c r="L1064" s="6">
        <v>5</v>
      </c>
      <c r="M1064" t="s">
        <v>58</v>
      </c>
      <c r="N1064" t="s">
        <v>59</v>
      </c>
      <c r="O1064" t="s">
        <v>60</v>
      </c>
      <c r="P1064" t="str">
        <f t="shared" si="112"/>
        <v>Small Business</v>
      </c>
      <c r="Q1064" t="str">
        <f t="shared" si="113"/>
        <v>London</v>
      </c>
      <c r="R1064" t="str">
        <f>PROPER(TRIM(E1064))</f>
        <v>Office</v>
      </c>
      <c r="S1064" s="27">
        <f>IF(ISTEXT(B1064),DATEVALUE(B1064),B1064)</f>
        <v>45995</v>
      </c>
      <c r="T1064" s="27">
        <f>COUNTIF($A$2:$A$1986,A1064)</f>
        <v>1</v>
      </c>
      <c r="U1064" s="27" t="str">
        <f t="shared" si="114"/>
        <v>Wireless Mouse</v>
      </c>
      <c r="V1064" s="27">
        <f t="shared" si="115"/>
        <v>67.316999999999993</v>
      </c>
      <c r="W1064" s="27">
        <f t="shared" si="116"/>
        <v>34.58</v>
      </c>
      <c r="X1064" s="27">
        <f>RawSalesTable3[[#This Row],[Revenue]]-RawSalesTable3[[#This Row],[Total_Cost]]</f>
        <v>32.736999999999995</v>
      </c>
      <c r="Y1064" s="28">
        <f>RawSalesTable3[[#This Row],[Profit]]/RawSalesTable3[[#This Row],[Revenue]]</f>
        <v>0.48631103584532881</v>
      </c>
      <c r="Z1064" s="27" t="str">
        <f>TEXT(RawSalesTable3[[#This Row],[Order_Date_Clean]],"MMM YYYY")</f>
        <v>Dec 2025</v>
      </c>
      <c r="AA1064" s="27"/>
      <c r="AB1064" s="27">
        <f t="shared" si="117"/>
        <v>0</v>
      </c>
      <c r="AC1064" s="27">
        <f t="shared" si="118"/>
        <v>0</v>
      </c>
    </row>
    <row r="1065" spans="1:29">
      <c r="A1065" t="s">
        <v>1167</v>
      </c>
      <c r="B1065" s="3">
        <v>45724</v>
      </c>
      <c r="C1065" t="s">
        <v>78</v>
      </c>
      <c r="D1065" t="s">
        <v>62</v>
      </c>
      <c r="E1065" t="s">
        <v>56</v>
      </c>
      <c r="F1065" t="s">
        <v>63</v>
      </c>
      <c r="G1065" s="6">
        <v>1</v>
      </c>
      <c r="H1065" s="4">
        <v>40.46</v>
      </c>
      <c r="I1065" s="4">
        <v>19.489999999999998</v>
      </c>
      <c r="J1065" s="5">
        <v>0.1</v>
      </c>
      <c r="K1065" s="6">
        <v>3</v>
      </c>
      <c r="L1065" s="6">
        <v>5</v>
      </c>
      <c r="M1065" t="s">
        <v>58</v>
      </c>
      <c r="N1065" t="s">
        <v>59</v>
      </c>
      <c r="O1065" t="s">
        <v>64</v>
      </c>
      <c r="P1065" t="str">
        <f t="shared" si="112"/>
        <v>Individual</v>
      </c>
      <c r="Q1065" t="str">
        <f t="shared" si="113"/>
        <v>London</v>
      </c>
      <c r="R1065" t="str">
        <f>PROPER(TRIM(E1065))</f>
        <v>Home &amp; Kitchen</v>
      </c>
      <c r="S1065" s="27">
        <f>IF(ISTEXT(B1065),DATEVALUE(B1065),B1065)</f>
        <v>45724</v>
      </c>
      <c r="T1065" s="27">
        <f>COUNTIF($A$2:$A$1986,A1065)</f>
        <v>1</v>
      </c>
      <c r="U1065" s="27" t="str">
        <f t="shared" si="114"/>
        <v>Electric Kettle</v>
      </c>
      <c r="V1065" s="27">
        <f t="shared" si="115"/>
        <v>36.414000000000001</v>
      </c>
      <c r="W1065" s="27">
        <f t="shared" si="116"/>
        <v>19.489999999999998</v>
      </c>
      <c r="X1065" s="27">
        <f>RawSalesTable3[[#This Row],[Revenue]]-RawSalesTable3[[#This Row],[Total_Cost]]</f>
        <v>16.924000000000003</v>
      </c>
      <c r="Y1065" s="28">
        <f>RawSalesTable3[[#This Row],[Profit]]/RawSalesTable3[[#This Row],[Revenue]]</f>
        <v>0.46476629867633334</v>
      </c>
      <c r="Z1065" s="27" t="str">
        <f>TEXT(RawSalesTable3[[#This Row],[Order_Date_Clean]],"MMM YYYY")</f>
        <v>Mar 2025</v>
      </c>
      <c r="AA1065" s="27"/>
      <c r="AB1065" s="27">
        <f t="shared" si="117"/>
        <v>0</v>
      </c>
      <c r="AC1065" s="27">
        <f t="shared" si="118"/>
        <v>0</v>
      </c>
    </row>
    <row r="1066" spans="1:29">
      <c r="A1066" t="s">
        <v>1168</v>
      </c>
      <c r="B1066" s="3">
        <v>45672</v>
      </c>
      <c r="C1066" t="s">
        <v>82</v>
      </c>
      <c r="D1066" t="s">
        <v>129</v>
      </c>
      <c r="E1066" t="s">
        <v>56</v>
      </c>
      <c r="F1066" t="s">
        <v>57</v>
      </c>
      <c r="G1066" s="6">
        <v>10</v>
      </c>
      <c r="H1066" s="4">
        <v>112.23</v>
      </c>
      <c r="I1066" s="4">
        <v>69.63</v>
      </c>
      <c r="J1066" s="5">
        <v>0.05</v>
      </c>
      <c r="K1066" s="6">
        <v>4</v>
      </c>
      <c r="L1066" s="6">
        <v>4</v>
      </c>
      <c r="M1066" t="s">
        <v>58</v>
      </c>
      <c r="N1066" t="s">
        <v>59</v>
      </c>
      <c r="O1066" t="s">
        <v>64</v>
      </c>
      <c r="P1066" t="str">
        <f t="shared" si="112"/>
        <v>Corporate</v>
      </c>
      <c r="Q1066" t="str">
        <f t="shared" si="113"/>
        <v>Midlands</v>
      </c>
      <c r="R1066" t="str">
        <f>PROPER(TRIM(E1066))</f>
        <v>Home &amp; Kitchen</v>
      </c>
      <c r="S1066" s="27">
        <f>IF(ISTEXT(B1066),DATEVALUE(B1066),B1066)</f>
        <v>45672</v>
      </c>
      <c r="T1066" s="27">
        <f>COUNTIF($A$2:$A$1986,A1066)</f>
        <v>1</v>
      </c>
      <c r="U1066" s="27" t="str">
        <f t="shared" si="114"/>
        <v>Air Fryer</v>
      </c>
      <c r="V1066" s="27">
        <f t="shared" si="115"/>
        <v>1066.1849999999999</v>
      </c>
      <c r="W1066" s="27">
        <f t="shared" si="116"/>
        <v>696.3</v>
      </c>
      <c r="X1066" s="27">
        <f>RawSalesTable3[[#This Row],[Revenue]]-RawSalesTable3[[#This Row],[Total_Cost]]</f>
        <v>369.88499999999999</v>
      </c>
      <c r="Y1066" s="28">
        <f>RawSalesTable3[[#This Row],[Profit]]/RawSalesTable3[[#This Row],[Revenue]]</f>
        <v>0.34692384529889281</v>
      </c>
      <c r="Z1066" s="27" t="str">
        <f>TEXT(RawSalesTable3[[#This Row],[Order_Date_Clean]],"MMM YYYY")</f>
        <v>Jan 2025</v>
      </c>
      <c r="AA1066" s="27"/>
      <c r="AB1066" s="27">
        <f t="shared" si="117"/>
        <v>0</v>
      </c>
      <c r="AC1066" s="27">
        <f t="shared" si="118"/>
        <v>0</v>
      </c>
    </row>
    <row r="1067" spans="1:29">
      <c r="A1067" t="s">
        <v>1169</v>
      </c>
      <c r="B1067" s="3">
        <v>45741</v>
      </c>
      <c r="C1067" t="s">
        <v>82</v>
      </c>
      <c r="D1067" t="s">
        <v>62</v>
      </c>
      <c r="E1067" t="s">
        <v>79</v>
      </c>
      <c r="F1067" t="s">
        <v>85</v>
      </c>
      <c r="G1067" s="6">
        <v>4</v>
      </c>
      <c r="H1067" s="4">
        <v>129.68</v>
      </c>
      <c r="I1067" s="4">
        <v>86.3</v>
      </c>
      <c r="J1067" s="5">
        <v>0</v>
      </c>
      <c r="K1067" s="6">
        <v>1</v>
      </c>
      <c r="L1067" s="6">
        <v>4</v>
      </c>
      <c r="M1067" t="s">
        <v>58</v>
      </c>
      <c r="N1067" t="s">
        <v>69</v>
      </c>
      <c r="O1067" t="s">
        <v>64</v>
      </c>
      <c r="P1067" t="str">
        <f t="shared" si="112"/>
        <v>Individual</v>
      </c>
      <c r="Q1067" t="str">
        <f t="shared" si="113"/>
        <v>Midlands</v>
      </c>
      <c r="R1067" t="str">
        <f>PROPER(TRIM(E1067))</f>
        <v>Electronics</v>
      </c>
      <c r="S1067" s="27">
        <f>IF(ISTEXT(B1067),DATEVALUE(B1067),B1067)</f>
        <v>45741</v>
      </c>
      <c r="T1067" s="27">
        <f>COUNTIF($A$2:$A$1986,A1067)</f>
        <v>1</v>
      </c>
      <c r="U1067" s="27" t="str">
        <f t="shared" si="114"/>
        <v>SmartHome Hub</v>
      </c>
      <c r="V1067" s="27">
        <f t="shared" si="115"/>
        <v>518.72</v>
      </c>
      <c r="W1067" s="27">
        <f t="shared" si="116"/>
        <v>345.2</v>
      </c>
      <c r="X1067" s="27">
        <f>RawSalesTable3[[#This Row],[Revenue]]-RawSalesTable3[[#This Row],[Total_Cost]]</f>
        <v>173.52000000000004</v>
      </c>
      <c r="Y1067" s="28">
        <f>RawSalesTable3[[#This Row],[Profit]]/RawSalesTable3[[#This Row],[Revenue]]</f>
        <v>0.3345157310302283</v>
      </c>
      <c r="Z1067" s="27" t="str">
        <f>TEXT(RawSalesTable3[[#This Row],[Order_Date_Clean]],"MMM YYYY")</f>
        <v>Mar 2025</v>
      </c>
      <c r="AA1067" s="27"/>
      <c r="AB1067" s="27">
        <f t="shared" si="117"/>
        <v>0</v>
      </c>
      <c r="AC1067" s="27">
        <f t="shared" si="118"/>
        <v>0</v>
      </c>
    </row>
    <row r="1068" spans="1:29">
      <c r="A1068" t="s">
        <v>1170</v>
      </c>
      <c r="B1068" s="3">
        <v>45662</v>
      </c>
      <c r="C1068" t="s">
        <v>54</v>
      </c>
      <c r="D1068" t="s">
        <v>62</v>
      </c>
      <c r="E1068" t="s">
        <v>79</v>
      </c>
      <c r="F1068" t="s">
        <v>92</v>
      </c>
      <c r="G1068" s="6">
        <v>4</v>
      </c>
      <c r="H1068" s="4">
        <v>51.49</v>
      </c>
      <c r="I1068" s="4">
        <v>26.51</v>
      </c>
      <c r="J1068" s="5">
        <v>0</v>
      </c>
      <c r="K1068" s="6">
        <v>3</v>
      </c>
      <c r="L1068" s="6">
        <v>4</v>
      </c>
      <c r="M1068" t="s">
        <v>58</v>
      </c>
      <c r="N1068" t="s">
        <v>59</v>
      </c>
      <c r="O1068" t="s">
        <v>73</v>
      </c>
      <c r="P1068" t="str">
        <f t="shared" si="112"/>
        <v>Individual</v>
      </c>
      <c r="Q1068" t="str">
        <f t="shared" si="113"/>
        <v>North</v>
      </c>
      <c r="R1068" t="str">
        <f>PROPER(TRIM(E1068))</f>
        <v>Electronics</v>
      </c>
      <c r="S1068" s="27">
        <f>IF(ISTEXT(B1068),DATEVALUE(B1068),B1068)</f>
        <v>45662</v>
      </c>
      <c r="T1068" s="27">
        <f>COUNTIF($A$2:$A$1986,A1068)</f>
        <v>1</v>
      </c>
      <c r="U1068" s="27" t="str">
        <f t="shared" si="114"/>
        <v>Webcam</v>
      </c>
      <c r="V1068" s="27">
        <f t="shared" si="115"/>
        <v>205.96</v>
      </c>
      <c r="W1068" s="27">
        <f t="shared" si="116"/>
        <v>106.04</v>
      </c>
      <c r="X1068" s="27">
        <f>RawSalesTable3[[#This Row],[Revenue]]-RawSalesTable3[[#This Row],[Total_Cost]]</f>
        <v>99.92</v>
      </c>
      <c r="Y1068" s="28">
        <f>RawSalesTable3[[#This Row],[Profit]]/RawSalesTable3[[#This Row],[Revenue]]</f>
        <v>0.48514274616430375</v>
      </c>
      <c r="Z1068" s="27" t="str">
        <f>TEXT(RawSalesTable3[[#This Row],[Order_Date_Clean]],"MMM YYYY")</f>
        <v>Jan 2025</v>
      </c>
      <c r="AA1068" s="27"/>
      <c r="AB1068" s="27">
        <f t="shared" si="117"/>
        <v>0</v>
      </c>
      <c r="AC1068" s="27">
        <f t="shared" si="118"/>
        <v>0</v>
      </c>
    </row>
    <row r="1069" spans="1:29">
      <c r="A1069" t="s">
        <v>1171</v>
      </c>
      <c r="B1069" s="3">
        <v>45910</v>
      </c>
      <c r="C1069" t="s">
        <v>1038</v>
      </c>
      <c r="D1069" t="s">
        <v>129</v>
      </c>
      <c r="E1069" t="s">
        <v>56</v>
      </c>
      <c r="F1069" t="s">
        <v>83</v>
      </c>
      <c r="G1069" s="6">
        <v>6</v>
      </c>
      <c r="H1069" s="4">
        <v>65.78</v>
      </c>
      <c r="I1069" s="4">
        <v>36.08</v>
      </c>
      <c r="J1069" s="5">
        <v>0.05</v>
      </c>
      <c r="K1069" s="6">
        <v>1</v>
      </c>
      <c r="L1069" s="6">
        <v>5</v>
      </c>
      <c r="M1069" t="s">
        <v>58</v>
      </c>
      <c r="N1069" t="s">
        <v>69</v>
      </c>
      <c r="O1069" t="s">
        <v>64</v>
      </c>
      <c r="P1069" t="str">
        <f t="shared" si="112"/>
        <v>Corporate</v>
      </c>
      <c r="Q1069" t="str">
        <f t="shared" si="113"/>
        <v>North</v>
      </c>
      <c r="R1069" t="str">
        <f>PROPER(TRIM(E1069))</f>
        <v>Home &amp; Kitchen</v>
      </c>
      <c r="S1069" s="27">
        <f>IF(ISTEXT(B1069),DATEVALUE(B1069),B1069)</f>
        <v>45910</v>
      </c>
      <c r="T1069" s="27">
        <f>COUNTIF($A$2:$A$1986,A1069)</f>
        <v>1</v>
      </c>
      <c r="U1069" s="27" t="str">
        <f t="shared" si="114"/>
        <v>Blender</v>
      </c>
      <c r="V1069" s="27">
        <f t="shared" si="115"/>
        <v>374.94599999999997</v>
      </c>
      <c r="W1069" s="27">
        <f t="shared" si="116"/>
        <v>216.48</v>
      </c>
      <c r="X1069" s="27">
        <f>RawSalesTable3[[#This Row],[Revenue]]-RawSalesTable3[[#This Row],[Total_Cost]]</f>
        <v>158.46599999999998</v>
      </c>
      <c r="Y1069" s="28">
        <f>RawSalesTable3[[#This Row],[Profit]]/RawSalesTable3[[#This Row],[Revenue]]</f>
        <v>0.42263685970779791</v>
      </c>
      <c r="Z1069" s="27" t="str">
        <f>TEXT(RawSalesTable3[[#This Row],[Order_Date_Clean]],"MMM YYYY")</f>
        <v>Sep 2025</v>
      </c>
      <c r="AA1069" s="27"/>
      <c r="AB1069" s="27">
        <f t="shared" si="117"/>
        <v>0</v>
      </c>
      <c r="AC1069" s="27">
        <f t="shared" si="118"/>
        <v>0</v>
      </c>
    </row>
    <row r="1070" spans="1:29">
      <c r="A1070" t="s">
        <v>1172</v>
      </c>
      <c r="B1070" s="3">
        <v>45876</v>
      </c>
      <c r="C1070" t="s">
        <v>78</v>
      </c>
      <c r="D1070" t="s">
        <v>62</v>
      </c>
      <c r="E1070" t="s">
        <v>56</v>
      </c>
      <c r="F1070" t="s">
        <v>89</v>
      </c>
      <c r="G1070" s="6">
        <v>3</v>
      </c>
      <c r="H1070" s="4">
        <v>82.59</v>
      </c>
      <c r="I1070" s="4">
        <v>46.17</v>
      </c>
      <c r="J1070" s="5">
        <v>0.05</v>
      </c>
      <c r="K1070" s="6">
        <v>5</v>
      </c>
      <c r="L1070" s="6">
        <v>4</v>
      </c>
      <c r="M1070" t="s">
        <v>58</v>
      </c>
      <c r="N1070" t="s">
        <v>59</v>
      </c>
      <c r="O1070" t="s">
        <v>64</v>
      </c>
      <c r="P1070" t="str">
        <f t="shared" si="112"/>
        <v>Individual</v>
      </c>
      <c r="Q1070" t="str">
        <f t="shared" si="113"/>
        <v>London</v>
      </c>
      <c r="R1070" t="str">
        <f>PROPER(TRIM(E1070))</f>
        <v>Home &amp; Kitchen</v>
      </c>
      <c r="S1070" s="27">
        <f>IF(ISTEXT(B1070),DATEVALUE(B1070),B1070)</f>
        <v>45876</v>
      </c>
      <c r="T1070" s="27">
        <f>COUNTIF($A$2:$A$1986,A1070)</f>
        <v>1</v>
      </c>
      <c r="U1070" s="27" t="str">
        <f t="shared" si="114"/>
        <v>Coffee Maker</v>
      </c>
      <c r="V1070" s="27">
        <f t="shared" si="115"/>
        <v>235.38149999999999</v>
      </c>
      <c r="W1070" s="27">
        <f t="shared" si="116"/>
        <v>138.51</v>
      </c>
      <c r="X1070" s="27">
        <f>RawSalesTable3[[#This Row],[Revenue]]-RawSalesTable3[[#This Row],[Total_Cost]]</f>
        <v>96.871499999999997</v>
      </c>
      <c r="Y1070" s="28">
        <f>RawSalesTable3[[#This Row],[Profit]]/RawSalesTable3[[#This Row],[Revenue]]</f>
        <v>0.41155103523428987</v>
      </c>
      <c r="Z1070" s="27" t="str">
        <f>TEXT(RawSalesTable3[[#This Row],[Order_Date_Clean]],"MMM YYYY")</f>
        <v>Aug 2025</v>
      </c>
      <c r="AA1070" s="27"/>
      <c r="AB1070" s="27">
        <f t="shared" si="117"/>
        <v>0</v>
      </c>
      <c r="AC1070" s="27">
        <f t="shared" si="118"/>
        <v>0</v>
      </c>
    </row>
    <row r="1071" spans="1:29">
      <c r="A1071" t="s">
        <v>1173</v>
      </c>
      <c r="B1071" s="3">
        <v>45952</v>
      </c>
      <c r="C1071" t="s">
        <v>82</v>
      </c>
      <c r="D1071" t="s">
        <v>62</v>
      </c>
      <c r="E1071" t="s">
        <v>79</v>
      </c>
      <c r="F1071" t="s">
        <v>85</v>
      </c>
      <c r="G1071" s="6">
        <v>1</v>
      </c>
      <c r="H1071" s="4">
        <v>126.59</v>
      </c>
      <c r="I1071" s="4">
        <v>86.02</v>
      </c>
      <c r="J1071" s="5">
        <v>0.05</v>
      </c>
      <c r="K1071" s="6">
        <v>5</v>
      </c>
      <c r="L1071" s="6">
        <v>4</v>
      </c>
      <c r="M1071" t="s">
        <v>58</v>
      </c>
      <c r="N1071" t="s">
        <v>59</v>
      </c>
      <c r="O1071" t="s">
        <v>64</v>
      </c>
      <c r="P1071" t="str">
        <f t="shared" si="112"/>
        <v>Individual</v>
      </c>
      <c r="Q1071" t="str">
        <f t="shared" si="113"/>
        <v>Midlands</v>
      </c>
      <c r="R1071" t="str">
        <f>PROPER(TRIM(E1071))</f>
        <v>Electronics</v>
      </c>
      <c r="S1071" s="27">
        <f>IF(ISTEXT(B1071),DATEVALUE(B1071),B1071)</f>
        <v>45952</v>
      </c>
      <c r="T1071" s="27">
        <f>COUNTIF($A$2:$A$1986,A1071)</f>
        <v>1</v>
      </c>
      <c r="U1071" s="27" t="str">
        <f t="shared" si="114"/>
        <v>SmartHome Hub</v>
      </c>
      <c r="V1071" s="27">
        <f t="shared" si="115"/>
        <v>120.26049999999999</v>
      </c>
      <c r="W1071" s="27">
        <f t="shared" si="116"/>
        <v>86.02</v>
      </c>
      <c r="X1071" s="27">
        <f>RawSalesTable3[[#This Row],[Revenue]]-RawSalesTable3[[#This Row],[Total_Cost]]</f>
        <v>34.240499999999997</v>
      </c>
      <c r="Y1071" s="28">
        <f>RawSalesTable3[[#This Row],[Profit]]/RawSalesTable3[[#This Row],[Revenue]]</f>
        <v>0.28471942158896729</v>
      </c>
      <c r="Z1071" s="27" t="str">
        <f>TEXT(RawSalesTable3[[#This Row],[Order_Date_Clean]],"MMM YYYY")</f>
        <v>Oct 2025</v>
      </c>
      <c r="AA1071" s="27"/>
      <c r="AB1071" s="27">
        <f t="shared" si="117"/>
        <v>0</v>
      </c>
      <c r="AC1071" s="27">
        <f t="shared" si="118"/>
        <v>0</v>
      </c>
    </row>
    <row r="1072" spans="1:29">
      <c r="A1072" t="s">
        <v>1174</v>
      </c>
      <c r="B1072" s="3">
        <v>45937</v>
      </c>
      <c r="C1072" t="s">
        <v>66</v>
      </c>
      <c r="D1072" t="s">
        <v>62</v>
      </c>
      <c r="E1072" t="s">
        <v>75</v>
      </c>
      <c r="F1072" t="s">
        <v>110</v>
      </c>
      <c r="G1072" s="6">
        <v>3</v>
      </c>
      <c r="H1072" s="4">
        <v>166.05</v>
      </c>
      <c r="I1072" s="4">
        <v>103.88</v>
      </c>
      <c r="J1072" s="5">
        <v>0</v>
      </c>
      <c r="K1072" s="6">
        <v>2</v>
      </c>
      <c r="L1072" s="6">
        <v>5</v>
      </c>
      <c r="M1072" t="s">
        <v>58</v>
      </c>
      <c r="N1072" t="s">
        <v>69</v>
      </c>
      <c r="O1072" t="s">
        <v>64</v>
      </c>
      <c r="P1072" t="str">
        <f t="shared" si="112"/>
        <v>Individual</v>
      </c>
      <c r="Q1072" t="str">
        <f t="shared" si="113"/>
        <v>South</v>
      </c>
      <c r="R1072" t="str">
        <f>PROPER(TRIM(E1072))</f>
        <v>Furniture</v>
      </c>
      <c r="S1072" s="27">
        <f>IF(ISTEXT(B1072),DATEVALUE(B1072),B1072)</f>
        <v>45937</v>
      </c>
      <c r="T1072" s="27">
        <f>COUNTIF($A$2:$A$1986,A1072)</f>
        <v>1</v>
      </c>
      <c r="U1072" s="27" t="str">
        <f t="shared" si="114"/>
        <v>Storage Cabinet</v>
      </c>
      <c r="V1072" s="27">
        <f t="shared" si="115"/>
        <v>498.15000000000003</v>
      </c>
      <c r="W1072" s="27">
        <f t="shared" si="116"/>
        <v>311.64</v>
      </c>
      <c r="X1072" s="27">
        <f>RawSalesTable3[[#This Row],[Revenue]]-RawSalesTable3[[#This Row],[Total_Cost]]</f>
        <v>186.51000000000005</v>
      </c>
      <c r="Y1072" s="28">
        <f>RawSalesTable3[[#This Row],[Profit]]/RawSalesTable3[[#This Row],[Revenue]]</f>
        <v>0.37440529960855173</v>
      </c>
      <c r="Z1072" s="27" t="str">
        <f>TEXT(RawSalesTable3[[#This Row],[Order_Date_Clean]],"MMM YYYY")</f>
        <v>Oct 2025</v>
      </c>
      <c r="AA1072" s="27"/>
      <c r="AB1072" s="27">
        <f t="shared" si="117"/>
        <v>0</v>
      </c>
      <c r="AC1072" s="27">
        <f t="shared" si="118"/>
        <v>0</v>
      </c>
    </row>
    <row r="1073" spans="1:29">
      <c r="A1073" t="s">
        <v>1175</v>
      </c>
      <c r="B1073" s="3">
        <v>46008</v>
      </c>
      <c r="C1073" t="s">
        <v>54</v>
      </c>
      <c r="D1073" t="s">
        <v>62</v>
      </c>
      <c r="E1073" t="s">
        <v>56</v>
      </c>
      <c r="F1073" t="s">
        <v>63</v>
      </c>
      <c r="G1073" s="6">
        <v>1</v>
      </c>
      <c r="H1073" s="4">
        <v>40.67</v>
      </c>
      <c r="I1073" s="4">
        <v>20.74</v>
      </c>
      <c r="J1073" s="5">
        <v>0.15000000000000002</v>
      </c>
      <c r="K1073" s="6">
        <v>0</v>
      </c>
      <c r="L1073" s="6"/>
      <c r="M1073" t="s">
        <v>58</v>
      </c>
      <c r="N1073" t="s">
        <v>69</v>
      </c>
      <c r="O1073" t="s">
        <v>64</v>
      </c>
      <c r="P1073" t="str">
        <f t="shared" si="112"/>
        <v>Individual</v>
      </c>
      <c r="Q1073" t="str">
        <f t="shared" si="113"/>
        <v>North</v>
      </c>
      <c r="R1073" t="str">
        <f>PROPER(TRIM(E1073))</f>
        <v>Home &amp; Kitchen</v>
      </c>
      <c r="S1073" s="27">
        <f>IF(ISTEXT(B1073),DATEVALUE(B1073),B1073)</f>
        <v>46008</v>
      </c>
      <c r="T1073" s="27">
        <f>COUNTIF($A$2:$A$1986,A1073)</f>
        <v>1</v>
      </c>
      <c r="U1073" s="27" t="str">
        <f t="shared" si="114"/>
        <v>Electric Kettle</v>
      </c>
      <c r="V1073" s="27">
        <f t="shared" si="115"/>
        <v>34.569499999999998</v>
      </c>
      <c r="W1073" s="27">
        <f t="shared" si="116"/>
        <v>20.74</v>
      </c>
      <c r="X1073" s="27">
        <f>RawSalesTable3[[#This Row],[Revenue]]-RawSalesTable3[[#This Row],[Total_Cost]]</f>
        <v>13.829499999999999</v>
      </c>
      <c r="Y1073" s="28">
        <f>RawSalesTable3[[#This Row],[Profit]]/RawSalesTable3[[#This Row],[Revenue]]</f>
        <v>0.40004917629702486</v>
      </c>
      <c r="Z1073" s="27" t="str">
        <f>TEXT(RawSalesTable3[[#This Row],[Order_Date_Clean]],"MMM YYYY")</f>
        <v>Dec 2025</v>
      </c>
      <c r="AA1073" s="27"/>
      <c r="AB1073" s="27">
        <f t="shared" si="117"/>
        <v>0</v>
      </c>
      <c r="AC1073" s="27">
        <f t="shared" si="118"/>
        <v>0</v>
      </c>
    </row>
    <row r="1074" spans="1:29">
      <c r="A1074" t="s">
        <v>1176</v>
      </c>
      <c r="B1074" s="3">
        <v>45853</v>
      </c>
      <c r="C1074" t="s">
        <v>82</v>
      </c>
      <c r="D1074" t="s">
        <v>62</v>
      </c>
      <c r="E1074" t="s">
        <v>56</v>
      </c>
      <c r="F1074" t="s">
        <v>57</v>
      </c>
      <c r="G1074" s="6">
        <v>2</v>
      </c>
      <c r="H1074" s="4">
        <v>111.91</v>
      </c>
      <c r="I1074" s="4">
        <v>66.03</v>
      </c>
      <c r="J1074" s="5">
        <v>0.05</v>
      </c>
      <c r="K1074" s="6">
        <v>3</v>
      </c>
      <c r="L1074" s="6">
        <v>3</v>
      </c>
      <c r="M1074" t="s">
        <v>126</v>
      </c>
      <c r="N1074" t="s">
        <v>59</v>
      </c>
      <c r="O1074" t="s">
        <v>64</v>
      </c>
      <c r="P1074" t="str">
        <f t="shared" si="112"/>
        <v>Individual</v>
      </c>
      <c r="Q1074" t="str">
        <f t="shared" si="113"/>
        <v>Midlands</v>
      </c>
      <c r="R1074" t="str">
        <f>PROPER(TRIM(E1074))</f>
        <v>Home &amp; Kitchen</v>
      </c>
      <c r="S1074" s="27">
        <f>IF(ISTEXT(B1074),DATEVALUE(B1074),B1074)</f>
        <v>45853</v>
      </c>
      <c r="T1074" s="27">
        <f>COUNTIF($A$2:$A$1986,A1074)</f>
        <v>1</v>
      </c>
      <c r="U1074" s="27" t="str">
        <f t="shared" si="114"/>
        <v>Air Fryer</v>
      </c>
      <c r="V1074" s="27">
        <f t="shared" si="115"/>
        <v>212.62899999999999</v>
      </c>
      <c r="W1074" s="27">
        <f t="shared" si="116"/>
        <v>132.06</v>
      </c>
      <c r="X1074" s="27">
        <f>RawSalesTable3[[#This Row],[Revenue]]-RawSalesTable3[[#This Row],[Total_Cost]]</f>
        <v>80.568999999999988</v>
      </c>
      <c r="Y1074" s="28">
        <f>RawSalesTable3[[#This Row],[Profit]]/RawSalesTable3[[#This Row],[Revenue]]</f>
        <v>0.37891820965155265</v>
      </c>
      <c r="Z1074" s="27" t="str">
        <f>TEXT(RawSalesTable3[[#This Row],[Order_Date_Clean]],"MMM YYYY")</f>
        <v>Jul 2025</v>
      </c>
      <c r="AA1074" s="27"/>
      <c r="AB1074" s="27">
        <f t="shared" si="117"/>
        <v>0</v>
      </c>
      <c r="AC1074" s="27">
        <f t="shared" si="118"/>
        <v>0</v>
      </c>
    </row>
    <row r="1075" spans="1:29">
      <c r="A1075" t="s">
        <v>1177</v>
      </c>
      <c r="B1075" s="3">
        <v>45812</v>
      </c>
      <c r="C1075" t="s">
        <v>66</v>
      </c>
      <c r="D1075" t="s">
        <v>62</v>
      </c>
      <c r="E1075" t="s">
        <v>79</v>
      </c>
      <c r="F1075" t="s">
        <v>80</v>
      </c>
      <c r="G1075" s="6">
        <v>1</v>
      </c>
      <c r="H1075" s="4">
        <v>73.650000000000006</v>
      </c>
      <c r="I1075" s="4">
        <v>44.76</v>
      </c>
      <c r="J1075" s="5">
        <v>0</v>
      </c>
      <c r="K1075" s="6">
        <v>4</v>
      </c>
      <c r="L1075" s="6">
        <v>4</v>
      </c>
      <c r="M1075" t="s">
        <v>58</v>
      </c>
      <c r="N1075" t="s">
        <v>59</v>
      </c>
      <c r="O1075" t="s">
        <v>64</v>
      </c>
      <c r="P1075" t="str">
        <f t="shared" si="112"/>
        <v>Individual</v>
      </c>
      <c r="Q1075" t="str">
        <f t="shared" si="113"/>
        <v>South</v>
      </c>
      <c r="R1075" t="str">
        <f>PROPER(TRIM(E1075))</f>
        <v>Electronics</v>
      </c>
      <c r="S1075" s="27">
        <f>IF(ISTEXT(B1075),DATEVALUE(B1075),B1075)</f>
        <v>45812</v>
      </c>
      <c r="T1075" s="27">
        <f>COUNTIF($A$2:$A$1986,A1075)</f>
        <v>1</v>
      </c>
      <c r="U1075" s="27" t="str">
        <f t="shared" si="114"/>
        <v>Portable Speaker</v>
      </c>
      <c r="V1075" s="27">
        <f t="shared" si="115"/>
        <v>73.650000000000006</v>
      </c>
      <c r="W1075" s="27">
        <f t="shared" si="116"/>
        <v>44.76</v>
      </c>
      <c r="X1075" s="27">
        <f>RawSalesTable3[[#This Row],[Revenue]]-RawSalesTable3[[#This Row],[Total_Cost]]</f>
        <v>28.890000000000008</v>
      </c>
      <c r="Y1075" s="28">
        <f>RawSalesTable3[[#This Row],[Profit]]/RawSalesTable3[[#This Row],[Revenue]]</f>
        <v>0.39226069246435852</v>
      </c>
      <c r="Z1075" s="27" t="str">
        <f>TEXT(RawSalesTable3[[#This Row],[Order_Date_Clean]],"MMM YYYY")</f>
        <v>Jun 2025</v>
      </c>
      <c r="AA1075" s="27"/>
      <c r="AB1075" s="27">
        <f t="shared" si="117"/>
        <v>0</v>
      </c>
      <c r="AC1075" s="27">
        <f t="shared" si="118"/>
        <v>0</v>
      </c>
    </row>
    <row r="1076" spans="1:29">
      <c r="A1076" t="s">
        <v>1178</v>
      </c>
      <c r="B1076" s="3">
        <v>45801</v>
      </c>
      <c r="C1076" t="s">
        <v>54</v>
      </c>
      <c r="D1076" t="s">
        <v>62</v>
      </c>
      <c r="E1076" t="s">
        <v>79</v>
      </c>
      <c r="F1076" t="s">
        <v>80</v>
      </c>
      <c r="G1076" s="6">
        <v>1</v>
      </c>
      <c r="H1076" s="4">
        <v>73.099999999999994</v>
      </c>
      <c r="I1076" s="4">
        <v>41.88</v>
      </c>
      <c r="J1076" s="5">
        <v>0</v>
      </c>
      <c r="K1076" s="6">
        <v>1</v>
      </c>
      <c r="L1076" s="6">
        <v>4</v>
      </c>
      <c r="M1076" t="s">
        <v>58</v>
      </c>
      <c r="N1076" t="s">
        <v>69</v>
      </c>
      <c r="O1076" t="s">
        <v>64</v>
      </c>
      <c r="P1076" t="str">
        <f t="shared" si="112"/>
        <v>Individual</v>
      </c>
      <c r="Q1076" t="str">
        <f t="shared" si="113"/>
        <v>North</v>
      </c>
      <c r="R1076" t="str">
        <f>PROPER(TRIM(E1076))</f>
        <v>Electronics</v>
      </c>
      <c r="S1076" s="27">
        <f>IF(ISTEXT(B1076),DATEVALUE(B1076),B1076)</f>
        <v>45801</v>
      </c>
      <c r="T1076" s="27">
        <f>COUNTIF($A$2:$A$1986,A1076)</f>
        <v>1</v>
      </c>
      <c r="U1076" s="27" t="str">
        <f t="shared" si="114"/>
        <v>Portable Speaker</v>
      </c>
      <c r="V1076" s="27">
        <f t="shared" si="115"/>
        <v>73.099999999999994</v>
      </c>
      <c r="W1076" s="27">
        <f t="shared" si="116"/>
        <v>41.88</v>
      </c>
      <c r="X1076" s="27">
        <f>RawSalesTable3[[#This Row],[Revenue]]-RawSalesTable3[[#This Row],[Total_Cost]]</f>
        <v>31.219999999999992</v>
      </c>
      <c r="Y1076" s="28">
        <f>RawSalesTable3[[#This Row],[Profit]]/RawSalesTable3[[#This Row],[Revenue]]</f>
        <v>0.42708618331053344</v>
      </c>
      <c r="Z1076" s="27" t="str">
        <f>TEXT(RawSalesTable3[[#This Row],[Order_Date_Clean]],"MMM YYYY")</f>
        <v>May 2025</v>
      </c>
      <c r="AA1076" s="27"/>
      <c r="AB1076" s="27">
        <f t="shared" si="117"/>
        <v>0</v>
      </c>
      <c r="AC1076" s="27">
        <f t="shared" si="118"/>
        <v>0</v>
      </c>
    </row>
    <row r="1077" spans="1:29">
      <c r="A1077" t="s">
        <v>1179</v>
      </c>
      <c r="B1077" s="3">
        <v>45871</v>
      </c>
      <c r="C1077" t="s">
        <v>82</v>
      </c>
      <c r="D1077" t="s">
        <v>62</v>
      </c>
      <c r="E1077" t="s">
        <v>56</v>
      </c>
      <c r="F1077" t="s">
        <v>89</v>
      </c>
      <c r="G1077" s="6">
        <v>1</v>
      </c>
      <c r="H1077" s="4">
        <v>83.08</v>
      </c>
      <c r="I1077" s="4">
        <v>44.56</v>
      </c>
      <c r="J1077" s="5">
        <v>0.1</v>
      </c>
      <c r="K1077" s="6">
        <v>4</v>
      </c>
      <c r="L1077" s="6">
        <v>5</v>
      </c>
      <c r="M1077" t="s">
        <v>58</v>
      </c>
      <c r="N1077" t="s">
        <v>59</v>
      </c>
      <c r="O1077" t="s">
        <v>60</v>
      </c>
      <c r="P1077" t="str">
        <f t="shared" si="112"/>
        <v>Individual</v>
      </c>
      <c r="Q1077" t="str">
        <f t="shared" si="113"/>
        <v>Midlands</v>
      </c>
      <c r="R1077" t="str">
        <f>PROPER(TRIM(E1077))</f>
        <v>Home &amp; Kitchen</v>
      </c>
      <c r="S1077" s="27">
        <f>IF(ISTEXT(B1077),DATEVALUE(B1077),B1077)</f>
        <v>45871</v>
      </c>
      <c r="T1077" s="27">
        <f>COUNTIF($A$2:$A$1986,A1077)</f>
        <v>1</v>
      </c>
      <c r="U1077" s="27" t="str">
        <f t="shared" si="114"/>
        <v>Coffee Maker</v>
      </c>
      <c r="V1077" s="27">
        <f t="shared" si="115"/>
        <v>74.772000000000006</v>
      </c>
      <c r="W1077" s="27">
        <f t="shared" si="116"/>
        <v>44.56</v>
      </c>
      <c r="X1077" s="27">
        <f>RawSalesTable3[[#This Row],[Revenue]]-RawSalesTable3[[#This Row],[Total_Cost]]</f>
        <v>30.212000000000003</v>
      </c>
      <c r="Y1077" s="28">
        <f>RawSalesTable3[[#This Row],[Profit]]/RawSalesTable3[[#This Row],[Revenue]]</f>
        <v>0.40405499384796451</v>
      </c>
      <c r="Z1077" s="27" t="str">
        <f>TEXT(RawSalesTable3[[#This Row],[Order_Date_Clean]],"MMM YYYY")</f>
        <v>Aug 2025</v>
      </c>
      <c r="AA1077" s="27"/>
      <c r="AB1077" s="27">
        <f t="shared" si="117"/>
        <v>0</v>
      </c>
      <c r="AC1077" s="27">
        <f t="shared" si="118"/>
        <v>0</v>
      </c>
    </row>
    <row r="1078" spans="1:29">
      <c r="A1078" t="s">
        <v>1180</v>
      </c>
      <c r="B1078" s="3">
        <v>45769</v>
      </c>
      <c r="C1078" t="s">
        <v>54</v>
      </c>
      <c r="D1078" t="s">
        <v>55</v>
      </c>
      <c r="E1078" t="s">
        <v>75</v>
      </c>
      <c r="F1078" t="s">
        <v>146</v>
      </c>
      <c r="G1078" s="6">
        <v>4</v>
      </c>
      <c r="H1078" s="4">
        <v>186.52</v>
      </c>
      <c r="I1078" s="4">
        <v>115.01</v>
      </c>
      <c r="J1078" s="5">
        <v>0.05</v>
      </c>
      <c r="K1078" s="6">
        <v>7</v>
      </c>
      <c r="L1078" s="6">
        <v>4</v>
      </c>
      <c r="M1078" t="s">
        <v>58</v>
      </c>
      <c r="N1078" t="s">
        <v>59</v>
      </c>
      <c r="O1078" t="s">
        <v>64</v>
      </c>
      <c r="P1078" t="str">
        <f t="shared" si="112"/>
        <v>Small Business</v>
      </c>
      <c r="Q1078" t="str">
        <f t="shared" si="113"/>
        <v>North</v>
      </c>
      <c r="R1078" t="str">
        <f>PROPER(TRIM(E1078))</f>
        <v>Furniture</v>
      </c>
      <c r="S1078" s="27">
        <f>IF(ISTEXT(B1078),DATEVALUE(B1078),B1078)</f>
        <v>45769</v>
      </c>
      <c r="T1078" s="27">
        <f>COUNTIF($A$2:$A$1986,A1078)</f>
        <v>1</v>
      </c>
      <c r="U1078" s="27" t="str">
        <f t="shared" si="114"/>
        <v>Office Chair</v>
      </c>
      <c r="V1078" s="27">
        <f t="shared" si="115"/>
        <v>708.77599999999995</v>
      </c>
      <c r="W1078" s="27">
        <f t="shared" si="116"/>
        <v>460.04</v>
      </c>
      <c r="X1078" s="27">
        <f>RawSalesTable3[[#This Row],[Revenue]]-RawSalesTable3[[#This Row],[Total_Cost]]</f>
        <v>248.73599999999993</v>
      </c>
      <c r="Y1078" s="28">
        <f>RawSalesTable3[[#This Row],[Profit]]/RawSalesTable3[[#This Row],[Revenue]]</f>
        <v>0.35093739065656843</v>
      </c>
      <c r="Z1078" s="27" t="str">
        <f>TEXT(RawSalesTable3[[#This Row],[Order_Date_Clean]],"MMM YYYY")</f>
        <v>Apr 2025</v>
      </c>
      <c r="AA1078" s="27"/>
      <c r="AB1078" s="27">
        <f t="shared" si="117"/>
        <v>0</v>
      </c>
      <c r="AC1078" s="27">
        <f t="shared" si="118"/>
        <v>0</v>
      </c>
    </row>
    <row r="1079" spans="1:29">
      <c r="A1079" t="s">
        <v>1181</v>
      </c>
      <c r="B1079" s="3">
        <v>45997</v>
      </c>
      <c r="C1079" t="s">
        <v>78</v>
      </c>
      <c r="D1079" t="s">
        <v>62</v>
      </c>
      <c r="E1079" t="s">
        <v>75</v>
      </c>
      <c r="F1079" t="s">
        <v>110</v>
      </c>
      <c r="G1079" s="6">
        <v>1</v>
      </c>
      <c r="H1079" s="4">
        <v>159.94</v>
      </c>
      <c r="I1079" s="4">
        <v>104.83</v>
      </c>
      <c r="J1079" s="5">
        <v>0.1</v>
      </c>
      <c r="K1079" s="6">
        <v>4</v>
      </c>
      <c r="L1079" s="6">
        <v>4</v>
      </c>
      <c r="M1079" t="s">
        <v>58</v>
      </c>
      <c r="N1079" t="s">
        <v>59</v>
      </c>
      <c r="O1079" t="s">
        <v>64</v>
      </c>
      <c r="P1079" t="str">
        <f t="shared" si="112"/>
        <v>Individual</v>
      </c>
      <c r="Q1079" t="str">
        <f t="shared" si="113"/>
        <v>London</v>
      </c>
      <c r="R1079" t="str">
        <f>PROPER(TRIM(E1079))</f>
        <v>Furniture</v>
      </c>
      <c r="S1079" s="27">
        <f>IF(ISTEXT(B1079),DATEVALUE(B1079),B1079)</f>
        <v>45997</v>
      </c>
      <c r="T1079" s="27">
        <f>COUNTIF($A$2:$A$1986,A1079)</f>
        <v>1</v>
      </c>
      <c r="U1079" s="27" t="str">
        <f t="shared" si="114"/>
        <v>Storage Cabinet</v>
      </c>
      <c r="V1079" s="27">
        <f t="shared" si="115"/>
        <v>143.946</v>
      </c>
      <c r="W1079" s="27">
        <f t="shared" si="116"/>
        <v>104.83</v>
      </c>
      <c r="X1079" s="27">
        <f>RawSalesTable3[[#This Row],[Revenue]]-RawSalesTable3[[#This Row],[Total_Cost]]</f>
        <v>39.116</v>
      </c>
      <c r="Y1079" s="28">
        <f>RawSalesTable3[[#This Row],[Profit]]/RawSalesTable3[[#This Row],[Revenue]]</f>
        <v>0.27174079168577103</v>
      </c>
      <c r="Z1079" s="27" t="str">
        <f>TEXT(RawSalesTable3[[#This Row],[Order_Date_Clean]],"MMM YYYY")</f>
        <v>Dec 2025</v>
      </c>
      <c r="AA1079" s="27"/>
      <c r="AB1079" s="27">
        <f t="shared" si="117"/>
        <v>0</v>
      </c>
      <c r="AC1079" s="27">
        <f t="shared" si="118"/>
        <v>0</v>
      </c>
    </row>
    <row r="1080" spans="1:29">
      <c r="A1080" t="s">
        <v>1182</v>
      </c>
      <c r="B1080" s="3">
        <v>45909</v>
      </c>
      <c r="C1080" t="s">
        <v>82</v>
      </c>
      <c r="D1080" t="s">
        <v>55</v>
      </c>
      <c r="E1080" t="s">
        <v>79</v>
      </c>
      <c r="F1080" t="s">
        <v>92</v>
      </c>
      <c r="G1080" s="6">
        <v>3</v>
      </c>
      <c r="H1080" s="4">
        <v>50.46</v>
      </c>
      <c r="I1080" s="4">
        <v>26.6</v>
      </c>
      <c r="J1080" s="5">
        <v>0.05</v>
      </c>
      <c r="K1080" s="6">
        <v>1</v>
      </c>
      <c r="L1080" s="6">
        <v>5</v>
      </c>
      <c r="M1080" t="s">
        <v>58</v>
      </c>
      <c r="N1080" t="s">
        <v>69</v>
      </c>
      <c r="O1080" t="s">
        <v>64</v>
      </c>
      <c r="P1080" t="str">
        <f t="shared" si="112"/>
        <v>Small Business</v>
      </c>
      <c r="Q1080" t="str">
        <f t="shared" si="113"/>
        <v>Midlands</v>
      </c>
      <c r="R1080" t="str">
        <f>PROPER(TRIM(E1080))</f>
        <v>Electronics</v>
      </c>
      <c r="S1080" s="27">
        <f>IF(ISTEXT(B1080),DATEVALUE(B1080),B1080)</f>
        <v>45909</v>
      </c>
      <c r="T1080" s="27">
        <f>COUNTIF($A$2:$A$1986,A1080)</f>
        <v>1</v>
      </c>
      <c r="U1080" s="27" t="str">
        <f t="shared" si="114"/>
        <v>Webcam</v>
      </c>
      <c r="V1080" s="27">
        <f t="shared" si="115"/>
        <v>143.81099999999998</v>
      </c>
      <c r="W1080" s="27">
        <f t="shared" si="116"/>
        <v>79.800000000000011</v>
      </c>
      <c r="X1080" s="27">
        <f>RawSalesTable3[[#This Row],[Revenue]]-RawSalesTable3[[#This Row],[Total_Cost]]</f>
        <v>64.010999999999967</v>
      </c>
      <c r="Y1080" s="28">
        <f>RawSalesTable3[[#This Row],[Profit]]/RawSalesTable3[[#This Row],[Revenue]]</f>
        <v>0.44510503369005139</v>
      </c>
      <c r="Z1080" s="27" t="str">
        <f>TEXT(RawSalesTable3[[#This Row],[Order_Date_Clean]],"MMM YYYY")</f>
        <v>Sep 2025</v>
      </c>
      <c r="AA1080" s="27"/>
      <c r="AB1080" s="27">
        <f t="shared" si="117"/>
        <v>0</v>
      </c>
      <c r="AC1080" s="27">
        <f t="shared" si="118"/>
        <v>0</v>
      </c>
    </row>
    <row r="1081" spans="1:29">
      <c r="A1081" t="s">
        <v>1183</v>
      </c>
      <c r="B1081" s="3">
        <v>45875</v>
      </c>
      <c r="C1081" t="s">
        <v>78</v>
      </c>
      <c r="D1081" t="s">
        <v>62</v>
      </c>
      <c r="E1081" t="s">
        <v>75</v>
      </c>
      <c r="F1081" t="s">
        <v>146</v>
      </c>
      <c r="G1081" s="6">
        <v>1</v>
      </c>
      <c r="H1081" s="4">
        <v>185.01</v>
      </c>
      <c r="I1081" s="4">
        <v>116.7</v>
      </c>
      <c r="J1081" s="5">
        <v>0</v>
      </c>
      <c r="K1081" s="6">
        <v>1</v>
      </c>
      <c r="L1081" s="6">
        <v>4</v>
      </c>
      <c r="M1081" t="s">
        <v>58</v>
      </c>
      <c r="N1081" t="s">
        <v>69</v>
      </c>
      <c r="O1081" t="s">
        <v>64</v>
      </c>
      <c r="P1081" t="str">
        <f t="shared" si="112"/>
        <v>Individual</v>
      </c>
      <c r="Q1081" t="str">
        <f t="shared" si="113"/>
        <v>London</v>
      </c>
      <c r="R1081" t="str">
        <f>PROPER(TRIM(E1081))</f>
        <v>Furniture</v>
      </c>
      <c r="S1081" s="27">
        <f>IF(ISTEXT(B1081),DATEVALUE(B1081),B1081)</f>
        <v>45875</v>
      </c>
      <c r="T1081" s="27">
        <f>COUNTIF($A$2:$A$1986,A1081)</f>
        <v>1</v>
      </c>
      <c r="U1081" s="27" t="str">
        <f t="shared" si="114"/>
        <v>Office Chair</v>
      </c>
      <c r="V1081" s="27">
        <f t="shared" si="115"/>
        <v>185.01</v>
      </c>
      <c r="W1081" s="27">
        <f t="shared" si="116"/>
        <v>116.7</v>
      </c>
      <c r="X1081" s="27">
        <f>RawSalesTable3[[#This Row],[Revenue]]-RawSalesTable3[[#This Row],[Total_Cost]]</f>
        <v>68.309999999999988</v>
      </c>
      <c r="Y1081" s="28">
        <f>RawSalesTable3[[#This Row],[Profit]]/RawSalesTable3[[#This Row],[Revenue]]</f>
        <v>0.36922328522782549</v>
      </c>
      <c r="Z1081" s="27" t="str">
        <f>TEXT(RawSalesTable3[[#This Row],[Order_Date_Clean]],"MMM YYYY")</f>
        <v>Aug 2025</v>
      </c>
      <c r="AA1081" s="27"/>
      <c r="AB1081" s="27">
        <f t="shared" si="117"/>
        <v>0</v>
      </c>
      <c r="AC1081" s="27">
        <f t="shared" si="118"/>
        <v>0</v>
      </c>
    </row>
    <row r="1082" spans="1:29">
      <c r="A1082" t="s">
        <v>1184</v>
      </c>
      <c r="B1082" s="3">
        <v>45936</v>
      </c>
      <c r="C1082" t="s">
        <v>54</v>
      </c>
      <c r="D1082" t="s">
        <v>62</v>
      </c>
      <c r="E1082" t="s">
        <v>67</v>
      </c>
      <c r="F1082" t="s">
        <v>107</v>
      </c>
      <c r="G1082" s="6">
        <v>2</v>
      </c>
      <c r="H1082" s="4">
        <v>46.69</v>
      </c>
      <c r="I1082" s="4">
        <v>21.7</v>
      </c>
      <c r="J1082" s="5">
        <v>0</v>
      </c>
      <c r="K1082" s="6">
        <v>4</v>
      </c>
      <c r="L1082" s="6">
        <v>4</v>
      </c>
      <c r="M1082" t="s">
        <v>58</v>
      </c>
      <c r="N1082" t="s">
        <v>87</v>
      </c>
      <c r="O1082" t="s">
        <v>73</v>
      </c>
      <c r="P1082" t="str">
        <f t="shared" si="112"/>
        <v>Individual</v>
      </c>
      <c r="Q1082" t="str">
        <f t="shared" si="113"/>
        <v>North</v>
      </c>
      <c r="R1082" t="str">
        <f>PROPER(TRIM(E1082))</f>
        <v>Office</v>
      </c>
      <c r="S1082" s="27">
        <f>IF(ISTEXT(B1082),DATEVALUE(B1082),B1082)</f>
        <v>45936</v>
      </c>
      <c r="T1082" s="27">
        <f>COUNTIF($A$2:$A$1986,A1082)</f>
        <v>1</v>
      </c>
      <c r="U1082" s="27" t="str">
        <f t="shared" si="114"/>
        <v>Laptop Stand</v>
      </c>
      <c r="V1082" s="27">
        <f t="shared" si="115"/>
        <v>93.38</v>
      </c>
      <c r="W1082" s="27">
        <f t="shared" si="116"/>
        <v>43.4</v>
      </c>
      <c r="X1082" s="27">
        <f>RawSalesTable3[[#This Row],[Revenue]]-RawSalesTable3[[#This Row],[Total_Cost]]</f>
        <v>49.98</v>
      </c>
      <c r="Y1082" s="28">
        <f>RawSalesTable3[[#This Row],[Profit]]/RawSalesTable3[[#This Row],[Revenue]]</f>
        <v>0.5352323838080959</v>
      </c>
      <c r="Z1082" s="27" t="str">
        <f>TEXT(RawSalesTable3[[#This Row],[Order_Date_Clean]],"MMM YYYY")</f>
        <v>Oct 2025</v>
      </c>
      <c r="AA1082" s="27"/>
      <c r="AB1082" s="27">
        <f t="shared" si="117"/>
        <v>0</v>
      </c>
      <c r="AC1082" s="27">
        <f t="shared" si="118"/>
        <v>0</v>
      </c>
    </row>
    <row r="1083" spans="1:29">
      <c r="A1083" t="s">
        <v>1185</v>
      </c>
      <c r="B1083" s="3">
        <v>46013</v>
      </c>
      <c r="C1083" t="s">
        <v>54</v>
      </c>
      <c r="D1083" t="s">
        <v>62</v>
      </c>
      <c r="E1083" t="s">
        <v>79</v>
      </c>
      <c r="F1083" t="s">
        <v>115</v>
      </c>
      <c r="G1083" s="6">
        <v>1</v>
      </c>
      <c r="H1083" s="4">
        <v>59.62</v>
      </c>
      <c r="I1083" s="4">
        <v>33.97</v>
      </c>
      <c r="J1083" s="5">
        <v>0.15000000000000002</v>
      </c>
      <c r="K1083" s="6">
        <v>7</v>
      </c>
      <c r="L1083" s="6">
        <v>4</v>
      </c>
      <c r="M1083" t="s">
        <v>58</v>
      </c>
      <c r="N1083" t="s">
        <v>59</v>
      </c>
      <c r="O1083" t="s">
        <v>64</v>
      </c>
      <c r="P1083" t="str">
        <f t="shared" si="112"/>
        <v>Individual</v>
      </c>
      <c r="Q1083" t="str">
        <f t="shared" si="113"/>
        <v>North</v>
      </c>
      <c r="R1083" t="str">
        <f>PROPER(TRIM(E1083))</f>
        <v>Electronics</v>
      </c>
      <c r="S1083" s="27">
        <f>IF(ISTEXT(B1083),DATEVALUE(B1083),B1083)</f>
        <v>46013</v>
      </c>
      <c r="T1083" s="27">
        <f>COUNTIF($A$2:$A$1986,A1083)</f>
        <v>1</v>
      </c>
      <c r="U1083" s="27" t="str">
        <f t="shared" si="114"/>
        <v>Wireless Headset</v>
      </c>
      <c r="V1083" s="27">
        <f t="shared" si="115"/>
        <v>50.677</v>
      </c>
      <c r="W1083" s="27">
        <f t="shared" si="116"/>
        <v>33.97</v>
      </c>
      <c r="X1083" s="27">
        <f>RawSalesTable3[[#This Row],[Revenue]]-RawSalesTable3[[#This Row],[Total_Cost]]</f>
        <v>16.707000000000001</v>
      </c>
      <c r="Y1083" s="28">
        <f>RawSalesTable3[[#This Row],[Profit]]/RawSalesTable3[[#This Row],[Revenue]]</f>
        <v>0.3296761844623794</v>
      </c>
      <c r="Z1083" s="27" t="str">
        <f>TEXT(RawSalesTable3[[#This Row],[Order_Date_Clean]],"MMM YYYY")</f>
        <v>Dec 2025</v>
      </c>
      <c r="AA1083" s="27"/>
      <c r="AB1083" s="27">
        <f t="shared" si="117"/>
        <v>0</v>
      </c>
      <c r="AC1083" s="27">
        <f t="shared" si="118"/>
        <v>0</v>
      </c>
    </row>
    <row r="1084" spans="1:29">
      <c r="A1084" t="s">
        <v>1186</v>
      </c>
      <c r="B1084" s="3">
        <v>45906</v>
      </c>
      <c r="C1084" t="s">
        <v>78</v>
      </c>
      <c r="D1084" t="s">
        <v>55</v>
      </c>
      <c r="E1084" t="s">
        <v>79</v>
      </c>
      <c r="F1084" t="s">
        <v>115</v>
      </c>
      <c r="G1084" s="6">
        <v>3</v>
      </c>
      <c r="H1084" s="4">
        <v>61.18</v>
      </c>
      <c r="I1084" s="4">
        <v>33.299999999999997</v>
      </c>
      <c r="J1084" s="5">
        <v>0.05</v>
      </c>
      <c r="K1084" s="6">
        <v>0</v>
      </c>
      <c r="L1084" s="6">
        <v>5</v>
      </c>
      <c r="M1084" t="s">
        <v>58</v>
      </c>
      <c r="N1084" t="s">
        <v>69</v>
      </c>
      <c r="O1084" t="s">
        <v>64</v>
      </c>
      <c r="P1084" t="str">
        <f t="shared" si="112"/>
        <v>Small Business</v>
      </c>
      <c r="Q1084" t="str">
        <f t="shared" si="113"/>
        <v>London</v>
      </c>
      <c r="R1084" t="str">
        <f>PROPER(TRIM(E1084))</f>
        <v>Electronics</v>
      </c>
      <c r="S1084" s="27">
        <f>IF(ISTEXT(B1084),DATEVALUE(B1084),B1084)</f>
        <v>45906</v>
      </c>
      <c r="T1084" s="27">
        <f>COUNTIF($A$2:$A$1986,A1084)</f>
        <v>1</v>
      </c>
      <c r="U1084" s="27" t="str">
        <f t="shared" si="114"/>
        <v>Wireless Headset</v>
      </c>
      <c r="V1084" s="27">
        <f t="shared" si="115"/>
        <v>174.36299999999997</v>
      </c>
      <c r="W1084" s="27">
        <f t="shared" si="116"/>
        <v>99.899999999999991</v>
      </c>
      <c r="X1084" s="27">
        <f>RawSalesTable3[[#This Row],[Revenue]]-RawSalesTable3[[#This Row],[Total_Cost]]</f>
        <v>74.46299999999998</v>
      </c>
      <c r="Y1084" s="28">
        <f>RawSalesTable3[[#This Row],[Profit]]/RawSalesTable3[[#This Row],[Revenue]]</f>
        <v>0.42705734588186711</v>
      </c>
      <c r="Z1084" s="27" t="str">
        <f>TEXT(RawSalesTable3[[#This Row],[Order_Date_Clean]],"MMM YYYY")</f>
        <v>Sep 2025</v>
      </c>
      <c r="AA1084" s="27"/>
      <c r="AB1084" s="27">
        <f t="shared" si="117"/>
        <v>0</v>
      </c>
      <c r="AC1084" s="27">
        <f t="shared" si="118"/>
        <v>0</v>
      </c>
    </row>
    <row r="1085" spans="1:29">
      <c r="A1085" t="s">
        <v>1187</v>
      </c>
      <c r="B1085" s="3">
        <v>45967</v>
      </c>
      <c r="C1085" t="s">
        <v>82</v>
      </c>
      <c r="D1085" t="s">
        <v>62</v>
      </c>
      <c r="E1085" t="s">
        <v>79</v>
      </c>
      <c r="F1085" t="s">
        <v>85</v>
      </c>
      <c r="G1085" s="6">
        <v>1</v>
      </c>
      <c r="H1085" s="4">
        <v>133.69999999999999</v>
      </c>
      <c r="I1085" s="4">
        <v>85.68</v>
      </c>
      <c r="J1085" s="5">
        <v>0.1</v>
      </c>
      <c r="K1085" s="6">
        <v>3</v>
      </c>
      <c r="L1085" s="6">
        <v>4</v>
      </c>
      <c r="M1085" t="s">
        <v>58</v>
      </c>
      <c r="N1085" t="s">
        <v>59</v>
      </c>
      <c r="O1085" t="s">
        <v>64</v>
      </c>
      <c r="P1085" t="str">
        <f t="shared" si="112"/>
        <v>Individual</v>
      </c>
      <c r="Q1085" t="str">
        <f t="shared" si="113"/>
        <v>Midlands</v>
      </c>
      <c r="R1085" t="str">
        <f>PROPER(TRIM(E1085))</f>
        <v>Electronics</v>
      </c>
      <c r="S1085" s="27">
        <f>IF(ISTEXT(B1085),DATEVALUE(B1085),B1085)</f>
        <v>45967</v>
      </c>
      <c r="T1085" s="27">
        <f>COUNTIF($A$2:$A$1986,A1085)</f>
        <v>1</v>
      </c>
      <c r="U1085" s="27" t="str">
        <f t="shared" si="114"/>
        <v>SmartHome Hub</v>
      </c>
      <c r="V1085" s="27">
        <f t="shared" si="115"/>
        <v>120.33</v>
      </c>
      <c r="W1085" s="27">
        <f t="shared" si="116"/>
        <v>85.68</v>
      </c>
      <c r="X1085" s="27">
        <f>RawSalesTable3[[#This Row],[Revenue]]-RawSalesTable3[[#This Row],[Total_Cost]]</f>
        <v>34.649999999999991</v>
      </c>
      <c r="Y1085" s="28">
        <f>RawSalesTable3[[#This Row],[Profit]]/RawSalesTable3[[#This Row],[Revenue]]</f>
        <v>0.28795811518324599</v>
      </c>
      <c r="Z1085" s="27" t="str">
        <f>TEXT(RawSalesTable3[[#This Row],[Order_Date_Clean]],"MMM YYYY")</f>
        <v>Nov 2025</v>
      </c>
      <c r="AA1085" s="27"/>
      <c r="AB1085" s="27">
        <f t="shared" si="117"/>
        <v>0</v>
      </c>
      <c r="AC1085" s="27">
        <f t="shared" si="118"/>
        <v>0</v>
      </c>
    </row>
    <row r="1086" spans="1:29">
      <c r="A1086" t="s">
        <v>1188</v>
      </c>
      <c r="B1086" s="3">
        <v>45745</v>
      </c>
      <c r="C1086" t="s">
        <v>78</v>
      </c>
      <c r="D1086" t="s">
        <v>62</v>
      </c>
      <c r="E1086" t="s">
        <v>67</v>
      </c>
      <c r="F1086" t="s">
        <v>68</v>
      </c>
      <c r="G1086" s="6">
        <v>1</v>
      </c>
      <c r="H1086" s="4">
        <v>40.07</v>
      </c>
      <c r="I1086" s="4">
        <v>19.78</v>
      </c>
      <c r="J1086" s="5">
        <v>0.05</v>
      </c>
      <c r="K1086" s="6">
        <v>3</v>
      </c>
      <c r="L1086" s="6">
        <v>3</v>
      </c>
      <c r="M1086" t="s">
        <v>126</v>
      </c>
      <c r="N1086" t="s">
        <v>59</v>
      </c>
      <c r="O1086" t="s">
        <v>60</v>
      </c>
      <c r="P1086" t="str">
        <f t="shared" si="112"/>
        <v>Individual</v>
      </c>
      <c r="Q1086" t="str">
        <f t="shared" si="113"/>
        <v>London</v>
      </c>
      <c r="R1086" t="str">
        <f>PROPER(TRIM(E1086))</f>
        <v>Office</v>
      </c>
      <c r="S1086" s="27">
        <f>IF(ISTEXT(B1086),DATEVALUE(B1086),B1086)</f>
        <v>45745</v>
      </c>
      <c r="T1086" s="27">
        <f>COUNTIF($A$2:$A$1986,A1086)</f>
        <v>1</v>
      </c>
      <c r="U1086" s="27" t="str">
        <f t="shared" si="114"/>
        <v>Desk Lamp</v>
      </c>
      <c r="V1086" s="27">
        <f t="shared" si="115"/>
        <v>38.066499999999998</v>
      </c>
      <c r="W1086" s="27">
        <f t="shared" si="116"/>
        <v>19.78</v>
      </c>
      <c r="X1086" s="27">
        <f>RawSalesTable3[[#This Row],[Revenue]]-RawSalesTable3[[#This Row],[Total_Cost]]</f>
        <v>18.286499999999997</v>
      </c>
      <c r="Y1086" s="28">
        <f>RawSalesTable3[[#This Row],[Profit]]/RawSalesTable3[[#This Row],[Revenue]]</f>
        <v>0.48038301393613803</v>
      </c>
      <c r="Z1086" s="27" t="str">
        <f>TEXT(RawSalesTable3[[#This Row],[Order_Date_Clean]],"MMM YYYY")</f>
        <v>Mar 2025</v>
      </c>
      <c r="AA1086" s="27"/>
      <c r="AB1086" s="27">
        <f t="shared" si="117"/>
        <v>0</v>
      </c>
      <c r="AC1086" s="27">
        <f t="shared" si="118"/>
        <v>0</v>
      </c>
    </row>
    <row r="1087" spans="1:29">
      <c r="A1087" t="s">
        <v>1189</v>
      </c>
      <c r="B1087" s="3">
        <v>45796</v>
      </c>
      <c r="C1087" t="s">
        <v>78</v>
      </c>
      <c r="D1087" t="s">
        <v>62</v>
      </c>
      <c r="E1087" t="s">
        <v>79</v>
      </c>
      <c r="F1087" t="s">
        <v>115</v>
      </c>
      <c r="G1087" s="6">
        <v>1</v>
      </c>
      <c r="H1087" s="4">
        <v>58.3</v>
      </c>
      <c r="I1087" s="4">
        <v>35.130000000000003</v>
      </c>
      <c r="J1087" s="5">
        <v>0</v>
      </c>
      <c r="K1087" s="6">
        <v>0</v>
      </c>
      <c r="L1087" s="6">
        <v>5</v>
      </c>
      <c r="M1087" t="s">
        <v>58</v>
      </c>
      <c r="N1087" t="s">
        <v>69</v>
      </c>
      <c r="O1087" t="s">
        <v>64</v>
      </c>
      <c r="P1087" t="str">
        <f t="shared" si="112"/>
        <v>Individual</v>
      </c>
      <c r="Q1087" t="str">
        <f t="shared" si="113"/>
        <v>London</v>
      </c>
      <c r="R1087" t="str">
        <f>PROPER(TRIM(E1087))</f>
        <v>Electronics</v>
      </c>
      <c r="S1087" s="27">
        <f>IF(ISTEXT(B1087),DATEVALUE(B1087),B1087)</f>
        <v>45796</v>
      </c>
      <c r="T1087" s="27">
        <f>COUNTIF($A$2:$A$1986,A1087)</f>
        <v>1</v>
      </c>
      <c r="U1087" s="27" t="str">
        <f t="shared" si="114"/>
        <v>Wireless Headset</v>
      </c>
      <c r="V1087" s="27">
        <f t="shared" si="115"/>
        <v>58.3</v>
      </c>
      <c r="W1087" s="27">
        <f t="shared" si="116"/>
        <v>35.130000000000003</v>
      </c>
      <c r="X1087" s="27">
        <f>RawSalesTable3[[#This Row],[Revenue]]-RawSalesTable3[[#This Row],[Total_Cost]]</f>
        <v>23.169999999999995</v>
      </c>
      <c r="Y1087" s="28">
        <f>RawSalesTable3[[#This Row],[Profit]]/RawSalesTable3[[#This Row],[Revenue]]</f>
        <v>0.39742710120068603</v>
      </c>
      <c r="Z1087" s="27" t="str">
        <f>TEXT(RawSalesTable3[[#This Row],[Order_Date_Clean]],"MMM YYYY")</f>
        <v>May 2025</v>
      </c>
      <c r="AA1087" s="27"/>
      <c r="AB1087" s="27">
        <f t="shared" si="117"/>
        <v>0</v>
      </c>
      <c r="AC1087" s="27">
        <f t="shared" si="118"/>
        <v>0</v>
      </c>
    </row>
    <row r="1088" spans="1:29">
      <c r="A1088" t="s">
        <v>1190</v>
      </c>
      <c r="B1088" s="3">
        <v>46002</v>
      </c>
      <c r="C1088" t="s">
        <v>78</v>
      </c>
      <c r="D1088" t="s">
        <v>62</v>
      </c>
      <c r="E1088" t="s">
        <v>56</v>
      </c>
      <c r="F1088" t="s">
        <v>63</v>
      </c>
      <c r="G1088" s="6">
        <v>1</v>
      </c>
      <c r="H1088" s="4">
        <v>38.93</v>
      </c>
      <c r="I1088" s="4">
        <v>20.91</v>
      </c>
      <c r="J1088" s="5">
        <v>0.2</v>
      </c>
      <c r="K1088" s="6">
        <v>0</v>
      </c>
      <c r="L1088" s="6">
        <v>4</v>
      </c>
      <c r="M1088" t="s">
        <v>58</v>
      </c>
      <c r="N1088" t="s">
        <v>69</v>
      </c>
      <c r="O1088" t="s">
        <v>64</v>
      </c>
      <c r="P1088" t="str">
        <f t="shared" si="112"/>
        <v>Individual</v>
      </c>
      <c r="Q1088" t="str">
        <f t="shared" si="113"/>
        <v>London</v>
      </c>
      <c r="R1088" t="str">
        <f>PROPER(TRIM(E1088))</f>
        <v>Home &amp; Kitchen</v>
      </c>
      <c r="S1088" s="27">
        <f>IF(ISTEXT(B1088),DATEVALUE(B1088),B1088)</f>
        <v>46002</v>
      </c>
      <c r="T1088" s="27">
        <f>COUNTIF($A$2:$A$1986,A1088)</f>
        <v>1</v>
      </c>
      <c r="U1088" s="27" t="str">
        <f t="shared" si="114"/>
        <v>Electric Kettle</v>
      </c>
      <c r="V1088" s="27">
        <f t="shared" si="115"/>
        <v>31.144000000000002</v>
      </c>
      <c r="W1088" s="27">
        <f t="shared" si="116"/>
        <v>20.91</v>
      </c>
      <c r="X1088" s="27">
        <f>RawSalesTable3[[#This Row],[Revenue]]-RawSalesTable3[[#This Row],[Total_Cost]]</f>
        <v>10.234000000000002</v>
      </c>
      <c r="Y1088" s="28">
        <f>RawSalesTable3[[#This Row],[Profit]]/RawSalesTable3[[#This Row],[Revenue]]</f>
        <v>0.32860262008733626</v>
      </c>
      <c r="Z1088" s="27" t="str">
        <f>TEXT(RawSalesTable3[[#This Row],[Order_Date_Clean]],"MMM YYYY")</f>
        <v>Dec 2025</v>
      </c>
      <c r="AA1088" s="27"/>
      <c r="AB1088" s="27">
        <f t="shared" si="117"/>
        <v>0</v>
      </c>
      <c r="AC1088" s="27">
        <f t="shared" si="118"/>
        <v>0</v>
      </c>
    </row>
    <row r="1089" spans="1:29">
      <c r="A1089" t="s">
        <v>1191</v>
      </c>
      <c r="B1089" s="3">
        <v>45973</v>
      </c>
      <c r="C1089" t="s">
        <v>1192</v>
      </c>
      <c r="D1089" t="s">
        <v>55</v>
      </c>
      <c r="E1089" t="s">
        <v>56</v>
      </c>
      <c r="F1089" t="s">
        <v>89</v>
      </c>
      <c r="G1089" s="6">
        <v>2</v>
      </c>
      <c r="H1089" s="4">
        <v>82.23</v>
      </c>
      <c r="I1089" s="4">
        <v>46.09</v>
      </c>
      <c r="J1089" s="5">
        <v>0.1</v>
      </c>
      <c r="K1089" s="6">
        <v>1</v>
      </c>
      <c r="L1089" s="6">
        <v>4</v>
      </c>
      <c r="M1089" t="s">
        <v>58</v>
      </c>
      <c r="N1089" t="s">
        <v>69</v>
      </c>
      <c r="O1089" t="s">
        <v>64</v>
      </c>
      <c r="P1089" t="str">
        <f t="shared" si="112"/>
        <v>Small Business</v>
      </c>
      <c r="Q1089" t="str">
        <f t="shared" si="113"/>
        <v>North</v>
      </c>
      <c r="R1089" t="str">
        <f>PROPER(TRIM(E1089))</f>
        <v>Home &amp; Kitchen</v>
      </c>
      <c r="S1089" s="27">
        <f>IF(ISTEXT(B1089),DATEVALUE(B1089),B1089)</f>
        <v>45973</v>
      </c>
      <c r="T1089" s="27">
        <f>COUNTIF($A$2:$A$1986,A1089)</f>
        <v>1</v>
      </c>
      <c r="U1089" s="27" t="str">
        <f t="shared" si="114"/>
        <v>Coffee Maker</v>
      </c>
      <c r="V1089" s="27">
        <f t="shared" si="115"/>
        <v>148.01400000000001</v>
      </c>
      <c r="W1089" s="27">
        <f t="shared" si="116"/>
        <v>92.18</v>
      </c>
      <c r="X1089" s="27">
        <f>RawSalesTable3[[#This Row],[Revenue]]-RawSalesTable3[[#This Row],[Total_Cost]]</f>
        <v>55.834000000000003</v>
      </c>
      <c r="Y1089" s="28">
        <f>RawSalesTable3[[#This Row],[Profit]]/RawSalesTable3[[#This Row],[Revenue]]</f>
        <v>0.37722107368221924</v>
      </c>
      <c r="Z1089" s="27" t="str">
        <f>TEXT(RawSalesTable3[[#This Row],[Order_Date_Clean]],"MMM YYYY")</f>
        <v>Nov 2025</v>
      </c>
      <c r="AA1089" s="27"/>
      <c r="AB1089" s="27">
        <f t="shared" si="117"/>
        <v>0</v>
      </c>
      <c r="AC1089" s="27">
        <f t="shared" si="118"/>
        <v>0</v>
      </c>
    </row>
    <row r="1090" spans="1:29">
      <c r="A1090" t="s">
        <v>1193</v>
      </c>
      <c r="B1090" s="3">
        <v>45696</v>
      </c>
      <c r="C1090" t="s">
        <v>78</v>
      </c>
      <c r="D1090" t="s">
        <v>62</v>
      </c>
      <c r="E1090" t="s">
        <v>56</v>
      </c>
      <c r="F1090" t="s">
        <v>83</v>
      </c>
      <c r="G1090" s="6">
        <v>1</v>
      </c>
      <c r="H1090" s="4">
        <v>63.82</v>
      </c>
      <c r="I1090" s="4">
        <v>34.340000000000003</v>
      </c>
      <c r="J1090" s="5">
        <v>0.05</v>
      </c>
      <c r="K1090" s="6">
        <v>0</v>
      </c>
      <c r="L1090" s="6">
        <v>4</v>
      </c>
      <c r="M1090" t="s">
        <v>58</v>
      </c>
      <c r="N1090" t="s">
        <v>69</v>
      </c>
      <c r="O1090" t="s">
        <v>64</v>
      </c>
      <c r="P1090" t="str">
        <f t="shared" ref="P1090:P1153" si="119">IF(TRIM(D1090)="","Unknow",PROPER(TRIM(D1090)))</f>
        <v>Individual</v>
      </c>
      <c r="Q1090" t="str">
        <f t="shared" ref="Q1090:Q1153" si="120">IF(PROPER(TRIM(C1090))="Mid Lands","Midlands",PROPER(TRIM(C1090)))</f>
        <v>London</v>
      </c>
      <c r="R1090" t="str">
        <f>PROPER(TRIM(E1090))</f>
        <v>Home &amp; Kitchen</v>
      </c>
      <c r="S1090" s="27">
        <f>IF(ISTEXT(B1090),DATEVALUE(B1090),B1090)</f>
        <v>45696</v>
      </c>
      <c r="T1090" s="27">
        <f>COUNTIF($A$2:$A$1986,A1090)</f>
        <v>1</v>
      </c>
      <c r="U1090" s="27" t="str">
        <f t="shared" ref="U1090:U1153" si="121">TRIM(F1090)</f>
        <v>Blender</v>
      </c>
      <c r="V1090" s="27">
        <f t="shared" ref="V1090:V1153" si="122">G1090*H1090*(1-J1090)</f>
        <v>60.628999999999998</v>
      </c>
      <c r="W1090" s="27">
        <f t="shared" ref="W1090:W1153" si="123">G1090*I1090</f>
        <v>34.340000000000003</v>
      </c>
      <c r="X1090" s="27">
        <f>RawSalesTable3[[#This Row],[Revenue]]-RawSalesTable3[[#This Row],[Total_Cost]]</f>
        <v>26.288999999999994</v>
      </c>
      <c r="Y1090" s="28">
        <f>RawSalesTable3[[#This Row],[Profit]]/RawSalesTable3[[#This Row],[Revenue]]</f>
        <v>0.43360438074188912</v>
      </c>
      <c r="Z1090" s="27" t="str">
        <f>TEXT(RawSalesTable3[[#This Row],[Order_Date_Clean]],"MMM YYYY")</f>
        <v>Feb 2025</v>
      </c>
      <c r="AA1090" s="27"/>
      <c r="AB1090" s="27">
        <f t="shared" ref="AB1090:AB1153" si="124">SUMIF($Z:$Z,AA1090,$V:$V)</f>
        <v>0</v>
      </c>
      <c r="AC1090" s="27">
        <f t="shared" ref="AC1090:AC1153" si="125">SUMIF($Z:$Z,AA1090,$X:$X)</f>
        <v>0</v>
      </c>
    </row>
    <row r="1091" spans="1:29">
      <c r="A1091" t="s">
        <v>1194</v>
      </c>
      <c r="B1091" s="3">
        <v>45726</v>
      </c>
      <c r="C1091" t="s">
        <v>78</v>
      </c>
      <c r="D1091" t="s">
        <v>62</v>
      </c>
      <c r="E1091" t="s">
        <v>56</v>
      </c>
      <c r="F1091" t="s">
        <v>57</v>
      </c>
      <c r="G1091" s="6">
        <v>3</v>
      </c>
      <c r="H1091" s="4">
        <v>114.05</v>
      </c>
      <c r="I1091" s="4">
        <v>69.09</v>
      </c>
      <c r="J1091" s="5">
        <v>0</v>
      </c>
      <c r="K1091" s="6">
        <v>4</v>
      </c>
      <c r="L1091" s="6">
        <v>4</v>
      </c>
      <c r="M1091" t="s">
        <v>58</v>
      </c>
      <c r="N1091" t="s">
        <v>59</v>
      </c>
      <c r="O1091" t="s">
        <v>73</v>
      </c>
      <c r="P1091" t="str">
        <f t="shared" si="119"/>
        <v>Individual</v>
      </c>
      <c r="Q1091" t="str">
        <f t="shared" si="120"/>
        <v>London</v>
      </c>
      <c r="R1091" t="str">
        <f>PROPER(TRIM(E1091))</f>
        <v>Home &amp; Kitchen</v>
      </c>
      <c r="S1091" s="27">
        <f>IF(ISTEXT(B1091),DATEVALUE(B1091),B1091)</f>
        <v>45726</v>
      </c>
      <c r="T1091" s="27">
        <f>COUNTIF($A$2:$A$1986,A1091)</f>
        <v>1</v>
      </c>
      <c r="U1091" s="27" t="str">
        <f t="shared" si="121"/>
        <v>Air Fryer</v>
      </c>
      <c r="V1091" s="27">
        <f t="shared" si="122"/>
        <v>342.15</v>
      </c>
      <c r="W1091" s="27">
        <f t="shared" si="123"/>
        <v>207.27</v>
      </c>
      <c r="X1091" s="27">
        <f>RawSalesTable3[[#This Row],[Revenue]]-RawSalesTable3[[#This Row],[Total_Cost]]</f>
        <v>134.87999999999997</v>
      </c>
      <c r="Y1091" s="28">
        <f>RawSalesTable3[[#This Row],[Profit]]/RawSalesTable3[[#This Row],[Revenue]]</f>
        <v>0.39421306444541859</v>
      </c>
      <c r="Z1091" s="27" t="str">
        <f>TEXT(RawSalesTable3[[#This Row],[Order_Date_Clean]],"MMM YYYY")</f>
        <v>Mar 2025</v>
      </c>
      <c r="AA1091" s="27"/>
      <c r="AB1091" s="27">
        <f t="shared" si="124"/>
        <v>0</v>
      </c>
      <c r="AC1091" s="27">
        <f t="shared" si="125"/>
        <v>0</v>
      </c>
    </row>
    <row r="1092" spans="1:29">
      <c r="A1092" t="s">
        <v>1195</v>
      </c>
      <c r="B1092" s="3">
        <v>45736</v>
      </c>
      <c r="C1092" t="s">
        <v>82</v>
      </c>
      <c r="D1092" t="s">
        <v>62</v>
      </c>
      <c r="E1092" t="s">
        <v>56</v>
      </c>
      <c r="F1092" t="s">
        <v>83</v>
      </c>
      <c r="G1092" s="6">
        <v>2</v>
      </c>
      <c r="H1092" s="4">
        <v>64.2</v>
      </c>
      <c r="I1092" s="4">
        <v>34.630000000000003</v>
      </c>
      <c r="J1092" s="5">
        <v>0.05</v>
      </c>
      <c r="K1092" s="6">
        <v>1</v>
      </c>
      <c r="L1092" s="6">
        <v>4</v>
      </c>
      <c r="M1092" t="s">
        <v>58</v>
      </c>
      <c r="N1092" t="s">
        <v>69</v>
      </c>
      <c r="O1092" t="s">
        <v>73</v>
      </c>
      <c r="P1092" t="str">
        <f t="shared" si="119"/>
        <v>Individual</v>
      </c>
      <c r="Q1092" t="str">
        <f t="shared" si="120"/>
        <v>Midlands</v>
      </c>
      <c r="R1092" t="str">
        <f>PROPER(TRIM(E1092))</f>
        <v>Home &amp; Kitchen</v>
      </c>
      <c r="S1092" s="27">
        <f>IF(ISTEXT(B1092),DATEVALUE(B1092),B1092)</f>
        <v>45736</v>
      </c>
      <c r="T1092" s="27">
        <f>COUNTIF($A$2:$A$1986,A1092)</f>
        <v>1</v>
      </c>
      <c r="U1092" s="27" t="str">
        <f t="shared" si="121"/>
        <v>Blender</v>
      </c>
      <c r="V1092" s="27">
        <f t="shared" si="122"/>
        <v>121.98</v>
      </c>
      <c r="W1092" s="27">
        <f t="shared" si="123"/>
        <v>69.260000000000005</v>
      </c>
      <c r="X1092" s="27">
        <f>RawSalesTable3[[#This Row],[Revenue]]-RawSalesTable3[[#This Row],[Total_Cost]]</f>
        <v>52.72</v>
      </c>
      <c r="Y1092" s="28">
        <f>RawSalesTable3[[#This Row],[Profit]]/RawSalesTable3[[#This Row],[Revenue]]</f>
        <v>0.43220200032792261</v>
      </c>
      <c r="Z1092" s="27" t="str">
        <f>TEXT(RawSalesTable3[[#This Row],[Order_Date_Clean]],"MMM YYYY")</f>
        <v>Mar 2025</v>
      </c>
      <c r="AA1092" s="27"/>
      <c r="AB1092" s="27">
        <f t="shared" si="124"/>
        <v>0</v>
      </c>
      <c r="AC1092" s="27">
        <f t="shared" si="125"/>
        <v>0</v>
      </c>
    </row>
    <row r="1093" spans="1:29">
      <c r="A1093" t="s">
        <v>1196</v>
      </c>
      <c r="B1093" s="3">
        <v>45745</v>
      </c>
      <c r="C1093" t="s">
        <v>66</v>
      </c>
      <c r="D1093" t="s">
        <v>62</v>
      </c>
      <c r="E1093" t="s">
        <v>75</v>
      </c>
      <c r="F1093" t="s">
        <v>97</v>
      </c>
      <c r="G1093" s="6">
        <v>1</v>
      </c>
      <c r="H1093" s="4">
        <v>88.27</v>
      </c>
      <c r="I1093" s="4">
        <v>53.9</v>
      </c>
      <c r="J1093" s="5">
        <v>0</v>
      </c>
      <c r="K1093" s="6">
        <v>3</v>
      </c>
      <c r="L1093" s="6">
        <v>4</v>
      </c>
      <c r="M1093" t="s">
        <v>58</v>
      </c>
      <c r="N1093" t="s">
        <v>59</v>
      </c>
      <c r="O1093" t="s">
        <v>60</v>
      </c>
      <c r="P1093" t="str">
        <f t="shared" si="119"/>
        <v>Individual</v>
      </c>
      <c r="Q1093" t="str">
        <f t="shared" si="120"/>
        <v>South</v>
      </c>
      <c r="R1093" t="str">
        <f>PROPER(TRIM(E1093))</f>
        <v>Furniture</v>
      </c>
      <c r="S1093" s="27">
        <f>IF(ISTEXT(B1093),DATEVALUE(B1093),B1093)</f>
        <v>45745</v>
      </c>
      <c r="T1093" s="27">
        <f>COUNTIF($A$2:$A$1986,A1093)</f>
        <v>1</v>
      </c>
      <c r="U1093" s="27" t="str">
        <f t="shared" si="121"/>
        <v>Side Table</v>
      </c>
      <c r="V1093" s="27">
        <f t="shared" si="122"/>
        <v>88.27</v>
      </c>
      <c r="W1093" s="27">
        <f t="shared" si="123"/>
        <v>53.9</v>
      </c>
      <c r="X1093" s="27">
        <f>RawSalesTable3[[#This Row],[Revenue]]-RawSalesTable3[[#This Row],[Total_Cost]]</f>
        <v>34.369999999999997</v>
      </c>
      <c r="Y1093" s="28">
        <f>RawSalesTable3[[#This Row],[Profit]]/RawSalesTable3[[#This Row],[Revenue]]</f>
        <v>0.3893735130848533</v>
      </c>
      <c r="Z1093" s="27" t="str">
        <f>TEXT(RawSalesTable3[[#This Row],[Order_Date_Clean]],"MMM YYYY")</f>
        <v>Mar 2025</v>
      </c>
      <c r="AA1093" s="27"/>
      <c r="AB1093" s="27">
        <f t="shared" si="124"/>
        <v>0</v>
      </c>
      <c r="AC1093" s="27">
        <f t="shared" si="125"/>
        <v>0</v>
      </c>
    </row>
    <row r="1094" spans="1:29">
      <c r="A1094" t="s">
        <v>1197</v>
      </c>
      <c r="B1094" s="3">
        <v>45696</v>
      </c>
      <c r="C1094" t="s">
        <v>66</v>
      </c>
      <c r="D1094" t="s">
        <v>62</v>
      </c>
      <c r="E1094" t="s">
        <v>56</v>
      </c>
      <c r="F1094" t="s">
        <v>63</v>
      </c>
      <c r="G1094" s="6">
        <v>3</v>
      </c>
      <c r="H1094" s="4">
        <v>38.950000000000003</v>
      </c>
      <c r="I1094" s="4">
        <v>20.61</v>
      </c>
      <c r="J1094" s="5">
        <v>0.05</v>
      </c>
      <c r="K1094" s="6">
        <v>1</v>
      </c>
      <c r="L1094" s="6">
        <v>4</v>
      </c>
      <c r="M1094" t="s">
        <v>58</v>
      </c>
      <c r="N1094" t="s">
        <v>69</v>
      </c>
      <c r="O1094" t="s">
        <v>64</v>
      </c>
      <c r="P1094" t="str">
        <f t="shared" si="119"/>
        <v>Individual</v>
      </c>
      <c r="Q1094" t="str">
        <f t="shared" si="120"/>
        <v>South</v>
      </c>
      <c r="R1094" t="str">
        <f>PROPER(TRIM(E1094))</f>
        <v>Home &amp; Kitchen</v>
      </c>
      <c r="S1094" s="27">
        <f>IF(ISTEXT(B1094),DATEVALUE(B1094),B1094)</f>
        <v>45696</v>
      </c>
      <c r="T1094" s="27">
        <f>COUNTIF($A$2:$A$1986,A1094)</f>
        <v>1</v>
      </c>
      <c r="U1094" s="27" t="str">
        <f t="shared" si="121"/>
        <v>Electric Kettle</v>
      </c>
      <c r="V1094" s="27">
        <f t="shared" si="122"/>
        <v>111.00750000000001</v>
      </c>
      <c r="W1094" s="27">
        <f t="shared" si="123"/>
        <v>61.83</v>
      </c>
      <c r="X1094" s="27">
        <f>RawSalesTable3[[#This Row],[Revenue]]-RawSalesTable3[[#This Row],[Total_Cost]]</f>
        <v>49.177500000000009</v>
      </c>
      <c r="Y1094" s="28">
        <f>RawSalesTable3[[#This Row],[Profit]]/RawSalesTable3[[#This Row],[Revenue]]</f>
        <v>0.44301060739139253</v>
      </c>
      <c r="Z1094" s="27" t="str">
        <f>TEXT(RawSalesTable3[[#This Row],[Order_Date_Clean]],"MMM YYYY")</f>
        <v>Feb 2025</v>
      </c>
      <c r="AA1094" s="27"/>
      <c r="AB1094" s="27">
        <f t="shared" si="124"/>
        <v>0</v>
      </c>
      <c r="AC1094" s="27">
        <f t="shared" si="125"/>
        <v>0</v>
      </c>
    </row>
    <row r="1095" spans="1:29">
      <c r="A1095" t="s">
        <v>1198</v>
      </c>
      <c r="B1095" s="3">
        <v>45935</v>
      </c>
      <c r="C1095" t="s">
        <v>66</v>
      </c>
      <c r="D1095" t="s">
        <v>62</v>
      </c>
      <c r="E1095" t="s">
        <v>56</v>
      </c>
      <c r="F1095" t="s">
        <v>83</v>
      </c>
      <c r="G1095" s="6">
        <v>3</v>
      </c>
      <c r="H1095" s="4">
        <v>64.44</v>
      </c>
      <c r="I1095" s="4">
        <v>34.85</v>
      </c>
      <c r="J1095" s="5">
        <v>0.2</v>
      </c>
      <c r="K1095" s="6">
        <v>3</v>
      </c>
      <c r="L1095" s="6">
        <v>4</v>
      </c>
      <c r="M1095" t="s">
        <v>58</v>
      </c>
      <c r="N1095" t="s">
        <v>59</v>
      </c>
      <c r="O1095" t="s">
        <v>60</v>
      </c>
      <c r="P1095" t="str">
        <f t="shared" si="119"/>
        <v>Individual</v>
      </c>
      <c r="Q1095" t="str">
        <f t="shared" si="120"/>
        <v>South</v>
      </c>
      <c r="R1095" t="str">
        <f>PROPER(TRIM(E1095))</f>
        <v>Home &amp; Kitchen</v>
      </c>
      <c r="S1095" s="27">
        <f>IF(ISTEXT(B1095),DATEVALUE(B1095),B1095)</f>
        <v>45935</v>
      </c>
      <c r="T1095" s="27">
        <f>COUNTIF($A$2:$A$1986,A1095)</f>
        <v>1</v>
      </c>
      <c r="U1095" s="27" t="str">
        <f t="shared" si="121"/>
        <v>Blender</v>
      </c>
      <c r="V1095" s="27">
        <f t="shared" si="122"/>
        <v>154.65600000000001</v>
      </c>
      <c r="W1095" s="27">
        <f t="shared" si="123"/>
        <v>104.55000000000001</v>
      </c>
      <c r="X1095" s="27">
        <f>RawSalesTable3[[#This Row],[Revenue]]-RawSalesTable3[[#This Row],[Total_Cost]]</f>
        <v>50.105999999999995</v>
      </c>
      <c r="Y1095" s="28">
        <f>RawSalesTable3[[#This Row],[Profit]]/RawSalesTable3[[#This Row],[Revenue]]</f>
        <v>0.3239835505896958</v>
      </c>
      <c r="Z1095" s="27" t="str">
        <f>TEXT(RawSalesTable3[[#This Row],[Order_Date_Clean]],"MMM YYYY")</f>
        <v>Oct 2025</v>
      </c>
      <c r="AA1095" s="27"/>
      <c r="AB1095" s="27">
        <f t="shared" si="124"/>
        <v>0</v>
      </c>
      <c r="AC1095" s="27">
        <f t="shared" si="125"/>
        <v>0</v>
      </c>
    </row>
    <row r="1096" spans="1:29">
      <c r="A1096" t="s">
        <v>1199</v>
      </c>
      <c r="B1096" s="3">
        <v>45804</v>
      </c>
      <c r="C1096" t="s">
        <v>82</v>
      </c>
      <c r="D1096" t="s">
        <v>129</v>
      </c>
      <c r="E1096" t="s">
        <v>67</v>
      </c>
      <c r="F1096" t="s">
        <v>71</v>
      </c>
      <c r="G1096" s="6">
        <v>4</v>
      </c>
      <c r="H1096" s="4">
        <v>68.790000000000006</v>
      </c>
      <c r="I1096" s="4">
        <v>38.42</v>
      </c>
      <c r="J1096" s="5">
        <v>0.1</v>
      </c>
      <c r="K1096" s="6">
        <v>6</v>
      </c>
      <c r="L1096" s="6">
        <v>4</v>
      </c>
      <c r="M1096" t="s">
        <v>58</v>
      </c>
      <c r="N1096" t="s">
        <v>59</v>
      </c>
      <c r="O1096" t="s">
        <v>64</v>
      </c>
      <c r="P1096" t="str">
        <f t="shared" si="119"/>
        <v>Corporate</v>
      </c>
      <c r="Q1096" t="str">
        <f t="shared" si="120"/>
        <v>Midlands</v>
      </c>
      <c r="R1096" t="str">
        <f>PROPER(TRIM(E1096))</f>
        <v>Office</v>
      </c>
      <c r="S1096" s="27">
        <f>IF(ISTEXT(B1096),DATEVALUE(B1096),B1096)</f>
        <v>45804</v>
      </c>
      <c r="T1096" s="27">
        <f>COUNTIF($A$2:$A$1986,A1096)</f>
        <v>1</v>
      </c>
      <c r="U1096" s="27" t="str">
        <f t="shared" si="121"/>
        <v>Ergonomic Keyboard</v>
      </c>
      <c r="V1096" s="27">
        <f t="shared" si="122"/>
        <v>247.64400000000003</v>
      </c>
      <c r="W1096" s="27">
        <f t="shared" si="123"/>
        <v>153.68</v>
      </c>
      <c r="X1096" s="27">
        <f>RawSalesTable3[[#This Row],[Revenue]]-RawSalesTable3[[#This Row],[Total_Cost]]</f>
        <v>93.964000000000027</v>
      </c>
      <c r="Y1096" s="28">
        <f>RawSalesTable3[[#This Row],[Profit]]/RawSalesTable3[[#This Row],[Revenue]]</f>
        <v>0.37943176495291636</v>
      </c>
      <c r="Z1096" s="27" t="str">
        <f>TEXT(RawSalesTable3[[#This Row],[Order_Date_Clean]],"MMM YYYY")</f>
        <v>May 2025</v>
      </c>
      <c r="AA1096" s="27"/>
      <c r="AB1096" s="27">
        <f t="shared" si="124"/>
        <v>0</v>
      </c>
      <c r="AC1096" s="27">
        <f t="shared" si="125"/>
        <v>0</v>
      </c>
    </row>
    <row r="1097" spans="1:29">
      <c r="A1097" t="s">
        <v>1200</v>
      </c>
      <c r="B1097" s="3">
        <v>45751</v>
      </c>
      <c r="C1097" t="s">
        <v>82</v>
      </c>
      <c r="D1097" t="s">
        <v>55</v>
      </c>
      <c r="E1097" t="s">
        <v>56</v>
      </c>
      <c r="F1097" t="s">
        <v>63</v>
      </c>
      <c r="G1097" s="6">
        <v>5</v>
      </c>
      <c r="H1097" s="4">
        <v>40.65</v>
      </c>
      <c r="I1097" s="4">
        <v>20.94</v>
      </c>
      <c r="J1097" s="5">
        <v>0</v>
      </c>
      <c r="K1097" s="6">
        <v>3</v>
      </c>
      <c r="L1097" s="6">
        <v>5</v>
      </c>
      <c r="M1097" t="s">
        <v>58</v>
      </c>
      <c r="N1097" t="s">
        <v>59</v>
      </c>
      <c r="O1097" t="s">
        <v>60</v>
      </c>
      <c r="P1097" t="str">
        <f t="shared" si="119"/>
        <v>Small Business</v>
      </c>
      <c r="Q1097" t="str">
        <f t="shared" si="120"/>
        <v>Midlands</v>
      </c>
      <c r="R1097" t="str">
        <f>PROPER(TRIM(E1097))</f>
        <v>Home &amp; Kitchen</v>
      </c>
      <c r="S1097" s="27">
        <f>IF(ISTEXT(B1097),DATEVALUE(B1097),B1097)</f>
        <v>45751</v>
      </c>
      <c r="T1097" s="27">
        <f>COUNTIF($A$2:$A$1986,A1097)</f>
        <v>1</v>
      </c>
      <c r="U1097" s="27" t="str">
        <f t="shared" si="121"/>
        <v>Electric Kettle</v>
      </c>
      <c r="V1097" s="27">
        <f t="shared" si="122"/>
        <v>203.25</v>
      </c>
      <c r="W1097" s="27">
        <f t="shared" si="123"/>
        <v>104.7</v>
      </c>
      <c r="X1097" s="27">
        <f>RawSalesTable3[[#This Row],[Revenue]]-RawSalesTable3[[#This Row],[Total_Cost]]</f>
        <v>98.55</v>
      </c>
      <c r="Y1097" s="28">
        <f>RawSalesTable3[[#This Row],[Profit]]/RawSalesTable3[[#This Row],[Revenue]]</f>
        <v>0.48487084870848707</v>
      </c>
      <c r="Z1097" s="27" t="str">
        <f>TEXT(RawSalesTable3[[#This Row],[Order_Date_Clean]],"MMM YYYY")</f>
        <v>Apr 2025</v>
      </c>
      <c r="AA1097" s="27"/>
      <c r="AB1097" s="27">
        <f t="shared" si="124"/>
        <v>0</v>
      </c>
      <c r="AC1097" s="27">
        <f t="shared" si="125"/>
        <v>0</v>
      </c>
    </row>
    <row r="1098" spans="1:29">
      <c r="A1098" t="s">
        <v>1201</v>
      </c>
      <c r="B1098" s="3">
        <v>45959</v>
      </c>
      <c r="C1098" t="s">
        <v>54</v>
      </c>
      <c r="D1098" t="s">
        <v>55</v>
      </c>
      <c r="E1098" t="s">
        <v>75</v>
      </c>
      <c r="F1098" t="s">
        <v>76</v>
      </c>
      <c r="G1098" s="6">
        <v>3</v>
      </c>
      <c r="H1098" s="4">
        <v>121.34</v>
      </c>
      <c r="I1098" s="4">
        <v>71.39</v>
      </c>
      <c r="J1098" s="5">
        <v>0.05</v>
      </c>
      <c r="K1098" s="6">
        <v>6</v>
      </c>
      <c r="L1098" s="6">
        <v>4</v>
      </c>
      <c r="M1098" t="s">
        <v>58</v>
      </c>
      <c r="N1098" t="s">
        <v>59</v>
      </c>
      <c r="O1098" t="s">
        <v>64</v>
      </c>
      <c r="P1098" t="str">
        <f t="shared" si="119"/>
        <v>Small Business</v>
      </c>
      <c r="Q1098" t="str">
        <f t="shared" si="120"/>
        <v>North</v>
      </c>
      <c r="R1098" t="str">
        <f>PROPER(TRIM(E1098))</f>
        <v>Furniture</v>
      </c>
      <c r="S1098" s="27">
        <f>IF(ISTEXT(B1098),DATEVALUE(B1098),B1098)</f>
        <v>45959</v>
      </c>
      <c r="T1098" s="27">
        <f>COUNTIF($A$2:$A$1986,A1098)</f>
        <v>1</v>
      </c>
      <c r="U1098" s="27" t="str">
        <f t="shared" si="121"/>
        <v>Bookshelf</v>
      </c>
      <c r="V1098" s="27">
        <f t="shared" si="122"/>
        <v>345.81899999999996</v>
      </c>
      <c r="W1098" s="27">
        <f t="shared" si="123"/>
        <v>214.17000000000002</v>
      </c>
      <c r="X1098" s="27">
        <f>RawSalesTable3[[#This Row],[Revenue]]-RawSalesTable3[[#This Row],[Total_Cost]]</f>
        <v>131.64899999999994</v>
      </c>
      <c r="Y1098" s="28">
        <f>RawSalesTable3[[#This Row],[Profit]]/RawSalesTable3[[#This Row],[Revenue]]</f>
        <v>0.38068758512400985</v>
      </c>
      <c r="Z1098" s="27" t="str">
        <f>TEXT(RawSalesTable3[[#This Row],[Order_Date_Clean]],"MMM YYYY")</f>
        <v>Oct 2025</v>
      </c>
      <c r="AA1098" s="27"/>
      <c r="AB1098" s="27">
        <f t="shared" si="124"/>
        <v>0</v>
      </c>
      <c r="AC1098" s="27">
        <f t="shared" si="125"/>
        <v>0</v>
      </c>
    </row>
    <row r="1099" spans="1:29">
      <c r="A1099" t="s">
        <v>1202</v>
      </c>
      <c r="B1099" s="3">
        <v>45825</v>
      </c>
      <c r="C1099" t="s">
        <v>82</v>
      </c>
      <c r="D1099" t="s">
        <v>62</v>
      </c>
      <c r="E1099" t="s">
        <v>56</v>
      </c>
      <c r="F1099" t="s">
        <v>89</v>
      </c>
      <c r="G1099" s="6">
        <v>1</v>
      </c>
      <c r="H1099" s="4">
        <v>78.95</v>
      </c>
      <c r="I1099" s="4">
        <v>45.77</v>
      </c>
      <c r="J1099" s="5">
        <v>0</v>
      </c>
      <c r="K1099" s="6">
        <v>3</v>
      </c>
      <c r="L1099" s="6">
        <v>5</v>
      </c>
      <c r="M1099" t="s">
        <v>58</v>
      </c>
      <c r="N1099" t="s">
        <v>59</v>
      </c>
      <c r="O1099" t="s">
        <v>64</v>
      </c>
      <c r="P1099" t="str">
        <f t="shared" si="119"/>
        <v>Individual</v>
      </c>
      <c r="Q1099" t="str">
        <f t="shared" si="120"/>
        <v>Midlands</v>
      </c>
      <c r="R1099" t="str">
        <f>PROPER(TRIM(E1099))</f>
        <v>Home &amp; Kitchen</v>
      </c>
      <c r="S1099" s="27">
        <f>IF(ISTEXT(B1099),DATEVALUE(B1099),B1099)</f>
        <v>45825</v>
      </c>
      <c r="T1099" s="27">
        <f>COUNTIF($A$2:$A$1986,A1099)</f>
        <v>1</v>
      </c>
      <c r="U1099" s="27" t="str">
        <f t="shared" si="121"/>
        <v>Coffee Maker</v>
      </c>
      <c r="V1099" s="27">
        <f t="shared" si="122"/>
        <v>78.95</v>
      </c>
      <c r="W1099" s="27">
        <f t="shared" si="123"/>
        <v>45.77</v>
      </c>
      <c r="X1099" s="27">
        <f>RawSalesTable3[[#This Row],[Revenue]]-RawSalesTable3[[#This Row],[Total_Cost]]</f>
        <v>33.18</v>
      </c>
      <c r="Y1099" s="28">
        <f>RawSalesTable3[[#This Row],[Profit]]/RawSalesTable3[[#This Row],[Revenue]]</f>
        <v>0.42026599113362884</v>
      </c>
      <c r="Z1099" s="27" t="str">
        <f>TEXT(RawSalesTable3[[#This Row],[Order_Date_Clean]],"MMM YYYY")</f>
        <v>Jun 2025</v>
      </c>
      <c r="AA1099" s="27"/>
      <c r="AB1099" s="27">
        <f t="shared" si="124"/>
        <v>0</v>
      </c>
      <c r="AC1099" s="27">
        <f t="shared" si="125"/>
        <v>0</v>
      </c>
    </row>
    <row r="1100" spans="1:29">
      <c r="A1100" t="s">
        <v>1203</v>
      </c>
      <c r="B1100" s="3">
        <v>45849</v>
      </c>
      <c r="C1100" t="s">
        <v>78</v>
      </c>
      <c r="D1100" t="s">
        <v>129</v>
      </c>
      <c r="E1100" t="s">
        <v>75</v>
      </c>
      <c r="F1100" t="s">
        <v>97</v>
      </c>
      <c r="G1100" s="6">
        <v>10</v>
      </c>
      <c r="H1100" s="4">
        <v>87.46</v>
      </c>
      <c r="I1100" s="4">
        <v>55.31</v>
      </c>
      <c r="J1100" s="5">
        <v>0.1</v>
      </c>
      <c r="K1100" s="6">
        <v>4</v>
      </c>
      <c r="L1100" s="6">
        <v>4</v>
      </c>
      <c r="M1100" t="s">
        <v>58</v>
      </c>
      <c r="N1100" t="s">
        <v>59</v>
      </c>
      <c r="O1100" t="s">
        <v>73</v>
      </c>
      <c r="P1100" t="str">
        <f t="shared" si="119"/>
        <v>Corporate</v>
      </c>
      <c r="Q1100" t="str">
        <f t="shared" si="120"/>
        <v>London</v>
      </c>
      <c r="R1100" t="str">
        <f>PROPER(TRIM(E1100))</f>
        <v>Furniture</v>
      </c>
      <c r="S1100" s="27">
        <f>IF(ISTEXT(B1100),DATEVALUE(B1100),B1100)</f>
        <v>45849</v>
      </c>
      <c r="T1100" s="27">
        <f>COUNTIF($A$2:$A$1986,A1100)</f>
        <v>1</v>
      </c>
      <c r="U1100" s="27" t="str">
        <f t="shared" si="121"/>
        <v>Side Table</v>
      </c>
      <c r="V1100" s="27">
        <f t="shared" si="122"/>
        <v>787.14</v>
      </c>
      <c r="W1100" s="27">
        <f t="shared" si="123"/>
        <v>553.1</v>
      </c>
      <c r="X1100" s="27">
        <f>RawSalesTable3[[#This Row],[Revenue]]-RawSalesTable3[[#This Row],[Total_Cost]]</f>
        <v>234.03999999999996</v>
      </c>
      <c r="Y1100" s="28">
        <f>RawSalesTable3[[#This Row],[Profit]]/RawSalesTable3[[#This Row],[Revenue]]</f>
        <v>0.29732957288411205</v>
      </c>
      <c r="Z1100" s="27" t="str">
        <f>TEXT(RawSalesTable3[[#This Row],[Order_Date_Clean]],"MMM YYYY")</f>
        <v>Jul 2025</v>
      </c>
      <c r="AA1100" s="27"/>
      <c r="AB1100" s="27">
        <f t="shared" si="124"/>
        <v>0</v>
      </c>
      <c r="AC1100" s="27">
        <f t="shared" si="125"/>
        <v>0</v>
      </c>
    </row>
    <row r="1101" spans="1:29">
      <c r="A1101" t="s">
        <v>1204</v>
      </c>
      <c r="B1101" s="3">
        <v>45771</v>
      </c>
      <c r="C1101" t="s">
        <v>54</v>
      </c>
      <c r="D1101" t="s">
        <v>62</v>
      </c>
      <c r="E1101" t="s">
        <v>56</v>
      </c>
      <c r="F1101" t="s">
        <v>89</v>
      </c>
      <c r="G1101" s="6">
        <v>1</v>
      </c>
      <c r="H1101" s="4">
        <v>82.08</v>
      </c>
      <c r="I1101" s="4">
        <v>45.65</v>
      </c>
      <c r="J1101" s="5">
        <v>0</v>
      </c>
      <c r="K1101" s="6">
        <v>3</v>
      </c>
      <c r="L1101" s="6">
        <v>4</v>
      </c>
      <c r="M1101" t="s">
        <v>58</v>
      </c>
      <c r="N1101" t="s">
        <v>59</v>
      </c>
      <c r="O1101" t="s">
        <v>64</v>
      </c>
      <c r="P1101" t="str">
        <f t="shared" si="119"/>
        <v>Individual</v>
      </c>
      <c r="Q1101" t="str">
        <f t="shared" si="120"/>
        <v>North</v>
      </c>
      <c r="R1101" t="str">
        <f>PROPER(TRIM(E1101))</f>
        <v>Home &amp; Kitchen</v>
      </c>
      <c r="S1101" s="27">
        <f>IF(ISTEXT(B1101),DATEVALUE(B1101),B1101)</f>
        <v>45771</v>
      </c>
      <c r="T1101" s="27">
        <f>COUNTIF($A$2:$A$1986,A1101)</f>
        <v>1</v>
      </c>
      <c r="U1101" s="27" t="str">
        <f t="shared" si="121"/>
        <v>Coffee Maker</v>
      </c>
      <c r="V1101" s="27">
        <f t="shared" si="122"/>
        <v>82.08</v>
      </c>
      <c r="W1101" s="27">
        <f t="shared" si="123"/>
        <v>45.65</v>
      </c>
      <c r="X1101" s="27">
        <f>RawSalesTable3[[#This Row],[Revenue]]-RawSalesTable3[[#This Row],[Total_Cost]]</f>
        <v>36.43</v>
      </c>
      <c r="Y1101" s="28">
        <f>RawSalesTable3[[#This Row],[Profit]]/RawSalesTable3[[#This Row],[Revenue]]</f>
        <v>0.44383528265107214</v>
      </c>
      <c r="Z1101" s="27" t="str">
        <f>TEXT(RawSalesTable3[[#This Row],[Order_Date_Clean]],"MMM YYYY")</f>
        <v>Apr 2025</v>
      </c>
      <c r="AA1101" s="27"/>
      <c r="AB1101" s="27">
        <f t="shared" si="124"/>
        <v>0</v>
      </c>
      <c r="AC1101" s="27">
        <f t="shared" si="125"/>
        <v>0</v>
      </c>
    </row>
    <row r="1102" spans="1:29">
      <c r="A1102" t="s">
        <v>1205</v>
      </c>
      <c r="B1102" s="3">
        <v>45978</v>
      </c>
      <c r="C1102" t="s">
        <v>82</v>
      </c>
      <c r="D1102" t="s">
        <v>62</v>
      </c>
      <c r="E1102" t="s">
        <v>75</v>
      </c>
      <c r="F1102" t="s">
        <v>110</v>
      </c>
      <c r="G1102" s="6">
        <v>1</v>
      </c>
      <c r="H1102" s="4">
        <v>160.87</v>
      </c>
      <c r="I1102" s="4">
        <v>102.89</v>
      </c>
      <c r="J1102" s="5">
        <v>0.05</v>
      </c>
      <c r="K1102" s="6">
        <v>5</v>
      </c>
      <c r="L1102" s="6">
        <v>5</v>
      </c>
      <c r="M1102" t="s">
        <v>58</v>
      </c>
      <c r="N1102" t="s">
        <v>59</v>
      </c>
      <c r="O1102" t="s">
        <v>60</v>
      </c>
      <c r="P1102" t="str">
        <f t="shared" si="119"/>
        <v>Individual</v>
      </c>
      <c r="Q1102" t="str">
        <f t="shared" si="120"/>
        <v>Midlands</v>
      </c>
      <c r="R1102" t="str">
        <f>PROPER(TRIM(E1102))</f>
        <v>Furniture</v>
      </c>
      <c r="S1102" s="27">
        <f>IF(ISTEXT(B1102),DATEVALUE(B1102),B1102)</f>
        <v>45978</v>
      </c>
      <c r="T1102" s="27">
        <f>COUNTIF($A$2:$A$1986,A1102)</f>
        <v>1</v>
      </c>
      <c r="U1102" s="27" t="str">
        <f t="shared" si="121"/>
        <v>Storage Cabinet</v>
      </c>
      <c r="V1102" s="27">
        <f t="shared" si="122"/>
        <v>152.82650000000001</v>
      </c>
      <c r="W1102" s="27">
        <f t="shared" si="123"/>
        <v>102.89</v>
      </c>
      <c r="X1102" s="27">
        <f>RawSalesTable3[[#This Row],[Revenue]]-RawSalesTable3[[#This Row],[Total_Cost]]</f>
        <v>49.936500000000009</v>
      </c>
      <c r="Y1102" s="28">
        <f>RawSalesTable3[[#This Row],[Profit]]/RawSalesTable3[[#This Row],[Revenue]]</f>
        <v>0.32675288644312345</v>
      </c>
      <c r="Z1102" s="27" t="str">
        <f>TEXT(RawSalesTable3[[#This Row],[Order_Date_Clean]],"MMM YYYY")</f>
        <v>Nov 2025</v>
      </c>
      <c r="AA1102" s="27"/>
      <c r="AB1102" s="27">
        <f t="shared" si="124"/>
        <v>0</v>
      </c>
      <c r="AC1102" s="27">
        <f t="shared" si="125"/>
        <v>0</v>
      </c>
    </row>
    <row r="1103" spans="1:29">
      <c r="A1103" t="s">
        <v>1206</v>
      </c>
      <c r="B1103" s="3">
        <v>45997</v>
      </c>
      <c r="C1103" t="s">
        <v>78</v>
      </c>
      <c r="D1103" t="s">
        <v>62</v>
      </c>
      <c r="E1103" t="s">
        <v>67</v>
      </c>
      <c r="F1103" t="s">
        <v>68</v>
      </c>
      <c r="G1103" s="6">
        <v>1</v>
      </c>
      <c r="H1103" s="4">
        <v>40.47</v>
      </c>
      <c r="I1103" s="4">
        <v>18.46</v>
      </c>
      <c r="J1103" s="5">
        <v>0.1</v>
      </c>
      <c r="K1103" s="6">
        <v>3</v>
      </c>
      <c r="L1103" s="6">
        <v>4</v>
      </c>
      <c r="M1103" t="s">
        <v>58</v>
      </c>
      <c r="N1103" t="s">
        <v>69</v>
      </c>
      <c r="O1103" t="s">
        <v>64</v>
      </c>
      <c r="P1103" t="str">
        <f t="shared" si="119"/>
        <v>Individual</v>
      </c>
      <c r="Q1103" t="str">
        <f t="shared" si="120"/>
        <v>London</v>
      </c>
      <c r="R1103" t="str">
        <f>PROPER(TRIM(E1103))</f>
        <v>Office</v>
      </c>
      <c r="S1103" s="27">
        <f>IF(ISTEXT(B1103),DATEVALUE(B1103),B1103)</f>
        <v>45997</v>
      </c>
      <c r="T1103" s="27">
        <f>COUNTIF($A$2:$A$1986,A1103)</f>
        <v>1</v>
      </c>
      <c r="U1103" s="27" t="str">
        <f t="shared" si="121"/>
        <v>Desk Lamp</v>
      </c>
      <c r="V1103" s="27">
        <f t="shared" si="122"/>
        <v>36.423000000000002</v>
      </c>
      <c r="W1103" s="27">
        <f t="shared" si="123"/>
        <v>18.46</v>
      </c>
      <c r="X1103" s="27">
        <f>RawSalesTable3[[#This Row],[Revenue]]-RawSalesTable3[[#This Row],[Total_Cost]]</f>
        <v>17.963000000000001</v>
      </c>
      <c r="Y1103" s="28">
        <f>RawSalesTable3[[#This Row],[Profit]]/RawSalesTable3[[#This Row],[Revenue]]</f>
        <v>0.49317738791423005</v>
      </c>
      <c r="Z1103" s="27" t="str">
        <f>TEXT(RawSalesTable3[[#This Row],[Order_Date_Clean]],"MMM YYYY")</f>
        <v>Dec 2025</v>
      </c>
      <c r="AA1103" s="27"/>
      <c r="AB1103" s="27">
        <f t="shared" si="124"/>
        <v>0</v>
      </c>
      <c r="AC1103" s="27">
        <f t="shared" si="125"/>
        <v>0</v>
      </c>
    </row>
    <row r="1104" spans="1:29">
      <c r="A1104" t="s">
        <v>1207</v>
      </c>
      <c r="B1104" s="3">
        <v>46018</v>
      </c>
      <c r="C1104" t="s">
        <v>82</v>
      </c>
      <c r="D1104" t="s">
        <v>62</v>
      </c>
      <c r="E1104" t="s">
        <v>67</v>
      </c>
      <c r="F1104" t="s">
        <v>68</v>
      </c>
      <c r="G1104" s="6">
        <v>1</v>
      </c>
      <c r="H1104" s="4">
        <v>40.96</v>
      </c>
      <c r="I1104" s="4">
        <v>19.39</v>
      </c>
      <c r="J1104" s="5">
        <v>0.1</v>
      </c>
      <c r="K1104" s="6">
        <v>2</v>
      </c>
      <c r="L1104" s="6">
        <v>4</v>
      </c>
      <c r="M1104" t="s">
        <v>126</v>
      </c>
      <c r="N1104" t="s">
        <v>59</v>
      </c>
      <c r="O1104" t="s">
        <v>64</v>
      </c>
      <c r="P1104" t="str">
        <f t="shared" si="119"/>
        <v>Individual</v>
      </c>
      <c r="Q1104" t="str">
        <f t="shared" si="120"/>
        <v>Midlands</v>
      </c>
      <c r="R1104" t="str">
        <f>PROPER(TRIM(E1104))</f>
        <v>Office</v>
      </c>
      <c r="S1104" s="27">
        <f>IF(ISTEXT(B1104),DATEVALUE(B1104),B1104)</f>
        <v>46018</v>
      </c>
      <c r="T1104" s="27">
        <f>COUNTIF($A$2:$A$1986,A1104)</f>
        <v>1</v>
      </c>
      <c r="U1104" s="27" t="str">
        <f t="shared" si="121"/>
        <v>Desk Lamp</v>
      </c>
      <c r="V1104" s="27">
        <f t="shared" si="122"/>
        <v>36.864000000000004</v>
      </c>
      <c r="W1104" s="27">
        <f t="shared" si="123"/>
        <v>19.39</v>
      </c>
      <c r="X1104" s="27">
        <f>RawSalesTable3[[#This Row],[Revenue]]-RawSalesTable3[[#This Row],[Total_Cost]]</f>
        <v>17.474000000000004</v>
      </c>
      <c r="Y1104" s="28">
        <f>RawSalesTable3[[#This Row],[Profit]]/RawSalesTable3[[#This Row],[Revenue]]</f>
        <v>0.47401258680555558</v>
      </c>
      <c r="Z1104" s="27" t="str">
        <f>TEXT(RawSalesTable3[[#This Row],[Order_Date_Clean]],"MMM YYYY")</f>
        <v>Dec 2025</v>
      </c>
      <c r="AA1104" s="27"/>
      <c r="AB1104" s="27">
        <f t="shared" si="124"/>
        <v>0</v>
      </c>
      <c r="AC1104" s="27">
        <f t="shared" si="125"/>
        <v>0</v>
      </c>
    </row>
    <row r="1105" spans="1:29">
      <c r="A1105" t="s">
        <v>1208</v>
      </c>
      <c r="B1105" s="3">
        <v>45850</v>
      </c>
      <c r="C1105" t="s">
        <v>82</v>
      </c>
      <c r="D1105" t="s">
        <v>62</v>
      </c>
      <c r="E1105" t="s">
        <v>75</v>
      </c>
      <c r="F1105" t="s">
        <v>110</v>
      </c>
      <c r="G1105" s="6">
        <v>2</v>
      </c>
      <c r="H1105" s="4">
        <v>158.44999999999999</v>
      </c>
      <c r="I1105" s="4">
        <v>103.42</v>
      </c>
      <c r="J1105" s="5">
        <v>0</v>
      </c>
      <c r="K1105" s="6">
        <v>0</v>
      </c>
      <c r="L1105" s="6">
        <v>4</v>
      </c>
      <c r="M1105" t="s">
        <v>58</v>
      </c>
      <c r="N1105" t="s">
        <v>69</v>
      </c>
      <c r="O1105" t="s">
        <v>64</v>
      </c>
      <c r="P1105" t="str">
        <f t="shared" si="119"/>
        <v>Individual</v>
      </c>
      <c r="Q1105" t="str">
        <f t="shared" si="120"/>
        <v>Midlands</v>
      </c>
      <c r="R1105" t="str">
        <f>PROPER(TRIM(E1105))</f>
        <v>Furniture</v>
      </c>
      <c r="S1105" s="27">
        <f>IF(ISTEXT(B1105),DATEVALUE(B1105),B1105)</f>
        <v>45850</v>
      </c>
      <c r="T1105" s="27">
        <f>COUNTIF($A$2:$A$1986,A1105)</f>
        <v>1</v>
      </c>
      <c r="U1105" s="27" t="str">
        <f t="shared" si="121"/>
        <v>Storage Cabinet</v>
      </c>
      <c r="V1105" s="27">
        <f t="shared" si="122"/>
        <v>316.89999999999998</v>
      </c>
      <c r="W1105" s="27">
        <f t="shared" si="123"/>
        <v>206.84</v>
      </c>
      <c r="X1105" s="27">
        <f>RawSalesTable3[[#This Row],[Revenue]]-RawSalesTable3[[#This Row],[Total_Cost]]</f>
        <v>110.05999999999997</v>
      </c>
      <c r="Y1105" s="28">
        <f>RawSalesTable3[[#This Row],[Profit]]/RawSalesTable3[[#This Row],[Revenue]]</f>
        <v>0.34730198800883555</v>
      </c>
      <c r="Z1105" s="27" t="str">
        <f>TEXT(RawSalesTable3[[#This Row],[Order_Date_Clean]],"MMM YYYY")</f>
        <v>Jul 2025</v>
      </c>
      <c r="AA1105" s="27"/>
      <c r="AB1105" s="27">
        <f t="shared" si="124"/>
        <v>0</v>
      </c>
      <c r="AC1105" s="27">
        <f t="shared" si="125"/>
        <v>0</v>
      </c>
    </row>
    <row r="1106" spans="1:29">
      <c r="A1106" t="s">
        <v>1209</v>
      </c>
      <c r="B1106" s="3">
        <v>45974</v>
      </c>
      <c r="C1106" t="s">
        <v>78</v>
      </c>
      <c r="D1106" t="s">
        <v>129</v>
      </c>
      <c r="E1106" t="s">
        <v>67</v>
      </c>
      <c r="F1106" t="s">
        <v>71</v>
      </c>
      <c r="G1106" s="6">
        <v>6</v>
      </c>
      <c r="H1106" s="4">
        <v>72.72</v>
      </c>
      <c r="I1106" s="4">
        <v>37.92</v>
      </c>
      <c r="J1106" s="5">
        <v>0.25</v>
      </c>
      <c r="K1106" s="6">
        <v>3</v>
      </c>
      <c r="L1106" s="6">
        <v>3</v>
      </c>
      <c r="M1106" t="s">
        <v>126</v>
      </c>
      <c r="N1106" t="s">
        <v>59</v>
      </c>
      <c r="O1106" t="s">
        <v>64</v>
      </c>
      <c r="P1106" t="str">
        <f t="shared" si="119"/>
        <v>Corporate</v>
      </c>
      <c r="Q1106" t="str">
        <f t="shared" si="120"/>
        <v>London</v>
      </c>
      <c r="R1106" t="str">
        <f>PROPER(TRIM(E1106))</f>
        <v>Office</v>
      </c>
      <c r="S1106" s="27">
        <f>IF(ISTEXT(B1106),DATEVALUE(B1106),B1106)</f>
        <v>45974</v>
      </c>
      <c r="T1106" s="27">
        <f>COUNTIF($A$2:$A$1986,A1106)</f>
        <v>1</v>
      </c>
      <c r="U1106" s="27" t="str">
        <f t="shared" si="121"/>
        <v>Ergonomic Keyboard</v>
      </c>
      <c r="V1106" s="27">
        <f t="shared" si="122"/>
        <v>327.24</v>
      </c>
      <c r="W1106" s="27">
        <f t="shared" si="123"/>
        <v>227.52</v>
      </c>
      <c r="X1106" s="27">
        <f>RawSalesTable3[[#This Row],[Revenue]]-RawSalesTable3[[#This Row],[Total_Cost]]</f>
        <v>99.72</v>
      </c>
      <c r="Y1106" s="28">
        <f>RawSalesTable3[[#This Row],[Profit]]/RawSalesTable3[[#This Row],[Revenue]]</f>
        <v>0.30473047304730472</v>
      </c>
      <c r="Z1106" s="27" t="str">
        <f>TEXT(RawSalesTable3[[#This Row],[Order_Date_Clean]],"MMM YYYY")</f>
        <v>Nov 2025</v>
      </c>
      <c r="AA1106" s="27"/>
      <c r="AB1106" s="27">
        <f t="shared" si="124"/>
        <v>0</v>
      </c>
      <c r="AC1106" s="27">
        <f t="shared" si="125"/>
        <v>0</v>
      </c>
    </row>
    <row r="1107" spans="1:29">
      <c r="A1107" t="s">
        <v>1210</v>
      </c>
      <c r="B1107" s="3">
        <v>45830</v>
      </c>
      <c r="C1107" t="s">
        <v>78</v>
      </c>
      <c r="D1107" t="s">
        <v>62</v>
      </c>
      <c r="E1107" t="s">
        <v>79</v>
      </c>
      <c r="F1107" t="s">
        <v>92</v>
      </c>
      <c r="G1107" s="6">
        <v>1</v>
      </c>
      <c r="H1107" s="4">
        <v>50.55</v>
      </c>
      <c r="I1107" s="4">
        <v>26.43</v>
      </c>
      <c r="J1107" s="5">
        <v>0.05</v>
      </c>
      <c r="K1107" s="6">
        <v>3</v>
      </c>
      <c r="L1107" s="6">
        <v>4</v>
      </c>
      <c r="M1107" t="s">
        <v>58</v>
      </c>
      <c r="N1107" t="s">
        <v>59</v>
      </c>
      <c r="O1107" t="s">
        <v>64</v>
      </c>
      <c r="P1107" t="str">
        <f t="shared" si="119"/>
        <v>Individual</v>
      </c>
      <c r="Q1107" t="str">
        <f t="shared" si="120"/>
        <v>London</v>
      </c>
      <c r="R1107" t="str">
        <f>PROPER(TRIM(E1107))</f>
        <v>Electronics</v>
      </c>
      <c r="S1107" s="27">
        <f>IF(ISTEXT(B1107),DATEVALUE(B1107),B1107)</f>
        <v>45830</v>
      </c>
      <c r="T1107" s="27">
        <f>COUNTIF($A$2:$A$1986,A1107)</f>
        <v>1</v>
      </c>
      <c r="U1107" s="27" t="str">
        <f t="shared" si="121"/>
        <v>Webcam</v>
      </c>
      <c r="V1107" s="27">
        <f t="shared" si="122"/>
        <v>48.022499999999994</v>
      </c>
      <c r="W1107" s="27">
        <f t="shared" si="123"/>
        <v>26.43</v>
      </c>
      <c r="X1107" s="27">
        <f>RawSalesTable3[[#This Row],[Revenue]]-RawSalesTable3[[#This Row],[Total_Cost]]</f>
        <v>21.592499999999994</v>
      </c>
      <c r="Y1107" s="28">
        <f>RawSalesTable3[[#This Row],[Profit]]/RawSalesTable3[[#This Row],[Revenue]]</f>
        <v>0.44963298453849754</v>
      </c>
      <c r="Z1107" s="27" t="str">
        <f>TEXT(RawSalesTable3[[#This Row],[Order_Date_Clean]],"MMM YYYY")</f>
        <v>Jun 2025</v>
      </c>
      <c r="AA1107" s="27"/>
      <c r="AB1107" s="27">
        <f t="shared" si="124"/>
        <v>0</v>
      </c>
      <c r="AC1107" s="27">
        <f t="shared" si="125"/>
        <v>0</v>
      </c>
    </row>
    <row r="1108" spans="1:29">
      <c r="A1108" t="s">
        <v>1211</v>
      </c>
      <c r="B1108" s="3">
        <v>45766</v>
      </c>
      <c r="C1108" t="s">
        <v>82</v>
      </c>
      <c r="D1108" t="s">
        <v>62</v>
      </c>
      <c r="E1108" t="s">
        <v>75</v>
      </c>
      <c r="F1108" t="s">
        <v>97</v>
      </c>
      <c r="G1108" s="6">
        <v>2</v>
      </c>
      <c r="H1108" s="4">
        <v>87.85</v>
      </c>
      <c r="I1108" s="4">
        <v>54.91</v>
      </c>
      <c r="J1108" s="5">
        <v>0</v>
      </c>
      <c r="K1108" s="6">
        <v>8</v>
      </c>
      <c r="L1108" s="6">
        <v>3</v>
      </c>
      <c r="M1108" t="s">
        <v>58</v>
      </c>
      <c r="N1108" t="s">
        <v>87</v>
      </c>
      <c r="O1108" t="s">
        <v>73</v>
      </c>
      <c r="P1108" t="str">
        <f t="shared" si="119"/>
        <v>Individual</v>
      </c>
      <c r="Q1108" t="str">
        <f t="shared" si="120"/>
        <v>Midlands</v>
      </c>
      <c r="R1108" t="str">
        <f>PROPER(TRIM(E1108))</f>
        <v>Furniture</v>
      </c>
      <c r="S1108" s="27">
        <f>IF(ISTEXT(B1108),DATEVALUE(B1108),B1108)</f>
        <v>45766</v>
      </c>
      <c r="T1108" s="27">
        <f>COUNTIF($A$2:$A$1986,A1108)</f>
        <v>1</v>
      </c>
      <c r="U1108" s="27" t="str">
        <f t="shared" si="121"/>
        <v>Side Table</v>
      </c>
      <c r="V1108" s="27">
        <f t="shared" si="122"/>
        <v>175.7</v>
      </c>
      <c r="W1108" s="27">
        <f t="shared" si="123"/>
        <v>109.82</v>
      </c>
      <c r="X1108" s="27">
        <f>RawSalesTable3[[#This Row],[Revenue]]-RawSalesTable3[[#This Row],[Total_Cost]]</f>
        <v>65.88</v>
      </c>
      <c r="Y1108" s="28">
        <f>RawSalesTable3[[#This Row],[Profit]]/RawSalesTable3[[#This Row],[Revenue]]</f>
        <v>0.37495731360273193</v>
      </c>
      <c r="Z1108" s="27" t="str">
        <f>TEXT(RawSalesTable3[[#This Row],[Order_Date_Clean]],"MMM YYYY")</f>
        <v>Apr 2025</v>
      </c>
      <c r="AA1108" s="27"/>
      <c r="AB1108" s="27">
        <f t="shared" si="124"/>
        <v>0</v>
      </c>
      <c r="AC1108" s="27">
        <f t="shared" si="125"/>
        <v>0</v>
      </c>
    </row>
    <row r="1109" spans="1:29">
      <c r="A1109" t="s">
        <v>1212</v>
      </c>
      <c r="B1109" s="3">
        <v>45890</v>
      </c>
      <c r="C1109" t="s">
        <v>54</v>
      </c>
      <c r="D1109" t="s">
        <v>55</v>
      </c>
      <c r="E1109" t="s">
        <v>67</v>
      </c>
      <c r="F1109" t="s">
        <v>107</v>
      </c>
      <c r="G1109" s="6">
        <v>3</v>
      </c>
      <c r="H1109" s="4">
        <v>44.51</v>
      </c>
      <c r="I1109" s="4">
        <v>20.440000000000001</v>
      </c>
      <c r="J1109" s="5">
        <v>0.1</v>
      </c>
      <c r="K1109" s="6">
        <v>2</v>
      </c>
      <c r="L1109" s="6">
        <v>5</v>
      </c>
      <c r="M1109" t="s">
        <v>58</v>
      </c>
      <c r="N1109" t="s">
        <v>59</v>
      </c>
      <c r="O1109" t="s">
        <v>73</v>
      </c>
      <c r="P1109" t="str">
        <f t="shared" si="119"/>
        <v>Small Business</v>
      </c>
      <c r="Q1109" t="str">
        <f t="shared" si="120"/>
        <v>North</v>
      </c>
      <c r="R1109" t="str">
        <f>PROPER(TRIM(E1109))</f>
        <v>Office</v>
      </c>
      <c r="S1109" s="27">
        <f>IF(ISTEXT(B1109),DATEVALUE(B1109),B1109)</f>
        <v>45890</v>
      </c>
      <c r="T1109" s="27">
        <f>COUNTIF($A$2:$A$1986,A1109)</f>
        <v>1</v>
      </c>
      <c r="U1109" s="27" t="str">
        <f t="shared" si="121"/>
        <v>Laptop Stand</v>
      </c>
      <c r="V1109" s="27">
        <f t="shared" si="122"/>
        <v>120.17700000000001</v>
      </c>
      <c r="W1109" s="27">
        <f t="shared" si="123"/>
        <v>61.320000000000007</v>
      </c>
      <c r="X1109" s="27">
        <f>RawSalesTable3[[#This Row],[Revenue]]-RawSalesTable3[[#This Row],[Total_Cost]]</f>
        <v>58.856999999999999</v>
      </c>
      <c r="Y1109" s="28">
        <f>RawSalesTable3[[#This Row],[Profit]]/RawSalesTable3[[#This Row],[Revenue]]</f>
        <v>0.48975261489303273</v>
      </c>
      <c r="Z1109" s="27" t="str">
        <f>TEXT(RawSalesTable3[[#This Row],[Order_Date_Clean]],"MMM YYYY")</f>
        <v>Aug 2025</v>
      </c>
      <c r="AA1109" s="27"/>
      <c r="AB1109" s="27">
        <f t="shared" si="124"/>
        <v>0</v>
      </c>
      <c r="AC1109" s="27">
        <f t="shared" si="125"/>
        <v>0</v>
      </c>
    </row>
    <row r="1110" spans="1:29">
      <c r="A1110" t="s">
        <v>1213</v>
      </c>
      <c r="B1110" s="3">
        <v>45853</v>
      </c>
      <c r="C1110" t="s">
        <v>66</v>
      </c>
      <c r="D1110" t="s">
        <v>62</v>
      </c>
      <c r="E1110" t="s">
        <v>79</v>
      </c>
      <c r="F1110" t="s">
        <v>85</v>
      </c>
      <c r="G1110" s="6">
        <v>2</v>
      </c>
      <c r="H1110" s="4">
        <v>128.93</v>
      </c>
      <c r="I1110" s="4">
        <v>86.45</v>
      </c>
      <c r="J1110" s="5">
        <v>0.1</v>
      </c>
      <c r="K1110" s="6">
        <v>6</v>
      </c>
      <c r="L1110" s="6">
        <v>4</v>
      </c>
      <c r="M1110" t="s">
        <v>58</v>
      </c>
      <c r="N1110" t="s">
        <v>59</v>
      </c>
      <c r="O1110" t="s">
        <v>60</v>
      </c>
      <c r="P1110" t="str">
        <f t="shared" si="119"/>
        <v>Individual</v>
      </c>
      <c r="Q1110" t="str">
        <f t="shared" si="120"/>
        <v>South</v>
      </c>
      <c r="R1110" t="str">
        <f>PROPER(TRIM(E1110))</f>
        <v>Electronics</v>
      </c>
      <c r="S1110" s="27">
        <f>IF(ISTEXT(B1110),DATEVALUE(B1110),B1110)</f>
        <v>45853</v>
      </c>
      <c r="T1110" s="27">
        <f>COUNTIF($A$2:$A$1986,A1110)</f>
        <v>1</v>
      </c>
      <c r="U1110" s="27" t="str">
        <f t="shared" si="121"/>
        <v>SmartHome Hub</v>
      </c>
      <c r="V1110" s="27">
        <f t="shared" si="122"/>
        <v>232.07400000000001</v>
      </c>
      <c r="W1110" s="27">
        <f t="shared" si="123"/>
        <v>172.9</v>
      </c>
      <c r="X1110" s="27">
        <f>RawSalesTable3[[#This Row],[Revenue]]-RawSalesTable3[[#This Row],[Total_Cost]]</f>
        <v>59.174000000000007</v>
      </c>
      <c r="Y1110" s="28">
        <f>RawSalesTable3[[#This Row],[Profit]]/RawSalesTable3[[#This Row],[Revenue]]</f>
        <v>0.25497901531408085</v>
      </c>
      <c r="Z1110" s="27" t="str">
        <f>TEXT(RawSalesTable3[[#This Row],[Order_Date_Clean]],"MMM YYYY")</f>
        <v>Jul 2025</v>
      </c>
      <c r="AA1110" s="27"/>
      <c r="AB1110" s="27">
        <f t="shared" si="124"/>
        <v>0</v>
      </c>
      <c r="AC1110" s="27">
        <f t="shared" si="125"/>
        <v>0</v>
      </c>
    </row>
    <row r="1111" spans="1:29">
      <c r="A1111" t="s">
        <v>1214</v>
      </c>
      <c r="B1111" s="3">
        <v>45866</v>
      </c>
      <c r="C1111" t="s">
        <v>54</v>
      </c>
      <c r="D1111" t="s">
        <v>62</v>
      </c>
      <c r="E1111" t="s">
        <v>79</v>
      </c>
      <c r="F1111" t="s">
        <v>80</v>
      </c>
      <c r="G1111" s="6">
        <v>1</v>
      </c>
      <c r="H1111" s="4">
        <v>75.11</v>
      </c>
      <c r="I1111" s="4">
        <v>42.5</v>
      </c>
      <c r="J1111" s="5">
        <v>0</v>
      </c>
      <c r="K1111" s="6">
        <v>4</v>
      </c>
      <c r="L1111" s="6">
        <v>4</v>
      </c>
      <c r="M1111" t="s">
        <v>126</v>
      </c>
      <c r="N1111" t="s">
        <v>59</v>
      </c>
      <c r="O1111" t="s">
        <v>64</v>
      </c>
      <c r="P1111" t="str">
        <f t="shared" si="119"/>
        <v>Individual</v>
      </c>
      <c r="Q1111" t="str">
        <f t="shared" si="120"/>
        <v>North</v>
      </c>
      <c r="R1111" t="str">
        <f>PROPER(TRIM(E1111))</f>
        <v>Electronics</v>
      </c>
      <c r="S1111" s="27">
        <f>IF(ISTEXT(B1111),DATEVALUE(B1111),B1111)</f>
        <v>45866</v>
      </c>
      <c r="T1111" s="27">
        <f>COUNTIF($A$2:$A$1986,A1111)</f>
        <v>1</v>
      </c>
      <c r="U1111" s="27" t="str">
        <f t="shared" si="121"/>
        <v>Portable Speaker</v>
      </c>
      <c r="V1111" s="27">
        <f t="shared" si="122"/>
        <v>75.11</v>
      </c>
      <c r="W1111" s="27">
        <f t="shared" si="123"/>
        <v>42.5</v>
      </c>
      <c r="X1111" s="27">
        <f>RawSalesTable3[[#This Row],[Revenue]]-RawSalesTable3[[#This Row],[Total_Cost]]</f>
        <v>32.61</v>
      </c>
      <c r="Y1111" s="28">
        <f>RawSalesTable3[[#This Row],[Profit]]/RawSalesTable3[[#This Row],[Revenue]]</f>
        <v>0.43416322726667556</v>
      </c>
      <c r="Z1111" s="27" t="str">
        <f>TEXT(RawSalesTable3[[#This Row],[Order_Date_Clean]],"MMM YYYY")</f>
        <v>Jul 2025</v>
      </c>
      <c r="AA1111" s="27"/>
      <c r="AB1111" s="27">
        <f t="shared" si="124"/>
        <v>0</v>
      </c>
      <c r="AC1111" s="27">
        <f t="shared" si="125"/>
        <v>0</v>
      </c>
    </row>
    <row r="1112" spans="1:29">
      <c r="A1112" t="s">
        <v>1215</v>
      </c>
      <c r="B1112" s="3">
        <v>45709</v>
      </c>
      <c r="C1112" t="s">
        <v>82</v>
      </c>
      <c r="D1112" t="s">
        <v>55</v>
      </c>
      <c r="E1112" t="s">
        <v>79</v>
      </c>
      <c r="F1112" t="s">
        <v>85</v>
      </c>
      <c r="G1112" s="6">
        <v>2</v>
      </c>
      <c r="H1112" s="4">
        <v>134.4</v>
      </c>
      <c r="I1112" s="4">
        <v>87.22</v>
      </c>
      <c r="J1112" s="5">
        <v>0.1</v>
      </c>
      <c r="K1112" s="6">
        <v>7</v>
      </c>
      <c r="L1112" s="6">
        <v>3</v>
      </c>
      <c r="M1112" t="s">
        <v>58</v>
      </c>
      <c r="N1112" t="s">
        <v>59</v>
      </c>
      <c r="O1112" t="s">
        <v>64</v>
      </c>
      <c r="P1112" t="str">
        <f t="shared" si="119"/>
        <v>Small Business</v>
      </c>
      <c r="Q1112" t="str">
        <f t="shared" si="120"/>
        <v>Midlands</v>
      </c>
      <c r="R1112" t="str">
        <f>PROPER(TRIM(E1112))</f>
        <v>Electronics</v>
      </c>
      <c r="S1112" s="27">
        <f>IF(ISTEXT(B1112),DATEVALUE(B1112),B1112)</f>
        <v>45709</v>
      </c>
      <c r="T1112" s="27">
        <f>COUNTIF($A$2:$A$1986,A1112)</f>
        <v>1</v>
      </c>
      <c r="U1112" s="27" t="str">
        <f t="shared" si="121"/>
        <v>SmartHome Hub</v>
      </c>
      <c r="V1112" s="27">
        <f t="shared" si="122"/>
        <v>241.92000000000002</v>
      </c>
      <c r="W1112" s="27">
        <f t="shared" si="123"/>
        <v>174.44</v>
      </c>
      <c r="X1112" s="27">
        <f>RawSalesTable3[[#This Row],[Revenue]]-RawSalesTable3[[#This Row],[Total_Cost]]</f>
        <v>67.480000000000018</v>
      </c>
      <c r="Y1112" s="28">
        <f>RawSalesTable3[[#This Row],[Profit]]/RawSalesTable3[[#This Row],[Revenue]]</f>
        <v>0.27893518518518523</v>
      </c>
      <c r="Z1112" s="27" t="str">
        <f>TEXT(RawSalesTable3[[#This Row],[Order_Date_Clean]],"MMM YYYY")</f>
        <v>Feb 2025</v>
      </c>
      <c r="AA1112" s="27"/>
      <c r="AB1112" s="27">
        <f t="shared" si="124"/>
        <v>0</v>
      </c>
      <c r="AC1112" s="27">
        <f t="shared" si="125"/>
        <v>0</v>
      </c>
    </row>
    <row r="1113" spans="1:29">
      <c r="A1113" t="s">
        <v>1216</v>
      </c>
      <c r="B1113" s="3">
        <v>45719</v>
      </c>
      <c r="C1113" t="s">
        <v>54</v>
      </c>
      <c r="D1113" t="s">
        <v>62</v>
      </c>
      <c r="E1113" t="s">
        <v>79</v>
      </c>
      <c r="F1113" t="s">
        <v>80</v>
      </c>
      <c r="G1113" s="6">
        <v>3</v>
      </c>
      <c r="H1113" s="4">
        <v>75.77</v>
      </c>
      <c r="I1113" s="4">
        <v>41.85</v>
      </c>
      <c r="J1113" s="5">
        <v>0</v>
      </c>
      <c r="K1113" s="6">
        <v>4</v>
      </c>
      <c r="L1113" s="6">
        <v>3</v>
      </c>
      <c r="M1113" t="s">
        <v>126</v>
      </c>
      <c r="N1113" t="s">
        <v>59</v>
      </c>
      <c r="O1113" t="s">
        <v>60</v>
      </c>
      <c r="P1113" t="str">
        <f t="shared" si="119"/>
        <v>Individual</v>
      </c>
      <c r="Q1113" t="str">
        <f t="shared" si="120"/>
        <v>North</v>
      </c>
      <c r="R1113" t="str">
        <f>PROPER(TRIM(E1113))</f>
        <v>Electronics</v>
      </c>
      <c r="S1113" s="27">
        <f>IF(ISTEXT(B1113),DATEVALUE(B1113),B1113)</f>
        <v>45719</v>
      </c>
      <c r="T1113" s="27">
        <f>COUNTIF($A$2:$A$1986,A1113)</f>
        <v>1</v>
      </c>
      <c r="U1113" s="27" t="str">
        <f t="shared" si="121"/>
        <v>Portable Speaker</v>
      </c>
      <c r="V1113" s="27">
        <f t="shared" si="122"/>
        <v>227.31</v>
      </c>
      <c r="W1113" s="27">
        <f t="shared" si="123"/>
        <v>125.55000000000001</v>
      </c>
      <c r="X1113" s="27">
        <f>RawSalesTable3[[#This Row],[Revenue]]-RawSalesTable3[[#This Row],[Total_Cost]]</f>
        <v>101.75999999999999</v>
      </c>
      <c r="Y1113" s="28">
        <f>RawSalesTable3[[#This Row],[Profit]]/RawSalesTable3[[#This Row],[Revenue]]</f>
        <v>0.4476705820245479</v>
      </c>
      <c r="Z1113" s="27" t="str">
        <f>TEXT(RawSalesTable3[[#This Row],[Order_Date_Clean]],"MMM YYYY")</f>
        <v>Mar 2025</v>
      </c>
      <c r="AA1113" s="27"/>
      <c r="AB1113" s="27">
        <f t="shared" si="124"/>
        <v>0</v>
      </c>
      <c r="AC1113" s="27">
        <f t="shared" si="125"/>
        <v>0</v>
      </c>
    </row>
    <row r="1114" spans="1:29">
      <c r="A1114" t="s">
        <v>1217</v>
      </c>
      <c r="B1114" s="3">
        <v>45977</v>
      </c>
      <c r="C1114" t="s">
        <v>54</v>
      </c>
      <c r="D1114" t="s">
        <v>62</v>
      </c>
      <c r="E1114" t="s">
        <v>75</v>
      </c>
      <c r="F1114" t="s">
        <v>146</v>
      </c>
      <c r="G1114" s="6">
        <v>2</v>
      </c>
      <c r="H1114" s="4">
        <v>179.91</v>
      </c>
      <c r="I1114" s="4">
        <v>112.91</v>
      </c>
      <c r="J1114" s="5">
        <v>0</v>
      </c>
      <c r="K1114" s="6">
        <v>7</v>
      </c>
      <c r="L1114" s="6">
        <v>4</v>
      </c>
      <c r="M1114" t="s">
        <v>58</v>
      </c>
      <c r="N1114" t="s">
        <v>59</v>
      </c>
      <c r="O1114" t="s">
        <v>73</v>
      </c>
      <c r="P1114" t="str">
        <f t="shared" si="119"/>
        <v>Individual</v>
      </c>
      <c r="Q1114" t="str">
        <f t="shared" si="120"/>
        <v>North</v>
      </c>
      <c r="R1114" t="str">
        <f>PROPER(TRIM(E1114))</f>
        <v>Furniture</v>
      </c>
      <c r="S1114" s="27">
        <f>IF(ISTEXT(B1114),DATEVALUE(B1114),B1114)</f>
        <v>45977</v>
      </c>
      <c r="T1114" s="27">
        <f>COUNTIF($A$2:$A$1986,A1114)</f>
        <v>1</v>
      </c>
      <c r="U1114" s="27" t="str">
        <f t="shared" si="121"/>
        <v>Office Chair</v>
      </c>
      <c r="V1114" s="27">
        <f t="shared" si="122"/>
        <v>359.82</v>
      </c>
      <c r="W1114" s="27">
        <f t="shared" si="123"/>
        <v>225.82</v>
      </c>
      <c r="X1114" s="27">
        <f>RawSalesTable3[[#This Row],[Revenue]]-RawSalesTable3[[#This Row],[Total_Cost]]</f>
        <v>134</v>
      </c>
      <c r="Y1114" s="28">
        <f>RawSalesTable3[[#This Row],[Profit]]/RawSalesTable3[[#This Row],[Revenue]]</f>
        <v>0.37240842643543998</v>
      </c>
      <c r="Z1114" s="27" t="str">
        <f>TEXT(RawSalesTable3[[#This Row],[Order_Date_Clean]],"MMM YYYY")</f>
        <v>Nov 2025</v>
      </c>
      <c r="AA1114" s="27"/>
      <c r="AB1114" s="27">
        <f t="shared" si="124"/>
        <v>0</v>
      </c>
      <c r="AC1114" s="27">
        <f t="shared" si="125"/>
        <v>0</v>
      </c>
    </row>
    <row r="1115" spans="1:29">
      <c r="A1115" t="s">
        <v>1218</v>
      </c>
      <c r="B1115" s="3">
        <v>45955</v>
      </c>
      <c r="C1115" t="s">
        <v>66</v>
      </c>
      <c r="D1115" t="s">
        <v>62</v>
      </c>
      <c r="E1115" t="s">
        <v>67</v>
      </c>
      <c r="F1115" t="s">
        <v>71</v>
      </c>
      <c r="G1115" s="6">
        <v>3</v>
      </c>
      <c r="H1115" s="4">
        <v>71.180000000000007</v>
      </c>
      <c r="I1115" s="4">
        <v>37.28</v>
      </c>
      <c r="J1115" s="5">
        <v>0.05</v>
      </c>
      <c r="K1115" s="6">
        <v>0</v>
      </c>
      <c r="L1115" s="6">
        <v>4</v>
      </c>
      <c r="M1115" t="s">
        <v>58</v>
      </c>
      <c r="N1115" t="s">
        <v>69</v>
      </c>
      <c r="O1115" t="s">
        <v>60</v>
      </c>
      <c r="P1115" t="str">
        <f t="shared" si="119"/>
        <v>Individual</v>
      </c>
      <c r="Q1115" t="str">
        <f t="shared" si="120"/>
        <v>South</v>
      </c>
      <c r="R1115" t="str">
        <f>PROPER(TRIM(E1115))</f>
        <v>Office</v>
      </c>
      <c r="S1115" s="27">
        <f>IF(ISTEXT(B1115),DATEVALUE(B1115),B1115)</f>
        <v>45955</v>
      </c>
      <c r="T1115" s="27">
        <f>COUNTIF($A$2:$A$1986,A1115)</f>
        <v>1</v>
      </c>
      <c r="U1115" s="27" t="str">
        <f t="shared" si="121"/>
        <v>Ergonomic Keyboard</v>
      </c>
      <c r="V1115" s="27">
        <f t="shared" si="122"/>
        <v>202.863</v>
      </c>
      <c r="W1115" s="27">
        <f t="shared" si="123"/>
        <v>111.84</v>
      </c>
      <c r="X1115" s="27">
        <f>RawSalesTable3[[#This Row],[Revenue]]-RawSalesTable3[[#This Row],[Total_Cost]]</f>
        <v>91.022999999999996</v>
      </c>
      <c r="Y1115" s="28">
        <f>RawSalesTable3[[#This Row],[Profit]]/RawSalesTable3[[#This Row],[Revenue]]</f>
        <v>0.44869197438665503</v>
      </c>
      <c r="Z1115" s="27" t="str">
        <f>TEXT(RawSalesTable3[[#This Row],[Order_Date_Clean]],"MMM YYYY")</f>
        <v>Oct 2025</v>
      </c>
      <c r="AA1115" s="27"/>
      <c r="AB1115" s="27">
        <f t="shared" si="124"/>
        <v>0</v>
      </c>
      <c r="AC1115" s="27">
        <f t="shared" si="125"/>
        <v>0</v>
      </c>
    </row>
    <row r="1116" spans="1:29">
      <c r="A1116" t="s">
        <v>1219</v>
      </c>
      <c r="B1116" s="3">
        <v>45917</v>
      </c>
      <c r="C1116" t="s">
        <v>66</v>
      </c>
      <c r="D1116" t="s">
        <v>62</v>
      </c>
      <c r="E1116" t="s">
        <v>56</v>
      </c>
      <c r="F1116" t="s">
        <v>63</v>
      </c>
      <c r="G1116" s="6">
        <v>1</v>
      </c>
      <c r="H1116" s="4">
        <v>39.53</v>
      </c>
      <c r="I1116" s="4">
        <v>19.850000000000001</v>
      </c>
      <c r="J1116" s="5">
        <v>0.1</v>
      </c>
      <c r="K1116" s="6">
        <v>3</v>
      </c>
      <c r="L1116" s="6">
        <v>4</v>
      </c>
      <c r="M1116" t="s">
        <v>58</v>
      </c>
      <c r="N1116" t="s">
        <v>59</v>
      </c>
      <c r="O1116" t="s">
        <v>64</v>
      </c>
      <c r="P1116" t="str">
        <f t="shared" si="119"/>
        <v>Individual</v>
      </c>
      <c r="Q1116" t="str">
        <f t="shared" si="120"/>
        <v>South</v>
      </c>
      <c r="R1116" t="str">
        <f>PROPER(TRIM(E1116))</f>
        <v>Home &amp; Kitchen</v>
      </c>
      <c r="S1116" s="27">
        <f>IF(ISTEXT(B1116),DATEVALUE(B1116),B1116)</f>
        <v>45917</v>
      </c>
      <c r="T1116" s="27">
        <f>COUNTIF($A$2:$A$1986,A1116)</f>
        <v>1</v>
      </c>
      <c r="U1116" s="27" t="str">
        <f t="shared" si="121"/>
        <v>Electric Kettle</v>
      </c>
      <c r="V1116" s="27">
        <f t="shared" si="122"/>
        <v>35.577000000000005</v>
      </c>
      <c r="W1116" s="27">
        <f t="shared" si="123"/>
        <v>19.850000000000001</v>
      </c>
      <c r="X1116" s="27">
        <f>RawSalesTable3[[#This Row],[Revenue]]-RawSalesTable3[[#This Row],[Total_Cost]]</f>
        <v>15.727000000000004</v>
      </c>
      <c r="Y1116" s="28">
        <f>RawSalesTable3[[#This Row],[Profit]]/RawSalesTable3[[#This Row],[Revenue]]</f>
        <v>0.44205526042105858</v>
      </c>
      <c r="Z1116" s="27" t="str">
        <f>TEXT(RawSalesTable3[[#This Row],[Order_Date_Clean]],"MMM YYYY")</f>
        <v>Sep 2025</v>
      </c>
      <c r="AA1116" s="27"/>
      <c r="AB1116" s="27">
        <f t="shared" si="124"/>
        <v>0</v>
      </c>
      <c r="AC1116" s="27">
        <f t="shared" si="125"/>
        <v>0</v>
      </c>
    </row>
    <row r="1117" spans="1:29">
      <c r="A1117" t="s">
        <v>1220</v>
      </c>
      <c r="B1117" s="3">
        <v>45720</v>
      </c>
      <c r="C1117" t="s">
        <v>66</v>
      </c>
      <c r="D1117" t="s">
        <v>55</v>
      </c>
      <c r="E1117" t="s">
        <v>56</v>
      </c>
      <c r="F1117" t="s">
        <v>63</v>
      </c>
      <c r="G1117" s="6">
        <v>1</v>
      </c>
      <c r="H1117" s="4">
        <v>40.619999999999997</v>
      </c>
      <c r="I1117" s="4">
        <v>20.97</v>
      </c>
      <c r="J1117" s="5">
        <v>0.15000000000000002</v>
      </c>
      <c r="K1117" s="6">
        <v>2</v>
      </c>
      <c r="L1117" s="6">
        <v>3</v>
      </c>
      <c r="M1117" t="s">
        <v>126</v>
      </c>
      <c r="N1117" t="s">
        <v>59</v>
      </c>
      <c r="O1117" t="s">
        <v>73</v>
      </c>
      <c r="P1117" t="str">
        <f t="shared" si="119"/>
        <v>Small Business</v>
      </c>
      <c r="Q1117" t="str">
        <f t="shared" si="120"/>
        <v>South</v>
      </c>
      <c r="R1117" t="str">
        <f>PROPER(TRIM(E1117))</f>
        <v>Home &amp; Kitchen</v>
      </c>
      <c r="S1117" s="27">
        <f>IF(ISTEXT(B1117),DATEVALUE(B1117),B1117)</f>
        <v>45720</v>
      </c>
      <c r="T1117" s="27">
        <f>COUNTIF($A$2:$A$1986,A1117)</f>
        <v>1</v>
      </c>
      <c r="U1117" s="27" t="str">
        <f t="shared" si="121"/>
        <v>Electric Kettle</v>
      </c>
      <c r="V1117" s="27">
        <f t="shared" si="122"/>
        <v>34.526999999999994</v>
      </c>
      <c r="W1117" s="27">
        <f t="shared" si="123"/>
        <v>20.97</v>
      </c>
      <c r="X1117" s="27">
        <f>RawSalesTable3[[#This Row],[Revenue]]-RawSalesTable3[[#This Row],[Total_Cost]]</f>
        <v>13.556999999999995</v>
      </c>
      <c r="Y1117" s="28">
        <f>RawSalesTable3[[#This Row],[Profit]]/RawSalesTable3[[#This Row],[Revenue]]</f>
        <v>0.39264923103658</v>
      </c>
      <c r="Z1117" s="27" t="str">
        <f>TEXT(RawSalesTable3[[#This Row],[Order_Date_Clean]],"MMM YYYY")</f>
        <v>Mar 2025</v>
      </c>
      <c r="AA1117" s="27"/>
      <c r="AB1117" s="27">
        <f t="shared" si="124"/>
        <v>0</v>
      </c>
      <c r="AC1117" s="27">
        <f t="shared" si="125"/>
        <v>0</v>
      </c>
    </row>
    <row r="1118" spans="1:29">
      <c r="A1118" t="s">
        <v>1221</v>
      </c>
      <c r="B1118" s="3">
        <v>45684</v>
      </c>
      <c r="C1118" t="s">
        <v>66</v>
      </c>
      <c r="D1118" t="s">
        <v>62</v>
      </c>
      <c r="E1118" t="s">
        <v>56</v>
      </c>
      <c r="F1118" t="s">
        <v>89</v>
      </c>
      <c r="G1118" s="6">
        <v>1</v>
      </c>
      <c r="H1118" s="4">
        <v>80.900000000000006</v>
      </c>
      <c r="I1118" s="4">
        <v>45.59</v>
      </c>
      <c r="J1118" s="5">
        <v>0.2</v>
      </c>
      <c r="K1118" s="6">
        <v>5</v>
      </c>
      <c r="L1118" s="6">
        <v>4</v>
      </c>
      <c r="M1118" t="s">
        <v>58</v>
      </c>
      <c r="N1118" t="s">
        <v>59</v>
      </c>
      <c r="O1118" t="s">
        <v>60</v>
      </c>
      <c r="P1118" t="str">
        <f t="shared" si="119"/>
        <v>Individual</v>
      </c>
      <c r="Q1118" t="str">
        <f t="shared" si="120"/>
        <v>South</v>
      </c>
      <c r="R1118" t="str">
        <f>PROPER(TRIM(E1118))</f>
        <v>Home &amp; Kitchen</v>
      </c>
      <c r="S1118" s="27">
        <f>IF(ISTEXT(B1118),DATEVALUE(B1118),B1118)</f>
        <v>45684</v>
      </c>
      <c r="T1118" s="27">
        <f>COUNTIF($A$2:$A$1986,A1118)</f>
        <v>1</v>
      </c>
      <c r="U1118" s="27" t="str">
        <f t="shared" si="121"/>
        <v>Coffee Maker</v>
      </c>
      <c r="V1118" s="27">
        <f t="shared" si="122"/>
        <v>64.720000000000013</v>
      </c>
      <c r="W1118" s="27">
        <f t="shared" si="123"/>
        <v>45.59</v>
      </c>
      <c r="X1118" s="27">
        <f>RawSalesTable3[[#This Row],[Revenue]]-RawSalesTable3[[#This Row],[Total_Cost]]</f>
        <v>19.13000000000001</v>
      </c>
      <c r="Y1118" s="28">
        <f>RawSalesTable3[[#This Row],[Profit]]/RawSalesTable3[[#This Row],[Revenue]]</f>
        <v>0.29558096415327573</v>
      </c>
      <c r="Z1118" s="27" t="str">
        <f>TEXT(RawSalesTable3[[#This Row],[Order_Date_Clean]],"MMM YYYY")</f>
        <v>Jan 2025</v>
      </c>
      <c r="AA1118" s="27"/>
      <c r="AB1118" s="27">
        <f t="shared" si="124"/>
        <v>0</v>
      </c>
      <c r="AC1118" s="27">
        <f t="shared" si="125"/>
        <v>0</v>
      </c>
    </row>
    <row r="1119" spans="1:29">
      <c r="A1119" t="s">
        <v>1222</v>
      </c>
      <c r="B1119" s="3">
        <v>45673</v>
      </c>
      <c r="C1119" t="s">
        <v>54</v>
      </c>
      <c r="D1119" t="s">
        <v>62</v>
      </c>
      <c r="E1119" t="s">
        <v>79</v>
      </c>
      <c r="F1119" t="s">
        <v>115</v>
      </c>
      <c r="G1119" s="6">
        <v>2</v>
      </c>
      <c r="H1119" s="4">
        <v>59.9</v>
      </c>
      <c r="I1119" s="4">
        <v>33.979999999999997</v>
      </c>
      <c r="J1119" s="5">
        <v>0.05</v>
      </c>
      <c r="K1119" s="6">
        <v>0</v>
      </c>
      <c r="L1119" s="6">
        <v>5</v>
      </c>
      <c r="M1119" t="s">
        <v>58</v>
      </c>
      <c r="N1119" t="s">
        <v>69</v>
      </c>
      <c r="O1119" t="s">
        <v>64</v>
      </c>
      <c r="P1119" t="str">
        <f t="shared" si="119"/>
        <v>Individual</v>
      </c>
      <c r="Q1119" t="str">
        <f t="shared" si="120"/>
        <v>North</v>
      </c>
      <c r="R1119" t="str">
        <f>PROPER(TRIM(E1119))</f>
        <v>Electronics</v>
      </c>
      <c r="S1119" s="27">
        <f>IF(ISTEXT(B1119),DATEVALUE(B1119),B1119)</f>
        <v>45673</v>
      </c>
      <c r="T1119" s="27">
        <f>COUNTIF($A$2:$A$1986,A1119)</f>
        <v>1</v>
      </c>
      <c r="U1119" s="27" t="str">
        <f t="shared" si="121"/>
        <v>Wireless Headset</v>
      </c>
      <c r="V1119" s="27">
        <f t="shared" si="122"/>
        <v>113.80999999999999</v>
      </c>
      <c r="W1119" s="27">
        <f t="shared" si="123"/>
        <v>67.959999999999994</v>
      </c>
      <c r="X1119" s="27">
        <f>RawSalesTable3[[#This Row],[Revenue]]-RawSalesTable3[[#This Row],[Total_Cost]]</f>
        <v>45.849999999999994</v>
      </c>
      <c r="Y1119" s="28">
        <f>RawSalesTable3[[#This Row],[Profit]]/RawSalesTable3[[#This Row],[Revenue]]</f>
        <v>0.40286442316140936</v>
      </c>
      <c r="Z1119" s="27" t="str">
        <f>TEXT(RawSalesTable3[[#This Row],[Order_Date_Clean]],"MMM YYYY")</f>
        <v>Jan 2025</v>
      </c>
      <c r="AA1119" s="27"/>
      <c r="AB1119" s="27">
        <f t="shared" si="124"/>
        <v>0</v>
      </c>
      <c r="AC1119" s="27">
        <f t="shared" si="125"/>
        <v>0</v>
      </c>
    </row>
    <row r="1120" spans="1:29">
      <c r="A1120" t="s">
        <v>1223</v>
      </c>
      <c r="B1120" s="3">
        <v>45827</v>
      </c>
      <c r="C1120" t="s">
        <v>66</v>
      </c>
      <c r="D1120" t="s">
        <v>62</v>
      </c>
      <c r="E1120" t="s">
        <v>56</v>
      </c>
      <c r="F1120" t="s">
        <v>63</v>
      </c>
      <c r="G1120" s="6">
        <v>1</v>
      </c>
      <c r="H1120" s="4">
        <v>41.35</v>
      </c>
      <c r="I1120" s="4">
        <v>20.260000000000002</v>
      </c>
      <c r="J1120" s="5">
        <v>0.15000000000000002</v>
      </c>
      <c r="K1120" s="6">
        <v>0</v>
      </c>
      <c r="L1120" s="6">
        <v>4</v>
      </c>
      <c r="M1120" t="s">
        <v>58</v>
      </c>
      <c r="N1120" t="s">
        <v>69</v>
      </c>
      <c r="O1120" t="s">
        <v>60</v>
      </c>
      <c r="P1120" t="str">
        <f t="shared" si="119"/>
        <v>Individual</v>
      </c>
      <c r="Q1120" t="str">
        <f t="shared" si="120"/>
        <v>South</v>
      </c>
      <c r="R1120" t="str">
        <f>PROPER(TRIM(E1120))</f>
        <v>Home &amp; Kitchen</v>
      </c>
      <c r="S1120" s="27">
        <f>IF(ISTEXT(B1120),DATEVALUE(B1120),B1120)</f>
        <v>45827</v>
      </c>
      <c r="T1120" s="27">
        <f>COUNTIF($A$2:$A$1986,A1120)</f>
        <v>1</v>
      </c>
      <c r="U1120" s="27" t="str">
        <f t="shared" si="121"/>
        <v>Electric Kettle</v>
      </c>
      <c r="V1120" s="27">
        <f t="shared" si="122"/>
        <v>35.147500000000001</v>
      </c>
      <c r="W1120" s="27">
        <f t="shared" si="123"/>
        <v>20.260000000000002</v>
      </c>
      <c r="X1120" s="27">
        <f>RawSalesTable3[[#This Row],[Revenue]]-RawSalesTable3[[#This Row],[Total_Cost]]</f>
        <v>14.887499999999999</v>
      </c>
      <c r="Y1120" s="28">
        <f>RawSalesTable3[[#This Row],[Profit]]/RawSalesTable3[[#This Row],[Revenue]]</f>
        <v>0.42357208905327542</v>
      </c>
      <c r="Z1120" s="27" t="str">
        <f>TEXT(RawSalesTable3[[#This Row],[Order_Date_Clean]],"MMM YYYY")</f>
        <v>Jun 2025</v>
      </c>
      <c r="AA1120" s="27"/>
      <c r="AB1120" s="27">
        <f t="shared" si="124"/>
        <v>0</v>
      </c>
      <c r="AC1120" s="27">
        <f t="shared" si="125"/>
        <v>0</v>
      </c>
    </row>
    <row r="1121" spans="1:29">
      <c r="A1121" t="s">
        <v>1224</v>
      </c>
      <c r="B1121" s="3">
        <v>45904</v>
      </c>
      <c r="C1121" t="s">
        <v>66</v>
      </c>
      <c r="E1121" t="s">
        <v>56</v>
      </c>
      <c r="F1121" t="s">
        <v>63</v>
      </c>
      <c r="G1121" s="6">
        <v>4</v>
      </c>
      <c r="H1121" s="4">
        <v>41.56</v>
      </c>
      <c r="I1121" s="4">
        <v>20.43</v>
      </c>
      <c r="J1121" s="5">
        <v>0.05</v>
      </c>
      <c r="K1121" s="6">
        <v>6</v>
      </c>
      <c r="L1121" s="6">
        <v>4</v>
      </c>
      <c r="M1121" t="s">
        <v>58</v>
      </c>
      <c r="N1121" t="s">
        <v>59</v>
      </c>
      <c r="O1121" t="s">
        <v>64</v>
      </c>
      <c r="P1121" t="str">
        <f t="shared" si="119"/>
        <v>Unknow</v>
      </c>
      <c r="Q1121" t="str">
        <f t="shared" si="120"/>
        <v>South</v>
      </c>
      <c r="R1121" t="str">
        <f>PROPER(TRIM(E1121))</f>
        <v>Home &amp; Kitchen</v>
      </c>
      <c r="S1121" s="27">
        <f>IF(ISTEXT(B1121),DATEVALUE(B1121),B1121)</f>
        <v>45904</v>
      </c>
      <c r="T1121" s="27">
        <f>COUNTIF($A$2:$A$1986,A1121)</f>
        <v>1</v>
      </c>
      <c r="U1121" s="27" t="str">
        <f t="shared" si="121"/>
        <v>Electric Kettle</v>
      </c>
      <c r="V1121" s="27">
        <f t="shared" si="122"/>
        <v>157.928</v>
      </c>
      <c r="W1121" s="27">
        <f t="shared" si="123"/>
        <v>81.72</v>
      </c>
      <c r="X1121" s="27">
        <f>RawSalesTable3[[#This Row],[Revenue]]-RawSalesTable3[[#This Row],[Total_Cost]]</f>
        <v>76.207999999999998</v>
      </c>
      <c r="Y1121" s="28">
        <f>RawSalesTable3[[#This Row],[Profit]]/RawSalesTable3[[#This Row],[Revenue]]</f>
        <v>0.48254900967529507</v>
      </c>
      <c r="Z1121" s="27" t="str">
        <f>TEXT(RawSalesTable3[[#This Row],[Order_Date_Clean]],"MMM YYYY")</f>
        <v>Sep 2025</v>
      </c>
      <c r="AA1121" s="27"/>
      <c r="AB1121" s="27">
        <f t="shared" si="124"/>
        <v>0</v>
      </c>
      <c r="AC1121" s="27">
        <f t="shared" si="125"/>
        <v>0</v>
      </c>
    </row>
    <row r="1122" spans="1:29">
      <c r="A1122" t="s">
        <v>1225</v>
      </c>
      <c r="B1122" s="3">
        <v>45961</v>
      </c>
      <c r="C1122" t="s">
        <v>54</v>
      </c>
      <c r="D1122" t="s">
        <v>62</v>
      </c>
      <c r="E1122" t="s">
        <v>79</v>
      </c>
      <c r="F1122" t="s">
        <v>85</v>
      </c>
      <c r="G1122" s="6">
        <v>1</v>
      </c>
      <c r="H1122" s="4">
        <v>127.07</v>
      </c>
      <c r="I1122" s="4">
        <v>85.9</v>
      </c>
      <c r="J1122" s="5">
        <v>0.1</v>
      </c>
      <c r="K1122" s="6">
        <v>3</v>
      </c>
      <c r="L1122" s="6">
        <v>4</v>
      </c>
      <c r="M1122" t="s">
        <v>58</v>
      </c>
      <c r="N1122" t="s">
        <v>69</v>
      </c>
      <c r="O1122" t="s">
        <v>64</v>
      </c>
      <c r="P1122" t="str">
        <f t="shared" si="119"/>
        <v>Individual</v>
      </c>
      <c r="Q1122" t="str">
        <f t="shared" si="120"/>
        <v>North</v>
      </c>
      <c r="R1122" t="str">
        <f>PROPER(TRIM(E1122))</f>
        <v>Electronics</v>
      </c>
      <c r="S1122" s="27">
        <f>IF(ISTEXT(B1122),DATEVALUE(B1122),B1122)</f>
        <v>45961</v>
      </c>
      <c r="T1122" s="27">
        <f>COUNTIF($A$2:$A$1986,A1122)</f>
        <v>1</v>
      </c>
      <c r="U1122" s="27" t="str">
        <f t="shared" si="121"/>
        <v>SmartHome Hub</v>
      </c>
      <c r="V1122" s="27">
        <f t="shared" si="122"/>
        <v>114.363</v>
      </c>
      <c r="W1122" s="27">
        <f t="shared" si="123"/>
        <v>85.9</v>
      </c>
      <c r="X1122" s="27">
        <f>RawSalesTable3[[#This Row],[Revenue]]-RawSalesTable3[[#This Row],[Total_Cost]]</f>
        <v>28.462999999999994</v>
      </c>
      <c r="Y1122" s="28">
        <f>RawSalesTable3[[#This Row],[Profit]]/RawSalesTable3[[#This Row],[Revenue]]</f>
        <v>0.24888294290985716</v>
      </c>
      <c r="Z1122" s="27" t="str">
        <f>TEXT(RawSalesTable3[[#This Row],[Order_Date_Clean]],"MMM YYYY")</f>
        <v>Oct 2025</v>
      </c>
      <c r="AA1122" s="27"/>
      <c r="AB1122" s="27">
        <f t="shared" si="124"/>
        <v>0</v>
      </c>
      <c r="AC1122" s="27">
        <f t="shared" si="125"/>
        <v>0</v>
      </c>
    </row>
    <row r="1123" spans="1:29">
      <c r="A1123" t="s">
        <v>1226</v>
      </c>
      <c r="B1123" s="3">
        <v>46004</v>
      </c>
      <c r="C1123" t="s">
        <v>78</v>
      </c>
      <c r="D1123" t="s">
        <v>62</v>
      </c>
      <c r="E1123" t="s">
        <v>75</v>
      </c>
      <c r="F1123" t="s">
        <v>146</v>
      </c>
      <c r="G1123" s="6">
        <v>1</v>
      </c>
      <c r="H1123" s="4">
        <v>178.18</v>
      </c>
      <c r="I1123" s="4">
        <v>119.89</v>
      </c>
      <c r="J1123" s="5">
        <v>0.15000000000000002</v>
      </c>
      <c r="K1123" s="6">
        <v>7</v>
      </c>
      <c r="L1123" s="6">
        <v>3</v>
      </c>
      <c r="M1123" t="s">
        <v>58</v>
      </c>
      <c r="N1123" t="s">
        <v>87</v>
      </c>
      <c r="O1123" t="s">
        <v>64</v>
      </c>
      <c r="P1123" t="str">
        <f t="shared" si="119"/>
        <v>Individual</v>
      </c>
      <c r="Q1123" t="str">
        <f t="shared" si="120"/>
        <v>London</v>
      </c>
      <c r="R1123" t="str">
        <f>PROPER(TRIM(E1123))</f>
        <v>Furniture</v>
      </c>
      <c r="S1123" s="27">
        <f>IF(ISTEXT(B1123),DATEVALUE(B1123),B1123)</f>
        <v>46004</v>
      </c>
      <c r="T1123" s="27">
        <f>COUNTIF($A$2:$A$1986,A1123)</f>
        <v>1</v>
      </c>
      <c r="U1123" s="27" t="str">
        <f t="shared" si="121"/>
        <v>Office Chair</v>
      </c>
      <c r="V1123" s="27">
        <f t="shared" si="122"/>
        <v>151.453</v>
      </c>
      <c r="W1123" s="27">
        <f t="shared" si="123"/>
        <v>119.89</v>
      </c>
      <c r="X1123" s="27">
        <f>RawSalesTable3[[#This Row],[Revenue]]-RawSalesTable3[[#This Row],[Total_Cost]]</f>
        <v>31.563000000000002</v>
      </c>
      <c r="Y1123" s="28">
        <f>RawSalesTable3[[#This Row],[Profit]]/RawSalesTable3[[#This Row],[Revenue]]</f>
        <v>0.20840128620760237</v>
      </c>
      <c r="Z1123" s="27" t="str">
        <f>TEXT(RawSalesTable3[[#This Row],[Order_Date_Clean]],"MMM YYYY")</f>
        <v>Dec 2025</v>
      </c>
      <c r="AA1123" s="27"/>
      <c r="AB1123" s="27">
        <f t="shared" si="124"/>
        <v>0</v>
      </c>
      <c r="AC1123" s="27">
        <f t="shared" si="125"/>
        <v>0</v>
      </c>
    </row>
    <row r="1124" spans="1:29">
      <c r="A1124" t="s">
        <v>1227</v>
      </c>
      <c r="B1124" s="3">
        <v>45974</v>
      </c>
      <c r="C1124" t="s">
        <v>78</v>
      </c>
      <c r="D1124" t="s">
        <v>62</v>
      </c>
      <c r="E1124" t="s">
        <v>67</v>
      </c>
      <c r="F1124" t="s">
        <v>94</v>
      </c>
      <c r="G1124" s="6">
        <v>1</v>
      </c>
      <c r="H1124" s="4">
        <v>34.72</v>
      </c>
      <c r="I1124" s="4">
        <v>16.63</v>
      </c>
      <c r="J1124" s="5">
        <v>0.1</v>
      </c>
      <c r="K1124" s="6">
        <v>3</v>
      </c>
      <c r="L1124" s="6">
        <v>4</v>
      </c>
      <c r="M1124" t="s">
        <v>58</v>
      </c>
      <c r="N1124" t="s">
        <v>59</v>
      </c>
      <c r="O1124" t="s">
        <v>60</v>
      </c>
      <c r="P1124" t="str">
        <f t="shared" si="119"/>
        <v>Individual</v>
      </c>
      <c r="Q1124" t="str">
        <f t="shared" si="120"/>
        <v>London</v>
      </c>
      <c r="R1124" t="str">
        <f>PROPER(TRIM(E1124))</f>
        <v>Office</v>
      </c>
      <c r="S1124" s="27">
        <f>IF(ISTEXT(B1124),DATEVALUE(B1124),B1124)</f>
        <v>45974</v>
      </c>
      <c r="T1124" s="27">
        <f>COUNTIF($A$2:$A$1986,A1124)</f>
        <v>1</v>
      </c>
      <c r="U1124" s="27" t="str">
        <f t="shared" si="121"/>
        <v>Wireless Mouse</v>
      </c>
      <c r="V1124" s="27">
        <f t="shared" si="122"/>
        <v>31.248000000000001</v>
      </c>
      <c r="W1124" s="27">
        <f t="shared" si="123"/>
        <v>16.63</v>
      </c>
      <c r="X1124" s="27">
        <f>RawSalesTable3[[#This Row],[Revenue]]-RawSalesTable3[[#This Row],[Total_Cost]]</f>
        <v>14.618000000000002</v>
      </c>
      <c r="Y1124" s="28">
        <f>RawSalesTable3[[#This Row],[Profit]]/RawSalesTable3[[#This Row],[Revenue]]</f>
        <v>0.46780593958013317</v>
      </c>
      <c r="Z1124" s="27" t="str">
        <f>TEXT(RawSalesTable3[[#This Row],[Order_Date_Clean]],"MMM YYYY")</f>
        <v>Nov 2025</v>
      </c>
      <c r="AA1124" s="27"/>
      <c r="AB1124" s="27">
        <f t="shared" si="124"/>
        <v>0</v>
      </c>
      <c r="AC1124" s="27">
        <f t="shared" si="125"/>
        <v>0</v>
      </c>
    </row>
    <row r="1125" spans="1:29">
      <c r="A1125" t="s">
        <v>1228</v>
      </c>
      <c r="B1125" s="3">
        <v>45727</v>
      </c>
      <c r="C1125" t="s">
        <v>82</v>
      </c>
      <c r="D1125" t="s">
        <v>62</v>
      </c>
      <c r="E1125" t="s">
        <v>56</v>
      </c>
      <c r="F1125" t="s">
        <v>89</v>
      </c>
      <c r="G1125" s="6">
        <v>2</v>
      </c>
      <c r="H1125" s="4">
        <v>82.24</v>
      </c>
      <c r="I1125" s="4">
        <v>45.06</v>
      </c>
      <c r="J1125" s="5">
        <v>0</v>
      </c>
      <c r="K1125" s="6">
        <v>3</v>
      </c>
      <c r="L1125" s="6">
        <v>4</v>
      </c>
      <c r="M1125" t="s">
        <v>58</v>
      </c>
      <c r="N1125" t="s">
        <v>59</v>
      </c>
      <c r="O1125" t="s">
        <v>73</v>
      </c>
      <c r="P1125" t="str">
        <f t="shared" si="119"/>
        <v>Individual</v>
      </c>
      <c r="Q1125" t="str">
        <f t="shared" si="120"/>
        <v>Midlands</v>
      </c>
      <c r="R1125" t="str">
        <f>PROPER(TRIM(E1125))</f>
        <v>Home &amp; Kitchen</v>
      </c>
      <c r="S1125" s="27">
        <f>IF(ISTEXT(B1125),DATEVALUE(B1125),B1125)</f>
        <v>45727</v>
      </c>
      <c r="T1125" s="27">
        <f>COUNTIF($A$2:$A$1986,A1125)</f>
        <v>1</v>
      </c>
      <c r="U1125" s="27" t="str">
        <f t="shared" si="121"/>
        <v>Coffee Maker</v>
      </c>
      <c r="V1125" s="27">
        <f t="shared" si="122"/>
        <v>164.48</v>
      </c>
      <c r="W1125" s="27">
        <f t="shared" si="123"/>
        <v>90.12</v>
      </c>
      <c r="X1125" s="27">
        <f>RawSalesTable3[[#This Row],[Revenue]]-RawSalesTable3[[#This Row],[Total_Cost]]</f>
        <v>74.359999999999985</v>
      </c>
      <c r="Y1125" s="28">
        <f>RawSalesTable3[[#This Row],[Profit]]/RawSalesTable3[[#This Row],[Revenue]]</f>
        <v>0.4520914396887159</v>
      </c>
      <c r="Z1125" s="27" t="str">
        <f>TEXT(RawSalesTable3[[#This Row],[Order_Date_Clean]],"MMM YYYY")</f>
        <v>Mar 2025</v>
      </c>
      <c r="AA1125" s="27"/>
      <c r="AB1125" s="27">
        <f t="shared" si="124"/>
        <v>0</v>
      </c>
      <c r="AC1125" s="27">
        <f t="shared" si="125"/>
        <v>0</v>
      </c>
    </row>
    <row r="1126" spans="1:29">
      <c r="A1126" t="s">
        <v>1229</v>
      </c>
      <c r="B1126" s="3">
        <v>45955</v>
      </c>
      <c r="C1126" t="s">
        <v>54</v>
      </c>
      <c r="D1126" t="s">
        <v>62</v>
      </c>
      <c r="E1126" t="s">
        <v>79</v>
      </c>
      <c r="F1126" t="s">
        <v>115</v>
      </c>
      <c r="G1126" s="6">
        <v>1</v>
      </c>
      <c r="H1126" s="4">
        <v>61.22</v>
      </c>
      <c r="I1126" s="4">
        <v>33.93</v>
      </c>
      <c r="J1126" s="5">
        <v>0</v>
      </c>
      <c r="K1126" s="6">
        <v>2</v>
      </c>
      <c r="L1126" s="6">
        <v>4</v>
      </c>
      <c r="M1126" t="s">
        <v>58</v>
      </c>
      <c r="N1126" t="s">
        <v>59</v>
      </c>
      <c r="O1126" t="s">
        <v>64</v>
      </c>
      <c r="P1126" t="str">
        <f t="shared" si="119"/>
        <v>Individual</v>
      </c>
      <c r="Q1126" t="str">
        <f t="shared" si="120"/>
        <v>North</v>
      </c>
      <c r="R1126" t="str">
        <f>PROPER(TRIM(E1126))</f>
        <v>Electronics</v>
      </c>
      <c r="S1126" s="27">
        <f>IF(ISTEXT(B1126),DATEVALUE(B1126),B1126)</f>
        <v>45955</v>
      </c>
      <c r="T1126" s="27">
        <f>COUNTIF($A$2:$A$1986,A1126)</f>
        <v>1</v>
      </c>
      <c r="U1126" s="27" t="str">
        <f t="shared" si="121"/>
        <v>Wireless Headset</v>
      </c>
      <c r="V1126" s="27">
        <f t="shared" si="122"/>
        <v>61.22</v>
      </c>
      <c r="W1126" s="27">
        <f t="shared" si="123"/>
        <v>33.93</v>
      </c>
      <c r="X1126" s="27">
        <f>RawSalesTable3[[#This Row],[Revenue]]-RawSalesTable3[[#This Row],[Total_Cost]]</f>
        <v>27.29</v>
      </c>
      <c r="Y1126" s="28">
        <f>RawSalesTable3[[#This Row],[Profit]]/RawSalesTable3[[#This Row],[Revenue]]</f>
        <v>0.44576935641947074</v>
      </c>
      <c r="Z1126" s="27" t="str">
        <f>TEXT(RawSalesTable3[[#This Row],[Order_Date_Clean]],"MMM YYYY")</f>
        <v>Oct 2025</v>
      </c>
      <c r="AA1126" s="27"/>
      <c r="AB1126" s="27">
        <f t="shared" si="124"/>
        <v>0</v>
      </c>
      <c r="AC1126" s="27">
        <f t="shared" si="125"/>
        <v>0</v>
      </c>
    </row>
    <row r="1127" spans="1:29">
      <c r="A1127" t="s">
        <v>1230</v>
      </c>
      <c r="B1127" s="3">
        <v>45918</v>
      </c>
      <c r="C1127" t="s">
        <v>78</v>
      </c>
      <c r="D1127" t="s">
        <v>62</v>
      </c>
      <c r="E1127" t="s">
        <v>56</v>
      </c>
      <c r="F1127" t="s">
        <v>83</v>
      </c>
      <c r="G1127" s="6">
        <v>1</v>
      </c>
      <c r="H1127" s="4">
        <v>64.45</v>
      </c>
      <c r="I1127" s="4">
        <v>34.770000000000003</v>
      </c>
      <c r="J1127" s="5">
        <v>0.1</v>
      </c>
      <c r="K1127" s="6">
        <v>2</v>
      </c>
      <c r="L1127" s="6">
        <v>4</v>
      </c>
      <c r="M1127" t="s">
        <v>58</v>
      </c>
      <c r="N1127" t="s">
        <v>59</v>
      </c>
      <c r="O1127" t="s">
        <v>64</v>
      </c>
      <c r="P1127" t="str">
        <f t="shared" si="119"/>
        <v>Individual</v>
      </c>
      <c r="Q1127" t="str">
        <f t="shared" si="120"/>
        <v>London</v>
      </c>
      <c r="R1127" t="str">
        <f>PROPER(TRIM(E1127))</f>
        <v>Home &amp; Kitchen</v>
      </c>
      <c r="S1127" s="27">
        <f>IF(ISTEXT(B1127),DATEVALUE(B1127),B1127)</f>
        <v>45918</v>
      </c>
      <c r="T1127" s="27">
        <f>COUNTIF($A$2:$A$1986,A1127)</f>
        <v>1</v>
      </c>
      <c r="U1127" s="27" t="str">
        <f t="shared" si="121"/>
        <v>Blender</v>
      </c>
      <c r="V1127" s="27">
        <f t="shared" si="122"/>
        <v>58.005000000000003</v>
      </c>
      <c r="W1127" s="27">
        <f t="shared" si="123"/>
        <v>34.770000000000003</v>
      </c>
      <c r="X1127" s="27">
        <f>RawSalesTable3[[#This Row],[Revenue]]-RawSalesTable3[[#This Row],[Total_Cost]]</f>
        <v>23.234999999999999</v>
      </c>
      <c r="Y1127" s="28">
        <f>RawSalesTable3[[#This Row],[Profit]]/RawSalesTable3[[#This Row],[Revenue]]</f>
        <v>0.40056891647271786</v>
      </c>
      <c r="Z1127" s="27" t="str">
        <f>TEXT(RawSalesTable3[[#This Row],[Order_Date_Clean]],"MMM YYYY")</f>
        <v>Sep 2025</v>
      </c>
      <c r="AA1127" s="27"/>
      <c r="AB1127" s="27">
        <f t="shared" si="124"/>
        <v>0</v>
      </c>
      <c r="AC1127" s="27">
        <f t="shared" si="125"/>
        <v>0</v>
      </c>
    </row>
    <row r="1128" spans="1:29">
      <c r="A1128" t="s">
        <v>1231</v>
      </c>
      <c r="B1128" s="3">
        <v>45871</v>
      </c>
      <c r="C1128" t="s">
        <v>54</v>
      </c>
      <c r="D1128" t="s">
        <v>62</v>
      </c>
      <c r="E1128" t="s">
        <v>67</v>
      </c>
      <c r="F1128" t="s">
        <v>68</v>
      </c>
      <c r="G1128" s="6">
        <v>1</v>
      </c>
      <c r="H1128" s="4">
        <v>39.71</v>
      </c>
      <c r="I1128" s="4">
        <v>19.25</v>
      </c>
      <c r="J1128" s="5">
        <v>0.05</v>
      </c>
      <c r="K1128" s="6">
        <v>3</v>
      </c>
      <c r="L1128" s="6">
        <v>4</v>
      </c>
      <c r="M1128" t="s">
        <v>58</v>
      </c>
      <c r="N1128" t="s">
        <v>59</v>
      </c>
      <c r="O1128" t="s">
        <v>73</v>
      </c>
      <c r="P1128" t="str">
        <f t="shared" si="119"/>
        <v>Individual</v>
      </c>
      <c r="Q1128" t="str">
        <f t="shared" si="120"/>
        <v>North</v>
      </c>
      <c r="R1128" t="str">
        <f>PROPER(TRIM(E1128))</f>
        <v>Office</v>
      </c>
      <c r="S1128" s="27">
        <f>IF(ISTEXT(B1128),DATEVALUE(B1128),B1128)</f>
        <v>45871</v>
      </c>
      <c r="T1128" s="27">
        <f>COUNTIF($A$2:$A$1986,A1128)</f>
        <v>1</v>
      </c>
      <c r="U1128" s="27" t="str">
        <f t="shared" si="121"/>
        <v>Desk Lamp</v>
      </c>
      <c r="V1128" s="27">
        <f t="shared" si="122"/>
        <v>37.724499999999999</v>
      </c>
      <c r="W1128" s="27">
        <f t="shared" si="123"/>
        <v>19.25</v>
      </c>
      <c r="X1128" s="27">
        <f>RawSalesTable3[[#This Row],[Revenue]]-RawSalesTable3[[#This Row],[Total_Cost]]</f>
        <v>18.474499999999999</v>
      </c>
      <c r="Y1128" s="28">
        <f>RawSalesTable3[[#This Row],[Profit]]/RawSalesTable3[[#This Row],[Revenue]]</f>
        <v>0.48972153375127569</v>
      </c>
      <c r="Z1128" s="27" t="str">
        <f>TEXT(RawSalesTable3[[#This Row],[Order_Date_Clean]],"MMM YYYY")</f>
        <v>Aug 2025</v>
      </c>
      <c r="AA1128" s="27"/>
      <c r="AB1128" s="27">
        <f t="shared" si="124"/>
        <v>0</v>
      </c>
      <c r="AC1128" s="27">
        <f t="shared" si="125"/>
        <v>0</v>
      </c>
    </row>
    <row r="1129" spans="1:29">
      <c r="A1129" t="s">
        <v>1232</v>
      </c>
      <c r="B1129" s="3">
        <v>45868</v>
      </c>
      <c r="C1129" t="s">
        <v>54</v>
      </c>
      <c r="D1129" t="s">
        <v>55</v>
      </c>
      <c r="E1129" t="s">
        <v>56</v>
      </c>
      <c r="F1129" t="s">
        <v>57</v>
      </c>
      <c r="G1129" s="6">
        <v>3</v>
      </c>
      <c r="H1129" s="4">
        <v>112.62</v>
      </c>
      <c r="I1129" s="4">
        <v>66.790000000000006</v>
      </c>
      <c r="J1129" s="5">
        <v>0</v>
      </c>
      <c r="K1129" s="6">
        <v>4</v>
      </c>
      <c r="L1129" s="6">
        <v>5</v>
      </c>
      <c r="M1129" t="s">
        <v>58</v>
      </c>
      <c r="N1129" t="s">
        <v>69</v>
      </c>
      <c r="O1129" t="s">
        <v>64</v>
      </c>
      <c r="P1129" t="str">
        <f t="shared" si="119"/>
        <v>Small Business</v>
      </c>
      <c r="Q1129" t="str">
        <f t="shared" si="120"/>
        <v>North</v>
      </c>
      <c r="R1129" t="str">
        <f>PROPER(TRIM(E1129))</f>
        <v>Home &amp; Kitchen</v>
      </c>
      <c r="S1129" s="27">
        <f>IF(ISTEXT(B1129),DATEVALUE(B1129),B1129)</f>
        <v>45868</v>
      </c>
      <c r="T1129" s="27">
        <f>COUNTIF($A$2:$A$1986,A1129)</f>
        <v>1</v>
      </c>
      <c r="U1129" s="27" t="str">
        <f t="shared" si="121"/>
        <v>Air Fryer</v>
      </c>
      <c r="V1129" s="27">
        <f t="shared" si="122"/>
        <v>337.86</v>
      </c>
      <c r="W1129" s="27">
        <f t="shared" si="123"/>
        <v>200.37</v>
      </c>
      <c r="X1129" s="27">
        <f>RawSalesTable3[[#This Row],[Revenue]]-RawSalesTable3[[#This Row],[Total_Cost]]</f>
        <v>137.49</v>
      </c>
      <c r="Y1129" s="28">
        <f>RawSalesTable3[[#This Row],[Profit]]/RawSalesTable3[[#This Row],[Revenue]]</f>
        <v>0.40694370449298528</v>
      </c>
      <c r="Z1129" s="27" t="str">
        <f>TEXT(RawSalesTable3[[#This Row],[Order_Date_Clean]],"MMM YYYY")</f>
        <v>Jul 2025</v>
      </c>
      <c r="AA1129" s="27"/>
      <c r="AB1129" s="27">
        <f t="shared" si="124"/>
        <v>0</v>
      </c>
      <c r="AC1129" s="27">
        <f t="shared" si="125"/>
        <v>0</v>
      </c>
    </row>
    <row r="1130" spans="1:29">
      <c r="A1130" t="s">
        <v>1233</v>
      </c>
      <c r="B1130" s="3">
        <v>45759</v>
      </c>
      <c r="C1130" t="s">
        <v>78</v>
      </c>
      <c r="D1130" t="s">
        <v>55</v>
      </c>
      <c r="E1130" t="s">
        <v>79</v>
      </c>
      <c r="F1130" t="s">
        <v>92</v>
      </c>
      <c r="G1130" s="6">
        <v>3</v>
      </c>
      <c r="H1130" s="4">
        <v>48.88</v>
      </c>
      <c r="I1130" s="4">
        <v>25.3</v>
      </c>
      <c r="J1130" s="5">
        <v>0</v>
      </c>
      <c r="K1130" s="6">
        <v>1</v>
      </c>
      <c r="L1130" s="6">
        <v>5</v>
      </c>
      <c r="M1130" t="s">
        <v>58</v>
      </c>
      <c r="N1130" t="s">
        <v>69</v>
      </c>
      <c r="O1130" t="s">
        <v>64</v>
      </c>
      <c r="P1130" t="str">
        <f t="shared" si="119"/>
        <v>Small Business</v>
      </c>
      <c r="Q1130" t="str">
        <f t="shared" si="120"/>
        <v>London</v>
      </c>
      <c r="R1130" t="str">
        <f>PROPER(TRIM(E1130))</f>
        <v>Electronics</v>
      </c>
      <c r="S1130" s="27">
        <f>IF(ISTEXT(B1130),DATEVALUE(B1130),B1130)</f>
        <v>45759</v>
      </c>
      <c r="T1130" s="27">
        <f>COUNTIF($A$2:$A$1986,A1130)</f>
        <v>1</v>
      </c>
      <c r="U1130" s="27" t="str">
        <f t="shared" si="121"/>
        <v>Webcam</v>
      </c>
      <c r="V1130" s="27">
        <f t="shared" si="122"/>
        <v>146.64000000000001</v>
      </c>
      <c r="W1130" s="27">
        <f t="shared" si="123"/>
        <v>75.900000000000006</v>
      </c>
      <c r="X1130" s="27">
        <f>RawSalesTable3[[#This Row],[Revenue]]-RawSalesTable3[[#This Row],[Total_Cost]]</f>
        <v>70.740000000000009</v>
      </c>
      <c r="Y1130" s="28">
        <f>RawSalesTable3[[#This Row],[Profit]]/RawSalesTable3[[#This Row],[Revenue]]</f>
        <v>0.4824058919803601</v>
      </c>
      <c r="Z1130" s="27" t="str">
        <f>TEXT(RawSalesTable3[[#This Row],[Order_Date_Clean]],"MMM YYYY")</f>
        <v>Apr 2025</v>
      </c>
      <c r="AA1130" s="27"/>
      <c r="AB1130" s="27">
        <f t="shared" si="124"/>
        <v>0</v>
      </c>
      <c r="AC1130" s="27">
        <f t="shared" si="125"/>
        <v>0</v>
      </c>
    </row>
    <row r="1131" spans="1:29">
      <c r="A1131" t="s">
        <v>1234</v>
      </c>
      <c r="B1131" s="3">
        <v>45889</v>
      </c>
      <c r="C1131" t="s">
        <v>54</v>
      </c>
      <c r="D1131" t="s">
        <v>62</v>
      </c>
      <c r="E1131" t="s">
        <v>56</v>
      </c>
      <c r="F1131" t="s">
        <v>57</v>
      </c>
      <c r="G1131" s="6">
        <v>1</v>
      </c>
      <c r="H1131" s="4">
        <v>106.89</v>
      </c>
      <c r="I1131" s="4">
        <v>65.930000000000007</v>
      </c>
      <c r="J1131" s="5">
        <v>0.1</v>
      </c>
      <c r="K1131" s="6">
        <v>7</v>
      </c>
      <c r="L1131" s="6">
        <v>4</v>
      </c>
      <c r="M1131" t="s">
        <v>58</v>
      </c>
      <c r="N1131" t="s">
        <v>59</v>
      </c>
      <c r="O1131" t="s">
        <v>73</v>
      </c>
      <c r="P1131" t="str">
        <f t="shared" si="119"/>
        <v>Individual</v>
      </c>
      <c r="Q1131" t="str">
        <f t="shared" si="120"/>
        <v>North</v>
      </c>
      <c r="R1131" t="str">
        <f>PROPER(TRIM(E1131))</f>
        <v>Home &amp; Kitchen</v>
      </c>
      <c r="S1131" s="27">
        <f>IF(ISTEXT(B1131),DATEVALUE(B1131),B1131)</f>
        <v>45889</v>
      </c>
      <c r="T1131" s="27">
        <f>COUNTIF($A$2:$A$1986,A1131)</f>
        <v>1</v>
      </c>
      <c r="U1131" s="27" t="str">
        <f t="shared" si="121"/>
        <v>Air Fryer</v>
      </c>
      <c r="V1131" s="27">
        <f t="shared" si="122"/>
        <v>96.201000000000008</v>
      </c>
      <c r="W1131" s="27">
        <f t="shared" si="123"/>
        <v>65.930000000000007</v>
      </c>
      <c r="X1131" s="27">
        <f>RawSalesTable3[[#This Row],[Revenue]]-RawSalesTable3[[#This Row],[Total_Cost]]</f>
        <v>30.271000000000001</v>
      </c>
      <c r="Y1131" s="28">
        <f>RawSalesTable3[[#This Row],[Profit]]/RawSalesTable3[[#This Row],[Revenue]]</f>
        <v>0.31466408873088636</v>
      </c>
      <c r="Z1131" s="27" t="str">
        <f>TEXT(RawSalesTable3[[#This Row],[Order_Date_Clean]],"MMM YYYY")</f>
        <v>Aug 2025</v>
      </c>
      <c r="AA1131" s="27"/>
      <c r="AB1131" s="27">
        <f t="shared" si="124"/>
        <v>0</v>
      </c>
      <c r="AC1131" s="27">
        <f t="shared" si="125"/>
        <v>0</v>
      </c>
    </row>
    <row r="1132" spans="1:29">
      <c r="A1132" t="s">
        <v>1235</v>
      </c>
      <c r="B1132" s="3">
        <v>45884</v>
      </c>
      <c r="C1132" t="s">
        <v>54</v>
      </c>
      <c r="D1132" t="s">
        <v>55</v>
      </c>
      <c r="E1132" t="s">
        <v>56</v>
      </c>
      <c r="F1132" t="s">
        <v>57</v>
      </c>
      <c r="G1132" s="6">
        <v>6</v>
      </c>
      <c r="H1132" s="4">
        <v>111.43</v>
      </c>
      <c r="I1132" s="4">
        <v>68.64</v>
      </c>
      <c r="J1132" s="5">
        <v>0</v>
      </c>
      <c r="K1132" s="6">
        <v>3</v>
      </c>
      <c r="L1132" s="6">
        <v>5</v>
      </c>
      <c r="M1132" t="s">
        <v>58</v>
      </c>
      <c r="N1132" t="s">
        <v>87</v>
      </c>
      <c r="O1132" t="s">
        <v>64</v>
      </c>
      <c r="P1132" t="str">
        <f t="shared" si="119"/>
        <v>Small Business</v>
      </c>
      <c r="Q1132" t="str">
        <f t="shared" si="120"/>
        <v>North</v>
      </c>
      <c r="R1132" t="str">
        <f>PROPER(TRIM(E1132))</f>
        <v>Home &amp; Kitchen</v>
      </c>
      <c r="S1132" s="27">
        <f>IF(ISTEXT(B1132),DATEVALUE(B1132),B1132)</f>
        <v>45884</v>
      </c>
      <c r="T1132" s="27">
        <f>COUNTIF($A$2:$A$1986,A1132)</f>
        <v>1</v>
      </c>
      <c r="U1132" s="27" t="str">
        <f t="shared" si="121"/>
        <v>Air Fryer</v>
      </c>
      <c r="V1132" s="27">
        <f t="shared" si="122"/>
        <v>668.58</v>
      </c>
      <c r="W1132" s="27">
        <f t="shared" si="123"/>
        <v>411.84000000000003</v>
      </c>
      <c r="X1132" s="27">
        <f>RawSalesTable3[[#This Row],[Revenue]]-RawSalesTable3[[#This Row],[Total_Cost]]</f>
        <v>256.74</v>
      </c>
      <c r="Y1132" s="28">
        <f>RawSalesTable3[[#This Row],[Profit]]/RawSalesTable3[[#This Row],[Revenue]]</f>
        <v>0.38400789733464957</v>
      </c>
      <c r="Z1132" s="27" t="str">
        <f>TEXT(RawSalesTable3[[#This Row],[Order_Date_Clean]],"MMM YYYY")</f>
        <v>Aug 2025</v>
      </c>
      <c r="AA1132" s="27"/>
      <c r="AB1132" s="27">
        <f t="shared" si="124"/>
        <v>0</v>
      </c>
      <c r="AC1132" s="27">
        <f t="shared" si="125"/>
        <v>0</v>
      </c>
    </row>
    <row r="1133" spans="1:29">
      <c r="A1133" t="s">
        <v>1236</v>
      </c>
      <c r="B1133" s="3">
        <v>45786</v>
      </c>
      <c r="C1133" t="s">
        <v>78</v>
      </c>
      <c r="D1133" t="s">
        <v>62</v>
      </c>
      <c r="E1133" t="s">
        <v>56</v>
      </c>
      <c r="F1133" t="s">
        <v>57</v>
      </c>
      <c r="G1133" s="6">
        <v>1</v>
      </c>
      <c r="H1133" s="4">
        <v>110.91</v>
      </c>
      <c r="I1133" s="4">
        <v>69.64</v>
      </c>
      <c r="J1133" s="5">
        <v>0</v>
      </c>
      <c r="K1133" s="6">
        <v>3</v>
      </c>
      <c r="L1133" s="6">
        <v>4</v>
      </c>
      <c r="M1133" t="s">
        <v>58</v>
      </c>
      <c r="N1133" t="s">
        <v>59</v>
      </c>
      <c r="O1133" t="s">
        <v>64</v>
      </c>
      <c r="P1133" t="str">
        <f t="shared" si="119"/>
        <v>Individual</v>
      </c>
      <c r="Q1133" t="str">
        <f t="shared" si="120"/>
        <v>London</v>
      </c>
      <c r="R1133" t="str">
        <f>PROPER(TRIM(E1133))</f>
        <v>Home &amp; Kitchen</v>
      </c>
      <c r="S1133" s="27">
        <f>IF(ISTEXT(B1133),DATEVALUE(B1133),B1133)</f>
        <v>45786</v>
      </c>
      <c r="T1133" s="27">
        <f>COUNTIF($A$2:$A$1986,A1133)</f>
        <v>1</v>
      </c>
      <c r="U1133" s="27" t="str">
        <f t="shared" si="121"/>
        <v>Air Fryer</v>
      </c>
      <c r="V1133" s="27">
        <f t="shared" si="122"/>
        <v>110.91</v>
      </c>
      <c r="W1133" s="27">
        <f t="shared" si="123"/>
        <v>69.64</v>
      </c>
      <c r="X1133" s="27">
        <f>RawSalesTable3[[#This Row],[Revenue]]-RawSalesTable3[[#This Row],[Total_Cost]]</f>
        <v>41.269999999999996</v>
      </c>
      <c r="Y1133" s="28">
        <f>RawSalesTable3[[#This Row],[Profit]]/RawSalesTable3[[#This Row],[Revenue]]</f>
        <v>0.37210350734830039</v>
      </c>
      <c r="Z1133" s="27" t="str">
        <f>TEXT(RawSalesTable3[[#This Row],[Order_Date_Clean]],"MMM YYYY")</f>
        <v>May 2025</v>
      </c>
      <c r="AA1133" s="27"/>
      <c r="AB1133" s="27">
        <f t="shared" si="124"/>
        <v>0</v>
      </c>
      <c r="AC1133" s="27">
        <f t="shared" si="125"/>
        <v>0</v>
      </c>
    </row>
    <row r="1134" spans="1:29">
      <c r="A1134" t="s">
        <v>1237</v>
      </c>
      <c r="B1134" s="3">
        <v>45884</v>
      </c>
      <c r="C1134" t="s">
        <v>66</v>
      </c>
      <c r="D1134" t="s">
        <v>62</v>
      </c>
      <c r="E1134" t="s">
        <v>75</v>
      </c>
      <c r="F1134" t="s">
        <v>76</v>
      </c>
      <c r="G1134" s="6">
        <v>2</v>
      </c>
      <c r="H1134" s="4">
        <v>121.42</v>
      </c>
      <c r="I1134" s="4">
        <v>75.41</v>
      </c>
      <c r="J1134" s="5">
        <v>0.05</v>
      </c>
      <c r="K1134" s="6">
        <v>0</v>
      </c>
      <c r="L1134" s="6">
        <v>4</v>
      </c>
      <c r="M1134" t="s">
        <v>58</v>
      </c>
      <c r="N1134" t="s">
        <v>69</v>
      </c>
      <c r="O1134" t="s">
        <v>64</v>
      </c>
      <c r="P1134" t="str">
        <f t="shared" si="119"/>
        <v>Individual</v>
      </c>
      <c r="Q1134" t="str">
        <f t="shared" si="120"/>
        <v>South</v>
      </c>
      <c r="R1134" t="str">
        <f>PROPER(TRIM(E1134))</f>
        <v>Furniture</v>
      </c>
      <c r="S1134" s="27">
        <f>IF(ISTEXT(B1134),DATEVALUE(B1134),B1134)</f>
        <v>45884</v>
      </c>
      <c r="T1134" s="27">
        <f>COUNTIF($A$2:$A$1986,A1134)</f>
        <v>1</v>
      </c>
      <c r="U1134" s="27" t="str">
        <f t="shared" si="121"/>
        <v>Bookshelf</v>
      </c>
      <c r="V1134" s="27">
        <f t="shared" si="122"/>
        <v>230.69799999999998</v>
      </c>
      <c r="W1134" s="27">
        <f t="shared" si="123"/>
        <v>150.82</v>
      </c>
      <c r="X1134" s="27">
        <f>RawSalesTable3[[#This Row],[Revenue]]-RawSalesTable3[[#This Row],[Total_Cost]]</f>
        <v>79.877999999999986</v>
      </c>
      <c r="Y1134" s="28">
        <f>RawSalesTable3[[#This Row],[Profit]]/RawSalesTable3[[#This Row],[Revenue]]</f>
        <v>0.3462448742511855</v>
      </c>
      <c r="Z1134" s="27" t="str">
        <f>TEXT(RawSalesTable3[[#This Row],[Order_Date_Clean]],"MMM YYYY")</f>
        <v>Aug 2025</v>
      </c>
      <c r="AA1134" s="27"/>
      <c r="AB1134" s="27">
        <f t="shared" si="124"/>
        <v>0</v>
      </c>
      <c r="AC1134" s="27">
        <f t="shared" si="125"/>
        <v>0</v>
      </c>
    </row>
    <row r="1135" spans="1:29">
      <c r="A1135" t="s">
        <v>1238</v>
      </c>
      <c r="B1135" s="3">
        <v>46010</v>
      </c>
      <c r="C1135" t="s">
        <v>66</v>
      </c>
      <c r="E1135" t="s">
        <v>56</v>
      </c>
      <c r="F1135" t="s">
        <v>63</v>
      </c>
      <c r="G1135" s="6">
        <v>1</v>
      </c>
      <c r="H1135" s="4">
        <v>40.729999999999997</v>
      </c>
      <c r="I1135" s="4">
        <v>19.940000000000001</v>
      </c>
      <c r="J1135" s="5">
        <v>0.2</v>
      </c>
      <c r="K1135" s="6">
        <v>0</v>
      </c>
      <c r="L1135" s="6">
        <v>5</v>
      </c>
      <c r="M1135" t="s">
        <v>58</v>
      </c>
      <c r="N1135" t="s">
        <v>69</v>
      </c>
      <c r="O1135" t="s">
        <v>64</v>
      </c>
      <c r="P1135" t="str">
        <f t="shared" si="119"/>
        <v>Unknow</v>
      </c>
      <c r="Q1135" t="str">
        <f t="shared" si="120"/>
        <v>South</v>
      </c>
      <c r="R1135" t="str">
        <f>PROPER(TRIM(E1135))</f>
        <v>Home &amp; Kitchen</v>
      </c>
      <c r="S1135" s="27">
        <f>IF(ISTEXT(B1135),DATEVALUE(B1135),B1135)</f>
        <v>46010</v>
      </c>
      <c r="T1135" s="27">
        <f>COUNTIF($A$2:$A$1986,A1135)</f>
        <v>1</v>
      </c>
      <c r="U1135" s="27" t="str">
        <f t="shared" si="121"/>
        <v>Electric Kettle</v>
      </c>
      <c r="V1135" s="27">
        <f t="shared" si="122"/>
        <v>32.583999999999996</v>
      </c>
      <c r="W1135" s="27">
        <f t="shared" si="123"/>
        <v>19.940000000000001</v>
      </c>
      <c r="X1135" s="27">
        <f>RawSalesTable3[[#This Row],[Revenue]]-RawSalesTable3[[#This Row],[Total_Cost]]</f>
        <v>12.643999999999995</v>
      </c>
      <c r="Y1135" s="28">
        <f>RawSalesTable3[[#This Row],[Profit]]/RawSalesTable3[[#This Row],[Revenue]]</f>
        <v>0.38804321139209419</v>
      </c>
      <c r="Z1135" s="27" t="str">
        <f>TEXT(RawSalesTable3[[#This Row],[Order_Date_Clean]],"MMM YYYY")</f>
        <v>Dec 2025</v>
      </c>
      <c r="AA1135" s="27"/>
      <c r="AB1135" s="27">
        <f t="shared" si="124"/>
        <v>0</v>
      </c>
      <c r="AC1135" s="27">
        <f t="shared" si="125"/>
        <v>0</v>
      </c>
    </row>
    <row r="1136" spans="1:29">
      <c r="A1136" t="s">
        <v>1239</v>
      </c>
      <c r="B1136" s="3">
        <v>45688</v>
      </c>
      <c r="C1136" t="s">
        <v>66</v>
      </c>
      <c r="D1136" t="s">
        <v>55</v>
      </c>
      <c r="E1136" t="s">
        <v>67</v>
      </c>
      <c r="F1136" t="s">
        <v>94</v>
      </c>
      <c r="G1136" s="6">
        <v>3</v>
      </c>
      <c r="H1136" s="4">
        <v>36.04</v>
      </c>
      <c r="I1136" s="4">
        <v>16.8</v>
      </c>
      <c r="J1136" s="5">
        <v>0.1</v>
      </c>
      <c r="K1136" s="6">
        <v>3</v>
      </c>
      <c r="L1136" s="6">
        <v>4</v>
      </c>
      <c r="M1136" t="s">
        <v>58</v>
      </c>
      <c r="N1136" t="s">
        <v>59</v>
      </c>
      <c r="O1136" t="s">
        <v>64</v>
      </c>
      <c r="P1136" t="str">
        <f t="shared" si="119"/>
        <v>Small Business</v>
      </c>
      <c r="Q1136" t="str">
        <f t="shared" si="120"/>
        <v>South</v>
      </c>
      <c r="R1136" t="str">
        <f>PROPER(TRIM(E1136))</f>
        <v>Office</v>
      </c>
      <c r="S1136" s="27">
        <f>IF(ISTEXT(B1136),DATEVALUE(B1136),B1136)</f>
        <v>45688</v>
      </c>
      <c r="T1136" s="27">
        <f>COUNTIF($A$2:$A$1986,A1136)</f>
        <v>1</v>
      </c>
      <c r="U1136" s="27" t="str">
        <f t="shared" si="121"/>
        <v>Wireless Mouse</v>
      </c>
      <c r="V1136" s="27">
        <f t="shared" si="122"/>
        <v>97.308000000000007</v>
      </c>
      <c r="W1136" s="27">
        <f t="shared" si="123"/>
        <v>50.400000000000006</v>
      </c>
      <c r="X1136" s="27">
        <f>RawSalesTable3[[#This Row],[Revenue]]-RawSalesTable3[[#This Row],[Total_Cost]]</f>
        <v>46.908000000000001</v>
      </c>
      <c r="Y1136" s="28">
        <f>RawSalesTable3[[#This Row],[Profit]]/RawSalesTable3[[#This Row],[Revenue]]</f>
        <v>0.48205697373288936</v>
      </c>
      <c r="Z1136" s="27" t="str">
        <f>TEXT(RawSalesTable3[[#This Row],[Order_Date_Clean]],"MMM YYYY")</f>
        <v>Jan 2025</v>
      </c>
      <c r="AA1136" s="27"/>
      <c r="AB1136" s="27">
        <f t="shared" si="124"/>
        <v>0</v>
      </c>
      <c r="AC1136" s="27">
        <f t="shared" si="125"/>
        <v>0</v>
      </c>
    </row>
    <row r="1137" spans="1:29">
      <c r="A1137" t="s">
        <v>1240</v>
      </c>
      <c r="B1137" s="3">
        <v>45989</v>
      </c>
      <c r="C1137" t="s">
        <v>78</v>
      </c>
      <c r="D1137" t="s">
        <v>62</v>
      </c>
      <c r="E1137" t="s">
        <v>56</v>
      </c>
      <c r="F1137" t="s">
        <v>89</v>
      </c>
      <c r="G1137" s="6">
        <v>1</v>
      </c>
      <c r="H1137" s="4">
        <v>78.89</v>
      </c>
      <c r="I1137" s="4">
        <v>43.79</v>
      </c>
      <c r="J1137" s="5">
        <v>0.1</v>
      </c>
      <c r="K1137" s="6">
        <v>0</v>
      </c>
      <c r="L1137" s="6">
        <v>4</v>
      </c>
      <c r="M1137" t="s">
        <v>58</v>
      </c>
      <c r="N1137" t="s">
        <v>69</v>
      </c>
      <c r="O1137" t="s">
        <v>60</v>
      </c>
      <c r="P1137" t="str">
        <f t="shared" si="119"/>
        <v>Individual</v>
      </c>
      <c r="Q1137" t="str">
        <f t="shared" si="120"/>
        <v>London</v>
      </c>
      <c r="R1137" t="str">
        <f>PROPER(TRIM(E1137))</f>
        <v>Home &amp; Kitchen</v>
      </c>
      <c r="S1137" s="27">
        <f>IF(ISTEXT(B1137),DATEVALUE(B1137),B1137)</f>
        <v>45989</v>
      </c>
      <c r="T1137" s="27">
        <f>COUNTIF($A$2:$A$1986,A1137)</f>
        <v>1</v>
      </c>
      <c r="U1137" s="27" t="str">
        <f t="shared" si="121"/>
        <v>Coffee Maker</v>
      </c>
      <c r="V1137" s="27">
        <f t="shared" si="122"/>
        <v>71.001000000000005</v>
      </c>
      <c r="W1137" s="27">
        <f t="shared" si="123"/>
        <v>43.79</v>
      </c>
      <c r="X1137" s="27">
        <f>RawSalesTable3[[#This Row],[Revenue]]-RawSalesTable3[[#This Row],[Total_Cost]]</f>
        <v>27.211000000000006</v>
      </c>
      <c r="Y1137" s="28">
        <f>RawSalesTable3[[#This Row],[Profit]]/RawSalesTable3[[#This Row],[Revenue]]</f>
        <v>0.38324812326586954</v>
      </c>
      <c r="Z1137" s="27" t="str">
        <f>TEXT(RawSalesTable3[[#This Row],[Order_Date_Clean]],"MMM YYYY")</f>
        <v>Nov 2025</v>
      </c>
      <c r="AA1137" s="27"/>
      <c r="AB1137" s="27">
        <f t="shared" si="124"/>
        <v>0</v>
      </c>
      <c r="AC1137" s="27">
        <f t="shared" si="125"/>
        <v>0</v>
      </c>
    </row>
    <row r="1138" spans="1:29">
      <c r="A1138" t="s">
        <v>1241</v>
      </c>
      <c r="B1138" s="3">
        <v>45819</v>
      </c>
      <c r="C1138" t="s">
        <v>54</v>
      </c>
      <c r="D1138" t="s">
        <v>55</v>
      </c>
      <c r="E1138" t="s">
        <v>67</v>
      </c>
      <c r="F1138" t="s">
        <v>107</v>
      </c>
      <c r="G1138" s="6">
        <v>1</v>
      </c>
      <c r="H1138" s="4">
        <v>45.63</v>
      </c>
      <c r="I1138" s="4">
        <v>20.38</v>
      </c>
      <c r="J1138" s="5">
        <v>0.1</v>
      </c>
      <c r="K1138" s="6">
        <v>3</v>
      </c>
      <c r="L1138" s="6">
        <v>5</v>
      </c>
      <c r="M1138" t="s">
        <v>58</v>
      </c>
      <c r="N1138" t="s">
        <v>59</v>
      </c>
      <c r="O1138" t="s">
        <v>60</v>
      </c>
      <c r="P1138" t="str">
        <f t="shared" si="119"/>
        <v>Small Business</v>
      </c>
      <c r="Q1138" t="str">
        <f t="shared" si="120"/>
        <v>North</v>
      </c>
      <c r="R1138" t="str">
        <f>PROPER(TRIM(E1138))</f>
        <v>Office</v>
      </c>
      <c r="S1138" s="27">
        <f>IF(ISTEXT(B1138),DATEVALUE(B1138),B1138)</f>
        <v>45819</v>
      </c>
      <c r="T1138" s="27">
        <f>COUNTIF($A$2:$A$1986,A1138)</f>
        <v>1</v>
      </c>
      <c r="U1138" s="27" t="str">
        <f t="shared" si="121"/>
        <v>Laptop Stand</v>
      </c>
      <c r="V1138" s="27">
        <f t="shared" si="122"/>
        <v>41.067</v>
      </c>
      <c r="W1138" s="27">
        <f t="shared" si="123"/>
        <v>20.38</v>
      </c>
      <c r="X1138" s="27">
        <f>RawSalesTable3[[#This Row],[Revenue]]-RawSalesTable3[[#This Row],[Total_Cost]]</f>
        <v>20.687000000000001</v>
      </c>
      <c r="Y1138" s="28">
        <f>RawSalesTable3[[#This Row],[Profit]]/RawSalesTable3[[#This Row],[Revenue]]</f>
        <v>0.50373779433608501</v>
      </c>
      <c r="Z1138" s="27" t="str">
        <f>TEXT(RawSalesTable3[[#This Row],[Order_Date_Clean]],"MMM YYYY")</f>
        <v>Jun 2025</v>
      </c>
      <c r="AA1138" s="27"/>
      <c r="AB1138" s="27">
        <f t="shared" si="124"/>
        <v>0</v>
      </c>
      <c r="AC1138" s="27">
        <f t="shared" si="125"/>
        <v>0</v>
      </c>
    </row>
    <row r="1139" spans="1:29">
      <c r="A1139" t="s">
        <v>1242</v>
      </c>
      <c r="B1139" s="3">
        <v>45997</v>
      </c>
      <c r="C1139" t="s">
        <v>78</v>
      </c>
      <c r="D1139" t="s">
        <v>62</v>
      </c>
      <c r="E1139" t="s">
        <v>67</v>
      </c>
      <c r="F1139" t="s">
        <v>71</v>
      </c>
      <c r="G1139" s="6">
        <v>2</v>
      </c>
      <c r="H1139" s="4">
        <v>72.25</v>
      </c>
      <c r="I1139" s="4">
        <v>36.97</v>
      </c>
      <c r="J1139" s="5">
        <v>0.05</v>
      </c>
      <c r="K1139" s="6">
        <v>3</v>
      </c>
      <c r="L1139" s="6">
        <v>3</v>
      </c>
      <c r="M1139" t="s">
        <v>126</v>
      </c>
      <c r="N1139" t="s">
        <v>87</v>
      </c>
      <c r="O1139" t="s">
        <v>64</v>
      </c>
      <c r="P1139" t="str">
        <f t="shared" si="119"/>
        <v>Individual</v>
      </c>
      <c r="Q1139" t="str">
        <f t="shared" si="120"/>
        <v>London</v>
      </c>
      <c r="R1139" t="str">
        <f>PROPER(TRIM(E1139))</f>
        <v>Office</v>
      </c>
      <c r="S1139" s="27">
        <f>IF(ISTEXT(B1139),DATEVALUE(B1139),B1139)</f>
        <v>45997</v>
      </c>
      <c r="T1139" s="27">
        <f>COUNTIF($A$2:$A$1986,A1139)</f>
        <v>1</v>
      </c>
      <c r="U1139" s="27" t="str">
        <f t="shared" si="121"/>
        <v>Ergonomic Keyboard</v>
      </c>
      <c r="V1139" s="27">
        <f t="shared" si="122"/>
        <v>137.27500000000001</v>
      </c>
      <c r="W1139" s="27">
        <f t="shared" si="123"/>
        <v>73.94</v>
      </c>
      <c r="X1139" s="27">
        <f>RawSalesTable3[[#This Row],[Revenue]]-RawSalesTable3[[#This Row],[Total_Cost]]</f>
        <v>63.335000000000008</v>
      </c>
      <c r="Y1139" s="28">
        <f>RawSalesTable3[[#This Row],[Profit]]/RawSalesTable3[[#This Row],[Revenue]]</f>
        <v>0.46137315607357499</v>
      </c>
      <c r="Z1139" s="27" t="str">
        <f>TEXT(RawSalesTable3[[#This Row],[Order_Date_Clean]],"MMM YYYY")</f>
        <v>Dec 2025</v>
      </c>
      <c r="AA1139" s="27"/>
      <c r="AB1139" s="27">
        <f t="shared" si="124"/>
        <v>0</v>
      </c>
      <c r="AC1139" s="27">
        <f t="shared" si="125"/>
        <v>0</v>
      </c>
    </row>
    <row r="1140" spans="1:29">
      <c r="A1140" t="s">
        <v>1243</v>
      </c>
      <c r="B1140" s="3">
        <v>45781</v>
      </c>
      <c r="C1140" t="s">
        <v>54</v>
      </c>
      <c r="D1140" t="s">
        <v>55</v>
      </c>
      <c r="E1140" t="s">
        <v>67</v>
      </c>
      <c r="F1140" t="s">
        <v>71</v>
      </c>
      <c r="G1140" s="6">
        <v>1</v>
      </c>
      <c r="H1140" s="4">
        <v>68.150000000000006</v>
      </c>
      <c r="I1140" s="4">
        <v>39.01</v>
      </c>
      <c r="J1140" s="5">
        <v>0</v>
      </c>
      <c r="K1140" s="6">
        <v>4</v>
      </c>
      <c r="L1140" s="6">
        <v>5</v>
      </c>
      <c r="M1140" t="s">
        <v>58</v>
      </c>
      <c r="N1140" t="s">
        <v>59</v>
      </c>
      <c r="O1140" t="s">
        <v>60</v>
      </c>
      <c r="P1140" t="str">
        <f t="shared" si="119"/>
        <v>Small Business</v>
      </c>
      <c r="Q1140" t="str">
        <f t="shared" si="120"/>
        <v>North</v>
      </c>
      <c r="R1140" t="str">
        <f>PROPER(TRIM(E1140))</f>
        <v>Office</v>
      </c>
      <c r="S1140" s="27">
        <f>IF(ISTEXT(B1140),DATEVALUE(B1140),B1140)</f>
        <v>45781</v>
      </c>
      <c r="T1140" s="27">
        <f>COUNTIF($A$2:$A$1986,A1140)</f>
        <v>1</v>
      </c>
      <c r="U1140" s="27" t="str">
        <f t="shared" si="121"/>
        <v>Ergonomic Keyboard</v>
      </c>
      <c r="V1140" s="27">
        <f t="shared" si="122"/>
        <v>68.150000000000006</v>
      </c>
      <c r="W1140" s="27">
        <f t="shared" si="123"/>
        <v>39.01</v>
      </c>
      <c r="X1140" s="27">
        <f>RawSalesTable3[[#This Row],[Revenue]]-RawSalesTable3[[#This Row],[Total_Cost]]</f>
        <v>29.140000000000008</v>
      </c>
      <c r="Y1140" s="28">
        <f>RawSalesTable3[[#This Row],[Profit]]/RawSalesTable3[[#This Row],[Revenue]]</f>
        <v>0.4275862068965518</v>
      </c>
      <c r="Z1140" s="27" t="str">
        <f>TEXT(RawSalesTable3[[#This Row],[Order_Date_Clean]],"MMM YYYY")</f>
        <v>May 2025</v>
      </c>
      <c r="AA1140" s="27"/>
      <c r="AB1140" s="27">
        <f t="shared" si="124"/>
        <v>0</v>
      </c>
      <c r="AC1140" s="27">
        <f t="shared" si="125"/>
        <v>0</v>
      </c>
    </row>
    <row r="1141" spans="1:29">
      <c r="A1141" t="s">
        <v>1244</v>
      </c>
      <c r="B1141" s="3">
        <v>45977</v>
      </c>
      <c r="C1141" t="s">
        <v>82</v>
      </c>
      <c r="D1141" t="s">
        <v>62</v>
      </c>
      <c r="E1141" t="s">
        <v>79</v>
      </c>
      <c r="F1141" t="s">
        <v>80</v>
      </c>
      <c r="G1141" s="6">
        <v>3</v>
      </c>
      <c r="H1141" s="4">
        <v>73.67</v>
      </c>
      <c r="I1141" s="4">
        <v>45.08</v>
      </c>
      <c r="J1141" s="5">
        <v>0.1</v>
      </c>
      <c r="K1141" s="6">
        <v>5</v>
      </c>
      <c r="L1141" s="6">
        <v>5</v>
      </c>
      <c r="M1141" t="s">
        <v>58</v>
      </c>
      <c r="N1141" t="s">
        <v>87</v>
      </c>
      <c r="O1141" t="s">
        <v>73</v>
      </c>
      <c r="P1141" t="str">
        <f t="shared" si="119"/>
        <v>Individual</v>
      </c>
      <c r="Q1141" t="str">
        <f t="shared" si="120"/>
        <v>Midlands</v>
      </c>
      <c r="R1141" t="str">
        <f>PROPER(TRIM(E1141))</f>
        <v>Electronics</v>
      </c>
      <c r="S1141" s="27">
        <f>IF(ISTEXT(B1141),DATEVALUE(B1141),B1141)</f>
        <v>45977</v>
      </c>
      <c r="T1141" s="27">
        <f>COUNTIF($A$2:$A$1986,A1141)</f>
        <v>1</v>
      </c>
      <c r="U1141" s="27" t="str">
        <f t="shared" si="121"/>
        <v>Portable Speaker</v>
      </c>
      <c r="V1141" s="27">
        <f t="shared" si="122"/>
        <v>198.90899999999999</v>
      </c>
      <c r="W1141" s="27">
        <f t="shared" si="123"/>
        <v>135.24</v>
      </c>
      <c r="X1141" s="27">
        <f>RawSalesTable3[[#This Row],[Revenue]]-RawSalesTable3[[#This Row],[Total_Cost]]</f>
        <v>63.668999999999983</v>
      </c>
      <c r="Y1141" s="28">
        <f>RawSalesTable3[[#This Row],[Profit]]/RawSalesTable3[[#This Row],[Revenue]]</f>
        <v>0.32009109693377369</v>
      </c>
      <c r="Z1141" s="27" t="str">
        <f>TEXT(RawSalesTable3[[#This Row],[Order_Date_Clean]],"MMM YYYY")</f>
        <v>Nov 2025</v>
      </c>
      <c r="AA1141" s="27"/>
      <c r="AB1141" s="27">
        <f t="shared" si="124"/>
        <v>0</v>
      </c>
      <c r="AC1141" s="27">
        <f t="shared" si="125"/>
        <v>0</v>
      </c>
    </row>
    <row r="1142" spans="1:29">
      <c r="A1142" t="s">
        <v>1245</v>
      </c>
      <c r="B1142" s="3">
        <v>45936</v>
      </c>
      <c r="C1142" t="s">
        <v>66</v>
      </c>
      <c r="D1142" t="s">
        <v>55</v>
      </c>
      <c r="E1142" t="s">
        <v>67</v>
      </c>
      <c r="F1142" t="s">
        <v>68</v>
      </c>
      <c r="G1142" s="6">
        <v>5</v>
      </c>
      <c r="H1142" s="4">
        <v>39.200000000000003</v>
      </c>
      <c r="I1142" s="4">
        <v>18.670000000000002</v>
      </c>
      <c r="J1142" s="5">
        <v>0</v>
      </c>
      <c r="K1142" s="6">
        <v>1</v>
      </c>
      <c r="L1142" s="6">
        <v>4</v>
      </c>
      <c r="M1142" t="s">
        <v>58</v>
      </c>
      <c r="N1142" t="s">
        <v>69</v>
      </c>
      <c r="O1142" t="s">
        <v>64</v>
      </c>
      <c r="P1142" t="str">
        <f t="shared" si="119"/>
        <v>Small Business</v>
      </c>
      <c r="Q1142" t="str">
        <f t="shared" si="120"/>
        <v>South</v>
      </c>
      <c r="R1142" t="str">
        <f>PROPER(TRIM(E1142))</f>
        <v>Office</v>
      </c>
      <c r="S1142" s="27">
        <f>IF(ISTEXT(B1142),DATEVALUE(B1142),B1142)</f>
        <v>45936</v>
      </c>
      <c r="T1142" s="27">
        <f>COUNTIF($A$2:$A$1986,A1142)</f>
        <v>1</v>
      </c>
      <c r="U1142" s="27" t="str">
        <f t="shared" si="121"/>
        <v>Desk Lamp</v>
      </c>
      <c r="V1142" s="27">
        <f t="shared" si="122"/>
        <v>196</v>
      </c>
      <c r="W1142" s="27">
        <f t="shared" si="123"/>
        <v>93.350000000000009</v>
      </c>
      <c r="X1142" s="27">
        <f>RawSalesTable3[[#This Row],[Revenue]]-RawSalesTable3[[#This Row],[Total_Cost]]</f>
        <v>102.64999999999999</v>
      </c>
      <c r="Y1142" s="28">
        <f>RawSalesTable3[[#This Row],[Profit]]/RawSalesTable3[[#This Row],[Revenue]]</f>
        <v>0.52372448979591835</v>
      </c>
      <c r="Z1142" s="27" t="str">
        <f>TEXT(RawSalesTable3[[#This Row],[Order_Date_Clean]],"MMM YYYY")</f>
        <v>Oct 2025</v>
      </c>
      <c r="AA1142" s="27"/>
      <c r="AB1142" s="27">
        <f t="shared" si="124"/>
        <v>0</v>
      </c>
      <c r="AC1142" s="27">
        <f t="shared" si="125"/>
        <v>0</v>
      </c>
    </row>
    <row r="1143" spans="1:29">
      <c r="A1143" t="s">
        <v>1246</v>
      </c>
      <c r="B1143" s="3">
        <v>45666</v>
      </c>
      <c r="C1143" t="s">
        <v>82</v>
      </c>
      <c r="D1143" t="s">
        <v>55</v>
      </c>
      <c r="E1143" t="s">
        <v>75</v>
      </c>
      <c r="F1143" t="s">
        <v>110</v>
      </c>
      <c r="G1143" s="6">
        <v>1</v>
      </c>
      <c r="H1143" s="4">
        <v>156.83000000000001</v>
      </c>
      <c r="I1143" s="4">
        <v>99.36</v>
      </c>
      <c r="J1143" s="5">
        <v>0.05</v>
      </c>
      <c r="K1143" s="6">
        <v>5</v>
      </c>
      <c r="L1143" s="6">
        <v>3</v>
      </c>
      <c r="M1143" t="s">
        <v>126</v>
      </c>
      <c r="N1143" t="s">
        <v>59</v>
      </c>
      <c r="O1143" t="s">
        <v>64</v>
      </c>
      <c r="P1143" t="str">
        <f t="shared" si="119"/>
        <v>Small Business</v>
      </c>
      <c r="Q1143" t="str">
        <f t="shared" si="120"/>
        <v>Midlands</v>
      </c>
      <c r="R1143" t="str">
        <f>PROPER(TRIM(E1143))</f>
        <v>Furniture</v>
      </c>
      <c r="S1143" s="27">
        <f>IF(ISTEXT(B1143),DATEVALUE(B1143),B1143)</f>
        <v>45666</v>
      </c>
      <c r="T1143" s="27">
        <f>COUNTIF($A$2:$A$1986,A1143)</f>
        <v>1</v>
      </c>
      <c r="U1143" s="27" t="str">
        <f t="shared" si="121"/>
        <v>Storage Cabinet</v>
      </c>
      <c r="V1143" s="27">
        <f t="shared" si="122"/>
        <v>148.98850000000002</v>
      </c>
      <c r="W1143" s="27">
        <f t="shared" si="123"/>
        <v>99.36</v>
      </c>
      <c r="X1143" s="27">
        <f>RawSalesTable3[[#This Row],[Revenue]]-RawSalesTable3[[#This Row],[Total_Cost]]</f>
        <v>49.628500000000017</v>
      </c>
      <c r="Y1143" s="28">
        <f>RawSalesTable3[[#This Row],[Profit]]/RawSalesTable3[[#This Row],[Revenue]]</f>
        <v>0.33310289049154806</v>
      </c>
      <c r="Z1143" s="27" t="str">
        <f>TEXT(RawSalesTable3[[#This Row],[Order_Date_Clean]],"MMM YYYY")</f>
        <v>Jan 2025</v>
      </c>
      <c r="AA1143" s="27"/>
      <c r="AB1143" s="27">
        <f t="shared" si="124"/>
        <v>0</v>
      </c>
      <c r="AC1143" s="27">
        <f t="shared" si="125"/>
        <v>0</v>
      </c>
    </row>
    <row r="1144" spans="1:29">
      <c r="A1144" t="s">
        <v>1247</v>
      </c>
      <c r="B1144" s="3">
        <v>46006</v>
      </c>
      <c r="C1144" t="s">
        <v>66</v>
      </c>
      <c r="D1144" t="s">
        <v>129</v>
      </c>
      <c r="E1144" t="s">
        <v>75</v>
      </c>
      <c r="F1144" t="s">
        <v>97</v>
      </c>
      <c r="G1144" s="6">
        <v>6</v>
      </c>
      <c r="H1144" s="4">
        <v>87.99</v>
      </c>
      <c r="I1144" s="4">
        <v>55.56</v>
      </c>
      <c r="J1144" s="5">
        <v>0.1</v>
      </c>
      <c r="K1144" s="6">
        <v>3</v>
      </c>
      <c r="L1144" s="6">
        <v>4</v>
      </c>
      <c r="M1144" t="s">
        <v>126</v>
      </c>
      <c r="N1144" t="s">
        <v>69</v>
      </c>
      <c r="O1144" t="s">
        <v>64</v>
      </c>
      <c r="P1144" t="str">
        <f t="shared" si="119"/>
        <v>Corporate</v>
      </c>
      <c r="Q1144" t="str">
        <f t="shared" si="120"/>
        <v>South</v>
      </c>
      <c r="R1144" t="str">
        <f>PROPER(TRIM(E1144))</f>
        <v>Furniture</v>
      </c>
      <c r="S1144" s="27">
        <f>IF(ISTEXT(B1144),DATEVALUE(B1144),B1144)</f>
        <v>46006</v>
      </c>
      <c r="T1144" s="27">
        <f>COUNTIF($A$2:$A$1986,A1144)</f>
        <v>1</v>
      </c>
      <c r="U1144" s="27" t="str">
        <f t="shared" si="121"/>
        <v>Side Table</v>
      </c>
      <c r="V1144" s="27">
        <f t="shared" si="122"/>
        <v>475.14599999999996</v>
      </c>
      <c r="W1144" s="27">
        <f t="shared" si="123"/>
        <v>333.36</v>
      </c>
      <c r="X1144" s="27">
        <f>RawSalesTable3[[#This Row],[Revenue]]-RawSalesTable3[[#This Row],[Total_Cost]]</f>
        <v>141.78599999999994</v>
      </c>
      <c r="Y1144" s="28">
        <f>RawSalesTable3[[#This Row],[Profit]]/RawSalesTable3[[#This Row],[Revenue]]</f>
        <v>0.29840512179414319</v>
      </c>
      <c r="Z1144" s="27" t="str">
        <f>TEXT(RawSalesTable3[[#This Row],[Order_Date_Clean]],"MMM YYYY")</f>
        <v>Dec 2025</v>
      </c>
      <c r="AA1144" s="27"/>
      <c r="AB1144" s="27">
        <f t="shared" si="124"/>
        <v>0</v>
      </c>
      <c r="AC1144" s="27">
        <f t="shared" si="125"/>
        <v>0</v>
      </c>
    </row>
    <row r="1145" spans="1:29">
      <c r="A1145" t="s">
        <v>1248</v>
      </c>
      <c r="B1145" s="3">
        <v>45782</v>
      </c>
      <c r="C1145" t="s">
        <v>54</v>
      </c>
      <c r="D1145" t="s">
        <v>129</v>
      </c>
      <c r="E1145" t="s">
        <v>67</v>
      </c>
      <c r="F1145" t="s">
        <v>71</v>
      </c>
      <c r="G1145" s="6">
        <v>6</v>
      </c>
      <c r="H1145" s="4">
        <v>71.34</v>
      </c>
      <c r="I1145" s="4">
        <v>39.76</v>
      </c>
      <c r="J1145" s="5">
        <v>0.05</v>
      </c>
      <c r="K1145" s="6">
        <v>1</v>
      </c>
      <c r="L1145" s="6"/>
      <c r="M1145" t="s">
        <v>58</v>
      </c>
      <c r="N1145" t="s">
        <v>59</v>
      </c>
      <c r="O1145" t="s">
        <v>64</v>
      </c>
      <c r="P1145" t="str">
        <f t="shared" si="119"/>
        <v>Corporate</v>
      </c>
      <c r="Q1145" t="str">
        <f t="shared" si="120"/>
        <v>North</v>
      </c>
      <c r="R1145" t="str">
        <f>PROPER(TRIM(E1145))</f>
        <v>Office</v>
      </c>
      <c r="S1145" s="27">
        <f>IF(ISTEXT(B1145),DATEVALUE(B1145),B1145)</f>
        <v>45782</v>
      </c>
      <c r="T1145" s="27">
        <f>COUNTIF($A$2:$A$1986,A1145)</f>
        <v>1</v>
      </c>
      <c r="U1145" s="27" t="str">
        <f t="shared" si="121"/>
        <v>Ergonomic Keyboard</v>
      </c>
      <c r="V1145" s="27">
        <f t="shared" si="122"/>
        <v>406.63799999999998</v>
      </c>
      <c r="W1145" s="27">
        <f t="shared" si="123"/>
        <v>238.56</v>
      </c>
      <c r="X1145" s="27">
        <f>RawSalesTable3[[#This Row],[Revenue]]-RawSalesTable3[[#This Row],[Total_Cost]]</f>
        <v>168.07799999999997</v>
      </c>
      <c r="Y1145" s="28">
        <f>RawSalesTable3[[#This Row],[Profit]]/RawSalesTable3[[#This Row],[Revenue]]</f>
        <v>0.4133356941554896</v>
      </c>
      <c r="Z1145" s="27" t="str">
        <f>TEXT(RawSalesTable3[[#This Row],[Order_Date_Clean]],"MMM YYYY")</f>
        <v>May 2025</v>
      </c>
      <c r="AA1145" s="27"/>
      <c r="AB1145" s="27">
        <f t="shared" si="124"/>
        <v>0</v>
      </c>
      <c r="AC1145" s="27">
        <f t="shared" si="125"/>
        <v>0</v>
      </c>
    </row>
    <row r="1146" spans="1:29">
      <c r="A1146" t="s">
        <v>1249</v>
      </c>
      <c r="B1146" s="3">
        <v>45826</v>
      </c>
      <c r="C1146" t="s">
        <v>78</v>
      </c>
      <c r="D1146" t="s">
        <v>55</v>
      </c>
      <c r="E1146" t="s">
        <v>56</v>
      </c>
      <c r="F1146" t="s">
        <v>83</v>
      </c>
      <c r="G1146" s="6">
        <v>4</v>
      </c>
      <c r="H1146" s="4">
        <v>65.97</v>
      </c>
      <c r="I1146" s="4">
        <v>34.33</v>
      </c>
      <c r="J1146" s="5">
        <v>0.1</v>
      </c>
      <c r="K1146" s="6">
        <v>0</v>
      </c>
      <c r="L1146" s="6"/>
      <c r="M1146" t="s">
        <v>58</v>
      </c>
      <c r="N1146" t="s">
        <v>69</v>
      </c>
      <c r="O1146" t="s">
        <v>64</v>
      </c>
      <c r="P1146" t="str">
        <f t="shared" si="119"/>
        <v>Small Business</v>
      </c>
      <c r="Q1146" t="str">
        <f t="shared" si="120"/>
        <v>London</v>
      </c>
      <c r="R1146" t="str">
        <f>PROPER(TRIM(E1146))</f>
        <v>Home &amp; Kitchen</v>
      </c>
      <c r="S1146" s="27">
        <f>IF(ISTEXT(B1146),DATEVALUE(B1146),B1146)</f>
        <v>45826</v>
      </c>
      <c r="T1146" s="27">
        <f>COUNTIF($A$2:$A$1986,A1146)</f>
        <v>1</v>
      </c>
      <c r="U1146" s="27" t="str">
        <f t="shared" si="121"/>
        <v>Blender</v>
      </c>
      <c r="V1146" s="27">
        <f t="shared" si="122"/>
        <v>237.49199999999999</v>
      </c>
      <c r="W1146" s="27">
        <f t="shared" si="123"/>
        <v>137.32</v>
      </c>
      <c r="X1146" s="27">
        <f>RawSalesTable3[[#This Row],[Revenue]]-RawSalesTable3[[#This Row],[Total_Cost]]</f>
        <v>100.172</v>
      </c>
      <c r="Y1146" s="28">
        <f>RawSalesTable3[[#This Row],[Profit]]/RawSalesTable3[[#This Row],[Revenue]]</f>
        <v>0.42179104980378285</v>
      </c>
      <c r="Z1146" s="27" t="str">
        <f>TEXT(RawSalesTable3[[#This Row],[Order_Date_Clean]],"MMM YYYY")</f>
        <v>Jun 2025</v>
      </c>
      <c r="AA1146" s="27"/>
      <c r="AB1146" s="27">
        <f t="shared" si="124"/>
        <v>0</v>
      </c>
      <c r="AC1146" s="27">
        <f t="shared" si="125"/>
        <v>0</v>
      </c>
    </row>
    <row r="1147" spans="1:29">
      <c r="A1147" t="s">
        <v>1250</v>
      </c>
      <c r="B1147" s="3">
        <v>46016</v>
      </c>
      <c r="C1147" t="s">
        <v>78</v>
      </c>
      <c r="D1147" t="s">
        <v>62</v>
      </c>
      <c r="E1147" t="s">
        <v>79</v>
      </c>
      <c r="F1147" t="s">
        <v>92</v>
      </c>
      <c r="G1147" s="6">
        <v>2</v>
      </c>
      <c r="H1147" s="4">
        <v>51.48</v>
      </c>
      <c r="I1147" s="4">
        <v>27.08</v>
      </c>
      <c r="J1147" s="5">
        <v>0.05</v>
      </c>
      <c r="K1147" s="6">
        <v>0</v>
      </c>
      <c r="L1147" s="6">
        <v>4</v>
      </c>
      <c r="M1147" t="s">
        <v>58</v>
      </c>
      <c r="N1147" t="s">
        <v>69</v>
      </c>
      <c r="O1147" t="s">
        <v>60</v>
      </c>
      <c r="P1147" t="str">
        <f t="shared" si="119"/>
        <v>Individual</v>
      </c>
      <c r="Q1147" t="str">
        <f t="shared" si="120"/>
        <v>London</v>
      </c>
      <c r="R1147" t="str">
        <f>PROPER(TRIM(E1147))</f>
        <v>Electronics</v>
      </c>
      <c r="S1147" s="27">
        <f>IF(ISTEXT(B1147),DATEVALUE(B1147),B1147)</f>
        <v>46016</v>
      </c>
      <c r="T1147" s="27">
        <f>COUNTIF($A$2:$A$1986,A1147)</f>
        <v>1</v>
      </c>
      <c r="U1147" s="27" t="str">
        <f t="shared" si="121"/>
        <v>Webcam</v>
      </c>
      <c r="V1147" s="27">
        <f t="shared" si="122"/>
        <v>97.811999999999983</v>
      </c>
      <c r="W1147" s="27">
        <f t="shared" si="123"/>
        <v>54.16</v>
      </c>
      <c r="X1147" s="27">
        <f>RawSalesTable3[[#This Row],[Revenue]]-RawSalesTable3[[#This Row],[Total_Cost]]</f>
        <v>43.651999999999987</v>
      </c>
      <c r="Y1147" s="28">
        <f>RawSalesTable3[[#This Row],[Profit]]/RawSalesTable3[[#This Row],[Revenue]]</f>
        <v>0.44628470944260412</v>
      </c>
      <c r="Z1147" s="27" t="str">
        <f>TEXT(RawSalesTable3[[#This Row],[Order_Date_Clean]],"MMM YYYY")</f>
        <v>Dec 2025</v>
      </c>
      <c r="AA1147" s="27"/>
      <c r="AB1147" s="27">
        <f t="shared" si="124"/>
        <v>0</v>
      </c>
      <c r="AC1147" s="27">
        <f t="shared" si="125"/>
        <v>0</v>
      </c>
    </row>
    <row r="1148" spans="1:29">
      <c r="A1148" t="s">
        <v>1251</v>
      </c>
      <c r="B1148" s="3">
        <v>45971</v>
      </c>
      <c r="C1148" t="s">
        <v>66</v>
      </c>
      <c r="D1148" t="s">
        <v>55</v>
      </c>
      <c r="E1148" t="s">
        <v>56</v>
      </c>
      <c r="F1148" t="s">
        <v>57</v>
      </c>
      <c r="G1148" s="6">
        <v>1</v>
      </c>
      <c r="H1148" s="4">
        <v>112.11</v>
      </c>
      <c r="I1148" s="4">
        <v>69.540000000000006</v>
      </c>
      <c r="J1148" s="5">
        <v>0.15000000000000002</v>
      </c>
      <c r="K1148" s="6">
        <v>4</v>
      </c>
      <c r="L1148" s="6">
        <v>5</v>
      </c>
      <c r="M1148" t="s">
        <v>58</v>
      </c>
      <c r="N1148" t="s">
        <v>59</v>
      </c>
      <c r="O1148" t="s">
        <v>64</v>
      </c>
      <c r="P1148" t="str">
        <f t="shared" si="119"/>
        <v>Small Business</v>
      </c>
      <c r="Q1148" t="str">
        <f t="shared" si="120"/>
        <v>South</v>
      </c>
      <c r="R1148" t="str">
        <f>PROPER(TRIM(E1148))</f>
        <v>Home &amp; Kitchen</v>
      </c>
      <c r="S1148" s="27">
        <f>IF(ISTEXT(B1148),DATEVALUE(B1148),B1148)</f>
        <v>45971</v>
      </c>
      <c r="T1148" s="27">
        <f>COUNTIF($A$2:$A$1986,A1148)</f>
        <v>1</v>
      </c>
      <c r="U1148" s="27" t="str">
        <f t="shared" si="121"/>
        <v>Air Fryer</v>
      </c>
      <c r="V1148" s="27">
        <f t="shared" si="122"/>
        <v>95.293499999999995</v>
      </c>
      <c r="W1148" s="27">
        <f t="shared" si="123"/>
        <v>69.540000000000006</v>
      </c>
      <c r="X1148" s="27">
        <f>RawSalesTable3[[#This Row],[Revenue]]-RawSalesTable3[[#This Row],[Total_Cost]]</f>
        <v>25.753499999999988</v>
      </c>
      <c r="Y1148" s="28">
        <f>RawSalesTable3[[#This Row],[Profit]]/RawSalesTable3[[#This Row],[Revenue]]</f>
        <v>0.27025452942750544</v>
      </c>
      <c r="Z1148" s="27" t="str">
        <f>TEXT(RawSalesTable3[[#This Row],[Order_Date_Clean]],"MMM YYYY")</f>
        <v>Nov 2025</v>
      </c>
      <c r="AA1148" s="27"/>
      <c r="AB1148" s="27">
        <f t="shared" si="124"/>
        <v>0</v>
      </c>
      <c r="AC1148" s="27">
        <f t="shared" si="125"/>
        <v>0</v>
      </c>
    </row>
    <row r="1149" spans="1:29">
      <c r="A1149" t="s">
        <v>1252</v>
      </c>
      <c r="B1149" s="3">
        <v>46005</v>
      </c>
      <c r="C1149" t="s">
        <v>66</v>
      </c>
      <c r="D1149" t="s">
        <v>62</v>
      </c>
      <c r="E1149" t="s">
        <v>67</v>
      </c>
      <c r="F1149" t="s">
        <v>94</v>
      </c>
      <c r="G1149" s="6">
        <v>1</v>
      </c>
      <c r="H1149" s="4">
        <v>34.770000000000003</v>
      </c>
      <c r="I1149" s="4">
        <v>17.34</v>
      </c>
      <c r="J1149" s="5">
        <v>0.15000000000000002</v>
      </c>
      <c r="K1149" s="6">
        <v>5</v>
      </c>
      <c r="L1149" s="6">
        <v>5</v>
      </c>
      <c r="M1149" t="s">
        <v>58</v>
      </c>
      <c r="N1149" t="s">
        <v>59</v>
      </c>
      <c r="O1149" t="s">
        <v>64</v>
      </c>
      <c r="P1149" t="str">
        <f t="shared" si="119"/>
        <v>Individual</v>
      </c>
      <c r="Q1149" t="str">
        <f t="shared" si="120"/>
        <v>South</v>
      </c>
      <c r="R1149" t="str">
        <f>PROPER(TRIM(E1149))</f>
        <v>Office</v>
      </c>
      <c r="S1149" s="27">
        <f>IF(ISTEXT(B1149),DATEVALUE(B1149),B1149)</f>
        <v>46005</v>
      </c>
      <c r="T1149" s="27">
        <f>COUNTIF($A$2:$A$1986,A1149)</f>
        <v>1</v>
      </c>
      <c r="U1149" s="27" t="str">
        <f t="shared" si="121"/>
        <v>Wireless Mouse</v>
      </c>
      <c r="V1149" s="27">
        <f t="shared" si="122"/>
        <v>29.554500000000001</v>
      </c>
      <c r="W1149" s="27">
        <f t="shared" si="123"/>
        <v>17.34</v>
      </c>
      <c r="X1149" s="27">
        <f>RawSalesTable3[[#This Row],[Revenue]]-RawSalesTable3[[#This Row],[Total_Cost]]</f>
        <v>12.214500000000001</v>
      </c>
      <c r="Y1149" s="28">
        <f>RawSalesTable3[[#This Row],[Profit]]/RawSalesTable3[[#This Row],[Revenue]]</f>
        <v>0.41328731665228646</v>
      </c>
      <c r="Z1149" s="27" t="str">
        <f>TEXT(RawSalesTable3[[#This Row],[Order_Date_Clean]],"MMM YYYY")</f>
        <v>Dec 2025</v>
      </c>
      <c r="AA1149" s="27"/>
      <c r="AB1149" s="27">
        <f t="shared" si="124"/>
        <v>0</v>
      </c>
      <c r="AC1149" s="27">
        <f t="shared" si="125"/>
        <v>0</v>
      </c>
    </row>
    <row r="1150" spans="1:29">
      <c r="A1150" t="s">
        <v>1253</v>
      </c>
      <c r="B1150" s="3">
        <v>45707</v>
      </c>
      <c r="C1150" t="s">
        <v>66</v>
      </c>
      <c r="D1150" t="s">
        <v>129</v>
      </c>
      <c r="E1150" t="s">
        <v>56</v>
      </c>
      <c r="F1150" t="s">
        <v>89</v>
      </c>
      <c r="G1150" s="6">
        <v>6</v>
      </c>
      <c r="H1150" s="4">
        <v>79.430000000000007</v>
      </c>
      <c r="I1150" s="4">
        <v>44.03</v>
      </c>
      <c r="J1150" s="5">
        <v>0.1</v>
      </c>
      <c r="K1150" s="6">
        <v>4</v>
      </c>
      <c r="L1150" s="6">
        <v>3</v>
      </c>
      <c r="M1150" t="s">
        <v>126</v>
      </c>
      <c r="N1150" t="s">
        <v>69</v>
      </c>
      <c r="O1150" t="s">
        <v>73</v>
      </c>
      <c r="P1150" t="str">
        <f t="shared" si="119"/>
        <v>Corporate</v>
      </c>
      <c r="Q1150" t="str">
        <f t="shared" si="120"/>
        <v>South</v>
      </c>
      <c r="R1150" t="str">
        <f>PROPER(TRIM(E1150))</f>
        <v>Home &amp; Kitchen</v>
      </c>
      <c r="S1150" s="27">
        <f>IF(ISTEXT(B1150),DATEVALUE(B1150),B1150)</f>
        <v>45707</v>
      </c>
      <c r="T1150" s="27">
        <f>COUNTIF($A$2:$A$1986,A1150)</f>
        <v>1</v>
      </c>
      <c r="U1150" s="27" t="str">
        <f t="shared" si="121"/>
        <v>Coffee Maker</v>
      </c>
      <c r="V1150" s="27">
        <f t="shared" si="122"/>
        <v>428.92200000000003</v>
      </c>
      <c r="W1150" s="27">
        <f t="shared" si="123"/>
        <v>264.18</v>
      </c>
      <c r="X1150" s="27">
        <f>RawSalesTable3[[#This Row],[Revenue]]-RawSalesTable3[[#This Row],[Total_Cost]]</f>
        <v>164.74200000000002</v>
      </c>
      <c r="Y1150" s="28">
        <f>RawSalesTable3[[#This Row],[Profit]]/RawSalesTable3[[#This Row],[Revenue]]</f>
        <v>0.38408381943570163</v>
      </c>
      <c r="Z1150" s="27" t="str">
        <f>TEXT(RawSalesTable3[[#This Row],[Order_Date_Clean]],"MMM YYYY")</f>
        <v>Feb 2025</v>
      </c>
      <c r="AA1150" s="27"/>
      <c r="AB1150" s="27">
        <f t="shared" si="124"/>
        <v>0</v>
      </c>
      <c r="AC1150" s="27">
        <f t="shared" si="125"/>
        <v>0</v>
      </c>
    </row>
    <row r="1151" spans="1:29">
      <c r="A1151" t="s">
        <v>1254</v>
      </c>
      <c r="B1151" s="3">
        <v>45714</v>
      </c>
      <c r="C1151" t="s">
        <v>78</v>
      </c>
      <c r="D1151" t="s">
        <v>62</v>
      </c>
      <c r="E1151" t="s">
        <v>67</v>
      </c>
      <c r="F1151" t="s">
        <v>107</v>
      </c>
      <c r="G1151" s="6">
        <v>2</v>
      </c>
      <c r="H1151" s="4">
        <v>45.64</v>
      </c>
      <c r="I1151" s="4">
        <v>21.4</v>
      </c>
      <c r="J1151" s="5">
        <v>0</v>
      </c>
      <c r="K1151" s="6">
        <v>3</v>
      </c>
      <c r="L1151" s="6">
        <v>4</v>
      </c>
      <c r="M1151" t="s">
        <v>58</v>
      </c>
      <c r="N1151" t="s">
        <v>59</v>
      </c>
      <c r="O1151" t="s">
        <v>64</v>
      </c>
      <c r="P1151" t="str">
        <f t="shared" si="119"/>
        <v>Individual</v>
      </c>
      <c r="Q1151" t="str">
        <f t="shared" si="120"/>
        <v>London</v>
      </c>
      <c r="R1151" t="str">
        <f>PROPER(TRIM(E1151))</f>
        <v>Office</v>
      </c>
      <c r="S1151" s="27">
        <f>IF(ISTEXT(B1151),DATEVALUE(B1151),B1151)</f>
        <v>45714</v>
      </c>
      <c r="T1151" s="27">
        <f>COUNTIF($A$2:$A$1986,A1151)</f>
        <v>1</v>
      </c>
      <c r="U1151" s="27" t="str">
        <f t="shared" si="121"/>
        <v>Laptop Stand</v>
      </c>
      <c r="V1151" s="27">
        <f t="shared" si="122"/>
        <v>91.28</v>
      </c>
      <c r="W1151" s="27">
        <f t="shared" si="123"/>
        <v>42.8</v>
      </c>
      <c r="X1151" s="27">
        <f>RawSalesTable3[[#This Row],[Revenue]]-RawSalesTable3[[#This Row],[Total_Cost]]</f>
        <v>48.480000000000004</v>
      </c>
      <c r="Y1151" s="28">
        <f>RawSalesTable3[[#This Row],[Profit]]/RawSalesTable3[[#This Row],[Revenue]]</f>
        <v>0.53111305872042069</v>
      </c>
      <c r="Z1151" s="27" t="str">
        <f>TEXT(RawSalesTable3[[#This Row],[Order_Date_Clean]],"MMM YYYY")</f>
        <v>Feb 2025</v>
      </c>
      <c r="AA1151" s="27"/>
      <c r="AB1151" s="27">
        <f t="shared" si="124"/>
        <v>0</v>
      </c>
      <c r="AC1151" s="27">
        <f t="shared" si="125"/>
        <v>0</v>
      </c>
    </row>
    <row r="1152" spans="1:29">
      <c r="A1152" t="s">
        <v>1255</v>
      </c>
      <c r="B1152" s="3">
        <v>45765</v>
      </c>
      <c r="C1152" t="s">
        <v>78</v>
      </c>
      <c r="D1152" t="s">
        <v>62</v>
      </c>
      <c r="E1152" t="s">
        <v>67</v>
      </c>
      <c r="F1152" t="s">
        <v>71</v>
      </c>
      <c r="G1152" s="6">
        <v>1</v>
      </c>
      <c r="H1152" s="4">
        <v>71.11</v>
      </c>
      <c r="I1152" s="4">
        <v>37.24</v>
      </c>
      <c r="J1152" s="5">
        <v>0</v>
      </c>
      <c r="K1152" s="6">
        <v>5</v>
      </c>
      <c r="L1152" s="6">
        <v>4</v>
      </c>
      <c r="M1152" t="s">
        <v>58</v>
      </c>
      <c r="N1152" t="s">
        <v>87</v>
      </c>
      <c r="O1152" t="s">
        <v>64</v>
      </c>
      <c r="P1152" t="str">
        <f t="shared" si="119"/>
        <v>Individual</v>
      </c>
      <c r="Q1152" t="str">
        <f t="shared" si="120"/>
        <v>London</v>
      </c>
      <c r="R1152" t="str">
        <f>PROPER(TRIM(E1152))</f>
        <v>Office</v>
      </c>
      <c r="S1152" s="27">
        <f>IF(ISTEXT(B1152),DATEVALUE(B1152),B1152)</f>
        <v>45765</v>
      </c>
      <c r="T1152" s="27">
        <f>COUNTIF($A$2:$A$1986,A1152)</f>
        <v>1</v>
      </c>
      <c r="U1152" s="27" t="str">
        <f t="shared" si="121"/>
        <v>Ergonomic Keyboard</v>
      </c>
      <c r="V1152" s="27">
        <f t="shared" si="122"/>
        <v>71.11</v>
      </c>
      <c r="W1152" s="27">
        <f t="shared" si="123"/>
        <v>37.24</v>
      </c>
      <c r="X1152" s="27">
        <f>RawSalesTable3[[#This Row],[Revenue]]-RawSalesTable3[[#This Row],[Total_Cost]]</f>
        <v>33.869999999999997</v>
      </c>
      <c r="Y1152" s="28">
        <f>RawSalesTable3[[#This Row],[Profit]]/RawSalesTable3[[#This Row],[Revenue]]</f>
        <v>0.47630431725495709</v>
      </c>
      <c r="Z1152" s="27" t="str">
        <f>TEXT(RawSalesTable3[[#This Row],[Order_Date_Clean]],"MMM YYYY")</f>
        <v>Apr 2025</v>
      </c>
      <c r="AA1152" s="27"/>
      <c r="AB1152" s="27">
        <f t="shared" si="124"/>
        <v>0</v>
      </c>
      <c r="AC1152" s="27">
        <f t="shared" si="125"/>
        <v>0</v>
      </c>
    </row>
    <row r="1153" spans="1:29">
      <c r="A1153" t="s">
        <v>1256</v>
      </c>
      <c r="B1153" s="3">
        <v>45802</v>
      </c>
      <c r="C1153" t="s">
        <v>78</v>
      </c>
      <c r="D1153" t="s">
        <v>55</v>
      </c>
      <c r="E1153" t="s">
        <v>56</v>
      </c>
      <c r="F1153" t="s">
        <v>57</v>
      </c>
      <c r="G1153" s="6">
        <v>4</v>
      </c>
      <c r="H1153" s="4">
        <v>113.82</v>
      </c>
      <c r="I1153" s="4">
        <v>70.3</v>
      </c>
      <c r="J1153" s="5">
        <v>0</v>
      </c>
      <c r="K1153" s="6">
        <v>2</v>
      </c>
      <c r="L1153" s="6">
        <v>4</v>
      </c>
      <c r="M1153" t="s">
        <v>58</v>
      </c>
      <c r="N1153" t="s">
        <v>59</v>
      </c>
      <c r="O1153" t="s">
        <v>64</v>
      </c>
      <c r="P1153" t="str">
        <f t="shared" si="119"/>
        <v>Small Business</v>
      </c>
      <c r="Q1153" t="str">
        <f t="shared" si="120"/>
        <v>London</v>
      </c>
      <c r="R1153" t="str">
        <f>PROPER(TRIM(E1153))</f>
        <v>Home &amp; Kitchen</v>
      </c>
      <c r="S1153" s="27">
        <f>IF(ISTEXT(B1153),DATEVALUE(B1153),B1153)</f>
        <v>45802</v>
      </c>
      <c r="T1153" s="27">
        <f>COUNTIF($A$2:$A$1986,A1153)</f>
        <v>1</v>
      </c>
      <c r="U1153" s="27" t="str">
        <f t="shared" si="121"/>
        <v>Air Fryer</v>
      </c>
      <c r="V1153" s="27">
        <f t="shared" si="122"/>
        <v>455.28</v>
      </c>
      <c r="W1153" s="27">
        <f t="shared" si="123"/>
        <v>281.2</v>
      </c>
      <c r="X1153" s="27">
        <f>RawSalesTable3[[#This Row],[Revenue]]-RawSalesTable3[[#This Row],[Total_Cost]]</f>
        <v>174.07999999999998</v>
      </c>
      <c r="Y1153" s="28">
        <f>RawSalesTable3[[#This Row],[Profit]]/RawSalesTable3[[#This Row],[Revenue]]</f>
        <v>0.38235810929537867</v>
      </c>
      <c r="Z1153" s="27" t="str">
        <f>TEXT(RawSalesTable3[[#This Row],[Order_Date_Clean]],"MMM YYYY")</f>
        <v>May 2025</v>
      </c>
      <c r="AA1153" s="27"/>
      <c r="AB1153" s="27">
        <f t="shared" si="124"/>
        <v>0</v>
      </c>
      <c r="AC1153" s="27">
        <f t="shared" si="125"/>
        <v>0</v>
      </c>
    </row>
    <row r="1154" spans="1:29">
      <c r="A1154" t="s">
        <v>1257</v>
      </c>
      <c r="B1154" s="3">
        <v>45966</v>
      </c>
      <c r="C1154" t="s">
        <v>78</v>
      </c>
      <c r="D1154" t="s">
        <v>55</v>
      </c>
      <c r="E1154" t="s">
        <v>56</v>
      </c>
      <c r="F1154" t="s">
        <v>83</v>
      </c>
      <c r="G1154" s="6">
        <v>5</v>
      </c>
      <c r="H1154" s="4">
        <v>64.66</v>
      </c>
      <c r="I1154" s="4">
        <v>35.04</v>
      </c>
      <c r="J1154" s="5">
        <v>0.1</v>
      </c>
      <c r="K1154" s="6">
        <v>4</v>
      </c>
      <c r="L1154" s="6">
        <v>4</v>
      </c>
      <c r="M1154" t="s">
        <v>58</v>
      </c>
      <c r="N1154" t="s">
        <v>59</v>
      </c>
      <c r="O1154" t="s">
        <v>64</v>
      </c>
      <c r="P1154" t="str">
        <f t="shared" ref="P1154:P1217" si="126">IF(TRIM(D1154)="","Unknow",PROPER(TRIM(D1154)))</f>
        <v>Small Business</v>
      </c>
      <c r="Q1154" t="str">
        <f t="shared" ref="Q1154:Q1217" si="127">IF(PROPER(TRIM(C1154))="Mid Lands","Midlands",PROPER(TRIM(C1154)))</f>
        <v>London</v>
      </c>
      <c r="R1154" t="str">
        <f>PROPER(TRIM(E1154))</f>
        <v>Home &amp; Kitchen</v>
      </c>
      <c r="S1154" s="27">
        <f>IF(ISTEXT(B1154),DATEVALUE(B1154),B1154)</f>
        <v>45966</v>
      </c>
      <c r="T1154" s="27">
        <f>COUNTIF($A$2:$A$1986,A1154)</f>
        <v>1</v>
      </c>
      <c r="U1154" s="27" t="str">
        <f t="shared" ref="U1154:U1217" si="128">TRIM(F1154)</f>
        <v>Blender</v>
      </c>
      <c r="V1154" s="27">
        <f t="shared" ref="V1154:V1217" si="129">G1154*H1154*(1-J1154)</f>
        <v>290.96999999999997</v>
      </c>
      <c r="W1154" s="27">
        <f t="shared" ref="W1154:W1217" si="130">G1154*I1154</f>
        <v>175.2</v>
      </c>
      <c r="X1154" s="27">
        <f>RawSalesTable3[[#This Row],[Revenue]]-RawSalesTable3[[#This Row],[Total_Cost]]</f>
        <v>115.76999999999998</v>
      </c>
      <c r="Y1154" s="28">
        <f>RawSalesTable3[[#This Row],[Profit]]/RawSalesTable3[[#This Row],[Revenue]]</f>
        <v>0.39787606969790695</v>
      </c>
      <c r="Z1154" s="27" t="str">
        <f>TEXT(RawSalesTable3[[#This Row],[Order_Date_Clean]],"MMM YYYY")</f>
        <v>Nov 2025</v>
      </c>
      <c r="AA1154" s="27"/>
      <c r="AB1154" s="27">
        <f t="shared" ref="AB1154:AB1217" si="131">SUMIF($Z:$Z,AA1154,$V:$V)</f>
        <v>0</v>
      </c>
      <c r="AC1154" s="27">
        <f t="shared" ref="AC1154:AC1217" si="132">SUMIF($Z:$Z,AA1154,$X:$X)</f>
        <v>0</v>
      </c>
    </row>
    <row r="1155" spans="1:29">
      <c r="A1155" t="s">
        <v>1258</v>
      </c>
      <c r="B1155" s="3">
        <v>45993</v>
      </c>
      <c r="C1155" t="s">
        <v>78</v>
      </c>
      <c r="D1155" t="s">
        <v>62</v>
      </c>
      <c r="E1155" t="s">
        <v>79</v>
      </c>
      <c r="F1155" t="s">
        <v>115</v>
      </c>
      <c r="G1155" s="6">
        <v>1</v>
      </c>
      <c r="H1155" s="4">
        <v>61.29</v>
      </c>
      <c r="I1155" s="4">
        <v>34.71</v>
      </c>
      <c r="J1155" s="5">
        <v>0.05</v>
      </c>
      <c r="K1155" s="6">
        <v>3</v>
      </c>
      <c r="L1155" s="6">
        <v>4</v>
      </c>
      <c r="M1155" t="s">
        <v>58</v>
      </c>
      <c r="N1155" t="s">
        <v>59</v>
      </c>
      <c r="O1155" t="s">
        <v>64</v>
      </c>
      <c r="P1155" t="str">
        <f t="shared" si="126"/>
        <v>Individual</v>
      </c>
      <c r="Q1155" t="str">
        <f t="shared" si="127"/>
        <v>London</v>
      </c>
      <c r="R1155" t="str">
        <f>PROPER(TRIM(E1155))</f>
        <v>Electronics</v>
      </c>
      <c r="S1155" s="27">
        <f>IF(ISTEXT(B1155),DATEVALUE(B1155),B1155)</f>
        <v>45993</v>
      </c>
      <c r="T1155" s="27">
        <f>COUNTIF($A$2:$A$1986,A1155)</f>
        <v>1</v>
      </c>
      <c r="U1155" s="27" t="str">
        <f t="shared" si="128"/>
        <v>Wireless Headset</v>
      </c>
      <c r="V1155" s="27">
        <f t="shared" si="129"/>
        <v>58.225499999999997</v>
      </c>
      <c r="W1155" s="27">
        <f t="shared" si="130"/>
        <v>34.71</v>
      </c>
      <c r="X1155" s="27">
        <f>RawSalesTable3[[#This Row],[Revenue]]-RawSalesTable3[[#This Row],[Total_Cost]]</f>
        <v>23.515499999999996</v>
      </c>
      <c r="Y1155" s="28">
        <f>RawSalesTable3[[#This Row],[Profit]]/RawSalesTable3[[#This Row],[Revenue]]</f>
        <v>0.403869438648015</v>
      </c>
      <c r="Z1155" s="27" t="str">
        <f>TEXT(RawSalesTable3[[#This Row],[Order_Date_Clean]],"MMM YYYY")</f>
        <v>Dec 2025</v>
      </c>
      <c r="AA1155" s="27"/>
      <c r="AB1155" s="27">
        <f t="shared" si="131"/>
        <v>0</v>
      </c>
      <c r="AC1155" s="27">
        <f t="shared" si="132"/>
        <v>0</v>
      </c>
    </row>
    <row r="1156" spans="1:29">
      <c r="A1156" t="s">
        <v>1259</v>
      </c>
      <c r="B1156" s="3">
        <v>45697</v>
      </c>
      <c r="C1156" t="s">
        <v>66</v>
      </c>
      <c r="D1156" t="s">
        <v>62</v>
      </c>
      <c r="E1156" t="s">
        <v>79</v>
      </c>
      <c r="F1156" t="s">
        <v>80</v>
      </c>
      <c r="G1156" s="6">
        <v>2</v>
      </c>
      <c r="H1156" s="4">
        <v>77.22</v>
      </c>
      <c r="I1156" s="4">
        <v>42.16</v>
      </c>
      <c r="J1156" s="5">
        <v>0.1</v>
      </c>
      <c r="K1156" s="6">
        <v>1</v>
      </c>
      <c r="L1156" s="6">
        <v>4</v>
      </c>
      <c r="M1156" t="s">
        <v>58</v>
      </c>
      <c r="N1156" t="s">
        <v>59</v>
      </c>
      <c r="O1156" t="s">
        <v>60</v>
      </c>
      <c r="P1156" t="str">
        <f t="shared" si="126"/>
        <v>Individual</v>
      </c>
      <c r="Q1156" t="str">
        <f t="shared" si="127"/>
        <v>South</v>
      </c>
      <c r="R1156" t="str">
        <f>PROPER(TRIM(E1156))</f>
        <v>Electronics</v>
      </c>
      <c r="S1156" s="27">
        <f>IF(ISTEXT(B1156),DATEVALUE(B1156),B1156)</f>
        <v>45697</v>
      </c>
      <c r="T1156" s="27">
        <f>COUNTIF($A$2:$A$1986,A1156)</f>
        <v>1</v>
      </c>
      <c r="U1156" s="27" t="str">
        <f t="shared" si="128"/>
        <v>Portable Speaker</v>
      </c>
      <c r="V1156" s="27">
        <f t="shared" si="129"/>
        <v>138.99600000000001</v>
      </c>
      <c r="W1156" s="27">
        <f t="shared" si="130"/>
        <v>84.32</v>
      </c>
      <c r="X1156" s="27">
        <f>RawSalesTable3[[#This Row],[Revenue]]-RawSalesTable3[[#This Row],[Total_Cost]]</f>
        <v>54.676000000000016</v>
      </c>
      <c r="Y1156" s="28">
        <f>RawSalesTable3[[#This Row],[Profit]]/RawSalesTable3[[#This Row],[Revenue]]</f>
        <v>0.39336383780828232</v>
      </c>
      <c r="Z1156" s="27" t="str">
        <f>TEXT(RawSalesTable3[[#This Row],[Order_Date_Clean]],"MMM YYYY")</f>
        <v>Feb 2025</v>
      </c>
      <c r="AA1156" s="27"/>
      <c r="AB1156" s="27">
        <f t="shared" si="131"/>
        <v>0</v>
      </c>
      <c r="AC1156" s="27">
        <f t="shared" si="132"/>
        <v>0</v>
      </c>
    </row>
    <row r="1157" spans="1:29">
      <c r="A1157" t="s">
        <v>1260</v>
      </c>
      <c r="B1157" s="3">
        <v>45948</v>
      </c>
      <c r="C1157" t="s">
        <v>54</v>
      </c>
      <c r="D1157" t="s">
        <v>62</v>
      </c>
      <c r="E1157" t="s">
        <v>79</v>
      </c>
      <c r="F1157" t="s">
        <v>115</v>
      </c>
      <c r="G1157" s="6">
        <v>1</v>
      </c>
      <c r="H1157" s="4">
        <v>59.73</v>
      </c>
      <c r="I1157" s="4">
        <v>35.43</v>
      </c>
      <c r="J1157" s="5">
        <v>0</v>
      </c>
      <c r="K1157" s="6">
        <v>2</v>
      </c>
      <c r="L1157" s="6">
        <v>4</v>
      </c>
      <c r="M1157" t="s">
        <v>58</v>
      </c>
      <c r="N1157" t="s">
        <v>59</v>
      </c>
      <c r="O1157" t="s">
        <v>64</v>
      </c>
      <c r="P1157" t="str">
        <f t="shared" si="126"/>
        <v>Individual</v>
      </c>
      <c r="Q1157" t="str">
        <f t="shared" si="127"/>
        <v>North</v>
      </c>
      <c r="R1157" t="str">
        <f>PROPER(TRIM(E1157))</f>
        <v>Electronics</v>
      </c>
      <c r="S1157" s="27">
        <f>IF(ISTEXT(B1157),DATEVALUE(B1157),B1157)</f>
        <v>45948</v>
      </c>
      <c r="T1157" s="27">
        <f>COUNTIF($A$2:$A$1986,A1157)</f>
        <v>1</v>
      </c>
      <c r="U1157" s="27" t="str">
        <f t="shared" si="128"/>
        <v>Wireless Headset</v>
      </c>
      <c r="V1157" s="27">
        <f t="shared" si="129"/>
        <v>59.73</v>
      </c>
      <c r="W1157" s="27">
        <f t="shared" si="130"/>
        <v>35.43</v>
      </c>
      <c r="X1157" s="27">
        <f>RawSalesTable3[[#This Row],[Revenue]]-RawSalesTable3[[#This Row],[Total_Cost]]</f>
        <v>24.299999999999997</v>
      </c>
      <c r="Y1157" s="28">
        <f>RawSalesTable3[[#This Row],[Profit]]/RawSalesTable3[[#This Row],[Revenue]]</f>
        <v>0.40683073832245098</v>
      </c>
      <c r="Z1157" s="27" t="str">
        <f>TEXT(RawSalesTable3[[#This Row],[Order_Date_Clean]],"MMM YYYY")</f>
        <v>Oct 2025</v>
      </c>
      <c r="AA1157" s="27"/>
      <c r="AB1157" s="27">
        <f t="shared" si="131"/>
        <v>0</v>
      </c>
      <c r="AC1157" s="27">
        <f t="shared" si="132"/>
        <v>0</v>
      </c>
    </row>
    <row r="1158" spans="1:29">
      <c r="A1158" t="s">
        <v>1261</v>
      </c>
      <c r="B1158" s="3">
        <v>45920</v>
      </c>
      <c r="C1158" t="s">
        <v>78</v>
      </c>
      <c r="D1158" t="s">
        <v>62</v>
      </c>
      <c r="E1158" t="s">
        <v>67</v>
      </c>
      <c r="F1158" t="s">
        <v>68</v>
      </c>
      <c r="G1158" s="6">
        <v>2</v>
      </c>
      <c r="H1158" s="4">
        <v>41.16</v>
      </c>
      <c r="I1158" s="4">
        <v>19.84</v>
      </c>
      <c r="J1158" s="5">
        <v>0.05</v>
      </c>
      <c r="K1158" s="6">
        <v>4</v>
      </c>
      <c r="L1158" s="6">
        <v>5</v>
      </c>
      <c r="M1158" t="s">
        <v>58</v>
      </c>
      <c r="N1158" t="s">
        <v>87</v>
      </c>
      <c r="O1158" t="s">
        <v>73</v>
      </c>
      <c r="P1158" t="str">
        <f t="shared" si="126"/>
        <v>Individual</v>
      </c>
      <c r="Q1158" t="str">
        <f t="shared" si="127"/>
        <v>London</v>
      </c>
      <c r="R1158" t="str">
        <f>PROPER(TRIM(E1158))</f>
        <v>Office</v>
      </c>
      <c r="S1158" s="27">
        <f>IF(ISTEXT(B1158),DATEVALUE(B1158),B1158)</f>
        <v>45920</v>
      </c>
      <c r="T1158" s="27">
        <f>COUNTIF($A$2:$A$1986,A1158)</f>
        <v>1</v>
      </c>
      <c r="U1158" s="27" t="str">
        <f t="shared" si="128"/>
        <v>Desk Lamp</v>
      </c>
      <c r="V1158" s="27">
        <f t="shared" si="129"/>
        <v>78.203999999999994</v>
      </c>
      <c r="W1158" s="27">
        <f t="shared" si="130"/>
        <v>39.68</v>
      </c>
      <c r="X1158" s="27">
        <f>RawSalesTable3[[#This Row],[Revenue]]-RawSalesTable3[[#This Row],[Total_Cost]]</f>
        <v>38.523999999999994</v>
      </c>
      <c r="Y1158" s="28">
        <f>RawSalesTable3[[#This Row],[Profit]]/RawSalesTable3[[#This Row],[Revenue]]</f>
        <v>0.49260907370466978</v>
      </c>
      <c r="Z1158" s="27" t="str">
        <f>TEXT(RawSalesTable3[[#This Row],[Order_Date_Clean]],"MMM YYYY")</f>
        <v>Sep 2025</v>
      </c>
      <c r="AA1158" s="27"/>
      <c r="AB1158" s="27">
        <f t="shared" si="131"/>
        <v>0</v>
      </c>
      <c r="AC1158" s="27">
        <f t="shared" si="132"/>
        <v>0</v>
      </c>
    </row>
    <row r="1159" spans="1:29">
      <c r="A1159" t="s">
        <v>1262</v>
      </c>
      <c r="B1159" s="3">
        <v>45796</v>
      </c>
      <c r="C1159" t="s">
        <v>78</v>
      </c>
      <c r="D1159" t="s">
        <v>55</v>
      </c>
      <c r="E1159" t="s">
        <v>67</v>
      </c>
      <c r="F1159" t="s">
        <v>71</v>
      </c>
      <c r="G1159" s="6">
        <v>3</v>
      </c>
      <c r="H1159" s="4">
        <v>71.13</v>
      </c>
      <c r="I1159" s="4">
        <v>39.61</v>
      </c>
      <c r="J1159" s="5">
        <v>0</v>
      </c>
      <c r="K1159" s="6">
        <v>0</v>
      </c>
      <c r="L1159" s="6">
        <v>5</v>
      </c>
      <c r="M1159" t="s">
        <v>58</v>
      </c>
      <c r="N1159" t="s">
        <v>69</v>
      </c>
      <c r="O1159" t="s">
        <v>73</v>
      </c>
      <c r="P1159" t="str">
        <f t="shared" si="126"/>
        <v>Small Business</v>
      </c>
      <c r="Q1159" t="str">
        <f t="shared" si="127"/>
        <v>London</v>
      </c>
      <c r="R1159" t="str">
        <f>PROPER(TRIM(E1159))</f>
        <v>Office</v>
      </c>
      <c r="S1159" s="27">
        <f>IF(ISTEXT(B1159),DATEVALUE(B1159),B1159)</f>
        <v>45796</v>
      </c>
      <c r="T1159" s="27">
        <f>COUNTIF($A$2:$A$1986,A1159)</f>
        <v>1</v>
      </c>
      <c r="U1159" s="27" t="str">
        <f t="shared" si="128"/>
        <v>Ergonomic Keyboard</v>
      </c>
      <c r="V1159" s="27">
        <f t="shared" si="129"/>
        <v>213.39</v>
      </c>
      <c r="W1159" s="27">
        <f t="shared" si="130"/>
        <v>118.83</v>
      </c>
      <c r="X1159" s="27">
        <f>RawSalesTable3[[#This Row],[Revenue]]-RawSalesTable3[[#This Row],[Total_Cost]]</f>
        <v>94.559999999999988</v>
      </c>
      <c r="Y1159" s="28">
        <f>RawSalesTable3[[#This Row],[Profit]]/RawSalesTable3[[#This Row],[Revenue]]</f>
        <v>0.44313229298467594</v>
      </c>
      <c r="Z1159" s="27" t="str">
        <f>TEXT(RawSalesTable3[[#This Row],[Order_Date_Clean]],"MMM YYYY")</f>
        <v>May 2025</v>
      </c>
      <c r="AA1159" s="27"/>
      <c r="AB1159" s="27">
        <f t="shared" si="131"/>
        <v>0</v>
      </c>
      <c r="AC1159" s="27">
        <f t="shared" si="132"/>
        <v>0</v>
      </c>
    </row>
    <row r="1160" spans="1:29">
      <c r="A1160" t="s">
        <v>1263</v>
      </c>
      <c r="B1160" s="3">
        <v>45732</v>
      </c>
      <c r="C1160" t="s">
        <v>82</v>
      </c>
      <c r="D1160" t="s">
        <v>55</v>
      </c>
      <c r="E1160" t="s">
        <v>56</v>
      </c>
      <c r="F1160" t="s">
        <v>83</v>
      </c>
      <c r="G1160" s="6">
        <v>2</v>
      </c>
      <c r="H1160" s="4">
        <v>64.349999999999994</v>
      </c>
      <c r="I1160" s="4">
        <v>35.29</v>
      </c>
      <c r="J1160" s="5">
        <v>0.05</v>
      </c>
      <c r="K1160" s="6">
        <v>4</v>
      </c>
      <c r="L1160" s="6">
        <v>4</v>
      </c>
      <c r="M1160" t="s">
        <v>58</v>
      </c>
      <c r="N1160" t="s">
        <v>59</v>
      </c>
      <c r="O1160" t="s">
        <v>64</v>
      </c>
      <c r="P1160" t="str">
        <f t="shared" si="126"/>
        <v>Small Business</v>
      </c>
      <c r="Q1160" t="str">
        <f t="shared" si="127"/>
        <v>Midlands</v>
      </c>
      <c r="R1160" t="str">
        <f>PROPER(TRIM(E1160))</f>
        <v>Home &amp; Kitchen</v>
      </c>
      <c r="S1160" s="27">
        <f>IF(ISTEXT(B1160),DATEVALUE(B1160),B1160)</f>
        <v>45732</v>
      </c>
      <c r="T1160" s="27">
        <f>COUNTIF($A$2:$A$1986,A1160)</f>
        <v>1</v>
      </c>
      <c r="U1160" s="27" t="str">
        <f t="shared" si="128"/>
        <v>Blender</v>
      </c>
      <c r="V1160" s="27">
        <f t="shared" si="129"/>
        <v>122.26499999999999</v>
      </c>
      <c r="W1160" s="27">
        <f t="shared" si="130"/>
        <v>70.58</v>
      </c>
      <c r="X1160" s="27">
        <f>RawSalesTable3[[#This Row],[Revenue]]-RawSalesTable3[[#This Row],[Total_Cost]]</f>
        <v>51.684999999999988</v>
      </c>
      <c r="Y1160" s="28">
        <f>RawSalesTable3[[#This Row],[Profit]]/RawSalesTable3[[#This Row],[Revenue]]</f>
        <v>0.42272931746615949</v>
      </c>
      <c r="Z1160" s="27" t="str">
        <f>TEXT(RawSalesTable3[[#This Row],[Order_Date_Clean]],"MMM YYYY")</f>
        <v>Mar 2025</v>
      </c>
      <c r="AA1160" s="27"/>
      <c r="AB1160" s="27">
        <f t="shared" si="131"/>
        <v>0</v>
      </c>
      <c r="AC1160" s="27">
        <f t="shared" si="132"/>
        <v>0</v>
      </c>
    </row>
    <row r="1161" spans="1:29">
      <c r="A1161" t="s">
        <v>1264</v>
      </c>
      <c r="B1161" s="3">
        <v>45905</v>
      </c>
      <c r="C1161" t="s">
        <v>78</v>
      </c>
      <c r="D1161" t="s">
        <v>62</v>
      </c>
      <c r="E1161" t="s">
        <v>79</v>
      </c>
      <c r="F1161" t="s">
        <v>92</v>
      </c>
      <c r="G1161" s="6">
        <v>1</v>
      </c>
      <c r="H1161" s="4">
        <v>50.51</v>
      </c>
      <c r="I1161" s="4">
        <v>27.08</v>
      </c>
      <c r="J1161" s="5">
        <v>0.1</v>
      </c>
      <c r="K1161" s="6">
        <v>5</v>
      </c>
      <c r="L1161" s="6">
        <v>4</v>
      </c>
      <c r="M1161" t="s">
        <v>58</v>
      </c>
      <c r="N1161" t="s">
        <v>59</v>
      </c>
      <c r="O1161" t="s">
        <v>64</v>
      </c>
      <c r="P1161" t="str">
        <f t="shared" si="126"/>
        <v>Individual</v>
      </c>
      <c r="Q1161" t="str">
        <f t="shared" si="127"/>
        <v>London</v>
      </c>
      <c r="R1161" t="str">
        <f>PROPER(TRIM(E1161))</f>
        <v>Electronics</v>
      </c>
      <c r="S1161" s="27">
        <f>IF(ISTEXT(B1161),DATEVALUE(B1161),B1161)</f>
        <v>45905</v>
      </c>
      <c r="T1161" s="27">
        <f>COUNTIF($A$2:$A$1986,A1161)</f>
        <v>1</v>
      </c>
      <c r="U1161" s="27" t="str">
        <f t="shared" si="128"/>
        <v>Webcam</v>
      </c>
      <c r="V1161" s="27">
        <f t="shared" si="129"/>
        <v>45.458999999999996</v>
      </c>
      <c r="W1161" s="27">
        <f t="shared" si="130"/>
        <v>27.08</v>
      </c>
      <c r="X1161" s="27">
        <f>RawSalesTable3[[#This Row],[Revenue]]-RawSalesTable3[[#This Row],[Total_Cost]]</f>
        <v>18.378999999999998</v>
      </c>
      <c r="Y1161" s="28">
        <f>RawSalesTable3[[#This Row],[Profit]]/RawSalesTable3[[#This Row],[Revenue]]</f>
        <v>0.40429837875888164</v>
      </c>
      <c r="Z1161" s="27" t="str">
        <f>TEXT(RawSalesTable3[[#This Row],[Order_Date_Clean]],"MMM YYYY")</f>
        <v>Sep 2025</v>
      </c>
      <c r="AA1161" s="27"/>
      <c r="AB1161" s="27">
        <f t="shared" si="131"/>
        <v>0</v>
      </c>
      <c r="AC1161" s="27">
        <f t="shared" si="132"/>
        <v>0</v>
      </c>
    </row>
    <row r="1162" spans="1:29">
      <c r="A1162" t="s">
        <v>1265</v>
      </c>
      <c r="B1162" s="3">
        <v>46022</v>
      </c>
      <c r="C1162" t="s">
        <v>54</v>
      </c>
      <c r="D1162" t="s">
        <v>62</v>
      </c>
      <c r="E1162" t="s">
        <v>56</v>
      </c>
      <c r="F1162" t="s">
        <v>63</v>
      </c>
      <c r="G1162" s="6">
        <v>1</v>
      </c>
      <c r="H1162" s="4">
        <v>41.16</v>
      </c>
      <c r="I1162" s="4">
        <v>19.88</v>
      </c>
      <c r="J1162" s="5">
        <v>0.1</v>
      </c>
      <c r="K1162" s="6">
        <v>4</v>
      </c>
      <c r="L1162" s="6">
        <v>4</v>
      </c>
      <c r="M1162" t="s">
        <v>58</v>
      </c>
      <c r="N1162" t="s">
        <v>59</v>
      </c>
      <c r="O1162" t="s">
        <v>64</v>
      </c>
      <c r="P1162" t="str">
        <f t="shared" si="126"/>
        <v>Individual</v>
      </c>
      <c r="Q1162" t="str">
        <f t="shared" si="127"/>
        <v>North</v>
      </c>
      <c r="R1162" t="str">
        <f>PROPER(TRIM(E1162))</f>
        <v>Home &amp; Kitchen</v>
      </c>
      <c r="S1162" s="27">
        <f>IF(ISTEXT(B1162),DATEVALUE(B1162),B1162)</f>
        <v>46022</v>
      </c>
      <c r="T1162" s="27">
        <f>COUNTIF($A$2:$A$1986,A1162)</f>
        <v>1</v>
      </c>
      <c r="U1162" s="27" t="str">
        <f t="shared" si="128"/>
        <v>Electric Kettle</v>
      </c>
      <c r="V1162" s="27">
        <f t="shared" si="129"/>
        <v>37.043999999999997</v>
      </c>
      <c r="W1162" s="27">
        <f t="shared" si="130"/>
        <v>19.88</v>
      </c>
      <c r="X1162" s="27">
        <f>RawSalesTable3[[#This Row],[Revenue]]-RawSalesTable3[[#This Row],[Total_Cost]]</f>
        <v>17.163999999999998</v>
      </c>
      <c r="Y1162" s="28">
        <f>RawSalesTable3[[#This Row],[Profit]]/RawSalesTable3[[#This Row],[Revenue]]</f>
        <v>0.46334089191232047</v>
      </c>
      <c r="Z1162" s="27" t="str">
        <f>TEXT(RawSalesTable3[[#This Row],[Order_Date_Clean]],"MMM YYYY")</f>
        <v>Dec 2025</v>
      </c>
      <c r="AA1162" s="27"/>
      <c r="AB1162" s="27">
        <f t="shared" si="131"/>
        <v>0</v>
      </c>
      <c r="AC1162" s="27">
        <f t="shared" si="132"/>
        <v>0</v>
      </c>
    </row>
    <row r="1163" spans="1:29">
      <c r="A1163" t="s">
        <v>1266</v>
      </c>
      <c r="B1163" s="3">
        <v>45927</v>
      </c>
      <c r="C1163" t="s">
        <v>66</v>
      </c>
      <c r="D1163" t="s">
        <v>62</v>
      </c>
      <c r="E1163" t="s">
        <v>67</v>
      </c>
      <c r="F1163" t="s">
        <v>68</v>
      </c>
      <c r="G1163" s="6">
        <v>1</v>
      </c>
      <c r="H1163" s="4">
        <v>39.07</v>
      </c>
      <c r="I1163" s="4">
        <v>19.010000000000002</v>
      </c>
      <c r="J1163" s="5">
        <v>0.05</v>
      </c>
      <c r="K1163" s="6">
        <v>3</v>
      </c>
      <c r="L1163" s="6">
        <v>4</v>
      </c>
      <c r="M1163" t="s">
        <v>58</v>
      </c>
      <c r="N1163" t="s">
        <v>69</v>
      </c>
      <c r="O1163" t="s">
        <v>60</v>
      </c>
      <c r="P1163" t="str">
        <f t="shared" si="126"/>
        <v>Individual</v>
      </c>
      <c r="Q1163" t="str">
        <f t="shared" si="127"/>
        <v>South</v>
      </c>
      <c r="R1163" t="str">
        <f>PROPER(TRIM(E1163))</f>
        <v>Office</v>
      </c>
      <c r="S1163" s="27">
        <f>IF(ISTEXT(B1163),DATEVALUE(B1163),B1163)</f>
        <v>45927</v>
      </c>
      <c r="T1163" s="27">
        <f>COUNTIF($A$2:$A$1986,A1163)</f>
        <v>1</v>
      </c>
      <c r="U1163" s="27" t="str">
        <f t="shared" si="128"/>
        <v>Desk Lamp</v>
      </c>
      <c r="V1163" s="27">
        <f t="shared" si="129"/>
        <v>37.116500000000002</v>
      </c>
      <c r="W1163" s="27">
        <f t="shared" si="130"/>
        <v>19.010000000000002</v>
      </c>
      <c r="X1163" s="27">
        <f>RawSalesTable3[[#This Row],[Revenue]]-RawSalesTable3[[#This Row],[Total_Cost]]</f>
        <v>18.1065</v>
      </c>
      <c r="Y1163" s="28">
        <f>RawSalesTable3[[#This Row],[Profit]]/RawSalesTable3[[#This Row],[Revenue]]</f>
        <v>0.48782886317406005</v>
      </c>
      <c r="Z1163" s="27" t="str">
        <f>TEXT(RawSalesTable3[[#This Row],[Order_Date_Clean]],"MMM YYYY")</f>
        <v>Sep 2025</v>
      </c>
      <c r="AA1163" s="27"/>
      <c r="AB1163" s="27">
        <f t="shared" si="131"/>
        <v>0</v>
      </c>
      <c r="AC1163" s="27">
        <f t="shared" si="132"/>
        <v>0</v>
      </c>
    </row>
    <row r="1164" spans="1:29">
      <c r="A1164" t="s">
        <v>1267</v>
      </c>
      <c r="B1164" s="3">
        <v>45832</v>
      </c>
      <c r="C1164" t="s">
        <v>54</v>
      </c>
      <c r="D1164" t="s">
        <v>62</v>
      </c>
      <c r="E1164" t="s">
        <v>75</v>
      </c>
      <c r="F1164" t="s">
        <v>110</v>
      </c>
      <c r="G1164" s="6">
        <v>2</v>
      </c>
      <c r="H1164" s="4">
        <v>162.44</v>
      </c>
      <c r="I1164" s="4">
        <v>98.36</v>
      </c>
      <c r="J1164" s="5">
        <v>0.05</v>
      </c>
      <c r="K1164" s="6">
        <v>4</v>
      </c>
      <c r="L1164" s="6">
        <v>3</v>
      </c>
      <c r="M1164" t="s">
        <v>126</v>
      </c>
      <c r="N1164" t="s">
        <v>69</v>
      </c>
      <c r="O1164" t="s">
        <v>60</v>
      </c>
      <c r="P1164" t="str">
        <f t="shared" si="126"/>
        <v>Individual</v>
      </c>
      <c r="Q1164" t="str">
        <f t="shared" si="127"/>
        <v>North</v>
      </c>
      <c r="R1164" t="str">
        <f>PROPER(TRIM(E1164))</f>
        <v>Furniture</v>
      </c>
      <c r="S1164" s="27">
        <f>IF(ISTEXT(B1164),DATEVALUE(B1164),B1164)</f>
        <v>45832</v>
      </c>
      <c r="T1164" s="27">
        <f>COUNTIF($A$2:$A$1986,A1164)</f>
        <v>1</v>
      </c>
      <c r="U1164" s="27" t="str">
        <f t="shared" si="128"/>
        <v>Storage Cabinet</v>
      </c>
      <c r="V1164" s="27">
        <f t="shared" si="129"/>
        <v>308.63599999999997</v>
      </c>
      <c r="W1164" s="27">
        <f t="shared" si="130"/>
        <v>196.72</v>
      </c>
      <c r="X1164" s="27">
        <f>RawSalesTable3[[#This Row],[Revenue]]-RawSalesTable3[[#This Row],[Total_Cost]]</f>
        <v>111.91599999999997</v>
      </c>
      <c r="Y1164" s="28">
        <f>RawSalesTable3[[#This Row],[Profit]]/RawSalesTable3[[#This Row],[Revenue]]</f>
        <v>0.36261486022369388</v>
      </c>
      <c r="Z1164" s="27" t="str">
        <f>TEXT(RawSalesTable3[[#This Row],[Order_Date_Clean]],"MMM YYYY")</f>
        <v>Jun 2025</v>
      </c>
      <c r="AA1164" s="27"/>
      <c r="AB1164" s="27">
        <f t="shared" si="131"/>
        <v>0</v>
      </c>
      <c r="AC1164" s="27">
        <f t="shared" si="132"/>
        <v>0</v>
      </c>
    </row>
    <row r="1165" spans="1:29">
      <c r="A1165" t="s">
        <v>1268</v>
      </c>
      <c r="B1165" s="3">
        <v>46022</v>
      </c>
      <c r="C1165" t="s">
        <v>78</v>
      </c>
      <c r="D1165" t="s">
        <v>62</v>
      </c>
      <c r="E1165" t="s">
        <v>79</v>
      </c>
      <c r="F1165" t="s">
        <v>115</v>
      </c>
      <c r="G1165" s="6">
        <v>1</v>
      </c>
      <c r="H1165" s="4">
        <v>62.31</v>
      </c>
      <c r="I1165" s="4">
        <v>35.369999999999997</v>
      </c>
      <c r="J1165" s="5">
        <v>0</v>
      </c>
      <c r="K1165" s="6">
        <v>0</v>
      </c>
      <c r="L1165" s="6">
        <v>5</v>
      </c>
      <c r="M1165" t="s">
        <v>58</v>
      </c>
      <c r="N1165" t="s">
        <v>69</v>
      </c>
      <c r="O1165" t="s">
        <v>60</v>
      </c>
      <c r="P1165" t="str">
        <f t="shared" si="126"/>
        <v>Individual</v>
      </c>
      <c r="Q1165" t="str">
        <f t="shared" si="127"/>
        <v>London</v>
      </c>
      <c r="R1165" t="str">
        <f>PROPER(TRIM(E1165))</f>
        <v>Electronics</v>
      </c>
      <c r="S1165" s="27">
        <f>IF(ISTEXT(B1165),DATEVALUE(B1165),B1165)</f>
        <v>46022</v>
      </c>
      <c r="T1165" s="27">
        <f>COUNTIF($A$2:$A$1986,A1165)</f>
        <v>1</v>
      </c>
      <c r="U1165" s="27" t="str">
        <f t="shared" si="128"/>
        <v>Wireless Headset</v>
      </c>
      <c r="V1165" s="27">
        <f t="shared" si="129"/>
        <v>62.31</v>
      </c>
      <c r="W1165" s="27">
        <f t="shared" si="130"/>
        <v>35.369999999999997</v>
      </c>
      <c r="X1165" s="27">
        <f>RawSalesTable3[[#This Row],[Revenue]]-RawSalesTable3[[#This Row],[Total_Cost]]</f>
        <v>26.940000000000005</v>
      </c>
      <c r="Y1165" s="28">
        <f>RawSalesTable3[[#This Row],[Profit]]/RawSalesTable3[[#This Row],[Revenue]]</f>
        <v>0.432354357246028</v>
      </c>
      <c r="Z1165" s="27" t="str">
        <f>TEXT(RawSalesTable3[[#This Row],[Order_Date_Clean]],"MMM YYYY")</f>
        <v>Dec 2025</v>
      </c>
      <c r="AA1165" s="27"/>
      <c r="AB1165" s="27">
        <f t="shared" si="131"/>
        <v>0</v>
      </c>
      <c r="AC1165" s="27">
        <f t="shared" si="132"/>
        <v>0</v>
      </c>
    </row>
    <row r="1166" spans="1:29">
      <c r="A1166" t="s">
        <v>1269</v>
      </c>
      <c r="B1166" s="3">
        <v>45737</v>
      </c>
      <c r="C1166" t="s">
        <v>54</v>
      </c>
      <c r="D1166" t="s">
        <v>62</v>
      </c>
      <c r="E1166" t="s">
        <v>67</v>
      </c>
      <c r="F1166" t="s">
        <v>94</v>
      </c>
      <c r="G1166" s="6">
        <v>3</v>
      </c>
      <c r="H1166" s="4">
        <v>34.590000000000003</v>
      </c>
      <c r="I1166" s="4">
        <v>17.53</v>
      </c>
      <c r="J1166" s="5">
        <v>0</v>
      </c>
      <c r="K1166" s="6">
        <v>0</v>
      </c>
      <c r="L1166" s="6">
        <v>4</v>
      </c>
      <c r="M1166" t="s">
        <v>58</v>
      </c>
      <c r="N1166" t="s">
        <v>69</v>
      </c>
      <c r="O1166" t="s">
        <v>64</v>
      </c>
      <c r="P1166" t="str">
        <f t="shared" si="126"/>
        <v>Individual</v>
      </c>
      <c r="Q1166" t="str">
        <f t="shared" si="127"/>
        <v>North</v>
      </c>
      <c r="R1166" t="str">
        <f>PROPER(TRIM(E1166))</f>
        <v>Office</v>
      </c>
      <c r="S1166" s="27">
        <f>IF(ISTEXT(B1166),DATEVALUE(B1166),B1166)</f>
        <v>45737</v>
      </c>
      <c r="T1166" s="27">
        <f>COUNTIF($A$2:$A$1986,A1166)</f>
        <v>1</v>
      </c>
      <c r="U1166" s="27" t="str">
        <f t="shared" si="128"/>
        <v>Wireless Mouse</v>
      </c>
      <c r="V1166" s="27">
        <f t="shared" si="129"/>
        <v>103.77000000000001</v>
      </c>
      <c r="W1166" s="27">
        <f t="shared" si="130"/>
        <v>52.59</v>
      </c>
      <c r="X1166" s="27">
        <f>RawSalesTable3[[#This Row],[Revenue]]-RawSalesTable3[[#This Row],[Total_Cost]]</f>
        <v>51.180000000000007</v>
      </c>
      <c r="Y1166" s="28">
        <f>RawSalesTable3[[#This Row],[Profit]]/RawSalesTable3[[#This Row],[Revenue]]</f>
        <v>0.49320612893899973</v>
      </c>
      <c r="Z1166" s="27" t="str">
        <f>TEXT(RawSalesTable3[[#This Row],[Order_Date_Clean]],"MMM YYYY")</f>
        <v>Mar 2025</v>
      </c>
      <c r="AA1166" s="27"/>
      <c r="AB1166" s="27">
        <f t="shared" si="131"/>
        <v>0</v>
      </c>
      <c r="AC1166" s="27">
        <f t="shared" si="132"/>
        <v>0</v>
      </c>
    </row>
    <row r="1167" spans="1:29">
      <c r="A1167" t="s">
        <v>1270</v>
      </c>
      <c r="B1167" s="3">
        <v>45732</v>
      </c>
      <c r="C1167" t="s">
        <v>78</v>
      </c>
      <c r="D1167" t="s">
        <v>55</v>
      </c>
      <c r="E1167" t="s">
        <v>79</v>
      </c>
      <c r="F1167" t="s">
        <v>115</v>
      </c>
      <c r="G1167" s="6">
        <v>4</v>
      </c>
      <c r="H1167" s="4">
        <v>58.75</v>
      </c>
      <c r="I1167" s="4">
        <v>33.99</v>
      </c>
      <c r="J1167" s="5">
        <v>0</v>
      </c>
      <c r="K1167" s="6">
        <v>3</v>
      </c>
      <c r="L1167" s="6">
        <v>5</v>
      </c>
      <c r="M1167" t="s">
        <v>58</v>
      </c>
      <c r="N1167" t="s">
        <v>59</v>
      </c>
      <c r="O1167" t="s">
        <v>64</v>
      </c>
      <c r="P1167" t="str">
        <f t="shared" si="126"/>
        <v>Small Business</v>
      </c>
      <c r="Q1167" t="str">
        <f t="shared" si="127"/>
        <v>London</v>
      </c>
      <c r="R1167" t="str">
        <f>PROPER(TRIM(E1167))</f>
        <v>Electronics</v>
      </c>
      <c r="S1167" s="27">
        <f>IF(ISTEXT(B1167),DATEVALUE(B1167),B1167)</f>
        <v>45732</v>
      </c>
      <c r="T1167" s="27">
        <f>COUNTIF($A$2:$A$1986,A1167)</f>
        <v>1</v>
      </c>
      <c r="U1167" s="27" t="str">
        <f t="shared" si="128"/>
        <v>Wireless Headset</v>
      </c>
      <c r="V1167" s="27">
        <f t="shared" si="129"/>
        <v>235</v>
      </c>
      <c r="W1167" s="27">
        <f t="shared" si="130"/>
        <v>135.96</v>
      </c>
      <c r="X1167" s="27">
        <f>RawSalesTable3[[#This Row],[Revenue]]-RawSalesTable3[[#This Row],[Total_Cost]]</f>
        <v>99.039999999999992</v>
      </c>
      <c r="Y1167" s="28">
        <f>RawSalesTable3[[#This Row],[Profit]]/RawSalesTable3[[#This Row],[Revenue]]</f>
        <v>0.42144680851063826</v>
      </c>
      <c r="Z1167" s="27" t="str">
        <f>TEXT(RawSalesTable3[[#This Row],[Order_Date_Clean]],"MMM YYYY")</f>
        <v>Mar 2025</v>
      </c>
      <c r="AA1167" s="27"/>
      <c r="AB1167" s="27">
        <f t="shared" si="131"/>
        <v>0</v>
      </c>
      <c r="AC1167" s="27">
        <f t="shared" si="132"/>
        <v>0</v>
      </c>
    </row>
    <row r="1168" spans="1:29">
      <c r="A1168" t="s">
        <v>1271</v>
      </c>
      <c r="B1168" s="3">
        <v>45806</v>
      </c>
      <c r="C1168" t="s">
        <v>54</v>
      </c>
      <c r="D1168" t="s">
        <v>62</v>
      </c>
      <c r="E1168" t="s">
        <v>79</v>
      </c>
      <c r="F1168" t="s">
        <v>85</v>
      </c>
      <c r="G1168" s="6">
        <v>2</v>
      </c>
      <c r="H1168" s="4">
        <v>135.07</v>
      </c>
      <c r="I1168" s="4">
        <v>86</v>
      </c>
      <c r="J1168" s="5">
        <v>0</v>
      </c>
      <c r="K1168" s="6">
        <v>0</v>
      </c>
      <c r="L1168" s="6">
        <v>4</v>
      </c>
      <c r="M1168" t="s">
        <v>58</v>
      </c>
      <c r="N1168" t="s">
        <v>69</v>
      </c>
      <c r="O1168" t="s">
        <v>73</v>
      </c>
      <c r="P1168" t="str">
        <f t="shared" si="126"/>
        <v>Individual</v>
      </c>
      <c r="Q1168" t="str">
        <f t="shared" si="127"/>
        <v>North</v>
      </c>
      <c r="R1168" t="str">
        <f>PROPER(TRIM(E1168))</f>
        <v>Electronics</v>
      </c>
      <c r="S1168" s="27">
        <f>IF(ISTEXT(B1168),DATEVALUE(B1168),B1168)</f>
        <v>45806</v>
      </c>
      <c r="T1168" s="27">
        <f>COUNTIF($A$2:$A$1986,A1168)</f>
        <v>1</v>
      </c>
      <c r="U1168" s="27" t="str">
        <f t="shared" si="128"/>
        <v>SmartHome Hub</v>
      </c>
      <c r="V1168" s="27">
        <f t="shared" si="129"/>
        <v>270.14</v>
      </c>
      <c r="W1168" s="27">
        <f t="shared" si="130"/>
        <v>172</v>
      </c>
      <c r="X1168" s="27">
        <f>RawSalesTable3[[#This Row],[Revenue]]-RawSalesTable3[[#This Row],[Total_Cost]]</f>
        <v>98.139999999999986</v>
      </c>
      <c r="Y1168" s="28">
        <f>RawSalesTable3[[#This Row],[Profit]]/RawSalesTable3[[#This Row],[Revenue]]</f>
        <v>0.36329310727770781</v>
      </c>
      <c r="Z1168" s="27" t="str">
        <f>TEXT(RawSalesTable3[[#This Row],[Order_Date_Clean]],"MMM YYYY")</f>
        <v>May 2025</v>
      </c>
      <c r="AA1168" s="27"/>
      <c r="AB1168" s="27">
        <f t="shared" si="131"/>
        <v>0</v>
      </c>
      <c r="AC1168" s="27">
        <f t="shared" si="132"/>
        <v>0</v>
      </c>
    </row>
    <row r="1169" spans="1:29">
      <c r="A1169" t="s">
        <v>1272</v>
      </c>
      <c r="B1169" s="3">
        <v>45897</v>
      </c>
      <c r="C1169" t="s">
        <v>66</v>
      </c>
      <c r="D1169" t="s">
        <v>129</v>
      </c>
      <c r="E1169" t="s">
        <v>79</v>
      </c>
      <c r="F1169" t="s">
        <v>115</v>
      </c>
      <c r="G1169" s="6">
        <v>10</v>
      </c>
      <c r="H1169" s="4">
        <v>62.37</v>
      </c>
      <c r="I1169" s="4">
        <v>35.200000000000003</v>
      </c>
      <c r="J1169" s="5">
        <v>0.05</v>
      </c>
      <c r="K1169" s="6">
        <v>2</v>
      </c>
      <c r="L1169" s="6">
        <v>5</v>
      </c>
      <c r="M1169" t="s">
        <v>58</v>
      </c>
      <c r="N1169" t="s">
        <v>87</v>
      </c>
      <c r="O1169" t="s">
        <v>64</v>
      </c>
      <c r="P1169" t="str">
        <f t="shared" si="126"/>
        <v>Corporate</v>
      </c>
      <c r="Q1169" t="str">
        <f t="shared" si="127"/>
        <v>South</v>
      </c>
      <c r="R1169" t="str">
        <f>PROPER(TRIM(E1169))</f>
        <v>Electronics</v>
      </c>
      <c r="S1169" s="27">
        <f>IF(ISTEXT(B1169),DATEVALUE(B1169),B1169)</f>
        <v>45897</v>
      </c>
      <c r="T1169" s="27">
        <f>COUNTIF($A$2:$A$1986,A1169)</f>
        <v>1</v>
      </c>
      <c r="U1169" s="27" t="str">
        <f t="shared" si="128"/>
        <v>Wireless Headset</v>
      </c>
      <c r="V1169" s="27">
        <f t="shared" si="129"/>
        <v>592.51499999999987</v>
      </c>
      <c r="W1169" s="27">
        <f t="shared" si="130"/>
        <v>352</v>
      </c>
      <c r="X1169" s="27">
        <f>RawSalesTable3[[#This Row],[Revenue]]-RawSalesTable3[[#This Row],[Total_Cost]]</f>
        <v>240.51499999999987</v>
      </c>
      <c r="Y1169" s="28">
        <f>RawSalesTable3[[#This Row],[Profit]]/RawSalesTable3[[#This Row],[Revenue]]</f>
        <v>0.40592221293975667</v>
      </c>
      <c r="Z1169" s="27" t="str">
        <f>TEXT(RawSalesTable3[[#This Row],[Order_Date_Clean]],"MMM YYYY")</f>
        <v>Aug 2025</v>
      </c>
      <c r="AA1169" s="27"/>
      <c r="AB1169" s="27">
        <f t="shared" si="131"/>
        <v>0</v>
      </c>
      <c r="AC1169" s="27">
        <f t="shared" si="132"/>
        <v>0</v>
      </c>
    </row>
    <row r="1170" spans="1:29">
      <c r="A1170" t="s">
        <v>1273</v>
      </c>
      <c r="B1170" s="3">
        <v>45996</v>
      </c>
      <c r="C1170" t="s">
        <v>82</v>
      </c>
      <c r="D1170" t="s">
        <v>55</v>
      </c>
      <c r="E1170" t="s">
        <v>67</v>
      </c>
      <c r="F1170" t="s">
        <v>68</v>
      </c>
      <c r="G1170" s="6">
        <v>2</v>
      </c>
      <c r="H1170" s="4">
        <v>40.74</v>
      </c>
      <c r="I1170" s="4">
        <v>19.399999999999999</v>
      </c>
      <c r="J1170" s="5">
        <v>0.15000000000000002</v>
      </c>
      <c r="K1170" s="6">
        <v>2</v>
      </c>
      <c r="L1170" s="6">
        <v>5</v>
      </c>
      <c r="M1170" t="s">
        <v>58</v>
      </c>
      <c r="N1170" t="s">
        <v>59</v>
      </c>
      <c r="O1170" t="s">
        <v>64</v>
      </c>
      <c r="P1170" t="str">
        <f t="shared" si="126"/>
        <v>Small Business</v>
      </c>
      <c r="Q1170" t="str">
        <f t="shared" si="127"/>
        <v>Midlands</v>
      </c>
      <c r="R1170" t="str">
        <f>PROPER(TRIM(E1170))</f>
        <v>Office</v>
      </c>
      <c r="S1170" s="27">
        <f>IF(ISTEXT(B1170),DATEVALUE(B1170),B1170)</f>
        <v>45996</v>
      </c>
      <c r="T1170" s="27">
        <f>COUNTIF($A$2:$A$1986,A1170)</f>
        <v>1</v>
      </c>
      <c r="U1170" s="27" t="str">
        <f t="shared" si="128"/>
        <v>Desk Lamp</v>
      </c>
      <c r="V1170" s="27">
        <f t="shared" si="129"/>
        <v>69.257999999999996</v>
      </c>
      <c r="W1170" s="27">
        <f t="shared" si="130"/>
        <v>38.799999999999997</v>
      </c>
      <c r="X1170" s="27">
        <f>RawSalesTable3[[#This Row],[Revenue]]-RawSalesTable3[[#This Row],[Total_Cost]]</f>
        <v>30.457999999999998</v>
      </c>
      <c r="Y1170" s="28">
        <f>RawSalesTable3[[#This Row],[Profit]]/RawSalesTable3[[#This Row],[Revenue]]</f>
        <v>0.43977591036414565</v>
      </c>
      <c r="Z1170" s="27" t="str">
        <f>TEXT(RawSalesTable3[[#This Row],[Order_Date_Clean]],"MMM YYYY")</f>
        <v>Dec 2025</v>
      </c>
      <c r="AA1170" s="27"/>
      <c r="AB1170" s="27">
        <f t="shared" si="131"/>
        <v>0</v>
      </c>
      <c r="AC1170" s="27">
        <f t="shared" si="132"/>
        <v>0</v>
      </c>
    </row>
    <row r="1171" spans="1:29">
      <c r="A1171" t="s">
        <v>1274</v>
      </c>
      <c r="B1171" s="3">
        <v>45838</v>
      </c>
      <c r="C1171" t="s">
        <v>78</v>
      </c>
      <c r="D1171" t="s">
        <v>62</v>
      </c>
      <c r="E1171" t="s">
        <v>67</v>
      </c>
      <c r="F1171" t="s">
        <v>68</v>
      </c>
      <c r="G1171" s="6">
        <v>1</v>
      </c>
      <c r="H1171" s="4">
        <v>41.06</v>
      </c>
      <c r="I1171" s="4">
        <v>18.87</v>
      </c>
      <c r="J1171" s="5">
        <v>0</v>
      </c>
      <c r="K1171" s="6">
        <v>2</v>
      </c>
      <c r="L1171" s="6">
        <v>4</v>
      </c>
      <c r="M1171" t="s">
        <v>58</v>
      </c>
      <c r="N1171" t="s">
        <v>59</v>
      </c>
      <c r="O1171" t="s">
        <v>64</v>
      </c>
      <c r="P1171" t="str">
        <f t="shared" si="126"/>
        <v>Individual</v>
      </c>
      <c r="Q1171" t="str">
        <f t="shared" si="127"/>
        <v>London</v>
      </c>
      <c r="R1171" t="str">
        <f>PROPER(TRIM(E1171))</f>
        <v>Office</v>
      </c>
      <c r="S1171" s="27">
        <f>IF(ISTEXT(B1171),DATEVALUE(B1171),B1171)</f>
        <v>45838</v>
      </c>
      <c r="T1171" s="27">
        <f>COUNTIF($A$2:$A$1986,A1171)</f>
        <v>1</v>
      </c>
      <c r="U1171" s="27" t="str">
        <f t="shared" si="128"/>
        <v>Desk Lamp</v>
      </c>
      <c r="V1171" s="27">
        <f t="shared" si="129"/>
        <v>41.06</v>
      </c>
      <c r="W1171" s="27">
        <f t="shared" si="130"/>
        <v>18.87</v>
      </c>
      <c r="X1171" s="27">
        <f>RawSalesTable3[[#This Row],[Revenue]]-RawSalesTable3[[#This Row],[Total_Cost]]</f>
        <v>22.19</v>
      </c>
      <c r="Y1171" s="28">
        <f>RawSalesTable3[[#This Row],[Profit]]/RawSalesTable3[[#This Row],[Revenue]]</f>
        <v>0.54042864101315147</v>
      </c>
      <c r="Z1171" s="27" t="str">
        <f>TEXT(RawSalesTable3[[#This Row],[Order_Date_Clean]],"MMM YYYY")</f>
        <v>Jun 2025</v>
      </c>
      <c r="AA1171" s="27"/>
      <c r="AB1171" s="27">
        <f t="shared" si="131"/>
        <v>0</v>
      </c>
      <c r="AC1171" s="27">
        <f t="shared" si="132"/>
        <v>0</v>
      </c>
    </row>
    <row r="1172" spans="1:29">
      <c r="A1172" t="s">
        <v>1275</v>
      </c>
      <c r="B1172" s="3">
        <v>45734</v>
      </c>
      <c r="C1172" t="s">
        <v>78</v>
      </c>
      <c r="D1172" t="s">
        <v>62</v>
      </c>
      <c r="E1172" t="s">
        <v>56</v>
      </c>
      <c r="F1172" t="s">
        <v>83</v>
      </c>
      <c r="G1172" s="6">
        <v>1</v>
      </c>
      <c r="H1172" s="4">
        <v>64.47</v>
      </c>
      <c r="I1172" s="4">
        <v>34.520000000000003</v>
      </c>
      <c r="J1172" s="5">
        <v>0</v>
      </c>
      <c r="K1172" s="6">
        <v>4</v>
      </c>
      <c r="L1172" s="6">
        <v>5</v>
      </c>
      <c r="M1172" t="s">
        <v>58</v>
      </c>
      <c r="N1172" t="s">
        <v>69</v>
      </c>
      <c r="O1172" t="s">
        <v>60</v>
      </c>
      <c r="P1172" t="str">
        <f t="shared" si="126"/>
        <v>Individual</v>
      </c>
      <c r="Q1172" t="str">
        <f t="shared" si="127"/>
        <v>London</v>
      </c>
      <c r="R1172" t="str">
        <f>PROPER(TRIM(E1172))</f>
        <v>Home &amp; Kitchen</v>
      </c>
      <c r="S1172" s="27">
        <f>IF(ISTEXT(B1172),DATEVALUE(B1172),B1172)</f>
        <v>45734</v>
      </c>
      <c r="T1172" s="27">
        <f>COUNTIF($A$2:$A$1986,A1172)</f>
        <v>1</v>
      </c>
      <c r="U1172" s="27" t="str">
        <f t="shared" si="128"/>
        <v>Blender</v>
      </c>
      <c r="V1172" s="27">
        <f t="shared" si="129"/>
        <v>64.47</v>
      </c>
      <c r="W1172" s="27">
        <f t="shared" si="130"/>
        <v>34.520000000000003</v>
      </c>
      <c r="X1172" s="27">
        <f>RawSalesTable3[[#This Row],[Revenue]]-RawSalesTable3[[#This Row],[Total_Cost]]</f>
        <v>29.949999999999996</v>
      </c>
      <c r="Y1172" s="28">
        <f>RawSalesTable3[[#This Row],[Profit]]/RawSalesTable3[[#This Row],[Revenue]]</f>
        <v>0.46455715836823325</v>
      </c>
      <c r="Z1172" s="27" t="str">
        <f>TEXT(RawSalesTable3[[#This Row],[Order_Date_Clean]],"MMM YYYY")</f>
        <v>Mar 2025</v>
      </c>
      <c r="AA1172" s="27"/>
      <c r="AB1172" s="27">
        <f t="shared" si="131"/>
        <v>0</v>
      </c>
      <c r="AC1172" s="27">
        <f t="shared" si="132"/>
        <v>0</v>
      </c>
    </row>
    <row r="1173" spans="1:29">
      <c r="A1173" t="s">
        <v>1276</v>
      </c>
      <c r="B1173" s="3">
        <v>45951</v>
      </c>
      <c r="C1173" t="s">
        <v>78</v>
      </c>
      <c r="D1173" t="s">
        <v>55</v>
      </c>
      <c r="E1173" t="s">
        <v>75</v>
      </c>
      <c r="F1173" t="s">
        <v>110</v>
      </c>
      <c r="G1173" s="6">
        <v>4</v>
      </c>
      <c r="H1173" s="4">
        <v>164.16</v>
      </c>
      <c r="I1173" s="4">
        <v>101.26</v>
      </c>
      <c r="J1173" s="5">
        <v>0.05</v>
      </c>
      <c r="K1173" s="6">
        <v>5</v>
      </c>
      <c r="L1173" s="6">
        <v>4</v>
      </c>
      <c r="M1173" t="s">
        <v>58</v>
      </c>
      <c r="N1173" t="s">
        <v>59</v>
      </c>
      <c r="O1173" t="s">
        <v>73</v>
      </c>
      <c r="P1173" t="str">
        <f t="shared" si="126"/>
        <v>Small Business</v>
      </c>
      <c r="Q1173" t="str">
        <f t="shared" si="127"/>
        <v>London</v>
      </c>
      <c r="R1173" t="str">
        <f>PROPER(TRIM(E1173))</f>
        <v>Furniture</v>
      </c>
      <c r="S1173" s="27">
        <f>IF(ISTEXT(B1173),DATEVALUE(B1173),B1173)</f>
        <v>45951</v>
      </c>
      <c r="T1173" s="27">
        <f>COUNTIF($A$2:$A$1986,A1173)</f>
        <v>1</v>
      </c>
      <c r="U1173" s="27" t="str">
        <f t="shared" si="128"/>
        <v>Storage Cabinet</v>
      </c>
      <c r="V1173" s="27">
        <f t="shared" si="129"/>
        <v>623.80799999999999</v>
      </c>
      <c r="W1173" s="27">
        <f t="shared" si="130"/>
        <v>405.04</v>
      </c>
      <c r="X1173" s="27">
        <f>RawSalesTable3[[#This Row],[Revenue]]-RawSalesTable3[[#This Row],[Total_Cost]]</f>
        <v>218.76799999999997</v>
      </c>
      <c r="Y1173" s="28">
        <f>RawSalesTable3[[#This Row],[Profit]]/RawSalesTable3[[#This Row],[Revenue]]</f>
        <v>0.35069765055914637</v>
      </c>
      <c r="Z1173" s="27" t="str">
        <f>TEXT(RawSalesTable3[[#This Row],[Order_Date_Clean]],"MMM YYYY")</f>
        <v>Oct 2025</v>
      </c>
      <c r="AA1173" s="27"/>
      <c r="AB1173" s="27">
        <f t="shared" si="131"/>
        <v>0</v>
      </c>
      <c r="AC1173" s="27">
        <f t="shared" si="132"/>
        <v>0</v>
      </c>
    </row>
    <row r="1174" spans="1:29">
      <c r="A1174" t="s">
        <v>1277</v>
      </c>
      <c r="B1174" s="3">
        <v>45749</v>
      </c>
      <c r="C1174" t="s">
        <v>66</v>
      </c>
      <c r="D1174" t="s">
        <v>62</v>
      </c>
      <c r="E1174" t="s">
        <v>79</v>
      </c>
      <c r="F1174" t="s">
        <v>92</v>
      </c>
      <c r="G1174" s="6">
        <v>1</v>
      </c>
      <c r="H1174" s="4">
        <v>49.19</v>
      </c>
      <c r="I1174" s="4">
        <v>25.67</v>
      </c>
      <c r="J1174" s="5">
        <v>0.15000000000000002</v>
      </c>
      <c r="K1174" s="6">
        <v>3</v>
      </c>
      <c r="L1174" s="6">
        <v>4</v>
      </c>
      <c r="M1174" t="s">
        <v>58</v>
      </c>
      <c r="N1174" t="s">
        <v>59</v>
      </c>
      <c r="O1174" t="s">
        <v>64</v>
      </c>
      <c r="P1174" t="str">
        <f t="shared" si="126"/>
        <v>Individual</v>
      </c>
      <c r="Q1174" t="str">
        <f t="shared" si="127"/>
        <v>South</v>
      </c>
      <c r="R1174" t="str">
        <f>PROPER(TRIM(E1174))</f>
        <v>Electronics</v>
      </c>
      <c r="S1174" s="27">
        <f>IF(ISTEXT(B1174),DATEVALUE(B1174),B1174)</f>
        <v>45749</v>
      </c>
      <c r="T1174" s="27">
        <f>COUNTIF($A$2:$A$1986,A1174)</f>
        <v>1</v>
      </c>
      <c r="U1174" s="27" t="str">
        <f t="shared" si="128"/>
        <v>Webcam</v>
      </c>
      <c r="V1174" s="27">
        <f t="shared" si="129"/>
        <v>41.811499999999995</v>
      </c>
      <c r="W1174" s="27">
        <f t="shared" si="130"/>
        <v>25.67</v>
      </c>
      <c r="X1174" s="27">
        <f>RawSalesTable3[[#This Row],[Revenue]]-RawSalesTable3[[#This Row],[Total_Cost]]</f>
        <v>16.141499999999994</v>
      </c>
      <c r="Y1174" s="28">
        <f>RawSalesTable3[[#This Row],[Profit]]/RawSalesTable3[[#This Row],[Revenue]]</f>
        <v>0.38605407603171366</v>
      </c>
      <c r="Z1174" s="27" t="str">
        <f>TEXT(RawSalesTable3[[#This Row],[Order_Date_Clean]],"MMM YYYY")</f>
        <v>Apr 2025</v>
      </c>
      <c r="AA1174" s="27"/>
      <c r="AB1174" s="27">
        <f t="shared" si="131"/>
        <v>0</v>
      </c>
      <c r="AC1174" s="27">
        <f t="shared" si="132"/>
        <v>0</v>
      </c>
    </row>
    <row r="1175" spans="1:29">
      <c r="A1175" t="s">
        <v>1278</v>
      </c>
      <c r="B1175" s="3">
        <v>45990</v>
      </c>
      <c r="C1175" t="s">
        <v>54</v>
      </c>
      <c r="D1175" t="s">
        <v>62</v>
      </c>
      <c r="E1175" t="s">
        <v>56</v>
      </c>
      <c r="F1175" t="s">
        <v>83</v>
      </c>
      <c r="G1175" s="6">
        <v>2</v>
      </c>
      <c r="H1175" s="4">
        <v>64.989999999999995</v>
      </c>
      <c r="I1175" s="4">
        <v>35.6</v>
      </c>
      <c r="J1175" s="5">
        <v>0.15000000000000002</v>
      </c>
      <c r="K1175" s="6">
        <v>2</v>
      </c>
      <c r="L1175" s="6">
        <v>5</v>
      </c>
      <c r="M1175" t="s">
        <v>58</v>
      </c>
      <c r="N1175" t="s">
        <v>59</v>
      </c>
      <c r="O1175" t="s">
        <v>64</v>
      </c>
      <c r="P1175" t="str">
        <f t="shared" si="126"/>
        <v>Individual</v>
      </c>
      <c r="Q1175" t="str">
        <f t="shared" si="127"/>
        <v>North</v>
      </c>
      <c r="R1175" t="str">
        <f>PROPER(TRIM(E1175))</f>
        <v>Home &amp; Kitchen</v>
      </c>
      <c r="S1175" s="27">
        <f>IF(ISTEXT(B1175),DATEVALUE(B1175),B1175)</f>
        <v>45990</v>
      </c>
      <c r="T1175" s="27">
        <f>COUNTIF($A$2:$A$1986,A1175)</f>
        <v>1</v>
      </c>
      <c r="U1175" s="27" t="str">
        <f t="shared" si="128"/>
        <v>Blender</v>
      </c>
      <c r="V1175" s="27">
        <f t="shared" si="129"/>
        <v>110.48299999999999</v>
      </c>
      <c r="W1175" s="27">
        <f t="shared" si="130"/>
        <v>71.2</v>
      </c>
      <c r="X1175" s="27">
        <f>RawSalesTable3[[#This Row],[Revenue]]-RawSalesTable3[[#This Row],[Total_Cost]]</f>
        <v>39.282999999999987</v>
      </c>
      <c r="Y1175" s="28">
        <f>RawSalesTable3[[#This Row],[Profit]]/RawSalesTable3[[#This Row],[Revenue]]</f>
        <v>0.3555569635147488</v>
      </c>
      <c r="Z1175" s="27" t="str">
        <f>TEXT(RawSalesTable3[[#This Row],[Order_Date_Clean]],"MMM YYYY")</f>
        <v>Nov 2025</v>
      </c>
      <c r="AA1175" s="27"/>
      <c r="AB1175" s="27">
        <f t="shared" si="131"/>
        <v>0</v>
      </c>
      <c r="AC1175" s="27">
        <f t="shared" si="132"/>
        <v>0</v>
      </c>
    </row>
    <row r="1176" spans="1:29">
      <c r="A1176" t="s">
        <v>1279</v>
      </c>
      <c r="B1176" s="3">
        <v>45856</v>
      </c>
      <c r="C1176" t="s">
        <v>82</v>
      </c>
      <c r="D1176" t="s">
        <v>62</v>
      </c>
      <c r="E1176" t="s">
        <v>67</v>
      </c>
      <c r="F1176" t="s">
        <v>68</v>
      </c>
      <c r="G1176" s="6">
        <v>2</v>
      </c>
      <c r="H1176" s="4">
        <v>40.909999999999997</v>
      </c>
      <c r="I1176" s="4">
        <v>18.5</v>
      </c>
      <c r="J1176" s="5">
        <v>0.05</v>
      </c>
      <c r="K1176" s="6">
        <v>2</v>
      </c>
      <c r="L1176" s="6">
        <v>4</v>
      </c>
      <c r="M1176" t="s">
        <v>58</v>
      </c>
      <c r="N1176" t="s">
        <v>69</v>
      </c>
      <c r="O1176" t="s">
        <v>64</v>
      </c>
      <c r="P1176" t="str">
        <f t="shared" si="126"/>
        <v>Individual</v>
      </c>
      <c r="Q1176" t="str">
        <f t="shared" si="127"/>
        <v>Midlands</v>
      </c>
      <c r="R1176" t="str">
        <f>PROPER(TRIM(E1176))</f>
        <v>Office</v>
      </c>
      <c r="S1176" s="27">
        <f>IF(ISTEXT(B1176),DATEVALUE(B1176),B1176)</f>
        <v>45856</v>
      </c>
      <c r="T1176" s="27">
        <f>COUNTIF($A$2:$A$1986,A1176)</f>
        <v>1</v>
      </c>
      <c r="U1176" s="27" t="str">
        <f t="shared" si="128"/>
        <v>Desk Lamp</v>
      </c>
      <c r="V1176" s="27">
        <f t="shared" si="129"/>
        <v>77.728999999999985</v>
      </c>
      <c r="W1176" s="27">
        <f t="shared" si="130"/>
        <v>37</v>
      </c>
      <c r="X1176" s="27">
        <f>RawSalesTable3[[#This Row],[Revenue]]-RawSalesTable3[[#This Row],[Total_Cost]]</f>
        <v>40.728999999999985</v>
      </c>
      <c r="Y1176" s="28">
        <f>RawSalesTable3[[#This Row],[Profit]]/RawSalesTable3[[#This Row],[Revenue]]</f>
        <v>0.52398718624966223</v>
      </c>
      <c r="Z1176" s="27" t="str">
        <f>TEXT(RawSalesTable3[[#This Row],[Order_Date_Clean]],"MMM YYYY")</f>
        <v>Jul 2025</v>
      </c>
      <c r="AA1176" s="27"/>
      <c r="AB1176" s="27">
        <f t="shared" si="131"/>
        <v>0</v>
      </c>
      <c r="AC1176" s="27">
        <f t="shared" si="132"/>
        <v>0</v>
      </c>
    </row>
    <row r="1177" spans="1:29">
      <c r="A1177" t="s">
        <v>1280</v>
      </c>
      <c r="B1177" s="3">
        <v>45897</v>
      </c>
      <c r="C1177" t="s">
        <v>66</v>
      </c>
      <c r="D1177" t="s">
        <v>62</v>
      </c>
      <c r="E1177" t="s">
        <v>67</v>
      </c>
      <c r="F1177" t="s">
        <v>94</v>
      </c>
      <c r="G1177" s="6">
        <v>1</v>
      </c>
      <c r="H1177" s="4">
        <v>34.74</v>
      </c>
      <c r="I1177" s="4">
        <v>17.38</v>
      </c>
      <c r="J1177" s="5">
        <v>0</v>
      </c>
      <c r="K1177" s="6">
        <v>3</v>
      </c>
      <c r="L1177" s="6">
        <v>4</v>
      </c>
      <c r="M1177" t="s">
        <v>58</v>
      </c>
      <c r="N1177" t="s">
        <v>69</v>
      </c>
      <c r="O1177" t="s">
        <v>64</v>
      </c>
      <c r="P1177" t="str">
        <f t="shared" si="126"/>
        <v>Individual</v>
      </c>
      <c r="Q1177" t="str">
        <f t="shared" si="127"/>
        <v>South</v>
      </c>
      <c r="R1177" t="str">
        <f>PROPER(TRIM(E1177))</f>
        <v>Office</v>
      </c>
      <c r="S1177" s="27">
        <f>IF(ISTEXT(B1177),DATEVALUE(B1177),B1177)</f>
        <v>45897</v>
      </c>
      <c r="T1177" s="27">
        <f>COUNTIF($A$2:$A$1986,A1177)</f>
        <v>1</v>
      </c>
      <c r="U1177" s="27" t="str">
        <f t="shared" si="128"/>
        <v>Wireless Mouse</v>
      </c>
      <c r="V1177" s="27">
        <f t="shared" si="129"/>
        <v>34.74</v>
      </c>
      <c r="W1177" s="27">
        <f t="shared" si="130"/>
        <v>17.38</v>
      </c>
      <c r="X1177" s="27">
        <f>RawSalesTable3[[#This Row],[Revenue]]-RawSalesTable3[[#This Row],[Total_Cost]]</f>
        <v>17.360000000000003</v>
      </c>
      <c r="Y1177" s="28">
        <f>RawSalesTable3[[#This Row],[Profit]]/RawSalesTable3[[#This Row],[Revenue]]</f>
        <v>0.49971214738054121</v>
      </c>
      <c r="Z1177" s="27" t="str">
        <f>TEXT(RawSalesTable3[[#This Row],[Order_Date_Clean]],"MMM YYYY")</f>
        <v>Aug 2025</v>
      </c>
      <c r="AA1177" s="27"/>
      <c r="AB1177" s="27">
        <f t="shared" si="131"/>
        <v>0</v>
      </c>
      <c r="AC1177" s="27">
        <f t="shared" si="132"/>
        <v>0</v>
      </c>
    </row>
    <row r="1178" spans="1:29">
      <c r="A1178" t="s">
        <v>1281</v>
      </c>
      <c r="B1178" s="3">
        <v>45817</v>
      </c>
      <c r="C1178" t="s">
        <v>78</v>
      </c>
      <c r="D1178" t="s">
        <v>62</v>
      </c>
      <c r="E1178" t="s">
        <v>79</v>
      </c>
      <c r="F1178" t="s">
        <v>115</v>
      </c>
      <c r="G1178" s="6">
        <v>1</v>
      </c>
      <c r="H1178" s="4">
        <v>59.5</v>
      </c>
      <c r="I1178" s="4">
        <v>33.36</v>
      </c>
      <c r="J1178" s="5">
        <v>0</v>
      </c>
      <c r="K1178" s="6">
        <v>3</v>
      </c>
      <c r="L1178" s="6">
        <v>3</v>
      </c>
      <c r="M1178" t="s">
        <v>126</v>
      </c>
      <c r="N1178" t="s">
        <v>59</v>
      </c>
      <c r="O1178" t="s">
        <v>64</v>
      </c>
      <c r="P1178" t="str">
        <f t="shared" si="126"/>
        <v>Individual</v>
      </c>
      <c r="Q1178" t="str">
        <f t="shared" si="127"/>
        <v>London</v>
      </c>
      <c r="R1178" t="str">
        <f>PROPER(TRIM(E1178))</f>
        <v>Electronics</v>
      </c>
      <c r="S1178" s="27">
        <f>IF(ISTEXT(B1178),DATEVALUE(B1178),B1178)</f>
        <v>45817</v>
      </c>
      <c r="T1178" s="27">
        <f>COUNTIF($A$2:$A$1986,A1178)</f>
        <v>1</v>
      </c>
      <c r="U1178" s="27" t="str">
        <f t="shared" si="128"/>
        <v>Wireless Headset</v>
      </c>
      <c r="V1178" s="27">
        <f t="shared" si="129"/>
        <v>59.5</v>
      </c>
      <c r="W1178" s="27">
        <f t="shared" si="130"/>
        <v>33.36</v>
      </c>
      <c r="X1178" s="27">
        <f>RawSalesTable3[[#This Row],[Revenue]]-RawSalesTable3[[#This Row],[Total_Cost]]</f>
        <v>26.14</v>
      </c>
      <c r="Y1178" s="28">
        <f>RawSalesTable3[[#This Row],[Profit]]/RawSalesTable3[[#This Row],[Revenue]]</f>
        <v>0.439327731092437</v>
      </c>
      <c r="Z1178" s="27" t="str">
        <f>TEXT(RawSalesTable3[[#This Row],[Order_Date_Clean]],"MMM YYYY")</f>
        <v>Jun 2025</v>
      </c>
      <c r="AA1178" s="27"/>
      <c r="AB1178" s="27">
        <f t="shared" si="131"/>
        <v>0</v>
      </c>
      <c r="AC1178" s="27">
        <f t="shared" si="132"/>
        <v>0</v>
      </c>
    </row>
    <row r="1179" spans="1:29">
      <c r="A1179" t="s">
        <v>1282</v>
      </c>
      <c r="B1179" s="3">
        <v>45814</v>
      </c>
      <c r="C1179" t="s">
        <v>66</v>
      </c>
      <c r="D1179" t="s">
        <v>55</v>
      </c>
      <c r="E1179" t="s">
        <v>67</v>
      </c>
      <c r="F1179" t="s">
        <v>71</v>
      </c>
      <c r="G1179" s="6">
        <v>3</v>
      </c>
      <c r="H1179" s="4">
        <v>70.36</v>
      </c>
      <c r="I1179" s="4">
        <v>39.65</v>
      </c>
      <c r="J1179" s="5">
        <v>0</v>
      </c>
      <c r="K1179" s="6">
        <v>4</v>
      </c>
      <c r="L1179" s="6">
        <v>5</v>
      </c>
      <c r="M1179" t="s">
        <v>58</v>
      </c>
      <c r="N1179" t="s">
        <v>59</v>
      </c>
      <c r="O1179" t="s">
        <v>64</v>
      </c>
      <c r="P1179" t="str">
        <f t="shared" si="126"/>
        <v>Small Business</v>
      </c>
      <c r="Q1179" t="str">
        <f t="shared" si="127"/>
        <v>South</v>
      </c>
      <c r="R1179" t="str">
        <f>PROPER(TRIM(E1179))</f>
        <v>Office</v>
      </c>
      <c r="S1179" s="27">
        <f>IF(ISTEXT(B1179),DATEVALUE(B1179),B1179)</f>
        <v>45814</v>
      </c>
      <c r="T1179" s="27">
        <f>COUNTIF($A$2:$A$1986,A1179)</f>
        <v>1</v>
      </c>
      <c r="U1179" s="27" t="str">
        <f t="shared" si="128"/>
        <v>Ergonomic Keyboard</v>
      </c>
      <c r="V1179" s="27">
        <f t="shared" si="129"/>
        <v>211.07999999999998</v>
      </c>
      <c r="W1179" s="27">
        <f t="shared" si="130"/>
        <v>118.94999999999999</v>
      </c>
      <c r="X1179" s="27">
        <f>RawSalesTable3[[#This Row],[Revenue]]-RawSalesTable3[[#This Row],[Total_Cost]]</f>
        <v>92.13</v>
      </c>
      <c r="Y1179" s="28">
        <f>RawSalesTable3[[#This Row],[Profit]]/RawSalesTable3[[#This Row],[Revenue]]</f>
        <v>0.43646958499147243</v>
      </c>
      <c r="Z1179" s="27" t="str">
        <f>TEXT(RawSalesTable3[[#This Row],[Order_Date_Clean]],"MMM YYYY")</f>
        <v>Jun 2025</v>
      </c>
      <c r="AA1179" s="27"/>
      <c r="AB1179" s="27">
        <f t="shared" si="131"/>
        <v>0</v>
      </c>
      <c r="AC1179" s="27">
        <f t="shared" si="132"/>
        <v>0</v>
      </c>
    </row>
    <row r="1180" spans="1:29">
      <c r="A1180" t="s">
        <v>1283</v>
      </c>
      <c r="B1180" s="3">
        <v>45960</v>
      </c>
      <c r="C1180" t="s">
        <v>66</v>
      </c>
      <c r="D1180" t="s">
        <v>62</v>
      </c>
      <c r="E1180" t="s">
        <v>79</v>
      </c>
      <c r="F1180" t="s">
        <v>85</v>
      </c>
      <c r="G1180" s="6">
        <v>3</v>
      </c>
      <c r="H1180" s="4">
        <v>130.88</v>
      </c>
      <c r="I1180" s="4">
        <v>83.24</v>
      </c>
      <c r="J1180" s="5">
        <v>0</v>
      </c>
      <c r="K1180" s="6">
        <v>2</v>
      </c>
      <c r="L1180" s="6">
        <v>4</v>
      </c>
      <c r="M1180" t="s">
        <v>58</v>
      </c>
      <c r="N1180" t="s">
        <v>59</v>
      </c>
      <c r="O1180" t="s">
        <v>60</v>
      </c>
      <c r="P1180" t="str">
        <f t="shared" si="126"/>
        <v>Individual</v>
      </c>
      <c r="Q1180" t="str">
        <f t="shared" si="127"/>
        <v>South</v>
      </c>
      <c r="R1180" t="str">
        <f>PROPER(TRIM(E1180))</f>
        <v>Electronics</v>
      </c>
      <c r="S1180" s="27">
        <f>IF(ISTEXT(B1180),DATEVALUE(B1180),B1180)</f>
        <v>45960</v>
      </c>
      <c r="T1180" s="27">
        <f>COUNTIF($A$2:$A$1986,A1180)</f>
        <v>1</v>
      </c>
      <c r="U1180" s="27" t="str">
        <f t="shared" si="128"/>
        <v>SmartHome Hub</v>
      </c>
      <c r="V1180" s="27">
        <f t="shared" si="129"/>
        <v>392.64</v>
      </c>
      <c r="W1180" s="27">
        <f t="shared" si="130"/>
        <v>249.71999999999997</v>
      </c>
      <c r="X1180" s="27">
        <f>RawSalesTable3[[#This Row],[Revenue]]-RawSalesTable3[[#This Row],[Total_Cost]]</f>
        <v>142.92000000000002</v>
      </c>
      <c r="Y1180" s="28">
        <f>RawSalesTable3[[#This Row],[Profit]]/RawSalesTable3[[#This Row],[Revenue]]</f>
        <v>0.36399755501222497</v>
      </c>
      <c r="Z1180" s="27" t="str">
        <f>TEXT(RawSalesTable3[[#This Row],[Order_Date_Clean]],"MMM YYYY")</f>
        <v>Oct 2025</v>
      </c>
      <c r="AA1180" s="27"/>
      <c r="AB1180" s="27">
        <f t="shared" si="131"/>
        <v>0</v>
      </c>
      <c r="AC1180" s="27">
        <f t="shared" si="132"/>
        <v>0</v>
      </c>
    </row>
    <row r="1181" spans="1:29">
      <c r="A1181" t="s">
        <v>1284</v>
      </c>
      <c r="B1181" s="3">
        <v>45992</v>
      </c>
      <c r="C1181" t="s">
        <v>82</v>
      </c>
      <c r="D1181" t="s">
        <v>62</v>
      </c>
      <c r="E1181" t="s">
        <v>79</v>
      </c>
      <c r="F1181" t="s">
        <v>80</v>
      </c>
      <c r="G1181" s="6">
        <v>4</v>
      </c>
      <c r="H1181" s="4">
        <v>77.040000000000006</v>
      </c>
      <c r="I1181" s="4">
        <v>44.31</v>
      </c>
      <c r="J1181" s="5">
        <v>0.15000000000000002</v>
      </c>
      <c r="K1181" s="6">
        <v>3</v>
      </c>
      <c r="L1181" s="6">
        <v>4</v>
      </c>
      <c r="M1181" t="s">
        <v>58</v>
      </c>
      <c r="N1181" t="s">
        <v>59</v>
      </c>
      <c r="O1181" t="s">
        <v>64</v>
      </c>
      <c r="P1181" t="str">
        <f t="shared" si="126"/>
        <v>Individual</v>
      </c>
      <c r="Q1181" t="str">
        <f t="shared" si="127"/>
        <v>Midlands</v>
      </c>
      <c r="R1181" t="str">
        <f>PROPER(TRIM(E1181))</f>
        <v>Electronics</v>
      </c>
      <c r="S1181" s="27">
        <f>IF(ISTEXT(B1181),DATEVALUE(B1181),B1181)</f>
        <v>45992</v>
      </c>
      <c r="T1181" s="27">
        <f>COUNTIF($A$2:$A$1986,A1181)</f>
        <v>1</v>
      </c>
      <c r="U1181" s="27" t="str">
        <f t="shared" si="128"/>
        <v>Portable Speaker</v>
      </c>
      <c r="V1181" s="27">
        <f t="shared" si="129"/>
        <v>261.93600000000004</v>
      </c>
      <c r="W1181" s="27">
        <f t="shared" si="130"/>
        <v>177.24</v>
      </c>
      <c r="X1181" s="27">
        <f>RawSalesTable3[[#This Row],[Revenue]]-RawSalesTable3[[#This Row],[Total_Cost]]</f>
        <v>84.696000000000026</v>
      </c>
      <c r="Y1181" s="28">
        <f>RawSalesTable3[[#This Row],[Profit]]/RawSalesTable3[[#This Row],[Revenue]]</f>
        <v>0.32334616089426432</v>
      </c>
      <c r="Z1181" s="27" t="str">
        <f>TEXT(RawSalesTable3[[#This Row],[Order_Date_Clean]],"MMM YYYY")</f>
        <v>Dec 2025</v>
      </c>
      <c r="AA1181" s="27"/>
      <c r="AB1181" s="27">
        <f t="shared" si="131"/>
        <v>0</v>
      </c>
      <c r="AC1181" s="27">
        <f t="shared" si="132"/>
        <v>0</v>
      </c>
    </row>
    <row r="1182" spans="1:29">
      <c r="A1182" t="s">
        <v>1285</v>
      </c>
      <c r="B1182" s="3">
        <v>45865</v>
      </c>
      <c r="C1182" t="s">
        <v>54</v>
      </c>
      <c r="D1182" t="s">
        <v>62</v>
      </c>
      <c r="E1182" t="s">
        <v>75</v>
      </c>
      <c r="F1182" t="s">
        <v>76</v>
      </c>
      <c r="G1182" s="6">
        <v>1</v>
      </c>
      <c r="H1182" s="4">
        <v>118.63</v>
      </c>
      <c r="I1182" s="4">
        <v>71.540000000000006</v>
      </c>
      <c r="J1182" s="5">
        <v>0</v>
      </c>
      <c r="K1182" s="6">
        <v>7</v>
      </c>
      <c r="L1182" s="6">
        <v>3</v>
      </c>
      <c r="M1182" t="s">
        <v>58</v>
      </c>
      <c r="N1182" t="s">
        <v>59</v>
      </c>
      <c r="O1182" t="s">
        <v>64</v>
      </c>
      <c r="P1182" t="str">
        <f t="shared" si="126"/>
        <v>Individual</v>
      </c>
      <c r="Q1182" t="str">
        <f t="shared" si="127"/>
        <v>North</v>
      </c>
      <c r="R1182" t="str">
        <f>PROPER(TRIM(E1182))</f>
        <v>Furniture</v>
      </c>
      <c r="S1182" s="27">
        <f>IF(ISTEXT(B1182),DATEVALUE(B1182),B1182)</f>
        <v>45865</v>
      </c>
      <c r="T1182" s="27">
        <f>COUNTIF($A$2:$A$1986,A1182)</f>
        <v>1</v>
      </c>
      <c r="U1182" s="27" t="str">
        <f t="shared" si="128"/>
        <v>Bookshelf</v>
      </c>
      <c r="V1182" s="27">
        <f t="shared" si="129"/>
        <v>118.63</v>
      </c>
      <c r="W1182" s="27">
        <f t="shared" si="130"/>
        <v>71.540000000000006</v>
      </c>
      <c r="X1182" s="27">
        <f>RawSalesTable3[[#This Row],[Revenue]]-RawSalesTable3[[#This Row],[Total_Cost]]</f>
        <v>47.089999999999989</v>
      </c>
      <c r="Y1182" s="28">
        <f>RawSalesTable3[[#This Row],[Profit]]/RawSalesTable3[[#This Row],[Revenue]]</f>
        <v>0.39694849532158805</v>
      </c>
      <c r="Z1182" s="27" t="str">
        <f>TEXT(RawSalesTable3[[#This Row],[Order_Date_Clean]],"MMM YYYY")</f>
        <v>Jul 2025</v>
      </c>
      <c r="AA1182" s="27"/>
      <c r="AB1182" s="27">
        <f t="shared" si="131"/>
        <v>0</v>
      </c>
      <c r="AC1182" s="27">
        <f t="shared" si="132"/>
        <v>0</v>
      </c>
    </row>
    <row r="1183" spans="1:29">
      <c r="A1183" t="s">
        <v>1286</v>
      </c>
      <c r="B1183" s="3">
        <v>45738</v>
      </c>
      <c r="C1183" t="s">
        <v>66</v>
      </c>
      <c r="D1183" t="s">
        <v>55</v>
      </c>
      <c r="E1183" t="s">
        <v>79</v>
      </c>
      <c r="F1183" t="s">
        <v>115</v>
      </c>
      <c r="G1183" s="6">
        <v>2</v>
      </c>
      <c r="H1183" s="4">
        <v>62.09</v>
      </c>
      <c r="I1183" s="4">
        <v>35.18</v>
      </c>
      <c r="J1183" s="5">
        <v>0.1</v>
      </c>
      <c r="K1183" s="6">
        <v>4</v>
      </c>
      <c r="L1183" s="6">
        <v>3</v>
      </c>
      <c r="M1183" t="s">
        <v>126</v>
      </c>
      <c r="N1183" t="s">
        <v>59</v>
      </c>
      <c r="O1183" t="s">
        <v>64</v>
      </c>
      <c r="P1183" t="str">
        <f t="shared" si="126"/>
        <v>Small Business</v>
      </c>
      <c r="Q1183" t="str">
        <f t="shared" si="127"/>
        <v>South</v>
      </c>
      <c r="R1183" t="str">
        <f>PROPER(TRIM(E1183))</f>
        <v>Electronics</v>
      </c>
      <c r="S1183" s="27">
        <f>IF(ISTEXT(B1183),DATEVALUE(B1183),B1183)</f>
        <v>45738</v>
      </c>
      <c r="T1183" s="27">
        <f>COUNTIF($A$2:$A$1986,A1183)</f>
        <v>1</v>
      </c>
      <c r="U1183" s="27" t="str">
        <f t="shared" si="128"/>
        <v>Wireless Headset</v>
      </c>
      <c r="V1183" s="27">
        <f t="shared" si="129"/>
        <v>111.76200000000001</v>
      </c>
      <c r="W1183" s="27">
        <f t="shared" si="130"/>
        <v>70.36</v>
      </c>
      <c r="X1183" s="27">
        <f>RawSalesTable3[[#This Row],[Revenue]]-RawSalesTable3[[#This Row],[Total_Cost]]</f>
        <v>41.402000000000015</v>
      </c>
      <c r="Y1183" s="28">
        <f>RawSalesTable3[[#This Row],[Profit]]/RawSalesTable3[[#This Row],[Revenue]]</f>
        <v>0.37044791610744271</v>
      </c>
      <c r="Z1183" s="27" t="str">
        <f>TEXT(RawSalesTable3[[#This Row],[Order_Date_Clean]],"MMM YYYY")</f>
        <v>Mar 2025</v>
      </c>
      <c r="AA1183" s="27"/>
      <c r="AB1183" s="27">
        <f t="shared" si="131"/>
        <v>0</v>
      </c>
      <c r="AC1183" s="27">
        <f t="shared" si="132"/>
        <v>0</v>
      </c>
    </row>
    <row r="1184" spans="1:29">
      <c r="A1184" t="s">
        <v>1287</v>
      </c>
      <c r="B1184" s="3">
        <v>45840</v>
      </c>
      <c r="C1184" t="s">
        <v>82</v>
      </c>
      <c r="D1184" t="s">
        <v>62</v>
      </c>
      <c r="E1184" t="s">
        <v>56</v>
      </c>
      <c r="F1184" t="s">
        <v>57</v>
      </c>
      <c r="G1184" s="6">
        <v>1</v>
      </c>
      <c r="H1184" s="4">
        <v>111.19</v>
      </c>
      <c r="I1184" s="4">
        <v>68.11</v>
      </c>
      <c r="J1184" s="5">
        <v>0.1</v>
      </c>
      <c r="K1184" s="6">
        <v>3</v>
      </c>
      <c r="L1184" s="6">
        <v>4</v>
      </c>
      <c r="M1184" t="s">
        <v>58</v>
      </c>
      <c r="N1184" t="s">
        <v>69</v>
      </c>
      <c r="O1184" t="s">
        <v>64</v>
      </c>
      <c r="P1184" t="str">
        <f t="shared" si="126"/>
        <v>Individual</v>
      </c>
      <c r="Q1184" t="str">
        <f t="shared" si="127"/>
        <v>Midlands</v>
      </c>
      <c r="R1184" t="str">
        <f>PROPER(TRIM(E1184))</f>
        <v>Home &amp; Kitchen</v>
      </c>
      <c r="S1184" s="27">
        <f>IF(ISTEXT(B1184),DATEVALUE(B1184),B1184)</f>
        <v>45840</v>
      </c>
      <c r="T1184" s="27">
        <f>COUNTIF($A$2:$A$1986,A1184)</f>
        <v>1</v>
      </c>
      <c r="U1184" s="27" t="str">
        <f t="shared" si="128"/>
        <v>Air Fryer</v>
      </c>
      <c r="V1184" s="27">
        <f t="shared" si="129"/>
        <v>100.071</v>
      </c>
      <c r="W1184" s="27">
        <f t="shared" si="130"/>
        <v>68.11</v>
      </c>
      <c r="X1184" s="27">
        <f>RawSalesTable3[[#This Row],[Revenue]]-RawSalesTable3[[#This Row],[Total_Cost]]</f>
        <v>31.960999999999999</v>
      </c>
      <c r="Y1184" s="28">
        <f>RawSalesTable3[[#This Row],[Profit]]/RawSalesTable3[[#This Row],[Revenue]]</f>
        <v>0.31938323790109024</v>
      </c>
      <c r="Z1184" s="27" t="str">
        <f>TEXT(RawSalesTable3[[#This Row],[Order_Date_Clean]],"MMM YYYY")</f>
        <v>Jul 2025</v>
      </c>
      <c r="AA1184" s="27"/>
      <c r="AB1184" s="27">
        <f t="shared" si="131"/>
        <v>0</v>
      </c>
      <c r="AC1184" s="27">
        <f t="shared" si="132"/>
        <v>0</v>
      </c>
    </row>
    <row r="1185" spans="1:29">
      <c r="A1185" t="s">
        <v>1288</v>
      </c>
      <c r="B1185" s="3">
        <v>45936</v>
      </c>
      <c r="C1185" t="s">
        <v>78</v>
      </c>
      <c r="D1185" t="s">
        <v>62</v>
      </c>
      <c r="E1185" t="s">
        <v>79</v>
      </c>
      <c r="F1185" t="s">
        <v>115</v>
      </c>
      <c r="G1185" s="6">
        <v>2</v>
      </c>
      <c r="H1185" s="4">
        <v>59.07</v>
      </c>
      <c r="I1185" s="4">
        <v>34.25</v>
      </c>
      <c r="J1185" s="5">
        <v>0</v>
      </c>
      <c r="K1185" s="6">
        <v>6</v>
      </c>
      <c r="L1185" s="6">
        <v>4</v>
      </c>
      <c r="M1185" t="s">
        <v>58</v>
      </c>
      <c r="N1185" t="s">
        <v>87</v>
      </c>
      <c r="O1185" t="s">
        <v>60</v>
      </c>
      <c r="P1185" t="str">
        <f t="shared" si="126"/>
        <v>Individual</v>
      </c>
      <c r="Q1185" t="str">
        <f t="shared" si="127"/>
        <v>London</v>
      </c>
      <c r="R1185" t="str">
        <f>PROPER(TRIM(E1185))</f>
        <v>Electronics</v>
      </c>
      <c r="S1185" s="27">
        <f>IF(ISTEXT(B1185),DATEVALUE(B1185),B1185)</f>
        <v>45936</v>
      </c>
      <c r="T1185" s="27">
        <f>COUNTIF($A$2:$A$1986,A1185)</f>
        <v>1</v>
      </c>
      <c r="U1185" s="27" t="str">
        <f t="shared" si="128"/>
        <v>Wireless Headset</v>
      </c>
      <c r="V1185" s="27">
        <f t="shared" si="129"/>
        <v>118.14</v>
      </c>
      <c r="W1185" s="27">
        <f t="shared" si="130"/>
        <v>68.5</v>
      </c>
      <c r="X1185" s="27">
        <f>RawSalesTable3[[#This Row],[Revenue]]-RawSalesTable3[[#This Row],[Total_Cost]]</f>
        <v>49.64</v>
      </c>
      <c r="Y1185" s="28">
        <f>RawSalesTable3[[#This Row],[Profit]]/RawSalesTable3[[#This Row],[Revenue]]</f>
        <v>0.42017944811240898</v>
      </c>
      <c r="Z1185" s="27" t="str">
        <f>TEXT(RawSalesTable3[[#This Row],[Order_Date_Clean]],"MMM YYYY")</f>
        <v>Oct 2025</v>
      </c>
      <c r="AA1185" s="27"/>
      <c r="AB1185" s="27">
        <f t="shared" si="131"/>
        <v>0</v>
      </c>
      <c r="AC1185" s="27">
        <f t="shared" si="132"/>
        <v>0</v>
      </c>
    </row>
    <row r="1186" spans="1:29">
      <c r="A1186" t="s">
        <v>1289</v>
      </c>
      <c r="B1186" s="3">
        <v>45930</v>
      </c>
      <c r="C1186" t="s">
        <v>82</v>
      </c>
      <c r="D1186" t="s">
        <v>129</v>
      </c>
      <c r="E1186" t="s">
        <v>56</v>
      </c>
      <c r="F1186" t="s">
        <v>89</v>
      </c>
      <c r="G1186" s="6">
        <v>6</v>
      </c>
      <c r="H1186" s="4">
        <v>82.74</v>
      </c>
      <c r="I1186" s="4">
        <v>44.82</v>
      </c>
      <c r="J1186" s="5">
        <v>0.05</v>
      </c>
      <c r="K1186" s="6">
        <v>3</v>
      </c>
      <c r="L1186" s="6">
        <v>4</v>
      </c>
      <c r="M1186" t="s">
        <v>58</v>
      </c>
      <c r="N1186" t="s">
        <v>59</v>
      </c>
      <c r="O1186" t="s">
        <v>60</v>
      </c>
      <c r="P1186" t="str">
        <f t="shared" si="126"/>
        <v>Corporate</v>
      </c>
      <c r="Q1186" t="str">
        <f t="shared" si="127"/>
        <v>Midlands</v>
      </c>
      <c r="R1186" t="str">
        <f>PROPER(TRIM(E1186))</f>
        <v>Home &amp; Kitchen</v>
      </c>
      <c r="S1186" s="27">
        <f>IF(ISTEXT(B1186),DATEVALUE(B1186),B1186)</f>
        <v>45930</v>
      </c>
      <c r="T1186" s="27">
        <f>COUNTIF($A$2:$A$1986,A1186)</f>
        <v>1</v>
      </c>
      <c r="U1186" s="27" t="str">
        <f t="shared" si="128"/>
        <v>Coffee Maker</v>
      </c>
      <c r="V1186" s="27">
        <f t="shared" si="129"/>
        <v>471.61799999999994</v>
      </c>
      <c r="W1186" s="27">
        <f t="shared" si="130"/>
        <v>268.92</v>
      </c>
      <c r="X1186" s="27">
        <f>RawSalesTable3[[#This Row],[Revenue]]-RawSalesTable3[[#This Row],[Total_Cost]]</f>
        <v>202.69799999999992</v>
      </c>
      <c r="Y1186" s="28">
        <f>RawSalesTable3[[#This Row],[Profit]]/RawSalesTable3[[#This Row],[Revenue]]</f>
        <v>0.42979275600167921</v>
      </c>
      <c r="Z1186" s="27" t="str">
        <f>TEXT(RawSalesTable3[[#This Row],[Order_Date_Clean]],"MMM YYYY")</f>
        <v>Sep 2025</v>
      </c>
      <c r="AA1186" s="27"/>
      <c r="AB1186" s="27">
        <f t="shared" si="131"/>
        <v>0</v>
      </c>
      <c r="AC1186" s="27">
        <f t="shared" si="132"/>
        <v>0</v>
      </c>
    </row>
    <row r="1187" spans="1:29">
      <c r="A1187" t="s">
        <v>1290</v>
      </c>
      <c r="B1187" s="3">
        <v>45694</v>
      </c>
      <c r="C1187" t="s">
        <v>78</v>
      </c>
      <c r="D1187" t="s">
        <v>55</v>
      </c>
      <c r="E1187" t="s">
        <v>67</v>
      </c>
      <c r="F1187" t="s">
        <v>107</v>
      </c>
      <c r="G1187" s="6">
        <v>1</v>
      </c>
      <c r="H1187" s="4">
        <v>46.46</v>
      </c>
      <c r="I1187" s="4">
        <v>20.82</v>
      </c>
      <c r="J1187" s="5">
        <v>0.05</v>
      </c>
      <c r="K1187" s="6">
        <v>1</v>
      </c>
      <c r="L1187" s="6">
        <v>5</v>
      </c>
      <c r="M1187" t="s">
        <v>58</v>
      </c>
      <c r="N1187" t="s">
        <v>87</v>
      </c>
      <c r="O1187" t="s">
        <v>64</v>
      </c>
      <c r="P1187" t="str">
        <f t="shared" si="126"/>
        <v>Small Business</v>
      </c>
      <c r="Q1187" t="str">
        <f t="shared" si="127"/>
        <v>London</v>
      </c>
      <c r="R1187" t="str">
        <f>PROPER(TRIM(E1187))</f>
        <v>Office</v>
      </c>
      <c r="S1187" s="27">
        <f>IF(ISTEXT(B1187),DATEVALUE(B1187),B1187)</f>
        <v>45694</v>
      </c>
      <c r="T1187" s="27">
        <f>COUNTIF($A$2:$A$1986,A1187)</f>
        <v>1</v>
      </c>
      <c r="U1187" s="27" t="str">
        <f t="shared" si="128"/>
        <v>Laptop Stand</v>
      </c>
      <c r="V1187" s="27">
        <f t="shared" si="129"/>
        <v>44.137</v>
      </c>
      <c r="W1187" s="27">
        <f t="shared" si="130"/>
        <v>20.82</v>
      </c>
      <c r="X1187" s="27">
        <f>RawSalesTable3[[#This Row],[Revenue]]-RawSalesTable3[[#This Row],[Total_Cost]]</f>
        <v>23.317</v>
      </c>
      <c r="Y1187" s="28">
        <f>RawSalesTable3[[#This Row],[Profit]]/RawSalesTable3[[#This Row],[Revenue]]</f>
        <v>0.52828692480232009</v>
      </c>
      <c r="Z1187" s="27" t="str">
        <f>TEXT(RawSalesTable3[[#This Row],[Order_Date_Clean]],"MMM YYYY")</f>
        <v>Feb 2025</v>
      </c>
      <c r="AA1187" s="27"/>
      <c r="AB1187" s="27">
        <f t="shared" si="131"/>
        <v>0</v>
      </c>
      <c r="AC1187" s="27">
        <f t="shared" si="132"/>
        <v>0</v>
      </c>
    </row>
    <row r="1188" spans="1:29">
      <c r="A1188" t="s">
        <v>1291</v>
      </c>
      <c r="B1188" s="3">
        <v>45925</v>
      </c>
      <c r="C1188" t="s">
        <v>78</v>
      </c>
      <c r="D1188" t="s">
        <v>55</v>
      </c>
      <c r="E1188" t="s">
        <v>56</v>
      </c>
      <c r="F1188" t="s">
        <v>63</v>
      </c>
      <c r="G1188" s="6">
        <v>4</v>
      </c>
      <c r="H1188" s="4">
        <v>40.04</v>
      </c>
      <c r="I1188" s="4">
        <v>20.99</v>
      </c>
      <c r="J1188" s="5">
        <v>0</v>
      </c>
      <c r="K1188" s="6">
        <v>3</v>
      </c>
      <c r="L1188" s="6">
        <v>5</v>
      </c>
      <c r="M1188" t="s">
        <v>58</v>
      </c>
      <c r="N1188" t="s">
        <v>59</v>
      </c>
      <c r="O1188" t="s">
        <v>73</v>
      </c>
      <c r="P1188" t="str">
        <f t="shared" si="126"/>
        <v>Small Business</v>
      </c>
      <c r="Q1188" t="str">
        <f t="shared" si="127"/>
        <v>London</v>
      </c>
      <c r="R1188" t="str">
        <f>PROPER(TRIM(E1188))</f>
        <v>Home &amp; Kitchen</v>
      </c>
      <c r="S1188" s="27">
        <f>IF(ISTEXT(B1188),DATEVALUE(B1188),B1188)</f>
        <v>45925</v>
      </c>
      <c r="T1188" s="27">
        <f>COUNTIF($A$2:$A$1986,A1188)</f>
        <v>1</v>
      </c>
      <c r="U1188" s="27" t="str">
        <f t="shared" si="128"/>
        <v>Electric Kettle</v>
      </c>
      <c r="V1188" s="27">
        <f t="shared" si="129"/>
        <v>160.16</v>
      </c>
      <c r="W1188" s="27">
        <f t="shared" si="130"/>
        <v>83.96</v>
      </c>
      <c r="X1188" s="27">
        <f>RawSalesTable3[[#This Row],[Revenue]]-RawSalesTable3[[#This Row],[Total_Cost]]</f>
        <v>76.2</v>
      </c>
      <c r="Y1188" s="28">
        <f>RawSalesTable3[[#This Row],[Profit]]/RawSalesTable3[[#This Row],[Revenue]]</f>
        <v>0.47577422577422579</v>
      </c>
      <c r="Z1188" s="27" t="str">
        <f>TEXT(RawSalesTable3[[#This Row],[Order_Date_Clean]],"MMM YYYY")</f>
        <v>Sep 2025</v>
      </c>
      <c r="AA1188" s="27"/>
      <c r="AB1188" s="27">
        <f t="shared" si="131"/>
        <v>0</v>
      </c>
      <c r="AC1188" s="27">
        <f t="shared" si="132"/>
        <v>0</v>
      </c>
    </row>
    <row r="1189" spans="1:29">
      <c r="A1189" t="s">
        <v>1292</v>
      </c>
      <c r="B1189" s="3">
        <v>45658</v>
      </c>
      <c r="C1189" t="s">
        <v>78</v>
      </c>
      <c r="D1189" t="s">
        <v>62</v>
      </c>
      <c r="E1189" t="s">
        <v>79</v>
      </c>
      <c r="F1189" t="s">
        <v>80</v>
      </c>
      <c r="G1189" s="6">
        <v>1</v>
      </c>
      <c r="H1189" s="4">
        <v>73.02</v>
      </c>
      <c r="I1189" s="4">
        <v>44.35</v>
      </c>
      <c r="J1189" s="5">
        <v>0.05</v>
      </c>
      <c r="K1189" s="6">
        <v>2</v>
      </c>
      <c r="L1189" s="6">
        <v>4</v>
      </c>
      <c r="M1189" t="s">
        <v>58</v>
      </c>
      <c r="N1189" t="s">
        <v>59</v>
      </c>
      <c r="O1189" t="s">
        <v>60</v>
      </c>
      <c r="P1189" t="str">
        <f t="shared" si="126"/>
        <v>Individual</v>
      </c>
      <c r="Q1189" t="str">
        <f t="shared" si="127"/>
        <v>London</v>
      </c>
      <c r="R1189" t="str">
        <f>PROPER(TRIM(E1189))</f>
        <v>Electronics</v>
      </c>
      <c r="S1189" s="27">
        <f>IF(ISTEXT(B1189),DATEVALUE(B1189),B1189)</f>
        <v>45658</v>
      </c>
      <c r="T1189" s="27">
        <f>COUNTIF($A$2:$A$1986,A1189)</f>
        <v>1</v>
      </c>
      <c r="U1189" s="27" t="str">
        <f t="shared" si="128"/>
        <v>Portable Speaker</v>
      </c>
      <c r="V1189" s="27">
        <f t="shared" si="129"/>
        <v>69.369</v>
      </c>
      <c r="W1189" s="27">
        <f t="shared" si="130"/>
        <v>44.35</v>
      </c>
      <c r="X1189" s="27">
        <f>RawSalesTable3[[#This Row],[Revenue]]-RawSalesTable3[[#This Row],[Total_Cost]]</f>
        <v>25.018999999999998</v>
      </c>
      <c r="Y1189" s="28">
        <f>RawSalesTable3[[#This Row],[Profit]]/RawSalesTable3[[#This Row],[Revenue]]</f>
        <v>0.36066542691980563</v>
      </c>
      <c r="Z1189" s="27" t="str">
        <f>TEXT(RawSalesTable3[[#This Row],[Order_Date_Clean]],"MMM YYYY")</f>
        <v>Jan 2025</v>
      </c>
      <c r="AA1189" s="27"/>
      <c r="AB1189" s="27">
        <f t="shared" si="131"/>
        <v>0</v>
      </c>
      <c r="AC1189" s="27">
        <f t="shared" si="132"/>
        <v>0</v>
      </c>
    </row>
    <row r="1190" spans="1:29">
      <c r="A1190" t="s">
        <v>1293</v>
      </c>
      <c r="B1190" s="3">
        <v>45719</v>
      </c>
      <c r="C1190" t="s">
        <v>82</v>
      </c>
      <c r="D1190" t="s">
        <v>62</v>
      </c>
      <c r="E1190" t="s">
        <v>56</v>
      </c>
      <c r="F1190" t="s">
        <v>63</v>
      </c>
      <c r="G1190" s="6">
        <v>4</v>
      </c>
      <c r="H1190" s="4">
        <v>40.53</v>
      </c>
      <c r="I1190" s="4">
        <v>20.83</v>
      </c>
      <c r="J1190" s="5">
        <v>0.1</v>
      </c>
      <c r="K1190" s="6">
        <v>6</v>
      </c>
      <c r="L1190" s="6">
        <v>4</v>
      </c>
      <c r="M1190" t="s">
        <v>58</v>
      </c>
      <c r="N1190" t="s">
        <v>59</v>
      </c>
      <c r="O1190" t="s">
        <v>60</v>
      </c>
      <c r="P1190" t="str">
        <f t="shared" si="126"/>
        <v>Individual</v>
      </c>
      <c r="Q1190" t="str">
        <f t="shared" si="127"/>
        <v>Midlands</v>
      </c>
      <c r="R1190" t="str">
        <f>PROPER(TRIM(E1190))</f>
        <v>Home &amp; Kitchen</v>
      </c>
      <c r="S1190" s="27">
        <f>IF(ISTEXT(B1190),DATEVALUE(B1190),B1190)</f>
        <v>45719</v>
      </c>
      <c r="T1190" s="27">
        <f>COUNTIF($A$2:$A$1986,A1190)</f>
        <v>1</v>
      </c>
      <c r="U1190" s="27" t="str">
        <f t="shared" si="128"/>
        <v>Electric Kettle</v>
      </c>
      <c r="V1190" s="27">
        <f t="shared" si="129"/>
        <v>145.90800000000002</v>
      </c>
      <c r="W1190" s="27">
        <f t="shared" si="130"/>
        <v>83.32</v>
      </c>
      <c r="X1190" s="27">
        <f>RawSalesTable3[[#This Row],[Revenue]]-RawSalesTable3[[#This Row],[Total_Cost]]</f>
        <v>62.588000000000022</v>
      </c>
      <c r="Y1190" s="28">
        <f>RawSalesTable3[[#This Row],[Profit]]/RawSalesTable3[[#This Row],[Revenue]]</f>
        <v>0.42895523206404046</v>
      </c>
      <c r="Z1190" s="27" t="str">
        <f>TEXT(RawSalesTable3[[#This Row],[Order_Date_Clean]],"MMM YYYY")</f>
        <v>Mar 2025</v>
      </c>
      <c r="AA1190" s="27"/>
      <c r="AB1190" s="27">
        <f t="shared" si="131"/>
        <v>0</v>
      </c>
      <c r="AC1190" s="27">
        <f t="shared" si="132"/>
        <v>0</v>
      </c>
    </row>
    <row r="1191" spans="1:29">
      <c r="A1191" t="s">
        <v>1294</v>
      </c>
      <c r="B1191" s="3">
        <v>45900</v>
      </c>
      <c r="C1191" t="s">
        <v>54</v>
      </c>
      <c r="D1191" t="s">
        <v>55</v>
      </c>
      <c r="E1191" t="s">
        <v>56</v>
      </c>
      <c r="F1191" t="s">
        <v>89</v>
      </c>
      <c r="G1191" s="6">
        <v>3</v>
      </c>
      <c r="H1191" s="4">
        <v>81.3</v>
      </c>
      <c r="I1191" s="4">
        <v>45.81</v>
      </c>
      <c r="J1191" s="5">
        <v>0.05</v>
      </c>
      <c r="K1191" s="6">
        <v>4</v>
      </c>
      <c r="L1191" s="6">
        <v>4</v>
      </c>
      <c r="M1191" t="s">
        <v>126</v>
      </c>
      <c r="N1191" t="s">
        <v>59</v>
      </c>
      <c r="O1191" t="s">
        <v>64</v>
      </c>
      <c r="P1191" t="str">
        <f t="shared" si="126"/>
        <v>Small Business</v>
      </c>
      <c r="Q1191" t="str">
        <f t="shared" si="127"/>
        <v>North</v>
      </c>
      <c r="R1191" t="str">
        <f>PROPER(TRIM(E1191))</f>
        <v>Home &amp; Kitchen</v>
      </c>
      <c r="S1191" s="27">
        <f>IF(ISTEXT(B1191),DATEVALUE(B1191),B1191)</f>
        <v>45900</v>
      </c>
      <c r="T1191" s="27">
        <f>COUNTIF($A$2:$A$1986,A1191)</f>
        <v>1</v>
      </c>
      <c r="U1191" s="27" t="str">
        <f t="shared" si="128"/>
        <v>Coffee Maker</v>
      </c>
      <c r="V1191" s="27">
        <f t="shared" si="129"/>
        <v>231.70499999999996</v>
      </c>
      <c r="W1191" s="27">
        <f t="shared" si="130"/>
        <v>137.43</v>
      </c>
      <c r="X1191" s="27">
        <f>RawSalesTable3[[#This Row],[Revenue]]-RawSalesTable3[[#This Row],[Total_Cost]]</f>
        <v>94.274999999999949</v>
      </c>
      <c r="Y1191" s="28">
        <f>RawSalesTable3[[#This Row],[Profit]]/RawSalesTable3[[#This Row],[Revenue]]</f>
        <v>0.40687512138279264</v>
      </c>
      <c r="Z1191" s="27" t="str">
        <f>TEXT(RawSalesTable3[[#This Row],[Order_Date_Clean]],"MMM YYYY")</f>
        <v>Aug 2025</v>
      </c>
      <c r="AA1191" s="27"/>
      <c r="AB1191" s="27">
        <f t="shared" si="131"/>
        <v>0</v>
      </c>
      <c r="AC1191" s="27">
        <f t="shared" si="132"/>
        <v>0</v>
      </c>
    </row>
    <row r="1192" spans="1:29">
      <c r="A1192" t="s">
        <v>1295</v>
      </c>
      <c r="B1192" s="3">
        <v>45883</v>
      </c>
      <c r="C1192" t="s">
        <v>66</v>
      </c>
      <c r="D1192" t="s">
        <v>55</v>
      </c>
      <c r="E1192" t="s">
        <v>75</v>
      </c>
      <c r="F1192" t="s">
        <v>110</v>
      </c>
      <c r="G1192" s="6">
        <v>4</v>
      </c>
      <c r="H1192" s="4">
        <v>164.46</v>
      </c>
      <c r="I1192" s="4">
        <v>100.04</v>
      </c>
      <c r="J1192" s="5">
        <v>0</v>
      </c>
      <c r="K1192" s="6">
        <v>6</v>
      </c>
      <c r="L1192" s="6">
        <v>4</v>
      </c>
      <c r="M1192" t="s">
        <v>58</v>
      </c>
      <c r="N1192" t="s">
        <v>59</v>
      </c>
      <c r="O1192" t="s">
        <v>64</v>
      </c>
      <c r="P1192" t="str">
        <f t="shared" si="126"/>
        <v>Small Business</v>
      </c>
      <c r="Q1192" t="str">
        <f t="shared" si="127"/>
        <v>South</v>
      </c>
      <c r="R1192" t="str">
        <f>PROPER(TRIM(E1192))</f>
        <v>Furniture</v>
      </c>
      <c r="S1192" s="27">
        <f>IF(ISTEXT(B1192),DATEVALUE(B1192),B1192)</f>
        <v>45883</v>
      </c>
      <c r="T1192" s="27">
        <f>COUNTIF($A$2:$A$1986,A1192)</f>
        <v>1</v>
      </c>
      <c r="U1192" s="27" t="str">
        <f t="shared" si="128"/>
        <v>Storage Cabinet</v>
      </c>
      <c r="V1192" s="27">
        <f t="shared" si="129"/>
        <v>657.84</v>
      </c>
      <c r="W1192" s="27">
        <f t="shared" si="130"/>
        <v>400.16</v>
      </c>
      <c r="X1192" s="27">
        <f>RawSalesTable3[[#This Row],[Revenue]]-RawSalesTable3[[#This Row],[Total_Cost]]</f>
        <v>257.68</v>
      </c>
      <c r="Y1192" s="28">
        <f>RawSalesTable3[[#This Row],[Profit]]/RawSalesTable3[[#This Row],[Revenue]]</f>
        <v>0.39170618995500422</v>
      </c>
      <c r="Z1192" s="27" t="str">
        <f>TEXT(RawSalesTable3[[#This Row],[Order_Date_Clean]],"MMM YYYY")</f>
        <v>Aug 2025</v>
      </c>
      <c r="AA1192" s="27"/>
      <c r="AB1192" s="27">
        <f t="shared" si="131"/>
        <v>0</v>
      </c>
      <c r="AC1192" s="27">
        <f t="shared" si="132"/>
        <v>0</v>
      </c>
    </row>
    <row r="1193" spans="1:29">
      <c r="A1193" t="s">
        <v>1296</v>
      </c>
      <c r="B1193" s="3">
        <v>46016</v>
      </c>
      <c r="C1193" t="s">
        <v>82</v>
      </c>
      <c r="D1193" t="s">
        <v>62</v>
      </c>
      <c r="E1193" t="s">
        <v>67</v>
      </c>
      <c r="F1193" t="s">
        <v>107</v>
      </c>
      <c r="G1193" s="6">
        <v>2</v>
      </c>
      <c r="H1193" s="4">
        <v>45.1</v>
      </c>
      <c r="I1193" s="4">
        <v>21.04</v>
      </c>
      <c r="J1193" s="5">
        <v>0.1</v>
      </c>
      <c r="K1193" s="6">
        <v>3</v>
      </c>
      <c r="L1193" s="6">
        <v>4</v>
      </c>
      <c r="M1193" t="s">
        <v>58</v>
      </c>
      <c r="N1193" t="s">
        <v>59</v>
      </c>
      <c r="O1193" t="s">
        <v>64</v>
      </c>
      <c r="P1193" t="str">
        <f t="shared" si="126"/>
        <v>Individual</v>
      </c>
      <c r="Q1193" t="str">
        <f t="shared" si="127"/>
        <v>Midlands</v>
      </c>
      <c r="R1193" t="str">
        <f>PROPER(TRIM(E1193))</f>
        <v>Office</v>
      </c>
      <c r="S1193" s="27">
        <f>IF(ISTEXT(B1193),DATEVALUE(B1193),B1193)</f>
        <v>46016</v>
      </c>
      <c r="T1193" s="27">
        <f>COUNTIF($A$2:$A$1986,A1193)</f>
        <v>1</v>
      </c>
      <c r="U1193" s="27" t="str">
        <f t="shared" si="128"/>
        <v>Laptop Stand</v>
      </c>
      <c r="V1193" s="27">
        <f t="shared" si="129"/>
        <v>81.180000000000007</v>
      </c>
      <c r="W1193" s="27">
        <f t="shared" si="130"/>
        <v>42.08</v>
      </c>
      <c r="X1193" s="27">
        <f>RawSalesTable3[[#This Row],[Revenue]]-RawSalesTable3[[#This Row],[Total_Cost]]</f>
        <v>39.100000000000009</v>
      </c>
      <c r="Y1193" s="28">
        <f>RawSalesTable3[[#This Row],[Profit]]/RawSalesTable3[[#This Row],[Revenue]]</f>
        <v>0.48164572554816465</v>
      </c>
      <c r="Z1193" s="27" t="str">
        <f>TEXT(RawSalesTable3[[#This Row],[Order_Date_Clean]],"MMM YYYY")</f>
        <v>Dec 2025</v>
      </c>
      <c r="AA1193" s="27"/>
      <c r="AB1193" s="27">
        <f t="shared" si="131"/>
        <v>0</v>
      </c>
      <c r="AC1193" s="27">
        <f t="shared" si="132"/>
        <v>0</v>
      </c>
    </row>
    <row r="1194" spans="1:29">
      <c r="A1194" t="s">
        <v>1297</v>
      </c>
      <c r="B1194" s="3">
        <v>45946</v>
      </c>
      <c r="C1194" t="s">
        <v>82</v>
      </c>
      <c r="D1194" t="s">
        <v>55</v>
      </c>
      <c r="E1194" t="s">
        <v>79</v>
      </c>
      <c r="F1194" t="s">
        <v>92</v>
      </c>
      <c r="G1194" s="6">
        <v>4</v>
      </c>
      <c r="H1194" s="4">
        <v>48.78</v>
      </c>
      <c r="I1194" s="4">
        <v>26.04</v>
      </c>
      <c r="J1194" s="5">
        <v>0</v>
      </c>
      <c r="K1194" s="6">
        <v>3</v>
      </c>
      <c r="L1194" s="6">
        <v>4</v>
      </c>
      <c r="M1194" t="s">
        <v>58</v>
      </c>
      <c r="N1194" t="s">
        <v>87</v>
      </c>
      <c r="O1194" t="s">
        <v>60</v>
      </c>
      <c r="P1194" t="str">
        <f t="shared" si="126"/>
        <v>Small Business</v>
      </c>
      <c r="Q1194" t="str">
        <f t="shared" si="127"/>
        <v>Midlands</v>
      </c>
      <c r="R1194" t="str">
        <f>PROPER(TRIM(E1194))</f>
        <v>Electronics</v>
      </c>
      <c r="S1194" s="27">
        <f>IF(ISTEXT(B1194),DATEVALUE(B1194),B1194)</f>
        <v>45946</v>
      </c>
      <c r="T1194" s="27">
        <f>COUNTIF($A$2:$A$1986,A1194)</f>
        <v>1</v>
      </c>
      <c r="U1194" s="27" t="str">
        <f t="shared" si="128"/>
        <v>Webcam</v>
      </c>
      <c r="V1194" s="27">
        <f t="shared" si="129"/>
        <v>195.12</v>
      </c>
      <c r="W1194" s="27">
        <f t="shared" si="130"/>
        <v>104.16</v>
      </c>
      <c r="X1194" s="27">
        <f>RawSalesTable3[[#This Row],[Revenue]]-RawSalesTable3[[#This Row],[Total_Cost]]</f>
        <v>90.960000000000008</v>
      </c>
      <c r="Y1194" s="28">
        <f>RawSalesTable3[[#This Row],[Profit]]/RawSalesTable3[[#This Row],[Revenue]]</f>
        <v>0.46617466174661748</v>
      </c>
      <c r="Z1194" s="27" t="str">
        <f>TEXT(RawSalesTable3[[#This Row],[Order_Date_Clean]],"MMM YYYY")</f>
        <v>Oct 2025</v>
      </c>
      <c r="AA1194" s="27"/>
      <c r="AB1194" s="27">
        <f t="shared" si="131"/>
        <v>0</v>
      </c>
      <c r="AC1194" s="27">
        <f t="shared" si="132"/>
        <v>0</v>
      </c>
    </row>
    <row r="1195" spans="1:29">
      <c r="A1195" t="s">
        <v>1298</v>
      </c>
      <c r="B1195" s="3">
        <v>45745</v>
      </c>
      <c r="C1195" t="s">
        <v>66</v>
      </c>
      <c r="D1195" t="s">
        <v>62</v>
      </c>
      <c r="E1195" t="s">
        <v>56</v>
      </c>
      <c r="F1195" t="s">
        <v>89</v>
      </c>
      <c r="G1195" s="6">
        <v>1</v>
      </c>
      <c r="H1195" s="4">
        <v>82.13</v>
      </c>
      <c r="I1195" s="4">
        <v>46.07</v>
      </c>
      <c r="J1195" s="5">
        <v>0.1</v>
      </c>
      <c r="K1195" s="6">
        <v>7</v>
      </c>
      <c r="L1195" s="6">
        <v>4</v>
      </c>
      <c r="M1195" t="s">
        <v>58</v>
      </c>
      <c r="N1195" t="s">
        <v>59</v>
      </c>
      <c r="O1195" t="s">
        <v>64</v>
      </c>
      <c r="P1195" t="str">
        <f t="shared" si="126"/>
        <v>Individual</v>
      </c>
      <c r="Q1195" t="str">
        <f t="shared" si="127"/>
        <v>South</v>
      </c>
      <c r="R1195" t="str">
        <f>PROPER(TRIM(E1195))</f>
        <v>Home &amp; Kitchen</v>
      </c>
      <c r="S1195" s="27">
        <f>IF(ISTEXT(B1195),DATEVALUE(B1195),B1195)</f>
        <v>45745</v>
      </c>
      <c r="T1195" s="27">
        <f>COUNTIF($A$2:$A$1986,A1195)</f>
        <v>1</v>
      </c>
      <c r="U1195" s="27" t="str">
        <f t="shared" si="128"/>
        <v>Coffee Maker</v>
      </c>
      <c r="V1195" s="27">
        <f t="shared" si="129"/>
        <v>73.917000000000002</v>
      </c>
      <c r="W1195" s="27">
        <f t="shared" si="130"/>
        <v>46.07</v>
      </c>
      <c r="X1195" s="27">
        <f>RawSalesTable3[[#This Row],[Revenue]]-RawSalesTable3[[#This Row],[Total_Cost]]</f>
        <v>27.847000000000001</v>
      </c>
      <c r="Y1195" s="28">
        <f>RawSalesTable3[[#This Row],[Profit]]/RawSalesTable3[[#This Row],[Revenue]]</f>
        <v>0.37673336309644601</v>
      </c>
      <c r="Z1195" s="27" t="str">
        <f>TEXT(RawSalesTable3[[#This Row],[Order_Date_Clean]],"MMM YYYY")</f>
        <v>Mar 2025</v>
      </c>
      <c r="AA1195" s="27"/>
      <c r="AB1195" s="27">
        <f t="shared" si="131"/>
        <v>0</v>
      </c>
      <c r="AC1195" s="27">
        <f t="shared" si="132"/>
        <v>0</v>
      </c>
    </row>
    <row r="1196" spans="1:29">
      <c r="A1196" t="s">
        <v>1299</v>
      </c>
      <c r="B1196" s="3">
        <v>45830</v>
      </c>
      <c r="C1196" t="s">
        <v>54</v>
      </c>
      <c r="D1196" t="s">
        <v>62</v>
      </c>
      <c r="E1196" t="s">
        <v>79</v>
      </c>
      <c r="F1196" t="s">
        <v>80</v>
      </c>
      <c r="G1196" s="6">
        <v>3</v>
      </c>
      <c r="H1196" s="4">
        <v>76.22</v>
      </c>
      <c r="I1196" s="4">
        <v>44.26</v>
      </c>
      <c r="J1196" s="5">
        <v>0</v>
      </c>
      <c r="K1196" s="6">
        <v>3</v>
      </c>
      <c r="L1196" s="6">
        <v>4</v>
      </c>
      <c r="M1196" t="s">
        <v>58</v>
      </c>
      <c r="N1196" t="s">
        <v>59</v>
      </c>
      <c r="O1196" t="s">
        <v>64</v>
      </c>
      <c r="P1196" t="str">
        <f t="shared" si="126"/>
        <v>Individual</v>
      </c>
      <c r="Q1196" t="str">
        <f t="shared" si="127"/>
        <v>North</v>
      </c>
      <c r="R1196" t="str">
        <f>PROPER(TRIM(E1196))</f>
        <v>Electronics</v>
      </c>
      <c r="S1196" s="27">
        <f>IF(ISTEXT(B1196),DATEVALUE(B1196),B1196)</f>
        <v>45830</v>
      </c>
      <c r="T1196" s="27">
        <f>COUNTIF($A$2:$A$1986,A1196)</f>
        <v>1</v>
      </c>
      <c r="U1196" s="27" t="str">
        <f t="shared" si="128"/>
        <v>Portable Speaker</v>
      </c>
      <c r="V1196" s="27">
        <f t="shared" si="129"/>
        <v>228.66</v>
      </c>
      <c r="W1196" s="27">
        <f t="shared" si="130"/>
        <v>132.78</v>
      </c>
      <c r="X1196" s="27">
        <f>RawSalesTable3[[#This Row],[Revenue]]-RawSalesTable3[[#This Row],[Total_Cost]]</f>
        <v>95.88</v>
      </c>
      <c r="Y1196" s="28">
        <f>RawSalesTable3[[#This Row],[Profit]]/RawSalesTable3[[#This Row],[Revenue]]</f>
        <v>0.41931251639989503</v>
      </c>
      <c r="Z1196" s="27" t="str">
        <f>TEXT(RawSalesTable3[[#This Row],[Order_Date_Clean]],"MMM YYYY")</f>
        <v>Jun 2025</v>
      </c>
      <c r="AA1196" s="27"/>
      <c r="AB1196" s="27">
        <f t="shared" si="131"/>
        <v>0</v>
      </c>
      <c r="AC1196" s="27">
        <f t="shared" si="132"/>
        <v>0</v>
      </c>
    </row>
    <row r="1197" spans="1:29">
      <c r="A1197" t="s">
        <v>1300</v>
      </c>
      <c r="B1197" s="3">
        <v>45915</v>
      </c>
      <c r="C1197" t="s">
        <v>82</v>
      </c>
      <c r="D1197" t="s">
        <v>62</v>
      </c>
      <c r="E1197" t="s">
        <v>67</v>
      </c>
      <c r="F1197" t="s">
        <v>94</v>
      </c>
      <c r="G1197" s="6">
        <v>1</v>
      </c>
      <c r="H1197" s="4">
        <v>35.119999999999997</v>
      </c>
      <c r="I1197" s="4">
        <v>17.3</v>
      </c>
      <c r="J1197" s="5">
        <v>0.05</v>
      </c>
      <c r="K1197" s="6">
        <v>0</v>
      </c>
      <c r="L1197" s="6">
        <v>4</v>
      </c>
      <c r="M1197" t="s">
        <v>58</v>
      </c>
      <c r="N1197" t="s">
        <v>69</v>
      </c>
      <c r="O1197" t="s">
        <v>64</v>
      </c>
      <c r="P1197" t="str">
        <f t="shared" si="126"/>
        <v>Individual</v>
      </c>
      <c r="Q1197" t="str">
        <f t="shared" si="127"/>
        <v>Midlands</v>
      </c>
      <c r="R1197" t="str">
        <f>PROPER(TRIM(E1197))</f>
        <v>Office</v>
      </c>
      <c r="S1197" s="27">
        <f>IF(ISTEXT(B1197),DATEVALUE(B1197),B1197)</f>
        <v>45915</v>
      </c>
      <c r="T1197" s="27">
        <f>COUNTIF($A$2:$A$1986,A1197)</f>
        <v>1</v>
      </c>
      <c r="U1197" s="27" t="str">
        <f t="shared" si="128"/>
        <v>Wireless Mouse</v>
      </c>
      <c r="V1197" s="27">
        <f t="shared" si="129"/>
        <v>33.363999999999997</v>
      </c>
      <c r="W1197" s="27">
        <f t="shared" si="130"/>
        <v>17.3</v>
      </c>
      <c r="X1197" s="27">
        <f>RawSalesTable3[[#This Row],[Revenue]]-RawSalesTable3[[#This Row],[Total_Cost]]</f>
        <v>16.063999999999997</v>
      </c>
      <c r="Y1197" s="28">
        <f>RawSalesTable3[[#This Row],[Profit]]/RawSalesTable3[[#This Row],[Revenue]]</f>
        <v>0.48147704112216755</v>
      </c>
      <c r="Z1197" s="27" t="str">
        <f>TEXT(RawSalesTable3[[#This Row],[Order_Date_Clean]],"MMM YYYY")</f>
        <v>Sep 2025</v>
      </c>
      <c r="AA1197" s="27"/>
      <c r="AB1197" s="27">
        <f t="shared" si="131"/>
        <v>0</v>
      </c>
      <c r="AC1197" s="27">
        <f t="shared" si="132"/>
        <v>0</v>
      </c>
    </row>
    <row r="1198" spans="1:29">
      <c r="A1198" t="s">
        <v>1301</v>
      </c>
      <c r="B1198" s="3">
        <v>45682</v>
      </c>
      <c r="C1198" t="s">
        <v>54</v>
      </c>
      <c r="D1198" t="s">
        <v>55</v>
      </c>
      <c r="E1198" t="s">
        <v>79</v>
      </c>
      <c r="F1198" t="s">
        <v>80</v>
      </c>
      <c r="G1198" s="6">
        <v>3</v>
      </c>
      <c r="H1198" s="4">
        <v>73.290000000000006</v>
      </c>
      <c r="I1198" s="4">
        <v>42.79</v>
      </c>
      <c r="J1198" s="5">
        <v>0.1</v>
      </c>
      <c r="K1198" s="6">
        <v>4</v>
      </c>
      <c r="L1198" s="6">
        <v>4</v>
      </c>
      <c r="M1198" t="s">
        <v>58</v>
      </c>
      <c r="N1198" t="s">
        <v>59</v>
      </c>
      <c r="O1198" t="s">
        <v>64</v>
      </c>
      <c r="P1198" t="str">
        <f t="shared" si="126"/>
        <v>Small Business</v>
      </c>
      <c r="Q1198" t="str">
        <f t="shared" si="127"/>
        <v>North</v>
      </c>
      <c r="R1198" t="str">
        <f>PROPER(TRIM(E1198))</f>
        <v>Electronics</v>
      </c>
      <c r="S1198" s="27">
        <f>IF(ISTEXT(B1198),DATEVALUE(B1198),B1198)</f>
        <v>45682</v>
      </c>
      <c r="T1198" s="27">
        <f>COUNTIF($A$2:$A$1986,A1198)</f>
        <v>1</v>
      </c>
      <c r="U1198" s="27" t="str">
        <f t="shared" si="128"/>
        <v>Portable Speaker</v>
      </c>
      <c r="V1198" s="27">
        <f t="shared" si="129"/>
        <v>197.88300000000001</v>
      </c>
      <c r="W1198" s="27">
        <f t="shared" si="130"/>
        <v>128.37</v>
      </c>
      <c r="X1198" s="27">
        <f>RawSalesTable3[[#This Row],[Revenue]]-RawSalesTable3[[#This Row],[Total_Cost]]</f>
        <v>69.513000000000005</v>
      </c>
      <c r="Y1198" s="28">
        <f>RawSalesTable3[[#This Row],[Profit]]/RawSalesTable3[[#This Row],[Revenue]]</f>
        <v>0.35128333409135704</v>
      </c>
      <c r="Z1198" s="27" t="str">
        <f>TEXT(RawSalesTable3[[#This Row],[Order_Date_Clean]],"MMM YYYY")</f>
        <v>Jan 2025</v>
      </c>
      <c r="AA1198" s="27"/>
      <c r="AB1198" s="27">
        <f t="shared" si="131"/>
        <v>0</v>
      </c>
      <c r="AC1198" s="27">
        <f t="shared" si="132"/>
        <v>0</v>
      </c>
    </row>
    <row r="1199" spans="1:29">
      <c r="A1199" t="s">
        <v>1302</v>
      </c>
      <c r="B1199" s="3">
        <v>45717</v>
      </c>
      <c r="C1199" t="s">
        <v>66</v>
      </c>
      <c r="D1199" t="s">
        <v>62</v>
      </c>
      <c r="E1199" t="s">
        <v>67</v>
      </c>
      <c r="F1199" t="s">
        <v>71</v>
      </c>
      <c r="G1199" s="6">
        <v>1</v>
      </c>
      <c r="H1199" s="4">
        <v>70.209999999999994</v>
      </c>
      <c r="I1199" s="4">
        <v>38.409999999999997</v>
      </c>
      <c r="J1199" s="5">
        <v>0.15000000000000002</v>
      </c>
      <c r="K1199" s="6">
        <v>1</v>
      </c>
      <c r="L1199" s="6">
        <v>4</v>
      </c>
      <c r="M1199" t="s">
        <v>58</v>
      </c>
      <c r="N1199" t="s">
        <v>69</v>
      </c>
      <c r="O1199" t="s">
        <v>64</v>
      </c>
      <c r="P1199" t="str">
        <f t="shared" si="126"/>
        <v>Individual</v>
      </c>
      <c r="Q1199" t="str">
        <f t="shared" si="127"/>
        <v>South</v>
      </c>
      <c r="R1199" t="str">
        <f>PROPER(TRIM(E1199))</f>
        <v>Office</v>
      </c>
      <c r="S1199" s="27">
        <f>IF(ISTEXT(B1199),DATEVALUE(B1199),B1199)</f>
        <v>45717</v>
      </c>
      <c r="T1199" s="27">
        <f>COUNTIF($A$2:$A$1986,A1199)</f>
        <v>1</v>
      </c>
      <c r="U1199" s="27" t="str">
        <f t="shared" si="128"/>
        <v>Ergonomic Keyboard</v>
      </c>
      <c r="V1199" s="27">
        <f t="shared" si="129"/>
        <v>59.678499999999993</v>
      </c>
      <c r="W1199" s="27">
        <f t="shared" si="130"/>
        <v>38.409999999999997</v>
      </c>
      <c r="X1199" s="27">
        <f>RawSalesTable3[[#This Row],[Revenue]]-RawSalesTable3[[#This Row],[Total_Cost]]</f>
        <v>21.268499999999996</v>
      </c>
      <c r="Y1199" s="28">
        <f>RawSalesTable3[[#This Row],[Profit]]/RawSalesTable3[[#This Row],[Revenue]]</f>
        <v>0.35638462762971584</v>
      </c>
      <c r="Z1199" s="27" t="str">
        <f>TEXT(RawSalesTable3[[#This Row],[Order_Date_Clean]],"MMM YYYY")</f>
        <v>Mar 2025</v>
      </c>
      <c r="AA1199" s="27"/>
      <c r="AB1199" s="27">
        <f t="shared" si="131"/>
        <v>0</v>
      </c>
      <c r="AC1199" s="27">
        <f t="shared" si="132"/>
        <v>0</v>
      </c>
    </row>
    <row r="1200" spans="1:29">
      <c r="A1200" t="s">
        <v>1303</v>
      </c>
      <c r="B1200" s="3">
        <v>45807</v>
      </c>
      <c r="C1200" t="s">
        <v>66</v>
      </c>
      <c r="D1200" t="s">
        <v>62</v>
      </c>
      <c r="E1200" t="s">
        <v>56</v>
      </c>
      <c r="F1200" t="s">
        <v>57</v>
      </c>
      <c r="G1200" s="6">
        <v>1</v>
      </c>
      <c r="H1200" s="4">
        <v>110.73</v>
      </c>
      <c r="I1200" s="4">
        <v>68.62</v>
      </c>
      <c r="J1200" s="5">
        <v>0.05</v>
      </c>
      <c r="K1200" s="6">
        <v>2</v>
      </c>
      <c r="L1200" s="6">
        <v>5</v>
      </c>
      <c r="M1200" t="s">
        <v>58</v>
      </c>
      <c r="N1200" t="s">
        <v>69</v>
      </c>
      <c r="O1200" t="s">
        <v>64</v>
      </c>
      <c r="P1200" t="str">
        <f t="shared" si="126"/>
        <v>Individual</v>
      </c>
      <c r="Q1200" t="str">
        <f t="shared" si="127"/>
        <v>South</v>
      </c>
      <c r="R1200" t="str">
        <f>PROPER(TRIM(E1200))</f>
        <v>Home &amp; Kitchen</v>
      </c>
      <c r="S1200" s="27">
        <f>IF(ISTEXT(B1200),DATEVALUE(B1200),B1200)</f>
        <v>45807</v>
      </c>
      <c r="T1200" s="27">
        <f>COUNTIF($A$2:$A$1986,A1200)</f>
        <v>1</v>
      </c>
      <c r="U1200" s="27" t="str">
        <f t="shared" si="128"/>
        <v>Air Fryer</v>
      </c>
      <c r="V1200" s="27">
        <f t="shared" si="129"/>
        <v>105.1935</v>
      </c>
      <c r="W1200" s="27">
        <f t="shared" si="130"/>
        <v>68.62</v>
      </c>
      <c r="X1200" s="27">
        <f>RawSalesTable3[[#This Row],[Revenue]]-RawSalesTable3[[#This Row],[Total_Cost]]</f>
        <v>36.573499999999996</v>
      </c>
      <c r="Y1200" s="28">
        <f>RawSalesTable3[[#This Row],[Profit]]/RawSalesTable3[[#This Row],[Revenue]]</f>
        <v>0.34767832613231803</v>
      </c>
      <c r="Z1200" s="27" t="str">
        <f>TEXT(RawSalesTable3[[#This Row],[Order_Date_Clean]],"MMM YYYY")</f>
        <v>May 2025</v>
      </c>
      <c r="AA1200" s="27"/>
      <c r="AB1200" s="27">
        <f t="shared" si="131"/>
        <v>0</v>
      </c>
      <c r="AC1200" s="27">
        <f t="shared" si="132"/>
        <v>0</v>
      </c>
    </row>
    <row r="1201" spans="1:29">
      <c r="A1201" t="s">
        <v>1304</v>
      </c>
      <c r="B1201" s="3">
        <v>45950</v>
      </c>
      <c r="C1201" t="s">
        <v>78</v>
      </c>
      <c r="D1201" t="s">
        <v>129</v>
      </c>
      <c r="E1201" t="s">
        <v>79</v>
      </c>
      <c r="F1201" t="s">
        <v>80</v>
      </c>
      <c r="G1201" s="6">
        <v>5</v>
      </c>
      <c r="H1201" s="4">
        <v>77.12</v>
      </c>
      <c r="I1201" s="4">
        <v>43.47</v>
      </c>
      <c r="J1201" s="5">
        <v>0.1</v>
      </c>
      <c r="K1201" s="6">
        <v>3</v>
      </c>
      <c r="L1201" s="6">
        <v>4</v>
      </c>
      <c r="M1201" t="s">
        <v>58</v>
      </c>
      <c r="N1201" t="s">
        <v>59</v>
      </c>
      <c r="O1201" t="s">
        <v>73</v>
      </c>
      <c r="P1201" t="str">
        <f t="shared" si="126"/>
        <v>Corporate</v>
      </c>
      <c r="Q1201" t="str">
        <f t="shared" si="127"/>
        <v>London</v>
      </c>
      <c r="R1201" t="str">
        <f>PROPER(TRIM(E1201))</f>
        <v>Electronics</v>
      </c>
      <c r="S1201" s="27">
        <f>IF(ISTEXT(B1201),DATEVALUE(B1201),B1201)</f>
        <v>45950</v>
      </c>
      <c r="T1201" s="27">
        <f>COUNTIF($A$2:$A$1986,A1201)</f>
        <v>1</v>
      </c>
      <c r="U1201" s="27" t="str">
        <f t="shared" si="128"/>
        <v>Portable Speaker</v>
      </c>
      <c r="V1201" s="27">
        <f t="shared" si="129"/>
        <v>347.04</v>
      </c>
      <c r="W1201" s="27">
        <f t="shared" si="130"/>
        <v>217.35</v>
      </c>
      <c r="X1201" s="27">
        <f>RawSalesTable3[[#This Row],[Revenue]]-RawSalesTable3[[#This Row],[Total_Cost]]</f>
        <v>129.69000000000003</v>
      </c>
      <c r="Y1201" s="28">
        <f>RawSalesTable3[[#This Row],[Profit]]/RawSalesTable3[[#This Row],[Revenue]]</f>
        <v>0.37370331950207475</v>
      </c>
      <c r="Z1201" s="27" t="str">
        <f>TEXT(RawSalesTable3[[#This Row],[Order_Date_Clean]],"MMM YYYY")</f>
        <v>Oct 2025</v>
      </c>
      <c r="AA1201" s="27"/>
      <c r="AB1201" s="27">
        <f t="shared" si="131"/>
        <v>0</v>
      </c>
      <c r="AC1201" s="27">
        <f t="shared" si="132"/>
        <v>0</v>
      </c>
    </row>
    <row r="1202" spans="1:29">
      <c r="A1202" t="s">
        <v>1305</v>
      </c>
      <c r="B1202" s="3">
        <v>45681</v>
      </c>
      <c r="C1202" t="s">
        <v>66</v>
      </c>
      <c r="D1202" t="s">
        <v>55</v>
      </c>
      <c r="E1202" t="s">
        <v>79</v>
      </c>
      <c r="F1202" t="s">
        <v>85</v>
      </c>
      <c r="G1202" s="6">
        <v>3</v>
      </c>
      <c r="H1202" s="4">
        <v>133.54</v>
      </c>
      <c r="I1202" s="4">
        <v>82.39</v>
      </c>
      <c r="J1202" s="5">
        <v>0.05</v>
      </c>
      <c r="K1202" s="6">
        <v>4</v>
      </c>
      <c r="L1202" s="6">
        <v>4</v>
      </c>
      <c r="M1202" t="s">
        <v>58</v>
      </c>
      <c r="N1202" t="s">
        <v>87</v>
      </c>
      <c r="O1202" t="s">
        <v>64</v>
      </c>
      <c r="P1202" t="str">
        <f t="shared" si="126"/>
        <v>Small Business</v>
      </c>
      <c r="Q1202" t="str">
        <f t="shared" si="127"/>
        <v>South</v>
      </c>
      <c r="R1202" t="str">
        <f>PROPER(TRIM(E1202))</f>
        <v>Electronics</v>
      </c>
      <c r="S1202" s="27">
        <f>IF(ISTEXT(B1202),DATEVALUE(B1202),B1202)</f>
        <v>45681</v>
      </c>
      <c r="T1202" s="27">
        <f>COUNTIF($A$2:$A$1986,A1202)</f>
        <v>1</v>
      </c>
      <c r="U1202" s="27" t="str">
        <f t="shared" si="128"/>
        <v>SmartHome Hub</v>
      </c>
      <c r="V1202" s="27">
        <f t="shared" si="129"/>
        <v>380.589</v>
      </c>
      <c r="W1202" s="27">
        <f t="shared" si="130"/>
        <v>247.17000000000002</v>
      </c>
      <c r="X1202" s="27">
        <f>RawSalesTable3[[#This Row],[Revenue]]-RawSalesTable3[[#This Row],[Total_Cost]]</f>
        <v>133.41899999999998</v>
      </c>
      <c r="Y1202" s="28">
        <f>RawSalesTable3[[#This Row],[Profit]]/RawSalesTable3[[#This Row],[Revenue]]</f>
        <v>0.35055926471863347</v>
      </c>
      <c r="Z1202" s="27" t="str">
        <f>TEXT(RawSalesTable3[[#This Row],[Order_Date_Clean]],"MMM YYYY")</f>
        <v>Jan 2025</v>
      </c>
      <c r="AA1202" s="27"/>
      <c r="AB1202" s="27">
        <f t="shared" si="131"/>
        <v>0</v>
      </c>
      <c r="AC1202" s="27">
        <f t="shared" si="132"/>
        <v>0</v>
      </c>
    </row>
    <row r="1203" spans="1:29">
      <c r="A1203" t="s">
        <v>1306</v>
      </c>
      <c r="B1203" s="3">
        <v>45896</v>
      </c>
      <c r="C1203" t="s">
        <v>54</v>
      </c>
      <c r="D1203" t="s">
        <v>55</v>
      </c>
      <c r="E1203" t="s">
        <v>75</v>
      </c>
      <c r="F1203" t="s">
        <v>110</v>
      </c>
      <c r="G1203" s="6">
        <v>6</v>
      </c>
      <c r="H1203" s="4">
        <v>158.22999999999999</v>
      </c>
      <c r="I1203" s="4">
        <v>104.45</v>
      </c>
      <c r="J1203" s="5">
        <v>0</v>
      </c>
      <c r="K1203" s="6">
        <v>1</v>
      </c>
      <c r="L1203" s="6">
        <v>5</v>
      </c>
      <c r="M1203" t="s">
        <v>58</v>
      </c>
      <c r="N1203" t="s">
        <v>69</v>
      </c>
      <c r="O1203" t="s">
        <v>60</v>
      </c>
      <c r="P1203" t="str">
        <f t="shared" si="126"/>
        <v>Small Business</v>
      </c>
      <c r="Q1203" t="str">
        <f t="shared" si="127"/>
        <v>North</v>
      </c>
      <c r="R1203" t="str">
        <f>PROPER(TRIM(E1203))</f>
        <v>Furniture</v>
      </c>
      <c r="S1203" s="27">
        <f>IF(ISTEXT(B1203),DATEVALUE(B1203),B1203)</f>
        <v>45896</v>
      </c>
      <c r="T1203" s="27">
        <f>COUNTIF($A$2:$A$1986,A1203)</f>
        <v>1</v>
      </c>
      <c r="U1203" s="27" t="str">
        <f t="shared" si="128"/>
        <v>Storage Cabinet</v>
      </c>
      <c r="V1203" s="27">
        <f t="shared" si="129"/>
        <v>949.37999999999988</v>
      </c>
      <c r="W1203" s="27">
        <f t="shared" si="130"/>
        <v>626.70000000000005</v>
      </c>
      <c r="X1203" s="27">
        <f>RawSalesTable3[[#This Row],[Revenue]]-RawSalesTable3[[#This Row],[Total_Cost]]</f>
        <v>322.67999999999984</v>
      </c>
      <c r="Y1203" s="28">
        <f>RawSalesTable3[[#This Row],[Profit]]/RawSalesTable3[[#This Row],[Revenue]]</f>
        <v>0.33988497756430497</v>
      </c>
      <c r="Z1203" s="27" t="str">
        <f>TEXT(RawSalesTable3[[#This Row],[Order_Date_Clean]],"MMM YYYY")</f>
        <v>Aug 2025</v>
      </c>
      <c r="AA1203" s="27"/>
      <c r="AB1203" s="27">
        <f t="shared" si="131"/>
        <v>0</v>
      </c>
      <c r="AC1203" s="27">
        <f t="shared" si="132"/>
        <v>0</v>
      </c>
    </row>
    <row r="1204" spans="1:29">
      <c r="A1204" t="s">
        <v>1307</v>
      </c>
      <c r="B1204" s="3">
        <v>45697</v>
      </c>
      <c r="C1204" t="s">
        <v>78</v>
      </c>
      <c r="D1204" t="s">
        <v>62</v>
      </c>
      <c r="E1204" t="s">
        <v>75</v>
      </c>
      <c r="F1204" t="s">
        <v>97</v>
      </c>
      <c r="G1204" s="6">
        <v>1</v>
      </c>
      <c r="H1204" s="4">
        <v>91.89</v>
      </c>
      <c r="I1204" s="4">
        <v>54.39</v>
      </c>
      <c r="J1204" s="5">
        <v>0.05</v>
      </c>
      <c r="K1204" s="6">
        <v>1</v>
      </c>
      <c r="L1204" s="6">
        <v>5</v>
      </c>
      <c r="M1204" t="s">
        <v>58</v>
      </c>
      <c r="N1204" t="s">
        <v>69</v>
      </c>
      <c r="O1204" t="s">
        <v>64</v>
      </c>
      <c r="P1204" t="str">
        <f t="shared" si="126"/>
        <v>Individual</v>
      </c>
      <c r="Q1204" t="str">
        <f t="shared" si="127"/>
        <v>London</v>
      </c>
      <c r="R1204" t="str">
        <f>PROPER(TRIM(E1204))</f>
        <v>Furniture</v>
      </c>
      <c r="S1204" s="27">
        <f>IF(ISTEXT(B1204),DATEVALUE(B1204),B1204)</f>
        <v>45697</v>
      </c>
      <c r="T1204" s="27">
        <f>COUNTIF($A$2:$A$1986,A1204)</f>
        <v>1</v>
      </c>
      <c r="U1204" s="27" t="str">
        <f t="shared" si="128"/>
        <v>Side Table</v>
      </c>
      <c r="V1204" s="27">
        <f t="shared" si="129"/>
        <v>87.29549999999999</v>
      </c>
      <c r="W1204" s="27">
        <f t="shared" si="130"/>
        <v>54.39</v>
      </c>
      <c r="X1204" s="27">
        <f>RawSalesTable3[[#This Row],[Revenue]]-RawSalesTable3[[#This Row],[Total_Cost]]</f>
        <v>32.905499999999989</v>
      </c>
      <c r="Y1204" s="28">
        <f>RawSalesTable3[[#This Row],[Profit]]/RawSalesTable3[[#This Row],[Revenue]]</f>
        <v>0.3769438287196934</v>
      </c>
      <c r="Z1204" s="27" t="str">
        <f>TEXT(RawSalesTable3[[#This Row],[Order_Date_Clean]],"MMM YYYY")</f>
        <v>Feb 2025</v>
      </c>
      <c r="AA1204" s="27"/>
      <c r="AB1204" s="27">
        <f t="shared" si="131"/>
        <v>0</v>
      </c>
      <c r="AC1204" s="27">
        <f t="shared" si="132"/>
        <v>0</v>
      </c>
    </row>
    <row r="1205" spans="1:29">
      <c r="A1205" t="s">
        <v>1308</v>
      </c>
      <c r="B1205" s="3">
        <v>45950</v>
      </c>
      <c r="C1205" t="s">
        <v>82</v>
      </c>
      <c r="D1205" t="s">
        <v>62</v>
      </c>
      <c r="E1205" t="s">
        <v>67</v>
      </c>
      <c r="F1205" t="s">
        <v>107</v>
      </c>
      <c r="G1205" s="6">
        <v>1</v>
      </c>
      <c r="H1205" s="4">
        <v>45.71</v>
      </c>
      <c r="I1205" s="4">
        <v>20.91</v>
      </c>
      <c r="J1205" s="5">
        <v>0</v>
      </c>
      <c r="K1205" s="6">
        <v>5</v>
      </c>
      <c r="L1205" s="6">
        <v>4</v>
      </c>
      <c r="M1205" t="s">
        <v>58</v>
      </c>
      <c r="N1205" t="s">
        <v>59</v>
      </c>
      <c r="O1205" t="s">
        <v>60</v>
      </c>
      <c r="P1205" t="str">
        <f t="shared" si="126"/>
        <v>Individual</v>
      </c>
      <c r="Q1205" t="str">
        <f t="shared" si="127"/>
        <v>Midlands</v>
      </c>
      <c r="R1205" t="str">
        <f>PROPER(TRIM(E1205))</f>
        <v>Office</v>
      </c>
      <c r="S1205" s="27">
        <f>IF(ISTEXT(B1205),DATEVALUE(B1205),B1205)</f>
        <v>45950</v>
      </c>
      <c r="T1205" s="27">
        <f>COUNTIF($A$2:$A$1986,A1205)</f>
        <v>1</v>
      </c>
      <c r="U1205" s="27" t="str">
        <f t="shared" si="128"/>
        <v>Laptop Stand</v>
      </c>
      <c r="V1205" s="27">
        <f t="shared" si="129"/>
        <v>45.71</v>
      </c>
      <c r="W1205" s="27">
        <f t="shared" si="130"/>
        <v>20.91</v>
      </c>
      <c r="X1205" s="27">
        <f>RawSalesTable3[[#This Row],[Revenue]]-RawSalesTable3[[#This Row],[Total_Cost]]</f>
        <v>24.8</v>
      </c>
      <c r="Y1205" s="28">
        <f>RawSalesTable3[[#This Row],[Profit]]/RawSalesTable3[[#This Row],[Revenue]]</f>
        <v>0.5425508641435135</v>
      </c>
      <c r="Z1205" s="27" t="str">
        <f>TEXT(RawSalesTable3[[#This Row],[Order_Date_Clean]],"MMM YYYY")</f>
        <v>Oct 2025</v>
      </c>
      <c r="AA1205" s="27"/>
      <c r="AB1205" s="27">
        <f t="shared" si="131"/>
        <v>0</v>
      </c>
      <c r="AC1205" s="27">
        <f t="shared" si="132"/>
        <v>0</v>
      </c>
    </row>
    <row r="1206" spans="1:29">
      <c r="A1206" t="s">
        <v>1309</v>
      </c>
      <c r="B1206" s="3">
        <v>45860</v>
      </c>
      <c r="C1206" t="s">
        <v>66</v>
      </c>
      <c r="D1206" t="s">
        <v>62</v>
      </c>
      <c r="E1206" t="s">
        <v>67</v>
      </c>
      <c r="F1206" t="s">
        <v>71</v>
      </c>
      <c r="G1206" s="6">
        <v>2</v>
      </c>
      <c r="H1206" s="4">
        <v>71.040000000000006</v>
      </c>
      <c r="I1206" s="4">
        <v>38.619999999999997</v>
      </c>
      <c r="J1206" s="5">
        <v>0</v>
      </c>
      <c r="K1206" s="6">
        <v>3</v>
      </c>
      <c r="L1206" s="6">
        <v>5</v>
      </c>
      <c r="M1206" t="s">
        <v>58</v>
      </c>
      <c r="N1206" t="s">
        <v>59</v>
      </c>
      <c r="O1206" t="s">
        <v>73</v>
      </c>
      <c r="P1206" t="str">
        <f t="shared" si="126"/>
        <v>Individual</v>
      </c>
      <c r="Q1206" t="str">
        <f t="shared" si="127"/>
        <v>South</v>
      </c>
      <c r="R1206" t="str">
        <f>PROPER(TRIM(E1206))</f>
        <v>Office</v>
      </c>
      <c r="S1206" s="27">
        <f>IF(ISTEXT(B1206),DATEVALUE(B1206),B1206)</f>
        <v>45860</v>
      </c>
      <c r="T1206" s="27">
        <f>COUNTIF($A$2:$A$1986,A1206)</f>
        <v>1</v>
      </c>
      <c r="U1206" s="27" t="str">
        <f t="shared" si="128"/>
        <v>Ergonomic Keyboard</v>
      </c>
      <c r="V1206" s="27">
        <f t="shared" si="129"/>
        <v>142.08000000000001</v>
      </c>
      <c r="W1206" s="27">
        <f t="shared" si="130"/>
        <v>77.239999999999995</v>
      </c>
      <c r="X1206" s="27">
        <f>RawSalesTable3[[#This Row],[Revenue]]-RawSalesTable3[[#This Row],[Total_Cost]]</f>
        <v>64.840000000000018</v>
      </c>
      <c r="Y1206" s="28">
        <f>RawSalesTable3[[#This Row],[Profit]]/RawSalesTable3[[#This Row],[Revenue]]</f>
        <v>0.45636261261261268</v>
      </c>
      <c r="Z1206" s="27" t="str">
        <f>TEXT(RawSalesTable3[[#This Row],[Order_Date_Clean]],"MMM YYYY")</f>
        <v>Jul 2025</v>
      </c>
      <c r="AA1206" s="27"/>
      <c r="AB1206" s="27">
        <f t="shared" si="131"/>
        <v>0</v>
      </c>
      <c r="AC1206" s="27">
        <f t="shared" si="132"/>
        <v>0</v>
      </c>
    </row>
    <row r="1207" spans="1:29">
      <c r="A1207" t="s">
        <v>1310</v>
      </c>
      <c r="B1207" s="3">
        <v>45750</v>
      </c>
      <c r="C1207" t="s">
        <v>54</v>
      </c>
      <c r="D1207" t="s">
        <v>62</v>
      </c>
      <c r="E1207" t="s">
        <v>67</v>
      </c>
      <c r="F1207" t="s">
        <v>68</v>
      </c>
      <c r="G1207" s="6">
        <v>1</v>
      </c>
      <c r="H1207" s="4">
        <v>41.59</v>
      </c>
      <c r="I1207" s="4">
        <v>19.09</v>
      </c>
      <c r="J1207" s="5">
        <v>0</v>
      </c>
      <c r="K1207" s="6">
        <v>5</v>
      </c>
      <c r="L1207" s="6">
        <v>3</v>
      </c>
      <c r="M1207" t="s">
        <v>126</v>
      </c>
      <c r="N1207" t="s">
        <v>59</v>
      </c>
      <c r="O1207" t="s">
        <v>64</v>
      </c>
      <c r="P1207" t="str">
        <f t="shared" si="126"/>
        <v>Individual</v>
      </c>
      <c r="Q1207" t="str">
        <f t="shared" si="127"/>
        <v>North</v>
      </c>
      <c r="R1207" t="str">
        <f>PROPER(TRIM(E1207))</f>
        <v>Office</v>
      </c>
      <c r="S1207" s="27">
        <f>IF(ISTEXT(B1207),DATEVALUE(B1207),B1207)</f>
        <v>45750</v>
      </c>
      <c r="T1207" s="27">
        <f>COUNTIF($A$2:$A$1986,A1207)</f>
        <v>1</v>
      </c>
      <c r="U1207" s="27" t="str">
        <f t="shared" si="128"/>
        <v>Desk Lamp</v>
      </c>
      <c r="V1207" s="27">
        <f t="shared" si="129"/>
        <v>41.59</v>
      </c>
      <c r="W1207" s="27">
        <f t="shared" si="130"/>
        <v>19.09</v>
      </c>
      <c r="X1207" s="27">
        <f>RawSalesTable3[[#This Row],[Revenue]]-RawSalesTable3[[#This Row],[Total_Cost]]</f>
        <v>22.500000000000004</v>
      </c>
      <c r="Y1207" s="28">
        <f>RawSalesTable3[[#This Row],[Profit]]/RawSalesTable3[[#This Row],[Revenue]]</f>
        <v>0.54099543159413321</v>
      </c>
      <c r="Z1207" s="27" t="str">
        <f>TEXT(RawSalesTable3[[#This Row],[Order_Date_Clean]],"MMM YYYY")</f>
        <v>Apr 2025</v>
      </c>
      <c r="AA1207" s="27"/>
      <c r="AB1207" s="27">
        <f t="shared" si="131"/>
        <v>0</v>
      </c>
      <c r="AC1207" s="27">
        <f t="shared" si="132"/>
        <v>0</v>
      </c>
    </row>
    <row r="1208" spans="1:29">
      <c r="A1208" t="s">
        <v>1311</v>
      </c>
      <c r="B1208" s="3">
        <v>45740</v>
      </c>
      <c r="C1208" t="s">
        <v>78</v>
      </c>
      <c r="D1208" t="s">
        <v>129</v>
      </c>
      <c r="E1208" t="s">
        <v>75</v>
      </c>
      <c r="F1208" t="s">
        <v>110</v>
      </c>
      <c r="G1208" s="6">
        <v>5</v>
      </c>
      <c r="H1208" s="4">
        <v>164.05</v>
      </c>
      <c r="I1208" s="4">
        <v>103.16</v>
      </c>
      <c r="J1208" s="5">
        <v>0.05</v>
      </c>
      <c r="K1208" s="6">
        <v>7</v>
      </c>
      <c r="L1208" s="6">
        <v>4</v>
      </c>
      <c r="M1208" t="s">
        <v>58</v>
      </c>
      <c r="N1208" t="s">
        <v>69</v>
      </c>
      <c r="O1208" t="s">
        <v>60</v>
      </c>
      <c r="P1208" t="str">
        <f t="shared" si="126"/>
        <v>Corporate</v>
      </c>
      <c r="Q1208" t="str">
        <f t="shared" si="127"/>
        <v>London</v>
      </c>
      <c r="R1208" t="str">
        <f>PROPER(TRIM(E1208))</f>
        <v>Furniture</v>
      </c>
      <c r="S1208" s="27">
        <f>IF(ISTEXT(B1208),DATEVALUE(B1208),B1208)</f>
        <v>45740</v>
      </c>
      <c r="T1208" s="27">
        <f>COUNTIF($A$2:$A$1986,A1208)</f>
        <v>1</v>
      </c>
      <c r="U1208" s="27" t="str">
        <f t="shared" si="128"/>
        <v>Storage Cabinet</v>
      </c>
      <c r="V1208" s="27">
        <f t="shared" si="129"/>
        <v>779.23749999999995</v>
      </c>
      <c r="W1208" s="27">
        <f t="shared" si="130"/>
        <v>515.79999999999995</v>
      </c>
      <c r="X1208" s="27">
        <f>RawSalesTable3[[#This Row],[Revenue]]-RawSalesTable3[[#This Row],[Total_Cost]]</f>
        <v>263.4375</v>
      </c>
      <c r="Y1208" s="28">
        <f>RawSalesTable3[[#This Row],[Profit]]/RawSalesTable3[[#This Row],[Revenue]]</f>
        <v>0.33807087056256918</v>
      </c>
      <c r="Z1208" s="27" t="str">
        <f>TEXT(RawSalesTable3[[#This Row],[Order_Date_Clean]],"MMM YYYY")</f>
        <v>Mar 2025</v>
      </c>
      <c r="AA1208" s="27"/>
      <c r="AB1208" s="27">
        <f t="shared" si="131"/>
        <v>0</v>
      </c>
      <c r="AC1208" s="27">
        <f t="shared" si="132"/>
        <v>0</v>
      </c>
    </row>
    <row r="1209" spans="1:29">
      <c r="A1209" t="s">
        <v>1312</v>
      </c>
      <c r="B1209" s="3">
        <v>45783</v>
      </c>
      <c r="C1209" t="s">
        <v>82</v>
      </c>
      <c r="D1209" t="s">
        <v>55</v>
      </c>
      <c r="E1209" t="s">
        <v>79</v>
      </c>
      <c r="F1209" t="s">
        <v>115</v>
      </c>
      <c r="G1209" s="6">
        <v>3</v>
      </c>
      <c r="H1209" s="4">
        <v>59.83</v>
      </c>
      <c r="I1209" s="4">
        <v>35.44</v>
      </c>
      <c r="J1209" s="5">
        <v>0.1</v>
      </c>
      <c r="K1209" s="6">
        <v>3</v>
      </c>
      <c r="L1209" s="6">
        <v>5</v>
      </c>
      <c r="M1209" t="s">
        <v>58</v>
      </c>
      <c r="N1209" t="s">
        <v>69</v>
      </c>
      <c r="O1209" t="s">
        <v>64</v>
      </c>
      <c r="P1209" t="str">
        <f t="shared" si="126"/>
        <v>Small Business</v>
      </c>
      <c r="Q1209" t="str">
        <f t="shared" si="127"/>
        <v>Midlands</v>
      </c>
      <c r="R1209" t="str">
        <f>PROPER(TRIM(E1209))</f>
        <v>Electronics</v>
      </c>
      <c r="S1209" s="27">
        <f>IF(ISTEXT(B1209),DATEVALUE(B1209),B1209)</f>
        <v>45783</v>
      </c>
      <c r="T1209" s="27">
        <f>COUNTIF($A$2:$A$1986,A1209)</f>
        <v>1</v>
      </c>
      <c r="U1209" s="27" t="str">
        <f t="shared" si="128"/>
        <v>Wireless Headset</v>
      </c>
      <c r="V1209" s="27">
        <f t="shared" si="129"/>
        <v>161.54100000000003</v>
      </c>
      <c r="W1209" s="27">
        <f t="shared" si="130"/>
        <v>106.32</v>
      </c>
      <c r="X1209" s="27">
        <f>RawSalesTable3[[#This Row],[Revenue]]-RawSalesTable3[[#This Row],[Total_Cost]]</f>
        <v>55.221000000000032</v>
      </c>
      <c r="Y1209" s="28">
        <f>RawSalesTable3[[#This Row],[Profit]]/RawSalesTable3[[#This Row],[Revenue]]</f>
        <v>0.34183891395992361</v>
      </c>
      <c r="Z1209" s="27" t="str">
        <f>TEXT(RawSalesTable3[[#This Row],[Order_Date_Clean]],"MMM YYYY")</f>
        <v>May 2025</v>
      </c>
      <c r="AA1209" s="27"/>
      <c r="AB1209" s="27">
        <f t="shared" si="131"/>
        <v>0</v>
      </c>
      <c r="AC1209" s="27">
        <f t="shared" si="132"/>
        <v>0</v>
      </c>
    </row>
    <row r="1210" spans="1:29">
      <c r="A1210" t="s">
        <v>1313</v>
      </c>
      <c r="B1210" s="3">
        <v>45754</v>
      </c>
      <c r="C1210" t="s">
        <v>78</v>
      </c>
      <c r="D1210" t="s">
        <v>62</v>
      </c>
      <c r="E1210" t="s">
        <v>56</v>
      </c>
      <c r="F1210" t="s">
        <v>57</v>
      </c>
      <c r="G1210" s="6">
        <v>1</v>
      </c>
      <c r="H1210" s="4">
        <v>111.51</v>
      </c>
      <c r="I1210" s="4">
        <v>68.95</v>
      </c>
      <c r="J1210" s="5">
        <v>0.05</v>
      </c>
      <c r="K1210" s="6">
        <v>2</v>
      </c>
      <c r="L1210" s="6">
        <v>5</v>
      </c>
      <c r="M1210" t="s">
        <v>58</v>
      </c>
      <c r="N1210" t="s">
        <v>59</v>
      </c>
      <c r="O1210" t="s">
        <v>64</v>
      </c>
      <c r="P1210" t="str">
        <f t="shared" si="126"/>
        <v>Individual</v>
      </c>
      <c r="Q1210" t="str">
        <f t="shared" si="127"/>
        <v>London</v>
      </c>
      <c r="R1210" t="str">
        <f>PROPER(TRIM(E1210))</f>
        <v>Home &amp; Kitchen</v>
      </c>
      <c r="S1210" s="27">
        <f>IF(ISTEXT(B1210),DATEVALUE(B1210),B1210)</f>
        <v>45754</v>
      </c>
      <c r="T1210" s="27">
        <f>COUNTIF($A$2:$A$1986,A1210)</f>
        <v>1</v>
      </c>
      <c r="U1210" s="27" t="str">
        <f t="shared" si="128"/>
        <v>Air Fryer</v>
      </c>
      <c r="V1210" s="27">
        <f t="shared" si="129"/>
        <v>105.9345</v>
      </c>
      <c r="W1210" s="27">
        <f t="shared" si="130"/>
        <v>68.95</v>
      </c>
      <c r="X1210" s="27">
        <f>RawSalesTable3[[#This Row],[Revenue]]-RawSalesTable3[[#This Row],[Total_Cost]]</f>
        <v>36.984499999999997</v>
      </c>
      <c r="Y1210" s="28">
        <f>RawSalesTable3[[#This Row],[Profit]]/RawSalesTable3[[#This Row],[Revenue]]</f>
        <v>0.34912611094591467</v>
      </c>
      <c r="Z1210" s="27" t="str">
        <f>TEXT(RawSalesTable3[[#This Row],[Order_Date_Clean]],"MMM YYYY")</f>
        <v>Apr 2025</v>
      </c>
      <c r="AA1210" s="27"/>
      <c r="AB1210" s="27">
        <f t="shared" si="131"/>
        <v>0</v>
      </c>
      <c r="AC1210" s="27">
        <f t="shared" si="132"/>
        <v>0</v>
      </c>
    </row>
    <row r="1211" spans="1:29">
      <c r="A1211" t="s">
        <v>1314</v>
      </c>
      <c r="B1211" s="3">
        <v>45794</v>
      </c>
      <c r="C1211" t="s">
        <v>78</v>
      </c>
      <c r="D1211" t="s">
        <v>55</v>
      </c>
      <c r="E1211" t="s">
        <v>75</v>
      </c>
      <c r="F1211" t="s">
        <v>97</v>
      </c>
      <c r="G1211" s="6">
        <v>2</v>
      </c>
      <c r="H1211" s="4">
        <v>87.6</v>
      </c>
      <c r="I1211" s="4">
        <v>54.49</v>
      </c>
      <c r="J1211" s="5">
        <v>0.05</v>
      </c>
      <c r="K1211" s="6">
        <v>6</v>
      </c>
      <c r="L1211" s="6">
        <v>4</v>
      </c>
      <c r="M1211" t="s">
        <v>58</v>
      </c>
      <c r="N1211" t="s">
        <v>59</v>
      </c>
      <c r="O1211" t="s">
        <v>64</v>
      </c>
      <c r="P1211" t="str">
        <f t="shared" si="126"/>
        <v>Small Business</v>
      </c>
      <c r="Q1211" t="str">
        <f t="shared" si="127"/>
        <v>London</v>
      </c>
      <c r="R1211" t="str">
        <f>PROPER(TRIM(E1211))</f>
        <v>Furniture</v>
      </c>
      <c r="S1211" s="27">
        <f>IF(ISTEXT(B1211),DATEVALUE(B1211),B1211)</f>
        <v>45794</v>
      </c>
      <c r="T1211" s="27">
        <f>COUNTIF($A$2:$A$1986,A1211)</f>
        <v>1</v>
      </c>
      <c r="U1211" s="27" t="str">
        <f t="shared" si="128"/>
        <v>Side Table</v>
      </c>
      <c r="V1211" s="27">
        <f t="shared" si="129"/>
        <v>166.43999999999997</v>
      </c>
      <c r="W1211" s="27">
        <f t="shared" si="130"/>
        <v>108.98</v>
      </c>
      <c r="X1211" s="27">
        <f>RawSalesTable3[[#This Row],[Revenue]]-RawSalesTable3[[#This Row],[Total_Cost]]</f>
        <v>57.459999999999965</v>
      </c>
      <c r="Y1211" s="28">
        <f>RawSalesTable3[[#This Row],[Profit]]/RawSalesTable3[[#This Row],[Revenue]]</f>
        <v>0.34522951213650549</v>
      </c>
      <c r="Z1211" s="27" t="str">
        <f>TEXT(RawSalesTable3[[#This Row],[Order_Date_Clean]],"MMM YYYY")</f>
        <v>May 2025</v>
      </c>
      <c r="AA1211" s="27"/>
      <c r="AB1211" s="27">
        <f t="shared" si="131"/>
        <v>0</v>
      </c>
      <c r="AC1211" s="27">
        <f t="shared" si="132"/>
        <v>0</v>
      </c>
    </row>
    <row r="1212" spans="1:29">
      <c r="A1212" t="s">
        <v>1315</v>
      </c>
      <c r="B1212" s="3">
        <v>45669</v>
      </c>
      <c r="C1212" t="s">
        <v>78</v>
      </c>
      <c r="D1212" t="s">
        <v>55</v>
      </c>
      <c r="E1212" t="s">
        <v>67</v>
      </c>
      <c r="F1212" t="s">
        <v>94</v>
      </c>
      <c r="G1212" s="6">
        <v>5</v>
      </c>
      <c r="H1212" s="4">
        <v>34.909999999999997</v>
      </c>
      <c r="I1212" s="4">
        <v>17.399999999999999</v>
      </c>
      <c r="J1212" s="5">
        <v>0.05</v>
      </c>
      <c r="K1212" s="6">
        <v>0</v>
      </c>
      <c r="L1212" s="6">
        <v>5</v>
      </c>
      <c r="M1212" t="s">
        <v>58</v>
      </c>
      <c r="N1212" t="s">
        <v>69</v>
      </c>
      <c r="O1212" t="s">
        <v>64</v>
      </c>
      <c r="P1212" t="str">
        <f t="shared" si="126"/>
        <v>Small Business</v>
      </c>
      <c r="Q1212" t="str">
        <f t="shared" si="127"/>
        <v>London</v>
      </c>
      <c r="R1212" t="str">
        <f>PROPER(TRIM(E1212))</f>
        <v>Office</v>
      </c>
      <c r="S1212" s="27">
        <f>IF(ISTEXT(B1212),DATEVALUE(B1212),B1212)</f>
        <v>45669</v>
      </c>
      <c r="T1212" s="27">
        <f>COUNTIF($A$2:$A$1986,A1212)</f>
        <v>1</v>
      </c>
      <c r="U1212" s="27" t="str">
        <f t="shared" si="128"/>
        <v>Wireless Mouse</v>
      </c>
      <c r="V1212" s="27">
        <f t="shared" si="129"/>
        <v>165.82249999999996</v>
      </c>
      <c r="W1212" s="27">
        <f t="shared" si="130"/>
        <v>87</v>
      </c>
      <c r="X1212" s="27">
        <f>RawSalesTable3[[#This Row],[Revenue]]-RawSalesTable3[[#This Row],[Total_Cost]]</f>
        <v>78.822499999999962</v>
      </c>
      <c r="Y1212" s="28">
        <f>RawSalesTable3[[#This Row],[Profit]]/RawSalesTable3[[#This Row],[Revenue]]</f>
        <v>0.47534261032127717</v>
      </c>
      <c r="Z1212" s="27" t="str">
        <f>TEXT(RawSalesTable3[[#This Row],[Order_Date_Clean]],"MMM YYYY")</f>
        <v>Jan 2025</v>
      </c>
      <c r="AA1212" s="27"/>
      <c r="AB1212" s="27">
        <f t="shared" si="131"/>
        <v>0</v>
      </c>
      <c r="AC1212" s="27">
        <f t="shared" si="132"/>
        <v>0</v>
      </c>
    </row>
    <row r="1213" spans="1:29">
      <c r="A1213" t="s">
        <v>1316</v>
      </c>
      <c r="B1213" s="3">
        <v>45962</v>
      </c>
      <c r="C1213" t="s">
        <v>78</v>
      </c>
      <c r="D1213" t="s">
        <v>62</v>
      </c>
      <c r="E1213" t="s">
        <v>75</v>
      </c>
      <c r="F1213" t="s">
        <v>97</v>
      </c>
      <c r="G1213" s="6">
        <v>3</v>
      </c>
      <c r="H1213" s="4">
        <v>91.53</v>
      </c>
      <c r="I1213" s="4">
        <v>54.56</v>
      </c>
      <c r="J1213" s="5">
        <v>0.1</v>
      </c>
      <c r="K1213" s="6">
        <v>4</v>
      </c>
      <c r="L1213" s="6">
        <v>5</v>
      </c>
      <c r="M1213" t="s">
        <v>58</v>
      </c>
      <c r="N1213" t="s">
        <v>59</v>
      </c>
      <c r="O1213" t="s">
        <v>64</v>
      </c>
      <c r="P1213" t="str">
        <f t="shared" si="126"/>
        <v>Individual</v>
      </c>
      <c r="Q1213" t="str">
        <f t="shared" si="127"/>
        <v>London</v>
      </c>
      <c r="R1213" t="str">
        <f>PROPER(TRIM(E1213))</f>
        <v>Furniture</v>
      </c>
      <c r="S1213" s="27">
        <f>IF(ISTEXT(B1213),DATEVALUE(B1213),B1213)</f>
        <v>45962</v>
      </c>
      <c r="T1213" s="27">
        <f>COUNTIF($A$2:$A$1986,A1213)</f>
        <v>1</v>
      </c>
      <c r="U1213" s="27" t="str">
        <f t="shared" si="128"/>
        <v>Side Table</v>
      </c>
      <c r="V1213" s="27">
        <f t="shared" si="129"/>
        <v>247.13100000000003</v>
      </c>
      <c r="W1213" s="27">
        <f t="shared" si="130"/>
        <v>163.68</v>
      </c>
      <c r="X1213" s="27">
        <f>RawSalesTable3[[#This Row],[Revenue]]-RawSalesTable3[[#This Row],[Total_Cost]]</f>
        <v>83.451000000000022</v>
      </c>
      <c r="Y1213" s="28">
        <f>RawSalesTable3[[#This Row],[Profit]]/RawSalesTable3[[#This Row],[Revenue]]</f>
        <v>0.33767920657465073</v>
      </c>
      <c r="Z1213" s="27" t="str">
        <f>TEXT(RawSalesTable3[[#This Row],[Order_Date_Clean]],"MMM YYYY")</f>
        <v>Nov 2025</v>
      </c>
      <c r="AA1213" s="27"/>
      <c r="AB1213" s="27">
        <f t="shared" si="131"/>
        <v>0</v>
      </c>
      <c r="AC1213" s="27">
        <f t="shared" si="132"/>
        <v>0</v>
      </c>
    </row>
    <row r="1214" spans="1:29">
      <c r="A1214" t="s">
        <v>1317</v>
      </c>
      <c r="B1214" s="3">
        <v>45962</v>
      </c>
      <c r="C1214" t="s">
        <v>78</v>
      </c>
      <c r="D1214" t="s">
        <v>62</v>
      </c>
      <c r="E1214" t="s">
        <v>67</v>
      </c>
      <c r="F1214" t="s">
        <v>68</v>
      </c>
      <c r="G1214" s="6">
        <v>1</v>
      </c>
      <c r="H1214" s="4">
        <v>41.17</v>
      </c>
      <c r="I1214" s="4">
        <v>19.05</v>
      </c>
      <c r="J1214" s="5">
        <v>0</v>
      </c>
      <c r="K1214" s="6">
        <v>6</v>
      </c>
      <c r="L1214" s="6">
        <v>4</v>
      </c>
      <c r="M1214" t="s">
        <v>58</v>
      </c>
      <c r="N1214" t="s">
        <v>59</v>
      </c>
      <c r="O1214" t="s">
        <v>64</v>
      </c>
      <c r="P1214" t="str">
        <f t="shared" si="126"/>
        <v>Individual</v>
      </c>
      <c r="Q1214" t="str">
        <f t="shared" si="127"/>
        <v>London</v>
      </c>
      <c r="R1214" t="str">
        <f>PROPER(TRIM(E1214))</f>
        <v>Office</v>
      </c>
      <c r="S1214" s="27">
        <f>IF(ISTEXT(B1214),DATEVALUE(B1214),B1214)</f>
        <v>45962</v>
      </c>
      <c r="T1214" s="27">
        <f>COUNTIF($A$2:$A$1986,A1214)</f>
        <v>1</v>
      </c>
      <c r="U1214" s="27" t="str">
        <f t="shared" si="128"/>
        <v>Desk Lamp</v>
      </c>
      <c r="V1214" s="27">
        <f t="shared" si="129"/>
        <v>41.17</v>
      </c>
      <c r="W1214" s="27">
        <f t="shared" si="130"/>
        <v>19.05</v>
      </c>
      <c r="X1214" s="27">
        <f>RawSalesTable3[[#This Row],[Revenue]]-RawSalesTable3[[#This Row],[Total_Cost]]</f>
        <v>22.12</v>
      </c>
      <c r="Y1214" s="28">
        <f>RawSalesTable3[[#This Row],[Profit]]/RawSalesTable3[[#This Row],[Revenue]]</f>
        <v>0.53728443041049312</v>
      </c>
      <c r="Z1214" s="27" t="str">
        <f>TEXT(RawSalesTable3[[#This Row],[Order_Date_Clean]],"MMM YYYY")</f>
        <v>Nov 2025</v>
      </c>
      <c r="AA1214" s="27"/>
      <c r="AB1214" s="27">
        <f t="shared" si="131"/>
        <v>0</v>
      </c>
      <c r="AC1214" s="27">
        <f t="shared" si="132"/>
        <v>0</v>
      </c>
    </row>
    <row r="1215" spans="1:29">
      <c r="A1215" t="s">
        <v>1318</v>
      </c>
      <c r="B1215" s="3">
        <v>45728</v>
      </c>
      <c r="C1215" t="s">
        <v>82</v>
      </c>
      <c r="D1215" t="s">
        <v>55</v>
      </c>
      <c r="E1215" t="s">
        <v>56</v>
      </c>
      <c r="F1215" t="s">
        <v>57</v>
      </c>
      <c r="G1215" s="6">
        <v>1</v>
      </c>
      <c r="H1215" s="4">
        <v>107.15</v>
      </c>
      <c r="I1215" s="4">
        <v>69.94</v>
      </c>
      <c r="J1215" s="5">
        <v>0</v>
      </c>
      <c r="K1215" s="6">
        <v>3</v>
      </c>
      <c r="L1215" s="6">
        <v>5</v>
      </c>
      <c r="M1215" t="s">
        <v>58</v>
      </c>
      <c r="N1215" t="s">
        <v>87</v>
      </c>
      <c r="O1215" t="s">
        <v>60</v>
      </c>
      <c r="P1215" t="str">
        <f t="shared" si="126"/>
        <v>Small Business</v>
      </c>
      <c r="Q1215" t="str">
        <f t="shared" si="127"/>
        <v>Midlands</v>
      </c>
      <c r="R1215" t="str">
        <f>PROPER(TRIM(E1215))</f>
        <v>Home &amp; Kitchen</v>
      </c>
      <c r="S1215" s="27">
        <f>IF(ISTEXT(B1215),DATEVALUE(B1215),B1215)</f>
        <v>45728</v>
      </c>
      <c r="T1215" s="27">
        <f>COUNTIF($A$2:$A$1986,A1215)</f>
        <v>1</v>
      </c>
      <c r="U1215" s="27" t="str">
        <f t="shared" si="128"/>
        <v>Air Fryer</v>
      </c>
      <c r="V1215" s="27">
        <f t="shared" si="129"/>
        <v>107.15</v>
      </c>
      <c r="W1215" s="27">
        <f t="shared" si="130"/>
        <v>69.94</v>
      </c>
      <c r="X1215" s="27">
        <f>RawSalesTable3[[#This Row],[Revenue]]-RawSalesTable3[[#This Row],[Total_Cost]]</f>
        <v>37.210000000000008</v>
      </c>
      <c r="Y1215" s="28">
        <f>RawSalesTable3[[#This Row],[Profit]]/RawSalesTable3[[#This Row],[Revenue]]</f>
        <v>0.34727018198786752</v>
      </c>
      <c r="Z1215" s="27" t="str">
        <f>TEXT(RawSalesTable3[[#This Row],[Order_Date_Clean]],"MMM YYYY")</f>
        <v>Mar 2025</v>
      </c>
      <c r="AA1215" s="27"/>
      <c r="AB1215" s="27">
        <f t="shared" si="131"/>
        <v>0</v>
      </c>
      <c r="AC1215" s="27">
        <f t="shared" si="132"/>
        <v>0</v>
      </c>
    </row>
    <row r="1216" spans="1:29">
      <c r="A1216" t="s">
        <v>1319</v>
      </c>
      <c r="B1216" s="3">
        <v>45973</v>
      </c>
      <c r="C1216" t="s">
        <v>78</v>
      </c>
      <c r="D1216" t="s">
        <v>62</v>
      </c>
      <c r="E1216" t="s">
        <v>67</v>
      </c>
      <c r="F1216" t="s">
        <v>107</v>
      </c>
      <c r="G1216" s="6">
        <v>1</v>
      </c>
      <c r="H1216" s="4">
        <v>43.97</v>
      </c>
      <c r="I1216" s="4">
        <v>20.65</v>
      </c>
      <c r="J1216" s="5">
        <v>0.05</v>
      </c>
      <c r="K1216" s="6">
        <v>4</v>
      </c>
      <c r="L1216" s="6">
        <v>4</v>
      </c>
      <c r="M1216" t="s">
        <v>58</v>
      </c>
      <c r="N1216" t="s">
        <v>59</v>
      </c>
      <c r="O1216" t="s">
        <v>60</v>
      </c>
      <c r="P1216" t="str">
        <f t="shared" si="126"/>
        <v>Individual</v>
      </c>
      <c r="Q1216" t="str">
        <f t="shared" si="127"/>
        <v>London</v>
      </c>
      <c r="R1216" t="str">
        <f>PROPER(TRIM(E1216))</f>
        <v>Office</v>
      </c>
      <c r="S1216" s="27">
        <f>IF(ISTEXT(B1216),DATEVALUE(B1216),B1216)</f>
        <v>45973</v>
      </c>
      <c r="T1216" s="27">
        <f>COUNTIF($A$2:$A$1986,A1216)</f>
        <v>1</v>
      </c>
      <c r="U1216" s="27" t="str">
        <f t="shared" si="128"/>
        <v>Laptop Stand</v>
      </c>
      <c r="V1216" s="27">
        <f t="shared" si="129"/>
        <v>41.771499999999996</v>
      </c>
      <c r="W1216" s="27">
        <f t="shared" si="130"/>
        <v>20.65</v>
      </c>
      <c r="X1216" s="27">
        <f>RawSalesTable3[[#This Row],[Revenue]]-RawSalesTable3[[#This Row],[Total_Cost]]</f>
        <v>21.121499999999997</v>
      </c>
      <c r="Y1216" s="28">
        <f>RawSalesTable3[[#This Row],[Profit]]/RawSalesTable3[[#This Row],[Revenue]]</f>
        <v>0.50564380019870003</v>
      </c>
      <c r="Z1216" s="27" t="str">
        <f>TEXT(RawSalesTable3[[#This Row],[Order_Date_Clean]],"MMM YYYY")</f>
        <v>Nov 2025</v>
      </c>
      <c r="AA1216" s="27"/>
      <c r="AB1216" s="27">
        <f t="shared" si="131"/>
        <v>0</v>
      </c>
      <c r="AC1216" s="27">
        <f t="shared" si="132"/>
        <v>0</v>
      </c>
    </row>
    <row r="1217" spans="1:33">
      <c r="A1217" t="s">
        <v>1320</v>
      </c>
      <c r="B1217" s="3">
        <v>45907</v>
      </c>
      <c r="C1217" t="s">
        <v>82</v>
      </c>
      <c r="D1217" t="s">
        <v>55</v>
      </c>
      <c r="E1217" t="s">
        <v>67</v>
      </c>
      <c r="F1217" t="s">
        <v>107</v>
      </c>
      <c r="G1217" s="6">
        <v>2</v>
      </c>
      <c r="H1217" s="4">
        <v>46.07</v>
      </c>
      <c r="I1217" s="4">
        <v>21.01</v>
      </c>
      <c r="J1217" s="5">
        <v>0</v>
      </c>
      <c r="K1217" s="6">
        <v>3</v>
      </c>
      <c r="L1217" s="6">
        <v>4</v>
      </c>
      <c r="M1217" t="s">
        <v>58</v>
      </c>
      <c r="N1217" t="s">
        <v>69</v>
      </c>
      <c r="O1217" t="s">
        <v>64</v>
      </c>
      <c r="P1217" t="str">
        <f t="shared" si="126"/>
        <v>Small Business</v>
      </c>
      <c r="Q1217" t="str">
        <f t="shared" si="127"/>
        <v>Midlands</v>
      </c>
      <c r="R1217" t="str">
        <f>PROPER(TRIM(E1217))</f>
        <v>Office</v>
      </c>
      <c r="S1217" s="27">
        <f>IF(ISTEXT(B1217),DATEVALUE(B1217),B1217)</f>
        <v>45907</v>
      </c>
      <c r="T1217" s="27">
        <f>COUNTIF($A$2:$A$1986,A1217)</f>
        <v>1</v>
      </c>
      <c r="U1217" s="27" t="str">
        <f t="shared" si="128"/>
        <v>Laptop Stand</v>
      </c>
      <c r="V1217" s="27">
        <f t="shared" si="129"/>
        <v>92.14</v>
      </c>
      <c r="W1217" s="27">
        <f t="shared" si="130"/>
        <v>42.02</v>
      </c>
      <c r="X1217" s="27">
        <f>RawSalesTable3[[#This Row],[Revenue]]-RawSalesTable3[[#This Row],[Total_Cost]]</f>
        <v>50.12</v>
      </c>
      <c r="Y1217" s="28">
        <f>RawSalesTable3[[#This Row],[Profit]]/RawSalesTable3[[#This Row],[Revenue]]</f>
        <v>0.54395485131321897</v>
      </c>
      <c r="Z1217" s="27" t="str">
        <f>TEXT(RawSalesTable3[[#This Row],[Order_Date_Clean]],"MMM YYYY")</f>
        <v>Sep 2025</v>
      </c>
      <c r="AA1217" s="27"/>
      <c r="AB1217" s="27">
        <f t="shared" si="131"/>
        <v>0</v>
      </c>
      <c r="AC1217" s="27">
        <f t="shared" si="132"/>
        <v>0</v>
      </c>
    </row>
    <row r="1218" spans="1:33">
      <c r="A1218" t="s">
        <v>1321</v>
      </c>
      <c r="B1218" s="3">
        <v>45953</v>
      </c>
      <c r="C1218" t="s">
        <v>66</v>
      </c>
      <c r="D1218" t="s">
        <v>62</v>
      </c>
      <c r="E1218" t="s">
        <v>79</v>
      </c>
      <c r="F1218" t="s">
        <v>115</v>
      </c>
      <c r="G1218" s="6">
        <v>1</v>
      </c>
      <c r="H1218" s="4">
        <v>61.54</v>
      </c>
      <c r="I1218" s="4">
        <v>34.46</v>
      </c>
      <c r="J1218" s="5">
        <v>0.05</v>
      </c>
      <c r="K1218" s="6">
        <v>2</v>
      </c>
      <c r="L1218" s="6">
        <v>4</v>
      </c>
      <c r="M1218" t="s">
        <v>58</v>
      </c>
      <c r="N1218" t="s">
        <v>69</v>
      </c>
      <c r="O1218" t="s">
        <v>64</v>
      </c>
      <c r="P1218" t="str">
        <f t="shared" ref="P1218:P1281" si="133">IF(TRIM(D1218)="","Unknow",PROPER(TRIM(D1218)))</f>
        <v>Individual</v>
      </c>
      <c r="Q1218" t="str">
        <f t="shared" ref="Q1218:Q1281" si="134">IF(PROPER(TRIM(C1218))="Mid Lands","Midlands",PROPER(TRIM(C1218)))</f>
        <v>South</v>
      </c>
      <c r="R1218" t="str">
        <f>PROPER(TRIM(E1218))</f>
        <v>Electronics</v>
      </c>
      <c r="S1218" s="27">
        <f>IF(ISTEXT(B1218),DATEVALUE(B1218),B1218)</f>
        <v>45953</v>
      </c>
      <c r="T1218" s="27">
        <f>COUNTIF($A$2:$A$1986,A1218)</f>
        <v>1</v>
      </c>
      <c r="U1218" s="27" t="str">
        <f t="shared" ref="U1218:U1281" si="135">TRIM(F1218)</f>
        <v>Wireless Headset</v>
      </c>
      <c r="V1218" s="27">
        <f t="shared" ref="V1218:V1281" si="136">G1218*H1218*(1-J1218)</f>
        <v>58.462999999999994</v>
      </c>
      <c r="W1218" s="27">
        <f t="shared" ref="W1218:W1281" si="137">G1218*I1218</f>
        <v>34.46</v>
      </c>
      <c r="X1218" s="27">
        <f>RawSalesTable3[[#This Row],[Revenue]]-RawSalesTable3[[#This Row],[Total_Cost]]</f>
        <v>24.002999999999993</v>
      </c>
      <c r="Y1218" s="28">
        <f>RawSalesTable3[[#This Row],[Profit]]/RawSalesTable3[[#This Row],[Revenue]]</f>
        <v>0.41056736739476241</v>
      </c>
      <c r="Z1218" s="27" t="str">
        <f>TEXT(RawSalesTable3[[#This Row],[Order_Date_Clean]],"MMM YYYY")</f>
        <v>Oct 2025</v>
      </c>
      <c r="AA1218" s="27"/>
      <c r="AB1218" s="27">
        <f t="shared" ref="AB1218:AB1281" si="138">SUMIF($Z:$Z,AA1218,$V:$V)</f>
        <v>0</v>
      </c>
      <c r="AC1218" s="27">
        <f t="shared" ref="AC1218:AC1281" si="139">SUMIF($Z:$Z,AA1218,$X:$X)</f>
        <v>0</v>
      </c>
    </row>
    <row r="1219" spans="1:33">
      <c r="A1219" t="s">
        <v>1322</v>
      </c>
      <c r="B1219" s="3">
        <v>45978</v>
      </c>
      <c r="C1219" t="s">
        <v>54</v>
      </c>
      <c r="D1219" t="s">
        <v>62</v>
      </c>
      <c r="E1219" t="s">
        <v>56</v>
      </c>
      <c r="F1219" t="s">
        <v>83</v>
      </c>
      <c r="G1219" s="6">
        <v>1</v>
      </c>
      <c r="H1219" s="4">
        <v>63.21</v>
      </c>
      <c r="I1219" s="4">
        <v>36.74</v>
      </c>
      <c r="J1219" s="5">
        <v>0.05</v>
      </c>
      <c r="K1219" s="6">
        <v>4</v>
      </c>
      <c r="L1219" s="6">
        <v>4</v>
      </c>
      <c r="M1219" t="s">
        <v>58</v>
      </c>
      <c r="N1219" t="s">
        <v>69</v>
      </c>
      <c r="O1219" t="s">
        <v>64</v>
      </c>
      <c r="P1219" t="str">
        <f t="shared" si="133"/>
        <v>Individual</v>
      </c>
      <c r="Q1219" t="str">
        <f t="shared" si="134"/>
        <v>North</v>
      </c>
      <c r="R1219" t="str">
        <f>PROPER(TRIM(E1219))</f>
        <v>Home &amp; Kitchen</v>
      </c>
      <c r="S1219" s="27">
        <f>IF(ISTEXT(B1219),DATEVALUE(B1219),B1219)</f>
        <v>45978</v>
      </c>
      <c r="T1219" s="27">
        <f>COUNTIF($A$2:$A$1986,A1219)</f>
        <v>1</v>
      </c>
      <c r="U1219" s="27" t="str">
        <f t="shared" si="135"/>
        <v>Blender</v>
      </c>
      <c r="V1219" s="27">
        <f t="shared" si="136"/>
        <v>60.049499999999995</v>
      </c>
      <c r="W1219" s="27">
        <f t="shared" si="137"/>
        <v>36.74</v>
      </c>
      <c r="X1219" s="27">
        <f>RawSalesTable3[[#This Row],[Revenue]]-RawSalesTable3[[#This Row],[Total_Cost]]</f>
        <v>23.309499999999993</v>
      </c>
      <c r="Y1219" s="28">
        <f>RawSalesTable3[[#This Row],[Profit]]/RawSalesTable3[[#This Row],[Revenue]]</f>
        <v>0.38817142524084286</v>
      </c>
      <c r="Z1219" s="27" t="str">
        <f>TEXT(RawSalesTable3[[#This Row],[Order_Date_Clean]],"MMM YYYY")</f>
        <v>Nov 2025</v>
      </c>
      <c r="AA1219" s="27"/>
      <c r="AB1219" s="27">
        <f t="shared" si="138"/>
        <v>0</v>
      </c>
      <c r="AC1219" s="27">
        <f t="shared" si="139"/>
        <v>0</v>
      </c>
    </row>
    <row r="1220" spans="1:33">
      <c r="A1220" t="s">
        <v>1323</v>
      </c>
      <c r="B1220" s="3">
        <v>45898</v>
      </c>
      <c r="C1220" t="s">
        <v>82</v>
      </c>
      <c r="D1220" t="s">
        <v>62</v>
      </c>
      <c r="E1220" t="s">
        <v>67</v>
      </c>
      <c r="F1220" t="s">
        <v>107</v>
      </c>
      <c r="G1220" s="6">
        <v>1</v>
      </c>
      <c r="H1220" s="4">
        <v>45</v>
      </c>
      <c r="I1220" s="4">
        <v>20.87</v>
      </c>
      <c r="J1220" s="5">
        <v>0</v>
      </c>
      <c r="K1220" s="6">
        <v>2</v>
      </c>
      <c r="L1220" s="6">
        <v>4</v>
      </c>
      <c r="M1220" t="s">
        <v>58</v>
      </c>
      <c r="N1220" t="s">
        <v>69</v>
      </c>
      <c r="O1220" t="s">
        <v>64</v>
      </c>
      <c r="P1220" t="str">
        <f t="shared" si="133"/>
        <v>Individual</v>
      </c>
      <c r="Q1220" t="str">
        <f t="shared" si="134"/>
        <v>Midlands</v>
      </c>
      <c r="R1220" t="str">
        <f>PROPER(TRIM(E1220))</f>
        <v>Office</v>
      </c>
      <c r="S1220" s="27">
        <f>IF(ISTEXT(B1220),DATEVALUE(B1220),B1220)</f>
        <v>45898</v>
      </c>
      <c r="T1220" s="27">
        <f>COUNTIF($A$2:$A$1986,A1220)</f>
        <v>1</v>
      </c>
      <c r="U1220" s="27" t="str">
        <f t="shared" si="135"/>
        <v>Laptop Stand</v>
      </c>
      <c r="V1220" s="27">
        <f t="shared" si="136"/>
        <v>45</v>
      </c>
      <c r="W1220" s="27">
        <f t="shared" si="137"/>
        <v>20.87</v>
      </c>
      <c r="X1220" s="27">
        <f>RawSalesTable3[[#This Row],[Revenue]]-RawSalesTable3[[#This Row],[Total_Cost]]</f>
        <v>24.13</v>
      </c>
      <c r="Y1220" s="28">
        <f>RawSalesTable3[[#This Row],[Profit]]/RawSalesTable3[[#This Row],[Revenue]]</f>
        <v>0.53622222222222216</v>
      </c>
      <c r="Z1220" s="27" t="str">
        <f>TEXT(RawSalesTable3[[#This Row],[Order_Date_Clean]],"MMM YYYY")</f>
        <v>Aug 2025</v>
      </c>
      <c r="AA1220" s="27"/>
      <c r="AB1220" s="27">
        <f t="shared" si="138"/>
        <v>0</v>
      </c>
      <c r="AC1220" s="27">
        <f t="shared" si="139"/>
        <v>0</v>
      </c>
    </row>
    <row r="1221" spans="1:33">
      <c r="A1221" t="s">
        <v>1324</v>
      </c>
      <c r="B1221" s="3">
        <v>45896</v>
      </c>
      <c r="C1221" t="s">
        <v>82</v>
      </c>
      <c r="D1221" t="s">
        <v>62</v>
      </c>
      <c r="E1221" t="s">
        <v>67</v>
      </c>
      <c r="F1221" t="s">
        <v>107</v>
      </c>
      <c r="G1221" s="6">
        <v>1</v>
      </c>
      <c r="H1221" s="4">
        <v>44.16</v>
      </c>
      <c r="I1221" s="4">
        <v>21.95</v>
      </c>
      <c r="J1221" s="5">
        <v>0.05</v>
      </c>
      <c r="K1221" s="6">
        <v>2</v>
      </c>
      <c r="L1221" s="6">
        <v>4</v>
      </c>
      <c r="M1221" t="s">
        <v>58</v>
      </c>
      <c r="N1221" t="s">
        <v>69</v>
      </c>
      <c r="O1221" t="s">
        <v>64</v>
      </c>
      <c r="P1221" t="str">
        <f t="shared" si="133"/>
        <v>Individual</v>
      </c>
      <c r="Q1221" t="str">
        <f t="shared" si="134"/>
        <v>Midlands</v>
      </c>
      <c r="R1221" t="str">
        <f>PROPER(TRIM(E1221))</f>
        <v>Office</v>
      </c>
      <c r="S1221" s="27">
        <f>IF(ISTEXT(B1221),DATEVALUE(B1221),B1221)</f>
        <v>45896</v>
      </c>
      <c r="T1221" s="27">
        <f>COUNTIF($A$2:$A$1986,A1221)</f>
        <v>1</v>
      </c>
      <c r="U1221" s="27" t="str">
        <f t="shared" si="135"/>
        <v>Laptop Stand</v>
      </c>
      <c r="V1221" s="27">
        <f t="shared" si="136"/>
        <v>41.951999999999998</v>
      </c>
      <c r="W1221" s="27">
        <f t="shared" si="137"/>
        <v>21.95</v>
      </c>
      <c r="X1221" s="27">
        <f>RawSalesTable3[[#This Row],[Revenue]]-RawSalesTable3[[#This Row],[Total_Cost]]</f>
        <v>20.001999999999999</v>
      </c>
      <c r="Y1221" s="28">
        <f>RawSalesTable3[[#This Row],[Profit]]/RawSalesTable3[[#This Row],[Revenue]]</f>
        <v>0.4767829900839054</v>
      </c>
      <c r="Z1221" s="27" t="str">
        <f>TEXT(RawSalesTable3[[#This Row],[Order_Date_Clean]],"MMM YYYY")</f>
        <v>Aug 2025</v>
      </c>
      <c r="AA1221" s="27"/>
      <c r="AB1221" s="27">
        <f t="shared" si="138"/>
        <v>0</v>
      </c>
      <c r="AC1221" s="27">
        <f t="shared" si="139"/>
        <v>0</v>
      </c>
    </row>
    <row r="1222" spans="1:33">
      <c r="A1222" t="s">
        <v>1325</v>
      </c>
      <c r="B1222" s="3">
        <v>45994</v>
      </c>
      <c r="C1222" t="s">
        <v>66</v>
      </c>
      <c r="D1222" t="s">
        <v>55</v>
      </c>
      <c r="E1222" t="s">
        <v>79</v>
      </c>
      <c r="F1222" t="s">
        <v>92</v>
      </c>
      <c r="G1222" s="6">
        <v>3</v>
      </c>
      <c r="H1222" s="4">
        <v>48.72</v>
      </c>
      <c r="I1222" s="4">
        <v>26.09</v>
      </c>
      <c r="J1222" s="5">
        <v>0.2</v>
      </c>
      <c r="K1222" s="6">
        <v>5</v>
      </c>
      <c r="L1222" s="6">
        <v>5</v>
      </c>
      <c r="M1222" t="s">
        <v>58</v>
      </c>
      <c r="N1222" t="s">
        <v>59</v>
      </c>
      <c r="O1222" t="s">
        <v>64</v>
      </c>
      <c r="P1222" t="str">
        <f t="shared" si="133"/>
        <v>Small Business</v>
      </c>
      <c r="Q1222" t="str">
        <f t="shared" si="134"/>
        <v>South</v>
      </c>
      <c r="R1222" t="str">
        <f>PROPER(TRIM(E1222))</f>
        <v>Electronics</v>
      </c>
      <c r="S1222" s="27">
        <f>IF(ISTEXT(B1222),DATEVALUE(B1222),B1222)</f>
        <v>45994</v>
      </c>
      <c r="T1222" s="27">
        <f>COUNTIF($A$2:$A$1986,A1222)</f>
        <v>1</v>
      </c>
      <c r="U1222" s="27" t="str">
        <f t="shared" si="135"/>
        <v>Webcam</v>
      </c>
      <c r="V1222" s="27">
        <f t="shared" si="136"/>
        <v>116.928</v>
      </c>
      <c r="W1222" s="27">
        <f t="shared" si="137"/>
        <v>78.27</v>
      </c>
      <c r="X1222" s="27">
        <f>RawSalesTable3[[#This Row],[Revenue]]-RawSalesTable3[[#This Row],[Total_Cost]]</f>
        <v>38.658000000000001</v>
      </c>
      <c r="Y1222" s="28">
        <f>RawSalesTable3[[#This Row],[Profit]]/RawSalesTable3[[#This Row],[Revenue]]</f>
        <v>0.33061371100164205</v>
      </c>
      <c r="Z1222" s="27" t="str">
        <f>TEXT(RawSalesTable3[[#This Row],[Order_Date_Clean]],"MMM YYYY")</f>
        <v>Dec 2025</v>
      </c>
      <c r="AA1222" s="27"/>
      <c r="AB1222" s="27">
        <f t="shared" si="138"/>
        <v>0</v>
      </c>
      <c r="AC1222" s="27">
        <f t="shared" si="139"/>
        <v>0</v>
      </c>
    </row>
    <row r="1223" spans="1:33">
      <c r="A1223" t="s">
        <v>1326</v>
      </c>
      <c r="B1223" s="3">
        <v>45942</v>
      </c>
      <c r="C1223" t="s">
        <v>66</v>
      </c>
      <c r="D1223" t="s">
        <v>55</v>
      </c>
      <c r="E1223" t="s">
        <v>79</v>
      </c>
      <c r="F1223" t="s">
        <v>80</v>
      </c>
      <c r="G1223" s="6">
        <v>3</v>
      </c>
      <c r="H1223" s="4">
        <v>74.67</v>
      </c>
      <c r="I1223" s="4">
        <v>43</v>
      </c>
      <c r="J1223" s="5">
        <v>0.1</v>
      </c>
      <c r="K1223" s="6">
        <v>5</v>
      </c>
      <c r="L1223" s="6">
        <v>5</v>
      </c>
      <c r="M1223" t="s">
        <v>58</v>
      </c>
      <c r="N1223" t="s">
        <v>59</v>
      </c>
      <c r="O1223" t="s">
        <v>64</v>
      </c>
      <c r="P1223" t="str">
        <f t="shared" si="133"/>
        <v>Small Business</v>
      </c>
      <c r="Q1223" t="str">
        <f t="shared" si="134"/>
        <v>South</v>
      </c>
      <c r="R1223" t="str">
        <f>PROPER(TRIM(E1223))</f>
        <v>Electronics</v>
      </c>
      <c r="S1223" s="27">
        <f>IF(ISTEXT(B1223),DATEVALUE(B1223),B1223)</f>
        <v>45942</v>
      </c>
      <c r="T1223" s="27">
        <f>COUNTIF($A$2:$A$1986,A1223)</f>
        <v>1</v>
      </c>
      <c r="U1223" s="27" t="str">
        <f t="shared" si="135"/>
        <v>Portable Speaker</v>
      </c>
      <c r="V1223" s="27">
        <f t="shared" si="136"/>
        <v>201.60900000000001</v>
      </c>
      <c r="W1223" s="27">
        <f t="shared" si="137"/>
        <v>129</v>
      </c>
      <c r="X1223" s="27">
        <f>RawSalesTable3[[#This Row],[Revenue]]-RawSalesTable3[[#This Row],[Total_Cost]]</f>
        <v>72.609000000000009</v>
      </c>
      <c r="Y1223" s="28">
        <f>RawSalesTable3[[#This Row],[Profit]]/RawSalesTable3[[#This Row],[Revenue]]</f>
        <v>0.36014761245777721</v>
      </c>
      <c r="Z1223" s="27" t="str">
        <f>TEXT(RawSalesTable3[[#This Row],[Order_Date_Clean]],"MMM YYYY")</f>
        <v>Oct 2025</v>
      </c>
      <c r="AA1223" s="27"/>
      <c r="AB1223" s="27">
        <f t="shared" si="138"/>
        <v>0</v>
      </c>
      <c r="AC1223" s="27">
        <f t="shared" si="139"/>
        <v>0</v>
      </c>
    </row>
    <row r="1224" spans="1:33">
      <c r="A1224" t="s">
        <v>1327</v>
      </c>
      <c r="B1224" s="3">
        <v>45764</v>
      </c>
      <c r="C1224" t="s">
        <v>82</v>
      </c>
      <c r="D1224" t="s">
        <v>55</v>
      </c>
      <c r="E1224" t="s">
        <v>67</v>
      </c>
      <c r="F1224" t="s">
        <v>68</v>
      </c>
      <c r="G1224" s="6">
        <v>3</v>
      </c>
      <c r="H1224" s="4">
        <v>40.06</v>
      </c>
      <c r="I1224" s="4">
        <v>19.89</v>
      </c>
      <c r="J1224" s="5">
        <v>0</v>
      </c>
      <c r="K1224" s="6">
        <v>2</v>
      </c>
      <c r="L1224" s="6">
        <v>4</v>
      </c>
      <c r="M1224" t="s">
        <v>58</v>
      </c>
      <c r="N1224" t="s">
        <v>69</v>
      </c>
      <c r="O1224" t="s">
        <v>64</v>
      </c>
      <c r="P1224" t="str">
        <f t="shared" si="133"/>
        <v>Small Business</v>
      </c>
      <c r="Q1224" t="str">
        <f t="shared" si="134"/>
        <v>Midlands</v>
      </c>
      <c r="R1224" t="str">
        <f>PROPER(TRIM(E1224))</f>
        <v>Office</v>
      </c>
      <c r="S1224" s="27">
        <f>IF(ISTEXT(B1224),DATEVALUE(B1224),B1224)</f>
        <v>45764</v>
      </c>
      <c r="T1224" s="27">
        <f>COUNTIF($A$2:$A$1986,A1224)</f>
        <v>1</v>
      </c>
      <c r="U1224" s="27" t="str">
        <f t="shared" si="135"/>
        <v>Desk Lamp</v>
      </c>
      <c r="V1224" s="27">
        <f t="shared" si="136"/>
        <v>120.18</v>
      </c>
      <c r="W1224" s="27">
        <f t="shared" si="137"/>
        <v>59.67</v>
      </c>
      <c r="X1224" s="27">
        <f>RawSalesTable3[[#This Row],[Revenue]]-RawSalesTable3[[#This Row],[Total_Cost]]</f>
        <v>60.510000000000005</v>
      </c>
      <c r="Y1224" s="28">
        <f>RawSalesTable3[[#This Row],[Profit]]/RawSalesTable3[[#This Row],[Revenue]]</f>
        <v>0.50349475786320519</v>
      </c>
      <c r="Z1224" s="27" t="str">
        <f>TEXT(RawSalesTable3[[#This Row],[Order_Date_Clean]],"MMM YYYY")</f>
        <v>Apr 2025</v>
      </c>
      <c r="AA1224" s="27"/>
      <c r="AB1224" s="27">
        <f t="shared" si="138"/>
        <v>0</v>
      </c>
      <c r="AC1224" s="27">
        <f t="shared" si="139"/>
        <v>0</v>
      </c>
    </row>
    <row r="1225" spans="1:33">
      <c r="A1225" t="s">
        <v>1328</v>
      </c>
      <c r="B1225" s="3">
        <v>45867</v>
      </c>
      <c r="C1225" t="s">
        <v>66</v>
      </c>
      <c r="D1225" t="s">
        <v>62</v>
      </c>
      <c r="E1225" t="s">
        <v>56</v>
      </c>
      <c r="F1225" t="s">
        <v>57</v>
      </c>
      <c r="G1225" s="6">
        <v>1</v>
      </c>
      <c r="H1225" s="4">
        <v>106.8</v>
      </c>
      <c r="I1225" s="4">
        <v>68.86</v>
      </c>
      <c r="J1225" s="5">
        <v>0.1</v>
      </c>
      <c r="K1225" s="6">
        <v>0</v>
      </c>
      <c r="L1225" s="6">
        <v>5</v>
      </c>
      <c r="M1225" t="s">
        <v>58</v>
      </c>
      <c r="N1225" t="s">
        <v>69</v>
      </c>
      <c r="O1225" t="s">
        <v>64</v>
      </c>
      <c r="P1225" t="str">
        <f t="shared" si="133"/>
        <v>Individual</v>
      </c>
      <c r="Q1225" t="str">
        <f t="shared" si="134"/>
        <v>South</v>
      </c>
      <c r="R1225" t="str">
        <f>PROPER(TRIM(E1225))</f>
        <v>Home &amp; Kitchen</v>
      </c>
      <c r="S1225" s="27">
        <f>IF(ISTEXT(B1225),DATEVALUE(B1225),B1225)</f>
        <v>45867</v>
      </c>
      <c r="T1225" s="27">
        <f>COUNTIF($A$2:$A$1986,A1225)</f>
        <v>1</v>
      </c>
      <c r="U1225" s="27" t="str">
        <f t="shared" si="135"/>
        <v>Air Fryer</v>
      </c>
      <c r="V1225" s="27">
        <f t="shared" si="136"/>
        <v>96.12</v>
      </c>
      <c r="W1225" s="27">
        <f t="shared" si="137"/>
        <v>68.86</v>
      </c>
      <c r="X1225" s="27">
        <f>RawSalesTable3[[#This Row],[Revenue]]-RawSalesTable3[[#This Row],[Total_Cost]]</f>
        <v>27.260000000000005</v>
      </c>
      <c r="Y1225" s="28">
        <f>RawSalesTable3[[#This Row],[Profit]]/RawSalesTable3[[#This Row],[Revenue]]</f>
        <v>0.28360382854764882</v>
      </c>
      <c r="Z1225" s="27" t="str">
        <f>TEXT(RawSalesTable3[[#This Row],[Order_Date_Clean]],"MMM YYYY")</f>
        <v>Jul 2025</v>
      </c>
      <c r="AA1225" s="27"/>
      <c r="AB1225" s="27">
        <f t="shared" si="138"/>
        <v>0</v>
      </c>
      <c r="AC1225" s="27">
        <f t="shared" si="139"/>
        <v>0</v>
      </c>
    </row>
    <row r="1226" spans="1:33">
      <c r="A1226" t="s">
        <v>1329</v>
      </c>
      <c r="B1226" s="3">
        <v>45884</v>
      </c>
      <c r="C1226" t="s">
        <v>78</v>
      </c>
      <c r="D1226" t="s">
        <v>55</v>
      </c>
      <c r="E1226" t="s">
        <v>75</v>
      </c>
      <c r="F1226" t="s">
        <v>146</v>
      </c>
      <c r="G1226" s="6">
        <v>3</v>
      </c>
      <c r="H1226" s="4">
        <v>182.25</v>
      </c>
      <c r="I1226" s="4">
        <v>119.99</v>
      </c>
      <c r="J1226" s="5">
        <v>0</v>
      </c>
      <c r="K1226" s="6">
        <v>8</v>
      </c>
      <c r="L1226" s="6">
        <v>4</v>
      </c>
      <c r="M1226" t="s">
        <v>58</v>
      </c>
      <c r="N1226" t="s">
        <v>59</v>
      </c>
      <c r="O1226" t="s">
        <v>64</v>
      </c>
      <c r="P1226" t="str">
        <f t="shared" si="133"/>
        <v>Small Business</v>
      </c>
      <c r="Q1226" t="str">
        <f t="shared" si="134"/>
        <v>London</v>
      </c>
      <c r="R1226" t="str">
        <f>PROPER(TRIM(E1226))</f>
        <v>Furniture</v>
      </c>
      <c r="S1226" s="27">
        <f>IF(ISTEXT(B1226),DATEVALUE(B1226),B1226)</f>
        <v>45884</v>
      </c>
      <c r="T1226" s="27">
        <f>COUNTIF($A$2:$A$1986,A1226)</f>
        <v>1</v>
      </c>
      <c r="U1226" s="27" t="str">
        <f t="shared" si="135"/>
        <v>Office Chair</v>
      </c>
      <c r="V1226" s="27">
        <f t="shared" si="136"/>
        <v>546.75</v>
      </c>
      <c r="W1226" s="27">
        <f t="shared" si="137"/>
        <v>359.96999999999997</v>
      </c>
      <c r="X1226" s="27">
        <f>RawSalesTable3[[#This Row],[Revenue]]-RawSalesTable3[[#This Row],[Total_Cost]]</f>
        <v>186.78000000000003</v>
      </c>
      <c r="Y1226" s="28">
        <f>RawSalesTable3[[#This Row],[Profit]]/RawSalesTable3[[#This Row],[Revenue]]</f>
        <v>0.34161865569272981</v>
      </c>
      <c r="Z1226" s="27" t="str">
        <f>TEXT(RawSalesTable3[[#This Row],[Order_Date_Clean]],"MMM YYYY")</f>
        <v>Aug 2025</v>
      </c>
      <c r="AA1226" s="27"/>
      <c r="AB1226" s="27">
        <f t="shared" si="138"/>
        <v>0</v>
      </c>
      <c r="AC1226" s="27">
        <f t="shared" si="139"/>
        <v>0</v>
      </c>
    </row>
    <row r="1227" spans="1:33">
      <c r="A1227" t="s">
        <v>1330</v>
      </c>
      <c r="B1227" s="3">
        <v>46000</v>
      </c>
      <c r="C1227" t="s">
        <v>82</v>
      </c>
      <c r="D1227" t="s">
        <v>129</v>
      </c>
      <c r="E1227" t="s">
        <v>79</v>
      </c>
      <c r="F1227" t="s">
        <v>115</v>
      </c>
      <c r="G1227" s="6">
        <v>2</v>
      </c>
      <c r="H1227" s="4">
        <v>58.78</v>
      </c>
      <c r="I1227" s="4">
        <v>33.159999999999997</v>
      </c>
      <c r="J1227" s="5">
        <v>0.2</v>
      </c>
      <c r="K1227" s="6">
        <v>0</v>
      </c>
      <c r="L1227" s="6">
        <v>4</v>
      </c>
      <c r="M1227" t="s">
        <v>58</v>
      </c>
      <c r="N1227" t="s">
        <v>69</v>
      </c>
      <c r="O1227" t="s">
        <v>60</v>
      </c>
      <c r="P1227" t="str">
        <f t="shared" si="133"/>
        <v>Corporate</v>
      </c>
      <c r="Q1227" t="str">
        <f t="shared" si="134"/>
        <v>Midlands</v>
      </c>
      <c r="R1227" t="str">
        <f>PROPER(TRIM(E1227))</f>
        <v>Electronics</v>
      </c>
      <c r="S1227" s="27">
        <f>IF(ISTEXT(B1227),DATEVALUE(B1227),B1227)</f>
        <v>46000</v>
      </c>
      <c r="T1227" s="27">
        <f>COUNTIF($A$2:$A$1986,A1227)</f>
        <v>1</v>
      </c>
      <c r="U1227" s="27" t="str">
        <f t="shared" si="135"/>
        <v>Wireless Headset</v>
      </c>
      <c r="V1227" s="27">
        <f t="shared" si="136"/>
        <v>94.048000000000002</v>
      </c>
      <c r="W1227" s="27">
        <f t="shared" si="137"/>
        <v>66.319999999999993</v>
      </c>
      <c r="X1227" s="27">
        <f>RawSalesTable3[[#This Row],[Revenue]]-RawSalesTable3[[#This Row],[Total_Cost]]</f>
        <v>27.728000000000009</v>
      </c>
      <c r="Y1227" s="28">
        <f>RawSalesTable3[[#This Row],[Profit]]/RawSalesTable3[[#This Row],[Revenue]]</f>
        <v>0.29482817284790752</v>
      </c>
      <c r="Z1227" s="27" t="str">
        <f>TEXT(RawSalesTable3[[#This Row],[Order_Date_Clean]],"MMM YYYY")</f>
        <v>Dec 2025</v>
      </c>
      <c r="AA1227" s="27"/>
      <c r="AB1227" s="27">
        <f t="shared" si="138"/>
        <v>0</v>
      </c>
      <c r="AC1227" s="27">
        <f t="shared" si="139"/>
        <v>0</v>
      </c>
    </row>
    <row r="1228" spans="1:33">
      <c r="A1228" t="s">
        <v>1331</v>
      </c>
      <c r="B1228" s="3">
        <v>45896</v>
      </c>
      <c r="C1228" t="s">
        <v>54</v>
      </c>
      <c r="D1228" t="s">
        <v>62</v>
      </c>
      <c r="E1228" t="s">
        <v>75</v>
      </c>
      <c r="F1228" t="s">
        <v>76</v>
      </c>
      <c r="G1228" s="6">
        <v>2</v>
      </c>
      <c r="H1228" s="4">
        <v>121.22</v>
      </c>
      <c r="I1228" s="4">
        <v>73.760000000000005</v>
      </c>
      <c r="J1228" s="5">
        <v>0.05</v>
      </c>
      <c r="K1228" s="6">
        <v>6</v>
      </c>
      <c r="L1228" s="6">
        <v>4</v>
      </c>
      <c r="M1228" t="s">
        <v>58</v>
      </c>
      <c r="N1228" t="s">
        <v>59</v>
      </c>
      <c r="O1228" t="s">
        <v>60</v>
      </c>
      <c r="P1228" t="str">
        <f t="shared" si="133"/>
        <v>Individual</v>
      </c>
      <c r="Q1228" t="str">
        <f t="shared" si="134"/>
        <v>North</v>
      </c>
      <c r="R1228" t="str">
        <f>PROPER(TRIM(E1228))</f>
        <v>Furniture</v>
      </c>
      <c r="S1228" s="27">
        <f>IF(ISTEXT(B1228),DATEVALUE(B1228),B1228)</f>
        <v>45896</v>
      </c>
      <c r="T1228" s="27">
        <f>COUNTIF($A$2:$A$1986,A1228)</f>
        <v>1</v>
      </c>
      <c r="U1228" s="27" t="str">
        <f t="shared" si="135"/>
        <v>Bookshelf</v>
      </c>
      <c r="V1228" s="27">
        <f t="shared" si="136"/>
        <v>230.31799999999998</v>
      </c>
      <c r="W1228" s="27">
        <f t="shared" si="137"/>
        <v>147.52000000000001</v>
      </c>
      <c r="X1228" s="27">
        <f>RawSalesTable3[[#This Row],[Revenue]]-RawSalesTable3[[#This Row],[Total_Cost]]</f>
        <v>82.797999999999973</v>
      </c>
      <c r="Y1228" s="28">
        <f>RawSalesTable3[[#This Row],[Profit]]/RawSalesTable3[[#This Row],[Revenue]]</f>
        <v>0.35949426445175792</v>
      </c>
      <c r="Z1228" s="27" t="str">
        <f>TEXT(RawSalesTable3[[#This Row],[Order_Date_Clean]],"MMM YYYY")</f>
        <v>Aug 2025</v>
      </c>
      <c r="AA1228" s="27"/>
      <c r="AB1228" s="27">
        <f t="shared" si="138"/>
        <v>0</v>
      </c>
      <c r="AC1228" s="27">
        <f t="shared" si="139"/>
        <v>0</v>
      </c>
    </row>
    <row r="1229" spans="1:33">
      <c r="A1229" t="s">
        <v>1332</v>
      </c>
      <c r="B1229" s="3">
        <v>45696</v>
      </c>
      <c r="C1229" t="s">
        <v>78</v>
      </c>
      <c r="D1229" t="s">
        <v>55</v>
      </c>
      <c r="E1229" t="s">
        <v>75</v>
      </c>
      <c r="F1229" t="s">
        <v>110</v>
      </c>
      <c r="G1229" s="6">
        <v>4</v>
      </c>
      <c r="H1229" s="4">
        <v>155.68</v>
      </c>
      <c r="I1229" s="4">
        <v>105.93</v>
      </c>
      <c r="J1229" s="5">
        <v>0</v>
      </c>
      <c r="K1229" s="6">
        <v>9</v>
      </c>
      <c r="L1229" s="6">
        <v>3</v>
      </c>
      <c r="M1229" t="s">
        <v>58</v>
      </c>
      <c r="N1229" t="s">
        <v>59</v>
      </c>
      <c r="O1229" t="s">
        <v>64</v>
      </c>
      <c r="P1229" t="str">
        <f t="shared" si="133"/>
        <v>Small Business</v>
      </c>
      <c r="Q1229" t="str">
        <f t="shared" si="134"/>
        <v>London</v>
      </c>
      <c r="R1229" t="str">
        <f>PROPER(TRIM(E1229))</f>
        <v>Furniture</v>
      </c>
      <c r="S1229" s="27">
        <f>IF(ISTEXT(B1229),DATEVALUE(B1229),B1229)</f>
        <v>45696</v>
      </c>
      <c r="T1229" s="27">
        <f>COUNTIF($A$2:$A$1986,A1229)</f>
        <v>1</v>
      </c>
      <c r="U1229" s="27" t="str">
        <f t="shared" si="135"/>
        <v>Storage Cabinet</v>
      </c>
      <c r="V1229" s="27">
        <f t="shared" si="136"/>
        <v>622.72</v>
      </c>
      <c r="W1229" s="27">
        <f t="shared" si="137"/>
        <v>423.72</v>
      </c>
      <c r="X1229" s="27">
        <f>RawSalesTable3[[#This Row],[Revenue]]-RawSalesTable3[[#This Row],[Total_Cost]]</f>
        <v>199</v>
      </c>
      <c r="Y1229" s="28">
        <f>RawSalesTable3[[#This Row],[Profit]]/RawSalesTable3[[#This Row],[Revenue]]</f>
        <v>0.31956577595066804</v>
      </c>
      <c r="Z1229" s="27" t="str">
        <f>TEXT(RawSalesTable3[[#This Row],[Order_Date_Clean]],"MMM YYYY")</f>
        <v>Feb 2025</v>
      </c>
      <c r="AA1229" s="27"/>
      <c r="AB1229" s="27">
        <f t="shared" si="138"/>
        <v>0</v>
      </c>
      <c r="AC1229" s="27">
        <f t="shared" si="139"/>
        <v>0</v>
      </c>
    </row>
    <row r="1230" spans="1:33">
      <c r="A1230" t="s">
        <v>1333</v>
      </c>
      <c r="B1230" s="3">
        <v>45727</v>
      </c>
      <c r="C1230" t="s">
        <v>82</v>
      </c>
      <c r="D1230" t="s">
        <v>62</v>
      </c>
      <c r="E1230" t="s">
        <v>79</v>
      </c>
      <c r="F1230" t="s">
        <v>85</v>
      </c>
      <c r="G1230" s="6">
        <v>2</v>
      </c>
      <c r="H1230" s="4">
        <v>133.46</v>
      </c>
      <c r="I1230" s="4">
        <v>87.87</v>
      </c>
      <c r="J1230" s="5">
        <v>0.05</v>
      </c>
      <c r="K1230" s="6">
        <v>6</v>
      </c>
      <c r="L1230" s="6">
        <v>3</v>
      </c>
      <c r="M1230" t="s">
        <v>126</v>
      </c>
      <c r="N1230" t="s">
        <v>87</v>
      </c>
      <c r="O1230" t="s">
        <v>64</v>
      </c>
      <c r="P1230" t="str">
        <f t="shared" si="133"/>
        <v>Individual</v>
      </c>
      <c r="Q1230" t="str">
        <f t="shared" si="134"/>
        <v>Midlands</v>
      </c>
      <c r="R1230" t="str">
        <f>PROPER(TRIM(E1230))</f>
        <v>Electronics</v>
      </c>
      <c r="S1230" s="27">
        <f>IF(ISTEXT(B1230),DATEVALUE(B1230),B1230)</f>
        <v>45727</v>
      </c>
      <c r="T1230" s="27">
        <f>COUNTIF($A$2:$A$1986,A1230)</f>
        <v>1</v>
      </c>
      <c r="U1230" s="27" t="str">
        <f t="shared" si="135"/>
        <v>SmartHome Hub</v>
      </c>
      <c r="V1230" s="27">
        <f t="shared" si="136"/>
        <v>253.57400000000001</v>
      </c>
      <c r="W1230" s="27">
        <f t="shared" si="137"/>
        <v>175.74</v>
      </c>
      <c r="X1230" s="27">
        <f>RawSalesTable3[[#This Row],[Revenue]]-RawSalesTable3[[#This Row],[Total_Cost]]</f>
        <v>77.834000000000003</v>
      </c>
      <c r="Y1230" s="28">
        <f>RawSalesTable3[[#This Row],[Profit]]/RawSalesTable3[[#This Row],[Revenue]]</f>
        <v>0.3069478732046661</v>
      </c>
      <c r="Z1230" s="27" t="str">
        <f>TEXT(RawSalesTable3[[#This Row],[Order_Date_Clean]],"MMM YYYY")</f>
        <v>Mar 2025</v>
      </c>
      <c r="AA1230" s="27"/>
      <c r="AB1230" s="27">
        <f t="shared" si="138"/>
        <v>0</v>
      </c>
      <c r="AC1230" s="27">
        <f t="shared" si="139"/>
        <v>0</v>
      </c>
      <c r="AG1230">
        <f>SUBTOTAL(103,$A$2:$A$1986)</f>
        <v>1985</v>
      </c>
    </row>
    <row r="1231" spans="1:33">
      <c r="A1231" t="s">
        <v>1334</v>
      </c>
      <c r="B1231" s="3" t="s">
        <v>1335</v>
      </c>
      <c r="C1231" t="s">
        <v>54</v>
      </c>
      <c r="D1231" t="s">
        <v>62</v>
      </c>
      <c r="E1231" t="s">
        <v>75</v>
      </c>
      <c r="F1231" t="s">
        <v>110</v>
      </c>
      <c r="G1231" s="6">
        <v>2</v>
      </c>
      <c r="H1231" s="4">
        <v>161.06</v>
      </c>
      <c r="I1231" s="4">
        <v>105.33</v>
      </c>
      <c r="J1231" s="5">
        <v>0.1</v>
      </c>
      <c r="K1231" s="6">
        <v>5</v>
      </c>
      <c r="L1231" s="6">
        <v>5</v>
      </c>
      <c r="M1231" t="s">
        <v>58</v>
      </c>
      <c r="N1231" t="s">
        <v>59</v>
      </c>
      <c r="O1231" t="s">
        <v>64</v>
      </c>
      <c r="P1231" t="str">
        <f t="shared" si="133"/>
        <v>Individual</v>
      </c>
      <c r="Q1231" t="str">
        <f t="shared" si="134"/>
        <v>North</v>
      </c>
      <c r="R1231" t="str">
        <f>PROPER(TRIM(E1231))</f>
        <v>Furniture</v>
      </c>
      <c r="S1231" s="27">
        <f>IF(ISTEXT(B1231),DATEVALUE(B1231),B1231)</f>
        <v>45797</v>
      </c>
      <c r="T1231" s="27">
        <f>COUNTIF($A$2:$A$1986,A1231)</f>
        <v>1</v>
      </c>
      <c r="U1231" s="27" t="str">
        <f t="shared" si="135"/>
        <v>Storage Cabinet</v>
      </c>
      <c r="V1231" s="27">
        <f t="shared" si="136"/>
        <v>289.90800000000002</v>
      </c>
      <c r="W1231" s="27">
        <f t="shared" si="137"/>
        <v>210.66</v>
      </c>
      <c r="X1231" s="27">
        <f>RawSalesTable3[[#This Row],[Revenue]]-RawSalesTable3[[#This Row],[Total_Cost]]</f>
        <v>79.248000000000019</v>
      </c>
      <c r="Y1231" s="28">
        <f>RawSalesTable3[[#This Row],[Profit]]/RawSalesTable3[[#This Row],[Revenue]]</f>
        <v>0.27335568525187304</v>
      </c>
      <c r="Z1231" s="27" t="str">
        <f>TEXT(RawSalesTable3[[#This Row],[Order_Date_Clean]],"MMM YYYY")</f>
        <v>May 2025</v>
      </c>
      <c r="AA1231" s="27"/>
      <c r="AB1231" s="27">
        <f t="shared" si="138"/>
        <v>0</v>
      </c>
      <c r="AC1231" s="27">
        <f t="shared" si="139"/>
        <v>0</v>
      </c>
    </row>
    <row r="1232" spans="1:33">
      <c r="A1232" t="s">
        <v>1336</v>
      </c>
      <c r="B1232" s="3" t="s">
        <v>1337</v>
      </c>
      <c r="C1232" t="s">
        <v>66</v>
      </c>
      <c r="D1232" t="s">
        <v>62</v>
      </c>
      <c r="E1232" t="s">
        <v>79</v>
      </c>
      <c r="F1232" t="s">
        <v>92</v>
      </c>
      <c r="G1232" s="6">
        <v>1</v>
      </c>
      <c r="H1232" s="4">
        <v>50.11</v>
      </c>
      <c r="I1232" s="4">
        <v>25.42</v>
      </c>
      <c r="J1232" s="5">
        <v>0</v>
      </c>
      <c r="K1232" s="6">
        <v>2</v>
      </c>
      <c r="L1232" s="6">
        <v>3</v>
      </c>
      <c r="M1232" t="s">
        <v>126</v>
      </c>
      <c r="N1232" t="s">
        <v>69</v>
      </c>
      <c r="O1232" t="s">
        <v>64</v>
      </c>
      <c r="P1232" t="str">
        <f t="shared" si="133"/>
        <v>Individual</v>
      </c>
      <c r="Q1232" t="str">
        <f t="shared" si="134"/>
        <v>South</v>
      </c>
      <c r="R1232" t="str">
        <f>PROPER(TRIM(E1232))</f>
        <v>Electronics</v>
      </c>
      <c r="S1232" s="27">
        <f>IF(ISTEXT(B1232),DATEVALUE(B1232),B1232)</f>
        <v>45739</v>
      </c>
      <c r="T1232" s="27">
        <f>COUNTIF($A$2:$A$1986,A1232)</f>
        <v>1</v>
      </c>
      <c r="U1232" s="27" t="str">
        <f t="shared" si="135"/>
        <v>Webcam</v>
      </c>
      <c r="V1232" s="27">
        <f t="shared" si="136"/>
        <v>50.11</v>
      </c>
      <c r="W1232" s="27">
        <f t="shared" si="137"/>
        <v>25.42</v>
      </c>
      <c r="X1232" s="27">
        <f>RawSalesTable3[[#This Row],[Revenue]]-RawSalesTable3[[#This Row],[Total_Cost]]</f>
        <v>24.689999999999998</v>
      </c>
      <c r="Y1232" s="28">
        <f>RawSalesTable3[[#This Row],[Profit]]/RawSalesTable3[[#This Row],[Revenue]]</f>
        <v>0.49271602474555976</v>
      </c>
      <c r="Z1232" s="27" t="str">
        <f>TEXT(RawSalesTable3[[#This Row],[Order_Date_Clean]],"MMM YYYY")</f>
        <v>Mar 2025</v>
      </c>
      <c r="AA1232" s="27"/>
      <c r="AB1232" s="27">
        <f t="shared" si="138"/>
        <v>0</v>
      </c>
      <c r="AC1232" s="27">
        <f t="shared" si="139"/>
        <v>0</v>
      </c>
      <c r="AE1232">
        <f>SUBTOTAL(103,$A$2:$A$1986)</f>
        <v>1985</v>
      </c>
    </row>
    <row r="1233" spans="1:29">
      <c r="A1233" t="s">
        <v>1338</v>
      </c>
      <c r="B1233" s="3">
        <v>45854</v>
      </c>
      <c r="C1233" t="s">
        <v>78</v>
      </c>
      <c r="D1233" t="s">
        <v>62</v>
      </c>
      <c r="E1233" t="s">
        <v>75</v>
      </c>
      <c r="F1233" t="s">
        <v>146</v>
      </c>
      <c r="G1233" s="6">
        <v>1</v>
      </c>
      <c r="H1233" s="4">
        <v>182.13</v>
      </c>
      <c r="I1233" s="4">
        <v>114.21</v>
      </c>
      <c r="J1233" s="5">
        <v>0</v>
      </c>
      <c r="K1233" s="6">
        <v>7</v>
      </c>
      <c r="L1233" s="6">
        <v>4</v>
      </c>
      <c r="M1233" t="s">
        <v>58</v>
      </c>
      <c r="N1233" t="s">
        <v>59</v>
      </c>
      <c r="O1233" t="s">
        <v>64</v>
      </c>
      <c r="P1233" t="str">
        <f t="shared" si="133"/>
        <v>Individual</v>
      </c>
      <c r="Q1233" t="str">
        <f t="shared" si="134"/>
        <v>London</v>
      </c>
      <c r="R1233" t="str">
        <f>PROPER(TRIM(E1233))</f>
        <v>Furniture</v>
      </c>
      <c r="S1233" s="27">
        <f>IF(ISTEXT(B1233),DATEVALUE(B1233),B1233)</f>
        <v>45854</v>
      </c>
      <c r="T1233" s="27">
        <f>COUNTIF($A$2:$A$1986,A1233)</f>
        <v>1</v>
      </c>
      <c r="U1233" s="27" t="str">
        <f t="shared" si="135"/>
        <v>Office Chair</v>
      </c>
      <c r="V1233" s="27">
        <f t="shared" si="136"/>
        <v>182.13</v>
      </c>
      <c r="W1233" s="27">
        <f t="shared" si="137"/>
        <v>114.21</v>
      </c>
      <c r="X1233" s="27">
        <f>RawSalesTable3[[#This Row],[Revenue]]-RawSalesTable3[[#This Row],[Total_Cost]]</f>
        <v>67.92</v>
      </c>
      <c r="Y1233" s="28">
        <f>RawSalesTable3[[#This Row],[Profit]]/RawSalesTable3[[#This Row],[Revenue]]</f>
        <v>0.37292044144292541</v>
      </c>
      <c r="Z1233" s="27" t="str">
        <f>TEXT(RawSalesTable3[[#This Row],[Order_Date_Clean]],"MMM YYYY")</f>
        <v>Jul 2025</v>
      </c>
      <c r="AA1233" s="27"/>
      <c r="AB1233" s="27">
        <f t="shared" si="138"/>
        <v>0</v>
      </c>
      <c r="AC1233" s="27">
        <f t="shared" si="139"/>
        <v>0</v>
      </c>
    </row>
    <row r="1234" spans="1:29">
      <c r="A1234" t="s">
        <v>1339</v>
      </c>
      <c r="B1234" s="3">
        <v>45973</v>
      </c>
      <c r="C1234" t="s">
        <v>82</v>
      </c>
      <c r="D1234" t="s">
        <v>62</v>
      </c>
      <c r="E1234" t="s">
        <v>79</v>
      </c>
      <c r="F1234" t="s">
        <v>115</v>
      </c>
      <c r="G1234" s="6">
        <v>1</v>
      </c>
      <c r="H1234" s="4">
        <v>60.87</v>
      </c>
      <c r="I1234" s="4">
        <v>33.51</v>
      </c>
      <c r="J1234" s="5">
        <v>0.05</v>
      </c>
      <c r="K1234" s="6">
        <v>0</v>
      </c>
      <c r="L1234" s="6">
        <v>5</v>
      </c>
      <c r="M1234" t="s">
        <v>58</v>
      </c>
      <c r="N1234" t="s">
        <v>69</v>
      </c>
      <c r="O1234" t="s">
        <v>64</v>
      </c>
      <c r="P1234" t="str">
        <f t="shared" si="133"/>
        <v>Individual</v>
      </c>
      <c r="Q1234" t="str">
        <f t="shared" si="134"/>
        <v>Midlands</v>
      </c>
      <c r="R1234" t="str">
        <f>PROPER(TRIM(E1234))</f>
        <v>Electronics</v>
      </c>
      <c r="S1234" s="27">
        <f>IF(ISTEXT(B1234),DATEVALUE(B1234),B1234)</f>
        <v>45973</v>
      </c>
      <c r="T1234" s="27">
        <f>COUNTIF($A$2:$A$1986,A1234)</f>
        <v>1</v>
      </c>
      <c r="U1234" s="27" t="str">
        <f t="shared" si="135"/>
        <v>Wireless Headset</v>
      </c>
      <c r="V1234" s="27">
        <f t="shared" si="136"/>
        <v>57.826499999999996</v>
      </c>
      <c r="W1234" s="27">
        <f t="shared" si="137"/>
        <v>33.51</v>
      </c>
      <c r="X1234" s="27">
        <f>RawSalesTable3[[#This Row],[Revenue]]-RawSalesTable3[[#This Row],[Total_Cost]]</f>
        <v>24.316499999999998</v>
      </c>
      <c r="Y1234" s="28">
        <f>RawSalesTable3[[#This Row],[Profit]]/RawSalesTable3[[#This Row],[Revenue]]</f>
        <v>0.42050789862779175</v>
      </c>
      <c r="Z1234" s="27" t="str">
        <f>TEXT(RawSalesTable3[[#This Row],[Order_Date_Clean]],"MMM YYYY")</f>
        <v>Nov 2025</v>
      </c>
      <c r="AA1234" s="27"/>
      <c r="AB1234" s="27">
        <f t="shared" si="138"/>
        <v>0</v>
      </c>
      <c r="AC1234" s="27">
        <f t="shared" si="139"/>
        <v>0</v>
      </c>
    </row>
    <row r="1235" spans="1:29">
      <c r="A1235" t="s">
        <v>1340</v>
      </c>
      <c r="B1235" s="3">
        <v>46019</v>
      </c>
      <c r="C1235" t="s">
        <v>82</v>
      </c>
      <c r="D1235" t="s">
        <v>62</v>
      </c>
      <c r="E1235" t="s">
        <v>79</v>
      </c>
      <c r="F1235" t="s">
        <v>115</v>
      </c>
      <c r="G1235" s="6">
        <v>4</v>
      </c>
      <c r="H1235" s="4">
        <v>59.55</v>
      </c>
      <c r="I1235" s="4">
        <v>35.4</v>
      </c>
      <c r="J1235" s="5">
        <v>0.15000000000000002</v>
      </c>
      <c r="K1235" s="6">
        <v>3</v>
      </c>
      <c r="L1235" s="6">
        <v>4</v>
      </c>
      <c r="M1235" t="s">
        <v>58</v>
      </c>
      <c r="N1235" t="s">
        <v>59</v>
      </c>
      <c r="O1235" t="s">
        <v>64</v>
      </c>
      <c r="P1235" t="str">
        <f t="shared" si="133"/>
        <v>Individual</v>
      </c>
      <c r="Q1235" t="str">
        <f t="shared" si="134"/>
        <v>Midlands</v>
      </c>
      <c r="R1235" t="str">
        <f>PROPER(TRIM(E1235))</f>
        <v>Electronics</v>
      </c>
      <c r="S1235" s="27">
        <f>IF(ISTEXT(B1235),DATEVALUE(B1235),B1235)</f>
        <v>46019</v>
      </c>
      <c r="T1235" s="27">
        <f>COUNTIF($A$2:$A$1986,A1235)</f>
        <v>1</v>
      </c>
      <c r="U1235" s="27" t="str">
        <f t="shared" si="135"/>
        <v>Wireless Headset</v>
      </c>
      <c r="V1235" s="27">
        <f t="shared" si="136"/>
        <v>202.47</v>
      </c>
      <c r="W1235" s="27">
        <f t="shared" si="137"/>
        <v>141.6</v>
      </c>
      <c r="X1235" s="27">
        <f>RawSalesTable3[[#This Row],[Revenue]]-RawSalesTable3[[#This Row],[Total_Cost]]</f>
        <v>60.870000000000005</v>
      </c>
      <c r="Y1235" s="28">
        <f>RawSalesTable3[[#This Row],[Profit]]/RawSalesTable3[[#This Row],[Revenue]]</f>
        <v>0.30063713142687809</v>
      </c>
      <c r="Z1235" s="27" t="str">
        <f>TEXT(RawSalesTable3[[#This Row],[Order_Date_Clean]],"MMM YYYY")</f>
        <v>Dec 2025</v>
      </c>
      <c r="AA1235" s="27"/>
      <c r="AB1235" s="27">
        <f t="shared" si="138"/>
        <v>0</v>
      </c>
      <c r="AC1235" s="27">
        <f t="shared" si="139"/>
        <v>0</v>
      </c>
    </row>
    <row r="1236" spans="1:29">
      <c r="A1236" t="s">
        <v>1341</v>
      </c>
      <c r="B1236" s="3">
        <v>45832</v>
      </c>
      <c r="C1236" t="s">
        <v>78</v>
      </c>
      <c r="D1236" t="s">
        <v>55</v>
      </c>
      <c r="E1236" t="s">
        <v>75</v>
      </c>
      <c r="F1236" t="s">
        <v>76</v>
      </c>
      <c r="G1236" s="6">
        <v>3</v>
      </c>
      <c r="H1236" s="4">
        <v>120.92</v>
      </c>
      <c r="I1236" s="4">
        <v>75.16</v>
      </c>
      <c r="J1236" s="5">
        <v>0</v>
      </c>
      <c r="K1236" s="6">
        <v>2</v>
      </c>
      <c r="L1236" s="6">
        <v>4</v>
      </c>
      <c r="M1236" t="s">
        <v>58</v>
      </c>
      <c r="N1236" t="s">
        <v>69</v>
      </c>
      <c r="O1236" t="s">
        <v>73</v>
      </c>
      <c r="P1236" t="str">
        <f t="shared" si="133"/>
        <v>Small Business</v>
      </c>
      <c r="Q1236" t="str">
        <f t="shared" si="134"/>
        <v>London</v>
      </c>
      <c r="R1236" t="str">
        <f>PROPER(TRIM(E1236))</f>
        <v>Furniture</v>
      </c>
      <c r="S1236" s="27">
        <f>IF(ISTEXT(B1236),DATEVALUE(B1236),B1236)</f>
        <v>45832</v>
      </c>
      <c r="T1236" s="27">
        <f>COUNTIF($A$2:$A$1986,A1236)</f>
        <v>1</v>
      </c>
      <c r="U1236" s="27" t="str">
        <f t="shared" si="135"/>
        <v>Bookshelf</v>
      </c>
      <c r="V1236" s="27">
        <f t="shared" si="136"/>
        <v>362.76</v>
      </c>
      <c r="W1236" s="27">
        <f t="shared" si="137"/>
        <v>225.48</v>
      </c>
      <c r="X1236" s="27">
        <f>RawSalesTable3[[#This Row],[Revenue]]-RawSalesTable3[[#This Row],[Total_Cost]]</f>
        <v>137.28</v>
      </c>
      <c r="Y1236" s="28">
        <f>RawSalesTable3[[#This Row],[Profit]]/RawSalesTable3[[#This Row],[Revenue]]</f>
        <v>0.3784320211710222</v>
      </c>
      <c r="Z1236" s="27" t="str">
        <f>TEXT(RawSalesTable3[[#This Row],[Order_Date_Clean]],"MMM YYYY")</f>
        <v>Jun 2025</v>
      </c>
      <c r="AA1236" s="27"/>
      <c r="AB1236" s="27">
        <f t="shared" si="138"/>
        <v>0</v>
      </c>
      <c r="AC1236" s="27">
        <f t="shared" si="139"/>
        <v>0</v>
      </c>
    </row>
    <row r="1237" spans="1:29">
      <c r="A1237" t="s">
        <v>1342</v>
      </c>
      <c r="B1237" s="3">
        <v>45866</v>
      </c>
      <c r="C1237" t="s">
        <v>82</v>
      </c>
      <c r="D1237" t="s">
        <v>129</v>
      </c>
      <c r="E1237" t="s">
        <v>79</v>
      </c>
      <c r="F1237" t="s">
        <v>115</v>
      </c>
      <c r="G1237" s="6">
        <v>3</v>
      </c>
      <c r="H1237" s="4">
        <v>58.71</v>
      </c>
      <c r="I1237" s="4">
        <v>34.950000000000003</v>
      </c>
      <c r="J1237" s="5">
        <v>0.1</v>
      </c>
      <c r="K1237" s="6">
        <v>1</v>
      </c>
      <c r="L1237" s="6">
        <v>5</v>
      </c>
      <c r="M1237" t="s">
        <v>58</v>
      </c>
      <c r="N1237" t="s">
        <v>69</v>
      </c>
      <c r="O1237" t="s">
        <v>73</v>
      </c>
      <c r="P1237" t="str">
        <f t="shared" si="133"/>
        <v>Corporate</v>
      </c>
      <c r="Q1237" t="str">
        <f t="shared" si="134"/>
        <v>Midlands</v>
      </c>
      <c r="R1237" t="str">
        <f>PROPER(TRIM(E1237))</f>
        <v>Electronics</v>
      </c>
      <c r="S1237" s="27">
        <f>IF(ISTEXT(B1237),DATEVALUE(B1237),B1237)</f>
        <v>45866</v>
      </c>
      <c r="T1237" s="27">
        <f>COUNTIF($A$2:$A$1986,A1237)</f>
        <v>1</v>
      </c>
      <c r="U1237" s="27" t="str">
        <f t="shared" si="135"/>
        <v>Wireless Headset</v>
      </c>
      <c r="V1237" s="27">
        <f t="shared" si="136"/>
        <v>158.517</v>
      </c>
      <c r="W1237" s="27">
        <f t="shared" si="137"/>
        <v>104.85000000000001</v>
      </c>
      <c r="X1237" s="27">
        <f>RawSalesTable3[[#This Row],[Revenue]]-RawSalesTable3[[#This Row],[Total_Cost]]</f>
        <v>53.666999999999987</v>
      </c>
      <c r="Y1237" s="28">
        <f>RawSalesTable3[[#This Row],[Profit]]/RawSalesTable3[[#This Row],[Revenue]]</f>
        <v>0.3385567478566967</v>
      </c>
      <c r="Z1237" s="27" t="str">
        <f>TEXT(RawSalesTable3[[#This Row],[Order_Date_Clean]],"MMM YYYY")</f>
        <v>Jul 2025</v>
      </c>
      <c r="AA1237" s="27"/>
      <c r="AB1237" s="27">
        <f t="shared" si="138"/>
        <v>0</v>
      </c>
      <c r="AC1237" s="27">
        <f t="shared" si="139"/>
        <v>0</v>
      </c>
    </row>
    <row r="1238" spans="1:29">
      <c r="A1238" t="s">
        <v>1343</v>
      </c>
      <c r="B1238" s="3">
        <v>45774</v>
      </c>
      <c r="C1238" t="s">
        <v>54</v>
      </c>
      <c r="D1238" t="s">
        <v>62</v>
      </c>
      <c r="E1238" t="s">
        <v>79</v>
      </c>
      <c r="F1238" t="s">
        <v>80</v>
      </c>
      <c r="G1238" s="6">
        <v>3</v>
      </c>
      <c r="H1238" s="4">
        <v>76.84</v>
      </c>
      <c r="I1238" s="4">
        <v>44.33</v>
      </c>
      <c r="J1238" s="5">
        <v>0.05</v>
      </c>
      <c r="K1238" s="6">
        <v>1</v>
      </c>
      <c r="L1238" s="6">
        <v>5</v>
      </c>
      <c r="M1238" t="s">
        <v>58</v>
      </c>
      <c r="N1238" t="s">
        <v>69</v>
      </c>
      <c r="O1238" t="s">
        <v>64</v>
      </c>
      <c r="P1238" t="str">
        <f t="shared" si="133"/>
        <v>Individual</v>
      </c>
      <c r="Q1238" t="str">
        <f t="shared" si="134"/>
        <v>North</v>
      </c>
      <c r="R1238" t="str">
        <f>PROPER(TRIM(E1238))</f>
        <v>Electronics</v>
      </c>
      <c r="S1238" s="27">
        <f>IF(ISTEXT(B1238),DATEVALUE(B1238),B1238)</f>
        <v>45774</v>
      </c>
      <c r="T1238" s="27">
        <f>COUNTIF($A$2:$A$1986,A1238)</f>
        <v>1</v>
      </c>
      <c r="U1238" s="27" t="str">
        <f t="shared" si="135"/>
        <v>Portable Speaker</v>
      </c>
      <c r="V1238" s="27">
        <f t="shared" si="136"/>
        <v>218.994</v>
      </c>
      <c r="W1238" s="27">
        <f t="shared" si="137"/>
        <v>132.99</v>
      </c>
      <c r="X1238" s="27">
        <f>RawSalesTable3[[#This Row],[Revenue]]-RawSalesTable3[[#This Row],[Total_Cost]]</f>
        <v>86.003999999999991</v>
      </c>
      <c r="Y1238" s="28">
        <f>RawSalesTable3[[#This Row],[Profit]]/RawSalesTable3[[#This Row],[Revenue]]</f>
        <v>0.3927230883037891</v>
      </c>
      <c r="Z1238" s="27" t="str">
        <f>TEXT(RawSalesTable3[[#This Row],[Order_Date_Clean]],"MMM YYYY")</f>
        <v>Apr 2025</v>
      </c>
      <c r="AA1238" s="27"/>
      <c r="AB1238" s="27">
        <f t="shared" si="138"/>
        <v>0</v>
      </c>
      <c r="AC1238" s="27">
        <f t="shared" si="139"/>
        <v>0</v>
      </c>
    </row>
    <row r="1239" spans="1:29">
      <c r="A1239" t="s">
        <v>1344</v>
      </c>
      <c r="B1239" s="3">
        <v>45663</v>
      </c>
      <c r="C1239" t="s">
        <v>54</v>
      </c>
      <c r="D1239" t="s">
        <v>55</v>
      </c>
      <c r="E1239" t="s">
        <v>75</v>
      </c>
      <c r="F1239" t="s">
        <v>110</v>
      </c>
      <c r="G1239" s="6">
        <v>6</v>
      </c>
      <c r="H1239" s="4">
        <v>158.34</v>
      </c>
      <c r="I1239" s="4">
        <v>100.46</v>
      </c>
      <c r="J1239" s="5">
        <v>0</v>
      </c>
      <c r="K1239" s="6">
        <v>5</v>
      </c>
      <c r="L1239" s="6">
        <v>4</v>
      </c>
      <c r="M1239" t="s">
        <v>58</v>
      </c>
      <c r="N1239" t="s">
        <v>59</v>
      </c>
      <c r="O1239" t="s">
        <v>64</v>
      </c>
      <c r="P1239" t="str">
        <f t="shared" si="133"/>
        <v>Small Business</v>
      </c>
      <c r="Q1239" t="str">
        <f t="shared" si="134"/>
        <v>North</v>
      </c>
      <c r="R1239" t="str">
        <f>PROPER(TRIM(E1239))</f>
        <v>Furniture</v>
      </c>
      <c r="S1239" s="27">
        <f>IF(ISTEXT(B1239),DATEVALUE(B1239),B1239)</f>
        <v>45663</v>
      </c>
      <c r="T1239" s="27">
        <f>COUNTIF($A$2:$A$1986,A1239)</f>
        <v>1</v>
      </c>
      <c r="U1239" s="27" t="str">
        <f t="shared" si="135"/>
        <v>Storage Cabinet</v>
      </c>
      <c r="V1239" s="27">
        <f t="shared" si="136"/>
        <v>950.04</v>
      </c>
      <c r="W1239" s="27">
        <f t="shared" si="137"/>
        <v>602.76</v>
      </c>
      <c r="X1239" s="27">
        <f>RawSalesTable3[[#This Row],[Revenue]]-RawSalesTable3[[#This Row],[Total_Cost]]</f>
        <v>347.28</v>
      </c>
      <c r="Y1239" s="28">
        <f>RawSalesTable3[[#This Row],[Profit]]/RawSalesTable3[[#This Row],[Revenue]]</f>
        <v>0.36554250347353795</v>
      </c>
      <c r="Z1239" s="27" t="str">
        <f>TEXT(RawSalesTable3[[#This Row],[Order_Date_Clean]],"MMM YYYY")</f>
        <v>Jan 2025</v>
      </c>
      <c r="AA1239" s="27"/>
      <c r="AB1239" s="27">
        <f t="shared" si="138"/>
        <v>0</v>
      </c>
      <c r="AC1239" s="27">
        <f t="shared" si="139"/>
        <v>0</v>
      </c>
    </row>
    <row r="1240" spans="1:29">
      <c r="A1240" t="s">
        <v>1345</v>
      </c>
      <c r="B1240" s="3">
        <v>45693</v>
      </c>
      <c r="C1240" t="s">
        <v>66</v>
      </c>
      <c r="D1240" t="s">
        <v>62</v>
      </c>
      <c r="E1240" t="s">
        <v>79</v>
      </c>
      <c r="F1240" t="s">
        <v>85</v>
      </c>
      <c r="G1240" s="6">
        <v>2</v>
      </c>
      <c r="H1240" s="4">
        <v>132.18</v>
      </c>
      <c r="I1240" s="4">
        <v>82.96</v>
      </c>
      <c r="J1240" s="5">
        <v>0.15000000000000002</v>
      </c>
      <c r="K1240" s="6">
        <v>0</v>
      </c>
      <c r="L1240" s="6">
        <v>3</v>
      </c>
      <c r="M1240" t="s">
        <v>126</v>
      </c>
      <c r="N1240" t="s">
        <v>69</v>
      </c>
      <c r="O1240" t="s">
        <v>64</v>
      </c>
      <c r="P1240" t="str">
        <f t="shared" si="133"/>
        <v>Individual</v>
      </c>
      <c r="Q1240" t="str">
        <f t="shared" si="134"/>
        <v>South</v>
      </c>
      <c r="R1240" t="str">
        <f>PROPER(TRIM(E1240))</f>
        <v>Electronics</v>
      </c>
      <c r="S1240" s="27">
        <f>IF(ISTEXT(B1240),DATEVALUE(B1240),B1240)</f>
        <v>45693</v>
      </c>
      <c r="T1240" s="27">
        <f>COUNTIF($A$2:$A$1986,A1240)</f>
        <v>1</v>
      </c>
      <c r="U1240" s="27" t="str">
        <f t="shared" si="135"/>
        <v>SmartHome Hub</v>
      </c>
      <c r="V1240" s="27">
        <f t="shared" si="136"/>
        <v>224.70600000000002</v>
      </c>
      <c r="W1240" s="27">
        <f t="shared" si="137"/>
        <v>165.92</v>
      </c>
      <c r="X1240" s="27">
        <f>RawSalesTable3[[#This Row],[Revenue]]-RawSalesTable3[[#This Row],[Total_Cost]]</f>
        <v>58.78600000000003</v>
      </c>
      <c r="Y1240" s="28">
        <f>RawSalesTable3[[#This Row],[Profit]]/RawSalesTable3[[#This Row],[Revenue]]</f>
        <v>0.26161295203510376</v>
      </c>
      <c r="Z1240" s="27" t="str">
        <f>TEXT(RawSalesTable3[[#This Row],[Order_Date_Clean]],"MMM YYYY")</f>
        <v>Feb 2025</v>
      </c>
      <c r="AA1240" s="27"/>
      <c r="AB1240" s="27">
        <f t="shared" si="138"/>
        <v>0</v>
      </c>
      <c r="AC1240" s="27">
        <f t="shared" si="139"/>
        <v>0</v>
      </c>
    </row>
    <row r="1241" spans="1:29">
      <c r="A1241" t="s">
        <v>1346</v>
      </c>
      <c r="B1241" s="3">
        <v>45929</v>
      </c>
      <c r="C1241" t="s">
        <v>305</v>
      </c>
      <c r="D1241" t="s">
        <v>55</v>
      </c>
      <c r="E1241" t="s">
        <v>67</v>
      </c>
      <c r="F1241" t="s">
        <v>107</v>
      </c>
      <c r="G1241" s="6">
        <v>4</v>
      </c>
      <c r="H1241" s="4">
        <v>44.39</v>
      </c>
      <c r="I1241" s="4">
        <v>21.92</v>
      </c>
      <c r="J1241" s="5">
        <v>0</v>
      </c>
      <c r="K1241" s="6">
        <v>4</v>
      </c>
      <c r="L1241" s="6">
        <v>4</v>
      </c>
      <c r="M1241" t="s">
        <v>58</v>
      </c>
      <c r="N1241" t="s">
        <v>59</v>
      </c>
      <c r="O1241" t="s">
        <v>64</v>
      </c>
      <c r="P1241" t="str">
        <f t="shared" si="133"/>
        <v>Small Business</v>
      </c>
      <c r="Q1241" t="str">
        <f t="shared" si="134"/>
        <v>London</v>
      </c>
      <c r="R1241" t="str">
        <f>PROPER(TRIM(E1241))</f>
        <v>Office</v>
      </c>
      <c r="S1241" s="27">
        <f>IF(ISTEXT(B1241),DATEVALUE(B1241),B1241)</f>
        <v>45929</v>
      </c>
      <c r="T1241" s="27">
        <f>COUNTIF($A$2:$A$1986,A1241)</f>
        <v>1</v>
      </c>
      <c r="U1241" s="27" t="str">
        <f t="shared" si="135"/>
        <v>Laptop Stand</v>
      </c>
      <c r="V1241" s="27">
        <f t="shared" si="136"/>
        <v>177.56</v>
      </c>
      <c r="W1241" s="27">
        <f t="shared" si="137"/>
        <v>87.68</v>
      </c>
      <c r="X1241" s="27">
        <f>RawSalesTable3[[#This Row],[Revenue]]-RawSalesTable3[[#This Row],[Total_Cost]]</f>
        <v>89.88</v>
      </c>
      <c r="Y1241" s="28">
        <f>RawSalesTable3[[#This Row],[Profit]]/RawSalesTable3[[#This Row],[Revenue]]</f>
        <v>0.50619508898400534</v>
      </c>
      <c r="Z1241" s="27" t="str">
        <f>TEXT(RawSalesTable3[[#This Row],[Order_Date_Clean]],"MMM YYYY")</f>
        <v>Sep 2025</v>
      </c>
      <c r="AA1241" s="27"/>
      <c r="AB1241" s="27">
        <f t="shared" si="138"/>
        <v>0</v>
      </c>
      <c r="AC1241" s="27">
        <f t="shared" si="139"/>
        <v>0</v>
      </c>
    </row>
    <row r="1242" spans="1:29">
      <c r="A1242" t="s">
        <v>1347</v>
      </c>
      <c r="B1242" s="3">
        <v>45987</v>
      </c>
      <c r="C1242" t="s">
        <v>66</v>
      </c>
      <c r="D1242" t="s">
        <v>55</v>
      </c>
      <c r="E1242" t="s">
        <v>56</v>
      </c>
      <c r="F1242" t="s">
        <v>63</v>
      </c>
      <c r="G1242" s="6">
        <v>1</v>
      </c>
      <c r="H1242" s="4">
        <v>40.590000000000003</v>
      </c>
      <c r="I1242" s="4">
        <v>20.91</v>
      </c>
      <c r="J1242" s="5">
        <v>0.1</v>
      </c>
      <c r="K1242" s="6">
        <v>5</v>
      </c>
      <c r="L1242" s="6">
        <v>4</v>
      </c>
      <c r="M1242" t="s">
        <v>58</v>
      </c>
      <c r="N1242" t="s">
        <v>69</v>
      </c>
      <c r="O1242" t="s">
        <v>73</v>
      </c>
      <c r="P1242" t="str">
        <f t="shared" si="133"/>
        <v>Small Business</v>
      </c>
      <c r="Q1242" t="str">
        <f t="shared" si="134"/>
        <v>South</v>
      </c>
      <c r="R1242" t="str">
        <f>PROPER(TRIM(E1242))</f>
        <v>Home &amp; Kitchen</v>
      </c>
      <c r="S1242" s="27">
        <f>IF(ISTEXT(B1242),DATEVALUE(B1242),B1242)</f>
        <v>45987</v>
      </c>
      <c r="T1242" s="27">
        <f>COUNTIF($A$2:$A$1986,A1242)</f>
        <v>1</v>
      </c>
      <c r="U1242" s="27" t="str">
        <f t="shared" si="135"/>
        <v>Electric Kettle</v>
      </c>
      <c r="V1242" s="27">
        <f t="shared" si="136"/>
        <v>36.531000000000006</v>
      </c>
      <c r="W1242" s="27">
        <f t="shared" si="137"/>
        <v>20.91</v>
      </c>
      <c r="X1242" s="27">
        <f>RawSalesTable3[[#This Row],[Revenue]]-RawSalesTable3[[#This Row],[Total_Cost]]</f>
        <v>15.621000000000006</v>
      </c>
      <c r="Y1242" s="28">
        <f>RawSalesTable3[[#This Row],[Profit]]/RawSalesTable3[[#This Row],[Revenue]]</f>
        <v>0.42760942760942772</v>
      </c>
      <c r="Z1242" s="27" t="str">
        <f>TEXT(RawSalesTable3[[#This Row],[Order_Date_Clean]],"MMM YYYY")</f>
        <v>Nov 2025</v>
      </c>
      <c r="AA1242" s="27"/>
      <c r="AB1242" s="27">
        <f t="shared" si="138"/>
        <v>0</v>
      </c>
      <c r="AC1242" s="27">
        <f t="shared" si="139"/>
        <v>0</v>
      </c>
    </row>
    <row r="1243" spans="1:29">
      <c r="A1243" t="s">
        <v>1348</v>
      </c>
      <c r="B1243" s="3">
        <v>46016</v>
      </c>
      <c r="C1243" t="s">
        <v>54</v>
      </c>
      <c r="D1243" t="s">
        <v>62</v>
      </c>
      <c r="E1243" t="s">
        <v>67</v>
      </c>
      <c r="F1243" t="s">
        <v>107</v>
      </c>
      <c r="G1243" s="6">
        <v>2</v>
      </c>
      <c r="H1243" s="4">
        <v>45.29</v>
      </c>
      <c r="I1243" s="4">
        <v>21.47</v>
      </c>
      <c r="J1243" s="5">
        <v>0.1</v>
      </c>
      <c r="K1243" s="6">
        <v>2</v>
      </c>
      <c r="L1243" s="6">
        <v>4</v>
      </c>
      <c r="M1243" t="s">
        <v>58</v>
      </c>
      <c r="N1243" t="s">
        <v>69</v>
      </c>
      <c r="O1243" t="s">
        <v>64</v>
      </c>
      <c r="P1243" t="str">
        <f t="shared" si="133"/>
        <v>Individual</v>
      </c>
      <c r="Q1243" t="str">
        <f t="shared" si="134"/>
        <v>North</v>
      </c>
      <c r="R1243" t="str">
        <f>PROPER(TRIM(E1243))</f>
        <v>Office</v>
      </c>
      <c r="S1243" s="27">
        <f>IF(ISTEXT(B1243),DATEVALUE(B1243),B1243)</f>
        <v>46016</v>
      </c>
      <c r="T1243" s="27">
        <f>COUNTIF($A$2:$A$1986,A1243)</f>
        <v>1</v>
      </c>
      <c r="U1243" s="27" t="str">
        <f t="shared" si="135"/>
        <v>Laptop Stand</v>
      </c>
      <c r="V1243" s="27">
        <f t="shared" si="136"/>
        <v>81.522000000000006</v>
      </c>
      <c r="W1243" s="27">
        <f t="shared" si="137"/>
        <v>42.94</v>
      </c>
      <c r="X1243" s="27">
        <f>RawSalesTable3[[#This Row],[Revenue]]-RawSalesTable3[[#This Row],[Total_Cost]]</f>
        <v>38.582000000000008</v>
      </c>
      <c r="Y1243" s="28">
        <f>RawSalesTable3[[#This Row],[Profit]]/RawSalesTable3[[#This Row],[Revenue]]</f>
        <v>0.47327101886607303</v>
      </c>
      <c r="Z1243" s="27" t="str">
        <f>TEXT(RawSalesTable3[[#This Row],[Order_Date_Clean]],"MMM YYYY")</f>
        <v>Dec 2025</v>
      </c>
      <c r="AA1243" s="27"/>
      <c r="AB1243" s="27">
        <f t="shared" si="138"/>
        <v>0</v>
      </c>
      <c r="AC1243" s="27">
        <f t="shared" si="139"/>
        <v>0</v>
      </c>
    </row>
    <row r="1244" spans="1:29">
      <c r="A1244" t="s">
        <v>1349</v>
      </c>
      <c r="B1244" s="3">
        <v>45996</v>
      </c>
      <c r="C1244" t="s">
        <v>66</v>
      </c>
      <c r="D1244" t="s">
        <v>62</v>
      </c>
      <c r="E1244" t="s">
        <v>56</v>
      </c>
      <c r="F1244" t="s">
        <v>83</v>
      </c>
      <c r="G1244" s="6">
        <v>1</v>
      </c>
      <c r="H1244" s="4">
        <v>63.81</v>
      </c>
      <c r="I1244" s="4">
        <v>36.479999999999997</v>
      </c>
      <c r="J1244" s="5">
        <v>0.2</v>
      </c>
      <c r="K1244" s="6">
        <v>1</v>
      </c>
      <c r="L1244" s="6">
        <v>4</v>
      </c>
      <c r="M1244" t="s">
        <v>58</v>
      </c>
      <c r="N1244" t="s">
        <v>69</v>
      </c>
      <c r="O1244" t="s">
        <v>64</v>
      </c>
      <c r="P1244" t="str">
        <f t="shared" si="133"/>
        <v>Individual</v>
      </c>
      <c r="Q1244" t="str">
        <f t="shared" si="134"/>
        <v>South</v>
      </c>
      <c r="R1244" t="str">
        <f>PROPER(TRIM(E1244))</f>
        <v>Home &amp; Kitchen</v>
      </c>
      <c r="S1244" s="27">
        <f>IF(ISTEXT(B1244),DATEVALUE(B1244),B1244)</f>
        <v>45996</v>
      </c>
      <c r="T1244" s="27">
        <f>COUNTIF($A$2:$A$1986,A1244)</f>
        <v>1</v>
      </c>
      <c r="U1244" s="27" t="str">
        <f t="shared" si="135"/>
        <v>Blender</v>
      </c>
      <c r="V1244" s="27">
        <f t="shared" si="136"/>
        <v>51.048000000000002</v>
      </c>
      <c r="W1244" s="27">
        <f t="shared" si="137"/>
        <v>36.479999999999997</v>
      </c>
      <c r="X1244" s="27">
        <f>RawSalesTable3[[#This Row],[Revenue]]-RawSalesTable3[[#This Row],[Total_Cost]]</f>
        <v>14.568000000000005</v>
      </c>
      <c r="Y1244" s="28">
        <f>RawSalesTable3[[#This Row],[Profit]]/RawSalesTable3[[#This Row],[Revenue]]</f>
        <v>0.28537846732487082</v>
      </c>
      <c r="Z1244" s="27" t="str">
        <f>TEXT(RawSalesTable3[[#This Row],[Order_Date_Clean]],"MMM YYYY")</f>
        <v>Dec 2025</v>
      </c>
      <c r="AA1244" s="27"/>
      <c r="AB1244" s="27">
        <f t="shared" si="138"/>
        <v>0</v>
      </c>
      <c r="AC1244" s="27">
        <f t="shared" si="139"/>
        <v>0</v>
      </c>
    </row>
    <row r="1245" spans="1:29">
      <c r="A1245" t="s">
        <v>1350</v>
      </c>
      <c r="B1245" s="3">
        <v>45691</v>
      </c>
      <c r="C1245" t="s">
        <v>78</v>
      </c>
      <c r="D1245" t="s">
        <v>62</v>
      </c>
      <c r="E1245" t="s">
        <v>67</v>
      </c>
      <c r="F1245" t="s">
        <v>94</v>
      </c>
      <c r="G1245" s="6">
        <v>1</v>
      </c>
      <c r="H1245" s="4">
        <v>34.79</v>
      </c>
      <c r="I1245" s="4">
        <v>17.75</v>
      </c>
      <c r="J1245" s="5">
        <v>0</v>
      </c>
      <c r="K1245" s="6">
        <v>1</v>
      </c>
      <c r="L1245" s="6">
        <v>5</v>
      </c>
      <c r="M1245" t="s">
        <v>58</v>
      </c>
      <c r="N1245" t="s">
        <v>59</v>
      </c>
      <c r="O1245" t="s">
        <v>64</v>
      </c>
      <c r="P1245" t="str">
        <f t="shared" si="133"/>
        <v>Individual</v>
      </c>
      <c r="Q1245" t="str">
        <f t="shared" si="134"/>
        <v>London</v>
      </c>
      <c r="R1245" t="str">
        <f>PROPER(TRIM(E1245))</f>
        <v>Office</v>
      </c>
      <c r="S1245" s="27">
        <f>IF(ISTEXT(B1245),DATEVALUE(B1245),B1245)</f>
        <v>45691</v>
      </c>
      <c r="T1245" s="27">
        <f>COUNTIF($A$2:$A$1986,A1245)</f>
        <v>1</v>
      </c>
      <c r="U1245" s="27" t="str">
        <f t="shared" si="135"/>
        <v>Wireless Mouse</v>
      </c>
      <c r="V1245" s="27">
        <f t="shared" si="136"/>
        <v>34.79</v>
      </c>
      <c r="W1245" s="27">
        <f t="shared" si="137"/>
        <v>17.75</v>
      </c>
      <c r="X1245" s="27">
        <f>RawSalesTable3[[#This Row],[Revenue]]-RawSalesTable3[[#This Row],[Total_Cost]]</f>
        <v>17.04</v>
      </c>
      <c r="Y1245" s="28">
        <f>RawSalesTable3[[#This Row],[Profit]]/RawSalesTable3[[#This Row],[Revenue]]</f>
        <v>0.48979591836734693</v>
      </c>
      <c r="Z1245" s="27" t="str">
        <f>TEXT(RawSalesTable3[[#This Row],[Order_Date_Clean]],"MMM YYYY")</f>
        <v>Feb 2025</v>
      </c>
      <c r="AA1245" s="27"/>
      <c r="AB1245" s="27">
        <f t="shared" si="138"/>
        <v>0</v>
      </c>
      <c r="AC1245" s="27">
        <f t="shared" si="139"/>
        <v>0</v>
      </c>
    </row>
    <row r="1246" spans="1:29">
      <c r="A1246" t="s">
        <v>1351</v>
      </c>
      <c r="B1246" s="3">
        <v>45773</v>
      </c>
      <c r="C1246" t="s">
        <v>82</v>
      </c>
      <c r="D1246" t="s">
        <v>62</v>
      </c>
      <c r="E1246" t="s">
        <v>56</v>
      </c>
      <c r="F1246" t="s">
        <v>57</v>
      </c>
      <c r="G1246" s="6">
        <v>1</v>
      </c>
      <c r="H1246" s="4">
        <v>109.69</v>
      </c>
      <c r="I1246" s="4">
        <v>66.16</v>
      </c>
      <c r="J1246" s="5">
        <v>0</v>
      </c>
      <c r="K1246" s="6">
        <v>3</v>
      </c>
      <c r="L1246" s="6">
        <v>3</v>
      </c>
      <c r="M1246" t="s">
        <v>126</v>
      </c>
      <c r="N1246" t="s">
        <v>59</v>
      </c>
      <c r="O1246" t="s">
        <v>64</v>
      </c>
      <c r="P1246" t="str">
        <f t="shared" si="133"/>
        <v>Individual</v>
      </c>
      <c r="Q1246" t="str">
        <f t="shared" si="134"/>
        <v>Midlands</v>
      </c>
      <c r="R1246" t="str">
        <f>PROPER(TRIM(E1246))</f>
        <v>Home &amp; Kitchen</v>
      </c>
      <c r="S1246" s="27">
        <f>IF(ISTEXT(B1246),DATEVALUE(B1246),B1246)</f>
        <v>45773</v>
      </c>
      <c r="T1246" s="27">
        <f>COUNTIF($A$2:$A$1986,A1246)</f>
        <v>1</v>
      </c>
      <c r="U1246" s="27" t="str">
        <f t="shared" si="135"/>
        <v>Air Fryer</v>
      </c>
      <c r="V1246" s="27">
        <f t="shared" si="136"/>
        <v>109.69</v>
      </c>
      <c r="W1246" s="27">
        <f t="shared" si="137"/>
        <v>66.16</v>
      </c>
      <c r="X1246" s="27">
        <f>RawSalesTable3[[#This Row],[Revenue]]-RawSalesTable3[[#This Row],[Total_Cost]]</f>
        <v>43.53</v>
      </c>
      <c r="Y1246" s="28">
        <f>RawSalesTable3[[#This Row],[Profit]]/RawSalesTable3[[#This Row],[Revenue]]</f>
        <v>0.3968456559394658</v>
      </c>
      <c r="Z1246" s="27" t="str">
        <f>TEXT(RawSalesTable3[[#This Row],[Order_Date_Clean]],"MMM YYYY")</f>
        <v>Apr 2025</v>
      </c>
      <c r="AA1246" s="27"/>
      <c r="AB1246" s="27">
        <f t="shared" si="138"/>
        <v>0</v>
      </c>
      <c r="AC1246" s="27">
        <f t="shared" si="139"/>
        <v>0</v>
      </c>
    </row>
    <row r="1247" spans="1:29">
      <c r="A1247" t="s">
        <v>1352</v>
      </c>
      <c r="B1247" s="3">
        <v>45774</v>
      </c>
      <c r="C1247" t="s">
        <v>66</v>
      </c>
      <c r="D1247" t="s">
        <v>62</v>
      </c>
      <c r="E1247" t="s">
        <v>67</v>
      </c>
      <c r="F1247" t="s">
        <v>107</v>
      </c>
      <c r="G1247" s="6">
        <v>1</v>
      </c>
      <c r="H1247" s="4">
        <v>45.1</v>
      </c>
      <c r="I1247" s="4">
        <v>20.96</v>
      </c>
      <c r="J1247" s="5">
        <v>0.1</v>
      </c>
      <c r="K1247" s="6">
        <v>6</v>
      </c>
      <c r="L1247" s="6">
        <v>4</v>
      </c>
      <c r="M1247" t="s">
        <v>58</v>
      </c>
      <c r="N1247" t="s">
        <v>59</v>
      </c>
      <c r="O1247" t="s">
        <v>60</v>
      </c>
      <c r="P1247" t="str">
        <f t="shared" si="133"/>
        <v>Individual</v>
      </c>
      <c r="Q1247" t="str">
        <f t="shared" si="134"/>
        <v>South</v>
      </c>
      <c r="R1247" t="str">
        <f>PROPER(TRIM(E1247))</f>
        <v>Office</v>
      </c>
      <c r="S1247" s="27">
        <f>IF(ISTEXT(B1247),DATEVALUE(B1247),B1247)</f>
        <v>45774</v>
      </c>
      <c r="T1247" s="27">
        <f>COUNTIF($A$2:$A$1986,A1247)</f>
        <v>1</v>
      </c>
      <c r="U1247" s="27" t="str">
        <f t="shared" si="135"/>
        <v>Laptop Stand</v>
      </c>
      <c r="V1247" s="27">
        <f t="shared" si="136"/>
        <v>40.590000000000003</v>
      </c>
      <c r="W1247" s="27">
        <f t="shared" si="137"/>
        <v>20.96</v>
      </c>
      <c r="X1247" s="27">
        <f>RawSalesTable3[[#This Row],[Revenue]]-RawSalesTable3[[#This Row],[Total_Cost]]</f>
        <v>19.630000000000003</v>
      </c>
      <c r="Y1247" s="28">
        <f>RawSalesTable3[[#This Row],[Profit]]/RawSalesTable3[[#This Row],[Revenue]]</f>
        <v>0.48361665434836171</v>
      </c>
      <c r="Z1247" s="27" t="str">
        <f>TEXT(RawSalesTable3[[#This Row],[Order_Date_Clean]],"MMM YYYY")</f>
        <v>Apr 2025</v>
      </c>
      <c r="AA1247" s="27"/>
      <c r="AB1247" s="27">
        <f t="shared" si="138"/>
        <v>0</v>
      </c>
      <c r="AC1247" s="27">
        <f t="shared" si="139"/>
        <v>0</v>
      </c>
    </row>
    <row r="1248" spans="1:29">
      <c r="A1248" t="s">
        <v>1353</v>
      </c>
      <c r="B1248" s="3">
        <v>45979</v>
      </c>
      <c r="C1248" t="s">
        <v>82</v>
      </c>
      <c r="D1248" t="s">
        <v>62</v>
      </c>
      <c r="E1248" t="s">
        <v>67</v>
      </c>
      <c r="F1248" t="s">
        <v>68</v>
      </c>
      <c r="G1248" s="6">
        <v>2</v>
      </c>
      <c r="H1248" s="4">
        <v>41.34</v>
      </c>
      <c r="I1248" s="4">
        <v>19.64</v>
      </c>
      <c r="J1248" s="5">
        <v>0.1</v>
      </c>
      <c r="K1248" s="6">
        <v>2</v>
      </c>
      <c r="L1248" s="6">
        <v>3</v>
      </c>
      <c r="M1248" t="s">
        <v>126</v>
      </c>
      <c r="N1248" t="s">
        <v>87</v>
      </c>
      <c r="O1248" t="s">
        <v>64</v>
      </c>
      <c r="P1248" t="str">
        <f t="shared" si="133"/>
        <v>Individual</v>
      </c>
      <c r="Q1248" t="str">
        <f t="shared" si="134"/>
        <v>Midlands</v>
      </c>
      <c r="R1248" t="str">
        <f>PROPER(TRIM(E1248))</f>
        <v>Office</v>
      </c>
      <c r="S1248" s="27">
        <f>IF(ISTEXT(B1248),DATEVALUE(B1248),B1248)</f>
        <v>45979</v>
      </c>
      <c r="T1248" s="27">
        <f>COUNTIF($A$2:$A$1986,A1248)</f>
        <v>1</v>
      </c>
      <c r="U1248" s="27" t="str">
        <f t="shared" si="135"/>
        <v>Desk Lamp</v>
      </c>
      <c r="V1248" s="27">
        <f t="shared" si="136"/>
        <v>74.412000000000006</v>
      </c>
      <c r="W1248" s="27">
        <f t="shared" si="137"/>
        <v>39.28</v>
      </c>
      <c r="X1248" s="27">
        <f>RawSalesTable3[[#This Row],[Revenue]]-RawSalesTable3[[#This Row],[Total_Cost]]</f>
        <v>35.132000000000005</v>
      </c>
      <c r="Y1248" s="28">
        <f>RawSalesTable3[[#This Row],[Profit]]/RawSalesTable3[[#This Row],[Revenue]]</f>
        <v>0.47212815137343445</v>
      </c>
      <c r="Z1248" s="27" t="str">
        <f>TEXT(RawSalesTable3[[#This Row],[Order_Date_Clean]],"MMM YYYY")</f>
        <v>Nov 2025</v>
      </c>
      <c r="AA1248" s="27"/>
      <c r="AB1248" s="27">
        <f t="shared" si="138"/>
        <v>0</v>
      </c>
      <c r="AC1248" s="27">
        <f t="shared" si="139"/>
        <v>0</v>
      </c>
    </row>
    <row r="1249" spans="1:29">
      <c r="A1249" t="s">
        <v>1354</v>
      </c>
      <c r="B1249" s="3">
        <v>45864</v>
      </c>
      <c r="C1249" t="s">
        <v>78</v>
      </c>
      <c r="D1249" t="s">
        <v>62</v>
      </c>
      <c r="E1249" t="s">
        <v>67</v>
      </c>
      <c r="F1249" t="s">
        <v>71</v>
      </c>
      <c r="G1249" s="6">
        <v>2</v>
      </c>
      <c r="H1249" s="4">
        <v>72.41</v>
      </c>
      <c r="I1249" s="4">
        <v>37.630000000000003</v>
      </c>
      <c r="J1249" s="5">
        <v>0.05</v>
      </c>
      <c r="K1249" s="6">
        <v>2</v>
      </c>
      <c r="L1249" s="6">
        <v>4</v>
      </c>
      <c r="M1249" t="s">
        <v>58</v>
      </c>
      <c r="N1249" t="s">
        <v>59</v>
      </c>
      <c r="O1249" t="s">
        <v>64</v>
      </c>
      <c r="P1249" t="str">
        <f t="shared" si="133"/>
        <v>Individual</v>
      </c>
      <c r="Q1249" t="str">
        <f t="shared" si="134"/>
        <v>London</v>
      </c>
      <c r="R1249" t="str">
        <f>PROPER(TRIM(E1249))</f>
        <v>Office</v>
      </c>
      <c r="S1249" s="27">
        <f>IF(ISTEXT(B1249),DATEVALUE(B1249),B1249)</f>
        <v>45864</v>
      </c>
      <c r="T1249" s="27">
        <f>COUNTIF($A$2:$A$1986,A1249)</f>
        <v>1</v>
      </c>
      <c r="U1249" s="27" t="str">
        <f t="shared" si="135"/>
        <v>Ergonomic Keyboard</v>
      </c>
      <c r="V1249" s="27">
        <f t="shared" si="136"/>
        <v>137.57899999999998</v>
      </c>
      <c r="W1249" s="27">
        <f t="shared" si="137"/>
        <v>75.260000000000005</v>
      </c>
      <c r="X1249" s="27">
        <f>RawSalesTable3[[#This Row],[Revenue]]-RawSalesTable3[[#This Row],[Total_Cost]]</f>
        <v>62.318999999999974</v>
      </c>
      <c r="Y1249" s="28">
        <f>RawSalesTable3[[#This Row],[Profit]]/RawSalesTable3[[#This Row],[Revenue]]</f>
        <v>0.45296883972117824</v>
      </c>
      <c r="Z1249" s="27" t="str">
        <f>TEXT(RawSalesTable3[[#This Row],[Order_Date_Clean]],"MMM YYYY")</f>
        <v>Jul 2025</v>
      </c>
      <c r="AA1249" s="27"/>
      <c r="AB1249" s="27">
        <f t="shared" si="138"/>
        <v>0</v>
      </c>
      <c r="AC1249" s="27">
        <f t="shared" si="139"/>
        <v>0</v>
      </c>
    </row>
    <row r="1250" spans="1:29">
      <c r="A1250" t="s">
        <v>1355</v>
      </c>
      <c r="B1250" s="3">
        <v>45906</v>
      </c>
      <c r="C1250" t="s">
        <v>78</v>
      </c>
      <c r="D1250" t="s">
        <v>62</v>
      </c>
      <c r="E1250" t="s">
        <v>75</v>
      </c>
      <c r="F1250" t="s">
        <v>76</v>
      </c>
      <c r="G1250" s="6">
        <v>1</v>
      </c>
      <c r="H1250" s="4">
        <v>117.87</v>
      </c>
      <c r="I1250" s="4">
        <v>71.84</v>
      </c>
      <c r="J1250" s="5">
        <v>0</v>
      </c>
      <c r="K1250" s="6">
        <v>5</v>
      </c>
      <c r="L1250" s="6">
        <v>4</v>
      </c>
      <c r="M1250" t="s">
        <v>58</v>
      </c>
      <c r="N1250" t="s">
        <v>87</v>
      </c>
      <c r="O1250" t="s">
        <v>73</v>
      </c>
      <c r="P1250" t="str">
        <f t="shared" si="133"/>
        <v>Individual</v>
      </c>
      <c r="Q1250" t="str">
        <f t="shared" si="134"/>
        <v>London</v>
      </c>
      <c r="R1250" t="str">
        <f>PROPER(TRIM(E1250))</f>
        <v>Furniture</v>
      </c>
      <c r="S1250" s="27">
        <f>IF(ISTEXT(B1250),DATEVALUE(B1250),B1250)</f>
        <v>45906</v>
      </c>
      <c r="T1250" s="27">
        <f>COUNTIF($A$2:$A$1986,A1250)</f>
        <v>1</v>
      </c>
      <c r="U1250" s="27" t="str">
        <f t="shared" si="135"/>
        <v>Bookshelf</v>
      </c>
      <c r="V1250" s="27">
        <f t="shared" si="136"/>
        <v>117.87</v>
      </c>
      <c r="W1250" s="27">
        <f t="shared" si="137"/>
        <v>71.84</v>
      </c>
      <c r="X1250" s="27">
        <f>RawSalesTable3[[#This Row],[Revenue]]-RawSalesTable3[[#This Row],[Total_Cost]]</f>
        <v>46.03</v>
      </c>
      <c r="Y1250" s="28">
        <f>RawSalesTable3[[#This Row],[Profit]]/RawSalesTable3[[#This Row],[Revenue]]</f>
        <v>0.39051497412403496</v>
      </c>
      <c r="Z1250" s="27" t="str">
        <f>TEXT(RawSalesTable3[[#This Row],[Order_Date_Clean]],"MMM YYYY")</f>
        <v>Sep 2025</v>
      </c>
      <c r="AA1250" s="27"/>
      <c r="AB1250" s="27">
        <f t="shared" si="138"/>
        <v>0</v>
      </c>
      <c r="AC1250" s="27">
        <f t="shared" si="139"/>
        <v>0</v>
      </c>
    </row>
    <row r="1251" spans="1:29">
      <c r="A1251" t="s">
        <v>1356</v>
      </c>
      <c r="B1251" s="3">
        <v>45761</v>
      </c>
      <c r="C1251" t="s">
        <v>66</v>
      </c>
      <c r="D1251" t="s">
        <v>62</v>
      </c>
      <c r="E1251" t="s">
        <v>56</v>
      </c>
      <c r="F1251" t="s">
        <v>89</v>
      </c>
      <c r="G1251" s="6">
        <v>3</v>
      </c>
      <c r="H1251" s="4">
        <v>78.36</v>
      </c>
      <c r="I1251" s="4">
        <v>44.65</v>
      </c>
      <c r="J1251" s="5">
        <v>0.05</v>
      </c>
      <c r="K1251" s="6">
        <v>1</v>
      </c>
      <c r="L1251" s="6">
        <v>4</v>
      </c>
      <c r="M1251" t="s">
        <v>58</v>
      </c>
      <c r="N1251" t="s">
        <v>69</v>
      </c>
      <c r="O1251" t="s">
        <v>64</v>
      </c>
      <c r="P1251" t="str">
        <f t="shared" si="133"/>
        <v>Individual</v>
      </c>
      <c r="Q1251" t="str">
        <f t="shared" si="134"/>
        <v>South</v>
      </c>
      <c r="R1251" t="str">
        <f>PROPER(TRIM(E1251))</f>
        <v>Home &amp; Kitchen</v>
      </c>
      <c r="S1251" s="27">
        <f>IF(ISTEXT(B1251),DATEVALUE(B1251),B1251)</f>
        <v>45761</v>
      </c>
      <c r="T1251" s="27">
        <f>COUNTIF($A$2:$A$1986,A1251)</f>
        <v>1</v>
      </c>
      <c r="U1251" s="27" t="str">
        <f t="shared" si="135"/>
        <v>Coffee Maker</v>
      </c>
      <c r="V1251" s="27">
        <f t="shared" si="136"/>
        <v>223.32599999999996</v>
      </c>
      <c r="W1251" s="27">
        <f t="shared" si="137"/>
        <v>133.94999999999999</v>
      </c>
      <c r="X1251" s="27">
        <f>RawSalesTable3[[#This Row],[Revenue]]-RawSalesTable3[[#This Row],[Total_Cost]]</f>
        <v>89.375999999999976</v>
      </c>
      <c r="Y1251" s="28">
        <f>RawSalesTable3[[#This Row],[Profit]]/RawSalesTable3[[#This Row],[Revenue]]</f>
        <v>0.40020418580908623</v>
      </c>
      <c r="Z1251" s="27" t="str">
        <f>TEXT(RawSalesTable3[[#This Row],[Order_Date_Clean]],"MMM YYYY")</f>
        <v>Apr 2025</v>
      </c>
      <c r="AA1251" s="27"/>
      <c r="AB1251" s="27">
        <f t="shared" si="138"/>
        <v>0</v>
      </c>
      <c r="AC1251" s="27">
        <f t="shared" si="139"/>
        <v>0</v>
      </c>
    </row>
    <row r="1252" spans="1:29">
      <c r="A1252" t="s">
        <v>1357</v>
      </c>
      <c r="B1252" s="3">
        <v>45753</v>
      </c>
      <c r="C1252" t="s">
        <v>82</v>
      </c>
      <c r="D1252" t="s">
        <v>62</v>
      </c>
      <c r="E1252" t="s">
        <v>67</v>
      </c>
      <c r="F1252" t="s">
        <v>94</v>
      </c>
      <c r="G1252" s="6">
        <v>1</v>
      </c>
      <c r="H1252" s="4">
        <v>35.15</v>
      </c>
      <c r="I1252" s="4">
        <v>16.79</v>
      </c>
      <c r="J1252" s="5">
        <v>0</v>
      </c>
      <c r="K1252" s="6">
        <v>1</v>
      </c>
      <c r="L1252" s="6">
        <v>4</v>
      </c>
      <c r="M1252" t="s">
        <v>58</v>
      </c>
      <c r="N1252" t="s">
        <v>69</v>
      </c>
      <c r="O1252" t="s">
        <v>64</v>
      </c>
      <c r="P1252" t="str">
        <f t="shared" si="133"/>
        <v>Individual</v>
      </c>
      <c r="Q1252" t="str">
        <f t="shared" si="134"/>
        <v>Midlands</v>
      </c>
      <c r="R1252" t="str">
        <f>PROPER(TRIM(E1252))</f>
        <v>Office</v>
      </c>
      <c r="S1252" s="27">
        <f>IF(ISTEXT(B1252),DATEVALUE(B1252),B1252)</f>
        <v>45753</v>
      </c>
      <c r="T1252" s="27">
        <f>COUNTIF($A$2:$A$1986,A1252)</f>
        <v>1</v>
      </c>
      <c r="U1252" s="27" t="str">
        <f t="shared" si="135"/>
        <v>Wireless Mouse</v>
      </c>
      <c r="V1252" s="27">
        <f t="shared" si="136"/>
        <v>35.15</v>
      </c>
      <c r="W1252" s="27">
        <f t="shared" si="137"/>
        <v>16.79</v>
      </c>
      <c r="X1252" s="27">
        <f>RawSalesTable3[[#This Row],[Revenue]]-RawSalesTable3[[#This Row],[Total_Cost]]</f>
        <v>18.36</v>
      </c>
      <c r="Y1252" s="28">
        <f>RawSalesTable3[[#This Row],[Profit]]/RawSalesTable3[[#This Row],[Revenue]]</f>
        <v>0.52233285917496441</v>
      </c>
      <c r="Z1252" s="27" t="str">
        <f>TEXT(RawSalesTable3[[#This Row],[Order_Date_Clean]],"MMM YYYY")</f>
        <v>Apr 2025</v>
      </c>
      <c r="AA1252" s="27"/>
      <c r="AB1252" s="27">
        <f t="shared" si="138"/>
        <v>0</v>
      </c>
      <c r="AC1252" s="27">
        <f t="shared" si="139"/>
        <v>0</v>
      </c>
    </row>
    <row r="1253" spans="1:29">
      <c r="A1253" t="s">
        <v>1358</v>
      </c>
      <c r="B1253" s="3">
        <v>45681</v>
      </c>
      <c r="C1253" t="s">
        <v>54</v>
      </c>
      <c r="D1253" t="s">
        <v>62</v>
      </c>
      <c r="E1253" t="s">
        <v>56</v>
      </c>
      <c r="F1253" t="s">
        <v>57</v>
      </c>
      <c r="G1253" s="6">
        <v>1</v>
      </c>
      <c r="H1253" s="4">
        <v>111.08</v>
      </c>
      <c r="I1253" s="4">
        <v>66.23</v>
      </c>
      <c r="J1253" s="5">
        <v>0</v>
      </c>
      <c r="K1253" s="6">
        <v>2</v>
      </c>
      <c r="L1253" s="6">
        <v>5</v>
      </c>
      <c r="M1253" t="s">
        <v>58</v>
      </c>
      <c r="N1253" t="s">
        <v>59</v>
      </c>
      <c r="O1253" t="s">
        <v>64</v>
      </c>
      <c r="P1253" t="str">
        <f t="shared" si="133"/>
        <v>Individual</v>
      </c>
      <c r="Q1253" t="str">
        <f t="shared" si="134"/>
        <v>North</v>
      </c>
      <c r="R1253" t="str">
        <f>PROPER(TRIM(E1253))</f>
        <v>Home &amp; Kitchen</v>
      </c>
      <c r="S1253" s="27">
        <f>IF(ISTEXT(B1253),DATEVALUE(B1253),B1253)</f>
        <v>45681</v>
      </c>
      <c r="T1253" s="27">
        <f>COUNTIF($A$2:$A$1986,A1253)</f>
        <v>1</v>
      </c>
      <c r="U1253" s="27" t="str">
        <f t="shared" si="135"/>
        <v>Air Fryer</v>
      </c>
      <c r="V1253" s="27">
        <f t="shared" si="136"/>
        <v>111.08</v>
      </c>
      <c r="W1253" s="27">
        <f t="shared" si="137"/>
        <v>66.23</v>
      </c>
      <c r="X1253" s="27">
        <f>RawSalesTable3[[#This Row],[Revenue]]-RawSalesTable3[[#This Row],[Total_Cost]]</f>
        <v>44.849999999999994</v>
      </c>
      <c r="Y1253" s="28">
        <f>RawSalesTable3[[#This Row],[Profit]]/RawSalesTable3[[#This Row],[Revenue]]</f>
        <v>0.40376305365502335</v>
      </c>
      <c r="Z1253" s="27" t="str">
        <f>TEXT(RawSalesTable3[[#This Row],[Order_Date_Clean]],"MMM YYYY")</f>
        <v>Jan 2025</v>
      </c>
      <c r="AA1253" s="27"/>
      <c r="AB1253" s="27">
        <f t="shared" si="138"/>
        <v>0</v>
      </c>
      <c r="AC1253" s="27">
        <f t="shared" si="139"/>
        <v>0</v>
      </c>
    </row>
    <row r="1254" spans="1:29">
      <c r="A1254" t="s">
        <v>1359</v>
      </c>
      <c r="B1254" s="3">
        <v>46015</v>
      </c>
      <c r="C1254" t="s">
        <v>78</v>
      </c>
      <c r="D1254" t="s">
        <v>62</v>
      </c>
      <c r="E1254" t="s">
        <v>79</v>
      </c>
      <c r="F1254" t="s">
        <v>80</v>
      </c>
      <c r="G1254" s="6">
        <v>1</v>
      </c>
      <c r="H1254" s="4">
        <v>77.489999999999995</v>
      </c>
      <c r="I1254" s="4">
        <v>44.74</v>
      </c>
      <c r="J1254" s="5">
        <v>0.15000000000000002</v>
      </c>
      <c r="K1254" s="6">
        <v>0</v>
      </c>
      <c r="L1254" s="6">
        <v>4</v>
      </c>
      <c r="M1254" t="s">
        <v>58</v>
      </c>
      <c r="N1254" t="s">
        <v>69</v>
      </c>
      <c r="O1254" t="s">
        <v>64</v>
      </c>
      <c r="P1254" t="str">
        <f t="shared" si="133"/>
        <v>Individual</v>
      </c>
      <c r="Q1254" t="str">
        <f t="shared" si="134"/>
        <v>London</v>
      </c>
      <c r="R1254" t="str">
        <f>PROPER(TRIM(E1254))</f>
        <v>Electronics</v>
      </c>
      <c r="S1254" s="27">
        <f>IF(ISTEXT(B1254),DATEVALUE(B1254),B1254)</f>
        <v>46015</v>
      </c>
      <c r="T1254" s="27">
        <f>COUNTIF($A$2:$A$1986,A1254)</f>
        <v>1</v>
      </c>
      <c r="U1254" s="27" t="str">
        <f t="shared" si="135"/>
        <v>Portable Speaker</v>
      </c>
      <c r="V1254" s="27">
        <f t="shared" si="136"/>
        <v>65.866499999999988</v>
      </c>
      <c r="W1254" s="27">
        <f t="shared" si="137"/>
        <v>44.74</v>
      </c>
      <c r="X1254" s="27">
        <f>RawSalesTable3[[#This Row],[Revenue]]-RawSalesTable3[[#This Row],[Total_Cost]]</f>
        <v>21.126499999999986</v>
      </c>
      <c r="Y1254" s="28">
        <f>RawSalesTable3[[#This Row],[Profit]]/RawSalesTable3[[#This Row],[Revenue]]</f>
        <v>0.32074726909734069</v>
      </c>
      <c r="Z1254" s="27" t="str">
        <f>TEXT(RawSalesTable3[[#This Row],[Order_Date_Clean]],"MMM YYYY")</f>
        <v>Dec 2025</v>
      </c>
      <c r="AA1254" s="27"/>
      <c r="AB1254" s="27">
        <f t="shared" si="138"/>
        <v>0</v>
      </c>
      <c r="AC1254" s="27">
        <f t="shared" si="139"/>
        <v>0</v>
      </c>
    </row>
    <row r="1255" spans="1:29">
      <c r="A1255" t="s">
        <v>1360</v>
      </c>
      <c r="B1255" s="3">
        <v>45845</v>
      </c>
      <c r="C1255" t="s">
        <v>66</v>
      </c>
      <c r="D1255" t="s">
        <v>55</v>
      </c>
      <c r="E1255" t="s">
        <v>79</v>
      </c>
      <c r="F1255" t="s">
        <v>92</v>
      </c>
      <c r="G1255" s="6">
        <v>1</v>
      </c>
      <c r="H1255" s="4">
        <v>48.8</v>
      </c>
      <c r="I1255" s="4">
        <v>25.88</v>
      </c>
      <c r="J1255" s="5">
        <v>0.1</v>
      </c>
      <c r="K1255" s="6">
        <v>1</v>
      </c>
      <c r="L1255" s="6">
        <v>4</v>
      </c>
      <c r="M1255" t="s">
        <v>58</v>
      </c>
      <c r="N1255" t="s">
        <v>69</v>
      </c>
      <c r="O1255" t="s">
        <v>64</v>
      </c>
      <c r="P1255" t="str">
        <f t="shared" si="133"/>
        <v>Small Business</v>
      </c>
      <c r="Q1255" t="str">
        <f t="shared" si="134"/>
        <v>South</v>
      </c>
      <c r="R1255" t="str">
        <f>PROPER(TRIM(E1255))</f>
        <v>Electronics</v>
      </c>
      <c r="S1255" s="27">
        <f>IF(ISTEXT(B1255),DATEVALUE(B1255),B1255)</f>
        <v>45845</v>
      </c>
      <c r="T1255" s="27">
        <f>COUNTIF($A$2:$A$1986,A1255)</f>
        <v>1</v>
      </c>
      <c r="U1255" s="27" t="str">
        <f t="shared" si="135"/>
        <v>Webcam</v>
      </c>
      <c r="V1255" s="27">
        <f t="shared" si="136"/>
        <v>43.92</v>
      </c>
      <c r="W1255" s="27">
        <f t="shared" si="137"/>
        <v>25.88</v>
      </c>
      <c r="X1255" s="27">
        <f>RawSalesTable3[[#This Row],[Revenue]]-RawSalesTable3[[#This Row],[Total_Cost]]</f>
        <v>18.040000000000003</v>
      </c>
      <c r="Y1255" s="28">
        <f>RawSalesTable3[[#This Row],[Profit]]/RawSalesTable3[[#This Row],[Revenue]]</f>
        <v>0.41074681238615668</v>
      </c>
      <c r="Z1255" s="27" t="str">
        <f>TEXT(RawSalesTable3[[#This Row],[Order_Date_Clean]],"MMM YYYY")</f>
        <v>Jul 2025</v>
      </c>
      <c r="AA1255" s="27"/>
      <c r="AB1255" s="27">
        <f t="shared" si="138"/>
        <v>0</v>
      </c>
      <c r="AC1255" s="27">
        <f t="shared" si="139"/>
        <v>0</v>
      </c>
    </row>
    <row r="1256" spans="1:29">
      <c r="A1256" t="s">
        <v>1361</v>
      </c>
      <c r="B1256" s="3">
        <v>45702</v>
      </c>
      <c r="C1256" t="s">
        <v>54</v>
      </c>
      <c r="D1256" t="s">
        <v>62</v>
      </c>
      <c r="E1256" t="s">
        <v>56</v>
      </c>
      <c r="F1256" t="s">
        <v>83</v>
      </c>
      <c r="G1256" s="6">
        <v>1</v>
      </c>
      <c r="H1256" s="4">
        <v>64.02</v>
      </c>
      <c r="I1256" s="4">
        <v>36.340000000000003</v>
      </c>
      <c r="J1256" s="5">
        <v>0</v>
      </c>
      <c r="K1256" s="6">
        <v>4</v>
      </c>
      <c r="L1256" s="6">
        <v>4</v>
      </c>
      <c r="M1256" t="s">
        <v>58</v>
      </c>
      <c r="N1256" t="s">
        <v>59</v>
      </c>
      <c r="O1256" t="s">
        <v>64</v>
      </c>
      <c r="P1256" t="str">
        <f t="shared" si="133"/>
        <v>Individual</v>
      </c>
      <c r="Q1256" t="str">
        <f t="shared" si="134"/>
        <v>North</v>
      </c>
      <c r="R1256" t="str">
        <f>PROPER(TRIM(E1256))</f>
        <v>Home &amp; Kitchen</v>
      </c>
      <c r="S1256" s="27">
        <f>IF(ISTEXT(B1256),DATEVALUE(B1256),B1256)</f>
        <v>45702</v>
      </c>
      <c r="T1256" s="27">
        <f>COUNTIF($A$2:$A$1986,A1256)</f>
        <v>1</v>
      </c>
      <c r="U1256" s="27" t="str">
        <f t="shared" si="135"/>
        <v>Blender</v>
      </c>
      <c r="V1256" s="27">
        <f t="shared" si="136"/>
        <v>64.02</v>
      </c>
      <c r="W1256" s="27">
        <f t="shared" si="137"/>
        <v>36.340000000000003</v>
      </c>
      <c r="X1256" s="27">
        <f>RawSalesTable3[[#This Row],[Revenue]]-RawSalesTable3[[#This Row],[Total_Cost]]</f>
        <v>27.679999999999993</v>
      </c>
      <c r="Y1256" s="28">
        <f>RawSalesTable3[[#This Row],[Profit]]/RawSalesTable3[[#This Row],[Revenue]]</f>
        <v>0.43236488597313333</v>
      </c>
      <c r="Z1256" s="27" t="str">
        <f>TEXT(RawSalesTable3[[#This Row],[Order_Date_Clean]],"MMM YYYY")</f>
        <v>Feb 2025</v>
      </c>
      <c r="AA1256" s="27"/>
      <c r="AB1256" s="27">
        <f t="shared" si="138"/>
        <v>0</v>
      </c>
      <c r="AC1256" s="27">
        <f t="shared" si="139"/>
        <v>0</v>
      </c>
    </row>
    <row r="1257" spans="1:29">
      <c r="A1257" t="s">
        <v>1362</v>
      </c>
      <c r="B1257" s="3">
        <v>45864</v>
      </c>
      <c r="C1257" t="s">
        <v>78</v>
      </c>
      <c r="D1257" t="s">
        <v>62</v>
      </c>
      <c r="E1257" t="s">
        <v>79</v>
      </c>
      <c r="F1257" t="s">
        <v>115</v>
      </c>
      <c r="G1257" s="6">
        <v>1</v>
      </c>
      <c r="H1257" s="4">
        <v>59.51</v>
      </c>
      <c r="I1257" s="4">
        <v>34.159999999999997</v>
      </c>
      <c r="J1257" s="5">
        <v>0.1</v>
      </c>
      <c r="K1257" s="6">
        <v>4</v>
      </c>
      <c r="L1257" s="6">
        <v>4</v>
      </c>
      <c r="M1257" t="s">
        <v>58</v>
      </c>
      <c r="N1257" t="s">
        <v>59</v>
      </c>
      <c r="O1257" t="s">
        <v>64</v>
      </c>
      <c r="P1257" t="str">
        <f t="shared" si="133"/>
        <v>Individual</v>
      </c>
      <c r="Q1257" t="str">
        <f t="shared" si="134"/>
        <v>London</v>
      </c>
      <c r="R1257" t="str">
        <f>PROPER(TRIM(E1257))</f>
        <v>Electronics</v>
      </c>
      <c r="S1257" s="27">
        <f>IF(ISTEXT(B1257),DATEVALUE(B1257),B1257)</f>
        <v>45864</v>
      </c>
      <c r="T1257" s="27">
        <f>COUNTIF($A$2:$A$1986,A1257)</f>
        <v>1</v>
      </c>
      <c r="U1257" s="27" t="str">
        <f t="shared" si="135"/>
        <v>Wireless Headset</v>
      </c>
      <c r="V1257" s="27">
        <f t="shared" si="136"/>
        <v>53.558999999999997</v>
      </c>
      <c r="W1257" s="27">
        <f t="shared" si="137"/>
        <v>34.159999999999997</v>
      </c>
      <c r="X1257" s="27">
        <f>RawSalesTable3[[#This Row],[Revenue]]-RawSalesTable3[[#This Row],[Total_Cost]]</f>
        <v>19.399000000000001</v>
      </c>
      <c r="Y1257" s="28">
        <f>RawSalesTable3[[#This Row],[Profit]]/RawSalesTable3[[#This Row],[Revenue]]</f>
        <v>0.36219869676431604</v>
      </c>
      <c r="Z1257" s="27" t="str">
        <f>TEXT(RawSalesTable3[[#This Row],[Order_Date_Clean]],"MMM YYYY")</f>
        <v>Jul 2025</v>
      </c>
      <c r="AA1257" s="27"/>
      <c r="AB1257" s="27">
        <f t="shared" si="138"/>
        <v>0</v>
      </c>
      <c r="AC1257" s="27">
        <f t="shared" si="139"/>
        <v>0</v>
      </c>
    </row>
    <row r="1258" spans="1:29">
      <c r="A1258" t="s">
        <v>1363</v>
      </c>
      <c r="B1258" s="3">
        <v>45955</v>
      </c>
      <c r="C1258" t="s">
        <v>78</v>
      </c>
      <c r="D1258" t="s">
        <v>55</v>
      </c>
      <c r="E1258" t="s">
        <v>67</v>
      </c>
      <c r="F1258" t="s">
        <v>68</v>
      </c>
      <c r="G1258" s="6">
        <v>4</v>
      </c>
      <c r="H1258" s="4">
        <v>39.200000000000003</v>
      </c>
      <c r="I1258" s="4">
        <v>19.63</v>
      </c>
      <c r="J1258" s="5">
        <v>0</v>
      </c>
      <c r="K1258" s="6">
        <v>7</v>
      </c>
      <c r="L1258" s="6">
        <v>4</v>
      </c>
      <c r="M1258" t="s">
        <v>58</v>
      </c>
      <c r="N1258" t="s">
        <v>59</v>
      </c>
      <c r="O1258" t="s">
        <v>60</v>
      </c>
      <c r="P1258" t="str">
        <f t="shared" si="133"/>
        <v>Small Business</v>
      </c>
      <c r="Q1258" t="str">
        <f t="shared" si="134"/>
        <v>London</v>
      </c>
      <c r="R1258" t="str">
        <f>PROPER(TRIM(E1258))</f>
        <v>Office</v>
      </c>
      <c r="S1258" s="27">
        <f>IF(ISTEXT(B1258),DATEVALUE(B1258),B1258)</f>
        <v>45955</v>
      </c>
      <c r="T1258" s="27">
        <f>COUNTIF($A$2:$A$1986,A1258)</f>
        <v>1</v>
      </c>
      <c r="U1258" s="27" t="str">
        <f t="shared" si="135"/>
        <v>Desk Lamp</v>
      </c>
      <c r="V1258" s="27">
        <f t="shared" si="136"/>
        <v>156.80000000000001</v>
      </c>
      <c r="W1258" s="27">
        <f t="shared" si="137"/>
        <v>78.52</v>
      </c>
      <c r="X1258" s="27">
        <f>RawSalesTable3[[#This Row],[Revenue]]-RawSalesTable3[[#This Row],[Total_Cost]]</f>
        <v>78.280000000000015</v>
      </c>
      <c r="Y1258" s="28">
        <f>RawSalesTable3[[#This Row],[Profit]]/RawSalesTable3[[#This Row],[Revenue]]</f>
        <v>0.49923469387755109</v>
      </c>
      <c r="Z1258" s="27" t="str">
        <f>TEXT(RawSalesTable3[[#This Row],[Order_Date_Clean]],"MMM YYYY")</f>
        <v>Oct 2025</v>
      </c>
      <c r="AA1258" s="27"/>
      <c r="AB1258" s="27">
        <f t="shared" si="138"/>
        <v>0</v>
      </c>
      <c r="AC1258" s="27">
        <f t="shared" si="139"/>
        <v>0</v>
      </c>
    </row>
    <row r="1259" spans="1:29">
      <c r="A1259" t="s">
        <v>1364</v>
      </c>
      <c r="B1259" s="3">
        <v>45752</v>
      </c>
      <c r="C1259" t="s">
        <v>66</v>
      </c>
      <c r="D1259" t="s">
        <v>62</v>
      </c>
      <c r="E1259" t="s">
        <v>56</v>
      </c>
      <c r="F1259" t="s">
        <v>63</v>
      </c>
      <c r="G1259" s="6">
        <v>1</v>
      </c>
      <c r="H1259" s="4">
        <v>38.979999999999997</v>
      </c>
      <c r="I1259" s="4">
        <v>19.97</v>
      </c>
      <c r="J1259" s="5">
        <v>0.1</v>
      </c>
      <c r="K1259" s="6">
        <v>5</v>
      </c>
      <c r="L1259" s="6">
        <v>4</v>
      </c>
      <c r="M1259" t="s">
        <v>58</v>
      </c>
      <c r="N1259" t="s">
        <v>59</v>
      </c>
      <c r="O1259" t="s">
        <v>60</v>
      </c>
      <c r="P1259" t="str">
        <f t="shared" si="133"/>
        <v>Individual</v>
      </c>
      <c r="Q1259" t="str">
        <f t="shared" si="134"/>
        <v>South</v>
      </c>
      <c r="R1259" t="str">
        <f>PROPER(TRIM(E1259))</f>
        <v>Home &amp; Kitchen</v>
      </c>
      <c r="S1259" s="27">
        <f>IF(ISTEXT(B1259),DATEVALUE(B1259),B1259)</f>
        <v>45752</v>
      </c>
      <c r="T1259" s="27">
        <f>COUNTIF($A$2:$A$1986,A1259)</f>
        <v>1</v>
      </c>
      <c r="U1259" s="27" t="str">
        <f t="shared" si="135"/>
        <v>Electric Kettle</v>
      </c>
      <c r="V1259" s="27">
        <f t="shared" si="136"/>
        <v>35.082000000000001</v>
      </c>
      <c r="W1259" s="27">
        <f t="shared" si="137"/>
        <v>19.97</v>
      </c>
      <c r="X1259" s="27">
        <f>RawSalesTable3[[#This Row],[Revenue]]-RawSalesTable3[[#This Row],[Total_Cost]]</f>
        <v>15.112000000000002</v>
      </c>
      <c r="Y1259" s="28">
        <f>RawSalesTable3[[#This Row],[Profit]]/RawSalesTable3[[#This Row],[Revenue]]</f>
        <v>0.43076221424092132</v>
      </c>
      <c r="Z1259" s="27" t="str">
        <f>TEXT(RawSalesTable3[[#This Row],[Order_Date_Clean]],"MMM YYYY")</f>
        <v>Apr 2025</v>
      </c>
      <c r="AA1259" s="27"/>
      <c r="AB1259" s="27">
        <f t="shared" si="138"/>
        <v>0</v>
      </c>
      <c r="AC1259" s="27">
        <f t="shared" si="139"/>
        <v>0</v>
      </c>
    </row>
    <row r="1260" spans="1:29">
      <c r="A1260" t="s">
        <v>1365</v>
      </c>
      <c r="B1260" s="3">
        <v>46004</v>
      </c>
      <c r="C1260" t="s">
        <v>82</v>
      </c>
      <c r="D1260" t="s">
        <v>55</v>
      </c>
      <c r="E1260" t="s">
        <v>67</v>
      </c>
      <c r="F1260" t="s">
        <v>71</v>
      </c>
      <c r="G1260" s="6">
        <v>3</v>
      </c>
      <c r="H1260" s="4">
        <v>71.8</v>
      </c>
      <c r="I1260" s="4">
        <v>36.909999999999997</v>
      </c>
      <c r="J1260" s="5">
        <v>0.15000000000000002</v>
      </c>
      <c r="K1260" s="6">
        <v>7</v>
      </c>
      <c r="L1260" s="6">
        <v>3</v>
      </c>
      <c r="M1260" t="s">
        <v>58</v>
      </c>
      <c r="N1260" t="s">
        <v>59</v>
      </c>
      <c r="O1260" t="s">
        <v>73</v>
      </c>
      <c r="P1260" t="str">
        <f t="shared" si="133"/>
        <v>Small Business</v>
      </c>
      <c r="Q1260" t="str">
        <f t="shared" si="134"/>
        <v>Midlands</v>
      </c>
      <c r="R1260" t="str">
        <f>PROPER(TRIM(E1260))</f>
        <v>Office</v>
      </c>
      <c r="S1260" s="27">
        <f>IF(ISTEXT(B1260),DATEVALUE(B1260),B1260)</f>
        <v>46004</v>
      </c>
      <c r="T1260" s="27">
        <f>COUNTIF($A$2:$A$1986,A1260)</f>
        <v>1</v>
      </c>
      <c r="U1260" s="27" t="str">
        <f t="shared" si="135"/>
        <v>Ergonomic Keyboard</v>
      </c>
      <c r="V1260" s="27">
        <f t="shared" si="136"/>
        <v>183.08999999999997</v>
      </c>
      <c r="W1260" s="27">
        <f t="shared" si="137"/>
        <v>110.72999999999999</v>
      </c>
      <c r="X1260" s="27">
        <f>RawSalesTable3[[#This Row],[Revenue]]-RawSalesTable3[[#This Row],[Total_Cost]]</f>
        <v>72.359999999999985</v>
      </c>
      <c r="Y1260" s="28">
        <f>RawSalesTable3[[#This Row],[Profit]]/RawSalesTable3[[#This Row],[Revenue]]</f>
        <v>0.39521546780271993</v>
      </c>
      <c r="Z1260" s="27" t="str">
        <f>TEXT(RawSalesTable3[[#This Row],[Order_Date_Clean]],"MMM YYYY")</f>
        <v>Dec 2025</v>
      </c>
      <c r="AA1260" s="27"/>
      <c r="AB1260" s="27">
        <f t="shared" si="138"/>
        <v>0</v>
      </c>
      <c r="AC1260" s="27">
        <f t="shared" si="139"/>
        <v>0</v>
      </c>
    </row>
    <row r="1261" spans="1:29">
      <c r="A1261" t="s">
        <v>1366</v>
      </c>
      <c r="B1261" s="3">
        <v>45892</v>
      </c>
      <c r="C1261" t="s">
        <v>82</v>
      </c>
      <c r="D1261" t="s">
        <v>62</v>
      </c>
      <c r="E1261" t="s">
        <v>67</v>
      </c>
      <c r="F1261" t="s">
        <v>107</v>
      </c>
      <c r="G1261" s="6">
        <v>2</v>
      </c>
      <c r="H1261" s="4">
        <v>46.54</v>
      </c>
      <c r="I1261" s="4">
        <v>21.62</v>
      </c>
      <c r="J1261" s="5">
        <v>0.05</v>
      </c>
      <c r="K1261" s="6">
        <v>4</v>
      </c>
      <c r="L1261" s="6">
        <v>4</v>
      </c>
      <c r="M1261" t="s">
        <v>58</v>
      </c>
      <c r="N1261" t="s">
        <v>59</v>
      </c>
      <c r="O1261" t="s">
        <v>64</v>
      </c>
      <c r="P1261" t="str">
        <f t="shared" si="133"/>
        <v>Individual</v>
      </c>
      <c r="Q1261" t="str">
        <f t="shared" si="134"/>
        <v>Midlands</v>
      </c>
      <c r="R1261" t="str">
        <f>PROPER(TRIM(E1261))</f>
        <v>Office</v>
      </c>
      <c r="S1261" s="27">
        <f>IF(ISTEXT(B1261),DATEVALUE(B1261),B1261)</f>
        <v>45892</v>
      </c>
      <c r="T1261" s="27">
        <f>COUNTIF($A$2:$A$1986,A1261)</f>
        <v>1</v>
      </c>
      <c r="U1261" s="27" t="str">
        <f t="shared" si="135"/>
        <v>Laptop Stand</v>
      </c>
      <c r="V1261" s="27">
        <f t="shared" si="136"/>
        <v>88.425999999999988</v>
      </c>
      <c r="W1261" s="27">
        <f t="shared" si="137"/>
        <v>43.24</v>
      </c>
      <c r="X1261" s="27">
        <f>RawSalesTable3[[#This Row],[Revenue]]-RawSalesTable3[[#This Row],[Total_Cost]]</f>
        <v>45.185999999999986</v>
      </c>
      <c r="Y1261" s="28">
        <f>RawSalesTable3[[#This Row],[Profit]]/RawSalesTable3[[#This Row],[Revenue]]</f>
        <v>0.51100355099178962</v>
      </c>
      <c r="Z1261" s="27" t="str">
        <f>TEXT(RawSalesTable3[[#This Row],[Order_Date_Clean]],"MMM YYYY")</f>
        <v>Aug 2025</v>
      </c>
      <c r="AA1261" s="27"/>
      <c r="AB1261" s="27">
        <f t="shared" si="138"/>
        <v>0</v>
      </c>
      <c r="AC1261" s="27">
        <f t="shared" si="139"/>
        <v>0</v>
      </c>
    </row>
    <row r="1262" spans="1:29">
      <c r="A1262" t="s">
        <v>1367</v>
      </c>
      <c r="B1262" s="3">
        <v>45705</v>
      </c>
      <c r="C1262" t="s">
        <v>82</v>
      </c>
      <c r="D1262" t="s">
        <v>62</v>
      </c>
      <c r="E1262" t="s">
        <v>67</v>
      </c>
      <c r="F1262" t="s">
        <v>68</v>
      </c>
      <c r="G1262" s="6">
        <v>1</v>
      </c>
      <c r="H1262" s="4">
        <v>41.04</v>
      </c>
      <c r="I1262" s="4">
        <v>19.34</v>
      </c>
      <c r="J1262" s="5">
        <v>0.1</v>
      </c>
      <c r="K1262" s="6">
        <v>4</v>
      </c>
      <c r="L1262" s="6">
        <v>4</v>
      </c>
      <c r="M1262" t="s">
        <v>58</v>
      </c>
      <c r="N1262" t="s">
        <v>59</v>
      </c>
      <c r="O1262" t="s">
        <v>64</v>
      </c>
      <c r="P1262" t="str">
        <f t="shared" si="133"/>
        <v>Individual</v>
      </c>
      <c r="Q1262" t="str">
        <f t="shared" si="134"/>
        <v>Midlands</v>
      </c>
      <c r="R1262" t="str">
        <f>PROPER(TRIM(E1262))</f>
        <v>Office</v>
      </c>
      <c r="S1262" s="27">
        <f>IF(ISTEXT(B1262),DATEVALUE(B1262),B1262)</f>
        <v>45705</v>
      </c>
      <c r="T1262" s="27">
        <f>COUNTIF($A$2:$A$1986,A1262)</f>
        <v>1</v>
      </c>
      <c r="U1262" s="27" t="str">
        <f t="shared" si="135"/>
        <v>Desk Lamp</v>
      </c>
      <c r="V1262" s="27">
        <f t="shared" si="136"/>
        <v>36.936</v>
      </c>
      <c r="W1262" s="27">
        <f t="shared" si="137"/>
        <v>19.34</v>
      </c>
      <c r="X1262" s="27">
        <f>RawSalesTable3[[#This Row],[Revenue]]-RawSalesTable3[[#This Row],[Total_Cost]]</f>
        <v>17.596</v>
      </c>
      <c r="Y1262" s="28">
        <f>RawSalesTable3[[#This Row],[Profit]]/RawSalesTable3[[#This Row],[Revenue]]</f>
        <v>0.47639159627463723</v>
      </c>
      <c r="Z1262" s="27" t="str">
        <f>TEXT(RawSalesTable3[[#This Row],[Order_Date_Clean]],"MMM YYYY")</f>
        <v>Feb 2025</v>
      </c>
      <c r="AA1262" s="27"/>
      <c r="AB1262" s="27">
        <f t="shared" si="138"/>
        <v>0</v>
      </c>
      <c r="AC1262" s="27">
        <f t="shared" si="139"/>
        <v>0</v>
      </c>
    </row>
    <row r="1263" spans="1:29">
      <c r="A1263" t="s">
        <v>1368</v>
      </c>
      <c r="B1263" s="3">
        <v>45993</v>
      </c>
      <c r="C1263" t="s">
        <v>78</v>
      </c>
      <c r="D1263" t="s">
        <v>55</v>
      </c>
      <c r="E1263" t="s">
        <v>56</v>
      </c>
      <c r="F1263" t="s">
        <v>57</v>
      </c>
      <c r="G1263" s="6">
        <v>2</v>
      </c>
      <c r="H1263" s="4">
        <v>113.74</v>
      </c>
      <c r="I1263" s="4">
        <v>66.41</v>
      </c>
      <c r="J1263" s="5">
        <v>0.2</v>
      </c>
      <c r="K1263" s="6">
        <v>3</v>
      </c>
      <c r="L1263" s="6">
        <v>4</v>
      </c>
      <c r="M1263" t="s">
        <v>58</v>
      </c>
      <c r="N1263" t="s">
        <v>69</v>
      </c>
      <c r="O1263" t="s">
        <v>64</v>
      </c>
      <c r="P1263" t="str">
        <f t="shared" si="133"/>
        <v>Small Business</v>
      </c>
      <c r="Q1263" t="str">
        <f t="shared" si="134"/>
        <v>London</v>
      </c>
      <c r="R1263" t="str">
        <f>PROPER(TRIM(E1263))</f>
        <v>Home &amp; Kitchen</v>
      </c>
      <c r="S1263" s="27">
        <f>IF(ISTEXT(B1263),DATEVALUE(B1263),B1263)</f>
        <v>45993</v>
      </c>
      <c r="T1263" s="27">
        <f>COUNTIF($A$2:$A$1986,A1263)</f>
        <v>1</v>
      </c>
      <c r="U1263" s="27" t="str">
        <f t="shared" si="135"/>
        <v>Air Fryer</v>
      </c>
      <c r="V1263" s="27">
        <f t="shared" si="136"/>
        <v>181.98400000000001</v>
      </c>
      <c r="W1263" s="27">
        <f t="shared" si="137"/>
        <v>132.82</v>
      </c>
      <c r="X1263" s="27">
        <f>RawSalesTable3[[#This Row],[Revenue]]-RawSalesTable3[[#This Row],[Total_Cost]]</f>
        <v>49.164000000000016</v>
      </c>
      <c r="Y1263" s="28">
        <f>RawSalesTable3[[#This Row],[Profit]]/RawSalesTable3[[#This Row],[Revenue]]</f>
        <v>0.2701556180763145</v>
      </c>
      <c r="Z1263" s="27" t="str">
        <f>TEXT(RawSalesTable3[[#This Row],[Order_Date_Clean]],"MMM YYYY")</f>
        <v>Dec 2025</v>
      </c>
      <c r="AA1263" s="27"/>
      <c r="AB1263" s="27">
        <f t="shared" si="138"/>
        <v>0</v>
      </c>
      <c r="AC1263" s="27">
        <f t="shared" si="139"/>
        <v>0</v>
      </c>
    </row>
    <row r="1264" spans="1:29">
      <c r="A1264" t="s">
        <v>1369</v>
      </c>
      <c r="B1264" s="3">
        <v>45903</v>
      </c>
      <c r="C1264" t="s">
        <v>82</v>
      </c>
      <c r="D1264" t="s">
        <v>129</v>
      </c>
      <c r="E1264" t="s">
        <v>56</v>
      </c>
      <c r="F1264" t="s">
        <v>63</v>
      </c>
      <c r="G1264" s="6">
        <v>10</v>
      </c>
      <c r="H1264" s="4">
        <v>41.29</v>
      </c>
      <c r="I1264" s="4">
        <v>20.97</v>
      </c>
      <c r="J1264" s="5">
        <v>0.05</v>
      </c>
      <c r="K1264" s="6">
        <v>0</v>
      </c>
      <c r="L1264" s="6">
        <v>4</v>
      </c>
      <c r="M1264" t="s">
        <v>58</v>
      </c>
      <c r="N1264" t="s">
        <v>69</v>
      </c>
      <c r="O1264" t="s">
        <v>64</v>
      </c>
      <c r="P1264" t="str">
        <f t="shared" si="133"/>
        <v>Corporate</v>
      </c>
      <c r="Q1264" t="str">
        <f t="shared" si="134"/>
        <v>Midlands</v>
      </c>
      <c r="R1264" t="str">
        <f>PROPER(TRIM(E1264))</f>
        <v>Home &amp; Kitchen</v>
      </c>
      <c r="S1264" s="27">
        <f>IF(ISTEXT(B1264),DATEVALUE(B1264),B1264)</f>
        <v>45903</v>
      </c>
      <c r="T1264" s="27">
        <f>COUNTIF($A$2:$A$1986,A1264)</f>
        <v>1</v>
      </c>
      <c r="U1264" s="27" t="str">
        <f t="shared" si="135"/>
        <v>Electric Kettle</v>
      </c>
      <c r="V1264" s="27">
        <f t="shared" si="136"/>
        <v>392.25499999999994</v>
      </c>
      <c r="W1264" s="27">
        <f t="shared" si="137"/>
        <v>209.7</v>
      </c>
      <c r="X1264" s="27">
        <f>RawSalesTable3[[#This Row],[Revenue]]-RawSalesTable3[[#This Row],[Total_Cost]]</f>
        <v>182.55499999999995</v>
      </c>
      <c r="Y1264" s="28">
        <f>RawSalesTable3[[#This Row],[Profit]]/RawSalesTable3[[#This Row],[Revenue]]</f>
        <v>0.46539878395431539</v>
      </c>
      <c r="Z1264" s="27" t="str">
        <f>TEXT(RawSalesTable3[[#This Row],[Order_Date_Clean]],"MMM YYYY")</f>
        <v>Sep 2025</v>
      </c>
      <c r="AA1264" s="27"/>
      <c r="AB1264" s="27">
        <f t="shared" si="138"/>
        <v>0</v>
      </c>
      <c r="AC1264" s="27">
        <f t="shared" si="139"/>
        <v>0</v>
      </c>
    </row>
    <row r="1265" spans="1:29">
      <c r="A1265" t="s">
        <v>1370</v>
      </c>
      <c r="B1265" s="3">
        <v>45950</v>
      </c>
      <c r="C1265" t="s">
        <v>78</v>
      </c>
      <c r="D1265" t="s">
        <v>55</v>
      </c>
      <c r="E1265" t="s">
        <v>67</v>
      </c>
      <c r="F1265" t="s">
        <v>71</v>
      </c>
      <c r="G1265" s="6">
        <v>1</v>
      </c>
      <c r="H1265" s="4">
        <v>68.349999999999994</v>
      </c>
      <c r="I1265" s="4">
        <v>38.61</v>
      </c>
      <c r="J1265" s="5">
        <v>0.05</v>
      </c>
      <c r="K1265" s="6">
        <v>7</v>
      </c>
      <c r="L1265" s="6">
        <v>4</v>
      </c>
      <c r="M1265" t="s">
        <v>58</v>
      </c>
      <c r="N1265" t="s">
        <v>87</v>
      </c>
      <c r="O1265" t="s">
        <v>64</v>
      </c>
      <c r="P1265" t="str">
        <f t="shared" si="133"/>
        <v>Small Business</v>
      </c>
      <c r="Q1265" t="str">
        <f t="shared" si="134"/>
        <v>London</v>
      </c>
      <c r="R1265" t="str">
        <f>PROPER(TRIM(E1265))</f>
        <v>Office</v>
      </c>
      <c r="S1265" s="27">
        <f>IF(ISTEXT(B1265),DATEVALUE(B1265),B1265)</f>
        <v>45950</v>
      </c>
      <c r="T1265" s="27">
        <f>COUNTIF($A$2:$A$1986,A1265)</f>
        <v>1</v>
      </c>
      <c r="U1265" s="27" t="str">
        <f t="shared" si="135"/>
        <v>Ergonomic Keyboard</v>
      </c>
      <c r="V1265" s="27">
        <f t="shared" si="136"/>
        <v>64.93249999999999</v>
      </c>
      <c r="W1265" s="27">
        <f t="shared" si="137"/>
        <v>38.61</v>
      </c>
      <c r="X1265" s="27">
        <f>RawSalesTable3[[#This Row],[Revenue]]-RawSalesTable3[[#This Row],[Total_Cost]]</f>
        <v>26.322499999999991</v>
      </c>
      <c r="Y1265" s="28">
        <f>RawSalesTable3[[#This Row],[Profit]]/RawSalesTable3[[#This Row],[Revenue]]</f>
        <v>0.40538251260924796</v>
      </c>
      <c r="Z1265" s="27" t="str">
        <f>TEXT(RawSalesTable3[[#This Row],[Order_Date_Clean]],"MMM YYYY")</f>
        <v>Oct 2025</v>
      </c>
      <c r="AA1265" s="27"/>
      <c r="AB1265" s="27">
        <f t="shared" si="138"/>
        <v>0</v>
      </c>
      <c r="AC1265" s="27">
        <f t="shared" si="139"/>
        <v>0</v>
      </c>
    </row>
    <row r="1266" spans="1:29">
      <c r="A1266" t="s">
        <v>1371</v>
      </c>
      <c r="B1266" s="3">
        <v>45999</v>
      </c>
      <c r="C1266" t="s">
        <v>78</v>
      </c>
      <c r="D1266" t="s">
        <v>62</v>
      </c>
      <c r="E1266" t="s">
        <v>79</v>
      </c>
      <c r="F1266" t="s">
        <v>80</v>
      </c>
      <c r="G1266" s="6">
        <v>1</v>
      </c>
      <c r="H1266" s="4">
        <v>76.239999999999995</v>
      </c>
      <c r="I1266" s="4">
        <v>43.12</v>
      </c>
      <c r="J1266" s="5">
        <v>0.05</v>
      </c>
      <c r="K1266" s="6">
        <v>3</v>
      </c>
      <c r="L1266" s="6">
        <v>4</v>
      </c>
      <c r="M1266" t="s">
        <v>58</v>
      </c>
      <c r="N1266" t="s">
        <v>59</v>
      </c>
      <c r="O1266" t="s">
        <v>60</v>
      </c>
      <c r="P1266" t="str">
        <f t="shared" si="133"/>
        <v>Individual</v>
      </c>
      <c r="Q1266" t="str">
        <f t="shared" si="134"/>
        <v>London</v>
      </c>
      <c r="R1266" t="str">
        <f>PROPER(TRIM(E1266))</f>
        <v>Electronics</v>
      </c>
      <c r="S1266" s="27">
        <f>IF(ISTEXT(B1266),DATEVALUE(B1266),B1266)</f>
        <v>45999</v>
      </c>
      <c r="T1266" s="27">
        <f>COUNTIF($A$2:$A$1986,A1266)</f>
        <v>1</v>
      </c>
      <c r="U1266" s="27" t="str">
        <f t="shared" si="135"/>
        <v>Portable Speaker</v>
      </c>
      <c r="V1266" s="27">
        <f t="shared" si="136"/>
        <v>72.427999999999997</v>
      </c>
      <c r="W1266" s="27">
        <f t="shared" si="137"/>
        <v>43.12</v>
      </c>
      <c r="X1266" s="27">
        <f>RawSalesTable3[[#This Row],[Revenue]]-RawSalesTable3[[#This Row],[Total_Cost]]</f>
        <v>29.308</v>
      </c>
      <c r="Y1266" s="28">
        <f>RawSalesTable3[[#This Row],[Profit]]/RawSalesTable3[[#This Row],[Revenue]]</f>
        <v>0.40465013530678745</v>
      </c>
      <c r="Z1266" s="27" t="str">
        <f>TEXT(RawSalesTable3[[#This Row],[Order_Date_Clean]],"MMM YYYY")</f>
        <v>Dec 2025</v>
      </c>
      <c r="AA1266" s="27"/>
      <c r="AB1266" s="27">
        <f t="shared" si="138"/>
        <v>0</v>
      </c>
      <c r="AC1266" s="27">
        <f t="shared" si="139"/>
        <v>0</v>
      </c>
    </row>
    <row r="1267" spans="1:29">
      <c r="A1267" t="s">
        <v>1372</v>
      </c>
      <c r="B1267" s="3">
        <v>45759</v>
      </c>
      <c r="C1267" t="s">
        <v>82</v>
      </c>
      <c r="D1267" t="s">
        <v>62</v>
      </c>
      <c r="E1267" t="s">
        <v>56</v>
      </c>
      <c r="F1267" t="s">
        <v>89</v>
      </c>
      <c r="G1267" s="6">
        <v>2</v>
      </c>
      <c r="H1267" s="4">
        <v>79.319999999999993</v>
      </c>
      <c r="I1267" s="4">
        <v>43.98</v>
      </c>
      <c r="J1267" s="5">
        <v>0</v>
      </c>
      <c r="K1267" s="6">
        <v>3</v>
      </c>
      <c r="L1267" s="6">
        <v>5</v>
      </c>
      <c r="M1267" t="s">
        <v>58</v>
      </c>
      <c r="N1267" t="s">
        <v>59</v>
      </c>
      <c r="O1267" t="s">
        <v>60</v>
      </c>
      <c r="P1267" t="str">
        <f t="shared" si="133"/>
        <v>Individual</v>
      </c>
      <c r="Q1267" t="str">
        <f t="shared" si="134"/>
        <v>Midlands</v>
      </c>
      <c r="R1267" t="str">
        <f>PROPER(TRIM(E1267))</f>
        <v>Home &amp; Kitchen</v>
      </c>
      <c r="S1267" s="27">
        <f>IF(ISTEXT(B1267),DATEVALUE(B1267),B1267)</f>
        <v>45759</v>
      </c>
      <c r="T1267" s="27">
        <f>COUNTIF($A$2:$A$1986,A1267)</f>
        <v>1</v>
      </c>
      <c r="U1267" s="27" t="str">
        <f t="shared" si="135"/>
        <v>Coffee Maker</v>
      </c>
      <c r="V1267" s="27">
        <f t="shared" si="136"/>
        <v>158.63999999999999</v>
      </c>
      <c r="W1267" s="27">
        <f t="shared" si="137"/>
        <v>87.96</v>
      </c>
      <c r="X1267" s="27">
        <f>RawSalesTable3[[#This Row],[Revenue]]-RawSalesTable3[[#This Row],[Total_Cost]]</f>
        <v>70.679999999999993</v>
      </c>
      <c r="Y1267" s="28">
        <f>RawSalesTable3[[#This Row],[Profit]]/RawSalesTable3[[#This Row],[Revenue]]</f>
        <v>0.44553706505295004</v>
      </c>
      <c r="Z1267" s="27" t="str">
        <f>TEXT(RawSalesTable3[[#This Row],[Order_Date_Clean]],"MMM YYYY")</f>
        <v>Apr 2025</v>
      </c>
      <c r="AA1267" s="27"/>
      <c r="AB1267" s="27">
        <f t="shared" si="138"/>
        <v>0</v>
      </c>
      <c r="AC1267" s="27">
        <f t="shared" si="139"/>
        <v>0</v>
      </c>
    </row>
    <row r="1268" spans="1:29">
      <c r="A1268" t="s">
        <v>1373</v>
      </c>
      <c r="B1268" s="3">
        <v>45893</v>
      </c>
      <c r="C1268" t="s">
        <v>82</v>
      </c>
      <c r="D1268" t="s">
        <v>62</v>
      </c>
      <c r="E1268" t="s">
        <v>56</v>
      </c>
      <c r="F1268" t="s">
        <v>89</v>
      </c>
      <c r="G1268" s="6">
        <v>2</v>
      </c>
      <c r="H1268" s="4">
        <v>78.8</v>
      </c>
      <c r="I1268" s="4">
        <v>46.9</v>
      </c>
      <c r="J1268" s="5">
        <v>0</v>
      </c>
      <c r="K1268" s="6">
        <v>5</v>
      </c>
      <c r="L1268" s="6">
        <v>4</v>
      </c>
      <c r="M1268" t="s">
        <v>58</v>
      </c>
      <c r="N1268" t="s">
        <v>59</v>
      </c>
      <c r="O1268" t="s">
        <v>64</v>
      </c>
      <c r="P1268" t="str">
        <f t="shared" si="133"/>
        <v>Individual</v>
      </c>
      <c r="Q1268" t="str">
        <f t="shared" si="134"/>
        <v>Midlands</v>
      </c>
      <c r="R1268" t="str">
        <f>PROPER(TRIM(E1268))</f>
        <v>Home &amp; Kitchen</v>
      </c>
      <c r="S1268" s="27">
        <f>IF(ISTEXT(B1268),DATEVALUE(B1268),B1268)</f>
        <v>45893</v>
      </c>
      <c r="T1268" s="27">
        <f>COUNTIF($A$2:$A$1986,A1268)</f>
        <v>1</v>
      </c>
      <c r="U1268" s="27" t="str">
        <f t="shared" si="135"/>
        <v>Coffee Maker</v>
      </c>
      <c r="V1268" s="27">
        <f t="shared" si="136"/>
        <v>157.6</v>
      </c>
      <c r="W1268" s="27">
        <f t="shared" si="137"/>
        <v>93.8</v>
      </c>
      <c r="X1268" s="27">
        <f>RawSalesTable3[[#This Row],[Revenue]]-RawSalesTable3[[#This Row],[Total_Cost]]</f>
        <v>63.8</v>
      </c>
      <c r="Y1268" s="28">
        <f>RawSalesTable3[[#This Row],[Profit]]/RawSalesTable3[[#This Row],[Revenue]]</f>
        <v>0.40482233502538073</v>
      </c>
      <c r="Z1268" s="27" t="str">
        <f>TEXT(RawSalesTable3[[#This Row],[Order_Date_Clean]],"MMM YYYY")</f>
        <v>Aug 2025</v>
      </c>
      <c r="AA1268" s="27"/>
      <c r="AB1268" s="27">
        <f t="shared" si="138"/>
        <v>0</v>
      </c>
      <c r="AC1268" s="27">
        <f t="shared" si="139"/>
        <v>0</v>
      </c>
    </row>
    <row r="1269" spans="1:29">
      <c r="A1269" t="s">
        <v>1374</v>
      </c>
      <c r="B1269" s="3">
        <v>45915</v>
      </c>
      <c r="C1269" t="s">
        <v>54</v>
      </c>
      <c r="D1269" t="s">
        <v>62</v>
      </c>
      <c r="E1269" t="s">
        <v>56</v>
      </c>
      <c r="F1269" t="s">
        <v>63</v>
      </c>
      <c r="G1269" s="6">
        <v>3</v>
      </c>
      <c r="H1269" s="4">
        <v>40.32</v>
      </c>
      <c r="I1269" s="4">
        <v>19.71</v>
      </c>
      <c r="J1269" s="5">
        <v>0.05</v>
      </c>
      <c r="K1269" s="6">
        <v>1</v>
      </c>
      <c r="L1269" s="6">
        <v>5</v>
      </c>
      <c r="M1269" t="s">
        <v>58</v>
      </c>
      <c r="N1269" t="s">
        <v>59</v>
      </c>
      <c r="O1269" t="s">
        <v>73</v>
      </c>
      <c r="P1269" t="str">
        <f t="shared" si="133"/>
        <v>Individual</v>
      </c>
      <c r="Q1269" t="str">
        <f t="shared" si="134"/>
        <v>North</v>
      </c>
      <c r="R1269" t="str">
        <f>PROPER(TRIM(E1269))</f>
        <v>Home &amp; Kitchen</v>
      </c>
      <c r="S1269" s="27">
        <f>IF(ISTEXT(B1269),DATEVALUE(B1269),B1269)</f>
        <v>45915</v>
      </c>
      <c r="T1269" s="27">
        <f>COUNTIF($A$2:$A$1986,A1269)</f>
        <v>1</v>
      </c>
      <c r="U1269" s="27" t="str">
        <f t="shared" si="135"/>
        <v>Electric Kettle</v>
      </c>
      <c r="V1269" s="27">
        <f t="shared" si="136"/>
        <v>114.91200000000001</v>
      </c>
      <c r="W1269" s="27">
        <f t="shared" si="137"/>
        <v>59.13</v>
      </c>
      <c r="X1269" s="27">
        <f>RawSalesTable3[[#This Row],[Revenue]]-RawSalesTable3[[#This Row],[Total_Cost]]</f>
        <v>55.782000000000004</v>
      </c>
      <c r="Y1269" s="28">
        <f>RawSalesTable3[[#This Row],[Profit]]/RawSalesTable3[[#This Row],[Revenue]]</f>
        <v>0.48543233082706766</v>
      </c>
      <c r="Z1269" s="27" t="str">
        <f>TEXT(RawSalesTable3[[#This Row],[Order_Date_Clean]],"MMM YYYY")</f>
        <v>Sep 2025</v>
      </c>
      <c r="AA1269" s="27"/>
      <c r="AB1269" s="27">
        <f t="shared" si="138"/>
        <v>0</v>
      </c>
      <c r="AC1269" s="27">
        <f t="shared" si="139"/>
        <v>0</v>
      </c>
    </row>
    <row r="1270" spans="1:29">
      <c r="A1270" t="s">
        <v>1375</v>
      </c>
      <c r="B1270" s="3">
        <v>45846</v>
      </c>
      <c r="C1270" t="s">
        <v>66</v>
      </c>
      <c r="D1270" t="s">
        <v>55</v>
      </c>
      <c r="E1270" t="s">
        <v>75</v>
      </c>
      <c r="F1270" t="s">
        <v>97</v>
      </c>
      <c r="G1270" s="6">
        <v>5</v>
      </c>
      <c r="H1270" s="4">
        <v>92.76</v>
      </c>
      <c r="I1270" s="4">
        <v>53.71</v>
      </c>
      <c r="J1270" s="5">
        <v>0.1</v>
      </c>
      <c r="K1270" s="6">
        <v>6</v>
      </c>
      <c r="L1270" s="6">
        <v>4</v>
      </c>
      <c r="M1270" t="s">
        <v>58</v>
      </c>
      <c r="N1270" t="s">
        <v>59</v>
      </c>
      <c r="O1270" t="s">
        <v>60</v>
      </c>
      <c r="P1270" t="str">
        <f t="shared" si="133"/>
        <v>Small Business</v>
      </c>
      <c r="Q1270" t="str">
        <f t="shared" si="134"/>
        <v>South</v>
      </c>
      <c r="R1270" t="str">
        <f>PROPER(TRIM(E1270))</f>
        <v>Furniture</v>
      </c>
      <c r="S1270" s="27">
        <f>IF(ISTEXT(B1270),DATEVALUE(B1270),B1270)</f>
        <v>45846</v>
      </c>
      <c r="T1270" s="27">
        <f>COUNTIF($A$2:$A$1986,A1270)</f>
        <v>1</v>
      </c>
      <c r="U1270" s="27" t="str">
        <f t="shared" si="135"/>
        <v>Side Table</v>
      </c>
      <c r="V1270" s="27">
        <f t="shared" si="136"/>
        <v>417.42</v>
      </c>
      <c r="W1270" s="27">
        <f t="shared" si="137"/>
        <v>268.55</v>
      </c>
      <c r="X1270" s="27">
        <f>RawSalesTable3[[#This Row],[Revenue]]-RawSalesTable3[[#This Row],[Total_Cost]]</f>
        <v>148.87</v>
      </c>
      <c r="Y1270" s="28">
        <f>RawSalesTable3[[#This Row],[Profit]]/RawSalesTable3[[#This Row],[Revenue]]</f>
        <v>0.35664318911408172</v>
      </c>
      <c r="Z1270" s="27" t="str">
        <f>TEXT(RawSalesTable3[[#This Row],[Order_Date_Clean]],"MMM YYYY")</f>
        <v>Jul 2025</v>
      </c>
      <c r="AA1270" s="27"/>
      <c r="AB1270" s="27">
        <f t="shared" si="138"/>
        <v>0</v>
      </c>
      <c r="AC1270" s="27">
        <f t="shared" si="139"/>
        <v>0</v>
      </c>
    </row>
    <row r="1271" spans="1:29">
      <c r="A1271" t="s">
        <v>1376</v>
      </c>
      <c r="B1271" s="3">
        <v>45982</v>
      </c>
      <c r="C1271" t="s">
        <v>82</v>
      </c>
      <c r="D1271" t="s">
        <v>62</v>
      </c>
      <c r="E1271" t="s">
        <v>67</v>
      </c>
      <c r="F1271" t="s">
        <v>71</v>
      </c>
      <c r="G1271" s="6">
        <v>2</v>
      </c>
      <c r="H1271" s="4">
        <v>69.28</v>
      </c>
      <c r="I1271" s="4">
        <v>38.69</v>
      </c>
      <c r="J1271" s="5">
        <v>0.1</v>
      </c>
      <c r="K1271" s="6">
        <v>7</v>
      </c>
      <c r="L1271" s="6">
        <v>4</v>
      </c>
      <c r="M1271" t="s">
        <v>58</v>
      </c>
      <c r="N1271" t="s">
        <v>59</v>
      </c>
      <c r="O1271" t="s">
        <v>64</v>
      </c>
      <c r="P1271" t="str">
        <f t="shared" si="133"/>
        <v>Individual</v>
      </c>
      <c r="Q1271" t="str">
        <f t="shared" si="134"/>
        <v>Midlands</v>
      </c>
      <c r="R1271" t="str">
        <f>PROPER(TRIM(E1271))</f>
        <v>Office</v>
      </c>
      <c r="S1271" s="27">
        <f>IF(ISTEXT(B1271),DATEVALUE(B1271),B1271)</f>
        <v>45982</v>
      </c>
      <c r="T1271" s="27">
        <f>COUNTIF($A$2:$A$1986,A1271)</f>
        <v>1</v>
      </c>
      <c r="U1271" s="27" t="str">
        <f t="shared" si="135"/>
        <v>Ergonomic Keyboard</v>
      </c>
      <c r="V1271" s="27">
        <f t="shared" si="136"/>
        <v>124.70400000000001</v>
      </c>
      <c r="W1271" s="27">
        <f t="shared" si="137"/>
        <v>77.38</v>
      </c>
      <c r="X1271" s="27">
        <f>RawSalesTable3[[#This Row],[Revenue]]-RawSalesTable3[[#This Row],[Total_Cost]]</f>
        <v>47.324000000000012</v>
      </c>
      <c r="Y1271" s="28">
        <f>RawSalesTable3[[#This Row],[Profit]]/RawSalesTable3[[#This Row],[Revenue]]</f>
        <v>0.37949063382088793</v>
      </c>
      <c r="Z1271" s="27" t="str">
        <f>TEXT(RawSalesTable3[[#This Row],[Order_Date_Clean]],"MMM YYYY")</f>
        <v>Nov 2025</v>
      </c>
      <c r="AA1271" s="27"/>
      <c r="AB1271" s="27">
        <f t="shared" si="138"/>
        <v>0</v>
      </c>
      <c r="AC1271" s="27">
        <f t="shared" si="139"/>
        <v>0</v>
      </c>
    </row>
    <row r="1272" spans="1:29">
      <c r="A1272" t="s">
        <v>1377</v>
      </c>
      <c r="B1272" s="3">
        <v>45877</v>
      </c>
      <c r="C1272" t="s">
        <v>82</v>
      </c>
      <c r="D1272" t="s">
        <v>55</v>
      </c>
      <c r="E1272" t="s">
        <v>79</v>
      </c>
      <c r="F1272" t="s">
        <v>80</v>
      </c>
      <c r="G1272" s="6">
        <v>5</v>
      </c>
      <c r="H1272" s="4">
        <v>74.739999999999995</v>
      </c>
      <c r="I1272" s="4">
        <v>43.96</v>
      </c>
      <c r="J1272" s="5">
        <v>0.1</v>
      </c>
      <c r="K1272" s="6">
        <v>3</v>
      </c>
      <c r="L1272" s="6">
        <v>4</v>
      </c>
      <c r="M1272" t="s">
        <v>58</v>
      </c>
      <c r="N1272" t="s">
        <v>59</v>
      </c>
      <c r="O1272" t="s">
        <v>64</v>
      </c>
      <c r="P1272" t="str">
        <f t="shared" si="133"/>
        <v>Small Business</v>
      </c>
      <c r="Q1272" t="str">
        <f t="shared" si="134"/>
        <v>Midlands</v>
      </c>
      <c r="R1272" t="str">
        <f>PROPER(TRIM(E1272))</f>
        <v>Electronics</v>
      </c>
      <c r="S1272" s="27">
        <f>IF(ISTEXT(B1272),DATEVALUE(B1272),B1272)</f>
        <v>45877</v>
      </c>
      <c r="T1272" s="27">
        <f>COUNTIF($A$2:$A$1986,A1272)</f>
        <v>1</v>
      </c>
      <c r="U1272" s="27" t="str">
        <f t="shared" si="135"/>
        <v>Portable Speaker</v>
      </c>
      <c r="V1272" s="27">
        <f t="shared" si="136"/>
        <v>336.33</v>
      </c>
      <c r="W1272" s="27">
        <f t="shared" si="137"/>
        <v>219.8</v>
      </c>
      <c r="X1272" s="27">
        <f>RawSalesTable3[[#This Row],[Revenue]]-RawSalesTable3[[#This Row],[Total_Cost]]</f>
        <v>116.52999999999997</v>
      </c>
      <c r="Y1272" s="28">
        <f>RawSalesTable3[[#This Row],[Profit]]/RawSalesTable3[[#This Row],[Revenue]]</f>
        <v>0.34647518805934641</v>
      </c>
      <c r="Z1272" s="27" t="str">
        <f>TEXT(RawSalesTable3[[#This Row],[Order_Date_Clean]],"MMM YYYY")</f>
        <v>Aug 2025</v>
      </c>
      <c r="AA1272" s="27"/>
      <c r="AB1272" s="27">
        <f t="shared" si="138"/>
        <v>0</v>
      </c>
      <c r="AC1272" s="27">
        <f t="shared" si="139"/>
        <v>0</v>
      </c>
    </row>
    <row r="1273" spans="1:29">
      <c r="A1273" t="s">
        <v>1378</v>
      </c>
      <c r="B1273" s="3">
        <v>45827</v>
      </c>
      <c r="C1273" t="s">
        <v>78</v>
      </c>
      <c r="D1273" t="s">
        <v>62</v>
      </c>
      <c r="E1273" t="s">
        <v>67</v>
      </c>
      <c r="F1273" t="s">
        <v>107</v>
      </c>
      <c r="G1273" s="6">
        <v>3</v>
      </c>
      <c r="H1273" s="4">
        <v>46.16</v>
      </c>
      <c r="I1273" s="4">
        <v>21.44</v>
      </c>
      <c r="J1273" s="5">
        <v>0.05</v>
      </c>
      <c r="K1273" s="6">
        <v>4</v>
      </c>
      <c r="L1273" s="6">
        <v>4</v>
      </c>
      <c r="M1273" t="s">
        <v>58</v>
      </c>
      <c r="N1273" t="s">
        <v>87</v>
      </c>
      <c r="O1273" t="s">
        <v>64</v>
      </c>
      <c r="P1273" t="str">
        <f t="shared" si="133"/>
        <v>Individual</v>
      </c>
      <c r="Q1273" t="str">
        <f t="shared" si="134"/>
        <v>London</v>
      </c>
      <c r="R1273" t="str">
        <f>PROPER(TRIM(E1273))</f>
        <v>Office</v>
      </c>
      <c r="S1273" s="27">
        <f>IF(ISTEXT(B1273),DATEVALUE(B1273),B1273)</f>
        <v>45827</v>
      </c>
      <c r="T1273" s="27">
        <f>COUNTIF($A$2:$A$1986,A1273)</f>
        <v>1</v>
      </c>
      <c r="U1273" s="27" t="str">
        <f t="shared" si="135"/>
        <v>Laptop Stand</v>
      </c>
      <c r="V1273" s="27">
        <f t="shared" si="136"/>
        <v>131.55599999999998</v>
      </c>
      <c r="W1273" s="27">
        <f t="shared" si="137"/>
        <v>64.320000000000007</v>
      </c>
      <c r="X1273" s="27">
        <f>RawSalesTable3[[#This Row],[Revenue]]-RawSalesTable3[[#This Row],[Total_Cost]]</f>
        <v>67.235999999999976</v>
      </c>
      <c r="Y1273" s="28">
        <f>RawSalesTable3[[#This Row],[Profit]]/RawSalesTable3[[#This Row],[Revenue]]</f>
        <v>0.51108273282860517</v>
      </c>
      <c r="Z1273" s="27" t="str">
        <f>TEXT(RawSalesTable3[[#This Row],[Order_Date_Clean]],"MMM YYYY")</f>
        <v>Jun 2025</v>
      </c>
      <c r="AA1273" s="27"/>
      <c r="AB1273" s="27">
        <f t="shared" si="138"/>
        <v>0</v>
      </c>
      <c r="AC1273" s="27">
        <f t="shared" si="139"/>
        <v>0</v>
      </c>
    </row>
    <row r="1274" spans="1:29">
      <c r="A1274" t="s">
        <v>1379</v>
      </c>
      <c r="B1274" s="3">
        <v>45973</v>
      </c>
      <c r="C1274" t="s">
        <v>54</v>
      </c>
      <c r="D1274" t="s">
        <v>62</v>
      </c>
      <c r="E1274" t="s">
        <v>79</v>
      </c>
      <c r="F1274" t="s">
        <v>115</v>
      </c>
      <c r="G1274" s="6">
        <v>2</v>
      </c>
      <c r="H1274" s="4">
        <v>62.31</v>
      </c>
      <c r="I1274" s="4">
        <v>35.11</v>
      </c>
      <c r="J1274" s="5">
        <v>0.1</v>
      </c>
      <c r="K1274" s="6">
        <v>0</v>
      </c>
      <c r="L1274" s="6">
        <v>5</v>
      </c>
      <c r="M1274" t="s">
        <v>58</v>
      </c>
      <c r="N1274" t="s">
        <v>69</v>
      </c>
      <c r="O1274" t="s">
        <v>73</v>
      </c>
      <c r="P1274" t="str">
        <f t="shared" si="133"/>
        <v>Individual</v>
      </c>
      <c r="Q1274" t="str">
        <f t="shared" si="134"/>
        <v>North</v>
      </c>
      <c r="R1274" t="str">
        <f>PROPER(TRIM(E1274))</f>
        <v>Electronics</v>
      </c>
      <c r="S1274" s="27">
        <f>IF(ISTEXT(B1274),DATEVALUE(B1274),B1274)</f>
        <v>45973</v>
      </c>
      <c r="T1274" s="27">
        <f>COUNTIF($A$2:$A$1986,A1274)</f>
        <v>1</v>
      </c>
      <c r="U1274" s="27" t="str">
        <f t="shared" si="135"/>
        <v>Wireless Headset</v>
      </c>
      <c r="V1274" s="27">
        <f t="shared" si="136"/>
        <v>112.158</v>
      </c>
      <c r="W1274" s="27">
        <f t="shared" si="137"/>
        <v>70.22</v>
      </c>
      <c r="X1274" s="27">
        <f>RawSalesTable3[[#This Row],[Revenue]]-RawSalesTable3[[#This Row],[Total_Cost]]</f>
        <v>41.938000000000002</v>
      </c>
      <c r="Y1274" s="28">
        <f>RawSalesTable3[[#This Row],[Profit]]/RawSalesTable3[[#This Row],[Revenue]]</f>
        <v>0.37391893578701474</v>
      </c>
      <c r="Z1274" s="27" t="str">
        <f>TEXT(RawSalesTable3[[#This Row],[Order_Date_Clean]],"MMM YYYY")</f>
        <v>Nov 2025</v>
      </c>
      <c r="AA1274" s="27"/>
      <c r="AB1274" s="27">
        <f t="shared" si="138"/>
        <v>0</v>
      </c>
      <c r="AC1274" s="27">
        <f t="shared" si="139"/>
        <v>0</v>
      </c>
    </row>
    <row r="1275" spans="1:29">
      <c r="A1275" t="s">
        <v>1380</v>
      </c>
      <c r="B1275" s="3">
        <v>45710</v>
      </c>
      <c r="C1275" t="s">
        <v>78</v>
      </c>
      <c r="D1275" t="s">
        <v>62</v>
      </c>
      <c r="E1275" t="s">
        <v>75</v>
      </c>
      <c r="F1275" t="s">
        <v>76</v>
      </c>
      <c r="G1275" s="6">
        <v>1</v>
      </c>
      <c r="H1275" s="4">
        <v>124.41</v>
      </c>
      <c r="I1275" s="4">
        <v>75.42</v>
      </c>
      <c r="J1275" s="5">
        <v>0</v>
      </c>
      <c r="K1275" s="6">
        <v>3</v>
      </c>
      <c r="L1275" s="6">
        <v>4</v>
      </c>
      <c r="M1275" t="s">
        <v>58</v>
      </c>
      <c r="N1275" t="s">
        <v>69</v>
      </c>
      <c r="O1275" t="s">
        <v>60</v>
      </c>
      <c r="P1275" t="str">
        <f t="shared" si="133"/>
        <v>Individual</v>
      </c>
      <c r="Q1275" t="str">
        <f t="shared" si="134"/>
        <v>London</v>
      </c>
      <c r="R1275" t="str">
        <f>PROPER(TRIM(E1275))</f>
        <v>Furniture</v>
      </c>
      <c r="S1275" s="27">
        <f>IF(ISTEXT(B1275),DATEVALUE(B1275),B1275)</f>
        <v>45710</v>
      </c>
      <c r="T1275" s="27">
        <f>COUNTIF($A$2:$A$1986,A1275)</f>
        <v>1</v>
      </c>
      <c r="U1275" s="27" t="str">
        <f t="shared" si="135"/>
        <v>Bookshelf</v>
      </c>
      <c r="V1275" s="27">
        <f t="shared" si="136"/>
        <v>124.41</v>
      </c>
      <c r="W1275" s="27">
        <f t="shared" si="137"/>
        <v>75.42</v>
      </c>
      <c r="X1275" s="27">
        <f>RawSalesTable3[[#This Row],[Revenue]]-RawSalesTable3[[#This Row],[Total_Cost]]</f>
        <v>48.989999999999995</v>
      </c>
      <c r="Y1275" s="28">
        <f>RawSalesTable3[[#This Row],[Profit]]/RawSalesTable3[[#This Row],[Revenue]]</f>
        <v>0.39377863515794548</v>
      </c>
      <c r="Z1275" s="27" t="str">
        <f>TEXT(RawSalesTable3[[#This Row],[Order_Date_Clean]],"MMM YYYY")</f>
        <v>Feb 2025</v>
      </c>
      <c r="AA1275" s="27"/>
      <c r="AB1275" s="27">
        <f t="shared" si="138"/>
        <v>0</v>
      </c>
      <c r="AC1275" s="27">
        <f t="shared" si="139"/>
        <v>0</v>
      </c>
    </row>
    <row r="1276" spans="1:29">
      <c r="A1276" t="s">
        <v>1381</v>
      </c>
      <c r="B1276" s="3">
        <v>45978</v>
      </c>
      <c r="C1276" t="s">
        <v>78</v>
      </c>
      <c r="D1276" t="s">
        <v>62</v>
      </c>
      <c r="E1276" t="s">
        <v>56</v>
      </c>
      <c r="F1276" t="s">
        <v>83</v>
      </c>
      <c r="G1276" s="6">
        <v>3</v>
      </c>
      <c r="H1276" s="4">
        <v>66.819999999999993</v>
      </c>
      <c r="I1276" s="4">
        <v>36.24</v>
      </c>
      <c r="J1276" s="5">
        <v>0.1</v>
      </c>
      <c r="K1276" s="6">
        <v>3</v>
      </c>
      <c r="L1276" s="6">
        <v>4</v>
      </c>
      <c r="M1276" t="s">
        <v>58</v>
      </c>
      <c r="N1276" t="s">
        <v>87</v>
      </c>
      <c r="O1276" t="s">
        <v>64</v>
      </c>
      <c r="P1276" t="str">
        <f t="shared" si="133"/>
        <v>Individual</v>
      </c>
      <c r="Q1276" t="str">
        <f t="shared" si="134"/>
        <v>London</v>
      </c>
      <c r="R1276" t="str">
        <f>PROPER(TRIM(E1276))</f>
        <v>Home &amp; Kitchen</v>
      </c>
      <c r="S1276" s="27">
        <f>IF(ISTEXT(B1276),DATEVALUE(B1276),B1276)</f>
        <v>45978</v>
      </c>
      <c r="T1276" s="27">
        <f>COUNTIF($A$2:$A$1986,A1276)</f>
        <v>1</v>
      </c>
      <c r="U1276" s="27" t="str">
        <f t="shared" si="135"/>
        <v>Blender</v>
      </c>
      <c r="V1276" s="27">
        <f t="shared" si="136"/>
        <v>180.41399999999999</v>
      </c>
      <c r="W1276" s="27">
        <f t="shared" si="137"/>
        <v>108.72</v>
      </c>
      <c r="X1276" s="27">
        <f>RawSalesTable3[[#This Row],[Revenue]]-RawSalesTable3[[#This Row],[Total_Cost]]</f>
        <v>71.693999999999988</v>
      </c>
      <c r="Y1276" s="28">
        <f>RawSalesTable3[[#This Row],[Profit]]/RawSalesTable3[[#This Row],[Revenue]]</f>
        <v>0.39738601217200437</v>
      </c>
      <c r="Z1276" s="27" t="str">
        <f>TEXT(RawSalesTable3[[#This Row],[Order_Date_Clean]],"MMM YYYY")</f>
        <v>Nov 2025</v>
      </c>
      <c r="AA1276" s="27"/>
      <c r="AB1276" s="27">
        <f t="shared" si="138"/>
        <v>0</v>
      </c>
      <c r="AC1276" s="27">
        <f t="shared" si="139"/>
        <v>0</v>
      </c>
    </row>
    <row r="1277" spans="1:29">
      <c r="A1277" t="s">
        <v>1382</v>
      </c>
      <c r="B1277" s="3">
        <v>45682</v>
      </c>
      <c r="C1277" t="s">
        <v>66</v>
      </c>
      <c r="D1277" t="s">
        <v>55</v>
      </c>
      <c r="E1277" t="s">
        <v>79</v>
      </c>
      <c r="F1277" t="s">
        <v>80</v>
      </c>
      <c r="G1277" s="6">
        <v>1</v>
      </c>
      <c r="H1277" s="4">
        <v>77.2</v>
      </c>
      <c r="I1277" s="4">
        <v>45.09</v>
      </c>
      <c r="J1277" s="5">
        <v>0.05</v>
      </c>
      <c r="K1277" s="6">
        <v>2</v>
      </c>
      <c r="L1277" s="6">
        <v>4</v>
      </c>
      <c r="M1277" t="s">
        <v>58</v>
      </c>
      <c r="N1277" t="s">
        <v>69</v>
      </c>
      <c r="O1277" t="s">
        <v>64</v>
      </c>
      <c r="P1277" t="str">
        <f t="shared" si="133"/>
        <v>Small Business</v>
      </c>
      <c r="Q1277" t="str">
        <f t="shared" si="134"/>
        <v>South</v>
      </c>
      <c r="R1277" t="str">
        <f>PROPER(TRIM(E1277))</f>
        <v>Electronics</v>
      </c>
      <c r="S1277" s="27">
        <f>IF(ISTEXT(B1277),DATEVALUE(B1277),B1277)</f>
        <v>45682</v>
      </c>
      <c r="T1277" s="27">
        <f>COUNTIF($A$2:$A$1986,A1277)</f>
        <v>1</v>
      </c>
      <c r="U1277" s="27" t="str">
        <f t="shared" si="135"/>
        <v>Portable Speaker</v>
      </c>
      <c r="V1277" s="27">
        <f t="shared" si="136"/>
        <v>73.34</v>
      </c>
      <c r="W1277" s="27">
        <f t="shared" si="137"/>
        <v>45.09</v>
      </c>
      <c r="X1277" s="27">
        <f>RawSalesTable3[[#This Row],[Revenue]]-RawSalesTable3[[#This Row],[Total_Cost]]</f>
        <v>28.25</v>
      </c>
      <c r="Y1277" s="28">
        <f>RawSalesTable3[[#This Row],[Profit]]/RawSalesTable3[[#This Row],[Revenue]]</f>
        <v>0.38519225524952277</v>
      </c>
      <c r="Z1277" s="27" t="str">
        <f>TEXT(RawSalesTable3[[#This Row],[Order_Date_Clean]],"MMM YYYY")</f>
        <v>Jan 2025</v>
      </c>
      <c r="AA1277" s="27"/>
      <c r="AB1277" s="27">
        <f t="shared" si="138"/>
        <v>0</v>
      </c>
      <c r="AC1277" s="27">
        <f t="shared" si="139"/>
        <v>0</v>
      </c>
    </row>
    <row r="1278" spans="1:29">
      <c r="A1278" t="s">
        <v>1383</v>
      </c>
      <c r="B1278" s="3">
        <v>45855</v>
      </c>
      <c r="C1278" t="s">
        <v>66</v>
      </c>
      <c r="D1278" t="s">
        <v>62</v>
      </c>
      <c r="E1278" t="s">
        <v>79</v>
      </c>
      <c r="F1278" t="s">
        <v>92</v>
      </c>
      <c r="G1278" s="6">
        <v>1</v>
      </c>
      <c r="H1278" s="4">
        <v>50.34</v>
      </c>
      <c r="I1278" s="4">
        <v>27.08</v>
      </c>
      <c r="J1278" s="5">
        <v>0.1</v>
      </c>
      <c r="K1278" s="6">
        <v>3</v>
      </c>
      <c r="L1278" s="6">
        <v>5</v>
      </c>
      <c r="M1278" t="s">
        <v>58</v>
      </c>
      <c r="N1278" t="s">
        <v>59</v>
      </c>
      <c r="O1278" t="s">
        <v>60</v>
      </c>
      <c r="P1278" t="str">
        <f t="shared" si="133"/>
        <v>Individual</v>
      </c>
      <c r="Q1278" t="str">
        <f t="shared" si="134"/>
        <v>South</v>
      </c>
      <c r="R1278" t="str">
        <f>PROPER(TRIM(E1278))</f>
        <v>Electronics</v>
      </c>
      <c r="S1278" s="27">
        <f>IF(ISTEXT(B1278),DATEVALUE(B1278),B1278)</f>
        <v>45855</v>
      </c>
      <c r="T1278" s="27">
        <f>COUNTIF($A$2:$A$1986,A1278)</f>
        <v>1</v>
      </c>
      <c r="U1278" s="27" t="str">
        <f t="shared" si="135"/>
        <v>Webcam</v>
      </c>
      <c r="V1278" s="27">
        <f t="shared" si="136"/>
        <v>45.306000000000004</v>
      </c>
      <c r="W1278" s="27">
        <f t="shared" si="137"/>
        <v>27.08</v>
      </c>
      <c r="X1278" s="27">
        <f>RawSalesTable3[[#This Row],[Revenue]]-RawSalesTable3[[#This Row],[Total_Cost]]</f>
        <v>18.226000000000006</v>
      </c>
      <c r="Y1278" s="28">
        <f>RawSalesTable3[[#This Row],[Profit]]/RawSalesTable3[[#This Row],[Revenue]]</f>
        <v>0.40228667284686365</v>
      </c>
      <c r="Z1278" s="27" t="str">
        <f>TEXT(RawSalesTable3[[#This Row],[Order_Date_Clean]],"MMM YYYY")</f>
        <v>Jul 2025</v>
      </c>
      <c r="AA1278" s="27"/>
      <c r="AB1278" s="27">
        <f t="shared" si="138"/>
        <v>0</v>
      </c>
      <c r="AC1278" s="27">
        <f t="shared" si="139"/>
        <v>0</v>
      </c>
    </row>
    <row r="1279" spans="1:29">
      <c r="A1279" t="s">
        <v>1384</v>
      </c>
      <c r="B1279" s="3">
        <v>45913</v>
      </c>
      <c r="C1279" t="s">
        <v>78</v>
      </c>
      <c r="D1279" t="s">
        <v>62</v>
      </c>
      <c r="E1279" t="s">
        <v>79</v>
      </c>
      <c r="F1279" t="s">
        <v>85</v>
      </c>
      <c r="G1279" s="6">
        <v>1</v>
      </c>
      <c r="H1279" s="4">
        <v>128.35</v>
      </c>
      <c r="I1279" s="4">
        <v>87.4</v>
      </c>
      <c r="J1279" s="5">
        <v>0</v>
      </c>
      <c r="K1279" s="6">
        <v>3</v>
      </c>
      <c r="L1279" s="6">
        <v>4</v>
      </c>
      <c r="M1279" t="s">
        <v>58</v>
      </c>
      <c r="N1279" t="s">
        <v>59</v>
      </c>
      <c r="O1279" t="s">
        <v>64</v>
      </c>
      <c r="P1279" t="str">
        <f t="shared" si="133"/>
        <v>Individual</v>
      </c>
      <c r="Q1279" t="str">
        <f t="shared" si="134"/>
        <v>London</v>
      </c>
      <c r="R1279" t="str">
        <f>PROPER(TRIM(E1279))</f>
        <v>Electronics</v>
      </c>
      <c r="S1279" s="27">
        <f>IF(ISTEXT(B1279),DATEVALUE(B1279),B1279)</f>
        <v>45913</v>
      </c>
      <c r="T1279" s="27">
        <f>COUNTIF($A$2:$A$1986,A1279)</f>
        <v>1</v>
      </c>
      <c r="U1279" s="27" t="str">
        <f t="shared" si="135"/>
        <v>SmartHome Hub</v>
      </c>
      <c r="V1279" s="27">
        <f t="shared" si="136"/>
        <v>128.35</v>
      </c>
      <c r="W1279" s="27">
        <f t="shared" si="137"/>
        <v>87.4</v>
      </c>
      <c r="X1279" s="27">
        <f>RawSalesTable3[[#This Row],[Revenue]]-RawSalesTable3[[#This Row],[Total_Cost]]</f>
        <v>40.949999999999989</v>
      </c>
      <c r="Y1279" s="28">
        <f>RawSalesTable3[[#This Row],[Profit]]/RawSalesTable3[[#This Row],[Revenue]]</f>
        <v>0.31904947409427342</v>
      </c>
      <c r="Z1279" s="27" t="str">
        <f>TEXT(RawSalesTable3[[#This Row],[Order_Date_Clean]],"MMM YYYY")</f>
        <v>Sep 2025</v>
      </c>
      <c r="AA1279" s="27"/>
      <c r="AB1279" s="27">
        <f t="shared" si="138"/>
        <v>0</v>
      </c>
      <c r="AC1279" s="27">
        <f t="shared" si="139"/>
        <v>0</v>
      </c>
    </row>
    <row r="1280" spans="1:29">
      <c r="A1280" t="s">
        <v>1385</v>
      </c>
      <c r="B1280" s="3">
        <v>45837</v>
      </c>
      <c r="C1280" t="s">
        <v>78</v>
      </c>
      <c r="D1280" t="s">
        <v>62</v>
      </c>
      <c r="E1280" t="s">
        <v>56</v>
      </c>
      <c r="F1280" t="s">
        <v>89</v>
      </c>
      <c r="G1280" s="6">
        <v>4</v>
      </c>
      <c r="H1280" s="4">
        <v>83.15</v>
      </c>
      <c r="I1280" s="4">
        <v>46.74</v>
      </c>
      <c r="J1280" s="5">
        <v>0</v>
      </c>
      <c r="K1280" s="6">
        <v>3</v>
      </c>
      <c r="L1280" s="6">
        <v>5</v>
      </c>
      <c r="M1280" t="s">
        <v>58</v>
      </c>
      <c r="N1280" t="s">
        <v>87</v>
      </c>
      <c r="O1280" t="s">
        <v>64</v>
      </c>
      <c r="P1280" t="str">
        <f t="shared" si="133"/>
        <v>Individual</v>
      </c>
      <c r="Q1280" t="str">
        <f t="shared" si="134"/>
        <v>London</v>
      </c>
      <c r="R1280" t="str">
        <f>PROPER(TRIM(E1280))</f>
        <v>Home &amp; Kitchen</v>
      </c>
      <c r="S1280" s="27">
        <f>IF(ISTEXT(B1280),DATEVALUE(B1280),B1280)</f>
        <v>45837</v>
      </c>
      <c r="T1280" s="27">
        <f>COUNTIF($A$2:$A$1986,A1280)</f>
        <v>1</v>
      </c>
      <c r="U1280" s="27" t="str">
        <f t="shared" si="135"/>
        <v>Coffee Maker</v>
      </c>
      <c r="V1280" s="27">
        <f t="shared" si="136"/>
        <v>332.6</v>
      </c>
      <c r="W1280" s="27">
        <f t="shared" si="137"/>
        <v>186.96</v>
      </c>
      <c r="X1280" s="27">
        <f>RawSalesTable3[[#This Row],[Revenue]]-RawSalesTable3[[#This Row],[Total_Cost]]</f>
        <v>145.64000000000001</v>
      </c>
      <c r="Y1280" s="28">
        <f>RawSalesTable3[[#This Row],[Profit]]/RawSalesTable3[[#This Row],[Revenue]]</f>
        <v>0.43788334335538187</v>
      </c>
      <c r="Z1280" s="27" t="str">
        <f>TEXT(RawSalesTable3[[#This Row],[Order_Date_Clean]],"MMM YYYY")</f>
        <v>Jun 2025</v>
      </c>
      <c r="AA1280" s="27"/>
      <c r="AB1280" s="27">
        <f t="shared" si="138"/>
        <v>0</v>
      </c>
      <c r="AC1280" s="27">
        <f t="shared" si="139"/>
        <v>0</v>
      </c>
    </row>
    <row r="1281" spans="1:29">
      <c r="A1281" t="s">
        <v>1386</v>
      </c>
      <c r="B1281" s="3">
        <v>45738</v>
      </c>
      <c r="C1281" t="s">
        <v>78</v>
      </c>
      <c r="D1281" t="s">
        <v>62</v>
      </c>
      <c r="E1281" t="s">
        <v>67</v>
      </c>
      <c r="F1281" t="s">
        <v>71</v>
      </c>
      <c r="G1281" s="6">
        <v>1</v>
      </c>
      <c r="H1281" s="4">
        <v>72.56</v>
      </c>
      <c r="I1281" s="4">
        <v>39.26</v>
      </c>
      <c r="J1281" s="5">
        <v>0.05</v>
      </c>
      <c r="K1281" s="6">
        <v>3</v>
      </c>
      <c r="L1281" s="6">
        <v>4</v>
      </c>
      <c r="M1281" t="s">
        <v>58</v>
      </c>
      <c r="N1281" t="s">
        <v>59</v>
      </c>
      <c r="O1281" t="s">
        <v>64</v>
      </c>
      <c r="P1281" t="str">
        <f t="shared" si="133"/>
        <v>Individual</v>
      </c>
      <c r="Q1281" t="str">
        <f t="shared" si="134"/>
        <v>London</v>
      </c>
      <c r="R1281" t="str">
        <f>PROPER(TRIM(E1281))</f>
        <v>Office</v>
      </c>
      <c r="S1281" s="27">
        <f>IF(ISTEXT(B1281),DATEVALUE(B1281),B1281)</f>
        <v>45738</v>
      </c>
      <c r="T1281" s="27">
        <f>COUNTIF($A$2:$A$1986,A1281)</f>
        <v>1</v>
      </c>
      <c r="U1281" s="27" t="str">
        <f t="shared" si="135"/>
        <v>Ergonomic Keyboard</v>
      </c>
      <c r="V1281" s="27">
        <f t="shared" si="136"/>
        <v>68.932000000000002</v>
      </c>
      <c r="W1281" s="27">
        <f t="shared" si="137"/>
        <v>39.26</v>
      </c>
      <c r="X1281" s="27">
        <f>RawSalesTable3[[#This Row],[Revenue]]-RawSalesTable3[[#This Row],[Total_Cost]]</f>
        <v>29.672000000000004</v>
      </c>
      <c r="Y1281" s="28">
        <f>RawSalesTable3[[#This Row],[Profit]]/RawSalesTable3[[#This Row],[Revenue]]</f>
        <v>0.43045320025532413</v>
      </c>
      <c r="Z1281" s="27" t="str">
        <f>TEXT(RawSalesTable3[[#This Row],[Order_Date_Clean]],"MMM YYYY")</f>
        <v>Mar 2025</v>
      </c>
      <c r="AA1281" s="27"/>
      <c r="AB1281" s="27">
        <f t="shared" si="138"/>
        <v>0</v>
      </c>
      <c r="AC1281" s="27">
        <f t="shared" si="139"/>
        <v>0</v>
      </c>
    </row>
    <row r="1282" spans="1:29">
      <c r="A1282" t="s">
        <v>1387</v>
      </c>
      <c r="B1282" s="3">
        <v>45686</v>
      </c>
      <c r="C1282" t="s">
        <v>54</v>
      </c>
      <c r="D1282" t="s">
        <v>62</v>
      </c>
      <c r="E1282" t="s">
        <v>75</v>
      </c>
      <c r="F1282" t="s">
        <v>97</v>
      </c>
      <c r="G1282" s="6">
        <v>1</v>
      </c>
      <c r="H1282" s="4">
        <v>91.92</v>
      </c>
      <c r="I1282" s="4">
        <v>54.39</v>
      </c>
      <c r="J1282" s="5">
        <v>0.05</v>
      </c>
      <c r="K1282" s="6">
        <v>0</v>
      </c>
      <c r="L1282" s="6">
        <v>4</v>
      </c>
      <c r="M1282" t="s">
        <v>58</v>
      </c>
      <c r="N1282" t="s">
        <v>69</v>
      </c>
      <c r="O1282" t="s">
        <v>64</v>
      </c>
      <c r="P1282" t="str">
        <f t="shared" ref="P1282:P1345" si="140">IF(TRIM(D1282)="","Unknow",PROPER(TRIM(D1282)))</f>
        <v>Individual</v>
      </c>
      <c r="Q1282" t="str">
        <f t="shared" ref="Q1282:Q1345" si="141">IF(PROPER(TRIM(C1282))="Mid Lands","Midlands",PROPER(TRIM(C1282)))</f>
        <v>North</v>
      </c>
      <c r="R1282" t="str">
        <f>PROPER(TRIM(E1282))</f>
        <v>Furniture</v>
      </c>
      <c r="S1282" s="27">
        <f>IF(ISTEXT(B1282),DATEVALUE(B1282),B1282)</f>
        <v>45686</v>
      </c>
      <c r="T1282" s="27">
        <f>COUNTIF($A$2:$A$1986,A1282)</f>
        <v>1</v>
      </c>
      <c r="U1282" s="27" t="str">
        <f t="shared" ref="U1282:U1345" si="142">TRIM(F1282)</f>
        <v>Side Table</v>
      </c>
      <c r="V1282" s="27">
        <f t="shared" ref="V1282:V1345" si="143">G1282*H1282*(1-J1282)</f>
        <v>87.323999999999998</v>
      </c>
      <c r="W1282" s="27">
        <f t="shared" ref="W1282:W1345" si="144">G1282*I1282</f>
        <v>54.39</v>
      </c>
      <c r="X1282" s="27">
        <f>RawSalesTable3[[#This Row],[Revenue]]-RawSalesTable3[[#This Row],[Total_Cost]]</f>
        <v>32.933999999999997</v>
      </c>
      <c r="Y1282" s="28">
        <f>RawSalesTable3[[#This Row],[Profit]]/RawSalesTable3[[#This Row],[Revenue]]</f>
        <v>0.37714717603407993</v>
      </c>
      <c r="Z1282" s="27" t="str">
        <f>TEXT(RawSalesTable3[[#This Row],[Order_Date_Clean]],"MMM YYYY")</f>
        <v>Jan 2025</v>
      </c>
      <c r="AA1282" s="27"/>
      <c r="AB1282" s="27">
        <f t="shared" ref="AB1282:AB1345" si="145">SUMIF($Z:$Z,AA1282,$V:$V)</f>
        <v>0</v>
      </c>
      <c r="AC1282" s="27">
        <f t="shared" ref="AC1282:AC1345" si="146">SUMIF($Z:$Z,AA1282,$X:$X)</f>
        <v>0</v>
      </c>
    </row>
    <row r="1283" spans="1:29">
      <c r="A1283" t="s">
        <v>1388</v>
      </c>
      <c r="B1283" s="3">
        <v>45801</v>
      </c>
      <c r="C1283" t="s">
        <v>54</v>
      </c>
      <c r="D1283" t="s">
        <v>62</v>
      </c>
      <c r="E1283" t="s">
        <v>67</v>
      </c>
      <c r="F1283" t="s">
        <v>94</v>
      </c>
      <c r="G1283" s="6">
        <v>1</v>
      </c>
      <c r="H1283" s="4">
        <v>34.1</v>
      </c>
      <c r="I1283" s="4">
        <v>17.079999999999998</v>
      </c>
      <c r="J1283" s="5">
        <v>0.1</v>
      </c>
      <c r="K1283" s="6">
        <v>2</v>
      </c>
      <c r="L1283" s="6">
        <v>5</v>
      </c>
      <c r="M1283" t="s">
        <v>58</v>
      </c>
      <c r="N1283" t="s">
        <v>59</v>
      </c>
      <c r="O1283" t="s">
        <v>64</v>
      </c>
      <c r="P1283" t="str">
        <f t="shared" si="140"/>
        <v>Individual</v>
      </c>
      <c r="Q1283" t="str">
        <f t="shared" si="141"/>
        <v>North</v>
      </c>
      <c r="R1283" t="str">
        <f>PROPER(TRIM(E1283))</f>
        <v>Office</v>
      </c>
      <c r="S1283" s="27">
        <f>IF(ISTEXT(B1283),DATEVALUE(B1283),B1283)</f>
        <v>45801</v>
      </c>
      <c r="T1283" s="27">
        <f>COUNTIF($A$2:$A$1986,A1283)</f>
        <v>1</v>
      </c>
      <c r="U1283" s="27" t="str">
        <f t="shared" si="142"/>
        <v>Wireless Mouse</v>
      </c>
      <c r="V1283" s="27">
        <f t="shared" si="143"/>
        <v>30.69</v>
      </c>
      <c r="W1283" s="27">
        <f t="shared" si="144"/>
        <v>17.079999999999998</v>
      </c>
      <c r="X1283" s="27">
        <f>RawSalesTable3[[#This Row],[Revenue]]-RawSalesTable3[[#This Row],[Total_Cost]]</f>
        <v>13.610000000000003</v>
      </c>
      <c r="Y1283" s="28">
        <f>RawSalesTable3[[#This Row],[Profit]]/RawSalesTable3[[#This Row],[Revenue]]</f>
        <v>0.44346692733789517</v>
      </c>
      <c r="Z1283" s="27" t="str">
        <f>TEXT(RawSalesTable3[[#This Row],[Order_Date_Clean]],"MMM YYYY")</f>
        <v>May 2025</v>
      </c>
      <c r="AA1283" s="27"/>
      <c r="AB1283" s="27">
        <f t="shared" si="145"/>
        <v>0</v>
      </c>
      <c r="AC1283" s="27">
        <f t="shared" si="146"/>
        <v>0</v>
      </c>
    </row>
    <row r="1284" spans="1:29">
      <c r="A1284" t="s">
        <v>1389</v>
      </c>
      <c r="B1284" s="3">
        <v>45765</v>
      </c>
      <c r="C1284" t="s">
        <v>54</v>
      </c>
      <c r="D1284" t="s">
        <v>62</v>
      </c>
      <c r="E1284" t="s">
        <v>79</v>
      </c>
      <c r="F1284" t="s">
        <v>85</v>
      </c>
      <c r="G1284" s="6">
        <v>1</v>
      </c>
      <c r="H1284" s="4">
        <v>134.02000000000001</v>
      </c>
      <c r="I1284" s="4">
        <v>81.540000000000006</v>
      </c>
      <c r="J1284" s="5">
        <v>0</v>
      </c>
      <c r="K1284" s="6">
        <v>2</v>
      </c>
      <c r="L1284" s="6">
        <v>4</v>
      </c>
      <c r="M1284" t="s">
        <v>58</v>
      </c>
      <c r="N1284" t="s">
        <v>59</v>
      </c>
      <c r="O1284" t="s">
        <v>64</v>
      </c>
      <c r="P1284" t="str">
        <f t="shared" si="140"/>
        <v>Individual</v>
      </c>
      <c r="Q1284" t="str">
        <f t="shared" si="141"/>
        <v>North</v>
      </c>
      <c r="R1284" t="str">
        <f>PROPER(TRIM(E1284))</f>
        <v>Electronics</v>
      </c>
      <c r="S1284" s="27">
        <f>IF(ISTEXT(B1284),DATEVALUE(B1284),B1284)</f>
        <v>45765</v>
      </c>
      <c r="T1284" s="27">
        <f>COUNTIF($A$2:$A$1986,A1284)</f>
        <v>1</v>
      </c>
      <c r="U1284" s="27" t="str">
        <f t="shared" si="142"/>
        <v>SmartHome Hub</v>
      </c>
      <c r="V1284" s="27">
        <f t="shared" si="143"/>
        <v>134.02000000000001</v>
      </c>
      <c r="W1284" s="27">
        <f t="shared" si="144"/>
        <v>81.540000000000006</v>
      </c>
      <c r="X1284" s="27">
        <f>RawSalesTable3[[#This Row],[Revenue]]-RawSalesTable3[[#This Row],[Total_Cost]]</f>
        <v>52.480000000000004</v>
      </c>
      <c r="Y1284" s="28">
        <f>RawSalesTable3[[#This Row],[Profit]]/RawSalesTable3[[#This Row],[Revenue]]</f>
        <v>0.39158334576928816</v>
      </c>
      <c r="Z1284" s="27" t="str">
        <f>TEXT(RawSalesTable3[[#This Row],[Order_Date_Clean]],"MMM YYYY")</f>
        <v>Apr 2025</v>
      </c>
      <c r="AA1284" s="27"/>
      <c r="AB1284" s="27">
        <f t="shared" si="145"/>
        <v>0</v>
      </c>
      <c r="AC1284" s="27">
        <f t="shared" si="146"/>
        <v>0</v>
      </c>
    </row>
    <row r="1285" spans="1:29">
      <c r="A1285" t="s">
        <v>1390</v>
      </c>
      <c r="B1285" s="3">
        <v>46006</v>
      </c>
      <c r="C1285" t="s">
        <v>66</v>
      </c>
      <c r="D1285" t="s">
        <v>62</v>
      </c>
      <c r="E1285" t="s">
        <v>79</v>
      </c>
      <c r="F1285" t="s">
        <v>80</v>
      </c>
      <c r="G1285" s="6">
        <v>1</v>
      </c>
      <c r="H1285" s="4">
        <v>75.180000000000007</v>
      </c>
      <c r="I1285" s="4">
        <v>41.76</v>
      </c>
      <c r="J1285" s="5">
        <v>0</v>
      </c>
      <c r="K1285" s="6">
        <v>4</v>
      </c>
      <c r="L1285" s="6">
        <v>4</v>
      </c>
      <c r="M1285" t="s">
        <v>58</v>
      </c>
      <c r="N1285" t="s">
        <v>59</v>
      </c>
      <c r="O1285" t="s">
        <v>64</v>
      </c>
      <c r="P1285" t="str">
        <f t="shared" si="140"/>
        <v>Individual</v>
      </c>
      <c r="Q1285" t="str">
        <f t="shared" si="141"/>
        <v>South</v>
      </c>
      <c r="R1285" t="str">
        <f>PROPER(TRIM(E1285))</f>
        <v>Electronics</v>
      </c>
      <c r="S1285" s="27">
        <f>IF(ISTEXT(B1285),DATEVALUE(B1285),B1285)</f>
        <v>46006</v>
      </c>
      <c r="T1285" s="27">
        <f>COUNTIF($A$2:$A$1986,A1285)</f>
        <v>1</v>
      </c>
      <c r="U1285" s="27" t="str">
        <f t="shared" si="142"/>
        <v>Portable Speaker</v>
      </c>
      <c r="V1285" s="27">
        <f t="shared" si="143"/>
        <v>75.180000000000007</v>
      </c>
      <c r="W1285" s="27">
        <f t="shared" si="144"/>
        <v>41.76</v>
      </c>
      <c r="X1285" s="27">
        <f>RawSalesTable3[[#This Row],[Revenue]]-RawSalesTable3[[#This Row],[Total_Cost]]</f>
        <v>33.420000000000009</v>
      </c>
      <c r="Y1285" s="28">
        <f>RawSalesTable3[[#This Row],[Profit]]/RawSalesTable3[[#This Row],[Revenue]]</f>
        <v>0.4445331205107742</v>
      </c>
      <c r="Z1285" s="27" t="str">
        <f>TEXT(RawSalesTable3[[#This Row],[Order_Date_Clean]],"MMM YYYY")</f>
        <v>Dec 2025</v>
      </c>
      <c r="AA1285" s="27"/>
      <c r="AB1285" s="27">
        <f t="shared" si="145"/>
        <v>0</v>
      </c>
      <c r="AC1285" s="27">
        <f t="shared" si="146"/>
        <v>0</v>
      </c>
    </row>
    <row r="1286" spans="1:29">
      <c r="A1286" t="s">
        <v>1391</v>
      </c>
      <c r="B1286" s="3">
        <v>45690</v>
      </c>
      <c r="C1286" t="s">
        <v>82</v>
      </c>
      <c r="D1286" t="s">
        <v>55</v>
      </c>
      <c r="E1286" t="s">
        <v>79</v>
      </c>
      <c r="F1286" t="s">
        <v>115</v>
      </c>
      <c r="G1286" s="6">
        <v>3</v>
      </c>
      <c r="H1286" s="4">
        <v>61.88</v>
      </c>
      <c r="I1286" s="4">
        <v>34.82</v>
      </c>
      <c r="J1286" s="5">
        <v>0</v>
      </c>
      <c r="K1286" s="6">
        <v>4</v>
      </c>
      <c r="L1286" s="6">
        <v>4</v>
      </c>
      <c r="M1286" t="s">
        <v>58</v>
      </c>
      <c r="N1286" t="s">
        <v>59</v>
      </c>
      <c r="O1286" t="s">
        <v>60</v>
      </c>
      <c r="P1286" t="str">
        <f t="shared" si="140"/>
        <v>Small Business</v>
      </c>
      <c r="Q1286" t="str">
        <f t="shared" si="141"/>
        <v>Midlands</v>
      </c>
      <c r="R1286" t="str">
        <f>PROPER(TRIM(E1286))</f>
        <v>Electronics</v>
      </c>
      <c r="S1286" s="27">
        <f>IF(ISTEXT(B1286),DATEVALUE(B1286),B1286)</f>
        <v>45690</v>
      </c>
      <c r="T1286" s="27">
        <f>COUNTIF($A$2:$A$1986,A1286)</f>
        <v>1</v>
      </c>
      <c r="U1286" s="27" t="str">
        <f t="shared" si="142"/>
        <v>Wireless Headset</v>
      </c>
      <c r="V1286" s="27">
        <f t="shared" si="143"/>
        <v>185.64000000000001</v>
      </c>
      <c r="W1286" s="27">
        <f t="shared" si="144"/>
        <v>104.46000000000001</v>
      </c>
      <c r="X1286" s="27">
        <f>RawSalesTable3[[#This Row],[Revenue]]-RawSalesTable3[[#This Row],[Total_Cost]]</f>
        <v>81.180000000000007</v>
      </c>
      <c r="Y1286" s="28">
        <f>RawSalesTable3[[#This Row],[Profit]]/RawSalesTable3[[#This Row],[Revenue]]</f>
        <v>0.43729799612152553</v>
      </c>
      <c r="Z1286" s="27" t="str">
        <f>TEXT(RawSalesTable3[[#This Row],[Order_Date_Clean]],"MMM YYYY")</f>
        <v>Feb 2025</v>
      </c>
      <c r="AA1286" s="27"/>
      <c r="AB1286" s="27">
        <f t="shared" si="145"/>
        <v>0</v>
      </c>
      <c r="AC1286" s="27">
        <f t="shared" si="146"/>
        <v>0</v>
      </c>
    </row>
    <row r="1287" spans="1:29">
      <c r="A1287" t="s">
        <v>1392</v>
      </c>
      <c r="B1287" s="3">
        <v>45743</v>
      </c>
      <c r="C1287" t="s">
        <v>66</v>
      </c>
      <c r="D1287" t="s">
        <v>129</v>
      </c>
      <c r="E1287" t="s">
        <v>67</v>
      </c>
      <c r="F1287" t="s">
        <v>71</v>
      </c>
      <c r="G1287" s="6">
        <v>4</v>
      </c>
      <c r="H1287" s="4">
        <v>70.790000000000006</v>
      </c>
      <c r="I1287" s="4">
        <v>37.619999999999997</v>
      </c>
      <c r="J1287" s="5">
        <v>0.1</v>
      </c>
      <c r="K1287" s="6">
        <v>5</v>
      </c>
      <c r="L1287" s="6">
        <v>5</v>
      </c>
      <c r="M1287" t="s">
        <v>58</v>
      </c>
      <c r="N1287" t="s">
        <v>59</v>
      </c>
      <c r="O1287" t="s">
        <v>73</v>
      </c>
      <c r="P1287" t="str">
        <f t="shared" si="140"/>
        <v>Corporate</v>
      </c>
      <c r="Q1287" t="str">
        <f t="shared" si="141"/>
        <v>South</v>
      </c>
      <c r="R1287" t="str">
        <f>PROPER(TRIM(E1287))</f>
        <v>Office</v>
      </c>
      <c r="S1287" s="27">
        <f>IF(ISTEXT(B1287),DATEVALUE(B1287),B1287)</f>
        <v>45743</v>
      </c>
      <c r="T1287" s="27">
        <f>COUNTIF($A$2:$A$1986,A1287)</f>
        <v>1</v>
      </c>
      <c r="U1287" s="27" t="str">
        <f t="shared" si="142"/>
        <v>Ergonomic Keyboard</v>
      </c>
      <c r="V1287" s="27">
        <f t="shared" si="143"/>
        <v>254.84400000000002</v>
      </c>
      <c r="W1287" s="27">
        <f t="shared" si="144"/>
        <v>150.47999999999999</v>
      </c>
      <c r="X1287" s="27">
        <f>RawSalesTable3[[#This Row],[Revenue]]-RawSalesTable3[[#This Row],[Total_Cost]]</f>
        <v>104.36400000000003</v>
      </c>
      <c r="Y1287" s="28">
        <f>RawSalesTable3[[#This Row],[Profit]]/RawSalesTable3[[#This Row],[Revenue]]</f>
        <v>0.4095211188020908</v>
      </c>
      <c r="Z1287" s="27" t="str">
        <f>TEXT(RawSalesTable3[[#This Row],[Order_Date_Clean]],"MMM YYYY")</f>
        <v>Mar 2025</v>
      </c>
      <c r="AA1287" s="27"/>
      <c r="AB1287" s="27">
        <f t="shared" si="145"/>
        <v>0</v>
      </c>
      <c r="AC1287" s="27">
        <f t="shared" si="146"/>
        <v>0</v>
      </c>
    </row>
    <row r="1288" spans="1:29">
      <c r="A1288" t="s">
        <v>1393</v>
      </c>
      <c r="B1288" s="3">
        <v>45915</v>
      </c>
      <c r="C1288" t="s">
        <v>66</v>
      </c>
      <c r="D1288" t="s">
        <v>62</v>
      </c>
      <c r="E1288" t="s">
        <v>67</v>
      </c>
      <c r="F1288" t="s">
        <v>107</v>
      </c>
      <c r="G1288" s="6">
        <v>1</v>
      </c>
      <c r="H1288" s="4">
        <v>44.28</v>
      </c>
      <c r="I1288" s="4">
        <v>20.48</v>
      </c>
      <c r="J1288" s="5">
        <v>0.15000000000000002</v>
      </c>
      <c r="K1288" s="6">
        <v>5</v>
      </c>
      <c r="L1288" s="6">
        <v>5</v>
      </c>
      <c r="M1288" t="s">
        <v>58</v>
      </c>
      <c r="N1288" t="s">
        <v>59</v>
      </c>
      <c r="O1288" t="s">
        <v>64</v>
      </c>
      <c r="P1288" t="str">
        <f t="shared" si="140"/>
        <v>Individual</v>
      </c>
      <c r="Q1288" t="str">
        <f t="shared" si="141"/>
        <v>South</v>
      </c>
      <c r="R1288" t="str">
        <f>PROPER(TRIM(E1288))</f>
        <v>Office</v>
      </c>
      <c r="S1288" s="27">
        <f>IF(ISTEXT(B1288),DATEVALUE(B1288),B1288)</f>
        <v>45915</v>
      </c>
      <c r="T1288" s="27">
        <f>COUNTIF($A$2:$A$1986,A1288)</f>
        <v>1</v>
      </c>
      <c r="U1288" s="27" t="str">
        <f t="shared" si="142"/>
        <v>Laptop Stand</v>
      </c>
      <c r="V1288" s="27">
        <f t="shared" si="143"/>
        <v>37.637999999999998</v>
      </c>
      <c r="W1288" s="27">
        <f t="shared" si="144"/>
        <v>20.48</v>
      </c>
      <c r="X1288" s="27">
        <f>RawSalesTable3[[#This Row],[Revenue]]-RawSalesTable3[[#This Row],[Total_Cost]]</f>
        <v>17.157999999999998</v>
      </c>
      <c r="Y1288" s="28">
        <f>RawSalesTable3[[#This Row],[Profit]]/RawSalesTable3[[#This Row],[Revenue]]</f>
        <v>0.45586906849460646</v>
      </c>
      <c r="Z1288" s="27" t="str">
        <f>TEXT(RawSalesTable3[[#This Row],[Order_Date_Clean]],"MMM YYYY")</f>
        <v>Sep 2025</v>
      </c>
      <c r="AA1288" s="27"/>
      <c r="AB1288" s="27">
        <f t="shared" si="145"/>
        <v>0</v>
      </c>
      <c r="AC1288" s="27">
        <f t="shared" si="146"/>
        <v>0</v>
      </c>
    </row>
    <row r="1289" spans="1:29">
      <c r="A1289" t="s">
        <v>1394</v>
      </c>
      <c r="B1289" s="3">
        <v>45876</v>
      </c>
      <c r="C1289" t="s">
        <v>66</v>
      </c>
      <c r="D1289" t="s">
        <v>62</v>
      </c>
      <c r="E1289" t="s">
        <v>79</v>
      </c>
      <c r="F1289" t="s">
        <v>85</v>
      </c>
      <c r="G1289" s="6">
        <v>3</v>
      </c>
      <c r="H1289" s="4">
        <v>132.69</v>
      </c>
      <c r="I1289" s="4">
        <v>83.17</v>
      </c>
      <c r="J1289" s="5">
        <v>0.1</v>
      </c>
      <c r="K1289" s="6">
        <v>3</v>
      </c>
      <c r="L1289" s="6">
        <v>4</v>
      </c>
      <c r="M1289" t="s">
        <v>58</v>
      </c>
      <c r="N1289" t="s">
        <v>87</v>
      </c>
      <c r="O1289" t="s">
        <v>64</v>
      </c>
      <c r="P1289" t="str">
        <f t="shared" si="140"/>
        <v>Individual</v>
      </c>
      <c r="Q1289" t="str">
        <f t="shared" si="141"/>
        <v>South</v>
      </c>
      <c r="R1289" t="str">
        <f>PROPER(TRIM(E1289))</f>
        <v>Electronics</v>
      </c>
      <c r="S1289" s="27">
        <f>IF(ISTEXT(B1289),DATEVALUE(B1289),B1289)</f>
        <v>45876</v>
      </c>
      <c r="T1289" s="27">
        <f>COUNTIF($A$2:$A$1986,A1289)</f>
        <v>1</v>
      </c>
      <c r="U1289" s="27" t="str">
        <f t="shared" si="142"/>
        <v>SmartHome Hub</v>
      </c>
      <c r="V1289" s="27">
        <f t="shared" si="143"/>
        <v>358.26299999999998</v>
      </c>
      <c r="W1289" s="27">
        <f t="shared" si="144"/>
        <v>249.51</v>
      </c>
      <c r="X1289" s="27">
        <f>RawSalesTable3[[#This Row],[Revenue]]-RawSalesTable3[[#This Row],[Total_Cost]]</f>
        <v>108.75299999999999</v>
      </c>
      <c r="Y1289" s="28">
        <f>RawSalesTable3[[#This Row],[Profit]]/RawSalesTable3[[#This Row],[Revenue]]</f>
        <v>0.30355632593932391</v>
      </c>
      <c r="Z1289" s="27" t="str">
        <f>TEXT(RawSalesTable3[[#This Row],[Order_Date_Clean]],"MMM YYYY")</f>
        <v>Aug 2025</v>
      </c>
      <c r="AA1289" s="27"/>
      <c r="AB1289" s="27">
        <f t="shared" si="145"/>
        <v>0</v>
      </c>
      <c r="AC1289" s="27">
        <f t="shared" si="146"/>
        <v>0</v>
      </c>
    </row>
    <row r="1290" spans="1:29">
      <c r="A1290" t="s">
        <v>1395</v>
      </c>
      <c r="B1290" s="3">
        <v>45916</v>
      </c>
      <c r="C1290" t="s">
        <v>66</v>
      </c>
      <c r="D1290" t="s">
        <v>55</v>
      </c>
      <c r="E1290" t="s">
        <v>56</v>
      </c>
      <c r="F1290" t="s">
        <v>63</v>
      </c>
      <c r="G1290" s="6">
        <v>4</v>
      </c>
      <c r="H1290" s="4">
        <v>38.89</v>
      </c>
      <c r="I1290" s="4">
        <v>20.010000000000002</v>
      </c>
      <c r="J1290" s="5">
        <v>0.05</v>
      </c>
      <c r="K1290" s="6">
        <v>4</v>
      </c>
      <c r="L1290" s="6">
        <v>5</v>
      </c>
      <c r="M1290" t="s">
        <v>58</v>
      </c>
      <c r="N1290" t="s">
        <v>59</v>
      </c>
      <c r="O1290" t="s">
        <v>64</v>
      </c>
      <c r="P1290" t="str">
        <f t="shared" si="140"/>
        <v>Small Business</v>
      </c>
      <c r="Q1290" t="str">
        <f t="shared" si="141"/>
        <v>South</v>
      </c>
      <c r="R1290" t="str">
        <f>PROPER(TRIM(E1290))</f>
        <v>Home &amp; Kitchen</v>
      </c>
      <c r="S1290" s="27">
        <f>IF(ISTEXT(B1290),DATEVALUE(B1290),B1290)</f>
        <v>45916</v>
      </c>
      <c r="T1290" s="27">
        <f>COUNTIF($A$2:$A$1986,A1290)</f>
        <v>1</v>
      </c>
      <c r="U1290" s="27" t="str">
        <f t="shared" si="142"/>
        <v>Electric Kettle</v>
      </c>
      <c r="V1290" s="27">
        <f t="shared" si="143"/>
        <v>147.78199999999998</v>
      </c>
      <c r="W1290" s="27">
        <f t="shared" si="144"/>
        <v>80.040000000000006</v>
      </c>
      <c r="X1290" s="27">
        <f>RawSalesTable3[[#This Row],[Revenue]]-RawSalesTable3[[#This Row],[Total_Cost]]</f>
        <v>67.741999999999976</v>
      </c>
      <c r="Y1290" s="28">
        <f>RawSalesTable3[[#This Row],[Profit]]/RawSalesTable3[[#This Row],[Revenue]]</f>
        <v>0.45839141438064163</v>
      </c>
      <c r="Z1290" s="27" t="str">
        <f>TEXT(RawSalesTable3[[#This Row],[Order_Date_Clean]],"MMM YYYY")</f>
        <v>Sep 2025</v>
      </c>
      <c r="AA1290" s="27"/>
      <c r="AB1290" s="27">
        <f t="shared" si="145"/>
        <v>0</v>
      </c>
      <c r="AC1290" s="27">
        <f t="shared" si="146"/>
        <v>0</v>
      </c>
    </row>
    <row r="1291" spans="1:29">
      <c r="A1291" t="s">
        <v>1396</v>
      </c>
      <c r="B1291" s="3">
        <v>45993</v>
      </c>
      <c r="C1291" t="s">
        <v>82</v>
      </c>
      <c r="D1291" t="s">
        <v>62</v>
      </c>
      <c r="E1291" t="s">
        <v>75</v>
      </c>
      <c r="F1291" t="s">
        <v>76</v>
      </c>
      <c r="G1291" s="6">
        <v>1</v>
      </c>
      <c r="H1291" s="4">
        <v>121.54</v>
      </c>
      <c r="I1291" s="4">
        <v>72.11</v>
      </c>
      <c r="J1291" s="5">
        <v>0.05</v>
      </c>
      <c r="K1291" s="6">
        <v>6</v>
      </c>
      <c r="L1291" s="6">
        <v>4</v>
      </c>
      <c r="M1291" t="s">
        <v>58</v>
      </c>
      <c r="N1291" t="s">
        <v>59</v>
      </c>
      <c r="O1291" t="s">
        <v>64</v>
      </c>
      <c r="P1291" t="str">
        <f t="shared" si="140"/>
        <v>Individual</v>
      </c>
      <c r="Q1291" t="str">
        <f t="shared" si="141"/>
        <v>Midlands</v>
      </c>
      <c r="R1291" t="str">
        <f>PROPER(TRIM(E1291))</f>
        <v>Furniture</v>
      </c>
      <c r="S1291" s="27">
        <f>IF(ISTEXT(B1291),DATEVALUE(B1291),B1291)</f>
        <v>45993</v>
      </c>
      <c r="T1291" s="27">
        <f>COUNTIF($A$2:$A$1986,A1291)</f>
        <v>1</v>
      </c>
      <c r="U1291" s="27" t="str">
        <f t="shared" si="142"/>
        <v>Bookshelf</v>
      </c>
      <c r="V1291" s="27">
        <f t="shared" si="143"/>
        <v>115.46299999999999</v>
      </c>
      <c r="W1291" s="27">
        <f t="shared" si="144"/>
        <v>72.11</v>
      </c>
      <c r="X1291" s="27">
        <f>RawSalesTable3[[#This Row],[Revenue]]-RawSalesTable3[[#This Row],[Total_Cost]]</f>
        <v>43.352999999999994</v>
      </c>
      <c r="Y1291" s="28">
        <f>RawSalesTable3[[#This Row],[Profit]]/RawSalesTable3[[#This Row],[Revenue]]</f>
        <v>0.37547093008149796</v>
      </c>
      <c r="Z1291" s="27" t="str">
        <f>TEXT(RawSalesTable3[[#This Row],[Order_Date_Clean]],"MMM YYYY")</f>
        <v>Dec 2025</v>
      </c>
      <c r="AA1291" s="27"/>
      <c r="AB1291" s="27">
        <f t="shared" si="145"/>
        <v>0</v>
      </c>
      <c r="AC1291" s="27">
        <f t="shared" si="146"/>
        <v>0</v>
      </c>
    </row>
    <row r="1292" spans="1:29">
      <c r="A1292" t="s">
        <v>1397</v>
      </c>
      <c r="B1292" s="3">
        <v>46002</v>
      </c>
      <c r="C1292" t="s">
        <v>66</v>
      </c>
      <c r="D1292" t="s">
        <v>62</v>
      </c>
      <c r="E1292" t="s">
        <v>79</v>
      </c>
      <c r="F1292" t="s">
        <v>80</v>
      </c>
      <c r="G1292" s="6">
        <v>1</v>
      </c>
      <c r="H1292" s="4">
        <v>75.69</v>
      </c>
      <c r="I1292" s="4">
        <v>44.42</v>
      </c>
      <c r="J1292" s="5">
        <v>0.05</v>
      </c>
      <c r="K1292" s="6">
        <v>2</v>
      </c>
      <c r="L1292" s="6">
        <v>4</v>
      </c>
      <c r="M1292" t="s">
        <v>58</v>
      </c>
      <c r="N1292" t="s">
        <v>59</v>
      </c>
      <c r="O1292" t="s">
        <v>64</v>
      </c>
      <c r="P1292" t="str">
        <f t="shared" si="140"/>
        <v>Individual</v>
      </c>
      <c r="Q1292" t="str">
        <f t="shared" si="141"/>
        <v>South</v>
      </c>
      <c r="R1292" t="str">
        <f>PROPER(TRIM(E1292))</f>
        <v>Electronics</v>
      </c>
      <c r="S1292" s="27">
        <f>IF(ISTEXT(B1292),DATEVALUE(B1292),B1292)</f>
        <v>46002</v>
      </c>
      <c r="T1292" s="27">
        <f>COUNTIF($A$2:$A$1986,A1292)</f>
        <v>1</v>
      </c>
      <c r="U1292" s="27" t="str">
        <f t="shared" si="142"/>
        <v>Portable Speaker</v>
      </c>
      <c r="V1292" s="27">
        <f t="shared" si="143"/>
        <v>71.905499999999989</v>
      </c>
      <c r="W1292" s="27">
        <f t="shared" si="144"/>
        <v>44.42</v>
      </c>
      <c r="X1292" s="27">
        <f>RawSalesTable3[[#This Row],[Revenue]]-RawSalesTable3[[#This Row],[Total_Cost]]</f>
        <v>27.485499999999988</v>
      </c>
      <c r="Y1292" s="28">
        <f>RawSalesTable3[[#This Row],[Profit]]/RawSalesTable3[[#This Row],[Revenue]]</f>
        <v>0.38224475179228279</v>
      </c>
      <c r="Z1292" s="27" t="str">
        <f>TEXT(RawSalesTable3[[#This Row],[Order_Date_Clean]],"MMM YYYY")</f>
        <v>Dec 2025</v>
      </c>
      <c r="AA1292" s="27"/>
      <c r="AB1292" s="27">
        <f t="shared" si="145"/>
        <v>0</v>
      </c>
      <c r="AC1292" s="27">
        <f t="shared" si="146"/>
        <v>0</v>
      </c>
    </row>
    <row r="1293" spans="1:29">
      <c r="A1293" t="s">
        <v>1398</v>
      </c>
      <c r="B1293" s="3">
        <v>46002</v>
      </c>
      <c r="C1293" t="s">
        <v>82</v>
      </c>
      <c r="D1293" t="s">
        <v>129</v>
      </c>
      <c r="E1293" t="s">
        <v>67</v>
      </c>
      <c r="F1293" t="s">
        <v>94</v>
      </c>
      <c r="G1293" s="6">
        <v>3</v>
      </c>
      <c r="H1293" s="4">
        <v>34.99</v>
      </c>
      <c r="I1293" s="4">
        <v>17.7</v>
      </c>
      <c r="J1293" s="5">
        <v>0.15000000000000002</v>
      </c>
      <c r="K1293" s="6">
        <v>3</v>
      </c>
      <c r="L1293" s="6">
        <v>4</v>
      </c>
      <c r="M1293" t="s">
        <v>58</v>
      </c>
      <c r="N1293" t="s">
        <v>59</v>
      </c>
      <c r="O1293" t="s">
        <v>73</v>
      </c>
      <c r="P1293" t="str">
        <f t="shared" si="140"/>
        <v>Corporate</v>
      </c>
      <c r="Q1293" t="str">
        <f t="shared" si="141"/>
        <v>Midlands</v>
      </c>
      <c r="R1293" t="str">
        <f>PROPER(TRIM(E1293))</f>
        <v>Office</v>
      </c>
      <c r="S1293" s="27">
        <f>IF(ISTEXT(B1293),DATEVALUE(B1293),B1293)</f>
        <v>46002</v>
      </c>
      <c r="T1293" s="27">
        <f>COUNTIF($A$2:$A$1986,A1293)</f>
        <v>1</v>
      </c>
      <c r="U1293" s="27" t="str">
        <f t="shared" si="142"/>
        <v>Wireless Mouse</v>
      </c>
      <c r="V1293" s="27">
        <f t="shared" si="143"/>
        <v>89.224499999999992</v>
      </c>
      <c r="W1293" s="27">
        <f t="shared" si="144"/>
        <v>53.099999999999994</v>
      </c>
      <c r="X1293" s="27">
        <f>RawSalesTable3[[#This Row],[Revenue]]-RawSalesTable3[[#This Row],[Total_Cost]]</f>
        <v>36.124499999999998</v>
      </c>
      <c r="Y1293" s="28">
        <f>RawSalesTable3[[#This Row],[Profit]]/RawSalesTable3[[#This Row],[Revenue]]</f>
        <v>0.40487198022964543</v>
      </c>
      <c r="Z1293" s="27" t="str">
        <f>TEXT(RawSalesTable3[[#This Row],[Order_Date_Clean]],"MMM YYYY")</f>
        <v>Dec 2025</v>
      </c>
      <c r="AA1293" s="27"/>
      <c r="AB1293" s="27">
        <f t="shared" si="145"/>
        <v>0</v>
      </c>
      <c r="AC1293" s="27">
        <f t="shared" si="146"/>
        <v>0</v>
      </c>
    </row>
    <row r="1294" spans="1:29">
      <c r="A1294" t="s">
        <v>1399</v>
      </c>
      <c r="B1294" s="3">
        <v>45905</v>
      </c>
      <c r="C1294" t="s">
        <v>78</v>
      </c>
      <c r="D1294" t="s">
        <v>62</v>
      </c>
      <c r="E1294" t="s">
        <v>75</v>
      </c>
      <c r="F1294" t="s">
        <v>97</v>
      </c>
      <c r="G1294" s="6">
        <v>1</v>
      </c>
      <c r="H1294" s="4">
        <v>92.19</v>
      </c>
      <c r="I1294" s="4">
        <v>56.58</v>
      </c>
      <c r="J1294" s="5">
        <v>0.1</v>
      </c>
      <c r="K1294" s="6">
        <v>6</v>
      </c>
      <c r="L1294" s="6">
        <v>3</v>
      </c>
      <c r="M1294" t="s">
        <v>58</v>
      </c>
      <c r="N1294" t="s">
        <v>59</v>
      </c>
      <c r="O1294" t="s">
        <v>64</v>
      </c>
      <c r="P1294" t="str">
        <f t="shared" si="140"/>
        <v>Individual</v>
      </c>
      <c r="Q1294" t="str">
        <f t="shared" si="141"/>
        <v>London</v>
      </c>
      <c r="R1294" t="str">
        <f>PROPER(TRIM(E1294))</f>
        <v>Furniture</v>
      </c>
      <c r="S1294" s="27">
        <f>IF(ISTEXT(B1294),DATEVALUE(B1294),B1294)</f>
        <v>45905</v>
      </c>
      <c r="T1294" s="27">
        <f>COUNTIF($A$2:$A$1986,A1294)</f>
        <v>1</v>
      </c>
      <c r="U1294" s="27" t="str">
        <f t="shared" si="142"/>
        <v>Side Table</v>
      </c>
      <c r="V1294" s="27">
        <f t="shared" si="143"/>
        <v>82.971000000000004</v>
      </c>
      <c r="W1294" s="27">
        <f t="shared" si="144"/>
        <v>56.58</v>
      </c>
      <c r="X1294" s="27">
        <f>RawSalesTable3[[#This Row],[Revenue]]-RawSalesTable3[[#This Row],[Total_Cost]]</f>
        <v>26.391000000000005</v>
      </c>
      <c r="Y1294" s="28">
        <f>RawSalesTable3[[#This Row],[Profit]]/RawSalesTable3[[#This Row],[Revenue]]</f>
        <v>0.31807499005676687</v>
      </c>
      <c r="Z1294" s="27" t="str">
        <f>TEXT(RawSalesTable3[[#This Row],[Order_Date_Clean]],"MMM YYYY")</f>
        <v>Sep 2025</v>
      </c>
      <c r="AA1294" s="27"/>
      <c r="AB1294" s="27">
        <f t="shared" si="145"/>
        <v>0</v>
      </c>
      <c r="AC1294" s="27">
        <f t="shared" si="146"/>
        <v>0</v>
      </c>
    </row>
    <row r="1295" spans="1:29">
      <c r="A1295" t="s">
        <v>1400</v>
      </c>
      <c r="B1295" s="3">
        <v>45716</v>
      </c>
      <c r="C1295" t="s">
        <v>54</v>
      </c>
      <c r="D1295" t="s">
        <v>55</v>
      </c>
      <c r="E1295" t="s">
        <v>75</v>
      </c>
      <c r="F1295" t="s">
        <v>97</v>
      </c>
      <c r="G1295" s="6">
        <v>2</v>
      </c>
      <c r="H1295" s="4">
        <v>90.34</v>
      </c>
      <c r="I1295" s="4">
        <v>54.09</v>
      </c>
      <c r="J1295" s="5">
        <v>0</v>
      </c>
      <c r="K1295" s="6">
        <v>5</v>
      </c>
      <c r="L1295" s="6">
        <v>4</v>
      </c>
      <c r="M1295" t="s">
        <v>58</v>
      </c>
      <c r="N1295" t="s">
        <v>87</v>
      </c>
      <c r="O1295" t="s">
        <v>60</v>
      </c>
      <c r="P1295" t="str">
        <f t="shared" si="140"/>
        <v>Small Business</v>
      </c>
      <c r="Q1295" t="str">
        <f t="shared" si="141"/>
        <v>North</v>
      </c>
      <c r="R1295" t="str">
        <f>PROPER(TRIM(E1295))</f>
        <v>Furniture</v>
      </c>
      <c r="S1295" s="27">
        <f>IF(ISTEXT(B1295),DATEVALUE(B1295),B1295)</f>
        <v>45716</v>
      </c>
      <c r="T1295" s="27">
        <f>COUNTIF($A$2:$A$1986,A1295)</f>
        <v>1</v>
      </c>
      <c r="U1295" s="27" t="str">
        <f t="shared" si="142"/>
        <v>Side Table</v>
      </c>
      <c r="V1295" s="27">
        <f t="shared" si="143"/>
        <v>180.68</v>
      </c>
      <c r="W1295" s="27">
        <f t="shared" si="144"/>
        <v>108.18</v>
      </c>
      <c r="X1295" s="27">
        <f>RawSalesTable3[[#This Row],[Revenue]]-RawSalesTable3[[#This Row],[Total_Cost]]</f>
        <v>72.5</v>
      </c>
      <c r="Y1295" s="28">
        <f>RawSalesTable3[[#This Row],[Profit]]/RawSalesTable3[[#This Row],[Revenue]]</f>
        <v>0.40126189949081248</v>
      </c>
      <c r="Z1295" s="27" t="str">
        <f>TEXT(RawSalesTable3[[#This Row],[Order_Date_Clean]],"MMM YYYY")</f>
        <v>Feb 2025</v>
      </c>
      <c r="AA1295" s="27"/>
      <c r="AB1295" s="27">
        <f t="shared" si="145"/>
        <v>0</v>
      </c>
      <c r="AC1295" s="27">
        <f t="shared" si="146"/>
        <v>0</v>
      </c>
    </row>
    <row r="1296" spans="1:29">
      <c r="A1296" t="s">
        <v>1401</v>
      </c>
      <c r="B1296" s="3">
        <v>45898</v>
      </c>
      <c r="C1296" t="s">
        <v>66</v>
      </c>
      <c r="D1296" t="s">
        <v>62</v>
      </c>
      <c r="E1296" t="s">
        <v>67</v>
      </c>
      <c r="F1296" t="s">
        <v>94</v>
      </c>
      <c r="G1296" s="6">
        <v>1</v>
      </c>
      <c r="H1296" s="4">
        <v>35.03</v>
      </c>
      <c r="I1296" s="4">
        <v>16.73</v>
      </c>
      <c r="J1296" s="5">
        <v>0</v>
      </c>
      <c r="K1296" s="6">
        <v>6</v>
      </c>
      <c r="L1296" s="6">
        <v>4</v>
      </c>
      <c r="M1296" t="s">
        <v>58</v>
      </c>
      <c r="N1296" t="s">
        <v>59</v>
      </c>
      <c r="O1296" t="s">
        <v>73</v>
      </c>
      <c r="P1296" t="str">
        <f t="shared" si="140"/>
        <v>Individual</v>
      </c>
      <c r="Q1296" t="str">
        <f t="shared" si="141"/>
        <v>South</v>
      </c>
      <c r="R1296" t="str">
        <f>PROPER(TRIM(E1296))</f>
        <v>Office</v>
      </c>
      <c r="S1296" s="27">
        <f>IF(ISTEXT(B1296),DATEVALUE(B1296),B1296)</f>
        <v>45898</v>
      </c>
      <c r="T1296" s="27">
        <f>COUNTIF($A$2:$A$1986,A1296)</f>
        <v>1</v>
      </c>
      <c r="U1296" s="27" t="str">
        <f t="shared" si="142"/>
        <v>Wireless Mouse</v>
      </c>
      <c r="V1296" s="27">
        <f t="shared" si="143"/>
        <v>35.03</v>
      </c>
      <c r="W1296" s="27">
        <f t="shared" si="144"/>
        <v>16.73</v>
      </c>
      <c r="X1296" s="27">
        <f>RawSalesTable3[[#This Row],[Revenue]]-RawSalesTable3[[#This Row],[Total_Cost]]</f>
        <v>18.3</v>
      </c>
      <c r="Y1296" s="28">
        <f>RawSalesTable3[[#This Row],[Profit]]/RawSalesTable3[[#This Row],[Revenue]]</f>
        <v>0.52240936340279764</v>
      </c>
      <c r="Z1296" s="27" t="str">
        <f>TEXT(RawSalesTable3[[#This Row],[Order_Date_Clean]],"MMM YYYY")</f>
        <v>Aug 2025</v>
      </c>
      <c r="AA1296" s="27"/>
      <c r="AB1296" s="27">
        <f t="shared" si="145"/>
        <v>0</v>
      </c>
      <c r="AC1296" s="27">
        <f t="shared" si="146"/>
        <v>0</v>
      </c>
    </row>
    <row r="1297" spans="1:29">
      <c r="A1297" t="s">
        <v>1402</v>
      </c>
      <c r="B1297" s="3">
        <v>45828</v>
      </c>
      <c r="C1297" t="s">
        <v>54</v>
      </c>
      <c r="D1297" t="s">
        <v>62</v>
      </c>
      <c r="E1297" t="s">
        <v>79</v>
      </c>
      <c r="F1297" t="s">
        <v>115</v>
      </c>
      <c r="G1297" s="6">
        <v>1</v>
      </c>
      <c r="H1297" s="4">
        <v>58.47</v>
      </c>
      <c r="I1297" s="4">
        <v>33.39</v>
      </c>
      <c r="J1297" s="5">
        <v>0</v>
      </c>
      <c r="K1297" s="6">
        <v>6</v>
      </c>
      <c r="L1297" s="6">
        <v>4</v>
      </c>
      <c r="M1297" t="s">
        <v>58</v>
      </c>
      <c r="N1297" t="s">
        <v>59</v>
      </c>
      <c r="O1297" t="s">
        <v>73</v>
      </c>
      <c r="P1297" t="str">
        <f t="shared" si="140"/>
        <v>Individual</v>
      </c>
      <c r="Q1297" t="str">
        <f t="shared" si="141"/>
        <v>North</v>
      </c>
      <c r="R1297" t="str">
        <f>PROPER(TRIM(E1297))</f>
        <v>Electronics</v>
      </c>
      <c r="S1297" s="27">
        <f>IF(ISTEXT(B1297),DATEVALUE(B1297),B1297)</f>
        <v>45828</v>
      </c>
      <c r="T1297" s="27">
        <f>COUNTIF($A$2:$A$1986,A1297)</f>
        <v>1</v>
      </c>
      <c r="U1297" s="27" t="str">
        <f t="shared" si="142"/>
        <v>Wireless Headset</v>
      </c>
      <c r="V1297" s="27">
        <f t="shared" si="143"/>
        <v>58.47</v>
      </c>
      <c r="W1297" s="27">
        <f t="shared" si="144"/>
        <v>33.39</v>
      </c>
      <c r="X1297" s="27">
        <f>RawSalesTable3[[#This Row],[Revenue]]-RawSalesTable3[[#This Row],[Total_Cost]]</f>
        <v>25.08</v>
      </c>
      <c r="Y1297" s="28">
        <f>RawSalesTable3[[#This Row],[Profit]]/RawSalesTable3[[#This Row],[Revenue]]</f>
        <v>0.42893791688045152</v>
      </c>
      <c r="Z1297" s="27" t="str">
        <f>TEXT(RawSalesTable3[[#This Row],[Order_Date_Clean]],"MMM YYYY")</f>
        <v>Jun 2025</v>
      </c>
      <c r="AA1297" s="27"/>
      <c r="AB1297" s="27">
        <f t="shared" si="145"/>
        <v>0</v>
      </c>
      <c r="AC1297" s="27">
        <f t="shared" si="146"/>
        <v>0</v>
      </c>
    </row>
    <row r="1298" spans="1:29">
      <c r="A1298" t="s">
        <v>1403</v>
      </c>
      <c r="B1298" s="3">
        <v>45717</v>
      </c>
      <c r="C1298" t="s">
        <v>82</v>
      </c>
      <c r="D1298" t="s">
        <v>129</v>
      </c>
      <c r="E1298" t="s">
        <v>67</v>
      </c>
      <c r="F1298" t="s">
        <v>107</v>
      </c>
      <c r="G1298" s="6">
        <v>4</v>
      </c>
      <c r="H1298" s="4">
        <v>45.93</v>
      </c>
      <c r="I1298" s="4">
        <v>20.81</v>
      </c>
      <c r="J1298" s="5">
        <v>0.05</v>
      </c>
      <c r="K1298" s="6">
        <v>6</v>
      </c>
      <c r="L1298" s="6">
        <v>4</v>
      </c>
      <c r="M1298" t="s">
        <v>58</v>
      </c>
      <c r="N1298" t="s">
        <v>59</v>
      </c>
      <c r="O1298" t="s">
        <v>64</v>
      </c>
      <c r="P1298" t="str">
        <f t="shared" si="140"/>
        <v>Corporate</v>
      </c>
      <c r="Q1298" t="str">
        <f t="shared" si="141"/>
        <v>Midlands</v>
      </c>
      <c r="R1298" t="str">
        <f>PROPER(TRIM(E1298))</f>
        <v>Office</v>
      </c>
      <c r="S1298" s="27">
        <f>IF(ISTEXT(B1298),DATEVALUE(B1298),B1298)</f>
        <v>45717</v>
      </c>
      <c r="T1298" s="27">
        <f>COUNTIF($A$2:$A$1986,A1298)</f>
        <v>1</v>
      </c>
      <c r="U1298" s="27" t="str">
        <f t="shared" si="142"/>
        <v>Laptop Stand</v>
      </c>
      <c r="V1298" s="27">
        <f t="shared" si="143"/>
        <v>174.53399999999999</v>
      </c>
      <c r="W1298" s="27">
        <f t="shared" si="144"/>
        <v>83.24</v>
      </c>
      <c r="X1298" s="27">
        <f>RawSalesTable3[[#This Row],[Revenue]]-RawSalesTable3[[#This Row],[Total_Cost]]</f>
        <v>91.293999999999997</v>
      </c>
      <c r="Y1298" s="28">
        <f>RawSalesTable3[[#This Row],[Profit]]/RawSalesTable3[[#This Row],[Revenue]]</f>
        <v>0.52307286832365041</v>
      </c>
      <c r="Z1298" s="27" t="str">
        <f>TEXT(RawSalesTable3[[#This Row],[Order_Date_Clean]],"MMM YYYY")</f>
        <v>Mar 2025</v>
      </c>
      <c r="AA1298" s="27"/>
      <c r="AB1298" s="27">
        <f t="shared" si="145"/>
        <v>0</v>
      </c>
      <c r="AC1298" s="27">
        <f t="shared" si="146"/>
        <v>0</v>
      </c>
    </row>
    <row r="1299" spans="1:29">
      <c r="A1299" t="s">
        <v>1404</v>
      </c>
      <c r="B1299" s="3">
        <v>45744</v>
      </c>
      <c r="C1299" t="s">
        <v>82</v>
      </c>
      <c r="D1299" t="s">
        <v>62</v>
      </c>
      <c r="E1299" t="s">
        <v>56</v>
      </c>
      <c r="F1299" t="s">
        <v>83</v>
      </c>
      <c r="G1299" s="6">
        <v>1</v>
      </c>
      <c r="H1299" s="4">
        <v>63.11</v>
      </c>
      <c r="I1299" s="4">
        <v>34.61</v>
      </c>
      <c r="J1299" s="5">
        <v>0</v>
      </c>
      <c r="K1299" s="6">
        <v>3</v>
      </c>
      <c r="L1299" s="6">
        <v>4</v>
      </c>
      <c r="M1299" t="s">
        <v>58</v>
      </c>
      <c r="N1299" t="s">
        <v>59</v>
      </c>
      <c r="O1299" t="s">
        <v>64</v>
      </c>
      <c r="P1299" t="str">
        <f t="shared" si="140"/>
        <v>Individual</v>
      </c>
      <c r="Q1299" t="str">
        <f t="shared" si="141"/>
        <v>Midlands</v>
      </c>
      <c r="R1299" t="str">
        <f>PROPER(TRIM(E1299))</f>
        <v>Home &amp; Kitchen</v>
      </c>
      <c r="S1299" s="27">
        <f>IF(ISTEXT(B1299),DATEVALUE(B1299),B1299)</f>
        <v>45744</v>
      </c>
      <c r="T1299" s="27">
        <f>COUNTIF($A$2:$A$1986,A1299)</f>
        <v>1</v>
      </c>
      <c r="U1299" s="27" t="str">
        <f t="shared" si="142"/>
        <v>Blender</v>
      </c>
      <c r="V1299" s="27">
        <f t="shared" si="143"/>
        <v>63.11</v>
      </c>
      <c r="W1299" s="27">
        <f t="shared" si="144"/>
        <v>34.61</v>
      </c>
      <c r="X1299" s="27">
        <f>RawSalesTable3[[#This Row],[Revenue]]-RawSalesTable3[[#This Row],[Total_Cost]]</f>
        <v>28.5</v>
      </c>
      <c r="Y1299" s="28">
        <f>RawSalesTable3[[#This Row],[Profit]]/RawSalesTable3[[#This Row],[Revenue]]</f>
        <v>0.45159245761369038</v>
      </c>
      <c r="Z1299" s="27" t="str">
        <f>TEXT(RawSalesTable3[[#This Row],[Order_Date_Clean]],"MMM YYYY")</f>
        <v>Mar 2025</v>
      </c>
      <c r="AA1299" s="27"/>
      <c r="AB1299" s="27">
        <f t="shared" si="145"/>
        <v>0</v>
      </c>
      <c r="AC1299" s="27">
        <f t="shared" si="146"/>
        <v>0</v>
      </c>
    </row>
    <row r="1300" spans="1:29">
      <c r="A1300" t="s">
        <v>1405</v>
      </c>
      <c r="B1300" s="3">
        <v>45679</v>
      </c>
      <c r="C1300" t="s">
        <v>78</v>
      </c>
      <c r="D1300" t="s">
        <v>62</v>
      </c>
      <c r="E1300" t="s">
        <v>79</v>
      </c>
      <c r="F1300" t="s">
        <v>115</v>
      </c>
      <c r="G1300" s="6">
        <v>1</v>
      </c>
      <c r="H1300" s="4">
        <v>60.55</v>
      </c>
      <c r="I1300" s="4">
        <v>35.18</v>
      </c>
      <c r="J1300" s="5">
        <v>0</v>
      </c>
      <c r="K1300" s="6">
        <v>6</v>
      </c>
      <c r="L1300" s="6">
        <v>4</v>
      </c>
      <c r="M1300" t="s">
        <v>58</v>
      </c>
      <c r="N1300" t="s">
        <v>59</v>
      </c>
      <c r="O1300" t="s">
        <v>64</v>
      </c>
      <c r="P1300" t="str">
        <f t="shared" si="140"/>
        <v>Individual</v>
      </c>
      <c r="Q1300" t="str">
        <f t="shared" si="141"/>
        <v>London</v>
      </c>
      <c r="R1300" t="str">
        <f>PROPER(TRIM(E1300))</f>
        <v>Electronics</v>
      </c>
      <c r="S1300" s="27">
        <f>IF(ISTEXT(B1300),DATEVALUE(B1300),B1300)</f>
        <v>45679</v>
      </c>
      <c r="T1300" s="27">
        <f>COUNTIF($A$2:$A$1986,A1300)</f>
        <v>1</v>
      </c>
      <c r="U1300" s="27" t="str">
        <f t="shared" si="142"/>
        <v>Wireless Headset</v>
      </c>
      <c r="V1300" s="27">
        <f t="shared" si="143"/>
        <v>60.55</v>
      </c>
      <c r="W1300" s="27">
        <f t="shared" si="144"/>
        <v>35.18</v>
      </c>
      <c r="X1300" s="27">
        <f>RawSalesTable3[[#This Row],[Revenue]]-RawSalesTable3[[#This Row],[Total_Cost]]</f>
        <v>25.369999999999997</v>
      </c>
      <c r="Y1300" s="28">
        <f>RawSalesTable3[[#This Row],[Profit]]/RawSalesTable3[[#This Row],[Revenue]]</f>
        <v>0.41899256812551611</v>
      </c>
      <c r="Z1300" s="27" t="str">
        <f>TEXT(RawSalesTable3[[#This Row],[Order_Date_Clean]],"MMM YYYY")</f>
        <v>Jan 2025</v>
      </c>
      <c r="AA1300" s="27"/>
      <c r="AB1300" s="27">
        <f t="shared" si="145"/>
        <v>0</v>
      </c>
      <c r="AC1300" s="27">
        <f t="shared" si="146"/>
        <v>0</v>
      </c>
    </row>
    <row r="1301" spans="1:29">
      <c r="A1301" t="s">
        <v>1406</v>
      </c>
      <c r="B1301" s="3">
        <v>45924</v>
      </c>
      <c r="C1301" t="s">
        <v>82</v>
      </c>
      <c r="D1301" t="s">
        <v>129</v>
      </c>
      <c r="E1301" t="s">
        <v>75</v>
      </c>
      <c r="F1301" t="s">
        <v>110</v>
      </c>
      <c r="G1301" s="6">
        <v>3</v>
      </c>
      <c r="H1301" s="4">
        <v>156.78</v>
      </c>
      <c r="I1301" s="4">
        <v>105.2</v>
      </c>
      <c r="J1301" s="5">
        <v>0.1</v>
      </c>
      <c r="K1301" s="6">
        <v>1</v>
      </c>
      <c r="L1301" s="6">
        <v>4</v>
      </c>
      <c r="M1301" t="s">
        <v>58</v>
      </c>
      <c r="N1301" t="s">
        <v>69</v>
      </c>
      <c r="O1301" t="s">
        <v>64</v>
      </c>
      <c r="P1301" t="str">
        <f t="shared" si="140"/>
        <v>Corporate</v>
      </c>
      <c r="Q1301" t="str">
        <f t="shared" si="141"/>
        <v>Midlands</v>
      </c>
      <c r="R1301" t="str">
        <f>PROPER(TRIM(E1301))</f>
        <v>Furniture</v>
      </c>
      <c r="S1301" s="27">
        <f>IF(ISTEXT(B1301),DATEVALUE(B1301),B1301)</f>
        <v>45924</v>
      </c>
      <c r="T1301" s="27">
        <f>COUNTIF($A$2:$A$1986,A1301)</f>
        <v>1</v>
      </c>
      <c r="U1301" s="27" t="str">
        <f t="shared" si="142"/>
        <v>Storage Cabinet</v>
      </c>
      <c r="V1301" s="27">
        <f t="shared" si="143"/>
        <v>423.30600000000004</v>
      </c>
      <c r="W1301" s="27">
        <f t="shared" si="144"/>
        <v>315.60000000000002</v>
      </c>
      <c r="X1301" s="27">
        <f>RawSalesTable3[[#This Row],[Revenue]]-RawSalesTable3[[#This Row],[Total_Cost]]</f>
        <v>107.70600000000002</v>
      </c>
      <c r="Y1301" s="28">
        <f>RawSalesTable3[[#This Row],[Profit]]/RawSalesTable3[[#This Row],[Revenue]]</f>
        <v>0.25444005045995099</v>
      </c>
      <c r="Z1301" s="27" t="str">
        <f>TEXT(RawSalesTable3[[#This Row],[Order_Date_Clean]],"MMM YYYY")</f>
        <v>Sep 2025</v>
      </c>
      <c r="AA1301" s="27"/>
      <c r="AB1301" s="27">
        <f t="shared" si="145"/>
        <v>0</v>
      </c>
      <c r="AC1301" s="27">
        <f t="shared" si="146"/>
        <v>0</v>
      </c>
    </row>
    <row r="1302" spans="1:29">
      <c r="A1302" t="s">
        <v>1407</v>
      </c>
      <c r="B1302" s="3">
        <v>45786</v>
      </c>
      <c r="C1302" t="s">
        <v>78</v>
      </c>
      <c r="D1302" t="s">
        <v>62</v>
      </c>
      <c r="E1302" t="s">
        <v>67</v>
      </c>
      <c r="F1302" t="s">
        <v>94</v>
      </c>
      <c r="G1302" s="6">
        <v>2</v>
      </c>
      <c r="H1302" s="4">
        <v>34.659999999999997</v>
      </c>
      <c r="I1302" s="4">
        <v>16.73</v>
      </c>
      <c r="J1302" s="5">
        <v>0</v>
      </c>
      <c r="K1302" s="6">
        <v>4</v>
      </c>
      <c r="L1302" s="6">
        <v>3</v>
      </c>
      <c r="M1302" t="s">
        <v>126</v>
      </c>
      <c r="N1302" t="s">
        <v>59</v>
      </c>
      <c r="O1302" t="s">
        <v>60</v>
      </c>
      <c r="P1302" t="str">
        <f t="shared" si="140"/>
        <v>Individual</v>
      </c>
      <c r="Q1302" t="str">
        <f t="shared" si="141"/>
        <v>London</v>
      </c>
      <c r="R1302" t="str">
        <f>PROPER(TRIM(E1302))</f>
        <v>Office</v>
      </c>
      <c r="S1302" s="27">
        <f>IF(ISTEXT(B1302),DATEVALUE(B1302),B1302)</f>
        <v>45786</v>
      </c>
      <c r="T1302" s="27">
        <f>COUNTIF($A$2:$A$1986,A1302)</f>
        <v>1</v>
      </c>
      <c r="U1302" s="27" t="str">
        <f t="shared" si="142"/>
        <v>Wireless Mouse</v>
      </c>
      <c r="V1302" s="27">
        <f t="shared" si="143"/>
        <v>69.319999999999993</v>
      </c>
      <c r="W1302" s="27">
        <f t="shared" si="144"/>
        <v>33.46</v>
      </c>
      <c r="X1302" s="27">
        <f>RawSalesTable3[[#This Row],[Revenue]]-RawSalesTable3[[#This Row],[Total_Cost]]</f>
        <v>35.859999999999992</v>
      </c>
      <c r="Y1302" s="28">
        <f>RawSalesTable3[[#This Row],[Profit]]/RawSalesTable3[[#This Row],[Revenue]]</f>
        <v>0.51731102135025964</v>
      </c>
      <c r="Z1302" s="27" t="str">
        <f>TEXT(RawSalesTable3[[#This Row],[Order_Date_Clean]],"MMM YYYY")</f>
        <v>May 2025</v>
      </c>
      <c r="AA1302" s="27"/>
      <c r="AB1302" s="27">
        <f t="shared" si="145"/>
        <v>0</v>
      </c>
      <c r="AC1302" s="27">
        <f t="shared" si="146"/>
        <v>0</v>
      </c>
    </row>
    <row r="1303" spans="1:29">
      <c r="A1303" t="s">
        <v>1408</v>
      </c>
      <c r="B1303" s="3">
        <v>45874</v>
      </c>
      <c r="C1303" t="s">
        <v>78</v>
      </c>
      <c r="D1303" t="s">
        <v>55</v>
      </c>
      <c r="E1303" t="s">
        <v>79</v>
      </c>
      <c r="F1303" t="s">
        <v>85</v>
      </c>
      <c r="G1303" s="6">
        <v>1</v>
      </c>
      <c r="H1303" s="4">
        <v>128.69</v>
      </c>
      <c r="I1303" s="4">
        <v>86.91</v>
      </c>
      <c r="J1303" s="5">
        <v>0</v>
      </c>
      <c r="K1303" s="6">
        <v>0</v>
      </c>
      <c r="L1303" s="6">
        <v>4</v>
      </c>
      <c r="M1303" t="s">
        <v>58</v>
      </c>
      <c r="N1303" t="s">
        <v>69</v>
      </c>
      <c r="O1303" t="s">
        <v>64</v>
      </c>
      <c r="P1303" t="str">
        <f t="shared" si="140"/>
        <v>Small Business</v>
      </c>
      <c r="Q1303" t="str">
        <f t="shared" si="141"/>
        <v>London</v>
      </c>
      <c r="R1303" t="str">
        <f>PROPER(TRIM(E1303))</f>
        <v>Electronics</v>
      </c>
      <c r="S1303" s="27">
        <f>IF(ISTEXT(B1303),DATEVALUE(B1303),B1303)</f>
        <v>45874</v>
      </c>
      <c r="T1303" s="27">
        <f>COUNTIF($A$2:$A$1986,A1303)</f>
        <v>1</v>
      </c>
      <c r="U1303" s="27" t="str">
        <f t="shared" si="142"/>
        <v>SmartHome Hub</v>
      </c>
      <c r="V1303" s="27">
        <f t="shared" si="143"/>
        <v>128.69</v>
      </c>
      <c r="W1303" s="27">
        <f t="shared" si="144"/>
        <v>86.91</v>
      </c>
      <c r="X1303" s="27">
        <f>RawSalesTable3[[#This Row],[Revenue]]-RawSalesTable3[[#This Row],[Total_Cost]]</f>
        <v>41.78</v>
      </c>
      <c r="Y1303" s="28">
        <f>RawSalesTable3[[#This Row],[Profit]]/RawSalesTable3[[#This Row],[Revenue]]</f>
        <v>0.32465615043903956</v>
      </c>
      <c r="Z1303" s="27" t="str">
        <f>TEXT(RawSalesTable3[[#This Row],[Order_Date_Clean]],"MMM YYYY")</f>
        <v>Aug 2025</v>
      </c>
      <c r="AA1303" s="27"/>
      <c r="AB1303" s="27">
        <f t="shared" si="145"/>
        <v>0</v>
      </c>
      <c r="AC1303" s="27">
        <f t="shared" si="146"/>
        <v>0</v>
      </c>
    </row>
    <row r="1304" spans="1:29">
      <c r="A1304" t="s">
        <v>1409</v>
      </c>
      <c r="B1304" s="3">
        <v>45934</v>
      </c>
      <c r="C1304" t="s">
        <v>54</v>
      </c>
      <c r="D1304" t="s">
        <v>55</v>
      </c>
      <c r="E1304" t="s">
        <v>75</v>
      </c>
      <c r="F1304" t="s">
        <v>110</v>
      </c>
      <c r="G1304" s="6">
        <v>3</v>
      </c>
      <c r="H1304" s="4">
        <v>162.19</v>
      </c>
      <c r="I1304" s="4">
        <v>101.7</v>
      </c>
      <c r="J1304" s="5">
        <v>0</v>
      </c>
      <c r="K1304" s="6">
        <v>4</v>
      </c>
      <c r="L1304" s="6">
        <v>3</v>
      </c>
      <c r="M1304" t="s">
        <v>126</v>
      </c>
      <c r="N1304" t="s">
        <v>87</v>
      </c>
      <c r="O1304" t="s">
        <v>64</v>
      </c>
      <c r="P1304" t="str">
        <f t="shared" si="140"/>
        <v>Small Business</v>
      </c>
      <c r="Q1304" t="str">
        <f t="shared" si="141"/>
        <v>North</v>
      </c>
      <c r="R1304" t="str">
        <f>PROPER(TRIM(E1304))</f>
        <v>Furniture</v>
      </c>
      <c r="S1304" s="27">
        <f>IF(ISTEXT(B1304),DATEVALUE(B1304),B1304)</f>
        <v>45934</v>
      </c>
      <c r="T1304" s="27">
        <f>COUNTIF($A$2:$A$1986,A1304)</f>
        <v>1</v>
      </c>
      <c r="U1304" s="27" t="str">
        <f t="shared" si="142"/>
        <v>Storage Cabinet</v>
      </c>
      <c r="V1304" s="27">
        <f t="shared" si="143"/>
        <v>486.57</v>
      </c>
      <c r="W1304" s="27">
        <f t="shared" si="144"/>
        <v>305.10000000000002</v>
      </c>
      <c r="X1304" s="27">
        <f>RawSalesTable3[[#This Row],[Revenue]]-RawSalesTable3[[#This Row],[Total_Cost]]</f>
        <v>181.46999999999997</v>
      </c>
      <c r="Y1304" s="28">
        <f>RawSalesTable3[[#This Row],[Profit]]/RawSalesTable3[[#This Row],[Revenue]]</f>
        <v>0.37295764227141004</v>
      </c>
      <c r="Z1304" s="27" t="str">
        <f>TEXT(RawSalesTable3[[#This Row],[Order_Date_Clean]],"MMM YYYY")</f>
        <v>Oct 2025</v>
      </c>
      <c r="AA1304" s="27"/>
      <c r="AB1304" s="27">
        <f t="shared" si="145"/>
        <v>0</v>
      </c>
      <c r="AC1304" s="27">
        <f t="shared" si="146"/>
        <v>0</v>
      </c>
    </row>
    <row r="1305" spans="1:29">
      <c r="A1305" t="s">
        <v>1410</v>
      </c>
      <c r="B1305" s="3">
        <v>45830</v>
      </c>
      <c r="C1305" t="s">
        <v>54</v>
      </c>
      <c r="D1305" t="s">
        <v>62</v>
      </c>
      <c r="E1305" t="s">
        <v>67</v>
      </c>
      <c r="F1305" t="s">
        <v>68</v>
      </c>
      <c r="G1305" s="6">
        <v>1</v>
      </c>
      <c r="H1305" s="4">
        <v>39.46</v>
      </c>
      <c r="I1305" s="4">
        <v>19.82</v>
      </c>
      <c r="J1305" s="5">
        <v>0</v>
      </c>
      <c r="K1305" s="6">
        <v>0</v>
      </c>
      <c r="L1305" s="6">
        <v>4</v>
      </c>
      <c r="M1305" t="s">
        <v>58</v>
      </c>
      <c r="N1305" t="s">
        <v>69</v>
      </c>
      <c r="O1305" t="s">
        <v>60</v>
      </c>
      <c r="P1305" t="str">
        <f t="shared" si="140"/>
        <v>Individual</v>
      </c>
      <c r="Q1305" t="str">
        <f t="shared" si="141"/>
        <v>North</v>
      </c>
      <c r="R1305" t="str">
        <f>PROPER(TRIM(E1305))</f>
        <v>Office</v>
      </c>
      <c r="S1305" s="27">
        <f>IF(ISTEXT(B1305),DATEVALUE(B1305),B1305)</f>
        <v>45830</v>
      </c>
      <c r="T1305" s="27">
        <f>COUNTIF($A$2:$A$1986,A1305)</f>
        <v>1</v>
      </c>
      <c r="U1305" s="27" t="str">
        <f t="shared" si="142"/>
        <v>Desk Lamp</v>
      </c>
      <c r="V1305" s="27">
        <f t="shared" si="143"/>
        <v>39.46</v>
      </c>
      <c r="W1305" s="27">
        <f t="shared" si="144"/>
        <v>19.82</v>
      </c>
      <c r="X1305" s="27">
        <f>RawSalesTable3[[#This Row],[Revenue]]-RawSalesTable3[[#This Row],[Total_Cost]]</f>
        <v>19.64</v>
      </c>
      <c r="Y1305" s="28">
        <f>RawSalesTable3[[#This Row],[Profit]]/RawSalesTable3[[#This Row],[Revenue]]</f>
        <v>0.49771920932589964</v>
      </c>
      <c r="Z1305" s="27" t="str">
        <f>TEXT(RawSalesTable3[[#This Row],[Order_Date_Clean]],"MMM YYYY")</f>
        <v>Jun 2025</v>
      </c>
      <c r="AA1305" s="27"/>
      <c r="AB1305" s="27">
        <f t="shared" si="145"/>
        <v>0</v>
      </c>
      <c r="AC1305" s="27">
        <f t="shared" si="146"/>
        <v>0</v>
      </c>
    </row>
    <row r="1306" spans="1:29">
      <c r="A1306" t="s">
        <v>1411</v>
      </c>
      <c r="B1306" s="3">
        <v>45817</v>
      </c>
      <c r="C1306" t="s">
        <v>82</v>
      </c>
      <c r="D1306" t="s">
        <v>62</v>
      </c>
      <c r="E1306" t="s">
        <v>75</v>
      </c>
      <c r="F1306" t="s">
        <v>146</v>
      </c>
      <c r="G1306" s="6">
        <v>1</v>
      </c>
      <c r="H1306" s="4">
        <v>184.11</v>
      </c>
      <c r="I1306" s="4">
        <v>112.91</v>
      </c>
      <c r="J1306" s="5">
        <v>0</v>
      </c>
      <c r="K1306" s="6">
        <v>4</v>
      </c>
      <c r="L1306" s="6">
        <v>5</v>
      </c>
      <c r="M1306" t="s">
        <v>58</v>
      </c>
      <c r="N1306" t="s">
        <v>87</v>
      </c>
      <c r="O1306" t="s">
        <v>64</v>
      </c>
      <c r="P1306" t="str">
        <f t="shared" si="140"/>
        <v>Individual</v>
      </c>
      <c r="Q1306" t="str">
        <f t="shared" si="141"/>
        <v>Midlands</v>
      </c>
      <c r="R1306" t="str">
        <f>PROPER(TRIM(E1306))</f>
        <v>Furniture</v>
      </c>
      <c r="S1306" s="27">
        <f>IF(ISTEXT(B1306),DATEVALUE(B1306),B1306)</f>
        <v>45817</v>
      </c>
      <c r="T1306" s="27">
        <f>COUNTIF($A$2:$A$1986,A1306)</f>
        <v>1</v>
      </c>
      <c r="U1306" s="27" t="str">
        <f t="shared" si="142"/>
        <v>Office Chair</v>
      </c>
      <c r="V1306" s="27">
        <f t="shared" si="143"/>
        <v>184.11</v>
      </c>
      <c r="W1306" s="27">
        <f t="shared" si="144"/>
        <v>112.91</v>
      </c>
      <c r="X1306" s="27">
        <f>RawSalesTable3[[#This Row],[Revenue]]-RawSalesTable3[[#This Row],[Total_Cost]]</f>
        <v>71.200000000000017</v>
      </c>
      <c r="Y1306" s="28">
        <f>RawSalesTable3[[#This Row],[Profit]]/RawSalesTable3[[#This Row],[Revenue]]</f>
        <v>0.38672532725001363</v>
      </c>
      <c r="Z1306" s="27" t="str">
        <f>TEXT(RawSalesTable3[[#This Row],[Order_Date_Clean]],"MMM YYYY")</f>
        <v>Jun 2025</v>
      </c>
      <c r="AA1306" s="27"/>
      <c r="AB1306" s="27">
        <f t="shared" si="145"/>
        <v>0</v>
      </c>
      <c r="AC1306" s="27">
        <f t="shared" si="146"/>
        <v>0</v>
      </c>
    </row>
    <row r="1307" spans="1:29">
      <c r="A1307" t="s">
        <v>1412</v>
      </c>
      <c r="B1307" s="3">
        <v>45850</v>
      </c>
      <c r="C1307" t="s">
        <v>66</v>
      </c>
      <c r="D1307" t="s">
        <v>62</v>
      </c>
      <c r="E1307" t="s">
        <v>67</v>
      </c>
      <c r="F1307" t="s">
        <v>68</v>
      </c>
      <c r="G1307" s="6">
        <v>2</v>
      </c>
      <c r="H1307" s="4">
        <v>40.18</v>
      </c>
      <c r="I1307" s="4">
        <v>18.55</v>
      </c>
      <c r="J1307" s="5">
        <v>0.05</v>
      </c>
      <c r="K1307" s="6">
        <v>3</v>
      </c>
      <c r="L1307" s="6">
        <v>4</v>
      </c>
      <c r="M1307" t="s">
        <v>58</v>
      </c>
      <c r="N1307" t="s">
        <v>69</v>
      </c>
      <c r="O1307" t="s">
        <v>64</v>
      </c>
      <c r="P1307" t="str">
        <f t="shared" si="140"/>
        <v>Individual</v>
      </c>
      <c r="Q1307" t="str">
        <f t="shared" si="141"/>
        <v>South</v>
      </c>
      <c r="R1307" t="str">
        <f>PROPER(TRIM(E1307))</f>
        <v>Office</v>
      </c>
      <c r="S1307" s="27">
        <f>IF(ISTEXT(B1307),DATEVALUE(B1307),B1307)</f>
        <v>45850</v>
      </c>
      <c r="T1307" s="27">
        <f>COUNTIF($A$2:$A$1986,A1307)</f>
        <v>1</v>
      </c>
      <c r="U1307" s="27" t="str">
        <f t="shared" si="142"/>
        <v>Desk Lamp</v>
      </c>
      <c r="V1307" s="27">
        <f t="shared" si="143"/>
        <v>76.341999999999999</v>
      </c>
      <c r="W1307" s="27">
        <f t="shared" si="144"/>
        <v>37.1</v>
      </c>
      <c r="X1307" s="27">
        <f>RawSalesTable3[[#This Row],[Revenue]]-RawSalesTable3[[#This Row],[Total_Cost]]</f>
        <v>39.241999999999997</v>
      </c>
      <c r="Y1307" s="28">
        <f>RawSalesTable3[[#This Row],[Profit]]/RawSalesTable3[[#This Row],[Revenue]]</f>
        <v>0.51402897487621491</v>
      </c>
      <c r="Z1307" s="27" t="str">
        <f>TEXT(RawSalesTable3[[#This Row],[Order_Date_Clean]],"MMM YYYY")</f>
        <v>Jul 2025</v>
      </c>
      <c r="AA1307" s="27"/>
      <c r="AB1307" s="27">
        <f t="shared" si="145"/>
        <v>0</v>
      </c>
      <c r="AC1307" s="27">
        <f t="shared" si="146"/>
        <v>0</v>
      </c>
    </row>
    <row r="1308" spans="1:29">
      <c r="A1308" t="s">
        <v>1413</v>
      </c>
      <c r="B1308" s="3">
        <v>45742</v>
      </c>
      <c r="C1308" t="s">
        <v>66</v>
      </c>
      <c r="D1308" t="s">
        <v>62</v>
      </c>
      <c r="E1308" t="s">
        <v>75</v>
      </c>
      <c r="F1308" t="s">
        <v>97</v>
      </c>
      <c r="G1308" s="6">
        <v>1</v>
      </c>
      <c r="H1308" s="4">
        <v>93.48</v>
      </c>
      <c r="I1308" s="4">
        <v>53.12</v>
      </c>
      <c r="J1308" s="5">
        <v>0.1</v>
      </c>
      <c r="K1308" s="6">
        <v>2</v>
      </c>
      <c r="L1308" s="6">
        <v>4</v>
      </c>
      <c r="M1308" t="s">
        <v>58</v>
      </c>
      <c r="N1308" t="s">
        <v>69</v>
      </c>
      <c r="O1308" t="s">
        <v>64</v>
      </c>
      <c r="P1308" t="str">
        <f t="shared" si="140"/>
        <v>Individual</v>
      </c>
      <c r="Q1308" t="str">
        <f t="shared" si="141"/>
        <v>South</v>
      </c>
      <c r="R1308" t="str">
        <f>PROPER(TRIM(E1308))</f>
        <v>Furniture</v>
      </c>
      <c r="S1308" s="27">
        <f>IF(ISTEXT(B1308),DATEVALUE(B1308),B1308)</f>
        <v>45742</v>
      </c>
      <c r="T1308" s="27">
        <f>COUNTIF($A$2:$A$1986,A1308)</f>
        <v>1</v>
      </c>
      <c r="U1308" s="27" t="str">
        <f t="shared" si="142"/>
        <v>Side Table</v>
      </c>
      <c r="V1308" s="27">
        <f t="shared" si="143"/>
        <v>84.132000000000005</v>
      </c>
      <c r="W1308" s="27">
        <f t="shared" si="144"/>
        <v>53.12</v>
      </c>
      <c r="X1308" s="27">
        <f>RawSalesTable3[[#This Row],[Revenue]]-RawSalesTable3[[#This Row],[Total_Cost]]</f>
        <v>31.012000000000008</v>
      </c>
      <c r="Y1308" s="28">
        <f>RawSalesTable3[[#This Row],[Profit]]/RawSalesTable3[[#This Row],[Revenue]]</f>
        <v>0.36861122997194889</v>
      </c>
      <c r="Z1308" s="27" t="str">
        <f>TEXT(RawSalesTable3[[#This Row],[Order_Date_Clean]],"MMM YYYY")</f>
        <v>Mar 2025</v>
      </c>
      <c r="AA1308" s="27"/>
      <c r="AB1308" s="27">
        <f t="shared" si="145"/>
        <v>0</v>
      </c>
      <c r="AC1308" s="27">
        <f t="shared" si="146"/>
        <v>0</v>
      </c>
    </row>
    <row r="1309" spans="1:29">
      <c r="A1309" t="s">
        <v>1414</v>
      </c>
      <c r="B1309" s="3">
        <v>45948</v>
      </c>
      <c r="C1309" t="s">
        <v>66</v>
      </c>
      <c r="D1309" t="s">
        <v>62</v>
      </c>
      <c r="E1309" t="s">
        <v>79</v>
      </c>
      <c r="F1309" t="s">
        <v>85</v>
      </c>
      <c r="G1309" s="6">
        <v>1</v>
      </c>
      <c r="H1309" s="4">
        <v>126.49</v>
      </c>
      <c r="I1309" s="4">
        <v>87.38</v>
      </c>
      <c r="J1309" s="5">
        <v>0.15000000000000002</v>
      </c>
      <c r="K1309" s="6">
        <v>1</v>
      </c>
      <c r="L1309" s="6">
        <v>4</v>
      </c>
      <c r="M1309" t="s">
        <v>58</v>
      </c>
      <c r="N1309" t="s">
        <v>69</v>
      </c>
      <c r="O1309" t="s">
        <v>64</v>
      </c>
      <c r="P1309" t="str">
        <f t="shared" si="140"/>
        <v>Individual</v>
      </c>
      <c r="Q1309" t="str">
        <f t="shared" si="141"/>
        <v>South</v>
      </c>
      <c r="R1309" t="str">
        <f>PROPER(TRIM(E1309))</f>
        <v>Electronics</v>
      </c>
      <c r="S1309" s="27">
        <f>IF(ISTEXT(B1309),DATEVALUE(B1309),B1309)</f>
        <v>45948</v>
      </c>
      <c r="T1309" s="27">
        <f>COUNTIF($A$2:$A$1986,A1309)</f>
        <v>1</v>
      </c>
      <c r="U1309" s="27" t="str">
        <f t="shared" si="142"/>
        <v>SmartHome Hub</v>
      </c>
      <c r="V1309" s="27">
        <f t="shared" si="143"/>
        <v>107.51649999999999</v>
      </c>
      <c r="W1309" s="27">
        <f t="shared" si="144"/>
        <v>87.38</v>
      </c>
      <c r="X1309" s="27">
        <f>RawSalesTable3[[#This Row],[Revenue]]-RawSalesTable3[[#This Row],[Total_Cost]]</f>
        <v>20.136499999999998</v>
      </c>
      <c r="Y1309" s="28">
        <f>RawSalesTable3[[#This Row],[Profit]]/RawSalesTable3[[#This Row],[Revenue]]</f>
        <v>0.18728753261127362</v>
      </c>
      <c r="Z1309" s="27" t="str">
        <f>TEXT(RawSalesTable3[[#This Row],[Order_Date_Clean]],"MMM YYYY")</f>
        <v>Oct 2025</v>
      </c>
      <c r="AA1309" s="27"/>
      <c r="AB1309" s="27">
        <f t="shared" si="145"/>
        <v>0</v>
      </c>
      <c r="AC1309" s="27">
        <f t="shared" si="146"/>
        <v>0</v>
      </c>
    </row>
    <row r="1310" spans="1:29">
      <c r="A1310" t="s">
        <v>1415</v>
      </c>
      <c r="B1310" s="3">
        <v>45945</v>
      </c>
      <c r="C1310" t="s">
        <v>54</v>
      </c>
      <c r="D1310" t="s">
        <v>62</v>
      </c>
      <c r="E1310" t="s">
        <v>75</v>
      </c>
      <c r="F1310" t="s">
        <v>97</v>
      </c>
      <c r="G1310" s="6">
        <v>1</v>
      </c>
      <c r="H1310" s="4">
        <v>88.36</v>
      </c>
      <c r="I1310" s="4">
        <v>56.22</v>
      </c>
      <c r="J1310" s="5">
        <v>0.05</v>
      </c>
      <c r="K1310" s="6">
        <v>5</v>
      </c>
      <c r="L1310" s="6">
        <v>4</v>
      </c>
      <c r="M1310" t="s">
        <v>58</v>
      </c>
      <c r="N1310" t="s">
        <v>87</v>
      </c>
      <c r="O1310" t="s">
        <v>64</v>
      </c>
      <c r="P1310" t="str">
        <f t="shared" si="140"/>
        <v>Individual</v>
      </c>
      <c r="Q1310" t="str">
        <f t="shared" si="141"/>
        <v>North</v>
      </c>
      <c r="R1310" t="str">
        <f>PROPER(TRIM(E1310))</f>
        <v>Furniture</v>
      </c>
      <c r="S1310" s="27">
        <f>IF(ISTEXT(B1310),DATEVALUE(B1310),B1310)</f>
        <v>45945</v>
      </c>
      <c r="T1310" s="27">
        <f>COUNTIF($A$2:$A$1986,A1310)</f>
        <v>1</v>
      </c>
      <c r="U1310" s="27" t="str">
        <f t="shared" si="142"/>
        <v>Side Table</v>
      </c>
      <c r="V1310" s="27">
        <f t="shared" si="143"/>
        <v>83.941999999999993</v>
      </c>
      <c r="W1310" s="27">
        <f t="shared" si="144"/>
        <v>56.22</v>
      </c>
      <c r="X1310" s="27">
        <f>RawSalesTable3[[#This Row],[Revenue]]-RawSalesTable3[[#This Row],[Total_Cost]]</f>
        <v>27.721999999999994</v>
      </c>
      <c r="Y1310" s="28">
        <f>RawSalesTable3[[#This Row],[Profit]]/RawSalesTable3[[#This Row],[Revenue]]</f>
        <v>0.33025184055657475</v>
      </c>
      <c r="Z1310" s="27" t="str">
        <f>TEXT(RawSalesTable3[[#This Row],[Order_Date_Clean]],"MMM YYYY")</f>
        <v>Oct 2025</v>
      </c>
      <c r="AA1310" s="27"/>
      <c r="AB1310" s="27">
        <f t="shared" si="145"/>
        <v>0</v>
      </c>
      <c r="AC1310" s="27">
        <f t="shared" si="146"/>
        <v>0</v>
      </c>
    </row>
    <row r="1311" spans="1:29">
      <c r="A1311" t="s">
        <v>1416</v>
      </c>
      <c r="B1311" s="3">
        <v>45959</v>
      </c>
      <c r="C1311" t="s">
        <v>78</v>
      </c>
      <c r="D1311" t="s">
        <v>55</v>
      </c>
      <c r="E1311" t="s">
        <v>79</v>
      </c>
      <c r="F1311" t="s">
        <v>115</v>
      </c>
      <c r="G1311" s="6">
        <v>3</v>
      </c>
      <c r="H1311" s="4">
        <v>59.7</v>
      </c>
      <c r="I1311" s="4">
        <v>35.6</v>
      </c>
      <c r="J1311" s="5">
        <v>0.05</v>
      </c>
      <c r="K1311" s="6">
        <v>4</v>
      </c>
      <c r="L1311" s="6">
        <v>4</v>
      </c>
      <c r="M1311" t="s">
        <v>58</v>
      </c>
      <c r="N1311" t="s">
        <v>69</v>
      </c>
      <c r="O1311" t="s">
        <v>60</v>
      </c>
      <c r="P1311" t="str">
        <f t="shared" si="140"/>
        <v>Small Business</v>
      </c>
      <c r="Q1311" t="str">
        <f t="shared" si="141"/>
        <v>London</v>
      </c>
      <c r="R1311" t="str">
        <f>PROPER(TRIM(E1311))</f>
        <v>Electronics</v>
      </c>
      <c r="S1311" s="27">
        <f>IF(ISTEXT(B1311),DATEVALUE(B1311),B1311)</f>
        <v>45959</v>
      </c>
      <c r="T1311" s="27">
        <f>COUNTIF($A$2:$A$1986,A1311)</f>
        <v>1</v>
      </c>
      <c r="U1311" s="27" t="str">
        <f t="shared" si="142"/>
        <v>Wireless Headset</v>
      </c>
      <c r="V1311" s="27">
        <f t="shared" si="143"/>
        <v>170.14500000000001</v>
      </c>
      <c r="W1311" s="27">
        <f t="shared" si="144"/>
        <v>106.80000000000001</v>
      </c>
      <c r="X1311" s="27">
        <f>RawSalesTable3[[#This Row],[Revenue]]-RawSalesTable3[[#This Row],[Total_Cost]]</f>
        <v>63.344999999999999</v>
      </c>
      <c r="Y1311" s="28">
        <f>RawSalesTable3[[#This Row],[Profit]]/RawSalesTable3[[#This Row],[Revenue]]</f>
        <v>0.37230009697610861</v>
      </c>
      <c r="Z1311" s="27" t="str">
        <f>TEXT(RawSalesTable3[[#This Row],[Order_Date_Clean]],"MMM YYYY")</f>
        <v>Oct 2025</v>
      </c>
      <c r="AA1311" s="27"/>
      <c r="AB1311" s="27">
        <f t="shared" si="145"/>
        <v>0</v>
      </c>
      <c r="AC1311" s="27">
        <f t="shared" si="146"/>
        <v>0</v>
      </c>
    </row>
    <row r="1312" spans="1:29">
      <c r="A1312" t="s">
        <v>1417</v>
      </c>
      <c r="B1312" s="3">
        <v>45679</v>
      </c>
      <c r="C1312" t="s">
        <v>78</v>
      </c>
      <c r="D1312" t="s">
        <v>129</v>
      </c>
      <c r="E1312" t="s">
        <v>75</v>
      </c>
      <c r="F1312" t="s">
        <v>76</v>
      </c>
      <c r="G1312" s="6">
        <v>2</v>
      </c>
      <c r="H1312" s="4">
        <v>118.81</v>
      </c>
      <c r="I1312" s="4">
        <v>75.459999999999994</v>
      </c>
      <c r="J1312" s="5">
        <v>0.05</v>
      </c>
      <c r="K1312" s="6">
        <v>6</v>
      </c>
      <c r="L1312" s="6">
        <v>4</v>
      </c>
      <c r="M1312" t="s">
        <v>58</v>
      </c>
      <c r="N1312" t="s">
        <v>59</v>
      </c>
      <c r="O1312" t="s">
        <v>64</v>
      </c>
      <c r="P1312" t="str">
        <f t="shared" si="140"/>
        <v>Corporate</v>
      </c>
      <c r="Q1312" t="str">
        <f t="shared" si="141"/>
        <v>London</v>
      </c>
      <c r="R1312" t="str">
        <f>PROPER(TRIM(E1312))</f>
        <v>Furniture</v>
      </c>
      <c r="S1312" s="27">
        <f>IF(ISTEXT(B1312),DATEVALUE(B1312),B1312)</f>
        <v>45679</v>
      </c>
      <c r="T1312" s="27">
        <f>COUNTIF($A$2:$A$1986,A1312)</f>
        <v>1</v>
      </c>
      <c r="U1312" s="27" t="str">
        <f t="shared" si="142"/>
        <v>Bookshelf</v>
      </c>
      <c r="V1312" s="27">
        <f t="shared" si="143"/>
        <v>225.739</v>
      </c>
      <c r="W1312" s="27">
        <f t="shared" si="144"/>
        <v>150.91999999999999</v>
      </c>
      <c r="X1312" s="27">
        <f>RawSalesTable3[[#This Row],[Revenue]]-RawSalesTable3[[#This Row],[Total_Cost]]</f>
        <v>74.819000000000017</v>
      </c>
      <c r="Y1312" s="28">
        <f>RawSalesTable3[[#This Row],[Profit]]/RawSalesTable3[[#This Row],[Revenue]]</f>
        <v>0.33144029166426719</v>
      </c>
      <c r="Z1312" s="27" t="str">
        <f>TEXT(RawSalesTable3[[#This Row],[Order_Date_Clean]],"MMM YYYY")</f>
        <v>Jan 2025</v>
      </c>
      <c r="AA1312" s="27"/>
      <c r="AB1312" s="27">
        <f t="shared" si="145"/>
        <v>0</v>
      </c>
      <c r="AC1312" s="27">
        <f t="shared" si="146"/>
        <v>0</v>
      </c>
    </row>
    <row r="1313" spans="1:29">
      <c r="A1313" t="s">
        <v>1418</v>
      </c>
      <c r="B1313" s="3">
        <v>45837</v>
      </c>
      <c r="C1313" t="s">
        <v>54</v>
      </c>
      <c r="D1313" t="s">
        <v>62</v>
      </c>
      <c r="E1313" t="s">
        <v>75</v>
      </c>
      <c r="F1313" t="s">
        <v>97</v>
      </c>
      <c r="G1313" s="6">
        <v>2</v>
      </c>
      <c r="H1313" s="4">
        <v>91.15</v>
      </c>
      <c r="I1313" s="4">
        <v>53.54</v>
      </c>
      <c r="J1313" s="5">
        <v>0</v>
      </c>
      <c r="K1313" s="6">
        <v>6</v>
      </c>
      <c r="L1313" s="6">
        <v>4</v>
      </c>
      <c r="M1313" t="s">
        <v>58</v>
      </c>
      <c r="N1313" t="s">
        <v>69</v>
      </c>
      <c r="O1313" t="s">
        <v>64</v>
      </c>
      <c r="P1313" t="str">
        <f t="shared" si="140"/>
        <v>Individual</v>
      </c>
      <c r="Q1313" t="str">
        <f t="shared" si="141"/>
        <v>North</v>
      </c>
      <c r="R1313" t="str">
        <f>PROPER(TRIM(E1313))</f>
        <v>Furniture</v>
      </c>
      <c r="S1313" s="27">
        <f>IF(ISTEXT(B1313),DATEVALUE(B1313),B1313)</f>
        <v>45837</v>
      </c>
      <c r="T1313" s="27">
        <f>COUNTIF($A$2:$A$1986,A1313)</f>
        <v>1</v>
      </c>
      <c r="U1313" s="27" t="str">
        <f t="shared" si="142"/>
        <v>Side Table</v>
      </c>
      <c r="V1313" s="27">
        <f t="shared" si="143"/>
        <v>182.3</v>
      </c>
      <c r="W1313" s="27">
        <f t="shared" si="144"/>
        <v>107.08</v>
      </c>
      <c r="X1313" s="27">
        <f>RawSalesTable3[[#This Row],[Revenue]]-RawSalesTable3[[#This Row],[Total_Cost]]</f>
        <v>75.220000000000013</v>
      </c>
      <c r="Y1313" s="28">
        <f>RawSalesTable3[[#This Row],[Profit]]/RawSalesTable3[[#This Row],[Revenue]]</f>
        <v>0.41261656609983549</v>
      </c>
      <c r="Z1313" s="27" t="str">
        <f>TEXT(RawSalesTable3[[#This Row],[Order_Date_Clean]],"MMM YYYY")</f>
        <v>Jun 2025</v>
      </c>
      <c r="AA1313" s="27"/>
      <c r="AB1313" s="27">
        <f t="shared" si="145"/>
        <v>0</v>
      </c>
      <c r="AC1313" s="27">
        <f t="shared" si="146"/>
        <v>0</v>
      </c>
    </row>
    <row r="1314" spans="1:29">
      <c r="A1314" t="s">
        <v>1419</v>
      </c>
      <c r="B1314" s="3">
        <v>45796</v>
      </c>
      <c r="C1314" t="s">
        <v>54</v>
      </c>
      <c r="D1314" t="s">
        <v>62</v>
      </c>
      <c r="E1314" t="s">
        <v>56</v>
      </c>
      <c r="F1314" t="s">
        <v>57</v>
      </c>
      <c r="G1314" s="6">
        <v>2</v>
      </c>
      <c r="H1314" s="4">
        <v>110.48</v>
      </c>
      <c r="I1314" s="4">
        <v>67.62</v>
      </c>
      <c r="J1314" s="5">
        <v>0</v>
      </c>
      <c r="K1314" s="6">
        <v>4</v>
      </c>
      <c r="L1314" s="6">
        <v>4</v>
      </c>
      <c r="M1314" t="s">
        <v>58</v>
      </c>
      <c r="N1314" t="s">
        <v>59</v>
      </c>
      <c r="O1314" t="s">
        <v>60</v>
      </c>
      <c r="P1314" t="str">
        <f t="shared" si="140"/>
        <v>Individual</v>
      </c>
      <c r="Q1314" t="str">
        <f t="shared" si="141"/>
        <v>North</v>
      </c>
      <c r="R1314" t="str">
        <f>PROPER(TRIM(E1314))</f>
        <v>Home &amp; Kitchen</v>
      </c>
      <c r="S1314" s="27">
        <f>IF(ISTEXT(B1314),DATEVALUE(B1314),B1314)</f>
        <v>45796</v>
      </c>
      <c r="T1314" s="27">
        <f>COUNTIF($A$2:$A$1986,A1314)</f>
        <v>1</v>
      </c>
      <c r="U1314" s="27" t="str">
        <f t="shared" si="142"/>
        <v>Air Fryer</v>
      </c>
      <c r="V1314" s="27">
        <f t="shared" si="143"/>
        <v>220.96</v>
      </c>
      <c r="W1314" s="27">
        <f t="shared" si="144"/>
        <v>135.24</v>
      </c>
      <c r="X1314" s="27">
        <f>RawSalesTable3[[#This Row],[Revenue]]-RawSalesTable3[[#This Row],[Total_Cost]]</f>
        <v>85.72</v>
      </c>
      <c r="Y1314" s="28">
        <f>RawSalesTable3[[#This Row],[Profit]]/RawSalesTable3[[#This Row],[Revenue]]</f>
        <v>0.38794351918899345</v>
      </c>
      <c r="Z1314" s="27" t="str">
        <f>TEXT(RawSalesTable3[[#This Row],[Order_Date_Clean]],"MMM YYYY")</f>
        <v>May 2025</v>
      </c>
      <c r="AA1314" s="27"/>
      <c r="AB1314" s="27">
        <f t="shared" si="145"/>
        <v>0</v>
      </c>
      <c r="AC1314" s="27">
        <f t="shared" si="146"/>
        <v>0</v>
      </c>
    </row>
    <row r="1315" spans="1:29">
      <c r="A1315" t="s">
        <v>1420</v>
      </c>
      <c r="B1315" s="3">
        <v>45820</v>
      </c>
      <c r="C1315" t="s">
        <v>54</v>
      </c>
      <c r="D1315" t="s">
        <v>55</v>
      </c>
      <c r="E1315" t="s">
        <v>67</v>
      </c>
      <c r="F1315" t="s">
        <v>107</v>
      </c>
      <c r="G1315" s="6">
        <v>1</v>
      </c>
      <c r="H1315" s="4">
        <v>44.34</v>
      </c>
      <c r="I1315" s="4">
        <v>21.21</v>
      </c>
      <c r="J1315" s="5">
        <v>0.1</v>
      </c>
      <c r="K1315" s="6">
        <v>4</v>
      </c>
      <c r="L1315" s="6">
        <v>5</v>
      </c>
      <c r="M1315" t="s">
        <v>58</v>
      </c>
      <c r="N1315" t="s">
        <v>87</v>
      </c>
      <c r="O1315" t="s">
        <v>60</v>
      </c>
      <c r="P1315" t="str">
        <f t="shared" si="140"/>
        <v>Small Business</v>
      </c>
      <c r="Q1315" t="str">
        <f t="shared" si="141"/>
        <v>North</v>
      </c>
      <c r="R1315" t="str">
        <f>PROPER(TRIM(E1315))</f>
        <v>Office</v>
      </c>
      <c r="S1315" s="27">
        <f>IF(ISTEXT(B1315),DATEVALUE(B1315),B1315)</f>
        <v>45820</v>
      </c>
      <c r="T1315" s="27">
        <f>COUNTIF($A$2:$A$1986,A1315)</f>
        <v>1</v>
      </c>
      <c r="U1315" s="27" t="str">
        <f t="shared" si="142"/>
        <v>Laptop Stand</v>
      </c>
      <c r="V1315" s="27">
        <f t="shared" si="143"/>
        <v>39.906000000000006</v>
      </c>
      <c r="W1315" s="27">
        <f t="shared" si="144"/>
        <v>21.21</v>
      </c>
      <c r="X1315" s="27">
        <f>RawSalesTable3[[#This Row],[Revenue]]-RawSalesTable3[[#This Row],[Total_Cost]]</f>
        <v>18.696000000000005</v>
      </c>
      <c r="Y1315" s="28">
        <f>RawSalesTable3[[#This Row],[Profit]]/RawSalesTable3[[#This Row],[Revenue]]</f>
        <v>0.46850097729664719</v>
      </c>
      <c r="Z1315" s="27" t="str">
        <f>TEXT(RawSalesTable3[[#This Row],[Order_Date_Clean]],"MMM YYYY")</f>
        <v>Jun 2025</v>
      </c>
      <c r="AA1315" s="27"/>
      <c r="AB1315" s="27">
        <f t="shared" si="145"/>
        <v>0</v>
      </c>
      <c r="AC1315" s="27">
        <f t="shared" si="146"/>
        <v>0</v>
      </c>
    </row>
    <row r="1316" spans="1:29">
      <c r="A1316" t="s">
        <v>1421</v>
      </c>
      <c r="B1316" s="3">
        <v>45833</v>
      </c>
      <c r="C1316" t="s">
        <v>66</v>
      </c>
      <c r="D1316" t="s">
        <v>129</v>
      </c>
      <c r="E1316" t="s">
        <v>56</v>
      </c>
      <c r="F1316" t="s">
        <v>83</v>
      </c>
      <c r="G1316" s="6">
        <v>8</v>
      </c>
      <c r="H1316" s="4">
        <v>66.849999999999994</v>
      </c>
      <c r="I1316" s="4">
        <v>34.65</v>
      </c>
      <c r="J1316" s="5">
        <v>0.05</v>
      </c>
      <c r="K1316" s="6">
        <v>4</v>
      </c>
      <c r="L1316" s="6">
        <v>5</v>
      </c>
      <c r="M1316" t="s">
        <v>58</v>
      </c>
      <c r="N1316" t="s">
        <v>87</v>
      </c>
      <c r="O1316" t="s">
        <v>64</v>
      </c>
      <c r="P1316" t="str">
        <f t="shared" si="140"/>
        <v>Corporate</v>
      </c>
      <c r="Q1316" t="str">
        <f t="shared" si="141"/>
        <v>South</v>
      </c>
      <c r="R1316" t="str">
        <f>PROPER(TRIM(E1316))</f>
        <v>Home &amp; Kitchen</v>
      </c>
      <c r="S1316" s="27">
        <f>IF(ISTEXT(B1316),DATEVALUE(B1316),B1316)</f>
        <v>45833</v>
      </c>
      <c r="T1316" s="27">
        <f>COUNTIF($A$2:$A$1986,A1316)</f>
        <v>1</v>
      </c>
      <c r="U1316" s="27" t="str">
        <f t="shared" si="142"/>
        <v>Blender</v>
      </c>
      <c r="V1316" s="27">
        <f t="shared" si="143"/>
        <v>508.05999999999995</v>
      </c>
      <c r="W1316" s="27">
        <f t="shared" si="144"/>
        <v>277.2</v>
      </c>
      <c r="X1316" s="27">
        <f>RawSalesTable3[[#This Row],[Revenue]]-RawSalesTable3[[#This Row],[Total_Cost]]</f>
        <v>230.85999999999996</v>
      </c>
      <c r="Y1316" s="28">
        <f>RawSalesTable3[[#This Row],[Profit]]/RawSalesTable3[[#This Row],[Revenue]]</f>
        <v>0.45439515017911269</v>
      </c>
      <c r="Z1316" s="27" t="str">
        <f>TEXT(RawSalesTable3[[#This Row],[Order_Date_Clean]],"MMM YYYY")</f>
        <v>Jun 2025</v>
      </c>
      <c r="AA1316" s="27"/>
      <c r="AB1316" s="27">
        <f t="shared" si="145"/>
        <v>0</v>
      </c>
      <c r="AC1316" s="27">
        <f t="shared" si="146"/>
        <v>0</v>
      </c>
    </row>
    <row r="1317" spans="1:29">
      <c r="A1317" t="s">
        <v>1422</v>
      </c>
      <c r="B1317" s="3">
        <v>45701</v>
      </c>
      <c r="C1317" t="s">
        <v>82</v>
      </c>
      <c r="D1317" t="s">
        <v>62</v>
      </c>
      <c r="E1317" t="s">
        <v>67</v>
      </c>
      <c r="F1317" t="s">
        <v>94</v>
      </c>
      <c r="G1317" s="6">
        <v>3</v>
      </c>
      <c r="H1317" s="4">
        <v>35.04</v>
      </c>
      <c r="I1317" s="4">
        <v>16.64</v>
      </c>
      <c r="J1317" s="5">
        <v>0</v>
      </c>
      <c r="K1317" s="6">
        <v>1</v>
      </c>
      <c r="L1317" s="6">
        <v>5</v>
      </c>
      <c r="M1317" t="s">
        <v>58</v>
      </c>
      <c r="N1317" t="s">
        <v>69</v>
      </c>
      <c r="O1317" t="s">
        <v>60</v>
      </c>
      <c r="P1317" t="str">
        <f t="shared" si="140"/>
        <v>Individual</v>
      </c>
      <c r="Q1317" t="str">
        <f t="shared" si="141"/>
        <v>Midlands</v>
      </c>
      <c r="R1317" t="str">
        <f>PROPER(TRIM(E1317))</f>
        <v>Office</v>
      </c>
      <c r="S1317" s="27">
        <f>IF(ISTEXT(B1317),DATEVALUE(B1317),B1317)</f>
        <v>45701</v>
      </c>
      <c r="T1317" s="27">
        <f>COUNTIF($A$2:$A$1986,A1317)</f>
        <v>1</v>
      </c>
      <c r="U1317" s="27" t="str">
        <f t="shared" si="142"/>
        <v>Wireless Mouse</v>
      </c>
      <c r="V1317" s="27">
        <f t="shared" si="143"/>
        <v>105.12</v>
      </c>
      <c r="W1317" s="27">
        <f t="shared" si="144"/>
        <v>49.92</v>
      </c>
      <c r="X1317" s="27">
        <f>RawSalesTable3[[#This Row],[Revenue]]-RawSalesTable3[[#This Row],[Total_Cost]]</f>
        <v>55.2</v>
      </c>
      <c r="Y1317" s="28">
        <f>RawSalesTable3[[#This Row],[Profit]]/RawSalesTable3[[#This Row],[Revenue]]</f>
        <v>0.52511415525114158</v>
      </c>
      <c r="Z1317" s="27" t="str">
        <f>TEXT(RawSalesTable3[[#This Row],[Order_Date_Clean]],"MMM YYYY")</f>
        <v>Feb 2025</v>
      </c>
      <c r="AA1317" s="27"/>
      <c r="AB1317" s="27">
        <f t="shared" si="145"/>
        <v>0</v>
      </c>
      <c r="AC1317" s="27">
        <f t="shared" si="146"/>
        <v>0</v>
      </c>
    </row>
    <row r="1318" spans="1:29">
      <c r="A1318" t="s">
        <v>1423</v>
      </c>
      <c r="B1318" s="3">
        <v>45969</v>
      </c>
      <c r="C1318" t="s">
        <v>66</v>
      </c>
      <c r="D1318" t="s">
        <v>62</v>
      </c>
      <c r="E1318" t="s">
        <v>67</v>
      </c>
      <c r="F1318" t="s">
        <v>94</v>
      </c>
      <c r="G1318" s="6">
        <v>2</v>
      </c>
      <c r="H1318" s="4">
        <v>34.96</v>
      </c>
      <c r="I1318" s="4">
        <v>16.809999999999999</v>
      </c>
      <c r="J1318" s="5">
        <v>0.05</v>
      </c>
      <c r="K1318" s="6">
        <v>6</v>
      </c>
      <c r="L1318" s="6">
        <v>4</v>
      </c>
      <c r="M1318" t="s">
        <v>58</v>
      </c>
      <c r="N1318" t="s">
        <v>59</v>
      </c>
      <c r="O1318" t="s">
        <v>60</v>
      </c>
      <c r="P1318" t="str">
        <f t="shared" si="140"/>
        <v>Individual</v>
      </c>
      <c r="Q1318" t="str">
        <f t="shared" si="141"/>
        <v>South</v>
      </c>
      <c r="R1318" t="str">
        <f>PROPER(TRIM(E1318))</f>
        <v>Office</v>
      </c>
      <c r="S1318" s="27">
        <f>IF(ISTEXT(B1318),DATEVALUE(B1318),B1318)</f>
        <v>45969</v>
      </c>
      <c r="T1318" s="27">
        <f>COUNTIF($A$2:$A$1986,A1318)</f>
        <v>1</v>
      </c>
      <c r="U1318" s="27" t="str">
        <f t="shared" si="142"/>
        <v>Wireless Mouse</v>
      </c>
      <c r="V1318" s="27">
        <f t="shared" si="143"/>
        <v>66.423999999999992</v>
      </c>
      <c r="W1318" s="27">
        <f t="shared" si="144"/>
        <v>33.619999999999997</v>
      </c>
      <c r="X1318" s="27">
        <f>RawSalesTable3[[#This Row],[Revenue]]-RawSalesTable3[[#This Row],[Total_Cost]]</f>
        <v>32.803999999999995</v>
      </c>
      <c r="Y1318" s="28">
        <f>RawSalesTable3[[#This Row],[Profit]]/RawSalesTable3[[#This Row],[Revenue]]</f>
        <v>0.493857641816211</v>
      </c>
      <c r="Z1318" s="27" t="str">
        <f>TEXT(RawSalesTable3[[#This Row],[Order_Date_Clean]],"MMM YYYY")</f>
        <v>Nov 2025</v>
      </c>
      <c r="AA1318" s="27"/>
      <c r="AB1318" s="27">
        <f t="shared" si="145"/>
        <v>0</v>
      </c>
      <c r="AC1318" s="27">
        <f t="shared" si="146"/>
        <v>0</v>
      </c>
    </row>
    <row r="1319" spans="1:29">
      <c r="A1319" t="s">
        <v>1424</v>
      </c>
      <c r="B1319" s="3">
        <v>45823</v>
      </c>
      <c r="C1319" t="s">
        <v>82</v>
      </c>
      <c r="D1319" t="s">
        <v>62</v>
      </c>
      <c r="E1319" t="s">
        <v>67</v>
      </c>
      <c r="F1319" t="s">
        <v>68</v>
      </c>
      <c r="G1319" s="6">
        <v>1</v>
      </c>
      <c r="H1319" s="4">
        <v>39.28</v>
      </c>
      <c r="I1319" s="4">
        <v>19.45</v>
      </c>
      <c r="J1319" s="5">
        <v>0</v>
      </c>
      <c r="K1319" s="6">
        <v>3</v>
      </c>
      <c r="L1319" s="6">
        <v>4</v>
      </c>
      <c r="M1319" t="s">
        <v>58</v>
      </c>
      <c r="N1319" t="s">
        <v>59</v>
      </c>
      <c r="O1319" t="s">
        <v>64</v>
      </c>
      <c r="P1319" t="str">
        <f t="shared" si="140"/>
        <v>Individual</v>
      </c>
      <c r="Q1319" t="str">
        <f t="shared" si="141"/>
        <v>Midlands</v>
      </c>
      <c r="R1319" t="str">
        <f>PROPER(TRIM(E1319))</f>
        <v>Office</v>
      </c>
      <c r="S1319" s="27">
        <f>IF(ISTEXT(B1319),DATEVALUE(B1319),B1319)</f>
        <v>45823</v>
      </c>
      <c r="T1319" s="27">
        <f>COUNTIF($A$2:$A$1986,A1319)</f>
        <v>1</v>
      </c>
      <c r="U1319" s="27" t="str">
        <f t="shared" si="142"/>
        <v>Desk Lamp</v>
      </c>
      <c r="V1319" s="27">
        <f t="shared" si="143"/>
        <v>39.28</v>
      </c>
      <c r="W1319" s="27">
        <f t="shared" si="144"/>
        <v>19.45</v>
      </c>
      <c r="X1319" s="27">
        <f>RawSalesTable3[[#This Row],[Revenue]]-RawSalesTable3[[#This Row],[Total_Cost]]</f>
        <v>19.830000000000002</v>
      </c>
      <c r="Y1319" s="28">
        <f>RawSalesTable3[[#This Row],[Profit]]/RawSalesTable3[[#This Row],[Revenue]]</f>
        <v>0.50483706720977595</v>
      </c>
      <c r="Z1319" s="27" t="str">
        <f>TEXT(RawSalesTable3[[#This Row],[Order_Date_Clean]],"MMM YYYY")</f>
        <v>Jun 2025</v>
      </c>
      <c r="AA1319" s="27"/>
      <c r="AB1319" s="27">
        <f t="shared" si="145"/>
        <v>0</v>
      </c>
      <c r="AC1319" s="27">
        <f t="shared" si="146"/>
        <v>0</v>
      </c>
    </row>
    <row r="1320" spans="1:29">
      <c r="A1320" t="s">
        <v>1425</v>
      </c>
      <c r="B1320" s="3">
        <v>45852</v>
      </c>
      <c r="C1320" t="s">
        <v>78</v>
      </c>
      <c r="D1320" t="s">
        <v>55</v>
      </c>
      <c r="E1320" t="s">
        <v>79</v>
      </c>
      <c r="F1320" t="s">
        <v>80</v>
      </c>
      <c r="G1320" s="6">
        <v>1</v>
      </c>
      <c r="H1320" s="4">
        <v>73.75</v>
      </c>
      <c r="I1320" s="4">
        <v>45.02</v>
      </c>
      <c r="J1320" s="5">
        <v>0</v>
      </c>
      <c r="K1320" s="6">
        <v>2</v>
      </c>
      <c r="L1320" s="6">
        <v>5</v>
      </c>
      <c r="M1320" t="s">
        <v>58</v>
      </c>
      <c r="N1320" t="s">
        <v>59</v>
      </c>
      <c r="O1320" t="s">
        <v>64</v>
      </c>
      <c r="P1320" t="str">
        <f t="shared" si="140"/>
        <v>Small Business</v>
      </c>
      <c r="Q1320" t="str">
        <f t="shared" si="141"/>
        <v>London</v>
      </c>
      <c r="R1320" t="str">
        <f>PROPER(TRIM(E1320))</f>
        <v>Electronics</v>
      </c>
      <c r="S1320" s="27">
        <f>IF(ISTEXT(B1320),DATEVALUE(B1320),B1320)</f>
        <v>45852</v>
      </c>
      <c r="T1320" s="27">
        <f>COUNTIF($A$2:$A$1986,A1320)</f>
        <v>1</v>
      </c>
      <c r="U1320" s="27" t="str">
        <f t="shared" si="142"/>
        <v>Portable Speaker</v>
      </c>
      <c r="V1320" s="27">
        <f t="shared" si="143"/>
        <v>73.75</v>
      </c>
      <c r="W1320" s="27">
        <f t="shared" si="144"/>
        <v>45.02</v>
      </c>
      <c r="X1320" s="27">
        <f>RawSalesTable3[[#This Row],[Revenue]]-RawSalesTable3[[#This Row],[Total_Cost]]</f>
        <v>28.729999999999997</v>
      </c>
      <c r="Y1320" s="28">
        <f>RawSalesTable3[[#This Row],[Profit]]/RawSalesTable3[[#This Row],[Revenue]]</f>
        <v>0.38955932203389826</v>
      </c>
      <c r="Z1320" s="27" t="str">
        <f>TEXT(RawSalesTable3[[#This Row],[Order_Date_Clean]],"MMM YYYY")</f>
        <v>Jul 2025</v>
      </c>
      <c r="AA1320" s="27"/>
      <c r="AB1320" s="27">
        <f t="shared" si="145"/>
        <v>0</v>
      </c>
      <c r="AC1320" s="27">
        <f t="shared" si="146"/>
        <v>0</v>
      </c>
    </row>
    <row r="1321" spans="1:29">
      <c r="A1321" t="s">
        <v>1426</v>
      </c>
      <c r="B1321" s="3">
        <v>45690</v>
      </c>
      <c r="C1321" t="s">
        <v>66</v>
      </c>
      <c r="D1321" t="s">
        <v>62</v>
      </c>
      <c r="E1321" t="s">
        <v>56</v>
      </c>
      <c r="F1321" t="s">
        <v>63</v>
      </c>
      <c r="G1321" s="6">
        <v>1</v>
      </c>
      <c r="H1321" s="4">
        <v>39.380000000000003</v>
      </c>
      <c r="I1321" s="4">
        <v>20.97</v>
      </c>
      <c r="J1321" s="5">
        <v>0.1</v>
      </c>
      <c r="K1321" s="6">
        <v>1</v>
      </c>
      <c r="L1321" s="6">
        <v>3</v>
      </c>
      <c r="M1321" t="s">
        <v>126</v>
      </c>
      <c r="N1321" t="s">
        <v>59</v>
      </c>
      <c r="O1321" t="s">
        <v>64</v>
      </c>
      <c r="P1321" t="str">
        <f t="shared" si="140"/>
        <v>Individual</v>
      </c>
      <c r="Q1321" t="str">
        <f t="shared" si="141"/>
        <v>South</v>
      </c>
      <c r="R1321" t="str">
        <f>PROPER(TRIM(E1321))</f>
        <v>Home &amp; Kitchen</v>
      </c>
      <c r="S1321" s="27">
        <f>IF(ISTEXT(B1321),DATEVALUE(B1321),B1321)</f>
        <v>45690</v>
      </c>
      <c r="T1321" s="27">
        <f>COUNTIF($A$2:$A$1986,A1321)</f>
        <v>1</v>
      </c>
      <c r="U1321" s="27" t="str">
        <f t="shared" si="142"/>
        <v>Electric Kettle</v>
      </c>
      <c r="V1321" s="27">
        <f t="shared" si="143"/>
        <v>35.442</v>
      </c>
      <c r="W1321" s="27">
        <f t="shared" si="144"/>
        <v>20.97</v>
      </c>
      <c r="X1321" s="27">
        <f>RawSalesTable3[[#This Row],[Revenue]]-RawSalesTable3[[#This Row],[Total_Cost]]</f>
        <v>14.472000000000001</v>
      </c>
      <c r="Y1321" s="28">
        <f>RawSalesTable3[[#This Row],[Profit]]/RawSalesTable3[[#This Row],[Revenue]]</f>
        <v>0.40832910106653125</v>
      </c>
      <c r="Z1321" s="27" t="str">
        <f>TEXT(RawSalesTable3[[#This Row],[Order_Date_Clean]],"MMM YYYY")</f>
        <v>Feb 2025</v>
      </c>
      <c r="AA1321" s="27"/>
      <c r="AB1321" s="27">
        <f t="shared" si="145"/>
        <v>0</v>
      </c>
      <c r="AC1321" s="27">
        <f t="shared" si="146"/>
        <v>0</v>
      </c>
    </row>
    <row r="1322" spans="1:29">
      <c r="A1322" t="s">
        <v>1427</v>
      </c>
      <c r="B1322" s="3">
        <v>45964</v>
      </c>
      <c r="C1322" t="s">
        <v>66</v>
      </c>
      <c r="D1322" t="s">
        <v>62</v>
      </c>
      <c r="E1322" t="s">
        <v>79</v>
      </c>
      <c r="F1322" t="s">
        <v>85</v>
      </c>
      <c r="G1322" s="6">
        <v>2</v>
      </c>
      <c r="H1322" s="4">
        <v>131.79</v>
      </c>
      <c r="I1322" s="4">
        <v>85.95</v>
      </c>
      <c r="J1322" s="5">
        <v>0.05</v>
      </c>
      <c r="K1322" s="6">
        <v>5</v>
      </c>
      <c r="L1322" s="6">
        <v>4</v>
      </c>
      <c r="M1322" t="s">
        <v>58</v>
      </c>
      <c r="N1322" t="s">
        <v>59</v>
      </c>
      <c r="O1322" t="s">
        <v>64</v>
      </c>
      <c r="P1322" t="str">
        <f t="shared" si="140"/>
        <v>Individual</v>
      </c>
      <c r="Q1322" t="str">
        <f t="shared" si="141"/>
        <v>South</v>
      </c>
      <c r="R1322" t="str">
        <f>PROPER(TRIM(E1322))</f>
        <v>Electronics</v>
      </c>
      <c r="S1322" s="27">
        <f>IF(ISTEXT(B1322),DATEVALUE(B1322),B1322)</f>
        <v>45964</v>
      </c>
      <c r="T1322" s="27">
        <f>COUNTIF($A$2:$A$1986,A1322)</f>
        <v>1</v>
      </c>
      <c r="U1322" s="27" t="str">
        <f t="shared" si="142"/>
        <v>SmartHome Hub</v>
      </c>
      <c r="V1322" s="27">
        <f t="shared" si="143"/>
        <v>250.40099999999998</v>
      </c>
      <c r="W1322" s="27">
        <f t="shared" si="144"/>
        <v>171.9</v>
      </c>
      <c r="X1322" s="27">
        <f>RawSalesTable3[[#This Row],[Revenue]]-RawSalesTable3[[#This Row],[Total_Cost]]</f>
        <v>78.500999999999976</v>
      </c>
      <c r="Y1322" s="28">
        <f>RawSalesTable3[[#This Row],[Profit]]/RawSalesTable3[[#This Row],[Revenue]]</f>
        <v>0.31350114416475966</v>
      </c>
      <c r="Z1322" s="27" t="str">
        <f>TEXT(RawSalesTable3[[#This Row],[Order_Date_Clean]],"MMM YYYY")</f>
        <v>Nov 2025</v>
      </c>
      <c r="AA1322" s="27"/>
      <c r="AB1322" s="27">
        <f t="shared" si="145"/>
        <v>0</v>
      </c>
      <c r="AC1322" s="27">
        <f t="shared" si="146"/>
        <v>0</v>
      </c>
    </row>
    <row r="1323" spans="1:29">
      <c r="A1323" t="s">
        <v>1428</v>
      </c>
      <c r="B1323" s="3">
        <v>45743</v>
      </c>
      <c r="C1323" t="s">
        <v>82</v>
      </c>
      <c r="D1323" t="s">
        <v>62</v>
      </c>
      <c r="E1323" t="s">
        <v>75</v>
      </c>
      <c r="F1323" t="s">
        <v>76</v>
      </c>
      <c r="G1323" s="6">
        <v>3</v>
      </c>
      <c r="H1323" s="4">
        <v>121.9</v>
      </c>
      <c r="I1323" s="4">
        <v>72.95</v>
      </c>
      <c r="J1323" s="5">
        <v>0</v>
      </c>
      <c r="K1323" s="6">
        <v>4</v>
      </c>
      <c r="L1323" s="6">
        <v>4</v>
      </c>
      <c r="M1323" t="s">
        <v>58</v>
      </c>
      <c r="N1323" t="s">
        <v>59</v>
      </c>
      <c r="O1323" t="s">
        <v>64</v>
      </c>
      <c r="P1323" t="str">
        <f t="shared" si="140"/>
        <v>Individual</v>
      </c>
      <c r="Q1323" t="str">
        <f t="shared" si="141"/>
        <v>Midlands</v>
      </c>
      <c r="R1323" t="str">
        <f>PROPER(TRIM(E1323))</f>
        <v>Furniture</v>
      </c>
      <c r="S1323" s="27">
        <f>IF(ISTEXT(B1323),DATEVALUE(B1323),B1323)</f>
        <v>45743</v>
      </c>
      <c r="T1323" s="27">
        <f>COUNTIF($A$2:$A$1986,A1323)</f>
        <v>1</v>
      </c>
      <c r="U1323" s="27" t="str">
        <f t="shared" si="142"/>
        <v>Bookshelf</v>
      </c>
      <c r="V1323" s="27">
        <f t="shared" si="143"/>
        <v>365.70000000000005</v>
      </c>
      <c r="W1323" s="27">
        <f t="shared" si="144"/>
        <v>218.85000000000002</v>
      </c>
      <c r="X1323" s="27">
        <f>RawSalesTable3[[#This Row],[Revenue]]-RawSalesTable3[[#This Row],[Total_Cost]]</f>
        <v>146.85000000000002</v>
      </c>
      <c r="Y1323" s="28">
        <f>RawSalesTable3[[#This Row],[Profit]]/RawSalesTable3[[#This Row],[Revenue]]</f>
        <v>0.40155865463494667</v>
      </c>
      <c r="Z1323" s="27" t="str">
        <f>TEXT(RawSalesTable3[[#This Row],[Order_Date_Clean]],"MMM YYYY")</f>
        <v>Mar 2025</v>
      </c>
      <c r="AA1323" s="27"/>
      <c r="AB1323" s="27">
        <f t="shared" si="145"/>
        <v>0</v>
      </c>
      <c r="AC1323" s="27">
        <f t="shared" si="146"/>
        <v>0</v>
      </c>
    </row>
    <row r="1324" spans="1:29">
      <c r="A1324" t="s">
        <v>1429</v>
      </c>
      <c r="B1324" s="3">
        <v>45865</v>
      </c>
      <c r="C1324" t="s">
        <v>82</v>
      </c>
      <c r="D1324" t="s">
        <v>62</v>
      </c>
      <c r="E1324" t="s">
        <v>79</v>
      </c>
      <c r="F1324" t="s">
        <v>115</v>
      </c>
      <c r="G1324" s="6">
        <v>1</v>
      </c>
      <c r="H1324" s="4">
        <v>59.45</v>
      </c>
      <c r="I1324" s="4">
        <v>35.11</v>
      </c>
      <c r="J1324" s="5">
        <v>0.05</v>
      </c>
      <c r="K1324" s="6">
        <v>0</v>
      </c>
      <c r="L1324" s="6">
        <v>5</v>
      </c>
      <c r="M1324" t="s">
        <v>58</v>
      </c>
      <c r="N1324" t="s">
        <v>69</v>
      </c>
      <c r="O1324" t="s">
        <v>64</v>
      </c>
      <c r="P1324" t="str">
        <f t="shared" si="140"/>
        <v>Individual</v>
      </c>
      <c r="Q1324" t="str">
        <f t="shared" si="141"/>
        <v>Midlands</v>
      </c>
      <c r="R1324" t="str">
        <f>PROPER(TRIM(E1324))</f>
        <v>Electronics</v>
      </c>
      <c r="S1324" s="27">
        <f>IF(ISTEXT(B1324),DATEVALUE(B1324),B1324)</f>
        <v>45865</v>
      </c>
      <c r="T1324" s="27">
        <f>COUNTIF($A$2:$A$1986,A1324)</f>
        <v>1</v>
      </c>
      <c r="U1324" s="27" t="str">
        <f t="shared" si="142"/>
        <v>Wireless Headset</v>
      </c>
      <c r="V1324" s="27">
        <f t="shared" si="143"/>
        <v>56.477499999999999</v>
      </c>
      <c r="W1324" s="27">
        <f t="shared" si="144"/>
        <v>35.11</v>
      </c>
      <c r="X1324" s="27">
        <f>RawSalesTable3[[#This Row],[Revenue]]-RawSalesTable3[[#This Row],[Total_Cost]]</f>
        <v>21.3675</v>
      </c>
      <c r="Y1324" s="28">
        <f>RawSalesTable3[[#This Row],[Profit]]/RawSalesTable3[[#This Row],[Revenue]]</f>
        <v>0.3783365056881059</v>
      </c>
      <c r="Z1324" s="27" t="str">
        <f>TEXT(RawSalesTable3[[#This Row],[Order_Date_Clean]],"MMM YYYY")</f>
        <v>Jul 2025</v>
      </c>
      <c r="AA1324" s="27"/>
      <c r="AB1324" s="27">
        <f t="shared" si="145"/>
        <v>0</v>
      </c>
      <c r="AC1324" s="27">
        <f t="shared" si="146"/>
        <v>0</v>
      </c>
    </row>
    <row r="1325" spans="1:29">
      <c r="A1325" t="s">
        <v>1430</v>
      </c>
      <c r="B1325" s="3">
        <v>45942</v>
      </c>
      <c r="C1325" t="s">
        <v>78</v>
      </c>
      <c r="D1325" t="s">
        <v>62</v>
      </c>
      <c r="E1325" t="s">
        <v>79</v>
      </c>
      <c r="F1325" t="s">
        <v>80</v>
      </c>
      <c r="G1325" s="6">
        <v>1</v>
      </c>
      <c r="H1325" s="4">
        <v>77.72</v>
      </c>
      <c r="I1325" s="4">
        <v>42.83</v>
      </c>
      <c r="J1325" s="5">
        <v>0.05</v>
      </c>
      <c r="K1325" s="6">
        <v>3</v>
      </c>
      <c r="L1325" s="6">
        <v>5</v>
      </c>
      <c r="M1325" t="s">
        <v>58</v>
      </c>
      <c r="N1325" t="s">
        <v>59</v>
      </c>
      <c r="O1325" t="s">
        <v>64</v>
      </c>
      <c r="P1325" t="str">
        <f t="shared" si="140"/>
        <v>Individual</v>
      </c>
      <c r="Q1325" t="str">
        <f t="shared" si="141"/>
        <v>London</v>
      </c>
      <c r="R1325" t="str">
        <f>PROPER(TRIM(E1325))</f>
        <v>Electronics</v>
      </c>
      <c r="S1325" s="27">
        <f>IF(ISTEXT(B1325),DATEVALUE(B1325),B1325)</f>
        <v>45942</v>
      </c>
      <c r="T1325" s="27">
        <f>COUNTIF($A$2:$A$1986,A1325)</f>
        <v>1</v>
      </c>
      <c r="U1325" s="27" t="str">
        <f t="shared" si="142"/>
        <v>Portable Speaker</v>
      </c>
      <c r="V1325" s="27">
        <f t="shared" si="143"/>
        <v>73.833999999999989</v>
      </c>
      <c r="W1325" s="27">
        <f t="shared" si="144"/>
        <v>42.83</v>
      </c>
      <c r="X1325" s="27">
        <f>RawSalesTable3[[#This Row],[Revenue]]-RawSalesTable3[[#This Row],[Total_Cost]]</f>
        <v>31.003999999999991</v>
      </c>
      <c r="Y1325" s="28">
        <f>RawSalesTable3[[#This Row],[Profit]]/RawSalesTable3[[#This Row],[Revenue]]</f>
        <v>0.41991494433458831</v>
      </c>
      <c r="Z1325" s="27" t="str">
        <f>TEXT(RawSalesTable3[[#This Row],[Order_Date_Clean]],"MMM YYYY")</f>
        <v>Oct 2025</v>
      </c>
      <c r="AA1325" s="27"/>
      <c r="AB1325" s="27">
        <f t="shared" si="145"/>
        <v>0</v>
      </c>
      <c r="AC1325" s="27">
        <f t="shared" si="146"/>
        <v>0</v>
      </c>
    </row>
    <row r="1326" spans="1:29">
      <c r="A1326" t="s">
        <v>1431</v>
      </c>
      <c r="B1326" s="3">
        <v>46000</v>
      </c>
      <c r="C1326" t="s">
        <v>66</v>
      </c>
      <c r="D1326" t="s">
        <v>62</v>
      </c>
      <c r="E1326" t="s">
        <v>75</v>
      </c>
      <c r="F1326" t="s">
        <v>97</v>
      </c>
      <c r="G1326" s="6">
        <v>1</v>
      </c>
      <c r="H1326" s="4">
        <v>89.29</v>
      </c>
      <c r="I1326" s="4">
        <v>52.96</v>
      </c>
      <c r="J1326" s="5">
        <v>0.15000000000000002</v>
      </c>
      <c r="K1326" s="6">
        <v>8</v>
      </c>
      <c r="L1326" s="6">
        <v>4</v>
      </c>
      <c r="M1326" t="s">
        <v>58</v>
      </c>
      <c r="N1326" t="s">
        <v>59</v>
      </c>
      <c r="O1326" t="s">
        <v>64</v>
      </c>
      <c r="P1326" t="str">
        <f t="shared" si="140"/>
        <v>Individual</v>
      </c>
      <c r="Q1326" t="str">
        <f t="shared" si="141"/>
        <v>South</v>
      </c>
      <c r="R1326" t="str">
        <f>PROPER(TRIM(E1326))</f>
        <v>Furniture</v>
      </c>
      <c r="S1326" s="27">
        <f>IF(ISTEXT(B1326),DATEVALUE(B1326),B1326)</f>
        <v>46000</v>
      </c>
      <c r="T1326" s="27">
        <f>COUNTIF($A$2:$A$1986,A1326)</f>
        <v>1</v>
      </c>
      <c r="U1326" s="27" t="str">
        <f t="shared" si="142"/>
        <v>Side Table</v>
      </c>
      <c r="V1326" s="27">
        <f t="shared" si="143"/>
        <v>75.896500000000003</v>
      </c>
      <c r="W1326" s="27">
        <f t="shared" si="144"/>
        <v>52.96</v>
      </c>
      <c r="X1326" s="27">
        <f>RawSalesTable3[[#This Row],[Revenue]]-RawSalesTable3[[#This Row],[Total_Cost]]</f>
        <v>22.936500000000002</v>
      </c>
      <c r="Y1326" s="28">
        <f>RawSalesTable3[[#This Row],[Profit]]/RawSalesTable3[[#This Row],[Revenue]]</f>
        <v>0.30220761168169813</v>
      </c>
      <c r="Z1326" s="27" t="str">
        <f>TEXT(RawSalesTable3[[#This Row],[Order_Date_Clean]],"MMM YYYY")</f>
        <v>Dec 2025</v>
      </c>
      <c r="AA1326" s="27"/>
      <c r="AB1326" s="27">
        <f t="shared" si="145"/>
        <v>0</v>
      </c>
      <c r="AC1326" s="27">
        <f t="shared" si="146"/>
        <v>0</v>
      </c>
    </row>
    <row r="1327" spans="1:29">
      <c r="A1327" t="s">
        <v>1432</v>
      </c>
      <c r="B1327" s="3">
        <v>46002</v>
      </c>
      <c r="C1327" t="s">
        <v>78</v>
      </c>
      <c r="D1327" t="s">
        <v>62</v>
      </c>
      <c r="E1327" t="s">
        <v>75</v>
      </c>
      <c r="F1327" t="s">
        <v>110</v>
      </c>
      <c r="G1327" s="6">
        <v>1</v>
      </c>
      <c r="H1327" s="4">
        <v>163.72</v>
      </c>
      <c r="I1327" s="4">
        <v>100.62</v>
      </c>
      <c r="J1327" s="5">
        <v>0.05</v>
      </c>
      <c r="K1327" s="6">
        <v>4</v>
      </c>
      <c r="L1327" s="6">
        <v>4</v>
      </c>
      <c r="M1327" t="s">
        <v>58</v>
      </c>
      <c r="N1327" t="s">
        <v>69</v>
      </c>
      <c r="O1327" t="s">
        <v>73</v>
      </c>
      <c r="P1327" t="str">
        <f t="shared" si="140"/>
        <v>Individual</v>
      </c>
      <c r="Q1327" t="str">
        <f t="shared" si="141"/>
        <v>London</v>
      </c>
      <c r="R1327" t="str">
        <f>PROPER(TRIM(E1327))</f>
        <v>Furniture</v>
      </c>
      <c r="S1327" s="27">
        <f>IF(ISTEXT(B1327),DATEVALUE(B1327),B1327)</f>
        <v>46002</v>
      </c>
      <c r="T1327" s="27">
        <f>COUNTIF($A$2:$A$1986,A1327)</f>
        <v>1</v>
      </c>
      <c r="U1327" s="27" t="str">
        <f t="shared" si="142"/>
        <v>Storage Cabinet</v>
      </c>
      <c r="V1327" s="27">
        <f t="shared" si="143"/>
        <v>155.53399999999999</v>
      </c>
      <c r="W1327" s="27">
        <f t="shared" si="144"/>
        <v>100.62</v>
      </c>
      <c r="X1327" s="27">
        <f>RawSalesTable3[[#This Row],[Revenue]]-RawSalesTable3[[#This Row],[Total_Cost]]</f>
        <v>54.913999999999987</v>
      </c>
      <c r="Y1327" s="28">
        <f>RawSalesTable3[[#This Row],[Profit]]/RawSalesTable3[[#This Row],[Revenue]]</f>
        <v>0.35306749649594293</v>
      </c>
      <c r="Z1327" s="27" t="str">
        <f>TEXT(RawSalesTable3[[#This Row],[Order_Date_Clean]],"MMM YYYY")</f>
        <v>Dec 2025</v>
      </c>
      <c r="AA1327" s="27"/>
      <c r="AB1327" s="27">
        <f t="shared" si="145"/>
        <v>0</v>
      </c>
      <c r="AC1327" s="27">
        <f t="shared" si="146"/>
        <v>0</v>
      </c>
    </row>
    <row r="1328" spans="1:29">
      <c r="A1328" t="s">
        <v>1433</v>
      </c>
      <c r="B1328" s="3">
        <v>45753</v>
      </c>
      <c r="C1328" t="s">
        <v>82</v>
      </c>
      <c r="D1328" t="s">
        <v>55</v>
      </c>
      <c r="E1328" t="s">
        <v>67</v>
      </c>
      <c r="F1328" t="s">
        <v>71</v>
      </c>
      <c r="G1328" s="6">
        <v>3</v>
      </c>
      <c r="H1328" s="4">
        <v>69.39</v>
      </c>
      <c r="I1328" s="4">
        <v>39.58</v>
      </c>
      <c r="J1328" s="5">
        <v>0</v>
      </c>
      <c r="K1328" s="6">
        <v>3</v>
      </c>
      <c r="L1328" s="6">
        <v>5</v>
      </c>
      <c r="M1328" t="s">
        <v>58</v>
      </c>
      <c r="N1328" t="s">
        <v>87</v>
      </c>
      <c r="O1328" t="s">
        <v>64</v>
      </c>
      <c r="P1328" t="str">
        <f t="shared" si="140"/>
        <v>Small Business</v>
      </c>
      <c r="Q1328" t="str">
        <f t="shared" si="141"/>
        <v>Midlands</v>
      </c>
      <c r="R1328" t="str">
        <f>PROPER(TRIM(E1328))</f>
        <v>Office</v>
      </c>
      <c r="S1328" s="27">
        <f>IF(ISTEXT(B1328),DATEVALUE(B1328),B1328)</f>
        <v>45753</v>
      </c>
      <c r="T1328" s="27">
        <f>COUNTIF($A$2:$A$1986,A1328)</f>
        <v>1</v>
      </c>
      <c r="U1328" s="27" t="str">
        <f t="shared" si="142"/>
        <v>Ergonomic Keyboard</v>
      </c>
      <c r="V1328" s="27">
        <f t="shared" si="143"/>
        <v>208.17000000000002</v>
      </c>
      <c r="W1328" s="27">
        <f t="shared" si="144"/>
        <v>118.74</v>
      </c>
      <c r="X1328" s="27">
        <f>RawSalesTable3[[#This Row],[Revenue]]-RawSalesTable3[[#This Row],[Total_Cost]]</f>
        <v>89.430000000000021</v>
      </c>
      <c r="Y1328" s="28">
        <f>RawSalesTable3[[#This Row],[Profit]]/RawSalesTable3[[#This Row],[Revenue]]</f>
        <v>0.42960080703271369</v>
      </c>
      <c r="Z1328" s="27" t="str">
        <f>TEXT(RawSalesTable3[[#This Row],[Order_Date_Clean]],"MMM YYYY")</f>
        <v>Apr 2025</v>
      </c>
      <c r="AA1328" s="27"/>
      <c r="AB1328" s="27">
        <f t="shared" si="145"/>
        <v>0</v>
      </c>
      <c r="AC1328" s="27">
        <f t="shared" si="146"/>
        <v>0</v>
      </c>
    </row>
    <row r="1329" spans="1:29">
      <c r="A1329" t="s">
        <v>1434</v>
      </c>
      <c r="B1329" s="3">
        <v>45982</v>
      </c>
      <c r="C1329" t="s">
        <v>78</v>
      </c>
      <c r="D1329" t="s">
        <v>62</v>
      </c>
      <c r="E1329" t="s">
        <v>75</v>
      </c>
      <c r="F1329" t="s">
        <v>110</v>
      </c>
      <c r="G1329" s="6">
        <v>4</v>
      </c>
      <c r="H1329" s="4">
        <v>163.94</v>
      </c>
      <c r="I1329" s="4">
        <v>101.62</v>
      </c>
      <c r="J1329" s="5">
        <v>0.15000000000000002</v>
      </c>
      <c r="K1329" s="6">
        <v>6</v>
      </c>
      <c r="L1329" s="6">
        <v>4</v>
      </c>
      <c r="M1329" t="s">
        <v>58</v>
      </c>
      <c r="N1329" t="s">
        <v>59</v>
      </c>
      <c r="O1329" t="s">
        <v>64</v>
      </c>
      <c r="P1329" t="str">
        <f t="shared" si="140"/>
        <v>Individual</v>
      </c>
      <c r="Q1329" t="str">
        <f t="shared" si="141"/>
        <v>London</v>
      </c>
      <c r="R1329" t="str">
        <f>PROPER(TRIM(E1329))</f>
        <v>Furniture</v>
      </c>
      <c r="S1329" s="27">
        <f>IF(ISTEXT(B1329),DATEVALUE(B1329),B1329)</f>
        <v>45982</v>
      </c>
      <c r="T1329" s="27">
        <f>COUNTIF($A$2:$A$1986,A1329)</f>
        <v>1</v>
      </c>
      <c r="U1329" s="27" t="str">
        <f t="shared" si="142"/>
        <v>Storage Cabinet</v>
      </c>
      <c r="V1329" s="27">
        <f t="shared" si="143"/>
        <v>557.39599999999996</v>
      </c>
      <c r="W1329" s="27">
        <f t="shared" si="144"/>
        <v>406.48</v>
      </c>
      <c r="X1329" s="27">
        <f>RawSalesTable3[[#This Row],[Revenue]]-RawSalesTable3[[#This Row],[Total_Cost]]</f>
        <v>150.91599999999994</v>
      </c>
      <c r="Y1329" s="28">
        <f>RawSalesTable3[[#This Row],[Profit]]/RawSalesTable3[[#This Row],[Revenue]]</f>
        <v>0.27075185326051848</v>
      </c>
      <c r="Z1329" s="27" t="str">
        <f>TEXT(RawSalesTable3[[#This Row],[Order_Date_Clean]],"MMM YYYY")</f>
        <v>Nov 2025</v>
      </c>
      <c r="AA1329" s="27"/>
      <c r="AB1329" s="27">
        <f t="shared" si="145"/>
        <v>0</v>
      </c>
      <c r="AC1329" s="27">
        <f t="shared" si="146"/>
        <v>0</v>
      </c>
    </row>
    <row r="1330" spans="1:29">
      <c r="A1330" t="s">
        <v>1435</v>
      </c>
      <c r="B1330" s="3">
        <v>45711</v>
      </c>
      <c r="C1330" t="s">
        <v>66</v>
      </c>
      <c r="D1330" t="s">
        <v>62</v>
      </c>
      <c r="E1330" t="s">
        <v>75</v>
      </c>
      <c r="F1330" t="s">
        <v>146</v>
      </c>
      <c r="G1330" s="6">
        <v>1</v>
      </c>
      <c r="H1330" s="4">
        <v>186.65</v>
      </c>
      <c r="I1330" s="4">
        <v>115.76</v>
      </c>
      <c r="J1330" s="5">
        <v>0.05</v>
      </c>
      <c r="K1330" s="6">
        <v>5</v>
      </c>
      <c r="L1330" s="6">
        <v>3</v>
      </c>
      <c r="M1330" t="s">
        <v>126</v>
      </c>
      <c r="N1330" t="s">
        <v>87</v>
      </c>
      <c r="O1330" t="s">
        <v>60</v>
      </c>
      <c r="P1330" t="str">
        <f t="shared" si="140"/>
        <v>Individual</v>
      </c>
      <c r="Q1330" t="str">
        <f t="shared" si="141"/>
        <v>South</v>
      </c>
      <c r="R1330" t="str">
        <f>PROPER(TRIM(E1330))</f>
        <v>Furniture</v>
      </c>
      <c r="S1330" s="27">
        <f>IF(ISTEXT(B1330),DATEVALUE(B1330),B1330)</f>
        <v>45711</v>
      </c>
      <c r="T1330" s="27">
        <f>COUNTIF($A$2:$A$1986,A1330)</f>
        <v>1</v>
      </c>
      <c r="U1330" s="27" t="str">
        <f t="shared" si="142"/>
        <v>Office Chair</v>
      </c>
      <c r="V1330" s="27">
        <f t="shared" si="143"/>
        <v>177.3175</v>
      </c>
      <c r="W1330" s="27">
        <f t="shared" si="144"/>
        <v>115.76</v>
      </c>
      <c r="X1330" s="27">
        <f>RawSalesTable3[[#This Row],[Revenue]]-RawSalesTable3[[#This Row],[Total_Cost]]</f>
        <v>61.55749999999999</v>
      </c>
      <c r="Y1330" s="28">
        <f>RawSalesTable3[[#This Row],[Profit]]/RawSalesTable3[[#This Row],[Revenue]]</f>
        <v>0.34715975580526454</v>
      </c>
      <c r="Z1330" s="27" t="str">
        <f>TEXT(RawSalesTable3[[#This Row],[Order_Date_Clean]],"MMM YYYY")</f>
        <v>Feb 2025</v>
      </c>
      <c r="AA1330" s="27"/>
      <c r="AB1330" s="27">
        <f t="shared" si="145"/>
        <v>0</v>
      </c>
      <c r="AC1330" s="27">
        <f t="shared" si="146"/>
        <v>0</v>
      </c>
    </row>
    <row r="1331" spans="1:29">
      <c r="A1331" t="s">
        <v>1436</v>
      </c>
      <c r="B1331" s="3">
        <v>45785</v>
      </c>
      <c r="C1331" t="s">
        <v>82</v>
      </c>
      <c r="D1331" t="s">
        <v>62</v>
      </c>
      <c r="E1331" t="s">
        <v>79</v>
      </c>
      <c r="F1331" t="s">
        <v>115</v>
      </c>
      <c r="G1331" s="6">
        <v>1</v>
      </c>
      <c r="H1331" s="4">
        <v>61.98</v>
      </c>
      <c r="I1331" s="4">
        <v>35.6</v>
      </c>
      <c r="J1331" s="5">
        <v>0.1</v>
      </c>
      <c r="K1331" s="6">
        <v>0</v>
      </c>
      <c r="L1331" s="6">
        <v>4</v>
      </c>
      <c r="M1331" t="s">
        <v>58</v>
      </c>
      <c r="N1331" t="s">
        <v>69</v>
      </c>
      <c r="O1331" t="s">
        <v>64</v>
      </c>
      <c r="P1331" t="str">
        <f t="shared" si="140"/>
        <v>Individual</v>
      </c>
      <c r="Q1331" t="str">
        <f t="shared" si="141"/>
        <v>Midlands</v>
      </c>
      <c r="R1331" t="str">
        <f>PROPER(TRIM(E1331))</f>
        <v>Electronics</v>
      </c>
      <c r="S1331" s="27">
        <f>IF(ISTEXT(B1331),DATEVALUE(B1331),B1331)</f>
        <v>45785</v>
      </c>
      <c r="T1331" s="27">
        <f>COUNTIF($A$2:$A$1986,A1331)</f>
        <v>1</v>
      </c>
      <c r="U1331" s="27" t="str">
        <f t="shared" si="142"/>
        <v>Wireless Headset</v>
      </c>
      <c r="V1331" s="27">
        <f t="shared" si="143"/>
        <v>55.781999999999996</v>
      </c>
      <c r="W1331" s="27">
        <f t="shared" si="144"/>
        <v>35.6</v>
      </c>
      <c r="X1331" s="27">
        <f>RawSalesTable3[[#This Row],[Revenue]]-RawSalesTable3[[#This Row],[Total_Cost]]</f>
        <v>20.181999999999995</v>
      </c>
      <c r="Y1331" s="28">
        <f>RawSalesTable3[[#This Row],[Profit]]/RawSalesTable3[[#This Row],[Revenue]]</f>
        <v>0.36180129790971993</v>
      </c>
      <c r="Z1331" s="27" t="str">
        <f>TEXT(RawSalesTable3[[#This Row],[Order_Date_Clean]],"MMM YYYY")</f>
        <v>May 2025</v>
      </c>
      <c r="AA1331" s="27"/>
      <c r="AB1331" s="27">
        <f t="shared" si="145"/>
        <v>0</v>
      </c>
      <c r="AC1331" s="27">
        <f t="shared" si="146"/>
        <v>0</v>
      </c>
    </row>
    <row r="1332" spans="1:29">
      <c r="A1332" t="s">
        <v>1437</v>
      </c>
      <c r="B1332" s="3">
        <v>45704</v>
      </c>
      <c r="C1332" t="s">
        <v>82</v>
      </c>
      <c r="D1332" t="s">
        <v>62</v>
      </c>
      <c r="E1332" t="s">
        <v>79</v>
      </c>
      <c r="F1332" t="s">
        <v>92</v>
      </c>
      <c r="G1332" s="6">
        <v>2</v>
      </c>
      <c r="H1332" s="4">
        <v>49.45</v>
      </c>
      <c r="I1332" s="4">
        <v>27.24</v>
      </c>
      <c r="J1332" s="5">
        <v>0</v>
      </c>
      <c r="K1332" s="6">
        <v>3</v>
      </c>
      <c r="L1332" s="6">
        <v>5</v>
      </c>
      <c r="M1332" t="s">
        <v>58</v>
      </c>
      <c r="N1332" t="s">
        <v>59</v>
      </c>
      <c r="O1332" t="s">
        <v>64</v>
      </c>
      <c r="P1332" t="str">
        <f t="shared" si="140"/>
        <v>Individual</v>
      </c>
      <c r="Q1332" t="str">
        <f t="shared" si="141"/>
        <v>Midlands</v>
      </c>
      <c r="R1332" t="str">
        <f>PROPER(TRIM(E1332))</f>
        <v>Electronics</v>
      </c>
      <c r="S1332" s="27">
        <f>IF(ISTEXT(B1332),DATEVALUE(B1332),B1332)</f>
        <v>45704</v>
      </c>
      <c r="T1332" s="27">
        <f>COUNTIF($A$2:$A$1986,A1332)</f>
        <v>1</v>
      </c>
      <c r="U1332" s="27" t="str">
        <f t="shared" si="142"/>
        <v>Webcam</v>
      </c>
      <c r="V1332" s="27">
        <f t="shared" si="143"/>
        <v>98.9</v>
      </c>
      <c r="W1332" s="27">
        <f t="shared" si="144"/>
        <v>54.48</v>
      </c>
      <c r="X1332" s="27">
        <f>RawSalesTable3[[#This Row],[Revenue]]-RawSalesTable3[[#This Row],[Total_Cost]]</f>
        <v>44.420000000000009</v>
      </c>
      <c r="Y1332" s="28">
        <f>RawSalesTable3[[#This Row],[Profit]]/RawSalesTable3[[#This Row],[Revenue]]</f>
        <v>0.44914054600606679</v>
      </c>
      <c r="Z1332" s="27" t="str">
        <f>TEXT(RawSalesTable3[[#This Row],[Order_Date_Clean]],"MMM YYYY")</f>
        <v>Feb 2025</v>
      </c>
      <c r="AA1332" s="27"/>
      <c r="AB1332" s="27">
        <f t="shared" si="145"/>
        <v>0</v>
      </c>
      <c r="AC1332" s="27">
        <f t="shared" si="146"/>
        <v>0</v>
      </c>
    </row>
    <row r="1333" spans="1:29">
      <c r="A1333" t="s">
        <v>1438</v>
      </c>
      <c r="B1333" s="3">
        <v>45762</v>
      </c>
      <c r="C1333" t="s">
        <v>78</v>
      </c>
      <c r="D1333" t="s">
        <v>62</v>
      </c>
      <c r="E1333" t="s">
        <v>67</v>
      </c>
      <c r="F1333" t="s">
        <v>107</v>
      </c>
      <c r="G1333" s="6">
        <v>1</v>
      </c>
      <c r="H1333" s="4">
        <v>43.84</v>
      </c>
      <c r="I1333" s="4">
        <v>21.07</v>
      </c>
      <c r="J1333" s="5">
        <v>0</v>
      </c>
      <c r="K1333" s="6">
        <v>4</v>
      </c>
      <c r="L1333" s="6">
        <v>4</v>
      </c>
      <c r="M1333" t="s">
        <v>58</v>
      </c>
      <c r="N1333" t="s">
        <v>59</v>
      </c>
      <c r="O1333" t="s">
        <v>64</v>
      </c>
      <c r="P1333" t="str">
        <f t="shared" si="140"/>
        <v>Individual</v>
      </c>
      <c r="Q1333" t="str">
        <f t="shared" si="141"/>
        <v>London</v>
      </c>
      <c r="R1333" t="str">
        <f>PROPER(TRIM(E1333))</f>
        <v>Office</v>
      </c>
      <c r="S1333" s="27">
        <f>IF(ISTEXT(B1333),DATEVALUE(B1333),B1333)</f>
        <v>45762</v>
      </c>
      <c r="T1333" s="27">
        <f>COUNTIF($A$2:$A$1986,A1333)</f>
        <v>1</v>
      </c>
      <c r="U1333" s="27" t="str">
        <f t="shared" si="142"/>
        <v>Laptop Stand</v>
      </c>
      <c r="V1333" s="27">
        <f t="shared" si="143"/>
        <v>43.84</v>
      </c>
      <c r="W1333" s="27">
        <f t="shared" si="144"/>
        <v>21.07</v>
      </c>
      <c r="X1333" s="27">
        <f>RawSalesTable3[[#This Row],[Revenue]]-RawSalesTable3[[#This Row],[Total_Cost]]</f>
        <v>22.770000000000003</v>
      </c>
      <c r="Y1333" s="28">
        <f>RawSalesTable3[[#This Row],[Profit]]/RawSalesTable3[[#This Row],[Revenue]]</f>
        <v>0.51938868613138689</v>
      </c>
      <c r="Z1333" s="27" t="str">
        <f>TEXT(RawSalesTable3[[#This Row],[Order_Date_Clean]],"MMM YYYY")</f>
        <v>Apr 2025</v>
      </c>
      <c r="AA1333" s="27"/>
      <c r="AB1333" s="27">
        <f t="shared" si="145"/>
        <v>0</v>
      </c>
      <c r="AC1333" s="27">
        <f t="shared" si="146"/>
        <v>0</v>
      </c>
    </row>
    <row r="1334" spans="1:29">
      <c r="A1334" t="s">
        <v>1439</v>
      </c>
      <c r="B1334" s="3">
        <v>45985</v>
      </c>
      <c r="C1334" t="s">
        <v>66</v>
      </c>
      <c r="D1334" t="s">
        <v>62</v>
      </c>
      <c r="E1334" t="s">
        <v>75</v>
      </c>
      <c r="F1334" t="s">
        <v>97</v>
      </c>
      <c r="G1334" s="6">
        <v>1</v>
      </c>
      <c r="H1334" s="4">
        <v>90.08</v>
      </c>
      <c r="I1334" s="4">
        <v>55.48</v>
      </c>
      <c r="J1334" s="5">
        <v>0.2</v>
      </c>
      <c r="K1334" s="6">
        <v>4</v>
      </c>
      <c r="L1334" s="6">
        <v>4</v>
      </c>
      <c r="M1334" t="s">
        <v>58</v>
      </c>
      <c r="N1334" t="s">
        <v>69</v>
      </c>
      <c r="O1334" t="s">
        <v>64</v>
      </c>
      <c r="P1334" t="str">
        <f t="shared" si="140"/>
        <v>Individual</v>
      </c>
      <c r="Q1334" t="str">
        <f t="shared" si="141"/>
        <v>South</v>
      </c>
      <c r="R1334" t="str">
        <f>PROPER(TRIM(E1334))</f>
        <v>Furniture</v>
      </c>
      <c r="S1334" s="27">
        <f>IF(ISTEXT(B1334),DATEVALUE(B1334),B1334)</f>
        <v>45985</v>
      </c>
      <c r="T1334" s="27">
        <f>COUNTIF($A$2:$A$1986,A1334)</f>
        <v>1</v>
      </c>
      <c r="U1334" s="27" t="str">
        <f t="shared" si="142"/>
        <v>Side Table</v>
      </c>
      <c r="V1334" s="27">
        <f t="shared" si="143"/>
        <v>72.064000000000007</v>
      </c>
      <c r="W1334" s="27">
        <f t="shared" si="144"/>
        <v>55.48</v>
      </c>
      <c r="X1334" s="27">
        <f>RawSalesTable3[[#This Row],[Revenue]]-RawSalesTable3[[#This Row],[Total_Cost]]</f>
        <v>16.58400000000001</v>
      </c>
      <c r="Y1334" s="28">
        <f>RawSalesTable3[[#This Row],[Profit]]/RawSalesTable3[[#This Row],[Revenue]]</f>
        <v>0.23012877442273547</v>
      </c>
      <c r="Z1334" s="27" t="str">
        <f>TEXT(RawSalesTable3[[#This Row],[Order_Date_Clean]],"MMM YYYY")</f>
        <v>Nov 2025</v>
      </c>
      <c r="AA1334" s="27"/>
      <c r="AB1334" s="27">
        <f t="shared" si="145"/>
        <v>0</v>
      </c>
      <c r="AC1334" s="27">
        <f t="shared" si="146"/>
        <v>0</v>
      </c>
    </row>
    <row r="1335" spans="1:29">
      <c r="A1335" t="s">
        <v>1440</v>
      </c>
      <c r="B1335" s="3">
        <v>45958</v>
      </c>
      <c r="C1335" t="s">
        <v>78</v>
      </c>
      <c r="D1335" t="s">
        <v>129</v>
      </c>
      <c r="E1335" t="s">
        <v>56</v>
      </c>
      <c r="F1335" t="s">
        <v>83</v>
      </c>
      <c r="G1335" s="6">
        <v>8</v>
      </c>
      <c r="H1335" s="4">
        <v>66.650000000000006</v>
      </c>
      <c r="I1335" s="4">
        <v>36.53</v>
      </c>
      <c r="J1335" s="5">
        <v>0.15000000000000002</v>
      </c>
      <c r="K1335" s="6">
        <v>3</v>
      </c>
      <c r="L1335" s="6">
        <v>5</v>
      </c>
      <c r="M1335" t="s">
        <v>58</v>
      </c>
      <c r="N1335" t="s">
        <v>59</v>
      </c>
      <c r="O1335" t="s">
        <v>73</v>
      </c>
      <c r="P1335" t="str">
        <f t="shared" si="140"/>
        <v>Corporate</v>
      </c>
      <c r="Q1335" t="str">
        <f t="shared" si="141"/>
        <v>London</v>
      </c>
      <c r="R1335" t="str">
        <f>PROPER(TRIM(E1335))</f>
        <v>Home &amp; Kitchen</v>
      </c>
      <c r="S1335" s="27">
        <f>IF(ISTEXT(B1335),DATEVALUE(B1335),B1335)</f>
        <v>45958</v>
      </c>
      <c r="T1335" s="27">
        <f>COUNTIF($A$2:$A$1986,A1335)</f>
        <v>1</v>
      </c>
      <c r="U1335" s="27" t="str">
        <f t="shared" si="142"/>
        <v>Blender</v>
      </c>
      <c r="V1335" s="27">
        <f t="shared" si="143"/>
        <v>453.22</v>
      </c>
      <c r="W1335" s="27">
        <f t="shared" si="144"/>
        <v>292.24</v>
      </c>
      <c r="X1335" s="27">
        <f>RawSalesTable3[[#This Row],[Revenue]]-RawSalesTable3[[#This Row],[Total_Cost]]</f>
        <v>160.98000000000002</v>
      </c>
      <c r="Y1335" s="28">
        <f>RawSalesTable3[[#This Row],[Profit]]/RawSalesTable3[[#This Row],[Revenue]]</f>
        <v>0.35519173911124841</v>
      </c>
      <c r="Z1335" s="27" t="str">
        <f>TEXT(RawSalesTable3[[#This Row],[Order_Date_Clean]],"MMM YYYY")</f>
        <v>Oct 2025</v>
      </c>
      <c r="AA1335" s="27"/>
      <c r="AB1335" s="27">
        <f t="shared" si="145"/>
        <v>0</v>
      </c>
      <c r="AC1335" s="27">
        <f t="shared" si="146"/>
        <v>0</v>
      </c>
    </row>
    <row r="1336" spans="1:29">
      <c r="A1336" t="s">
        <v>1441</v>
      </c>
      <c r="B1336" s="3">
        <v>45719</v>
      </c>
      <c r="C1336" t="s">
        <v>54</v>
      </c>
      <c r="D1336" t="s">
        <v>62</v>
      </c>
      <c r="E1336" t="s">
        <v>79</v>
      </c>
      <c r="F1336" t="s">
        <v>80</v>
      </c>
      <c r="G1336" s="6">
        <v>1</v>
      </c>
      <c r="H1336" s="4">
        <v>76.38</v>
      </c>
      <c r="I1336" s="4">
        <v>44.06</v>
      </c>
      <c r="J1336" s="5">
        <v>0.05</v>
      </c>
      <c r="K1336" s="6">
        <v>0</v>
      </c>
      <c r="L1336" s="6">
        <v>5</v>
      </c>
      <c r="M1336" t="s">
        <v>58</v>
      </c>
      <c r="N1336" t="s">
        <v>69</v>
      </c>
      <c r="O1336" t="s">
        <v>64</v>
      </c>
      <c r="P1336" t="str">
        <f t="shared" si="140"/>
        <v>Individual</v>
      </c>
      <c r="Q1336" t="str">
        <f t="shared" si="141"/>
        <v>North</v>
      </c>
      <c r="R1336" t="str">
        <f>PROPER(TRIM(E1336))</f>
        <v>Electronics</v>
      </c>
      <c r="S1336" s="27">
        <f>IF(ISTEXT(B1336),DATEVALUE(B1336),B1336)</f>
        <v>45719</v>
      </c>
      <c r="T1336" s="27">
        <f>COUNTIF($A$2:$A$1986,A1336)</f>
        <v>1</v>
      </c>
      <c r="U1336" s="27" t="str">
        <f t="shared" si="142"/>
        <v>Portable Speaker</v>
      </c>
      <c r="V1336" s="27">
        <f t="shared" si="143"/>
        <v>72.560999999999993</v>
      </c>
      <c r="W1336" s="27">
        <f t="shared" si="144"/>
        <v>44.06</v>
      </c>
      <c r="X1336" s="27">
        <f>RawSalesTable3[[#This Row],[Revenue]]-RawSalesTable3[[#This Row],[Total_Cost]]</f>
        <v>28.500999999999991</v>
      </c>
      <c r="Y1336" s="28">
        <f>RawSalesTable3[[#This Row],[Profit]]/RawSalesTable3[[#This Row],[Revenue]]</f>
        <v>0.39278675872713981</v>
      </c>
      <c r="Z1336" s="27" t="str">
        <f>TEXT(RawSalesTable3[[#This Row],[Order_Date_Clean]],"MMM YYYY")</f>
        <v>Mar 2025</v>
      </c>
      <c r="AA1336" s="27"/>
      <c r="AB1336" s="27">
        <f t="shared" si="145"/>
        <v>0</v>
      </c>
      <c r="AC1336" s="27">
        <f t="shared" si="146"/>
        <v>0</v>
      </c>
    </row>
    <row r="1337" spans="1:29">
      <c r="A1337" t="s">
        <v>1442</v>
      </c>
      <c r="B1337" s="3">
        <v>45733</v>
      </c>
      <c r="C1337" t="s">
        <v>82</v>
      </c>
      <c r="D1337" t="s">
        <v>62</v>
      </c>
      <c r="E1337" t="s">
        <v>56</v>
      </c>
      <c r="F1337" t="s">
        <v>57</v>
      </c>
      <c r="G1337" s="6">
        <v>1</v>
      </c>
      <c r="H1337" s="4">
        <v>110.86</v>
      </c>
      <c r="I1337" s="4">
        <v>66.06</v>
      </c>
      <c r="J1337" s="5">
        <v>0</v>
      </c>
      <c r="K1337" s="6">
        <v>4</v>
      </c>
      <c r="L1337" s="6">
        <v>4</v>
      </c>
      <c r="M1337" t="s">
        <v>58</v>
      </c>
      <c r="N1337" t="s">
        <v>87</v>
      </c>
      <c r="O1337" t="s">
        <v>64</v>
      </c>
      <c r="P1337" t="str">
        <f t="shared" si="140"/>
        <v>Individual</v>
      </c>
      <c r="Q1337" t="str">
        <f t="shared" si="141"/>
        <v>Midlands</v>
      </c>
      <c r="R1337" t="str">
        <f>PROPER(TRIM(E1337))</f>
        <v>Home &amp; Kitchen</v>
      </c>
      <c r="S1337" s="27">
        <f>IF(ISTEXT(B1337),DATEVALUE(B1337),B1337)</f>
        <v>45733</v>
      </c>
      <c r="T1337" s="27">
        <f>COUNTIF($A$2:$A$1986,A1337)</f>
        <v>1</v>
      </c>
      <c r="U1337" s="27" t="str">
        <f t="shared" si="142"/>
        <v>Air Fryer</v>
      </c>
      <c r="V1337" s="27">
        <f t="shared" si="143"/>
        <v>110.86</v>
      </c>
      <c r="W1337" s="27">
        <f t="shared" si="144"/>
        <v>66.06</v>
      </c>
      <c r="X1337" s="27">
        <f>RawSalesTable3[[#This Row],[Revenue]]-RawSalesTable3[[#This Row],[Total_Cost]]</f>
        <v>44.8</v>
      </c>
      <c r="Y1337" s="28">
        <f>RawSalesTable3[[#This Row],[Profit]]/RawSalesTable3[[#This Row],[Revenue]]</f>
        <v>0.40411329604907087</v>
      </c>
      <c r="Z1337" s="27" t="str">
        <f>TEXT(RawSalesTable3[[#This Row],[Order_Date_Clean]],"MMM YYYY")</f>
        <v>Mar 2025</v>
      </c>
      <c r="AA1337" s="27"/>
      <c r="AB1337" s="27">
        <f t="shared" si="145"/>
        <v>0</v>
      </c>
      <c r="AC1337" s="27">
        <f t="shared" si="146"/>
        <v>0</v>
      </c>
    </row>
    <row r="1338" spans="1:29">
      <c r="A1338" t="s">
        <v>1443</v>
      </c>
      <c r="B1338" s="3">
        <v>45909</v>
      </c>
      <c r="C1338" t="s">
        <v>82</v>
      </c>
      <c r="E1338" t="s">
        <v>67</v>
      </c>
      <c r="F1338" t="s">
        <v>71</v>
      </c>
      <c r="G1338" s="6">
        <v>1</v>
      </c>
      <c r="H1338" s="4">
        <v>71.239999999999995</v>
      </c>
      <c r="I1338" s="4">
        <v>39.1</v>
      </c>
      <c r="J1338" s="5">
        <v>0</v>
      </c>
      <c r="K1338" s="6">
        <v>0</v>
      </c>
      <c r="L1338" s="6">
        <v>4</v>
      </c>
      <c r="M1338" t="s">
        <v>58</v>
      </c>
      <c r="N1338" t="s">
        <v>69</v>
      </c>
      <c r="O1338" t="s">
        <v>60</v>
      </c>
      <c r="P1338" t="str">
        <f t="shared" si="140"/>
        <v>Unknow</v>
      </c>
      <c r="Q1338" t="str">
        <f t="shared" si="141"/>
        <v>Midlands</v>
      </c>
      <c r="R1338" t="str">
        <f>PROPER(TRIM(E1338))</f>
        <v>Office</v>
      </c>
      <c r="S1338" s="27">
        <f>IF(ISTEXT(B1338),DATEVALUE(B1338),B1338)</f>
        <v>45909</v>
      </c>
      <c r="T1338" s="27">
        <f>COUNTIF($A$2:$A$1986,A1338)</f>
        <v>1</v>
      </c>
      <c r="U1338" s="27" t="str">
        <f t="shared" si="142"/>
        <v>Ergonomic Keyboard</v>
      </c>
      <c r="V1338" s="27">
        <f t="shared" si="143"/>
        <v>71.239999999999995</v>
      </c>
      <c r="W1338" s="27">
        <f t="shared" si="144"/>
        <v>39.1</v>
      </c>
      <c r="X1338" s="27">
        <f>RawSalesTable3[[#This Row],[Revenue]]-RawSalesTable3[[#This Row],[Total_Cost]]</f>
        <v>32.139999999999993</v>
      </c>
      <c r="Y1338" s="28">
        <f>RawSalesTable3[[#This Row],[Profit]]/RawSalesTable3[[#This Row],[Revenue]]</f>
        <v>0.45115103874227958</v>
      </c>
      <c r="Z1338" s="27" t="str">
        <f>TEXT(RawSalesTable3[[#This Row],[Order_Date_Clean]],"MMM YYYY")</f>
        <v>Sep 2025</v>
      </c>
      <c r="AA1338" s="27"/>
      <c r="AB1338" s="27">
        <f t="shared" si="145"/>
        <v>0</v>
      </c>
      <c r="AC1338" s="27">
        <f t="shared" si="146"/>
        <v>0</v>
      </c>
    </row>
    <row r="1339" spans="1:29">
      <c r="A1339" t="s">
        <v>1444</v>
      </c>
      <c r="B1339" s="3">
        <v>45792</v>
      </c>
      <c r="C1339" t="s">
        <v>54</v>
      </c>
      <c r="D1339" t="s">
        <v>55</v>
      </c>
      <c r="E1339" t="s">
        <v>75</v>
      </c>
      <c r="F1339" t="s">
        <v>110</v>
      </c>
      <c r="G1339" s="6">
        <v>4</v>
      </c>
      <c r="H1339" s="4">
        <v>161.22</v>
      </c>
      <c r="I1339" s="4">
        <v>101.41</v>
      </c>
      <c r="J1339" s="5">
        <v>0</v>
      </c>
      <c r="K1339" s="6">
        <v>3</v>
      </c>
      <c r="L1339" s="6">
        <v>5</v>
      </c>
      <c r="M1339" t="s">
        <v>58</v>
      </c>
      <c r="N1339" t="s">
        <v>59</v>
      </c>
      <c r="O1339" t="s">
        <v>60</v>
      </c>
      <c r="P1339" t="str">
        <f t="shared" si="140"/>
        <v>Small Business</v>
      </c>
      <c r="Q1339" t="str">
        <f t="shared" si="141"/>
        <v>North</v>
      </c>
      <c r="R1339" t="str">
        <f>PROPER(TRIM(E1339))</f>
        <v>Furniture</v>
      </c>
      <c r="S1339" s="27">
        <f>IF(ISTEXT(B1339),DATEVALUE(B1339),B1339)</f>
        <v>45792</v>
      </c>
      <c r="T1339" s="27">
        <f>COUNTIF($A$2:$A$1986,A1339)</f>
        <v>1</v>
      </c>
      <c r="U1339" s="27" t="str">
        <f t="shared" si="142"/>
        <v>Storage Cabinet</v>
      </c>
      <c r="V1339" s="27">
        <f t="shared" si="143"/>
        <v>644.88</v>
      </c>
      <c r="W1339" s="27">
        <f t="shared" si="144"/>
        <v>405.64</v>
      </c>
      <c r="X1339" s="27">
        <f>RawSalesTable3[[#This Row],[Revenue]]-RawSalesTable3[[#This Row],[Total_Cost]]</f>
        <v>239.24</v>
      </c>
      <c r="Y1339" s="28">
        <f>RawSalesTable3[[#This Row],[Profit]]/RawSalesTable3[[#This Row],[Revenue]]</f>
        <v>0.37098374891452673</v>
      </c>
      <c r="Z1339" s="27" t="str">
        <f>TEXT(RawSalesTable3[[#This Row],[Order_Date_Clean]],"MMM YYYY")</f>
        <v>May 2025</v>
      </c>
      <c r="AA1339" s="27"/>
      <c r="AB1339" s="27">
        <f t="shared" si="145"/>
        <v>0</v>
      </c>
      <c r="AC1339" s="27">
        <f t="shared" si="146"/>
        <v>0</v>
      </c>
    </row>
    <row r="1340" spans="1:29">
      <c r="A1340" t="s">
        <v>1445</v>
      </c>
      <c r="B1340" s="3">
        <v>45915</v>
      </c>
      <c r="C1340" t="s">
        <v>78</v>
      </c>
      <c r="D1340" t="s">
        <v>62</v>
      </c>
      <c r="E1340" t="s">
        <v>75</v>
      </c>
      <c r="F1340" t="s">
        <v>110</v>
      </c>
      <c r="G1340" s="6">
        <v>1</v>
      </c>
      <c r="H1340" s="4">
        <v>160.36000000000001</v>
      </c>
      <c r="I1340" s="4">
        <v>104.55</v>
      </c>
      <c r="J1340" s="5">
        <v>0</v>
      </c>
      <c r="K1340" s="6">
        <v>8</v>
      </c>
      <c r="L1340" s="6">
        <v>4</v>
      </c>
      <c r="M1340" t="s">
        <v>58</v>
      </c>
      <c r="N1340" t="s">
        <v>87</v>
      </c>
      <c r="O1340" t="s">
        <v>73</v>
      </c>
      <c r="P1340" t="str">
        <f t="shared" si="140"/>
        <v>Individual</v>
      </c>
      <c r="Q1340" t="str">
        <f t="shared" si="141"/>
        <v>London</v>
      </c>
      <c r="R1340" t="str">
        <f>PROPER(TRIM(E1340))</f>
        <v>Furniture</v>
      </c>
      <c r="S1340" s="27">
        <f>IF(ISTEXT(B1340),DATEVALUE(B1340),B1340)</f>
        <v>45915</v>
      </c>
      <c r="T1340" s="27">
        <f>COUNTIF($A$2:$A$1986,A1340)</f>
        <v>1</v>
      </c>
      <c r="U1340" s="27" t="str">
        <f t="shared" si="142"/>
        <v>Storage Cabinet</v>
      </c>
      <c r="V1340" s="27">
        <f t="shared" si="143"/>
        <v>160.36000000000001</v>
      </c>
      <c r="W1340" s="27">
        <f t="shared" si="144"/>
        <v>104.55</v>
      </c>
      <c r="X1340" s="27">
        <f>RawSalesTable3[[#This Row],[Revenue]]-RawSalesTable3[[#This Row],[Total_Cost]]</f>
        <v>55.810000000000016</v>
      </c>
      <c r="Y1340" s="28">
        <f>RawSalesTable3[[#This Row],[Profit]]/RawSalesTable3[[#This Row],[Revenue]]</f>
        <v>0.34802943377400858</v>
      </c>
      <c r="Z1340" s="27" t="str">
        <f>TEXT(RawSalesTable3[[#This Row],[Order_Date_Clean]],"MMM YYYY")</f>
        <v>Sep 2025</v>
      </c>
      <c r="AA1340" s="27"/>
      <c r="AB1340" s="27">
        <f t="shared" si="145"/>
        <v>0</v>
      </c>
      <c r="AC1340" s="27">
        <f t="shared" si="146"/>
        <v>0</v>
      </c>
    </row>
    <row r="1341" spans="1:29">
      <c r="A1341" t="s">
        <v>1446</v>
      </c>
      <c r="B1341" s="3">
        <v>45708</v>
      </c>
      <c r="C1341" t="s">
        <v>1447</v>
      </c>
      <c r="D1341" t="s">
        <v>62</v>
      </c>
      <c r="E1341" t="s">
        <v>67</v>
      </c>
      <c r="F1341" t="s">
        <v>71</v>
      </c>
      <c r="G1341" s="6">
        <v>3</v>
      </c>
      <c r="H1341" s="4">
        <v>72.44</v>
      </c>
      <c r="I1341" s="4">
        <v>39.880000000000003</v>
      </c>
      <c r="J1341" s="5">
        <v>0.05</v>
      </c>
      <c r="K1341" s="6">
        <v>0</v>
      </c>
      <c r="L1341" s="6">
        <v>5</v>
      </c>
      <c r="M1341" t="s">
        <v>58</v>
      </c>
      <c r="N1341" t="s">
        <v>69</v>
      </c>
      <c r="O1341" t="s">
        <v>73</v>
      </c>
      <c r="P1341" t="str">
        <f t="shared" si="140"/>
        <v>Individual</v>
      </c>
      <c r="Q1341" t="str">
        <f t="shared" si="141"/>
        <v>South</v>
      </c>
      <c r="R1341" t="str">
        <f>PROPER(TRIM(E1341))</f>
        <v>Office</v>
      </c>
      <c r="S1341" s="27">
        <f>IF(ISTEXT(B1341),DATEVALUE(B1341),B1341)</f>
        <v>45708</v>
      </c>
      <c r="T1341" s="27">
        <f>COUNTIF($A$2:$A$1986,A1341)</f>
        <v>1</v>
      </c>
      <c r="U1341" s="27" t="str">
        <f t="shared" si="142"/>
        <v>Ergonomic Keyboard</v>
      </c>
      <c r="V1341" s="27">
        <f t="shared" si="143"/>
        <v>206.45399999999998</v>
      </c>
      <c r="W1341" s="27">
        <f t="shared" si="144"/>
        <v>119.64000000000001</v>
      </c>
      <c r="X1341" s="27">
        <f>RawSalesTable3[[#This Row],[Revenue]]-RawSalesTable3[[#This Row],[Total_Cost]]</f>
        <v>86.813999999999965</v>
      </c>
      <c r="Y1341" s="28">
        <f>RawSalesTable3[[#This Row],[Profit]]/RawSalesTable3[[#This Row],[Revenue]]</f>
        <v>0.4205004504635414</v>
      </c>
      <c r="Z1341" s="27" t="str">
        <f>TEXT(RawSalesTable3[[#This Row],[Order_Date_Clean]],"MMM YYYY")</f>
        <v>Feb 2025</v>
      </c>
      <c r="AA1341" s="27"/>
      <c r="AB1341" s="27">
        <f t="shared" si="145"/>
        <v>0</v>
      </c>
      <c r="AC1341" s="27">
        <f t="shared" si="146"/>
        <v>0</v>
      </c>
    </row>
    <row r="1342" spans="1:29">
      <c r="A1342" t="s">
        <v>1448</v>
      </c>
      <c r="B1342" s="3">
        <v>45966</v>
      </c>
      <c r="C1342" t="s">
        <v>54</v>
      </c>
      <c r="D1342" t="s">
        <v>62</v>
      </c>
      <c r="E1342" t="s">
        <v>75</v>
      </c>
      <c r="F1342" t="s">
        <v>97</v>
      </c>
      <c r="G1342" s="6">
        <v>1</v>
      </c>
      <c r="H1342" s="4">
        <v>93.55</v>
      </c>
      <c r="I1342" s="4">
        <v>54.88</v>
      </c>
      <c r="J1342" s="5">
        <v>0.15000000000000002</v>
      </c>
      <c r="K1342" s="6">
        <v>5</v>
      </c>
      <c r="L1342" s="6">
        <v>5</v>
      </c>
      <c r="M1342" t="s">
        <v>58</v>
      </c>
      <c r="N1342" t="s">
        <v>59</v>
      </c>
      <c r="O1342" t="s">
        <v>73</v>
      </c>
      <c r="P1342" t="str">
        <f t="shared" si="140"/>
        <v>Individual</v>
      </c>
      <c r="Q1342" t="str">
        <f t="shared" si="141"/>
        <v>North</v>
      </c>
      <c r="R1342" t="str">
        <f>PROPER(TRIM(E1342))</f>
        <v>Furniture</v>
      </c>
      <c r="S1342" s="27">
        <f>IF(ISTEXT(B1342),DATEVALUE(B1342),B1342)</f>
        <v>45966</v>
      </c>
      <c r="T1342" s="27">
        <f>COUNTIF($A$2:$A$1986,A1342)</f>
        <v>1</v>
      </c>
      <c r="U1342" s="27" t="str">
        <f t="shared" si="142"/>
        <v>Side Table</v>
      </c>
      <c r="V1342" s="27">
        <f t="shared" si="143"/>
        <v>79.517499999999998</v>
      </c>
      <c r="W1342" s="27">
        <f t="shared" si="144"/>
        <v>54.88</v>
      </c>
      <c r="X1342" s="27">
        <f>RawSalesTable3[[#This Row],[Revenue]]-RawSalesTable3[[#This Row],[Total_Cost]]</f>
        <v>24.637499999999996</v>
      </c>
      <c r="Y1342" s="28">
        <f>RawSalesTable3[[#This Row],[Profit]]/RawSalesTable3[[#This Row],[Revenue]]</f>
        <v>0.3098374571635174</v>
      </c>
      <c r="Z1342" s="27" t="str">
        <f>TEXT(RawSalesTable3[[#This Row],[Order_Date_Clean]],"MMM YYYY")</f>
        <v>Nov 2025</v>
      </c>
      <c r="AA1342" s="27"/>
      <c r="AB1342" s="27">
        <f t="shared" si="145"/>
        <v>0</v>
      </c>
      <c r="AC1342" s="27">
        <f t="shared" si="146"/>
        <v>0</v>
      </c>
    </row>
    <row r="1343" spans="1:29">
      <c r="A1343" t="s">
        <v>1449</v>
      </c>
      <c r="B1343" s="3">
        <v>45970</v>
      </c>
      <c r="C1343" t="s">
        <v>66</v>
      </c>
      <c r="D1343" t="s">
        <v>62</v>
      </c>
      <c r="E1343" t="s">
        <v>67</v>
      </c>
      <c r="F1343" t="s">
        <v>107</v>
      </c>
      <c r="G1343" s="6">
        <v>1</v>
      </c>
      <c r="H1343" s="4">
        <v>45.68</v>
      </c>
      <c r="I1343" s="4">
        <v>21.11</v>
      </c>
      <c r="J1343" s="5">
        <v>0.15000000000000002</v>
      </c>
      <c r="K1343" s="6">
        <v>2</v>
      </c>
      <c r="L1343" s="6">
        <v>4</v>
      </c>
      <c r="M1343" t="s">
        <v>58</v>
      </c>
      <c r="N1343" t="s">
        <v>69</v>
      </c>
      <c r="O1343" t="s">
        <v>64</v>
      </c>
      <c r="P1343" t="str">
        <f t="shared" si="140"/>
        <v>Individual</v>
      </c>
      <c r="Q1343" t="str">
        <f t="shared" si="141"/>
        <v>South</v>
      </c>
      <c r="R1343" t="str">
        <f>PROPER(TRIM(E1343))</f>
        <v>Office</v>
      </c>
      <c r="S1343" s="27">
        <f>IF(ISTEXT(B1343),DATEVALUE(B1343),B1343)</f>
        <v>45970</v>
      </c>
      <c r="T1343" s="27">
        <f>COUNTIF($A$2:$A$1986,A1343)</f>
        <v>1</v>
      </c>
      <c r="U1343" s="27" t="str">
        <f t="shared" si="142"/>
        <v>Laptop Stand</v>
      </c>
      <c r="V1343" s="27">
        <f t="shared" si="143"/>
        <v>38.827999999999996</v>
      </c>
      <c r="W1343" s="27">
        <f t="shared" si="144"/>
        <v>21.11</v>
      </c>
      <c r="X1343" s="27">
        <f>RawSalesTable3[[#This Row],[Revenue]]-RawSalesTable3[[#This Row],[Total_Cost]]</f>
        <v>17.717999999999996</v>
      </c>
      <c r="Y1343" s="28">
        <f>RawSalesTable3[[#This Row],[Profit]]/RawSalesTable3[[#This Row],[Revenue]]</f>
        <v>0.45632018131245489</v>
      </c>
      <c r="Z1343" s="27" t="str">
        <f>TEXT(RawSalesTable3[[#This Row],[Order_Date_Clean]],"MMM YYYY")</f>
        <v>Nov 2025</v>
      </c>
      <c r="AA1343" s="27"/>
      <c r="AB1343" s="27">
        <f t="shared" si="145"/>
        <v>0</v>
      </c>
      <c r="AC1343" s="27">
        <f t="shared" si="146"/>
        <v>0</v>
      </c>
    </row>
    <row r="1344" spans="1:29">
      <c r="A1344" t="s">
        <v>1450</v>
      </c>
      <c r="B1344" s="3">
        <v>45971</v>
      </c>
      <c r="C1344" t="s">
        <v>54</v>
      </c>
      <c r="D1344" t="s">
        <v>62</v>
      </c>
      <c r="E1344" t="s">
        <v>56</v>
      </c>
      <c r="F1344" t="s">
        <v>89</v>
      </c>
      <c r="G1344" s="6">
        <v>2</v>
      </c>
      <c r="H1344" s="4">
        <v>81.93</v>
      </c>
      <c r="I1344" s="4">
        <v>44.46</v>
      </c>
      <c r="J1344" s="5">
        <v>0.05</v>
      </c>
      <c r="K1344" s="6">
        <v>0</v>
      </c>
      <c r="L1344" s="6">
        <v>4</v>
      </c>
      <c r="M1344" t="s">
        <v>58</v>
      </c>
      <c r="N1344" t="s">
        <v>69</v>
      </c>
      <c r="O1344" t="s">
        <v>64</v>
      </c>
      <c r="P1344" t="str">
        <f t="shared" si="140"/>
        <v>Individual</v>
      </c>
      <c r="Q1344" t="str">
        <f t="shared" si="141"/>
        <v>North</v>
      </c>
      <c r="R1344" t="str">
        <f>PROPER(TRIM(E1344))</f>
        <v>Home &amp; Kitchen</v>
      </c>
      <c r="S1344" s="27">
        <f>IF(ISTEXT(B1344),DATEVALUE(B1344),B1344)</f>
        <v>45971</v>
      </c>
      <c r="T1344" s="27">
        <f>COUNTIF($A$2:$A$1986,A1344)</f>
        <v>1</v>
      </c>
      <c r="U1344" s="27" t="str">
        <f t="shared" si="142"/>
        <v>Coffee Maker</v>
      </c>
      <c r="V1344" s="27">
        <f t="shared" si="143"/>
        <v>155.667</v>
      </c>
      <c r="W1344" s="27">
        <f t="shared" si="144"/>
        <v>88.92</v>
      </c>
      <c r="X1344" s="27">
        <f>RawSalesTable3[[#This Row],[Revenue]]-RawSalesTable3[[#This Row],[Total_Cost]]</f>
        <v>66.747</v>
      </c>
      <c r="Y1344" s="28">
        <f>RawSalesTable3[[#This Row],[Profit]]/RawSalesTable3[[#This Row],[Revenue]]</f>
        <v>0.42878066642255586</v>
      </c>
      <c r="Z1344" s="27" t="str">
        <f>TEXT(RawSalesTable3[[#This Row],[Order_Date_Clean]],"MMM YYYY")</f>
        <v>Nov 2025</v>
      </c>
      <c r="AA1344" s="27"/>
      <c r="AB1344" s="27">
        <f t="shared" si="145"/>
        <v>0</v>
      </c>
      <c r="AC1344" s="27">
        <f t="shared" si="146"/>
        <v>0</v>
      </c>
    </row>
    <row r="1345" spans="1:29">
      <c r="A1345" t="s">
        <v>1451</v>
      </c>
      <c r="B1345" s="3">
        <v>45994</v>
      </c>
      <c r="C1345" t="s">
        <v>66</v>
      </c>
      <c r="D1345" t="s">
        <v>62</v>
      </c>
      <c r="E1345" t="s">
        <v>75</v>
      </c>
      <c r="F1345" t="s">
        <v>146</v>
      </c>
      <c r="G1345" s="6">
        <v>2</v>
      </c>
      <c r="H1345" s="4">
        <v>178.5</v>
      </c>
      <c r="I1345" s="4">
        <v>117.1</v>
      </c>
      <c r="J1345" s="5">
        <v>0.1</v>
      </c>
      <c r="K1345" s="6">
        <v>3</v>
      </c>
      <c r="L1345" s="6">
        <v>4</v>
      </c>
      <c r="M1345" t="s">
        <v>58</v>
      </c>
      <c r="N1345" t="s">
        <v>69</v>
      </c>
      <c r="O1345" t="s">
        <v>64</v>
      </c>
      <c r="P1345" t="str">
        <f t="shared" si="140"/>
        <v>Individual</v>
      </c>
      <c r="Q1345" t="str">
        <f t="shared" si="141"/>
        <v>South</v>
      </c>
      <c r="R1345" t="str">
        <f>PROPER(TRIM(E1345))</f>
        <v>Furniture</v>
      </c>
      <c r="S1345" s="27">
        <f>IF(ISTEXT(B1345),DATEVALUE(B1345),B1345)</f>
        <v>45994</v>
      </c>
      <c r="T1345" s="27">
        <f>COUNTIF($A$2:$A$1986,A1345)</f>
        <v>1</v>
      </c>
      <c r="U1345" s="27" t="str">
        <f t="shared" si="142"/>
        <v>Office Chair</v>
      </c>
      <c r="V1345" s="27">
        <f t="shared" si="143"/>
        <v>321.3</v>
      </c>
      <c r="W1345" s="27">
        <f t="shared" si="144"/>
        <v>234.2</v>
      </c>
      <c r="X1345" s="27">
        <f>RawSalesTable3[[#This Row],[Revenue]]-RawSalesTable3[[#This Row],[Total_Cost]]</f>
        <v>87.100000000000023</v>
      </c>
      <c r="Y1345" s="28">
        <f>RawSalesTable3[[#This Row],[Profit]]/RawSalesTable3[[#This Row],[Revenue]]</f>
        <v>0.27108621226268292</v>
      </c>
      <c r="Z1345" s="27" t="str">
        <f>TEXT(RawSalesTable3[[#This Row],[Order_Date_Clean]],"MMM YYYY")</f>
        <v>Dec 2025</v>
      </c>
      <c r="AA1345" s="27"/>
      <c r="AB1345" s="27">
        <f t="shared" si="145"/>
        <v>0</v>
      </c>
      <c r="AC1345" s="27">
        <f t="shared" si="146"/>
        <v>0</v>
      </c>
    </row>
    <row r="1346" spans="1:29">
      <c r="A1346" t="s">
        <v>1452</v>
      </c>
      <c r="B1346" s="3">
        <v>45736</v>
      </c>
      <c r="C1346" t="s">
        <v>82</v>
      </c>
      <c r="D1346" t="s">
        <v>62</v>
      </c>
      <c r="E1346" t="s">
        <v>75</v>
      </c>
      <c r="F1346" t="s">
        <v>146</v>
      </c>
      <c r="G1346" s="6">
        <v>2</v>
      </c>
      <c r="H1346" s="4">
        <v>179.98</v>
      </c>
      <c r="I1346" s="4">
        <v>120.49</v>
      </c>
      <c r="J1346" s="5">
        <v>0</v>
      </c>
      <c r="K1346" s="6">
        <v>7</v>
      </c>
      <c r="L1346" s="6">
        <v>4</v>
      </c>
      <c r="M1346" t="s">
        <v>58</v>
      </c>
      <c r="N1346" t="s">
        <v>87</v>
      </c>
      <c r="O1346" t="s">
        <v>64</v>
      </c>
      <c r="P1346" t="str">
        <f t="shared" ref="P1346:P1409" si="147">IF(TRIM(D1346)="","Unknow",PROPER(TRIM(D1346)))</f>
        <v>Individual</v>
      </c>
      <c r="Q1346" t="str">
        <f t="shared" ref="Q1346:Q1409" si="148">IF(PROPER(TRIM(C1346))="Mid Lands","Midlands",PROPER(TRIM(C1346)))</f>
        <v>Midlands</v>
      </c>
      <c r="R1346" t="str">
        <f>PROPER(TRIM(E1346))</f>
        <v>Furniture</v>
      </c>
      <c r="S1346" s="27">
        <f>IF(ISTEXT(B1346),DATEVALUE(B1346),B1346)</f>
        <v>45736</v>
      </c>
      <c r="T1346" s="27">
        <f>COUNTIF($A$2:$A$1986,A1346)</f>
        <v>1</v>
      </c>
      <c r="U1346" s="27" t="str">
        <f t="shared" ref="U1346:U1409" si="149">TRIM(F1346)</f>
        <v>Office Chair</v>
      </c>
      <c r="V1346" s="27">
        <f t="shared" ref="V1346:V1409" si="150">G1346*H1346*(1-J1346)</f>
        <v>359.96</v>
      </c>
      <c r="W1346" s="27">
        <f t="shared" ref="W1346:W1409" si="151">G1346*I1346</f>
        <v>240.98</v>
      </c>
      <c r="X1346" s="27">
        <f>RawSalesTable3[[#This Row],[Revenue]]-RawSalesTable3[[#This Row],[Total_Cost]]</f>
        <v>118.97999999999999</v>
      </c>
      <c r="Y1346" s="28">
        <f>RawSalesTable3[[#This Row],[Profit]]/RawSalesTable3[[#This Row],[Revenue]]</f>
        <v>0.33053672630292252</v>
      </c>
      <c r="Z1346" s="27" t="str">
        <f>TEXT(RawSalesTable3[[#This Row],[Order_Date_Clean]],"MMM YYYY")</f>
        <v>Mar 2025</v>
      </c>
      <c r="AA1346" s="27"/>
      <c r="AB1346" s="27">
        <f t="shared" ref="AB1346:AB1409" si="152">SUMIF($Z:$Z,AA1346,$V:$V)</f>
        <v>0</v>
      </c>
      <c r="AC1346" s="27">
        <f t="shared" ref="AC1346:AC1409" si="153">SUMIF($Z:$Z,AA1346,$X:$X)</f>
        <v>0</v>
      </c>
    </row>
    <row r="1347" spans="1:29">
      <c r="A1347" t="s">
        <v>1453</v>
      </c>
      <c r="B1347" s="3">
        <v>45718</v>
      </c>
      <c r="C1347" t="s">
        <v>82</v>
      </c>
      <c r="D1347" t="s">
        <v>55</v>
      </c>
      <c r="E1347" t="s">
        <v>67</v>
      </c>
      <c r="F1347" t="s">
        <v>71</v>
      </c>
      <c r="G1347" s="6">
        <v>2</v>
      </c>
      <c r="H1347" s="4">
        <v>72.72</v>
      </c>
      <c r="I1347" s="4">
        <v>37.92</v>
      </c>
      <c r="J1347" s="5">
        <v>0.05</v>
      </c>
      <c r="K1347" s="6">
        <v>1</v>
      </c>
      <c r="L1347" s="6">
        <v>4</v>
      </c>
      <c r="M1347" t="s">
        <v>58</v>
      </c>
      <c r="N1347" t="s">
        <v>59</v>
      </c>
      <c r="O1347" t="s">
        <v>64</v>
      </c>
      <c r="P1347" t="str">
        <f t="shared" si="147"/>
        <v>Small Business</v>
      </c>
      <c r="Q1347" t="str">
        <f t="shared" si="148"/>
        <v>Midlands</v>
      </c>
      <c r="R1347" t="str">
        <f>PROPER(TRIM(E1347))</f>
        <v>Office</v>
      </c>
      <c r="S1347" s="27">
        <f>IF(ISTEXT(B1347),DATEVALUE(B1347),B1347)</f>
        <v>45718</v>
      </c>
      <c r="T1347" s="27">
        <f>COUNTIF($A$2:$A$1986,A1347)</f>
        <v>1</v>
      </c>
      <c r="U1347" s="27" t="str">
        <f t="shared" si="149"/>
        <v>Ergonomic Keyboard</v>
      </c>
      <c r="V1347" s="27">
        <f t="shared" si="150"/>
        <v>138.16799999999998</v>
      </c>
      <c r="W1347" s="27">
        <f t="shared" si="151"/>
        <v>75.84</v>
      </c>
      <c r="X1347" s="27">
        <f>RawSalesTable3[[#This Row],[Revenue]]-RawSalesTable3[[#This Row],[Total_Cost]]</f>
        <v>62.327999999999975</v>
      </c>
      <c r="Y1347" s="28">
        <f>RawSalesTable3[[#This Row],[Profit]]/RawSalesTable3[[#This Row],[Revenue]]</f>
        <v>0.45110300503734574</v>
      </c>
      <c r="Z1347" s="27" t="str">
        <f>TEXT(RawSalesTable3[[#This Row],[Order_Date_Clean]],"MMM YYYY")</f>
        <v>Mar 2025</v>
      </c>
      <c r="AA1347" s="27"/>
      <c r="AB1347" s="27">
        <f t="shared" si="152"/>
        <v>0</v>
      </c>
      <c r="AC1347" s="27">
        <f t="shared" si="153"/>
        <v>0</v>
      </c>
    </row>
    <row r="1348" spans="1:29">
      <c r="A1348" t="s">
        <v>1454</v>
      </c>
      <c r="B1348" s="3">
        <v>45729</v>
      </c>
      <c r="C1348" t="s">
        <v>78</v>
      </c>
      <c r="D1348" t="s">
        <v>55</v>
      </c>
      <c r="E1348" t="s">
        <v>75</v>
      </c>
      <c r="F1348" t="s">
        <v>146</v>
      </c>
      <c r="G1348" s="6">
        <v>1</v>
      </c>
      <c r="H1348" s="4">
        <v>179.23</v>
      </c>
      <c r="I1348" s="4">
        <v>114.52</v>
      </c>
      <c r="J1348" s="5">
        <v>0.05</v>
      </c>
      <c r="K1348" s="6">
        <v>6</v>
      </c>
      <c r="L1348" s="6">
        <v>4</v>
      </c>
      <c r="M1348" t="s">
        <v>58</v>
      </c>
      <c r="N1348" t="s">
        <v>59</v>
      </c>
      <c r="O1348" t="s">
        <v>64</v>
      </c>
      <c r="P1348" t="str">
        <f t="shared" si="147"/>
        <v>Small Business</v>
      </c>
      <c r="Q1348" t="str">
        <f t="shared" si="148"/>
        <v>London</v>
      </c>
      <c r="R1348" t="str">
        <f>PROPER(TRIM(E1348))</f>
        <v>Furniture</v>
      </c>
      <c r="S1348" s="27">
        <f>IF(ISTEXT(B1348),DATEVALUE(B1348),B1348)</f>
        <v>45729</v>
      </c>
      <c r="T1348" s="27">
        <f>COUNTIF($A$2:$A$1986,A1348)</f>
        <v>1</v>
      </c>
      <c r="U1348" s="27" t="str">
        <f t="shared" si="149"/>
        <v>Office Chair</v>
      </c>
      <c r="V1348" s="27">
        <f t="shared" si="150"/>
        <v>170.26849999999999</v>
      </c>
      <c r="W1348" s="27">
        <f t="shared" si="151"/>
        <v>114.52</v>
      </c>
      <c r="X1348" s="27">
        <f>RawSalesTable3[[#This Row],[Revenue]]-RawSalesTable3[[#This Row],[Total_Cost]]</f>
        <v>55.748499999999993</v>
      </c>
      <c r="Y1348" s="28">
        <f>RawSalesTable3[[#This Row],[Profit]]/RawSalesTable3[[#This Row],[Revenue]]</f>
        <v>0.32741522947579849</v>
      </c>
      <c r="Z1348" s="27" t="str">
        <f>TEXT(RawSalesTable3[[#This Row],[Order_Date_Clean]],"MMM YYYY")</f>
        <v>Mar 2025</v>
      </c>
      <c r="AA1348" s="27"/>
      <c r="AB1348" s="27">
        <f t="shared" si="152"/>
        <v>0</v>
      </c>
      <c r="AC1348" s="27">
        <f t="shared" si="153"/>
        <v>0</v>
      </c>
    </row>
    <row r="1349" spans="1:29">
      <c r="A1349" t="s">
        <v>1455</v>
      </c>
      <c r="B1349" s="3">
        <v>45962</v>
      </c>
      <c r="C1349" t="s">
        <v>54</v>
      </c>
      <c r="D1349" t="s">
        <v>62</v>
      </c>
      <c r="E1349" t="s">
        <v>75</v>
      </c>
      <c r="F1349" t="s">
        <v>97</v>
      </c>
      <c r="G1349" s="6">
        <v>1</v>
      </c>
      <c r="H1349" s="4">
        <v>89.24</v>
      </c>
      <c r="I1349" s="4">
        <v>53.96</v>
      </c>
      <c r="J1349" s="5">
        <v>0.15000000000000002</v>
      </c>
      <c r="K1349" s="6">
        <v>4</v>
      </c>
      <c r="L1349" s="6"/>
      <c r="M1349" t="s">
        <v>58</v>
      </c>
      <c r="N1349" t="s">
        <v>59</v>
      </c>
      <c r="O1349" t="s">
        <v>64</v>
      </c>
      <c r="P1349" t="str">
        <f t="shared" si="147"/>
        <v>Individual</v>
      </c>
      <c r="Q1349" t="str">
        <f t="shared" si="148"/>
        <v>North</v>
      </c>
      <c r="R1349" t="str">
        <f>PROPER(TRIM(E1349))</f>
        <v>Furniture</v>
      </c>
      <c r="S1349" s="27">
        <f>IF(ISTEXT(B1349),DATEVALUE(B1349),B1349)</f>
        <v>45962</v>
      </c>
      <c r="T1349" s="27">
        <f>COUNTIF($A$2:$A$1986,A1349)</f>
        <v>1</v>
      </c>
      <c r="U1349" s="27" t="str">
        <f t="shared" si="149"/>
        <v>Side Table</v>
      </c>
      <c r="V1349" s="27">
        <f t="shared" si="150"/>
        <v>75.853999999999999</v>
      </c>
      <c r="W1349" s="27">
        <f t="shared" si="151"/>
        <v>53.96</v>
      </c>
      <c r="X1349" s="27">
        <f>RawSalesTable3[[#This Row],[Revenue]]-RawSalesTable3[[#This Row],[Total_Cost]]</f>
        <v>21.893999999999998</v>
      </c>
      <c r="Y1349" s="28">
        <f>RawSalesTable3[[#This Row],[Profit]]/RawSalesTable3[[#This Row],[Revenue]]</f>
        <v>0.28863342737363884</v>
      </c>
      <c r="Z1349" s="27" t="str">
        <f>TEXT(RawSalesTable3[[#This Row],[Order_Date_Clean]],"MMM YYYY")</f>
        <v>Nov 2025</v>
      </c>
      <c r="AA1349" s="27"/>
      <c r="AB1349" s="27">
        <f t="shared" si="152"/>
        <v>0</v>
      </c>
      <c r="AC1349" s="27">
        <f t="shared" si="153"/>
        <v>0</v>
      </c>
    </row>
    <row r="1350" spans="1:29">
      <c r="A1350" t="s">
        <v>1456</v>
      </c>
      <c r="B1350" s="3">
        <v>45771</v>
      </c>
      <c r="C1350" t="s">
        <v>66</v>
      </c>
      <c r="D1350" t="s">
        <v>62</v>
      </c>
      <c r="E1350" t="s">
        <v>67</v>
      </c>
      <c r="F1350" t="s">
        <v>94</v>
      </c>
      <c r="G1350" s="6">
        <v>1</v>
      </c>
      <c r="H1350" s="4">
        <v>36.08</v>
      </c>
      <c r="I1350" s="4">
        <v>16.690000000000001</v>
      </c>
      <c r="J1350" s="5">
        <v>0.15000000000000002</v>
      </c>
      <c r="K1350" s="6">
        <v>1</v>
      </c>
      <c r="L1350" s="6">
        <v>5</v>
      </c>
      <c r="M1350" t="s">
        <v>58</v>
      </c>
      <c r="N1350" t="s">
        <v>69</v>
      </c>
      <c r="O1350" t="s">
        <v>64</v>
      </c>
      <c r="P1350" t="str">
        <f t="shared" si="147"/>
        <v>Individual</v>
      </c>
      <c r="Q1350" t="str">
        <f t="shared" si="148"/>
        <v>South</v>
      </c>
      <c r="R1350" t="str">
        <f>PROPER(TRIM(E1350))</f>
        <v>Office</v>
      </c>
      <c r="S1350" s="27">
        <f>IF(ISTEXT(B1350),DATEVALUE(B1350),B1350)</f>
        <v>45771</v>
      </c>
      <c r="T1350" s="27">
        <f>COUNTIF($A$2:$A$1986,A1350)</f>
        <v>1</v>
      </c>
      <c r="U1350" s="27" t="str">
        <f t="shared" si="149"/>
        <v>Wireless Mouse</v>
      </c>
      <c r="V1350" s="27">
        <f t="shared" si="150"/>
        <v>30.667999999999999</v>
      </c>
      <c r="W1350" s="27">
        <f t="shared" si="151"/>
        <v>16.690000000000001</v>
      </c>
      <c r="X1350" s="27">
        <f>RawSalesTable3[[#This Row],[Revenue]]-RawSalesTable3[[#This Row],[Total_Cost]]</f>
        <v>13.977999999999998</v>
      </c>
      <c r="Y1350" s="28">
        <f>RawSalesTable3[[#This Row],[Profit]]/RawSalesTable3[[#This Row],[Revenue]]</f>
        <v>0.45578453110734313</v>
      </c>
      <c r="Z1350" s="27" t="str">
        <f>TEXT(RawSalesTable3[[#This Row],[Order_Date_Clean]],"MMM YYYY")</f>
        <v>Apr 2025</v>
      </c>
      <c r="AA1350" s="27"/>
      <c r="AB1350" s="27">
        <f t="shared" si="152"/>
        <v>0</v>
      </c>
      <c r="AC1350" s="27">
        <f t="shared" si="153"/>
        <v>0</v>
      </c>
    </row>
    <row r="1351" spans="1:29">
      <c r="A1351" t="s">
        <v>1457</v>
      </c>
      <c r="B1351" s="3">
        <v>45729</v>
      </c>
      <c r="C1351" t="s">
        <v>78</v>
      </c>
      <c r="D1351" t="s">
        <v>62</v>
      </c>
      <c r="E1351" t="s">
        <v>67</v>
      </c>
      <c r="F1351" t="s">
        <v>94</v>
      </c>
      <c r="G1351" s="6">
        <v>1</v>
      </c>
      <c r="H1351" s="4">
        <v>34.69</v>
      </c>
      <c r="I1351" s="4">
        <v>16.88</v>
      </c>
      <c r="J1351" s="5">
        <v>0</v>
      </c>
      <c r="K1351" s="6">
        <v>5</v>
      </c>
      <c r="L1351" s="6">
        <v>5</v>
      </c>
      <c r="M1351" t="s">
        <v>58</v>
      </c>
      <c r="N1351" t="s">
        <v>59</v>
      </c>
      <c r="O1351" t="s">
        <v>64</v>
      </c>
      <c r="P1351" t="str">
        <f t="shared" si="147"/>
        <v>Individual</v>
      </c>
      <c r="Q1351" t="str">
        <f t="shared" si="148"/>
        <v>London</v>
      </c>
      <c r="R1351" t="str">
        <f>PROPER(TRIM(E1351))</f>
        <v>Office</v>
      </c>
      <c r="S1351" s="27">
        <f>IF(ISTEXT(B1351),DATEVALUE(B1351),B1351)</f>
        <v>45729</v>
      </c>
      <c r="T1351" s="27">
        <f>COUNTIF($A$2:$A$1986,A1351)</f>
        <v>1</v>
      </c>
      <c r="U1351" s="27" t="str">
        <f t="shared" si="149"/>
        <v>Wireless Mouse</v>
      </c>
      <c r="V1351" s="27">
        <f t="shared" si="150"/>
        <v>34.69</v>
      </c>
      <c r="W1351" s="27">
        <f t="shared" si="151"/>
        <v>16.88</v>
      </c>
      <c r="X1351" s="27">
        <f>RawSalesTable3[[#This Row],[Revenue]]-RawSalesTable3[[#This Row],[Total_Cost]]</f>
        <v>17.809999999999999</v>
      </c>
      <c r="Y1351" s="28">
        <f>RawSalesTable3[[#This Row],[Profit]]/RawSalesTable3[[#This Row],[Revenue]]</f>
        <v>0.51340443931968871</v>
      </c>
      <c r="Z1351" s="27" t="str">
        <f>TEXT(RawSalesTable3[[#This Row],[Order_Date_Clean]],"MMM YYYY")</f>
        <v>Mar 2025</v>
      </c>
      <c r="AA1351" s="27"/>
      <c r="AB1351" s="27">
        <f t="shared" si="152"/>
        <v>0</v>
      </c>
      <c r="AC1351" s="27">
        <f t="shared" si="153"/>
        <v>0</v>
      </c>
    </row>
    <row r="1352" spans="1:29">
      <c r="A1352" t="s">
        <v>1458</v>
      </c>
      <c r="B1352" s="3">
        <v>45925</v>
      </c>
      <c r="C1352" t="s">
        <v>54</v>
      </c>
      <c r="D1352" t="s">
        <v>55</v>
      </c>
      <c r="E1352" t="s">
        <v>79</v>
      </c>
      <c r="F1352" t="s">
        <v>85</v>
      </c>
      <c r="G1352" s="6">
        <v>2</v>
      </c>
      <c r="H1352" s="4">
        <v>134.21</v>
      </c>
      <c r="I1352" s="4">
        <v>86.79</v>
      </c>
      <c r="J1352" s="5">
        <v>0.05</v>
      </c>
      <c r="K1352" s="6">
        <v>2</v>
      </c>
      <c r="L1352" s="6">
        <v>4</v>
      </c>
      <c r="M1352" t="s">
        <v>58</v>
      </c>
      <c r="N1352" t="s">
        <v>87</v>
      </c>
      <c r="O1352" t="s">
        <v>73</v>
      </c>
      <c r="P1352" t="str">
        <f t="shared" si="147"/>
        <v>Small Business</v>
      </c>
      <c r="Q1352" t="str">
        <f t="shared" si="148"/>
        <v>North</v>
      </c>
      <c r="R1352" t="str">
        <f>PROPER(TRIM(E1352))</f>
        <v>Electronics</v>
      </c>
      <c r="S1352" s="27">
        <f>IF(ISTEXT(B1352),DATEVALUE(B1352),B1352)</f>
        <v>45925</v>
      </c>
      <c r="T1352" s="27">
        <f>COUNTIF($A$2:$A$1986,A1352)</f>
        <v>1</v>
      </c>
      <c r="U1352" s="27" t="str">
        <f t="shared" si="149"/>
        <v>SmartHome Hub</v>
      </c>
      <c r="V1352" s="27">
        <f t="shared" si="150"/>
        <v>254.999</v>
      </c>
      <c r="W1352" s="27">
        <f t="shared" si="151"/>
        <v>173.58</v>
      </c>
      <c r="X1352" s="27">
        <f>RawSalesTable3[[#This Row],[Revenue]]-RawSalesTable3[[#This Row],[Total_Cost]]</f>
        <v>81.418999999999983</v>
      </c>
      <c r="Y1352" s="28">
        <f>RawSalesTable3[[#This Row],[Profit]]/RawSalesTable3[[#This Row],[Revenue]]</f>
        <v>0.31929144820175759</v>
      </c>
      <c r="Z1352" s="27" t="str">
        <f>TEXT(RawSalesTable3[[#This Row],[Order_Date_Clean]],"MMM YYYY")</f>
        <v>Sep 2025</v>
      </c>
      <c r="AA1352" s="27"/>
      <c r="AB1352" s="27">
        <f t="shared" si="152"/>
        <v>0</v>
      </c>
      <c r="AC1352" s="27">
        <f t="shared" si="153"/>
        <v>0</v>
      </c>
    </row>
    <row r="1353" spans="1:29">
      <c r="A1353" t="s">
        <v>1459</v>
      </c>
      <c r="B1353" s="3">
        <v>45931</v>
      </c>
      <c r="C1353" t="s">
        <v>82</v>
      </c>
      <c r="D1353" t="s">
        <v>55</v>
      </c>
      <c r="E1353" t="s">
        <v>56</v>
      </c>
      <c r="F1353" t="s">
        <v>57</v>
      </c>
      <c r="G1353" s="6">
        <v>3</v>
      </c>
      <c r="H1353" s="4">
        <v>113</v>
      </c>
      <c r="I1353" s="4">
        <v>67.02</v>
      </c>
      <c r="J1353" s="5">
        <v>0</v>
      </c>
      <c r="K1353" s="6">
        <v>3</v>
      </c>
      <c r="L1353" s="6">
        <v>5</v>
      </c>
      <c r="M1353" t="s">
        <v>58</v>
      </c>
      <c r="N1353" t="s">
        <v>87</v>
      </c>
      <c r="O1353" t="s">
        <v>64</v>
      </c>
      <c r="P1353" t="str">
        <f t="shared" si="147"/>
        <v>Small Business</v>
      </c>
      <c r="Q1353" t="str">
        <f t="shared" si="148"/>
        <v>Midlands</v>
      </c>
      <c r="R1353" t="str">
        <f>PROPER(TRIM(E1353))</f>
        <v>Home &amp; Kitchen</v>
      </c>
      <c r="S1353" s="27">
        <f>IF(ISTEXT(B1353),DATEVALUE(B1353),B1353)</f>
        <v>45931</v>
      </c>
      <c r="T1353" s="27">
        <f>COUNTIF($A$2:$A$1986,A1353)</f>
        <v>1</v>
      </c>
      <c r="U1353" s="27" t="str">
        <f t="shared" si="149"/>
        <v>Air Fryer</v>
      </c>
      <c r="V1353" s="27">
        <f t="shared" si="150"/>
        <v>339</v>
      </c>
      <c r="W1353" s="27">
        <f t="shared" si="151"/>
        <v>201.06</v>
      </c>
      <c r="X1353" s="27">
        <f>RawSalesTable3[[#This Row],[Revenue]]-RawSalesTable3[[#This Row],[Total_Cost]]</f>
        <v>137.94</v>
      </c>
      <c r="Y1353" s="28">
        <f>RawSalesTable3[[#This Row],[Profit]]/RawSalesTable3[[#This Row],[Revenue]]</f>
        <v>0.40690265486725663</v>
      </c>
      <c r="Z1353" s="27" t="str">
        <f>TEXT(RawSalesTable3[[#This Row],[Order_Date_Clean]],"MMM YYYY")</f>
        <v>Oct 2025</v>
      </c>
      <c r="AA1353" s="27"/>
      <c r="AB1353" s="27">
        <f t="shared" si="152"/>
        <v>0</v>
      </c>
      <c r="AC1353" s="27">
        <f t="shared" si="153"/>
        <v>0</v>
      </c>
    </row>
    <row r="1354" spans="1:29">
      <c r="A1354" t="s">
        <v>1460</v>
      </c>
      <c r="B1354" s="3">
        <v>45735</v>
      </c>
      <c r="C1354" t="s">
        <v>54</v>
      </c>
      <c r="D1354" t="s">
        <v>62</v>
      </c>
      <c r="E1354" t="s">
        <v>75</v>
      </c>
      <c r="F1354" t="s">
        <v>110</v>
      </c>
      <c r="G1354" s="6">
        <v>4</v>
      </c>
      <c r="H1354" s="4">
        <v>164.44</v>
      </c>
      <c r="I1354" s="4">
        <v>101.69</v>
      </c>
      <c r="J1354" s="5">
        <v>0</v>
      </c>
      <c r="K1354" s="6">
        <v>1</v>
      </c>
      <c r="L1354" s="6">
        <v>5</v>
      </c>
      <c r="M1354" t="s">
        <v>58</v>
      </c>
      <c r="N1354" t="s">
        <v>69</v>
      </c>
      <c r="O1354" t="s">
        <v>60</v>
      </c>
      <c r="P1354" t="str">
        <f t="shared" si="147"/>
        <v>Individual</v>
      </c>
      <c r="Q1354" t="str">
        <f t="shared" si="148"/>
        <v>North</v>
      </c>
      <c r="R1354" t="str">
        <f>PROPER(TRIM(E1354))</f>
        <v>Furniture</v>
      </c>
      <c r="S1354" s="27">
        <f>IF(ISTEXT(B1354),DATEVALUE(B1354),B1354)</f>
        <v>45735</v>
      </c>
      <c r="T1354" s="27">
        <f>COUNTIF($A$2:$A$1986,A1354)</f>
        <v>1</v>
      </c>
      <c r="U1354" s="27" t="str">
        <f t="shared" si="149"/>
        <v>Storage Cabinet</v>
      </c>
      <c r="V1354" s="27">
        <f t="shared" si="150"/>
        <v>657.76</v>
      </c>
      <c r="W1354" s="27">
        <f t="shared" si="151"/>
        <v>406.76</v>
      </c>
      <c r="X1354" s="27">
        <f>RawSalesTable3[[#This Row],[Revenue]]-RawSalesTable3[[#This Row],[Total_Cost]]</f>
        <v>251</v>
      </c>
      <c r="Y1354" s="28">
        <f>RawSalesTable3[[#This Row],[Profit]]/RawSalesTable3[[#This Row],[Revenue]]</f>
        <v>0.38159815130138652</v>
      </c>
      <c r="Z1354" s="27" t="str">
        <f>TEXT(RawSalesTable3[[#This Row],[Order_Date_Clean]],"MMM YYYY")</f>
        <v>Mar 2025</v>
      </c>
      <c r="AA1354" s="27"/>
      <c r="AB1354" s="27">
        <f t="shared" si="152"/>
        <v>0</v>
      </c>
      <c r="AC1354" s="27">
        <f t="shared" si="153"/>
        <v>0</v>
      </c>
    </row>
    <row r="1355" spans="1:29">
      <c r="A1355" t="s">
        <v>1461</v>
      </c>
      <c r="B1355" s="3">
        <v>45858</v>
      </c>
      <c r="C1355" t="s">
        <v>54</v>
      </c>
      <c r="D1355" t="s">
        <v>62</v>
      </c>
      <c r="E1355" t="s">
        <v>67</v>
      </c>
      <c r="F1355" t="s">
        <v>94</v>
      </c>
      <c r="G1355" s="6">
        <v>3</v>
      </c>
      <c r="H1355" s="4">
        <v>36.25</v>
      </c>
      <c r="I1355" s="4">
        <v>17.62</v>
      </c>
      <c r="J1355" s="5">
        <v>0.1</v>
      </c>
      <c r="K1355" s="6">
        <v>4</v>
      </c>
      <c r="L1355" s="6">
        <v>4</v>
      </c>
      <c r="M1355" t="s">
        <v>58</v>
      </c>
      <c r="N1355" t="s">
        <v>59</v>
      </c>
      <c r="O1355" t="s">
        <v>64</v>
      </c>
      <c r="P1355" t="str">
        <f t="shared" si="147"/>
        <v>Individual</v>
      </c>
      <c r="Q1355" t="str">
        <f t="shared" si="148"/>
        <v>North</v>
      </c>
      <c r="R1355" t="str">
        <f>PROPER(TRIM(E1355))</f>
        <v>Office</v>
      </c>
      <c r="S1355" s="27">
        <f>IF(ISTEXT(B1355),DATEVALUE(B1355),B1355)</f>
        <v>45858</v>
      </c>
      <c r="T1355" s="27">
        <f>COUNTIF($A$2:$A$1986,A1355)</f>
        <v>1</v>
      </c>
      <c r="U1355" s="27" t="str">
        <f t="shared" si="149"/>
        <v>Wireless Mouse</v>
      </c>
      <c r="V1355" s="27">
        <f t="shared" si="150"/>
        <v>97.875</v>
      </c>
      <c r="W1355" s="27">
        <f t="shared" si="151"/>
        <v>52.86</v>
      </c>
      <c r="X1355" s="27">
        <f>RawSalesTable3[[#This Row],[Revenue]]-RawSalesTable3[[#This Row],[Total_Cost]]</f>
        <v>45.015000000000001</v>
      </c>
      <c r="Y1355" s="28">
        <f>RawSalesTable3[[#This Row],[Profit]]/RawSalesTable3[[#This Row],[Revenue]]</f>
        <v>0.45992337164750957</v>
      </c>
      <c r="Z1355" s="27" t="str">
        <f>TEXT(RawSalesTable3[[#This Row],[Order_Date_Clean]],"MMM YYYY")</f>
        <v>Jul 2025</v>
      </c>
      <c r="AA1355" s="27"/>
      <c r="AB1355" s="27">
        <f t="shared" si="152"/>
        <v>0</v>
      </c>
      <c r="AC1355" s="27">
        <f t="shared" si="153"/>
        <v>0</v>
      </c>
    </row>
    <row r="1356" spans="1:29">
      <c r="A1356" t="s">
        <v>1462</v>
      </c>
      <c r="B1356" s="3">
        <v>45797</v>
      </c>
      <c r="C1356" t="s">
        <v>78</v>
      </c>
      <c r="D1356" t="s">
        <v>62</v>
      </c>
      <c r="E1356" t="s">
        <v>79</v>
      </c>
      <c r="F1356" t="s">
        <v>92</v>
      </c>
      <c r="G1356" s="6">
        <v>1</v>
      </c>
      <c r="H1356" s="4">
        <v>48.99</v>
      </c>
      <c r="I1356" s="4">
        <v>26.07</v>
      </c>
      <c r="J1356" s="5">
        <v>0</v>
      </c>
      <c r="K1356" s="6">
        <v>3</v>
      </c>
      <c r="L1356" s="6">
        <v>4</v>
      </c>
      <c r="M1356" t="s">
        <v>58</v>
      </c>
      <c r="N1356" t="s">
        <v>59</v>
      </c>
      <c r="O1356" t="s">
        <v>60</v>
      </c>
      <c r="P1356" t="str">
        <f t="shared" si="147"/>
        <v>Individual</v>
      </c>
      <c r="Q1356" t="str">
        <f t="shared" si="148"/>
        <v>London</v>
      </c>
      <c r="R1356" t="str">
        <f>PROPER(TRIM(E1356))</f>
        <v>Electronics</v>
      </c>
      <c r="S1356" s="27">
        <f>IF(ISTEXT(B1356),DATEVALUE(B1356),B1356)</f>
        <v>45797</v>
      </c>
      <c r="T1356" s="27">
        <f>COUNTIF($A$2:$A$1986,A1356)</f>
        <v>1</v>
      </c>
      <c r="U1356" s="27" t="str">
        <f t="shared" si="149"/>
        <v>Webcam</v>
      </c>
      <c r="V1356" s="27">
        <f t="shared" si="150"/>
        <v>48.99</v>
      </c>
      <c r="W1356" s="27">
        <f t="shared" si="151"/>
        <v>26.07</v>
      </c>
      <c r="X1356" s="27">
        <f>RawSalesTable3[[#This Row],[Revenue]]-RawSalesTable3[[#This Row],[Total_Cost]]</f>
        <v>22.92</v>
      </c>
      <c r="Y1356" s="28">
        <f>RawSalesTable3[[#This Row],[Profit]]/RawSalesTable3[[#This Row],[Revenue]]</f>
        <v>0.46785058175137784</v>
      </c>
      <c r="Z1356" s="27" t="str">
        <f>TEXT(RawSalesTable3[[#This Row],[Order_Date_Clean]],"MMM YYYY")</f>
        <v>May 2025</v>
      </c>
      <c r="AA1356" s="27"/>
      <c r="AB1356" s="27">
        <f t="shared" si="152"/>
        <v>0</v>
      </c>
      <c r="AC1356" s="27">
        <f t="shared" si="153"/>
        <v>0</v>
      </c>
    </row>
    <row r="1357" spans="1:29">
      <c r="A1357" t="s">
        <v>1463</v>
      </c>
      <c r="B1357" s="3">
        <v>45770</v>
      </c>
      <c r="C1357" t="s">
        <v>54</v>
      </c>
      <c r="D1357" t="s">
        <v>62</v>
      </c>
      <c r="E1357" t="s">
        <v>79</v>
      </c>
      <c r="F1357" t="s">
        <v>85</v>
      </c>
      <c r="G1357" s="6">
        <v>1</v>
      </c>
      <c r="H1357" s="4">
        <v>134.41</v>
      </c>
      <c r="I1357" s="4">
        <v>83.6</v>
      </c>
      <c r="J1357" s="5">
        <v>0.05</v>
      </c>
      <c r="K1357" s="6">
        <v>4</v>
      </c>
      <c r="L1357" s="6">
        <v>4</v>
      </c>
      <c r="M1357" t="s">
        <v>58</v>
      </c>
      <c r="N1357" t="s">
        <v>59</v>
      </c>
      <c r="O1357" t="s">
        <v>60</v>
      </c>
      <c r="P1357" t="str">
        <f t="shared" si="147"/>
        <v>Individual</v>
      </c>
      <c r="Q1357" t="str">
        <f t="shared" si="148"/>
        <v>North</v>
      </c>
      <c r="R1357" t="str">
        <f>PROPER(TRIM(E1357))</f>
        <v>Electronics</v>
      </c>
      <c r="S1357" s="27">
        <f>IF(ISTEXT(B1357),DATEVALUE(B1357),B1357)</f>
        <v>45770</v>
      </c>
      <c r="T1357" s="27">
        <f>COUNTIF($A$2:$A$1986,A1357)</f>
        <v>1</v>
      </c>
      <c r="U1357" s="27" t="str">
        <f t="shared" si="149"/>
        <v>SmartHome Hub</v>
      </c>
      <c r="V1357" s="27">
        <f t="shared" si="150"/>
        <v>127.6895</v>
      </c>
      <c r="W1357" s="27">
        <f t="shared" si="151"/>
        <v>83.6</v>
      </c>
      <c r="X1357" s="27">
        <f>RawSalesTable3[[#This Row],[Revenue]]-RawSalesTable3[[#This Row],[Total_Cost]]</f>
        <v>44.089500000000001</v>
      </c>
      <c r="Y1357" s="28">
        <f>RawSalesTable3[[#This Row],[Profit]]/RawSalesTable3[[#This Row],[Revenue]]</f>
        <v>0.34528680901718622</v>
      </c>
      <c r="Z1357" s="27" t="str">
        <f>TEXT(RawSalesTable3[[#This Row],[Order_Date_Clean]],"MMM YYYY")</f>
        <v>Apr 2025</v>
      </c>
      <c r="AA1357" s="27"/>
      <c r="AB1357" s="27">
        <f t="shared" si="152"/>
        <v>0</v>
      </c>
      <c r="AC1357" s="27">
        <f t="shared" si="153"/>
        <v>0</v>
      </c>
    </row>
    <row r="1358" spans="1:29">
      <c r="A1358" t="s">
        <v>1464</v>
      </c>
      <c r="B1358" s="3">
        <v>45673</v>
      </c>
      <c r="C1358" t="s">
        <v>82</v>
      </c>
      <c r="D1358" t="s">
        <v>62</v>
      </c>
      <c r="E1358" t="s">
        <v>75</v>
      </c>
      <c r="F1358" t="s">
        <v>110</v>
      </c>
      <c r="G1358" s="6">
        <v>1</v>
      </c>
      <c r="H1358" s="4">
        <v>165.12</v>
      </c>
      <c r="I1358" s="4">
        <v>103.99</v>
      </c>
      <c r="J1358" s="5">
        <v>0.1</v>
      </c>
      <c r="K1358" s="6">
        <v>4</v>
      </c>
      <c r="L1358" s="6">
        <v>4</v>
      </c>
      <c r="M1358" t="s">
        <v>58</v>
      </c>
      <c r="N1358" t="s">
        <v>59</v>
      </c>
      <c r="O1358" t="s">
        <v>73</v>
      </c>
      <c r="P1358" t="str">
        <f t="shared" si="147"/>
        <v>Individual</v>
      </c>
      <c r="Q1358" t="str">
        <f t="shared" si="148"/>
        <v>Midlands</v>
      </c>
      <c r="R1358" t="str">
        <f>PROPER(TRIM(E1358))</f>
        <v>Furniture</v>
      </c>
      <c r="S1358" s="27">
        <f>IF(ISTEXT(B1358),DATEVALUE(B1358),B1358)</f>
        <v>45673</v>
      </c>
      <c r="T1358" s="27">
        <f>COUNTIF($A$2:$A$1986,A1358)</f>
        <v>1</v>
      </c>
      <c r="U1358" s="27" t="str">
        <f t="shared" si="149"/>
        <v>Storage Cabinet</v>
      </c>
      <c r="V1358" s="27">
        <f t="shared" si="150"/>
        <v>148.608</v>
      </c>
      <c r="W1358" s="27">
        <f t="shared" si="151"/>
        <v>103.99</v>
      </c>
      <c r="X1358" s="27">
        <f>RawSalesTable3[[#This Row],[Revenue]]-RawSalesTable3[[#This Row],[Total_Cost]]</f>
        <v>44.618000000000009</v>
      </c>
      <c r="Y1358" s="28">
        <f>RawSalesTable3[[#This Row],[Profit]]/RawSalesTable3[[#This Row],[Revenue]]</f>
        <v>0.30023955641688205</v>
      </c>
      <c r="Z1358" s="27" t="str">
        <f>TEXT(RawSalesTable3[[#This Row],[Order_Date_Clean]],"MMM YYYY")</f>
        <v>Jan 2025</v>
      </c>
      <c r="AA1358" s="27"/>
      <c r="AB1358" s="27">
        <f t="shared" si="152"/>
        <v>0</v>
      </c>
      <c r="AC1358" s="27">
        <f t="shared" si="153"/>
        <v>0</v>
      </c>
    </row>
    <row r="1359" spans="1:29">
      <c r="A1359" t="s">
        <v>1465</v>
      </c>
      <c r="B1359" s="3">
        <v>45914</v>
      </c>
      <c r="C1359" t="s">
        <v>82</v>
      </c>
      <c r="D1359" t="s">
        <v>62</v>
      </c>
      <c r="E1359" t="s">
        <v>56</v>
      </c>
      <c r="F1359" t="s">
        <v>89</v>
      </c>
      <c r="G1359" s="6">
        <v>3</v>
      </c>
      <c r="H1359" s="4">
        <v>82.3</v>
      </c>
      <c r="I1359" s="4">
        <v>44.57</v>
      </c>
      <c r="J1359" s="5">
        <v>0</v>
      </c>
      <c r="K1359" s="6">
        <v>4</v>
      </c>
      <c r="L1359" s="6">
        <v>4</v>
      </c>
      <c r="M1359" t="s">
        <v>58</v>
      </c>
      <c r="N1359" t="s">
        <v>59</v>
      </c>
      <c r="O1359" t="s">
        <v>64</v>
      </c>
      <c r="P1359" t="str">
        <f t="shared" si="147"/>
        <v>Individual</v>
      </c>
      <c r="Q1359" t="str">
        <f t="shared" si="148"/>
        <v>Midlands</v>
      </c>
      <c r="R1359" t="str">
        <f>PROPER(TRIM(E1359))</f>
        <v>Home &amp; Kitchen</v>
      </c>
      <c r="S1359" s="27">
        <f>IF(ISTEXT(B1359),DATEVALUE(B1359),B1359)</f>
        <v>45914</v>
      </c>
      <c r="T1359" s="27">
        <f>COUNTIF($A$2:$A$1986,A1359)</f>
        <v>1</v>
      </c>
      <c r="U1359" s="27" t="str">
        <f t="shared" si="149"/>
        <v>Coffee Maker</v>
      </c>
      <c r="V1359" s="27">
        <f t="shared" si="150"/>
        <v>246.89999999999998</v>
      </c>
      <c r="W1359" s="27">
        <f t="shared" si="151"/>
        <v>133.71</v>
      </c>
      <c r="X1359" s="27">
        <f>RawSalesTable3[[#This Row],[Revenue]]-RawSalesTable3[[#This Row],[Total_Cost]]</f>
        <v>113.18999999999997</v>
      </c>
      <c r="Y1359" s="28">
        <f>RawSalesTable3[[#This Row],[Profit]]/RawSalesTable3[[#This Row],[Revenue]]</f>
        <v>0.45844471445929519</v>
      </c>
      <c r="Z1359" s="27" t="str">
        <f>TEXT(RawSalesTable3[[#This Row],[Order_Date_Clean]],"MMM YYYY")</f>
        <v>Sep 2025</v>
      </c>
      <c r="AA1359" s="27"/>
      <c r="AB1359" s="27">
        <f t="shared" si="152"/>
        <v>0</v>
      </c>
      <c r="AC1359" s="27">
        <f t="shared" si="153"/>
        <v>0</v>
      </c>
    </row>
    <row r="1360" spans="1:29">
      <c r="A1360" t="s">
        <v>1466</v>
      </c>
      <c r="B1360" s="3">
        <v>45812</v>
      </c>
      <c r="C1360" t="s">
        <v>78</v>
      </c>
      <c r="D1360" t="s">
        <v>62</v>
      </c>
      <c r="E1360" t="s">
        <v>56</v>
      </c>
      <c r="F1360" t="s">
        <v>89</v>
      </c>
      <c r="G1360" s="6">
        <v>1</v>
      </c>
      <c r="H1360" s="4">
        <v>80.55</v>
      </c>
      <c r="I1360" s="4">
        <v>45.45</v>
      </c>
      <c r="J1360" s="5">
        <v>0.05</v>
      </c>
      <c r="K1360" s="6">
        <v>4</v>
      </c>
      <c r="L1360" s="6">
        <v>5</v>
      </c>
      <c r="M1360" t="s">
        <v>58</v>
      </c>
      <c r="N1360" t="s">
        <v>59</v>
      </c>
      <c r="O1360" t="s">
        <v>64</v>
      </c>
      <c r="P1360" t="str">
        <f t="shared" si="147"/>
        <v>Individual</v>
      </c>
      <c r="Q1360" t="str">
        <f t="shared" si="148"/>
        <v>London</v>
      </c>
      <c r="R1360" t="str">
        <f>PROPER(TRIM(E1360))</f>
        <v>Home &amp; Kitchen</v>
      </c>
      <c r="S1360" s="27">
        <f>IF(ISTEXT(B1360),DATEVALUE(B1360),B1360)</f>
        <v>45812</v>
      </c>
      <c r="T1360" s="27">
        <f>COUNTIF($A$2:$A$1986,A1360)</f>
        <v>1</v>
      </c>
      <c r="U1360" s="27" t="str">
        <f t="shared" si="149"/>
        <v>Coffee Maker</v>
      </c>
      <c r="V1360" s="27">
        <f t="shared" si="150"/>
        <v>76.522499999999994</v>
      </c>
      <c r="W1360" s="27">
        <f t="shared" si="151"/>
        <v>45.45</v>
      </c>
      <c r="X1360" s="27">
        <f>RawSalesTable3[[#This Row],[Revenue]]-RawSalesTable3[[#This Row],[Total_Cost]]</f>
        <v>31.072499999999991</v>
      </c>
      <c r="Y1360" s="28">
        <f>RawSalesTable3[[#This Row],[Profit]]/RawSalesTable3[[#This Row],[Revenue]]</f>
        <v>0.40605704204645682</v>
      </c>
      <c r="Z1360" s="27" t="str">
        <f>TEXT(RawSalesTable3[[#This Row],[Order_Date_Clean]],"MMM YYYY")</f>
        <v>Jun 2025</v>
      </c>
      <c r="AA1360" s="27"/>
      <c r="AB1360" s="27">
        <f t="shared" si="152"/>
        <v>0</v>
      </c>
      <c r="AC1360" s="27">
        <f t="shared" si="153"/>
        <v>0</v>
      </c>
    </row>
    <row r="1361" spans="1:29">
      <c r="A1361" t="s">
        <v>1467</v>
      </c>
      <c r="B1361" s="3">
        <v>45820</v>
      </c>
      <c r="C1361" t="s">
        <v>66</v>
      </c>
      <c r="D1361" t="s">
        <v>62</v>
      </c>
      <c r="E1361" t="s">
        <v>79</v>
      </c>
      <c r="F1361" t="s">
        <v>85</v>
      </c>
      <c r="G1361" s="6">
        <v>3</v>
      </c>
      <c r="H1361" s="4">
        <v>130.44999999999999</v>
      </c>
      <c r="I1361" s="4">
        <v>86.17</v>
      </c>
      <c r="J1361" s="5">
        <v>0</v>
      </c>
      <c r="K1361" s="6">
        <v>6</v>
      </c>
      <c r="L1361" s="6">
        <v>4</v>
      </c>
      <c r="M1361" t="s">
        <v>58</v>
      </c>
      <c r="N1361" t="s">
        <v>59</v>
      </c>
      <c r="O1361" t="s">
        <v>64</v>
      </c>
      <c r="P1361" t="str">
        <f t="shared" si="147"/>
        <v>Individual</v>
      </c>
      <c r="Q1361" t="str">
        <f t="shared" si="148"/>
        <v>South</v>
      </c>
      <c r="R1361" t="str">
        <f>PROPER(TRIM(E1361))</f>
        <v>Electronics</v>
      </c>
      <c r="S1361" s="27">
        <f>IF(ISTEXT(B1361),DATEVALUE(B1361),B1361)</f>
        <v>45820</v>
      </c>
      <c r="T1361" s="27">
        <f>COUNTIF($A$2:$A$1986,A1361)</f>
        <v>1</v>
      </c>
      <c r="U1361" s="27" t="str">
        <f t="shared" si="149"/>
        <v>SmartHome Hub</v>
      </c>
      <c r="V1361" s="27">
        <f t="shared" si="150"/>
        <v>391.34999999999997</v>
      </c>
      <c r="W1361" s="27">
        <f t="shared" si="151"/>
        <v>258.51</v>
      </c>
      <c r="X1361" s="27">
        <f>RawSalesTable3[[#This Row],[Revenue]]-RawSalesTable3[[#This Row],[Total_Cost]]</f>
        <v>132.83999999999997</v>
      </c>
      <c r="Y1361" s="28">
        <f>RawSalesTable3[[#This Row],[Profit]]/RawSalesTable3[[#This Row],[Revenue]]</f>
        <v>0.33944039862016095</v>
      </c>
      <c r="Z1361" s="27" t="str">
        <f>TEXT(RawSalesTable3[[#This Row],[Order_Date_Clean]],"MMM YYYY")</f>
        <v>Jun 2025</v>
      </c>
      <c r="AA1361" s="27"/>
      <c r="AB1361" s="27">
        <f t="shared" si="152"/>
        <v>0</v>
      </c>
      <c r="AC1361" s="27">
        <f t="shared" si="153"/>
        <v>0</v>
      </c>
    </row>
    <row r="1362" spans="1:29">
      <c r="A1362" t="s">
        <v>1468</v>
      </c>
      <c r="B1362" s="3">
        <v>45897</v>
      </c>
      <c r="C1362" t="s">
        <v>78</v>
      </c>
      <c r="D1362" t="s">
        <v>55</v>
      </c>
      <c r="E1362" t="s">
        <v>79</v>
      </c>
      <c r="F1362" t="s">
        <v>92</v>
      </c>
      <c r="G1362" s="6">
        <v>2</v>
      </c>
      <c r="H1362" s="4">
        <v>51.53</v>
      </c>
      <c r="I1362" s="4">
        <v>27.26</v>
      </c>
      <c r="J1362" s="5">
        <v>0.1</v>
      </c>
      <c r="K1362" s="6">
        <v>0</v>
      </c>
      <c r="L1362" s="6">
        <v>5</v>
      </c>
      <c r="M1362" t="s">
        <v>58</v>
      </c>
      <c r="N1362" t="s">
        <v>69</v>
      </c>
      <c r="O1362" t="s">
        <v>60</v>
      </c>
      <c r="P1362" t="str">
        <f t="shared" si="147"/>
        <v>Small Business</v>
      </c>
      <c r="Q1362" t="str">
        <f t="shared" si="148"/>
        <v>London</v>
      </c>
      <c r="R1362" t="str">
        <f>PROPER(TRIM(E1362))</f>
        <v>Electronics</v>
      </c>
      <c r="S1362" s="27">
        <f>IF(ISTEXT(B1362),DATEVALUE(B1362),B1362)</f>
        <v>45897</v>
      </c>
      <c r="T1362" s="27">
        <f>COUNTIF($A$2:$A$1986,A1362)</f>
        <v>1</v>
      </c>
      <c r="U1362" s="27" t="str">
        <f t="shared" si="149"/>
        <v>Webcam</v>
      </c>
      <c r="V1362" s="27">
        <f t="shared" si="150"/>
        <v>92.754000000000005</v>
      </c>
      <c r="W1362" s="27">
        <f t="shared" si="151"/>
        <v>54.52</v>
      </c>
      <c r="X1362" s="27">
        <f>RawSalesTable3[[#This Row],[Revenue]]-RawSalesTable3[[#This Row],[Total_Cost]]</f>
        <v>38.234000000000002</v>
      </c>
      <c r="Y1362" s="28">
        <f>RawSalesTable3[[#This Row],[Profit]]/RawSalesTable3[[#This Row],[Revenue]]</f>
        <v>0.41220863790240853</v>
      </c>
      <c r="Z1362" s="27" t="str">
        <f>TEXT(RawSalesTable3[[#This Row],[Order_Date_Clean]],"MMM YYYY")</f>
        <v>Aug 2025</v>
      </c>
      <c r="AA1362" s="27"/>
      <c r="AB1362" s="27">
        <f t="shared" si="152"/>
        <v>0</v>
      </c>
      <c r="AC1362" s="27">
        <f t="shared" si="153"/>
        <v>0</v>
      </c>
    </row>
    <row r="1363" spans="1:29">
      <c r="A1363" t="s">
        <v>1469</v>
      </c>
      <c r="B1363" s="3">
        <v>45986</v>
      </c>
      <c r="C1363" t="s">
        <v>54</v>
      </c>
      <c r="D1363" t="s">
        <v>55</v>
      </c>
      <c r="E1363" t="s">
        <v>79</v>
      </c>
      <c r="F1363" t="s">
        <v>80</v>
      </c>
      <c r="G1363" s="6">
        <v>1</v>
      </c>
      <c r="H1363" s="4">
        <v>76.28</v>
      </c>
      <c r="I1363" s="4">
        <v>42.91</v>
      </c>
      <c r="J1363" s="5">
        <v>0.15000000000000002</v>
      </c>
      <c r="K1363" s="6">
        <v>3</v>
      </c>
      <c r="L1363" s="6">
        <v>5</v>
      </c>
      <c r="M1363" t="s">
        <v>58</v>
      </c>
      <c r="N1363" t="s">
        <v>59</v>
      </c>
      <c r="O1363" t="s">
        <v>64</v>
      </c>
      <c r="P1363" t="str">
        <f t="shared" si="147"/>
        <v>Small Business</v>
      </c>
      <c r="Q1363" t="str">
        <f t="shared" si="148"/>
        <v>North</v>
      </c>
      <c r="R1363" t="str">
        <f>PROPER(TRIM(E1363))</f>
        <v>Electronics</v>
      </c>
      <c r="S1363" s="27">
        <f>IF(ISTEXT(B1363),DATEVALUE(B1363),B1363)</f>
        <v>45986</v>
      </c>
      <c r="T1363" s="27">
        <f>COUNTIF($A$2:$A$1986,A1363)</f>
        <v>1</v>
      </c>
      <c r="U1363" s="27" t="str">
        <f t="shared" si="149"/>
        <v>Portable Speaker</v>
      </c>
      <c r="V1363" s="27">
        <f t="shared" si="150"/>
        <v>64.837999999999994</v>
      </c>
      <c r="W1363" s="27">
        <f t="shared" si="151"/>
        <v>42.91</v>
      </c>
      <c r="X1363" s="27">
        <f>RawSalesTable3[[#This Row],[Revenue]]-RawSalesTable3[[#This Row],[Total_Cost]]</f>
        <v>21.927999999999997</v>
      </c>
      <c r="Y1363" s="28">
        <f>RawSalesTable3[[#This Row],[Profit]]/RawSalesTable3[[#This Row],[Revenue]]</f>
        <v>0.33819673648169285</v>
      </c>
      <c r="Z1363" s="27" t="str">
        <f>TEXT(RawSalesTable3[[#This Row],[Order_Date_Clean]],"MMM YYYY")</f>
        <v>Nov 2025</v>
      </c>
      <c r="AA1363" s="27"/>
      <c r="AB1363" s="27">
        <f t="shared" si="152"/>
        <v>0</v>
      </c>
      <c r="AC1363" s="27">
        <f t="shared" si="153"/>
        <v>0</v>
      </c>
    </row>
    <row r="1364" spans="1:29">
      <c r="A1364" t="s">
        <v>1470</v>
      </c>
      <c r="B1364" s="3">
        <v>45791</v>
      </c>
      <c r="C1364" t="s">
        <v>54</v>
      </c>
      <c r="D1364" t="s">
        <v>55</v>
      </c>
      <c r="E1364" t="s">
        <v>67</v>
      </c>
      <c r="F1364" t="s">
        <v>68</v>
      </c>
      <c r="G1364" s="6">
        <v>3</v>
      </c>
      <c r="H1364" s="4">
        <v>41.3</v>
      </c>
      <c r="I1364" s="4">
        <v>19.149999999999999</v>
      </c>
      <c r="J1364" s="5">
        <v>0.1</v>
      </c>
      <c r="K1364" s="6">
        <v>0</v>
      </c>
      <c r="L1364" s="6">
        <v>4</v>
      </c>
      <c r="M1364" t="s">
        <v>58</v>
      </c>
      <c r="N1364" t="s">
        <v>69</v>
      </c>
      <c r="O1364" t="s">
        <v>64</v>
      </c>
      <c r="P1364" t="str">
        <f t="shared" si="147"/>
        <v>Small Business</v>
      </c>
      <c r="Q1364" t="str">
        <f t="shared" si="148"/>
        <v>North</v>
      </c>
      <c r="R1364" t="str">
        <f>PROPER(TRIM(E1364))</f>
        <v>Office</v>
      </c>
      <c r="S1364" s="27">
        <f>IF(ISTEXT(B1364),DATEVALUE(B1364),B1364)</f>
        <v>45791</v>
      </c>
      <c r="T1364" s="27">
        <f>COUNTIF($A$2:$A$1986,A1364)</f>
        <v>1</v>
      </c>
      <c r="U1364" s="27" t="str">
        <f t="shared" si="149"/>
        <v>Desk Lamp</v>
      </c>
      <c r="V1364" s="27">
        <f t="shared" si="150"/>
        <v>111.50999999999999</v>
      </c>
      <c r="W1364" s="27">
        <f t="shared" si="151"/>
        <v>57.449999999999996</v>
      </c>
      <c r="X1364" s="27">
        <f>RawSalesTable3[[#This Row],[Revenue]]-RawSalesTable3[[#This Row],[Total_Cost]]</f>
        <v>54.059999999999995</v>
      </c>
      <c r="Y1364" s="28">
        <f>RawSalesTable3[[#This Row],[Profit]]/RawSalesTable3[[#This Row],[Revenue]]</f>
        <v>0.48479956954533227</v>
      </c>
      <c r="Z1364" s="27" t="str">
        <f>TEXT(RawSalesTable3[[#This Row],[Order_Date_Clean]],"MMM YYYY")</f>
        <v>May 2025</v>
      </c>
      <c r="AA1364" s="27"/>
      <c r="AB1364" s="27">
        <f t="shared" si="152"/>
        <v>0</v>
      </c>
      <c r="AC1364" s="27">
        <f t="shared" si="153"/>
        <v>0</v>
      </c>
    </row>
    <row r="1365" spans="1:29">
      <c r="A1365" t="s">
        <v>1471</v>
      </c>
      <c r="B1365" s="3">
        <v>45921</v>
      </c>
      <c r="C1365" t="s">
        <v>78</v>
      </c>
      <c r="D1365" t="s">
        <v>55</v>
      </c>
      <c r="E1365" t="s">
        <v>79</v>
      </c>
      <c r="F1365" t="s">
        <v>92</v>
      </c>
      <c r="G1365" s="6">
        <v>2</v>
      </c>
      <c r="H1365" s="4">
        <v>48.57</v>
      </c>
      <c r="I1365" s="4">
        <v>25.88</v>
      </c>
      <c r="J1365" s="5">
        <v>0.05</v>
      </c>
      <c r="K1365" s="6">
        <v>0</v>
      </c>
      <c r="L1365" s="6">
        <v>4</v>
      </c>
      <c r="M1365" t="s">
        <v>58</v>
      </c>
      <c r="N1365" t="s">
        <v>69</v>
      </c>
      <c r="O1365" t="s">
        <v>60</v>
      </c>
      <c r="P1365" t="str">
        <f t="shared" si="147"/>
        <v>Small Business</v>
      </c>
      <c r="Q1365" t="str">
        <f t="shared" si="148"/>
        <v>London</v>
      </c>
      <c r="R1365" t="str">
        <f>PROPER(TRIM(E1365))</f>
        <v>Electronics</v>
      </c>
      <c r="S1365" s="27">
        <f>IF(ISTEXT(B1365),DATEVALUE(B1365),B1365)</f>
        <v>45921</v>
      </c>
      <c r="T1365" s="27">
        <f>COUNTIF($A$2:$A$1986,A1365)</f>
        <v>1</v>
      </c>
      <c r="U1365" s="27" t="str">
        <f t="shared" si="149"/>
        <v>Webcam</v>
      </c>
      <c r="V1365" s="27">
        <f t="shared" si="150"/>
        <v>92.283000000000001</v>
      </c>
      <c r="W1365" s="27">
        <f t="shared" si="151"/>
        <v>51.76</v>
      </c>
      <c r="X1365" s="27">
        <f>RawSalesTable3[[#This Row],[Revenue]]-RawSalesTable3[[#This Row],[Total_Cost]]</f>
        <v>40.523000000000003</v>
      </c>
      <c r="Y1365" s="28">
        <f>RawSalesTable3[[#This Row],[Profit]]/RawSalesTable3[[#This Row],[Revenue]]</f>
        <v>0.43911663036528942</v>
      </c>
      <c r="Z1365" s="27" t="str">
        <f>TEXT(RawSalesTable3[[#This Row],[Order_Date_Clean]],"MMM YYYY")</f>
        <v>Sep 2025</v>
      </c>
      <c r="AA1365" s="27"/>
      <c r="AB1365" s="27">
        <f t="shared" si="152"/>
        <v>0</v>
      </c>
      <c r="AC1365" s="27">
        <f t="shared" si="153"/>
        <v>0</v>
      </c>
    </row>
    <row r="1366" spans="1:29">
      <c r="A1366" t="s">
        <v>1472</v>
      </c>
      <c r="B1366" s="3">
        <v>45801</v>
      </c>
      <c r="C1366" t="s">
        <v>78</v>
      </c>
      <c r="D1366" t="s">
        <v>62</v>
      </c>
      <c r="E1366" t="s">
        <v>79</v>
      </c>
      <c r="F1366" t="s">
        <v>115</v>
      </c>
      <c r="G1366" s="6">
        <v>1</v>
      </c>
      <c r="H1366" s="4">
        <v>61.8</v>
      </c>
      <c r="I1366" s="4">
        <v>35.51</v>
      </c>
      <c r="J1366" s="5">
        <v>0.05</v>
      </c>
      <c r="K1366" s="6">
        <v>2</v>
      </c>
      <c r="L1366" s="6">
        <v>4</v>
      </c>
      <c r="M1366" t="s">
        <v>58</v>
      </c>
      <c r="N1366" t="s">
        <v>69</v>
      </c>
      <c r="O1366" t="s">
        <v>73</v>
      </c>
      <c r="P1366" t="str">
        <f t="shared" si="147"/>
        <v>Individual</v>
      </c>
      <c r="Q1366" t="str">
        <f t="shared" si="148"/>
        <v>London</v>
      </c>
      <c r="R1366" t="str">
        <f>PROPER(TRIM(E1366))</f>
        <v>Electronics</v>
      </c>
      <c r="S1366" s="27">
        <f>IF(ISTEXT(B1366),DATEVALUE(B1366),B1366)</f>
        <v>45801</v>
      </c>
      <c r="T1366" s="27">
        <f>COUNTIF($A$2:$A$1986,A1366)</f>
        <v>1</v>
      </c>
      <c r="U1366" s="27" t="str">
        <f t="shared" si="149"/>
        <v>Wireless Headset</v>
      </c>
      <c r="V1366" s="27">
        <f t="shared" si="150"/>
        <v>58.709999999999994</v>
      </c>
      <c r="W1366" s="27">
        <f t="shared" si="151"/>
        <v>35.51</v>
      </c>
      <c r="X1366" s="27">
        <f>RawSalesTable3[[#This Row],[Revenue]]-RawSalesTable3[[#This Row],[Total_Cost]]</f>
        <v>23.199999999999996</v>
      </c>
      <c r="Y1366" s="28">
        <f>RawSalesTable3[[#This Row],[Profit]]/RawSalesTable3[[#This Row],[Revenue]]</f>
        <v>0.39516266394140687</v>
      </c>
      <c r="Z1366" s="27" t="str">
        <f>TEXT(RawSalesTable3[[#This Row],[Order_Date_Clean]],"MMM YYYY")</f>
        <v>May 2025</v>
      </c>
      <c r="AA1366" s="27"/>
      <c r="AB1366" s="27">
        <f t="shared" si="152"/>
        <v>0</v>
      </c>
      <c r="AC1366" s="27">
        <f t="shared" si="153"/>
        <v>0</v>
      </c>
    </row>
    <row r="1367" spans="1:29">
      <c r="A1367" t="s">
        <v>1473</v>
      </c>
      <c r="B1367" s="3">
        <v>45897</v>
      </c>
      <c r="C1367" t="s">
        <v>66</v>
      </c>
      <c r="D1367" t="s">
        <v>62</v>
      </c>
      <c r="E1367" t="s">
        <v>79</v>
      </c>
      <c r="F1367" t="s">
        <v>80</v>
      </c>
      <c r="G1367" s="6">
        <v>3</v>
      </c>
      <c r="H1367" s="4">
        <v>73.27</v>
      </c>
      <c r="I1367" s="4">
        <v>44.48</v>
      </c>
      <c r="J1367" s="5">
        <v>0.05</v>
      </c>
      <c r="K1367" s="6">
        <v>5</v>
      </c>
      <c r="L1367" s="6">
        <v>4</v>
      </c>
      <c r="M1367" t="s">
        <v>58</v>
      </c>
      <c r="N1367" t="s">
        <v>59</v>
      </c>
      <c r="O1367" t="s">
        <v>60</v>
      </c>
      <c r="P1367" t="str">
        <f t="shared" si="147"/>
        <v>Individual</v>
      </c>
      <c r="Q1367" t="str">
        <f t="shared" si="148"/>
        <v>South</v>
      </c>
      <c r="R1367" t="str">
        <f>PROPER(TRIM(E1367))</f>
        <v>Electronics</v>
      </c>
      <c r="S1367" s="27">
        <f>IF(ISTEXT(B1367),DATEVALUE(B1367),B1367)</f>
        <v>45897</v>
      </c>
      <c r="T1367" s="27">
        <f>COUNTIF($A$2:$A$1986,A1367)</f>
        <v>1</v>
      </c>
      <c r="U1367" s="27" t="str">
        <f t="shared" si="149"/>
        <v>Portable Speaker</v>
      </c>
      <c r="V1367" s="27">
        <f t="shared" si="150"/>
        <v>208.81950000000001</v>
      </c>
      <c r="W1367" s="27">
        <f t="shared" si="151"/>
        <v>133.44</v>
      </c>
      <c r="X1367" s="27">
        <f>RawSalesTable3[[#This Row],[Revenue]]-RawSalesTable3[[#This Row],[Total_Cost]]</f>
        <v>75.379500000000007</v>
      </c>
      <c r="Y1367" s="28">
        <f>RawSalesTable3[[#This Row],[Profit]]/RawSalesTable3[[#This Row],[Revenue]]</f>
        <v>0.36097921889478712</v>
      </c>
      <c r="Z1367" s="27" t="str">
        <f>TEXT(RawSalesTable3[[#This Row],[Order_Date_Clean]],"MMM YYYY")</f>
        <v>Aug 2025</v>
      </c>
      <c r="AA1367" s="27"/>
      <c r="AB1367" s="27">
        <f t="shared" si="152"/>
        <v>0</v>
      </c>
      <c r="AC1367" s="27">
        <f t="shared" si="153"/>
        <v>0</v>
      </c>
    </row>
    <row r="1368" spans="1:29">
      <c r="A1368" t="s">
        <v>1474</v>
      </c>
      <c r="B1368" s="3">
        <v>45831</v>
      </c>
      <c r="C1368" t="s">
        <v>82</v>
      </c>
      <c r="D1368" t="s">
        <v>62</v>
      </c>
      <c r="E1368" t="s">
        <v>67</v>
      </c>
      <c r="F1368" t="s">
        <v>107</v>
      </c>
      <c r="G1368" s="6">
        <v>2</v>
      </c>
      <c r="H1368" s="4">
        <v>46.45</v>
      </c>
      <c r="I1368" s="4">
        <v>21.78</v>
      </c>
      <c r="J1368" s="5">
        <v>0</v>
      </c>
      <c r="K1368" s="6">
        <v>2</v>
      </c>
      <c r="L1368" s="6">
        <v>4</v>
      </c>
      <c r="M1368" t="s">
        <v>58</v>
      </c>
      <c r="N1368" t="s">
        <v>69</v>
      </c>
      <c r="O1368" t="s">
        <v>64</v>
      </c>
      <c r="P1368" t="str">
        <f t="shared" si="147"/>
        <v>Individual</v>
      </c>
      <c r="Q1368" t="str">
        <f t="shared" si="148"/>
        <v>Midlands</v>
      </c>
      <c r="R1368" t="str">
        <f>PROPER(TRIM(E1368))</f>
        <v>Office</v>
      </c>
      <c r="S1368" s="27">
        <f>IF(ISTEXT(B1368),DATEVALUE(B1368),B1368)</f>
        <v>45831</v>
      </c>
      <c r="T1368" s="27">
        <f>COUNTIF($A$2:$A$1986,A1368)</f>
        <v>1</v>
      </c>
      <c r="U1368" s="27" t="str">
        <f t="shared" si="149"/>
        <v>Laptop Stand</v>
      </c>
      <c r="V1368" s="27">
        <f t="shared" si="150"/>
        <v>92.9</v>
      </c>
      <c r="W1368" s="27">
        <f t="shared" si="151"/>
        <v>43.56</v>
      </c>
      <c r="X1368" s="27">
        <f>RawSalesTable3[[#This Row],[Revenue]]-RawSalesTable3[[#This Row],[Total_Cost]]</f>
        <v>49.34</v>
      </c>
      <c r="Y1368" s="28">
        <f>RawSalesTable3[[#This Row],[Profit]]/RawSalesTable3[[#This Row],[Revenue]]</f>
        <v>0.53110871905274493</v>
      </c>
      <c r="Z1368" s="27" t="str">
        <f>TEXT(RawSalesTable3[[#This Row],[Order_Date_Clean]],"MMM YYYY")</f>
        <v>Jun 2025</v>
      </c>
      <c r="AA1368" s="27"/>
      <c r="AB1368" s="27">
        <f t="shared" si="152"/>
        <v>0</v>
      </c>
      <c r="AC1368" s="27">
        <f t="shared" si="153"/>
        <v>0</v>
      </c>
    </row>
    <row r="1369" spans="1:29">
      <c r="A1369" t="s">
        <v>1475</v>
      </c>
      <c r="B1369" s="3">
        <v>45815</v>
      </c>
      <c r="C1369" t="s">
        <v>82</v>
      </c>
      <c r="D1369" t="s">
        <v>62</v>
      </c>
      <c r="E1369" t="s">
        <v>75</v>
      </c>
      <c r="F1369" t="s">
        <v>146</v>
      </c>
      <c r="G1369" s="6">
        <v>1</v>
      </c>
      <c r="H1369" s="4">
        <v>179.54</v>
      </c>
      <c r="I1369" s="4">
        <v>111.64</v>
      </c>
      <c r="J1369" s="5">
        <v>0.1</v>
      </c>
      <c r="K1369" s="6">
        <v>4</v>
      </c>
      <c r="L1369" s="6">
        <v>4</v>
      </c>
      <c r="M1369" t="s">
        <v>58</v>
      </c>
      <c r="N1369" t="s">
        <v>59</v>
      </c>
      <c r="O1369" t="s">
        <v>73</v>
      </c>
      <c r="P1369" t="str">
        <f t="shared" si="147"/>
        <v>Individual</v>
      </c>
      <c r="Q1369" t="str">
        <f t="shared" si="148"/>
        <v>Midlands</v>
      </c>
      <c r="R1369" t="str">
        <f>PROPER(TRIM(E1369))</f>
        <v>Furniture</v>
      </c>
      <c r="S1369" s="27">
        <f>IF(ISTEXT(B1369),DATEVALUE(B1369),B1369)</f>
        <v>45815</v>
      </c>
      <c r="T1369" s="27">
        <f>COUNTIF($A$2:$A$1986,A1369)</f>
        <v>1</v>
      </c>
      <c r="U1369" s="27" t="str">
        <f t="shared" si="149"/>
        <v>Office Chair</v>
      </c>
      <c r="V1369" s="27">
        <f t="shared" si="150"/>
        <v>161.58599999999998</v>
      </c>
      <c r="W1369" s="27">
        <f t="shared" si="151"/>
        <v>111.64</v>
      </c>
      <c r="X1369" s="27">
        <f>RawSalesTable3[[#This Row],[Revenue]]-RawSalesTable3[[#This Row],[Total_Cost]]</f>
        <v>49.945999999999984</v>
      </c>
      <c r="Y1369" s="28">
        <f>RawSalesTable3[[#This Row],[Profit]]/RawSalesTable3[[#This Row],[Revenue]]</f>
        <v>0.30909856051885676</v>
      </c>
      <c r="Z1369" s="27" t="str">
        <f>TEXT(RawSalesTable3[[#This Row],[Order_Date_Clean]],"MMM YYYY")</f>
        <v>Jun 2025</v>
      </c>
      <c r="AA1369" s="27"/>
      <c r="AB1369" s="27">
        <f t="shared" si="152"/>
        <v>0</v>
      </c>
      <c r="AC1369" s="27">
        <f t="shared" si="153"/>
        <v>0</v>
      </c>
    </row>
    <row r="1370" spans="1:29">
      <c r="A1370" t="s">
        <v>1476</v>
      </c>
      <c r="B1370" s="3">
        <v>45864</v>
      </c>
      <c r="C1370" t="s">
        <v>66</v>
      </c>
      <c r="D1370" t="s">
        <v>62</v>
      </c>
      <c r="E1370" t="s">
        <v>56</v>
      </c>
      <c r="F1370" t="s">
        <v>57</v>
      </c>
      <c r="G1370" s="6">
        <v>2</v>
      </c>
      <c r="H1370" s="4">
        <v>110.21</v>
      </c>
      <c r="I1370" s="4">
        <v>65.349999999999994</v>
      </c>
      <c r="J1370" s="5">
        <v>0</v>
      </c>
      <c r="K1370" s="6">
        <v>4</v>
      </c>
      <c r="L1370" s="6">
        <v>4</v>
      </c>
      <c r="M1370" t="s">
        <v>58</v>
      </c>
      <c r="N1370" t="s">
        <v>59</v>
      </c>
      <c r="O1370" t="s">
        <v>73</v>
      </c>
      <c r="P1370" t="str">
        <f t="shared" si="147"/>
        <v>Individual</v>
      </c>
      <c r="Q1370" t="str">
        <f t="shared" si="148"/>
        <v>South</v>
      </c>
      <c r="R1370" t="str">
        <f>PROPER(TRIM(E1370))</f>
        <v>Home &amp; Kitchen</v>
      </c>
      <c r="S1370" s="27">
        <f>IF(ISTEXT(B1370),DATEVALUE(B1370),B1370)</f>
        <v>45864</v>
      </c>
      <c r="T1370" s="27">
        <f>COUNTIF($A$2:$A$1986,A1370)</f>
        <v>1</v>
      </c>
      <c r="U1370" s="27" t="str">
        <f t="shared" si="149"/>
        <v>Air Fryer</v>
      </c>
      <c r="V1370" s="27">
        <f t="shared" si="150"/>
        <v>220.42</v>
      </c>
      <c r="W1370" s="27">
        <f t="shared" si="151"/>
        <v>130.69999999999999</v>
      </c>
      <c r="X1370" s="27">
        <f>RawSalesTable3[[#This Row],[Revenue]]-RawSalesTable3[[#This Row],[Total_Cost]]</f>
        <v>89.72</v>
      </c>
      <c r="Y1370" s="28">
        <f>RawSalesTable3[[#This Row],[Profit]]/RawSalesTable3[[#This Row],[Revenue]]</f>
        <v>0.40704110334815352</v>
      </c>
      <c r="Z1370" s="27" t="str">
        <f>TEXT(RawSalesTable3[[#This Row],[Order_Date_Clean]],"MMM YYYY")</f>
        <v>Jul 2025</v>
      </c>
      <c r="AA1370" s="27"/>
      <c r="AB1370" s="27">
        <f t="shared" si="152"/>
        <v>0</v>
      </c>
      <c r="AC1370" s="27">
        <f t="shared" si="153"/>
        <v>0</v>
      </c>
    </row>
    <row r="1371" spans="1:29">
      <c r="A1371" t="s">
        <v>1477</v>
      </c>
      <c r="B1371" s="3">
        <v>45963</v>
      </c>
      <c r="C1371" t="s">
        <v>66</v>
      </c>
      <c r="D1371" t="s">
        <v>55</v>
      </c>
      <c r="E1371" t="s">
        <v>75</v>
      </c>
      <c r="F1371" t="s">
        <v>146</v>
      </c>
      <c r="G1371" s="6">
        <v>1</v>
      </c>
      <c r="H1371" s="4">
        <v>174.74</v>
      </c>
      <c r="I1371" s="4">
        <v>117.05</v>
      </c>
      <c r="J1371" s="5">
        <v>0.05</v>
      </c>
      <c r="K1371" s="6">
        <v>5</v>
      </c>
      <c r="L1371" s="6">
        <v>4</v>
      </c>
      <c r="M1371" t="s">
        <v>58</v>
      </c>
      <c r="N1371" t="s">
        <v>69</v>
      </c>
      <c r="O1371" t="s">
        <v>60</v>
      </c>
      <c r="P1371" t="str">
        <f t="shared" si="147"/>
        <v>Small Business</v>
      </c>
      <c r="Q1371" t="str">
        <f t="shared" si="148"/>
        <v>South</v>
      </c>
      <c r="R1371" t="str">
        <f>PROPER(TRIM(E1371))</f>
        <v>Furniture</v>
      </c>
      <c r="S1371" s="27">
        <f>IF(ISTEXT(B1371),DATEVALUE(B1371),B1371)</f>
        <v>45963</v>
      </c>
      <c r="T1371" s="27">
        <f>COUNTIF($A$2:$A$1986,A1371)</f>
        <v>1</v>
      </c>
      <c r="U1371" s="27" t="str">
        <f t="shared" si="149"/>
        <v>Office Chair</v>
      </c>
      <c r="V1371" s="27">
        <f t="shared" si="150"/>
        <v>166.00300000000001</v>
      </c>
      <c r="W1371" s="27">
        <f t="shared" si="151"/>
        <v>117.05</v>
      </c>
      <c r="X1371" s="27">
        <f>RawSalesTable3[[#This Row],[Revenue]]-RawSalesTable3[[#This Row],[Total_Cost]]</f>
        <v>48.953000000000017</v>
      </c>
      <c r="Y1371" s="28">
        <f>RawSalesTable3[[#This Row],[Profit]]/RawSalesTable3[[#This Row],[Revenue]]</f>
        <v>0.29489226098323534</v>
      </c>
      <c r="Z1371" s="27" t="str">
        <f>TEXT(RawSalesTable3[[#This Row],[Order_Date_Clean]],"MMM YYYY")</f>
        <v>Nov 2025</v>
      </c>
      <c r="AA1371" s="27"/>
      <c r="AB1371" s="27">
        <f t="shared" si="152"/>
        <v>0</v>
      </c>
      <c r="AC1371" s="27">
        <f t="shared" si="153"/>
        <v>0</v>
      </c>
    </row>
    <row r="1372" spans="1:29">
      <c r="A1372" t="s">
        <v>1478</v>
      </c>
      <c r="B1372" s="3">
        <v>46005</v>
      </c>
      <c r="C1372" t="s">
        <v>66</v>
      </c>
      <c r="D1372" t="s">
        <v>129</v>
      </c>
      <c r="E1372" t="s">
        <v>79</v>
      </c>
      <c r="F1372" t="s">
        <v>80</v>
      </c>
      <c r="G1372" s="6">
        <v>4</v>
      </c>
      <c r="H1372" s="4">
        <v>74.61</v>
      </c>
      <c r="I1372" s="4">
        <v>42.62</v>
      </c>
      <c r="J1372" s="5">
        <v>0.25</v>
      </c>
      <c r="K1372" s="6">
        <v>2</v>
      </c>
      <c r="L1372" s="6">
        <v>5</v>
      </c>
      <c r="M1372" t="s">
        <v>58</v>
      </c>
      <c r="N1372" t="s">
        <v>69</v>
      </c>
      <c r="O1372" t="s">
        <v>64</v>
      </c>
      <c r="P1372" t="str">
        <f t="shared" si="147"/>
        <v>Corporate</v>
      </c>
      <c r="Q1372" t="str">
        <f t="shared" si="148"/>
        <v>South</v>
      </c>
      <c r="R1372" t="str">
        <f>PROPER(TRIM(E1372))</f>
        <v>Electronics</v>
      </c>
      <c r="S1372" s="27">
        <f>IF(ISTEXT(B1372),DATEVALUE(B1372),B1372)</f>
        <v>46005</v>
      </c>
      <c r="T1372" s="27">
        <f>COUNTIF($A$2:$A$1986,A1372)</f>
        <v>1</v>
      </c>
      <c r="U1372" s="27" t="str">
        <f t="shared" si="149"/>
        <v>Portable Speaker</v>
      </c>
      <c r="V1372" s="27">
        <f t="shared" si="150"/>
        <v>223.82999999999998</v>
      </c>
      <c r="W1372" s="27">
        <f t="shared" si="151"/>
        <v>170.48</v>
      </c>
      <c r="X1372" s="27">
        <f>RawSalesTable3[[#This Row],[Revenue]]-RawSalesTable3[[#This Row],[Total_Cost]]</f>
        <v>53.349999999999994</v>
      </c>
      <c r="Y1372" s="28">
        <f>RawSalesTable3[[#This Row],[Profit]]/RawSalesTable3[[#This Row],[Revenue]]</f>
        <v>0.23835053388732519</v>
      </c>
      <c r="Z1372" s="27" t="str">
        <f>TEXT(RawSalesTable3[[#This Row],[Order_Date_Clean]],"MMM YYYY")</f>
        <v>Dec 2025</v>
      </c>
      <c r="AA1372" s="27"/>
      <c r="AB1372" s="27">
        <f t="shared" si="152"/>
        <v>0</v>
      </c>
      <c r="AC1372" s="27">
        <f t="shared" si="153"/>
        <v>0</v>
      </c>
    </row>
    <row r="1373" spans="1:29">
      <c r="A1373" t="s">
        <v>1479</v>
      </c>
      <c r="B1373" s="3">
        <v>45658</v>
      </c>
      <c r="C1373" t="s">
        <v>78</v>
      </c>
      <c r="D1373" t="s">
        <v>55</v>
      </c>
      <c r="E1373" t="s">
        <v>79</v>
      </c>
      <c r="F1373" t="s">
        <v>115</v>
      </c>
      <c r="G1373" s="6">
        <v>6</v>
      </c>
      <c r="H1373" s="4">
        <v>61.97</v>
      </c>
      <c r="I1373" s="4">
        <v>33.549999999999997</v>
      </c>
      <c r="J1373" s="5">
        <v>0</v>
      </c>
      <c r="K1373" s="6">
        <v>2</v>
      </c>
      <c r="L1373" s="6">
        <v>4</v>
      </c>
      <c r="M1373" t="s">
        <v>58</v>
      </c>
      <c r="N1373" t="s">
        <v>59</v>
      </c>
      <c r="O1373" t="s">
        <v>64</v>
      </c>
      <c r="P1373" t="str">
        <f t="shared" si="147"/>
        <v>Small Business</v>
      </c>
      <c r="Q1373" t="str">
        <f t="shared" si="148"/>
        <v>London</v>
      </c>
      <c r="R1373" t="str">
        <f>PROPER(TRIM(E1373))</f>
        <v>Electronics</v>
      </c>
      <c r="S1373" s="27">
        <f>IF(ISTEXT(B1373),DATEVALUE(B1373),B1373)</f>
        <v>45658</v>
      </c>
      <c r="T1373" s="27">
        <f>COUNTIF($A$2:$A$1986,A1373)</f>
        <v>1</v>
      </c>
      <c r="U1373" s="27" t="str">
        <f t="shared" si="149"/>
        <v>Wireless Headset</v>
      </c>
      <c r="V1373" s="27">
        <f t="shared" si="150"/>
        <v>371.82</v>
      </c>
      <c r="W1373" s="27">
        <f t="shared" si="151"/>
        <v>201.29999999999998</v>
      </c>
      <c r="X1373" s="27">
        <f>RawSalesTable3[[#This Row],[Revenue]]-RawSalesTable3[[#This Row],[Total_Cost]]</f>
        <v>170.52</v>
      </c>
      <c r="Y1373" s="28">
        <f>RawSalesTable3[[#This Row],[Profit]]/RawSalesTable3[[#This Row],[Revenue]]</f>
        <v>0.45860900435694696</v>
      </c>
      <c r="Z1373" s="27" t="str">
        <f>TEXT(RawSalesTable3[[#This Row],[Order_Date_Clean]],"MMM YYYY")</f>
        <v>Jan 2025</v>
      </c>
      <c r="AA1373" s="27"/>
      <c r="AB1373" s="27">
        <f t="shared" si="152"/>
        <v>0</v>
      </c>
      <c r="AC1373" s="27">
        <f t="shared" si="153"/>
        <v>0</v>
      </c>
    </row>
    <row r="1374" spans="1:29">
      <c r="A1374" t="s">
        <v>1480</v>
      </c>
      <c r="B1374" s="3">
        <v>45880</v>
      </c>
      <c r="C1374" t="s">
        <v>82</v>
      </c>
      <c r="D1374" t="s">
        <v>55</v>
      </c>
      <c r="E1374" t="s">
        <v>75</v>
      </c>
      <c r="F1374" t="s">
        <v>76</v>
      </c>
      <c r="G1374" s="6">
        <v>5</v>
      </c>
      <c r="H1374" s="4">
        <v>119.19</v>
      </c>
      <c r="I1374" s="4">
        <v>70.45</v>
      </c>
      <c r="J1374" s="5">
        <v>0</v>
      </c>
      <c r="K1374" s="6">
        <v>3</v>
      </c>
      <c r="L1374" s="6">
        <v>5</v>
      </c>
      <c r="M1374" t="s">
        <v>58</v>
      </c>
      <c r="N1374" t="s">
        <v>59</v>
      </c>
      <c r="O1374" t="s">
        <v>64</v>
      </c>
      <c r="P1374" t="str">
        <f t="shared" si="147"/>
        <v>Small Business</v>
      </c>
      <c r="Q1374" t="str">
        <f t="shared" si="148"/>
        <v>Midlands</v>
      </c>
      <c r="R1374" t="str">
        <f>PROPER(TRIM(E1374))</f>
        <v>Furniture</v>
      </c>
      <c r="S1374" s="27">
        <f>IF(ISTEXT(B1374),DATEVALUE(B1374),B1374)</f>
        <v>45880</v>
      </c>
      <c r="T1374" s="27">
        <f>COUNTIF($A$2:$A$1986,A1374)</f>
        <v>1</v>
      </c>
      <c r="U1374" s="27" t="str">
        <f t="shared" si="149"/>
        <v>Bookshelf</v>
      </c>
      <c r="V1374" s="27">
        <f t="shared" si="150"/>
        <v>595.95000000000005</v>
      </c>
      <c r="W1374" s="27">
        <f t="shared" si="151"/>
        <v>352.25</v>
      </c>
      <c r="X1374" s="27">
        <f>RawSalesTable3[[#This Row],[Revenue]]-RawSalesTable3[[#This Row],[Total_Cost]]</f>
        <v>243.70000000000005</v>
      </c>
      <c r="Y1374" s="28">
        <f>RawSalesTable3[[#This Row],[Profit]]/RawSalesTable3[[#This Row],[Revenue]]</f>
        <v>0.40892692339961412</v>
      </c>
      <c r="Z1374" s="27" t="str">
        <f>TEXT(RawSalesTable3[[#This Row],[Order_Date_Clean]],"MMM YYYY")</f>
        <v>Aug 2025</v>
      </c>
      <c r="AA1374" s="27"/>
      <c r="AB1374" s="27">
        <f t="shared" si="152"/>
        <v>0</v>
      </c>
      <c r="AC1374" s="27">
        <f t="shared" si="153"/>
        <v>0</v>
      </c>
    </row>
    <row r="1375" spans="1:29">
      <c r="A1375" t="s">
        <v>1481</v>
      </c>
      <c r="B1375" s="3">
        <v>45883</v>
      </c>
      <c r="C1375" t="s">
        <v>78</v>
      </c>
      <c r="D1375" t="s">
        <v>62</v>
      </c>
      <c r="E1375" t="s">
        <v>67</v>
      </c>
      <c r="F1375" t="s">
        <v>94</v>
      </c>
      <c r="G1375" s="6">
        <v>1</v>
      </c>
      <c r="H1375" s="4">
        <v>35.89</v>
      </c>
      <c r="I1375" s="4">
        <v>17.670000000000002</v>
      </c>
      <c r="J1375" s="5">
        <v>0.05</v>
      </c>
      <c r="K1375" s="6">
        <v>0</v>
      </c>
      <c r="L1375" s="6">
        <v>5</v>
      </c>
      <c r="M1375" t="s">
        <v>58</v>
      </c>
      <c r="N1375" t="s">
        <v>69</v>
      </c>
      <c r="O1375" t="s">
        <v>73</v>
      </c>
      <c r="P1375" t="str">
        <f t="shared" si="147"/>
        <v>Individual</v>
      </c>
      <c r="Q1375" t="str">
        <f t="shared" si="148"/>
        <v>London</v>
      </c>
      <c r="R1375" t="str">
        <f>PROPER(TRIM(E1375))</f>
        <v>Office</v>
      </c>
      <c r="S1375" s="27">
        <f>IF(ISTEXT(B1375),DATEVALUE(B1375),B1375)</f>
        <v>45883</v>
      </c>
      <c r="T1375" s="27">
        <f>COUNTIF($A$2:$A$1986,A1375)</f>
        <v>1</v>
      </c>
      <c r="U1375" s="27" t="str">
        <f t="shared" si="149"/>
        <v>Wireless Mouse</v>
      </c>
      <c r="V1375" s="27">
        <f t="shared" si="150"/>
        <v>34.095500000000001</v>
      </c>
      <c r="W1375" s="27">
        <f t="shared" si="151"/>
        <v>17.670000000000002</v>
      </c>
      <c r="X1375" s="27">
        <f>RawSalesTable3[[#This Row],[Revenue]]-RawSalesTable3[[#This Row],[Total_Cost]]</f>
        <v>16.4255</v>
      </c>
      <c r="Y1375" s="28">
        <f>RawSalesTable3[[#This Row],[Profit]]/RawSalesTable3[[#This Row],[Revenue]]</f>
        <v>0.48174979102814153</v>
      </c>
      <c r="Z1375" s="27" t="str">
        <f>TEXT(RawSalesTable3[[#This Row],[Order_Date_Clean]],"MMM YYYY")</f>
        <v>Aug 2025</v>
      </c>
      <c r="AA1375" s="27"/>
      <c r="AB1375" s="27">
        <f t="shared" si="152"/>
        <v>0</v>
      </c>
      <c r="AC1375" s="27">
        <f t="shared" si="153"/>
        <v>0</v>
      </c>
    </row>
    <row r="1376" spans="1:29">
      <c r="A1376" t="s">
        <v>1482</v>
      </c>
      <c r="B1376" s="3">
        <v>45876</v>
      </c>
      <c r="C1376" t="s">
        <v>78</v>
      </c>
      <c r="D1376" t="s">
        <v>129</v>
      </c>
      <c r="E1376" t="s">
        <v>75</v>
      </c>
      <c r="F1376" t="s">
        <v>97</v>
      </c>
      <c r="G1376" s="6">
        <v>6</v>
      </c>
      <c r="H1376" s="4">
        <v>91.25</v>
      </c>
      <c r="I1376" s="4">
        <v>52.65</v>
      </c>
      <c r="J1376" s="5">
        <v>0.1</v>
      </c>
      <c r="K1376" s="6">
        <v>8</v>
      </c>
      <c r="L1376" s="6">
        <v>4</v>
      </c>
      <c r="M1376" t="s">
        <v>58</v>
      </c>
      <c r="N1376" t="s">
        <v>59</v>
      </c>
      <c r="O1376" t="s">
        <v>64</v>
      </c>
      <c r="P1376" t="str">
        <f t="shared" si="147"/>
        <v>Corporate</v>
      </c>
      <c r="Q1376" t="str">
        <f t="shared" si="148"/>
        <v>London</v>
      </c>
      <c r="R1376" t="str">
        <f>PROPER(TRIM(E1376))</f>
        <v>Furniture</v>
      </c>
      <c r="S1376" s="27">
        <f>IF(ISTEXT(B1376),DATEVALUE(B1376),B1376)</f>
        <v>45876</v>
      </c>
      <c r="T1376" s="27">
        <f>COUNTIF($A$2:$A$1986,A1376)</f>
        <v>1</v>
      </c>
      <c r="U1376" s="27" t="str">
        <f t="shared" si="149"/>
        <v>Side Table</v>
      </c>
      <c r="V1376" s="27">
        <f t="shared" si="150"/>
        <v>492.75</v>
      </c>
      <c r="W1376" s="27">
        <f t="shared" si="151"/>
        <v>315.89999999999998</v>
      </c>
      <c r="X1376" s="27">
        <f>RawSalesTable3[[#This Row],[Revenue]]-RawSalesTable3[[#This Row],[Total_Cost]]</f>
        <v>176.85000000000002</v>
      </c>
      <c r="Y1376" s="28">
        <f>RawSalesTable3[[#This Row],[Profit]]/RawSalesTable3[[#This Row],[Revenue]]</f>
        <v>0.35890410958904112</v>
      </c>
      <c r="Z1376" s="27" t="str">
        <f>TEXT(RawSalesTable3[[#This Row],[Order_Date_Clean]],"MMM YYYY")</f>
        <v>Aug 2025</v>
      </c>
      <c r="AA1376" s="27"/>
      <c r="AB1376" s="27">
        <f t="shared" si="152"/>
        <v>0</v>
      </c>
      <c r="AC1376" s="27">
        <f t="shared" si="153"/>
        <v>0</v>
      </c>
    </row>
    <row r="1377" spans="1:29">
      <c r="A1377" t="s">
        <v>1483</v>
      </c>
      <c r="B1377" s="3">
        <v>45814</v>
      </c>
      <c r="C1377" t="s">
        <v>78</v>
      </c>
      <c r="D1377" t="s">
        <v>62</v>
      </c>
      <c r="E1377" t="s">
        <v>79</v>
      </c>
      <c r="F1377" t="s">
        <v>92</v>
      </c>
      <c r="G1377" s="6">
        <v>3</v>
      </c>
      <c r="H1377" s="4">
        <v>48.99</v>
      </c>
      <c r="I1377" s="4">
        <v>25.59</v>
      </c>
      <c r="J1377" s="5">
        <v>0.05</v>
      </c>
      <c r="K1377" s="6">
        <v>2</v>
      </c>
      <c r="L1377" s="6">
        <v>4</v>
      </c>
      <c r="M1377" t="s">
        <v>58</v>
      </c>
      <c r="N1377" t="s">
        <v>87</v>
      </c>
      <c r="O1377" t="s">
        <v>73</v>
      </c>
      <c r="P1377" t="str">
        <f t="shared" si="147"/>
        <v>Individual</v>
      </c>
      <c r="Q1377" t="str">
        <f t="shared" si="148"/>
        <v>London</v>
      </c>
      <c r="R1377" t="str">
        <f>PROPER(TRIM(E1377))</f>
        <v>Electronics</v>
      </c>
      <c r="S1377" s="27">
        <f>IF(ISTEXT(B1377),DATEVALUE(B1377),B1377)</f>
        <v>45814</v>
      </c>
      <c r="T1377" s="27">
        <f>COUNTIF($A$2:$A$1986,A1377)</f>
        <v>1</v>
      </c>
      <c r="U1377" s="27" t="str">
        <f t="shared" si="149"/>
        <v>Webcam</v>
      </c>
      <c r="V1377" s="27">
        <f t="shared" si="150"/>
        <v>139.6215</v>
      </c>
      <c r="W1377" s="27">
        <f t="shared" si="151"/>
        <v>76.77</v>
      </c>
      <c r="X1377" s="27">
        <f>RawSalesTable3[[#This Row],[Revenue]]-RawSalesTable3[[#This Row],[Total_Cost]]</f>
        <v>62.851500000000001</v>
      </c>
      <c r="Y1377" s="28">
        <f>RawSalesTable3[[#This Row],[Profit]]/RawSalesTable3[[#This Row],[Revenue]]</f>
        <v>0.45015631546717377</v>
      </c>
      <c r="Z1377" s="27" t="str">
        <f>TEXT(RawSalesTable3[[#This Row],[Order_Date_Clean]],"MMM YYYY")</f>
        <v>Jun 2025</v>
      </c>
      <c r="AA1377" s="27"/>
      <c r="AB1377" s="27">
        <f t="shared" si="152"/>
        <v>0</v>
      </c>
      <c r="AC1377" s="27">
        <f t="shared" si="153"/>
        <v>0</v>
      </c>
    </row>
    <row r="1378" spans="1:29">
      <c r="A1378" t="s">
        <v>1484</v>
      </c>
      <c r="B1378" s="3">
        <v>46008</v>
      </c>
      <c r="C1378" t="s">
        <v>66</v>
      </c>
      <c r="D1378" t="s">
        <v>62</v>
      </c>
      <c r="E1378" t="s">
        <v>56</v>
      </c>
      <c r="F1378" t="s">
        <v>57</v>
      </c>
      <c r="G1378" s="6">
        <v>2</v>
      </c>
      <c r="H1378" s="4">
        <v>108.59</v>
      </c>
      <c r="I1378" s="4">
        <v>65.87</v>
      </c>
      <c r="J1378" s="5">
        <v>0.1</v>
      </c>
      <c r="K1378" s="6">
        <v>3</v>
      </c>
      <c r="L1378" s="6">
        <v>4</v>
      </c>
      <c r="M1378" t="s">
        <v>58</v>
      </c>
      <c r="N1378" t="s">
        <v>59</v>
      </c>
      <c r="O1378" t="s">
        <v>64</v>
      </c>
      <c r="P1378" t="str">
        <f t="shared" si="147"/>
        <v>Individual</v>
      </c>
      <c r="Q1378" t="str">
        <f t="shared" si="148"/>
        <v>South</v>
      </c>
      <c r="R1378" t="str">
        <f>PROPER(TRIM(E1378))</f>
        <v>Home &amp; Kitchen</v>
      </c>
      <c r="S1378" s="27">
        <f>IF(ISTEXT(B1378),DATEVALUE(B1378),B1378)</f>
        <v>46008</v>
      </c>
      <c r="T1378" s="27">
        <f>COUNTIF($A$2:$A$1986,A1378)</f>
        <v>1</v>
      </c>
      <c r="U1378" s="27" t="str">
        <f t="shared" si="149"/>
        <v>Air Fryer</v>
      </c>
      <c r="V1378" s="27">
        <f t="shared" si="150"/>
        <v>195.46200000000002</v>
      </c>
      <c r="W1378" s="27">
        <f t="shared" si="151"/>
        <v>131.74</v>
      </c>
      <c r="X1378" s="27">
        <f>RawSalesTable3[[#This Row],[Revenue]]-RawSalesTable3[[#This Row],[Total_Cost]]</f>
        <v>63.722000000000008</v>
      </c>
      <c r="Y1378" s="28">
        <f>RawSalesTable3[[#This Row],[Profit]]/RawSalesTable3[[#This Row],[Revenue]]</f>
        <v>0.32600710112451525</v>
      </c>
      <c r="Z1378" s="27" t="str">
        <f>TEXT(RawSalesTable3[[#This Row],[Order_Date_Clean]],"MMM YYYY")</f>
        <v>Dec 2025</v>
      </c>
      <c r="AA1378" s="27"/>
      <c r="AB1378" s="27">
        <f t="shared" si="152"/>
        <v>0</v>
      </c>
      <c r="AC1378" s="27">
        <f t="shared" si="153"/>
        <v>0</v>
      </c>
    </row>
    <row r="1379" spans="1:29">
      <c r="A1379" t="s">
        <v>1485</v>
      </c>
      <c r="B1379" s="3">
        <v>45955</v>
      </c>
      <c r="C1379" t="s">
        <v>78</v>
      </c>
      <c r="D1379" t="s">
        <v>62</v>
      </c>
      <c r="E1379" t="s">
        <v>67</v>
      </c>
      <c r="F1379" t="s">
        <v>94</v>
      </c>
      <c r="G1379" s="6">
        <v>4</v>
      </c>
      <c r="H1379" s="4">
        <v>33.99</v>
      </c>
      <c r="I1379" s="4">
        <v>17.05</v>
      </c>
      <c r="J1379" s="5">
        <v>0.05</v>
      </c>
      <c r="K1379" s="6">
        <v>3</v>
      </c>
      <c r="L1379" s="6">
        <v>5</v>
      </c>
      <c r="M1379" t="s">
        <v>58</v>
      </c>
      <c r="N1379" t="s">
        <v>59</v>
      </c>
      <c r="O1379" t="s">
        <v>64</v>
      </c>
      <c r="P1379" t="str">
        <f t="shared" si="147"/>
        <v>Individual</v>
      </c>
      <c r="Q1379" t="str">
        <f t="shared" si="148"/>
        <v>London</v>
      </c>
      <c r="R1379" t="str">
        <f>PROPER(TRIM(E1379))</f>
        <v>Office</v>
      </c>
      <c r="S1379" s="27">
        <f>IF(ISTEXT(B1379),DATEVALUE(B1379),B1379)</f>
        <v>45955</v>
      </c>
      <c r="T1379" s="27">
        <f>COUNTIF($A$2:$A$1986,A1379)</f>
        <v>1</v>
      </c>
      <c r="U1379" s="27" t="str">
        <f t="shared" si="149"/>
        <v>Wireless Mouse</v>
      </c>
      <c r="V1379" s="27">
        <f t="shared" si="150"/>
        <v>129.16200000000001</v>
      </c>
      <c r="W1379" s="27">
        <f t="shared" si="151"/>
        <v>68.2</v>
      </c>
      <c r="X1379" s="27">
        <f>RawSalesTable3[[#This Row],[Revenue]]-RawSalesTable3[[#This Row],[Total_Cost]]</f>
        <v>60.962000000000003</v>
      </c>
      <c r="Y1379" s="28">
        <f>RawSalesTable3[[#This Row],[Profit]]/RawSalesTable3[[#This Row],[Revenue]]</f>
        <v>0.47198092318174079</v>
      </c>
      <c r="Z1379" s="27" t="str">
        <f>TEXT(RawSalesTable3[[#This Row],[Order_Date_Clean]],"MMM YYYY")</f>
        <v>Oct 2025</v>
      </c>
      <c r="AA1379" s="27"/>
      <c r="AB1379" s="27">
        <f t="shared" si="152"/>
        <v>0</v>
      </c>
      <c r="AC1379" s="27">
        <f t="shared" si="153"/>
        <v>0</v>
      </c>
    </row>
    <row r="1380" spans="1:29">
      <c r="A1380" t="s">
        <v>1486</v>
      </c>
      <c r="B1380" s="3">
        <v>45933</v>
      </c>
      <c r="C1380" t="s">
        <v>54</v>
      </c>
      <c r="D1380" t="s">
        <v>62</v>
      </c>
      <c r="E1380" t="s">
        <v>79</v>
      </c>
      <c r="F1380" t="s">
        <v>92</v>
      </c>
      <c r="G1380" s="6">
        <v>1</v>
      </c>
      <c r="H1380" s="4">
        <v>51.27</v>
      </c>
      <c r="I1380" s="4">
        <v>26.54</v>
      </c>
      <c r="J1380" s="5">
        <v>0</v>
      </c>
      <c r="K1380" s="6">
        <v>0</v>
      </c>
      <c r="L1380" s="6">
        <v>4</v>
      </c>
      <c r="M1380" t="s">
        <v>58</v>
      </c>
      <c r="N1380" t="s">
        <v>69</v>
      </c>
      <c r="O1380" t="s">
        <v>73</v>
      </c>
      <c r="P1380" t="str">
        <f t="shared" si="147"/>
        <v>Individual</v>
      </c>
      <c r="Q1380" t="str">
        <f t="shared" si="148"/>
        <v>North</v>
      </c>
      <c r="R1380" t="str">
        <f>PROPER(TRIM(E1380))</f>
        <v>Electronics</v>
      </c>
      <c r="S1380" s="27">
        <f>IF(ISTEXT(B1380),DATEVALUE(B1380),B1380)</f>
        <v>45933</v>
      </c>
      <c r="T1380" s="27">
        <f>COUNTIF($A$2:$A$1986,A1380)</f>
        <v>1</v>
      </c>
      <c r="U1380" s="27" t="str">
        <f t="shared" si="149"/>
        <v>Webcam</v>
      </c>
      <c r="V1380" s="27">
        <f t="shared" si="150"/>
        <v>51.27</v>
      </c>
      <c r="W1380" s="27">
        <f t="shared" si="151"/>
        <v>26.54</v>
      </c>
      <c r="X1380" s="27">
        <f>RawSalesTable3[[#This Row],[Revenue]]-RawSalesTable3[[#This Row],[Total_Cost]]</f>
        <v>24.730000000000004</v>
      </c>
      <c r="Y1380" s="28">
        <f>RawSalesTable3[[#This Row],[Profit]]/RawSalesTable3[[#This Row],[Revenue]]</f>
        <v>0.48234835186268776</v>
      </c>
      <c r="Z1380" s="27" t="str">
        <f>TEXT(RawSalesTable3[[#This Row],[Order_Date_Clean]],"MMM YYYY")</f>
        <v>Oct 2025</v>
      </c>
      <c r="AA1380" s="27"/>
      <c r="AB1380" s="27">
        <f t="shared" si="152"/>
        <v>0</v>
      </c>
      <c r="AC1380" s="27">
        <f t="shared" si="153"/>
        <v>0</v>
      </c>
    </row>
    <row r="1381" spans="1:29">
      <c r="A1381" t="s">
        <v>1487</v>
      </c>
      <c r="B1381" s="3">
        <v>45943</v>
      </c>
      <c r="C1381" t="s">
        <v>78</v>
      </c>
      <c r="D1381" t="s">
        <v>62</v>
      </c>
      <c r="E1381" t="s">
        <v>67</v>
      </c>
      <c r="F1381" t="s">
        <v>94</v>
      </c>
      <c r="G1381" s="6">
        <v>1</v>
      </c>
      <c r="H1381" s="4">
        <v>35.49</v>
      </c>
      <c r="I1381" s="4">
        <v>17.45</v>
      </c>
      <c r="J1381" s="5">
        <v>0.05</v>
      </c>
      <c r="K1381" s="6">
        <v>2</v>
      </c>
      <c r="L1381" s="6">
        <v>5</v>
      </c>
      <c r="M1381" t="s">
        <v>58</v>
      </c>
      <c r="N1381" t="s">
        <v>69</v>
      </c>
      <c r="O1381" t="s">
        <v>64</v>
      </c>
      <c r="P1381" t="str">
        <f t="shared" si="147"/>
        <v>Individual</v>
      </c>
      <c r="Q1381" t="str">
        <f t="shared" si="148"/>
        <v>London</v>
      </c>
      <c r="R1381" t="str">
        <f>PROPER(TRIM(E1381))</f>
        <v>Office</v>
      </c>
      <c r="S1381" s="27">
        <f>IF(ISTEXT(B1381),DATEVALUE(B1381),B1381)</f>
        <v>45943</v>
      </c>
      <c r="T1381" s="27">
        <f>COUNTIF($A$2:$A$1986,A1381)</f>
        <v>1</v>
      </c>
      <c r="U1381" s="27" t="str">
        <f t="shared" si="149"/>
        <v>Wireless Mouse</v>
      </c>
      <c r="V1381" s="27">
        <f t="shared" si="150"/>
        <v>33.715499999999999</v>
      </c>
      <c r="W1381" s="27">
        <f t="shared" si="151"/>
        <v>17.45</v>
      </c>
      <c r="X1381" s="27">
        <f>RawSalesTable3[[#This Row],[Revenue]]-RawSalesTable3[[#This Row],[Total_Cost]]</f>
        <v>16.265499999999999</v>
      </c>
      <c r="Y1381" s="28">
        <f>RawSalesTable3[[#This Row],[Profit]]/RawSalesTable3[[#This Row],[Revenue]]</f>
        <v>0.48243389538936099</v>
      </c>
      <c r="Z1381" s="27" t="str">
        <f>TEXT(RawSalesTable3[[#This Row],[Order_Date_Clean]],"MMM YYYY")</f>
        <v>Oct 2025</v>
      </c>
      <c r="AA1381" s="27"/>
      <c r="AB1381" s="27">
        <f t="shared" si="152"/>
        <v>0</v>
      </c>
      <c r="AC1381" s="27">
        <f t="shared" si="153"/>
        <v>0</v>
      </c>
    </row>
    <row r="1382" spans="1:29">
      <c r="A1382" t="s">
        <v>1488</v>
      </c>
      <c r="B1382" s="3">
        <v>45777</v>
      </c>
      <c r="C1382" t="s">
        <v>78</v>
      </c>
      <c r="D1382" t="s">
        <v>55</v>
      </c>
      <c r="E1382" t="s">
        <v>56</v>
      </c>
      <c r="F1382" t="s">
        <v>57</v>
      </c>
      <c r="G1382" s="6">
        <v>3</v>
      </c>
      <c r="H1382" s="4">
        <v>111.93</v>
      </c>
      <c r="I1382" s="4">
        <v>67.819999999999993</v>
      </c>
      <c r="J1382" s="5">
        <v>0.05</v>
      </c>
      <c r="K1382" s="6">
        <v>0</v>
      </c>
      <c r="L1382" s="6">
        <v>4</v>
      </c>
      <c r="M1382" t="s">
        <v>58</v>
      </c>
      <c r="N1382" t="s">
        <v>69</v>
      </c>
      <c r="O1382" t="s">
        <v>64</v>
      </c>
      <c r="P1382" t="str">
        <f t="shared" si="147"/>
        <v>Small Business</v>
      </c>
      <c r="Q1382" t="str">
        <f t="shared" si="148"/>
        <v>London</v>
      </c>
      <c r="R1382" t="str">
        <f>PROPER(TRIM(E1382))</f>
        <v>Home &amp; Kitchen</v>
      </c>
      <c r="S1382" s="27">
        <f>IF(ISTEXT(B1382),DATEVALUE(B1382),B1382)</f>
        <v>45777</v>
      </c>
      <c r="T1382" s="27">
        <f>COUNTIF($A$2:$A$1986,A1382)</f>
        <v>1</v>
      </c>
      <c r="U1382" s="27" t="str">
        <f t="shared" si="149"/>
        <v>Air Fryer</v>
      </c>
      <c r="V1382" s="27">
        <f t="shared" si="150"/>
        <v>319.00049999999999</v>
      </c>
      <c r="W1382" s="27">
        <f t="shared" si="151"/>
        <v>203.45999999999998</v>
      </c>
      <c r="X1382" s="27">
        <f>RawSalesTable3[[#This Row],[Revenue]]-RawSalesTable3[[#This Row],[Total_Cost]]</f>
        <v>115.54050000000001</v>
      </c>
      <c r="Y1382" s="28">
        <f>RawSalesTable3[[#This Row],[Profit]]/RawSalesTable3[[#This Row],[Revenue]]</f>
        <v>0.36219535706056893</v>
      </c>
      <c r="Z1382" s="27" t="str">
        <f>TEXT(RawSalesTable3[[#This Row],[Order_Date_Clean]],"MMM YYYY")</f>
        <v>Apr 2025</v>
      </c>
      <c r="AA1382" s="27"/>
      <c r="AB1382" s="27">
        <f t="shared" si="152"/>
        <v>0</v>
      </c>
      <c r="AC1382" s="27">
        <f t="shared" si="153"/>
        <v>0</v>
      </c>
    </row>
    <row r="1383" spans="1:29">
      <c r="A1383" t="s">
        <v>1489</v>
      </c>
      <c r="B1383" s="3">
        <v>45789</v>
      </c>
      <c r="C1383" t="s">
        <v>78</v>
      </c>
      <c r="D1383" t="s">
        <v>62</v>
      </c>
      <c r="E1383" t="s">
        <v>79</v>
      </c>
      <c r="F1383" t="s">
        <v>115</v>
      </c>
      <c r="G1383" s="6">
        <v>2</v>
      </c>
      <c r="H1383" s="4">
        <v>58.48</v>
      </c>
      <c r="I1383" s="4">
        <v>34.81</v>
      </c>
      <c r="J1383" s="5">
        <v>0</v>
      </c>
      <c r="K1383" s="6">
        <v>3</v>
      </c>
      <c r="L1383" s="6">
        <v>5</v>
      </c>
      <c r="M1383" t="s">
        <v>58</v>
      </c>
      <c r="N1383" t="s">
        <v>59</v>
      </c>
      <c r="O1383" t="s">
        <v>64</v>
      </c>
      <c r="P1383" t="str">
        <f t="shared" si="147"/>
        <v>Individual</v>
      </c>
      <c r="Q1383" t="str">
        <f t="shared" si="148"/>
        <v>London</v>
      </c>
      <c r="R1383" t="str">
        <f>PROPER(TRIM(E1383))</f>
        <v>Electronics</v>
      </c>
      <c r="S1383" s="27">
        <f>IF(ISTEXT(B1383),DATEVALUE(B1383),B1383)</f>
        <v>45789</v>
      </c>
      <c r="T1383" s="27">
        <f>COUNTIF($A$2:$A$1986,A1383)</f>
        <v>1</v>
      </c>
      <c r="U1383" s="27" t="str">
        <f t="shared" si="149"/>
        <v>Wireless Headset</v>
      </c>
      <c r="V1383" s="27">
        <f t="shared" si="150"/>
        <v>116.96</v>
      </c>
      <c r="W1383" s="27">
        <f t="shared" si="151"/>
        <v>69.62</v>
      </c>
      <c r="X1383" s="27">
        <f>RawSalesTable3[[#This Row],[Revenue]]-RawSalesTable3[[#This Row],[Total_Cost]]</f>
        <v>47.339999999999989</v>
      </c>
      <c r="Y1383" s="28">
        <f>RawSalesTable3[[#This Row],[Profit]]/RawSalesTable3[[#This Row],[Revenue]]</f>
        <v>0.40475376196990415</v>
      </c>
      <c r="Z1383" s="27" t="str">
        <f>TEXT(RawSalesTable3[[#This Row],[Order_Date_Clean]],"MMM YYYY")</f>
        <v>May 2025</v>
      </c>
      <c r="AA1383" s="27"/>
      <c r="AB1383" s="27">
        <f t="shared" si="152"/>
        <v>0</v>
      </c>
      <c r="AC1383" s="27">
        <f t="shared" si="153"/>
        <v>0</v>
      </c>
    </row>
    <row r="1384" spans="1:29">
      <c r="A1384" t="s">
        <v>1490</v>
      </c>
      <c r="B1384" s="3">
        <v>45732</v>
      </c>
      <c r="C1384" t="s">
        <v>54</v>
      </c>
      <c r="D1384" t="s">
        <v>129</v>
      </c>
      <c r="E1384" t="s">
        <v>79</v>
      </c>
      <c r="F1384" t="s">
        <v>92</v>
      </c>
      <c r="G1384" s="6">
        <v>10</v>
      </c>
      <c r="H1384" s="4">
        <v>49.34</v>
      </c>
      <c r="I1384" s="4">
        <v>25.72</v>
      </c>
      <c r="J1384" s="5">
        <v>0.15000000000000002</v>
      </c>
      <c r="K1384" s="6">
        <v>6</v>
      </c>
      <c r="L1384" s="6">
        <v>4</v>
      </c>
      <c r="M1384" t="s">
        <v>58</v>
      </c>
      <c r="N1384" t="s">
        <v>59</v>
      </c>
      <c r="O1384" t="s">
        <v>64</v>
      </c>
      <c r="P1384" t="str">
        <f t="shared" si="147"/>
        <v>Corporate</v>
      </c>
      <c r="Q1384" t="str">
        <f t="shared" si="148"/>
        <v>North</v>
      </c>
      <c r="R1384" t="str">
        <f>PROPER(TRIM(E1384))</f>
        <v>Electronics</v>
      </c>
      <c r="S1384" s="27">
        <f>IF(ISTEXT(B1384),DATEVALUE(B1384),B1384)</f>
        <v>45732</v>
      </c>
      <c r="T1384" s="27">
        <f>COUNTIF($A$2:$A$1986,A1384)</f>
        <v>1</v>
      </c>
      <c r="U1384" s="27" t="str">
        <f t="shared" si="149"/>
        <v>Webcam</v>
      </c>
      <c r="V1384" s="27">
        <f t="shared" si="150"/>
        <v>419.39000000000004</v>
      </c>
      <c r="W1384" s="27">
        <f t="shared" si="151"/>
        <v>257.2</v>
      </c>
      <c r="X1384" s="27">
        <f>RawSalesTable3[[#This Row],[Revenue]]-RawSalesTable3[[#This Row],[Total_Cost]]</f>
        <v>162.19000000000005</v>
      </c>
      <c r="Y1384" s="28">
        <f>RawSalesTable3[[#This Row],[Profit]]/RawSalesTable3[[#This Row],[Revenue]]</f>
        <v>0.38672834354657964</v>
      </c>
      <c r="Z1384" s="27" t="str">
        <f>TEXT(RawSalesTable3[[#This Row],[Order_Date_Clean]],"MMM YYYY")</f>
        <v>Mar 2025</v>
      </c>
      <c r="AA1384" s="27"/>
      <c r="AB1384" s="27">
        <f t="shared" si="152"/>
        <v>0</v>
      </c>
      <c r="AC1384" s="27">
        <f t="shared" si="153"/>
        <v>0</v>
      </c>
    </row>
    <row r="1385" spans="1:29">
      <c r="A1385" t="s">
        <v>1491</v>
      </c>
      <c r="B1385" s="3">
        <v>45972</v>
      </c>
      <c r="C1385" t="s">
        <v>78</v>
      </c>
      <c r="D1385" t="s">
        <v>55</v>
      </c>
      <c r="E1385" t="s">
        <v>67</v>
      </c>
      <c r="F1385" t="s">
        <v>71</v>
      </c>
      <c r="G1385" s="6">
        <v>2</v>
      </c>
      <c r="H1385" s="4">
        <v>69.03</v>
      </c>
      <c r="I1385" s="4">
        <v>37.15</v>
      </c>
      <c r="J1385" s="5">
        <v>0.1</v>
      </c>
      <c r="K1385" s="6">
        <v>3</v>
      </c>
      <c r="L1385" s="6">
        <v>5</v>
      </c>
      <c r="M1385" t="s">
        <v>58</v>
      </c>
      <c r="N1385" t="s">
        <v>59</v>
      </c>
      <c r="O1385" t="s">
        <v>64</v>
      </c>
      <c r="P1385" t="str">
        <f t="shared" si="147"/>
        <v>Small Business</v>
      </c>
      <c r="Q1385" t="str">
        <f t="shared" si="148"/>
        <v>London</v>
      </c>
      <c r="R1385" t="str">
        <f>PROPER(TRIM(E1385))</f>
        <v>Office</v>
      </c>
      <c r="S1385" s="27">
        <f>IF(ISTEXT(B1385),DATEVALUE(B1385),B1385)</f>
        <v>45972</v>
      </c>
      <c r="T1385" s="27">
        <f>COUNTIF($A$2:$A$1986,A1385)</f>
        <v>1</v>
      </c>
      <c r="U1385" s="27" t="str">
        <f t="shared" si="149"/>
        <v>Ergonomic Keyboard</v>
      </c>
      <c r="V1385" s="27">
        <f t="shared" si="150"/>
        <v>124.254</v>
      </c>
      <c r="W1385" s="27">
        <f t="shared" si="151"/>
        <v>74.3</v>
      </c>
      <c r="X1385" s="27">
        <f>RawSalesTable3[[#This Row],[Revenue]]-RawSalesTable3[[#This Row],[Total_Cost]]</f>
        <v>49.954000000000008</v>
      </c>
      <c r="Y1385" s="28">
        <f>RawSalesTable3[[#This Row],[Profit]]/RawSalesTable3[[#This Row],[Revenue]]</f>
        <v>0.40203132293527777</v>
      </c>
      <c r="Z1385" s="27" t="str">
        <f>TEXT(RawSalesTable3[[#This Row],[Order_Date_Clean]],"MMM YYYY")</f>
        <v>Nov 2025</v>
      </c>
      <c r="AA1385" s="27"/>
      <c r="AB1385" s="27">
        <f t="shared" si="152"/>
        <v>0</v>
      </c>
      <c r="AC1385" s="27">
        <f t="shared" si="153"/>
        <v>0</v>
      </c>
    </row>
    <row r="1386" spans="1:29">
      <c r="A1386" t="s">
        <v>1492</v>
      </c>
      <c r="B1386" s="3">
        <v>45938</v>
      </c>
      <c r="C1386" t="s">
        <v>54</v>
      </c>
      <c r="D1386" t="s">
        <v>62</v>
      </c>
      <c r="E1386" t="s">
        <v>67</v>
      </c>
      <c r="F1386" t="s">
        <v>94</v>
      </c>
      <c r="G1386" s="6">
        <v>1</v>
      </c>
      <c r="H1386" s="4">
        <v>35.24</v>
      </c>
      <c r="I1386" s="4">
        <v>17.28</v>
      </c>
      <c r="J1386" s="5">
        <v>0.05</v>
      </c>
      <c r="K1386" s="6">
        <v>3</v>
      </c>
      <c r="L1386" s="6">
        <v>5</v>
      </c>
      <c r="M1386" t="s">
        <v>58</v>
      </c>
      <c r="N1386" t="s">
        <v>59</v>
      </c>
      <c r="O1386" t="s">
        <v>64</v>
      </c>
      <c r="P1386" t="str">
        <f t="shared" si="147"/>
        <v>Individual</v>
      </c>
      <c r="Q1386" t="str">
        <f t="shared" si="148"/>
        <v>North</v>
      </c>
      <c r="R1386" t="str">
        <f>PROPER(TRIM(E1386))</f>
        <v>Office</v>
      </c>
      <c r="S1386" s="27">
        <f>IF(ISTEXT(B1386),DATEVALUE(B1386),B1386)</f>
        <v>45938</v>
      </c>
      <c r="T1386" s="27">
        <f>COUNTIF($A$2:$A$1986,A1386)</f>
        <v>1</v>
      </c>
      <c r="U1386" s="27" t="str">
        <f t="shared" si="149"/>
        <v>Wireless Mouse</v>
      </c>
      <c r="V1386" s="27">
        <f t="shared" si="150"/>
        <v>33.478000000000002</v>
      </c>
      <c r="W1386" s="27">
        <f t="shared" si="151"/>
        <v>17.28</v>
      </c>
      <c r="X1386" s="27">
        <f>RawSalesTable3[[#This Row],[Revenue]]-RawSalesTable3[[#This Row],[Total_Cost]]</f>
        <v>16.198</v>
      </c>
      <c r="Y1386" s="28">
        <f>RawSalesTable3[[#This Row],[Profit]]/RawSalesTable3[[#This Row],[Revenue]]</f>
        <v>0.48384013381922458</v>
      </c>
      <c r="Z1386" s="27" t="str">
        <f>TEXT(RawSalesTable3[[#This Row],[Order_Date_Clean]],"MMM YYYY")</f>
        <v>Oct 2025</v>
      </c>
      <c r="AA1386" s="27"/>
      <c r="AB1386" s="27">
        <f t="shared" si="152"/>
        <v>0</v>
      </c>
      <c r="AC1386" s="27">
        <f t="shared" si="153"/>
        <v>0</v>
      </c>
    </row>
    <row r="1387" spans="1:29">
      <c r="A1387" t="s">
        <v>1493</v>
      </c>
      <c r="B1387" s="3">
        <v>45986</v>
      </c>
      <c r="C1387" t="s">
        <v>54</v>
      </c>
      <c r="D1387" t="s">
        <v>55</v>
      </c>
      <c r="E1387" t="s">
        <v>79</v>
      </c>
      <c r="F1387" t="s">
        <v>115</v>
      </c>
      <c r="G1387" s="6">
        <v>1</v>
      </c>
      <c r="H1387" s="4">
        <v>59.29</v>
      </c>
      <c r="I1387" s="4">
        <v>35.200000000000003</v>
      </c>
      <c r="J1387" s="5">
        <v>0.1</v>
      </c>
      <c r="K1387" s="6">
        <v>2</v>
      </c>
      <c r="L1387" s="6">
        <v>4</v>
      </c>
      <c r="M1387" t="s">
        <v>58</v>
      </c>
      <c r="N1387" t="s">
        <v>59</v>
      </c>
      <c r="O1387" t="s">
        <v>64</v>
      </c>
      <c r="P1387" t="str">
        <f t="shared" si="147"/>
        <v>Small Business</v>
      </c>
      <c r="Q1387" t="str">
        <f t="shared" si="148"/>
        <v>North</v>
      </c>
      <c r="R1387" t="str">
        <f>PROPER(TRIM(E1387))</f>
        <v>Electronics</v>
      </c>
      <c r="S1387" s="27">
        <f>IF(ISTEXT(B1387),DATEVALUE(B1387),B1387)</f>
        <v>45986</v>
      </c>
      <c r="T1387" s="27">
        <f>COUNTIF($A$2:$A$1986,A1387)</f>
        <v>1</v>
      </c>
      <c r="U1387" s="27" t="str">
        <f t="shared" si="149"/>
        <v>Wireless Headset</v>
      </c>
      <c r="V1387" s="27">
        <f t="shared" si="150"/>
        <v>53.360999999999997</v>
      </c>
      <c r="W1387" s="27">
        <f t="shared" si="151"/>
        <v>35.200000000000003</v>
      </c>
      <c r="X1387" s="27">
        <f>RawSalesTable3[[#This Row],[Revenue]]-RawSalesTable3[[#This Row],[Total_Cost]]</f>
        <v>18.160999999999994</v>
      </c>
      <c r="Y1387" s="28">
        <f>RawSalesTable3[[#This Row],[Profit]]/RawSalesTable3[[#This Row],[Revenue]]</f>
        <v>0.34034219748505457</v>
      </c>
      <c r="Z1387" s="27" t="str">
        <f>TEXT(RawSalesTable3[[#This Row],[Order_Date_Clean]],"MMM YYYY")</f>
        <v>Nov 2025</v>
      </c>
      <c r="AA1387" s="27"/>
      <c r="AB1387" s="27">
        <f t="shared" si="152"/>
        <v>0</v>
      </c>
      <c r="AC1387" s="27">
        <f t="shared" si="153"/>
        <v>0</v>
      </c>
    </row>
    <row r="1388" spans="1:29">
      <c r="A1388" t="s">
        <v>1494</v>
      </c>
      <c r="B1388" s="3">
        <v>45941</v>
      </c>
      <c r="C1388" t="s">
        <v>82</v>
      </c>
      <c r="D1388" t="s">
        <v>62</v>
      </c>
      <c r="E1388" t="s">
        <v>56</v>
      </c>
      <c r="F1388" t="s">
        <v>57</v>
      </c>
      <c r="G1388" s="6">
        <v>1</v>
      </c>
      <c r="H1388" s="4">
        <v>109.39</v>
      </c>
      <c r="I1388" s="4">
        <v>66.94</v>
      </c>
      <c r="J1388" s="5">
        <v>0.05</v>
      </c>
      <c r="K1388" s="6">
        <v>3</v>
      </c>
      <c r="L1388" s="6">
        <v>4</v>
      </c>
      <c r="M1388" t="s">
        <v>58</v>
      </c>
      <c r="N1388" t="s">
        <v>69</v>
      </c>
      <c r="O1388" t="s">
        <v>64</v>
      </c>
      <c r="P1388" t="str">
        <f t="shared" si="147"/>
        <v>Individual</v>
      </c>
      <c r="Q1388" t="str">
        <f t="shared" si="148"/>
        <v>Midlands</v>
      </c>
      <c r="R1388" t="str">
        <f>PROPER(TRIM(E1388))</f>
        <v>Home &amp; Kitchen</v>
      </c>
      <c r="S1388" s="27">
        <f>IF(ISTEXT(B1388),DATEVALUE(B1388),B1388)</f>
        <v>45941</v>
      </c>
      <c r="T1388" s="27">
        <f>COUNTIF($A$2:$A$1986,A1388)</f>
        <v>1</v>
      </c>
      <c r="U1388" s="27" t="str">
        <f t="shared" si="149"/>
        <v>Air Fryer</v>
      </c>
      <c r="V1388" s="27">
        <f t="shared" si="150"/>
        <v>103.92049999999999</v>
      </c>
      <c r="W1388" s="27">
        <f t="shared" si="151"/>
        <v>66.94</v>
      </c>
      <c r="X1388" s="27">
        <f>RawSalesTable3[[#This Row],[Revenue]]-RawSalesTable3[[#This Row],[Total_Cost]]</f>
        <v>36.980499999999992</v>
      </c>
      <c r="Y1388" s="28">
        <f>RawSalesTable3[[#This Row],[Profit]]/RawSalesTable3[[#This Row],[Revenue]]</f>
        <v>0.35585375359048499</v>
      </c>
      <c r="Z1388" s="27" t="str">
        <f>TEXT(RawSalesTable3[[#This Row],[Order_Date_Clean]],"MMM YYYY")</f>
        <v>Oct 2025</v>
      </c>
      <c r="AA1388" s="27"/>
      <c r="AB1388" s="27">
        <f t="shared" si="152"/>
        <v>0</v>
      </c>
      <c r="AC1388" s="27">
        <f t="shared" si="153"/>
        <v>0</v>
      </c>
    </row>
    <row r="1389" spans="1:29">
      <c r="A1389" t="s">
        <v>1495</v>
      </c>
      <c r="B1389" s="3">
        <v>45864</v>
      </c>
      <c r="C1389" t="s">
        <v>82</v>
      </c>
      <c r="D1389" t="s">
        <v>62</v>
      </c>
      <c r="E1389" t="s">
        <v>75</v>
      </c>
      <c r="F1389" t="s">
        <v>97</v>
      </c>
      <c r="G1389" s="6">
        <v>1</v>
      </c>
      <c r="H1389" s="4">
        <v>92.01</v>
      </c>
      <c r="I1389" s="4">
        <v>52.45</v>
      </c>
      <c r="J1389" s="5">
        <v>0</v>
      </c>
      <c r="K1389" s="6">
        <v>4</v>
      </c>
      <c r="L1389" s="6"/>
      <c r="M1389" t="s">
        <v>58</v>
      </c>
      <c r="N1389" t="s">
        <v>87</v>
      </c>
      <c r="O1389" t="s">
        <v>73</v>
      </c>
      <c r="P1389" t="str">
        <f t="shared" si="147"/>
        <v>Individual</v>
      </c>
      <c r="Q1389" t="str">
        <f t="shared" si="148"/>
        <v>Midlands</v>
      </c>
      <c r="R1389" t="str">
        <f>PROPER(TRIM(E1389))</f>
        <v>Furniture</v>
      </c>
      <c r="S1389" s="27">
        <f>IF(ISTEXT(B1389),DATEVALUE(B1389),B1389)</f>
        <v>45864</v>
      </c>
      <c r="T1389" s="27">
        <f>COUNTIF($A$2:$A$1986,A1389)</f>
        <v>1</v>
      </c>
      <c r="U1389" s="27" t="str">
        <f t="shared" si="149"/>
        <v>Side Table</v>
      </c>
      <c r="V1389" s="27">
        <f t="shared" si="150"/>
        <v>92.01</v>
      </c>
      <c r="W1389" s="27">
        <f t="shared" si="151"/>
        <v>52.45</v>
      </c>
      <c r="X1389" s="27">
        <f>RawSalesTable3[[#This Row],[Revenue]]-RawSalesTable3[[#This Row],[Total_Cost]]</f>
        <v>39.56</v>
      </c>
      <c r="Y1389" s="28">
        <f>RawSalesTable3[[#This Row],[Profit]]/RawSalesTable3[[#This Row],[Revenue]]</f>
        <v>0.42995326594935335</v>
      </c>
      <c r="Z1389" s="27" t="str">
        <f>TEXT(RawSalesTable3[[#This Row],[Order_Date_Clean]],"MMM YYYY")</f>
        <v>Jul 2025</v>
      </c>
      <c r="AA1389" s="27"/>
      <c r="AB1389" s="27">
        <f t="shared" si="152"/>
        <v>0</v>
      </c>
      <c r="AC1389" s="27">
        <f t="shared" si="153"/>
        <v>0</v>
      </c>
    </row>
    <row r="1390" spans="1:29">
      <c r="A1390" t="s">
        <v>1496</v>
      </c>
      <c r="B1390" s="3">
        <v>45841</v>
      </c>
      <c r="C1390" t="s">
        <v>66</v>
      </c>
      <c r="D1390" t="s">
        <v>62</v>
      </c>
      <c r="E1390" t="s">
        <v>56</v>
      </c>
      <c r="F1390" t="s">
        <v>83</v>
      </c>
      <c r="G1390" s="6">
        <v>1</v>
      </c>
      <c r="H1390" s="4">
        <v>63.25</v>
      </c>
      <c r="I1390" s="4">
        <v>36.119999999999997</v>
      </c>
      <c r="J1390" s="5">
        <v>0.1</v>
      </c>
      <c r="K1390" s="6">
        <v>2</v>
      </c>
      <c r="L1390" s="6">
        <v>4</v>
      </c>
      <c r="M1390" t="s">
        <v>58</v>
      </c>
      <c r="N1390" t="s">
        <v>69</v>
      </c>
      <c r="O1390" t="s">
        <v>64</v>
      </c>
      <c r="P1390" t="str">
        <f t="shared" si="147"/>
        <v>Individual</v>
      </c>
      <c r="Q1390" t="str">
        <f t="shared" si="148"/>
        <v>South</v>
      </c>
      <c r="R1390" t="str">
        <f>PROPER(TRIM(E1390))</f>
        <v>Home &amp; Kitchen</v>
      </c>
      <c r="S1390" s="27">
        <f>IF(ISTEXT(B1390),DATEVALUE(B1390),B1390)</f>
        <v>45841</v>
      </c>
      <c r="T1390" s="27">
        <f>COUNTIF($A$2:$A$1986,A1390)</f>
        <v>1</v>
      </c>
      <c r="U1390" s="27" t="str">
        <f t="shared" si="149"/>
        <v>Blender</v>
      </c>
      <c r="V1390" s="27">
        <f t="shared" si="150"/>
        <v>56.925000000000004</v>
      </c>
      <c r="W1390" s="27">
        <f t="shared" si="151"/>
        <v>36.119999999999997</v>
      </c>
      <c r="X1390" s="27">
        <f>RawSalesTable3[[#This Row],[Revenue]]-RawSalesTable3[[#This Row],[Total_Cost]]</f>
        <v>20.805000000000007</v>
      </c>
      <c r="Y1390" s="28">
        <f>RawSalesTable3[[#This Row],[Profit]]/RawSalesTable3[[#This Row],[Revenue]]</f>
        <v>0.36548089591567862</v>
      </c>
      <c r="Z1390" s="27" t="str">
        <f>TEXT(RawSalesTable3[[#This Row],[Order_Date_Clean]],"MMM YYYY")</f>
        <v>Jul 2025</v>
      </c>
      <c r="AA1390" s="27"/>
      <c r="AB1390" s="27">
        <f t="shared" si="152"/>
        <v>0</v>
      </c>
      <c r="AC1390" s="27">
        <f t="shared" si="153"/>
        <v>0</v>
      </c>
    </row>
    <row r="1391" spans="1:29">
      <c r="A1391" t="s">
        <v>1497</v>
      </c>
      <c r="B1391" s="3">
        <v>45900</v>
      </c>
      <c r="C1391" t="s">
        <v>78</v>
      </c>
      <c r="D1391" t="s">
        <v>62</v>
      </c>
      <c r="E1391" t="s">
        <v>56</v>
      </c>
      <c r="F1391" t="s">
        <v>63</v>
      </c>
      <c r="G1391" s="6">
        <v>1</v>
      </c>
      <c r="H1391" s="4">
        <v>39.56</v>
      </c>
      <c r="I1391" s="4">
        <v>19.53</v>
      </c>
      <c r="J1391" s="5">
        <v>0.05</v>
      </c>
      <c r="K1391" s="6">
        <v>6</v>
      </c>
      <c r="L1391" s="6">
        <v>3</v>
      </c>
      <c r="M1391" t="s">
        <v>126</v>
      </c>
      <c r="N1391" t="s">
        <v>59</v>
      </c>
      <c r="O1391" t="s">
        <v>64</v>
      </c>
      <c r="P1391" t="str">
        <f t="shared" si="147"/>
        <v>Individual</v>
      </c>
      <c r="Q1391" t="str">
        <f t="shared" si="148"/>
        <v>London</v>
      </c>
      <c r="R1391" t="str">
        <f>PROPER(TRIM(E1391))</f>
        <v>Home &amp; Kitchen</v>
      </c>
      <c r="S1391" s="27">
        <f>IF(ISTEXT(B1391),DATEVALUE(B1391),B1391)</f>
        <v>45900</v>
      </c>
      <c r="T1391" s="27">
        <f>COUNTIF($A$2:$A$1986,A1391)</f>
        <v>1</v>
      </c>
      <c r="U1391" s="27" t="str">
        <f t="shared" si="149"/>
        <v>Electric Kettle</v>
      </c>
      <c r="V1391" s="27">
        <f t="shared" si="150"/>
        <v>37.582000000000001</v>
      </c>
      <c r="W1391" s="27">
        <f t="shared" si="151"/>
        <v>19.53</v>
      </c>
      <c r="X1391" s="27">
        <f>RawSalesTable3[[#This Row],[Revenue]]-RawSalesTable3[[#This Row],[Total_Cost]]</f>
        <v>18.052</v>
      </c>
      <c r="Y1391" s="28">
        <f>RawSalesTable3[[#This Row],[Profit]]/RawSalesTable3[[#This Row],[Revenue]]</f>
        <v>0.48033633122239366</v>
      </c>
      <c r="Z1391" s="27" t="str">
        <f>TEXT(RawSalesTable3[[#This Row],[Order_Date_Clean]],"MMM YYYY")</f>
        <v>Aug 2025</v>
      </c>
      <c r="AA1391" s="27"/>
      <c r="AB1391" s="27">
        <f t="shared" si="152"/>
        <v>0</v>
      </c>
      <c r="AC1391" s="27">
        <f t="shared" si="153"/>
        <v>0</v>
      </c>
    </row>
    <row r="1392" spans="1:29">
      <c r="A1392" t="s">
        <v>1498</v>
      </c>
      <c r="B1392" s="3">
        <v>46018</v>
      </c>
      <c r="C1392" t="s">
        <v>82</v>
      </c>
      <c r="D1392" t="s">
        <v>55</v>
      </c>
      <c r="E1392" t="s">
        <v>79</v>
      </c>
      <c r="F1392" t="s">
        <v>115</v>
      </c>
      <c r="G1392" s="6">
        <v>4</v>
      </c>
      <c r="H1392" s="4">
        <v>59</v>
      </c>
      <c r="I1392" s="4">
        <v>33.200000000000003</v>
      </c>
      <c r="J1392" s="5">
        <v>0.15000000000000002</v>
      </c>
      <c r="K1392" s="6">
        <v>0</v>
      </c>
      <c r="L1392" s="6">
        <v>4</v>
      </c>
      <c r="M1392" t="s">
        <v>58</v>
      </c>
      <c r="N1392" t="s">
        <v>69</v>
      </c>
      <c r="O1392" t="s">
        <v>73</v>
      </c>
      <c r="P1392" t="str">
        <f t="shared" si="147"/>
        <v>Small Business</v>
      </c>
      <c r="Q1392" t="str">
        <f t="shared" si="148"/>
        <v>Midlands</v>
      </c>
      <c r="R1392" t="str">
        <f>PROPER(TRIM(E1392))</f>
        <v>Electronics</v>
      </c>
      <c r="S1392" s="27">
        <f>IF(ISTEXT(B1392),DATEVALUE(B1392),B1392)</f>
        <v>46018</v>
      </c>
      <c r="T1392" s="27">
        <f>COUNTIF($A$2:$A$1986,A1392)</f>
        <v>1</v>
      </c>
      <c r="U1392" s="27" t="str">
        <f t="shared" si="149"/>
        <v>Wireless Headset</v>
      </c>
      <c r="V1392" s="27">
        <f t="shared" si="150"/>
        <v>200.6</v>
      </c>
      <c r="W1392" s="27">
        <f t="shared" si="151"/>
        <v>132.80000000000001</v>
      </c>
      <c r="X1392" s="27">
        <f>RawSalesTable3[[#This Row],[Revenue]]-RawSalesTable3[[#This Row],[Total_Cost]]</f>
        <v>67.799999999999983</v>
      </c>
      <c r="Y1392" s="28">
        <f>RawSalesTable3[[#This Row],[Profit]]/RawSalesTable3[[#This Row],[Revenue]]</f>
        <v>0.33798604187437681</v>
      </c>
      <c r="Z1392" s="27" t="str">
        <f>TEXT(RawSalesTable3[[#This Row],[Order_Date_Clean]],"MMM YYYY")</f>
        <v>Dec 2025</v>
      </c>
      <c r="AA1392" s="27"/>
      <c r="AB1392" s="27">
        <f t="shared" si="152"/>
        <v>0</v>
      </c>
      <c r="AC1392" s="27">
        <f t="shared" si="153"/>
        <v>0</v>
      </c>
    </row>
    <row r="1393" spans="1:29">
      <c r="A1393" t="s">
        <v>1499</v>
      </c>
      <c r="B1393" s="3">
        <v>45765</v>
      </c>
      <c r="C1393" t="s">
        <v>54</v>
      </c>
      <c r="D1393" t="s">
        <v>62</v>
      </c>
      <c r="E1393" t="s">
        <v>79</v>
      </c>
      <c r="F1393" t="s">
        <v>92</v>
      </c>
      <c r="G1393" s="6">
        <v>1</v>
      </c>
      <c r="H1393" s="4">
        <v>49.99</v>
      </c>
      <c r="I1393" s="4">
        <v>26.78</v>
      </c>
      <c r="J1393" s="5">
        <v>0</v>
      </c>
      <c r="K1393" s="6">
        <v>4</v>
      </c>
      <c r="L1393" s="6">
        <v>4</v>
      </c>
      <c r="M1393" t="s">
        <v>58</v>
      </c>
      <c r="N1393" t="s">
        <v>59</v>
      </c>
      <c r="O1393" t="s">
        <v>60</v>
      </c>
      <c r="P1393" t="str">
        <f t="shared" si="147"/>
        <v>Individual</v>
      </c>
      <c r="Q1393" t="str">
        <f t="shared" si="148"/>
        <v>North</v>
      </c>
      <c r="R1393" t="str">
        <f>PROPER(TRIM(E1393))</f>
        <v>Electronics</v>
      </c>
      <c r="S1393" s="27">
        <f>IF(ISTEXT(B1393),DATEVALUE(B1393),B1393)</f>
        <v>45765</v>
      </c>
      <c r="T1393" s="27">
        <f>COUNTIF($A$2:$A$1986,A1393)</f>
        <v>1</v>
      </c>
      <c r="U1393" s="27" t="str">
        <f t="shared" si="149"/>
        <v>Webcam</v>
      </c>
      <c r="V1393" s="27">
        <f t="shared" si="150"/>
        <v>49.99</v>
      </c>
      <c r="W1393" s="27">
        <f t="shared" si="151"/>
        <v>26.78</v>
      </c>
      <c r="X1393" s="27">
        <f>RawSalesTable3[[#This Row],[Revenue]]-RawSalesTable3[[#This Row],[Total_Cost]]</f>
        <v>23.21</v>
      </c>
      <c r="Y1393" s="28">
        <f>RawSalesTable3[[#This Row],[Profit]]/RawSalesTable3[[#This Row],[Revenue]]</f>
        <v>0.46429285857171432</v>
      </c>
      <c r="Z1393" s="27" t="str">
        <f>TEXT(RawSalesTable3[[#This Row],[Order_Date_Clean]],"MMM YYYY")</f>
        <v>Apr 2025</v>
      </c>
      <c r="AA1393" s="27"/>
      <c r="AB1393" s="27">
        <f t="shared" si="152"/>
        <v>0</v>
      </c>
      <c r="AC1393" s="27">
        <f t="shared" si="153"/>
        <v>0</v>
      </c>
    </row>
    <row r="1394" spans="1:29">
      <c r="A1394" t="s">
        <v>1500</v>
      </c>
      <c r="B1394" s="3">
        <v>45690</v>
      </c>
      <c r="C1394" t="s">
        <v>54</v>
      </c>
      <c r="D1394" t="s">
        <v>55</v>
      </c>
      <c r="E1394" t="s">
        <v>67</v>
      </c>
      <c r="F1394" t="s">
        <v>107</v>
      </c>
      <c r="G1394" s="6">
        <v>3</v>
      </c>
      <c r="H1394" s="4">
        <v>44.55</v>
      </c>
      <c r="I1394" s="4">
        <v>20.87</v>
      </c>
      <c r="J1394" s="5">
        <v>0</v>
      </c>
      <c r="K1394" s="6">
        <v>0</v>
      </c>
      <c r="L1394" s="6">
        <v>5</v>
      </c>
      <c r="M1394" t="s">
        <v>58</v>
      </c>
      <c r="N1394" t="s">
        <v>69</v>
      </c>
      <c r="O1394" t="s">
        <v>64</v>
      </c>
      <c r="P1394" t="str">
        <f t="shared" si="147"/>
        <v>Small Business</v>
      </c>
      <c r="Q1394" t="str">
        <f t="shared" si="148"/>
        <v>North</v>
      </c>
      <c r="R1394" t="str">
        <f>PROPER(TRIM(E1394))</f>
        <v>Office</v>
      </c>
      <c r="S1394" s="27">
        <f>IF(ISTEXT(B1394),DATEVALUE(B1394),B1394)</f>
        <v>45690</v>
      </c>
      <c r="T1394" s="27">
        <f>COUNTIF($A$2:$A$1986,A1394)</f>
        <v>1</v>
      </c>
      <c r="U1394" s="27" t="str">
        <f t="shared" si="149"/>
        <v>Laptop Stand</v>
      </c>
      <c r="V1394" s="27">
        <f t="shared" si="150"/>
        <v>133.64999999999998</v>
      </c>
      <c r="W1394" s="27">
        <f t="shared" si="151"/>
        <v>62.61</v>
      </c>
      <c r="X1394" s="27">
        <f>RawSalesTable3[[#This Row],[Revenue]]-RawSalesTable3[[#This Row],[Total_Cost]]</f>
        <v>71.039999999999978</v>
      </c>
      <c r="Y1394" s="28">
        <f>RawSalesTable3[[#This Row],[Profit]]/RawSalesTable3[[#This Row],[Revenue]]</f>
        <v>0.53153759820426483</v>
      </c>
      <c r="Z1394" s="27" t="str">
        <f>TEXT(RawSalesTable3[[#This Row],[Order_Date_Clean]],"MMM YYYY")</f>
        <v>Feb 2025</v>
      </c>
      <c r="AA1394" s="27"/>
      <c r="AB1394" s="27">
        <f t="shared" si="152"/>
        <v>0</v>
      </c>
      <c r="AC1394" s="27">
        <f t="shared" si="153"/>
        <v>0</v>
      </c>
    </row>
    <row r="1395" spans="1:29">
      <c r="A1395" t="s">
        <v>1501</v>
      </c>
      <c r="B1395" s="3">
        <v>46007</v>
      </c>
      <c r="C1395" t="s">
        <v>78</v>
      </c>
      <c r="D1395" t="s">
        <v>62</v>
      </c>
      <c r="E1395" t="s">
        <v>79</v>
      </c>
      <c r="F1395" t="s">
        <v>85</v>
      </c>
      <c r="G1395" s="6">
        <v>1</v>
      </c>
      <c r="H1395" s="4">
        <v>130.28</v>
      </c>
      <c r="I1395" s="4">
        <v>85.86</v>
      </c>
      <c r="J1395" s="5">
        <v>0.05</v>
      </c>
      <c r="K1395" s="6">
        <v>2</v>
      </c>
      <c r="L1395" s="6">
        <v>3</v>
      </c>
      <c r="M1395" t="s">
        <v>126</v>
      </c>
      <c r="N1395" t="s">
        <v>59</v>
      </c>
      <c r="O1395" t="s">
        <v>73</v>
      </c>
      <c r="P1395" t="str">
        <f t="shared" si="147"/>
        <v>Individual</v>
      </c>
      <c r="Q1395" t="str">
        <f t="shared" si="148"/>
        <v>London</v>
      </c>
      <c r="R1395" t="str">
        <f>PROPER(TRIM(E1395))</f>
        <v>Electronics</v>
      </c>
      <c r="S1395" s="27">
        <f>IF(ISTEXT(B1395),DATEVALUE(B1395),B1395)</f>
        <v>46007</v>
      </c>
      <c r="T1395" s="27">
        <f>COUNTIF($A$2:$A$1986,A1395)</f>
        <v>1</v>
      </c>
      <c r="U1395" s="27" t="str">
        <f t="shared" si="149"/>
        <v>SmartHome Hub</v>
      </c>
      <c r="V1395" s="27">
        <f t="shared" si="150"/>
        <v>123.76599999999999</v>
      </c>
      <c r="W1395" s="27">
        <f t="shared" si="151"/>
        <v>85.86</v>
      </c>
      <c r="X1395" s="27">
        <f>RawSalesTable3[[#This Row],[Revenue]]-RawSalesTable3[[#This Row],[Total_Cost]]</f>
        <v>37.905999999999992</v>
      </c>
      <c r="Y1395" s="28">
        <f>RawSalesTable3[[#This Row],[Profit]]/RawSalesTable3[[#This Row],[Revenue]]</f>
        <v>0.30627151237011774</v>
      </c>
      <c r="Z1395" s="27" t="str">
        <f>TEXT(RawSalesTable3[[#This Row],[Order_Date_Clean]],"MMM YYYY")</f>
        <v>Dec 2025</v>
      </c>
      <c r="AA1395" s="27"/>
      <c r="AB1395" s="27">
        <f t="shared" si="152"/>
        <v>0</v>
      </c>
      <c r="AC1395" s="27">
        <f t="shared" si="153"/>
        <v>0</v>
      </c>
    </row>
    <row r="1396" spans="1:29">
      <c r="A1396" t="s">
        <v>1502</v>
      </c>
      <c r="B1396" s="3">
        <v>46015</v>
      </c>
      <c r="C1396" t="s">
        <v>66</v>
      </c>
      <c r="D1396" t="s">
        <v>62</v>
      </c>
      <c r="E1396" t="s">
        <v>75</v>
      </c>
      <c r="F1396" t="s">
        <v>76</v>
      </c>
      <c r="G1396" s="6">
        <v>2</v>
      </c>
      <c r="H1396" s="4">
        <v>122.65</v>
      </c>
      <c r="I1396" s="4">
        <v>74.3</v>
      </c>
      <c r="J1396" s="5">
        <v>0.05</v>
      </c>
      <c r="K1396" s="6">
        <v>8</v>
      </c>
      <c r="L1396" s="6">
        <v>3</v>
      </c>
      <c r="M1396" t="s">
        <v>58</v>
      </c>
      <c r="N1396" t="s">
        <v>59</v>
      </c>
      <c r="O1396" t="s">
        <v>64</v>
      </c>
      <c r="P1396" t="str">
        <f t="shared" si="147"/>
        <v>Individual</v>
      </c>
      <c r="Q1396" t="str">
        <f t="shared" si="148"/>
        <v>South</v>
      </c>
      <c r="R1396" t="str">
        <f>PROPER(TRIM(E1396))</f>
        <v>Furniture</v>
      </c>
      <c r="S1396" s="27">
        <f>IF(ISTEXT(B1396),DATEVALUE(B1396),B1396)</f>
        <v>46015</v>
      </c>
      <c r="T1396" s="27">
        <f>COUNTIF($A$2:$A$1986,A1396)</f>
        <v>1</v>
      </c>
      <c r="U1396" s="27" t="str">
        <f t="shared" si="149"/>
        <v>Bookshelf</v>
      </c>
      <c r="V1396" s="27">
        <f t="shared" si="150"/>
        <v>233.035</v>
      </c>
      <c r="W1396" s="27">
        <f t="shared" si="151"/>
        <v>148.6</v>
      </c>
      <c r="X1396" s="27">
        <f>RawSalesTable3[[#This Row],[Revenue]]-RawSalesTable3[[#This Row],[Total_Cost]]</f>
        <v>84.435000000000002</v>
      </c>
      <c r="Y1396" s="28">
        <f>RawSalesTable3[[#This Row],[Profit]]/RawSalesTable3[[#This Row],[Revenue]]</f>
        <v>0.36232754736412986</v>
      </c>
      <c r="Z1396" s="27" t="str">
        <f>TEXT(RawSalesTable3[[#This Row],[Order_Date_Clean]],"MMM YYYY")</f>
        <v>Dec 2025</v>
      </c>
      <c r="AA1396" s="27"/>
      <c r="AB1396" s="27">
        <f t="shared" si="152"/>
        <v>0</v>
      </c>
      <c r="AC1396" s="27">
        <f t="shared" si="153"/>
        <v>0</v>
      </c>
    </row>
    <row r="1397" spans="1:29">
      <c r="A1397" t="s">
        <v>1503</v>
      </c>
      <c r="B1397" s="3">
        <v>45688</v>
      </c>
      <c r="C1397" t="s">
        <v>54</v>
      </c>
      <c r="D1397" t="s">
        <v>62</v>
      </c>
      <c r="E1397" t="s">
        <v>56</v>
      </c>
      <c r="F1397" t="s">
        <v>63</v>
      </c>
      <c r="G1397" s="6">
        <v>4</v>
      </c>
      <c r="H1397" s="4">
        <v>41.48</v>
      </c>
      <c r="I1397" s="4">
        <v>21</v>
      </c>
      <c r="J1397" s="5">
        <v>0.1</v>
      </c>
      <c r="K1397" s="6">
        <v>3</v>
      </c>
      <c r="L1397" s="6">
        <v>5</v>
      </c>
      <c r="M1397" t="s">
        <v>58</v>
      </c>
      <c r="N1397" t="s">
        <v>87</v>
      </c>
      <c r="O1397" t="s">
        <v>73</v>
      </c>
      <c r="P1397" t="str">
        <f t="shared" si="147"/>
        <v>Individual</v>
      </c>
      <c r="Q1397" t="str">
        <f t="shared" si="148"/>
        <v>North</v>
      </c>
      <c r="R1397" t="str">
        <f>PROPER(TRIM(E1397))</f>
        <v>Home &amp; Kitchen</v>
      </c>
      <c r="S1397" s="27">
        <f>IF(ISTEXT(B1397),DATEVALUE(B1397),B1397)</f>
        <v>45688</v>
      </c>
      <c r="T1397" s="27">
        <f>COUNTIF($A$2:$A$1986,A1397)</f>
        <v>1</v>
      </c>
      <c r="U1397" s="27" t="str">
        <f t="shared" si="149"/>
        <v>Electric Kettle</v>
      </c>
      <c r="V1397" s="27">
        <f t="shared" si="150"/>
        <v>149.328</v>
      </c>
      <c r="W1397" s="27">
        <f t="shared" si="151"/>
        <v>84</v>
      </c>
      <c r="X1397" s="27">
        <f>RawSalesTable3[[#This Row],[Revenue]]-RawSalesTable3[[#This Row],[Total_Cost]]</f>
        <v>65.328000000000003</v>
      </c>
      <c r="Y1397" s="28">
        <f>RawSalesTable3[[#This Row],[Profit]]/RawSalesTable3[[#This Row],[Revenue]]</f>
        <v>0.4374799099967856</v>
      </c>
      <c r="Z1397" s="27" t="str">
        <f>TEXT(RawSalesTable3[[#This Row],[Order_Date_Clean]],"MMM YYYY")</f>
        <v>Jan 2025</v>
      </c>
      <c r="AA1397" s="27"/>
      <c r="AB1397" s="27">
        <f t="shared" si="152"/>
        <v>0</v>
      </c>
      <c r="AC1397" s="27">
        <f t="shared" si="153"/>
        <v>0</v>
      </c>
    </row>
    <row r="1398" spans="1:29">
      <c r="A1398" t="s">
        <v>1504</v>
      </c>
      <c r="B1398" s="3">
        <v>45722</v>
      </c>
      <c r="C1398" t="s">
        <v>54</v>
      </c>
      <c r="D1398" t="s">
        <v>62</v>
      </c>
      <c r="E1398" t="s">
        <v>79</v>
      </c>
      <c r="F1398" t="s">
        <v>115</v>
      </c>
      <c r="G1398" s="6">
        <v>1</v>
      </c>
      <c r="H1398" s="4">
        <v>59.29</v>
      </c>
      <c r="I1398" s="4">
        <v>34.549999999999997</v>
      </c>
      <c r="J1398" s="5">
        <v>0.1</v>
      </c>
      <c r="K1398" s="6">
        <v>7</v>
      </c>
      <c r="L1398" s="6">
        <v>4</v>
      </c>
      <c r="M1398" t="s">
        <v>58</v>
      </c>
      <c r="N1398" t="s">
        <v>87</v>
      </c>
      <c r="O1398" t="s">
        <v>64</v>
      </c>
      <c r="P1398" t="str">
        <f t="shared" si="147"/>
        <v>Individual</v>
      </c>
      <c r="Q1398" t="str">
        <f t="shared" si="148"/>
        <v>North</v>
      </c>
      <c r="R1398" t="str">
        <f>PROPER(TRIM(E1398))</f>
        <v>Electronics</v>
      </c>
      <c r="S1398" s="27">
        <f>IF(ISTEXT(B1398),DATEVALUE(B1398),B1398)</f>
        <v>45722</v>
      </c>
      <c r="T1398" s="27">
        <f>COUNTIF($A$2:$A$1986,A1398)</f>
        <v>1</v>
      </c>
      <c r="U1398" s="27" t="str">
        <f t="shared" si="149"/>
        <v>Wireless Headset</v>
      </c>
      <c r="V1398" s="27">
        <f t="shared" si="150"/>
        <v>53.360999999999997</v>
      </c>
      <c r="W1398" s="27">
        <f t="shared" si="151"/>
        <v>34.549999999999997</v>
      </c>
      <c r="X1398" s="27">
        <f>RawSalesTable3[[#This Row],[Revenue]]-RawSalesTable3[[#This Row],[Total_Cost]]</f>
        <v>18.811</v>
      </c>
      <c r="Y1398" s="28">
        <f>RawSalesTable3[[#This Row],[Profit]]/RawSalesTable3[[#This Row],[Revenue]]</f>
        <v>0.3525233784974045</v>
      </c>
      <c r="Z1398" s="27" t="str">
        <f>TEXT(RawSalesTable3[[#This Row],[Order_Date_Clean]],"MMM YYYY")</f>
        <v>Mar 2025</v>
      </c>
      <c r="AA1398" s="27"/>
      <c r="AB1398" s="27">
        <f t="shared" si="152"/>
        <v>0</v>
      </c>
      <c r="AC1398" s="27">
        <f t="shared" si="153"/>
        <v>0</v>
      </c>
    </row>
    <row r="1399" spans="1:29">
      <c r="A1399" t="s">
        <v>1505</v>
      </c>
      <c r="B1399" s="3">
        <v>45966</v>
      </c>
      <c r="C1399" t="s">
        <v>54</v>
      </c>
      <c r="D1399" t="s">
        <v>62</v>
      </c>
      <c r="E1399" t="s">
        <v>67</v>
      </c>
      <c r="F1399" t="s">
        <v>68</v>
      </c>
      <c r="G1399" s="6">
        <v>1</v>
      </c>
      <c r="H1399" s="4">
        <v>40.74</v>
      </c>
      <c r="I1399" s="4">
        <v>18.57</v>
      </c>
      <c r="J1399" s="5">
        <v>0.1</v>
      </c>
      <c r="K1399" s="6">
        <v>2</v>
      </c>
      <c r="L1399" s="6">
        <v>5</v>
      </c>
      <c r="M1399" t="s">
        <v>58</v>
      </c>
      <c r="N1399" t="s">
        <v>69</v>
      </c>
      <c r="O1399" t="s">
        <v>64</v>
      </c>
      <c r="P1399" t="str">
        <f t="shared" si="147"/>
        <v>Individual</v>
      </c>
      <c r="Q1399" t="str">
        <f t="shared" si="148"/>
        <v>North</v>
      </c>
      <c r="R1399" t="str">
        <f>PROPER(TRIM(E1399))</f>
        <v>Office</v>
      </c>
      <c r="S1399" s="27">
        <f>IF(ISTEXT(B1399),DATEVALUE(B1399),B1399)</f>
        <v>45966</v>
      </c>
      <c r="T1399" s="27">
        <f>COUNTIF($A$2:$A$1986,A1399)</f>
        <v>1</v>
      </c>
      <c r="U1399" s="27" t="str">
        <f t="shared" si="149"/>
        <v>Desk Lamp</v>
      </c>
      <c r="V1399" s="27">
        <f t="shared" si="150"/>
        <v>36.666000000000004</v>
      </c>
      <c r="W1399" s="27">
        <f t="shared" si="151"/>
        <v>18.57</v>
      </c>
      <c r="X1399" s="27">
        <f>RawSalesTable3[[#This Row],[Revenue]]-RawSalesTable3[[#This Row],[Total_Cost]]</f>
        <v>18.096000000000004</v>
      </c>
      <c r="Y1399" s="28">
        <f>RawSalesTable3[[#This Row],[Profit]]/RawSalesTable3[[#This Row],[Revenue]]</f>
        <v>0.49353624611356572</v>
      </c>
      <c r="Z1399" s="27" t="str">
        <f>TEXT(RawSalesTable3[[#This Row],[Order_Date_Clean]],"MMM YYYY")</f>
        <v>Nov 2025</v>
      </c>
      <c r="AA1399" s="27"/>
      <c r="AB1399" s="27">
        <f t="shared" si="152"/>
        <v>0</v>
      </c>
      <c r="AC1399" s="27">
        <f t="shared" si="153"/>
        <v>0</v>
      </c>
    </row>
    <row r="1400" spans="1:29">
      <c r="A1400" t="s">
        <v>1506</v>
      </c>
      <c r="B1400" s="3">
        <v>45801</v>
      </c>
      <c r="C1400" t="s">
        <v>78</v>
      </c>
      <c r="D1400" t="s">
        <v>62</v>
      </c>
      <c r="E1400" t="s">
        <v>56</v>
      </c>
      <c r="F1400" t="s">
        <v>63</v>
      </c>
      <c r="G1400" s="6">
        <v>1</v>
      </c>
      <c r="H1400" s="4">
        <v>40.07</v>
      </c>
      <c r="I1400" s="4">
        <v>19.809999999999999</v>
      </c>
      <c r="J1400" s="5">
        <v>0.05</v>
      </c>
      <c r="K1400" s="6">
        <v>3</v>
      </c>
      <c r="L1400" s="6">
        <v>4</v>
      </c>
      <c r="M1400" t="s">
        <v>58</v>
      </c>
      <c r="N1400" t="s">
        <v>59</v>
      </c>
      <c r="O1400" t="s">
        <v>60</v>
      </c>
      <c r="P1400" t="str">
        <f t="shared" si="147"/>
        <v>Individual</v>
      </c>
      <c r="Q1400" t="str">
        <f t="shared" si="148"/>
        <v>London</v>
      </c>
      <c r="R1400" t="str">
        <f>PROPER(TRIM(E1400))</f>
        <v>Home &amp; Kitchen</v>
      </c>
      <c r="S1400" s="27">
        <f>IF(ISTEXT(B1400),DATEVALUE(B1400),B1400)</f>
        <v>45801</v>
      </c>
      <c r="T1400" s="27">
        <f>COUNTIF($A$2:$A$1986,A1400)</f>
        <v>1</v>
      </c>
      <c r="U1400" s="27" t="str">
        <f t="shared" si="149"/>
        <v>Electric Kettle</v>
      </c>
      <c r="V1400" s="27">
        <f t="shared" si="150"/>
        <v>38.066499999999998</v>
      </c>
      <c r="W1400" s="27">
        <f t="shared" si="151"/>
        <v>19.809999999999999</v>
      </c>
      <c r="X1400" s="27">
        <f>RawSalesTable3[[#This Row],[Revenue]]-RawSalesTable3[[#This Row],[Total_Cost]]</f>
        <v>18.256499999999999</v>
      </c>
      <c r="Y1400" s="28">
        <f>RawSalesTable3[[#This Row],[Profit]]/RawSalesTable3[[#This Row],[Revenue]]</f>
        <v>0.47959491941733545</v>
      </c>
      <c r="Z1400" s="27" t="str">
        <f>TEXT(RawSalesTable3[[#This Row],[Order_Date_Clean]],"MMM YYYY")</f>
        <v>May 2025</v>
      </c>
      <c r="AA1400" s="27"/>
      <c r="AB1400" s="27">
        <f t="shared" si="152"/>
        <v>0</v>
      </c>
      <c r="AC1400" s="27">
        <f t="shared" si="153"/>
        <v>0</v>
      </c>
    </row>
    <row r="1401" spans="1:29">
      <c r="A1401" t="s">
        <v>1507</v>
      </c>
      <c r="B1401" s="3">
        <v>45985</v>
      </c>
      <c r="C1401" t="s">
        <v>54</v>
      </c>
      <c r="D1401" t="s">
        <v>62</v>
      </c>
      <c r="E1401" t="s">
        <v>75</v>
      </c>
      <c r="F1401" t="s">
        <v>76</v>
      </c>
      <c r="G1401" s="6">
        <v>2</v>
      </c>
      <c r="H1401" s="4">
        <v>118.34</v>
      </c>
      <c r="I1401" s="4">
        <v>74.22</v>
      </c>
      <c r="J1401" s="5">
        <v>0.05</v>
      </c>
      <c r="K1401" s="6">
        <v>7</v>
      </c>
      <c r="L1401" s="6">
        <v>4</v>
      </c>
      <c r="M1401" t="s">
        <v>58</v>
      </c>
      <c r="N1401" t="s">
        <v>59</v>
      </c>
      <c r="O1401" t="s">
        <v>64</v>
      </c>
      <c r="P1401" t="str">
        <f t="shared" si="147"/>
        <v>Individual</v>
      </c>
      <c r="Q1401" t="str">
        <f t="shared" si="148"/>
        <v>North</v>
      </c>
      <c r="R1401" t="str">
        <f>PROPER(TRIM(E1401))</f>
        <v>Furniture</v>
      </c>
      <c r="S1401" s="27">
        <f>IF(ISTEXT(B1401),DATEVALUE(B1401),B1401)</f>
        <v>45985</v>
      </c>
      <c r="T1401" s="27">
        <f>COUNTIF($A$2:$A$1986,A1401)</f>
        <v>1</v>
      </c>
      <c r="U1401" s="27" t="str">
        <f t="shared" si="149"/>
        <v>Bookshelf</v>
      </c>
      <c r="V1401" s="27">
        <f t="shared" si="150"/>
        <v>224.846</v>
      </c>
      <c r="W1401" s="27">
        <f t="shared" si="151"/>
        <v>148.44</v>
      </c>
      <c r="X1401" s="27">
        <f>RawSalesTable3[[#This Row],[Revenue]]-RawSalesTable3[[#This Row],[Total_Cost]]</f>
        <v>76.406000000000006</v>
      </c>
      <c r="Y1401" s="28">
        <f>RawSalesTable3[[#This Row],[Profit]]/RawSalesTable3[[#This Row],[Revenue]]</f>
        <v>0.33981480657872504</v>
      </c>
      <c r="Z1401" s="27" t="str">
        <f>TEXT(RawSalesTable3[[#This Row],[Order_Date_Clean]],"MMM YYYY")</f>
        <v>Nov 2025</v>
      </c>
      <c r="AA1401" s="27"/>
      <c r="AB1401" s="27">
        <f t="shared" si="152"/>
        <v>0</v>
      </c>
      <c r="AC1401" s="27">
        <f t="shared" si="153"/>
        <v>0</v>
      </c>
    </row>
    <row r="1402" spans="1:29">
      <c r="A1402" t="s">
        <v>1508</v>
      </c>
      <c r="B1402" s="3">
        <v>45850</v>
      </c>
      <c r="C1402" t="s">
        <v>78</v>
      </c>
      <c r="D1402" t="s">
        <v>62</v>
      </c>
      <c r="E1402" t="s">
        <v>56</v>
      </c>
      <c r="F1402" t="s">
        <v>83</v>
      </c>
      <c r="G1402" s="6">
        <v>1</v>
      </c>
      <c r="H1402" s="4">
        <v>66.95</v>
      </c>
      <c r="I1402" s="4">
        <v>34.28</v>
      </c>
      <c r="J1402" s="5">
        <v>0.05</v>
      </c>
      <c r="K1402" s="6">
        <v>2</v>
      </c>
      <c r="L1402" s="6">
        <v>5</v>
      </c>
      <c r="M1402" t="s">
        <v>58</v>
      </c>
      <c r="N1402" t="s">
        <v>69</v>
      </c>
      <c r="O1402" t="s">
        <v>73</v>
      </c>
      <c r="P1402" t="str">
        <f t="shared" si="147"/>
        <v>Individual</v>
      </c>
      <c r="Q1402" t="str">
        <f t="shared" si="148"/>
        <v>London</v>
      </c>
      <c r="R1402" t="str">
        <f>PROPER(TRIM(E1402))</f>
        <v>Home &amp; Kitchen</v>
      </c>
      <c r="S1402" s="27">
        <f>IF(ISTEXT(B1402),DATEVALUE(B1402),B1402)</f>
        <v>45850</v>
      </c>
      <c r="T1402" s="27">
        <f>COUNTIF($A$2:$A$1986,A1402)</f>
        <v>1</v>
      </c>
      <c r="U1402" s="27" t="str">
        <f t="shared" si="149"/>
        <v>Blender</v>
      </c>
      <c r="V1402" s="27">
        <f t="shared" si="150"/>
        <v>63.602499999999999</v>
      </c>
      <c r="W1402" s="27">
        <f t="shared" si="151"/>
        <v>34.28</v>
      </c>
      <c r="X1402" s="27">
        <f>RawSalesTable3[[#This Row],[Revenue]]-RawSalesTable3[[#This Row],[Total_Cost]]</f>
        <v>29.322499999999998</v>
      </c>
      <c r="Y1402" s="28">
        <f>RawSalesTable3[[#This Row],[Profit]]/RawSalesTable3[[#This Row],[Revenue]]</f>
        <v>0.46102747533508903</v>
      </c>
      <c r="Z1402" s="27" t="str">
        <f>TEXT(RawSalesTable3[[#This Row],[Order_Date_Clean]],"MMM YYYY")</f>
        <v>Jul 2025</v>
      </c>
      <c r="AA1402" s="27"/>
      <c r="AB1402" s="27">
        <f t="shared" si="152"/>
        <v>0</v>
      </c>
      <c r="AC1402" s="27">
        <f t="shared" si="153"/>
        <v>0</v>
      </c>
    </row>
    <row r="1403" spans="1:29">
      <c r="A1403" t="s">
        <v>1509</v>
      </c>
      <c r="B1403" s="3">
        <v>45819</v>
      </c>
      <c r="C1403" t="s">
        <v>78</v>
      </c>
      <c r="D1403" t="s">
        <v>62</v>
      </c>
      <c r="E1403" t="s">
        <v>79</v>
      </c>
      <c r="F1403" t="s">
        <v>80</v>
      </c>
      <c r="G1403" s="6">
        <v>1</v>
      </c>
      <c r="H1403" s="4">
        <v>77.12</v>
      </c>
      <c r="I1403" s="4">
        <v>44.66</v>
      </c>
      <c r="J1403" s="5">
        <v>0.05</v>
      </c>
      <c r="K1403" s="6">
        <v>5</v>
      </c>
      <c r="L1403" s="6">
        <v>4</v>
      </c>
      <c r="M1403" t="s">
        <v>58</v>
      </c>
      <c r="N1403" t="s">
        <v>59</v>
      </c>
      <c r="O1403" t="s">
        <v>64</v>
      </c>
      <c r="P1403" t="str">
        <f t="shared" si="147"/>
        <v>Individual</v>
      </c>
      <c r="Q1403" t="str">
        <f t="shared" si="148"/>
        <v>London</v>
      </c>
      <c r="R1403" t="str">
        <f>PROPER(TRIM(E1403))</f>
        <v>Electronics</v>
      </c>
      <c r="S1403" s="27">
        <f>IF(ISTEXT(B1403),DATEVALUE(B1403),B1403)</f>
        <v>45819</v>
      </c>
      <c r="T1403" s="27">
        <f>COUNTIF($A$2:$A$1986,A1403)</f>
        <v>1</v>
      </c>
      <c r="U1403" s="27" t="str">
        <f t="shared" si="149"/>
        <v>Portable Speaker</v>
      </c>
      <c r="V1403" s="27">
        <f t="shared" si="150"/>
        <v>73.263999999999996</v>
      </c>
      <c r="W1403" s="27">
        <f t="shared" si="151"/>
        <v>44.66</v>
      </c>
      <c r="X1403" s="27">
        <f>RawSalesTable3[[#This Row],[Revenue]]-RawSalesTable3[[#This Row],[Total_Cost]]</f>
        <v>28.603999999999999</v>
      </c>
      <c r="Y1403" s="28">
        <f>RawSalesTable3[[#This Row],[Profit]]/RawSalesTable3[[#This Row],[Revenue]]</f>
        <v>0.39042367329111161</v>
      </c>
      <c r="Z1403" s="27" t="str">
        <f>TEXT(RawSalesTable3[[#This Row],[Order_Date_Clean]],"MMM YYYY")</f>
        <v>Jun 2025</v>
      </c>
      <c r="AA1403" s="27"/>
      <c r="AB1403" s="27">
        <f t="shared" si="152"/>
        <v>0</v>
      </c>
      <c r="AC1403" s="27">
        <f t="shared" si="153"/>
        <v>0</v>
      </c>
    </row>
    <row r="1404" spans="1:29">
      <c r="A1404" t="s">
        <v>1510</v>
      </c>
      <c r="B1404" s="3">
        <v>45731</v>
      </c>
      <c r="C1404" t="s">
        <v>66</v>
      </c>
      <c r="D1404" t="s">
        <v>62</v>
      </c>
      <c r="E1404" t="s">
        <v>79</v>
      </c>
      <c r="F1404" t="s">
        <v>80</v>
      </c>
      <c r="G1404" s="6">
        <v>3</v>
      </c>
      <c r="H1404" s="4">
        <v>76.47</v>
      </c>
      <c r="I1404" s="4">
        <v>44.49</v>
      </c>
      <c r="J1404" s="5">
        <v>0.2</v>
      </c>
      <c r="K1404" s="6">
        <v>0</v>
      </c>
      <c r="L1404" s="6">
        <v>5</v>
      </c>
      <c r="M1404" t="s">
        <v>58</v>
      </c>
      <c r="N1404" t="s">
        <v>69</v>
      </c>
      <c r="O1404" t="s">
        <v>73</v>
      </c>
      <c r="P1404" t="str">
        <f t="shared" si="147"/>
        <v>Individual</v>
      </c>
      <c r="Q1404" t="str">
        <f t="shared" si="148"/>
        <v>South</v>
      </c>
      <c r="R1404" t="str">
        <f>PROPER(TRIM(E1404))</f>
        <v>Electronics</v>
      </c>
      <c r="S1404" s="27">
        <f>IF(ISTEXT(B1404),DATEVALUE(B1404),B1404)</f>
        <v>45731</v>
      </c>
      <c r="T1404" s="27">
        <f>COUNTIF($A$2:$A$1986,A1404)</f>
        <v>1</v>
      </c>
      <c r="U1404" s="27" t="str">
        <f t="shared" si="149"/>
        <v>Portable Speaker</v>
      </c>
      <c r="V1404" s="27">
        <f t="shared" si="150"/>
        <v>183.52800000000002</v>
      </c>
      <c r="W1404" s="27">
        <f t="shared" si="151"/>
        <v>133.47</v>
      </c>
      <c r="X1404" s="27">
        <f>RawSalesTable3[[#This Row],[Revenue]]-RawSalesTable3[[#This Row],[Total_Cost]]</f>
        <v>50.058000000000021</v>
      </c>
      <c r="Y1404" s="28">
        <f>RawSalesTable3[[#This Row],[Profit]]/RawSalesTable3[[#This Row],[Revenue]]</f>
        <v>0.27275402118477843</v>
      </c>
      <c r="Z1404" s="27" t="str">
        <f>TEXT(RawSalesTable3[[#This Row],[Order_Date_Clean]],"MMM YYYY")</f>
        <v>Mar 2025</v>
      </c>
      <c r="AA1404" s="27"/>
      <c r="AB1404" s="27">
        <f t="shared" si="152"/>
        <v>0</v>
      </c>
      <c r="AC1404" s="27">
        <f t="shared" si="153"/>
        <v>0</v>
      </c>
    </row>
    <row r="1405" spans="1:29">
      <c r="A1405" t="s">
        <v>1511</v>
      </c>
      <c r="B1405" s="3">
        <v>46021</v>
      </c>
      <c r="C1405" t="s">
        <v>54</v>
      </c>
      <c r="D1405" t="s">
        <v>62</v>
      </c>
      <c r="E1405" t="s">
        <v>75</v>
      </c>
      <c r="F1405" t="s">
        <v>146</v>
      </c>
      <c r="G1405" s="6">
        <v>1</v>
      </c>
      <c r="H1405" s="4">
        <v>175.94</v>
      </c>
      <c r="I1405" s="4">
        <v>114.66</v>
      </c>
      <c r="J1405" s="5">
        <v>0.15000000000000002</v>
      </c>
      <c r="K1405" s="6">
        <v>5</v>
      </c>
      <c r="L1405" s="6">
        <v>5</v>
      </c>
      <c r="M1405" t="s">
        <v>58</v>
      </c>
      <c r="N1405" t="s">
        <v>59</v>
      </c>
      <c r="O1405" t="s">
        <v>64</v>
      </c>
      <c r="P1405" t="str">
        <f t="shared" si="147"/>
        <v>Individual</v>
      </c>
      <c r="Q1405" t="str">
        <f t="shared" si="148"/>
        <v>North</v>
      </c>
      <c r="R1405" t="str">
        <f>PROPER(TRIM(E1405))</f>
        <v>Furniture</v>
      </c>
      <c r="S1405" s="27">
        <f>IF(ISTEXT(B1405),DATEVALUE(B1405),B1405)</f>
        <v>46021</v>
      </c>
      <c r="T1405" s="27">
        <f>COUNTIF($A$2:$A$1986,A1405)</f>
        <v>1</v>
      </c>
      <c r="U1405" s="27" t="str">
        <f t="shared" si="149"/>
        <v>Office Chair</v>
      </c>
      <c r="V1405" s="27">
        <f t="shared" si="150"/>
        <v>149.54900000000001</v>
      </c>
      <c r="W1405" s="27">
        <f t="shared" si="151"/>
        <v>114.66</v>
      </c>
      <c r="X1405" s="27">
        <f>RawSalesTable3[[#This Row],[Revenue]]-RawSalesTable3[[#This Row],[Total_Cost]]</f>
        <v>34.88900000000001</v>
      </c>
      <c r="Y1405" s="28">
        <f>RawSalesTable3[[#This Row],[Profit]]/RawSalesTable3[[#This Row],[Revenue]]</f>
        <v>0.23329477295067175</v>
      </c>
      <c r="Z1405" s="27" t="str">
        <f>TEXT(RawSalesTable3[[#This Row],[Order_Date_Clean]],"MMM YYYY")</f>
        <v>Dec 2025</v>
      </c>
      <c r="AA1405" s="27"/>
      <c r="AB1405" s="27">
        <f t="shared" si="152"/>
        <v>0</v>
      </c>
      <c r="AC1405" s="27">
        <f t="shared" si="153"/>
        <v>0</v>
      </c>
    </row>
    <row r="1406" spans="1:29">
      <c r="A1406" t="s">
        <v>1512</v>
      </c>
      <c r="B1406" s="3">
        <v>45928</v>
      </c>
      <c r="C1406" t="s">
        <v>78</v>
      </c>
      <c r="D1406" t="s">
        <v>62</v>
      </c>
      <c r="E1406" t="s">
        <v>79</v>
      </c>
      <c r="F1406" t="s">
        <v>115</v>
      </c>
      <c r="G1406" s="6">
        <v>1</v>
      </c>
      <c r="H1406" s="4">
        <v>58.62</v>
      </c>
      <c r="I1406" s="4">
        <v>33.700000000000003</v>
      </c>
      <c r="J1406" s="5">
        <v>0</v>
      </c>
      <c r="K1406" s="6">
        <v>5</v>
      </c>
      <c r="L1406" s="6">
        <v>5</v>
      </c>
      <c r="M1406" t="s">
        <v>58</v>
      </c>
      <c r="N1406" t="s">
        <v>69</v>
      </c>
      <c r="O1406" t="s">
        <v>64</v>
      </c>
      <c r="P1406" t="str">
        <f t="shared" si="147"/>
        <v>Individual</v>
      </c>
      <c r="Q1406" t="str">
        <f t="shared" si="148"/>
        <v>London</v>
      </c>
      <c r="R1406" t="str">
        <f>PROPER(TRIM(E1406))</f>
        <v>Electronics</v>
      </c>
      <c r="S1406" s="27">
        <f>IF(ISTEXT(B1406),DATEVALUE(B1406),B1406)</f>
        <v>45928</v>
      </c>
      <c r="T1406" s="27">
        <f>COUNTIF($A$2:$A$1986,A1406)</f>
        <v>1</v>
      </c>
      <c r="U1406" s="27" t="str">
        <f t="shared" si="149"/>
        <v>Wireless Headset</v>
      </c>
      <c r="V1406" s="27">
        <f t="shared" si="150"/>
        <v>58.62</v>
      </c>
      <c r="W1406" s="27">
        <f t="shared" si="151"/>
        <v>33.700000000000003</v>
      </c>
      <c r="X1406" s="27">
        <f>RawSalesTable3[[#This Row],[Revenue]]-RawSalesTable3[[#This Row],[Total_Cost]]</f>
        <v>24.919999999999995</v>
      </c>
      <c r="Y1406" s="28">
        <f>RawSalesTable3[[#This Row],[Profit]]/RawSalesTable3[[#This Row],[Revenue]]</f>
        <v>0.4251108836574547</v>
      </c>
      <c r="Z1406" s="27" t="str">
        <f>TEXT(RawSalesTable3[[#This Row],[Order_Date_Clean]],"MMM YYYY")</f>
        <v>Sep 2025</v>
      </c>
      <c r="AA1406" s="27"/>
      <c r="AB1406" s="27">
        <f t="shared" si="152"/>
        <v>0</v>
      </c>
      <c r="AC1406" s="27">
        <f t="shared" si="153"/>
        <v>0</v>
      </c>
    </row>
    <row r="1407" spans="1:29">
      <c r="A1407" t="s">
        <v>1513</v>
      </c>
      <c r="B1407" s="3">
        <v>45990</v>
      </c>
      <c r="C1407" t="s">
        <v>66</v>
      </c>
      <c r="D1407" t="s">
        <v>62</v>
      </c>
      <c r="E1407" t="s">
        <v>75</v>
      </c>
      <c r="F1407" t="s">
        <v>110</v>
      </c>
      <c r="G1407" s="6">
        <v>1</v>
      </c>
      <c r="H1407" s="4">
        <v>156.47999999999999</v>
      </c>
      <c r="I1407" s="4">
        <v>101.72</v>
      </c>
      <c r="J1407" s="5">
        <v>0.15000000000000002</v>
      </c>
      <c r="K1407" s="6">
        <v>6</v>
      </c>
      <c r="L1407" s="6">
        <v>3</v>
      </c>
      <c r="M1407" t="s">
        <v>58</v>
      </c>
      <c r="N1407" t="s">
        <v>59</v>
      </c>
      <c r="O1407" t="s">
        <v>73</v>
      </c>
      <c r="P1407" t="str">
        <f t="shared" si="147"/>
        <v>Individual</v>
      </c>
      <c r="Q1407" t="str">
        <f t="shared" si="148"/>
        <v>South</v>
      </c>
      <c r="R1407" t="str">
        <f>PROPER(TRIM(E1407))</f>
        <v>Furniture</v>
      </c>
      <c r="S1407" s="27">
        <f>IF(ISTEXT(B1407),DATEVALUE(B1407),B1407)</f>
        <v>45990</v>
      </c>
      <c r="T1407" s="27">
        <f>COUNTIF($A$2:$A$1986,A1407)</f>
        <v>1</v>
      </c>
      <c r="U1407" s="27" t="str">
        <f t="shared" si="149"/>
        <v>Storage Cabinet</v>
      </c>
      <c r="V1407" s="27">
        <f t="shared" si="150"/>
        <v>133.00799999999998</v>
      </c>
      <c r="W1407" s="27">
        <f t="shared" si="151"/>
        <v>101.72</v>
      </c>
      <c r="X1407" s="27">
        <f>RawSalesTable3[[#This Row],[Revenue]]-RawSalesTable3[[#This Row],[Total_Cost]]</f>
        <v>31.287999999999982</v>
      </c>
      <c r="Y1407" s="28">
        <f>RawSalesTable3[[#This Row],[Profit]]/RawSalesTable3[[#This Row],[Revenue]]</f>
        <v>0.235233970888969</v>
      </c>
      <c r="Z1407" s="27" t="str">
        <f>TEXT(RawSalesTable3[[#This Row],[Order_Date_Clean]],"MMM YYYY")</f>
        <v>Nov 2025</v>
      </c>
      <c r="AA1407" s="27"/>
      <c r="AB1407" s="27">
        <f t="shared" si="152"/>
        <v>0</v>
      </c>
      <c r="AC1407" s="27">
        <f t="shared" si="153"/>
        <v>0</v>
      </c>
    </row>
    <row r="1408" spans="1:29">
      <c r="A1408" t="s">
        <v>1514</v>
      </c>
      <c r="B1408" s="3">
        <v>45988</v>
      </c>
      <c r="C1408" t="s">
        <v>66</v>
      </c>
      <c r="D1408" t="s">
        <v>62</v>
      </c>
      <c r="E1408" t="s">
        <v>75</v>
      </c>
      <c r="F1408" t="s">
        <v>76</v>
      </c>
      <c r="G1408" s="6">
        <v>2</v>
      </c>
      <c r="H1408" s="4">
        <v>120.19</v>
      </c>
      <c r="I1408" s="4">
        <v>72.87</v>
      </c>
      <c r="J1408" s="5">
        <v>0.15000000000000002</v>
      </c>
      <c r="K1408" s="6">
        <v>8</v>
      </c>
      <c r="L1408" s="6">
        <v>3</v>
      </c>
      <c r="M1408" t="s">
        <v>58</v>
      </c>
      <c r="N1408" t="s">
        <v>59</v>
      </c>
      <c r="O1408" t="s">
        <v>64</v>
      </c>
      <c r="P1408" t="str">
        <f t="shared" si="147"/>
        <v>Individual</v>
      </c>
      <c r="Q1408" t="str">
        <f t="shared" si="148"/>
        <v>South</v>
      </c>
      <c r="R1408" t="str">
        <f>PROPER(TRIM(E1408))</f>
        <v>Furniture</v>
      </c>
      <c r="S1408" s="27">
        <f>IF(ISTEXT(B1408),DATEVALUE(B1408),B1408)</f>
        <v>45988</v>
      </c>
      <c r="T1408" s="27">
        <f>COUNTIF($A$2:$A$1986,A1408)</f>
        <v>1</v>
      </c>
      <c r="U1408" s="27" t="str">
        <f t="shared" si="149"/>
        <v>Bookshelf</v>
      </c>
      <c r="V1408" s="27">
        <f t="shared" si="150"/>
        <v>204.32299999999998</v>
      </c>
      <c r="W1408" s="27">
        <f t="shared" si="151"/>
        <v>145.74</v>
      </c>
      <c r="X1408" s="27">
        <f>RawSalesTable3[[#This Row],[Revenue]]-RawSalesTable3[[#This Row],[Total_Cost]]</f>
        <v>58.58299999999997</v>
      </c>
      <c r="Y1408" s="28">
        <f>RawSalesTable3[[#This Row],[Profit]]/RawSalesTable3[[#This Row],[Revenue]]</f>
        <v>0.28671759909554956</v>
      </c>
      <c r="Z1408" s="27" t="str">
        <f>TEXT(RawSalesTable3[[#This Row],[Order_Date_Clean]],"MMM YYYY")</f>
        <v>Nov 2025</v>
      </c>
      <c r="AA1408" s="27"/>
      <c r="AB1408" s="27">
        <f t="shared" si="152"/>
        <v>0</v>
      </c>
      <c r="AC1408" s="27">
        <f t="shared" si="153"/>
        <v>0</v>
      </c>
    </row>
    <row r="1409" spans="1:29">
      <c r="A1409" t="s">
        <v>1515</v>
      </c>
      <c r="B1409" s="3">
        <v>45758</v>
      </c>
      <c r="C1409" t="s">
        <v>54</v>
      </c>
      <c r="D1409" t="s">
        <v>62</v>
      </c>
      <c r="E1409" t="s">
        <v>67</v>
      </c>
      <c r="F1409" t="s">
        <v>68</v>
      </c>
      <c r="G1409" s="6">
        <v>2</v>
      </c>
      <c r="H1409" s="4">
        <v>41.06</v>
      </c>
      <c r="I1409" s="4">
        <v>19.350000000000001</v>
      </c>
      <c r="J1409" s="5">
        <v>0.1</v>
      </c>
      <c r="K1409" s="6">
        <v>0</v>
      </c>
      <c r="L1409" s="6">
        <v>5</v>
      </c>
      <c r="M1409" t="s">
        <v>58</v>
      </c>
      <c r="N1409" t="s">
        <v>69</v>
      </c>
      <c r="O1409" t="s">
        <v>60</v>
      </c>
      <c r="P1409" t="str">
        <f t="shared" si="147"/>
        <v>Individual</v>
      </c>
      <c r="Q1409" t="str">
        <f t="shared" si="148"/>
        <v>North</v>
      </c>
      <c r="R1409" t="str">
        <f>PROPER(TRIM(E1409))</f>
        <v>Office</v>
      </c>
      <c r="S1409" s="27">
        <f>IF(ISTEXT(B1409),DATEVALUE(B1409),B1409)</f>
        <v>45758</v>
      </c>
      <c r="T1409" s="27">
        <f>COUNTIF($A$2:$A$1986,A1409)</f>
        <v>1</v>
      </c>
      <c r="U1409" s="27" t="str">
        <f t="shared" si="149"/>
        <v>Desk Lamp</v>
      </c>
      <c r="V1409" s="27">
        <f t="shared" si="150"/>
        <v>73.908000000000001</v>
      </c>
      <c r="W1409" s="27">
        <f t="shared" si="151"/>
        <v>38.700000000000003</v>
      </c>
      <c r="X1409" s="27">
        <f>RawSalesTable3[[#This Row],[Revenue]]-RawSalesTable3[[#This Row],[Total_Cost]]</f>
        <v>35.207999999999998</v>
      </c>
      <c r="Y1409" s="28">
        <f>RawSalesTable3[[#This Row],[Profit]]/RawSalesTable3[[#This Row],[Revenue]]</f>
        <v>0.47637603507062831</v>
      </c>
      <c r="Z1409" s="27" t="str">
        <f>TEXT(RawSalesTable3[[#This Row],[Order_Date_Clean]],"MMM YYYY")</f>
        <v>Apr 2025</v>
      </c>
      <c r="AA1409" s="27"/>
      <c r="AB1409" s="27">
        <f t="shared" si="152"/>
        <v>0</v>
      </c>
      <c r="AC1409" s="27">
        <f t="shared" si="153"/>
        <v>0</v>
      </c>
    </row>
    <row r="1410" spans="1:29">
      <c r="A1410" t="s">
        <v>1516</v>
      </c>
      <c r="B1410" s="3">
        <v>46015</v>
      </c>
      <c r="C1410" t="s">
        <v>66</v>
      </c>
      <c r="D1410" t="s">
        <v>62</v>
      </c>
      <c r="E1410" t="s">
        <v>79</v>
      </c>
      <c r="F1410" t="s">
        <v>92</v>
      </c>
      <c r="G1410" s="6">
        <v>3</v>
      </c>
      <c r="H1410" s="4">
        <v>49.17</v>
      </c>
      <c r="I1410" s="4">
        <v>25.76</v>
      </c>
      <c r="J1410" s="5">
        <v>0.15000000000000002</v>
      </c>
      <c r="K1410" s="6">
        <v>1</v>
      </c>
      <c r="L1410" s="6">
        <v>5</v>
      </c>
      <c r="M1410" t="s">
        <v>58</v>
      </c>
      <c r="N1410" t="s">
        <v>69</v>
      </c>
      <c r="O1410" t="s">
        <v>73</v>
      </c>
      <c r="P1410" t="str">
        <f t="shared" ref="P1410:P1473" si="154">IF(TRIM(D1410)="","Unknow",PROPER(TRIM(D1410)))</f>
        <v>Individual</v>
      </c>
      <c r="Q1410" t="str">
        <f t="shared" ref="Q1410:Q1473" si="155">IF(PROPER(TRIM(C1410))="Mid Lands","Midlands",PROPER(TRIM(C1410)))</f>
        <v>South</v>
      </c>
      <c r="R1410" t="str">
        <f>PROPER(TRIM(E1410))</f>
        <v>Electronics</v>
      </c>
      <c r="S1410" s="27">
        <f>IF(ISTEXT(B1410),DATEVALUE(B1410),B1410)</f>
        <v>46015</v>
      </c>
      <c r="T1410" s="27">
        <f>COUNTIF($A$2:$A$1986,A1410)</f>
        <v>1</v>
      </c>
      <c r="U1410" s="27" t="str">
        <f t="shared" ref="U1410:U1473" si="156">TRIM(F1410)</f>
        <v>Webcam</v>
      </c>
      <c r="V1410" s="27">
        <f t="shared" ref="V1410:V1473" si="157">G1410*H1410*(1-J1410)</f>
        <v>125.38349999999998</v>
      </c>
      <c r="W1410" s="27">
        <f t="shared" ref="W1410:W1473" si="158">G1410*I1410</f>
        <v>77.28</v>
      </c>
      <c r="X1410" s="27">
        <f>RawSalesTable3[[#This Row],[Revenue]]-RawSalesTable3[[#This Row],[Total_Cost]]</f>
        <v>48.103499999999983</v>
      </c>
      <c r="Y1410" s="28">
        <f>RawSalesTable3[[#This Row],[Profit]]/RawSalesTable3[[#This Row],[Revenue]]</f>
        <v>0.38365095885822287</v>
      </c>
      <c r="Z1410" s="27" t="str">
        <f>TEXT(RawSalesTable3[[#This Row],[Order_Date_Clean]],"MMM YYYY")</f>
        <v>Dec 2025</v>
      </c>
      <c r="AA1410" s="27"/>
      <c r="AB1410" s="27">
        <f t="shared" ref="AB1410:AB1473" si="159">SUMIF($Z:$Z,AA1410,$V:$V)</f>
        <v>0</v>
      </c>
      <c r="AC1410" s="27">
        <f t="shared" ref="AC1410:AC1473" si="160">SUMIF($Z:$Z,AA1410,$X:$X)</f>
        <v>0</v>
      </c>
    </row>
    <row r="1411" spans="1:29">
      <c r="A1411" t="s">
        <v>1517</v>
      </c>
      <c r="B1411" s="3">
        <v>45792</v>
      </c>
      <c r="C1411" t="s">
        <v>82</v>
      </c>
      <c r="D1411" t="s">
        <v>62</v>
      </c>
      <c r="E1411" t="s">
        <v>56</v>
      </c>
      <c r="F1411" t="s">
        <v>57</v>
      </c>
      <c r="G1411" s="6">
        <v>1</v>
      </c>
      <c r="H1411" s="4">
        <v>110.31</v>
      </c>
      <c r="I1411" s="4">
        <v>66.790000000000006</v>
      </c>
      <c r="J1411" s="5">
        <v>0</v>
      </c>
      <c r="K1411" s="6">
        <v>0</v>
      </c>
      <c r="L1411" s="6">
        <v>4</v>
      </c>
      <c r="M1411" t="s">
        <v>58</v>
      </c>
      <c r="N1411" t="s">
        <v>69</v>
      </c>
      <c r="O1411" t="s">
        <v>64</v>
      </c>
      <c r="P1411" t="str">
        <f t="shared" si="154"/>
        <v>Individual</v>
      </c>
      <c r="Q1411" t="str">
        <f t="shared" si="155"/>
        <v>Midlands</v>
      </c>
      <c r="R1411" t="str">
        <f>PROPER(TRIM(E1411))</f>
        <v>Home &amp; Kitchen</v>
      </c>
      <c r="S1411" s="27">
        <f>IF(ISTEXT(B1411),DATEVALUE(B1411),B1411)</f>
        <v>45792</v>
      </c>
      <c r="T1411" s="27">
        <f>COUNTIF($A$2:$A$1986,A1411)</f>
        <v>1</v>
      </c>
      <c r="U1411" s="27" t="str">
        <f t="shared" si="156"/>
        <v>Air Fryer</v>
      </c>
      <c r="V1411" s="27">
        <f t="shared" si="157"/>
        <v>110.31</v>
      </c>
      <c r="W1411" s="27">
        <f t="shared" si="158"/>
        <v>66.790000000000006</v>
      </c>
      <c r="X1411" s="27">
        <f>RawSalesTable3[[#This Row],[Revenue]]-RawSalesTable3[[#This Row],[Total_Cost]]</f>
        <v>43.519999999999996</v>
      </c>
      <c r="Y1411" s="28">
        <f>RawSalesTable3[[#This Row],[Profit]]/RawSalesTable3[[#This Row],[Revenue]]</f>
        <v>0.39452452180219377</v>
      </c>
      <c r="Z1411" s="27" t="str">
        <f>TEXT(RawSalesTable3[[#This Row],[Order_Date_Clean]],"MMM YYYY")</f>
        <v>May 2025</v>
      </c>
      <c r="AA1411" s="27"/>
      <c r="AB1411" s="27">
        <f t="shared" si="159"/>
        <v>0</v>
      </c>
      <c r="AC1411" s="27">
        <f t="shared" si="160"/>
        <v>0</v>
      </c>
    </row>
    <row r="1412" spans="1:29">
      <c r="A1412" t="s">
        <v>1518</v>
      </c>
      <c r="B1412" s="3">
        <v>45893</v>
      </c>
      <c r="C1412" t="s">
        <v>66</v>
      </c>
      <c r="D1412" t="s">
        <v>62</v>
      </c>
      <c r="E1412" t="s">
        <v>67</v>
      </c>
      <c r="F1412" t="s">
        <v>94</v>
      </c>
      <c r="G1412" s="6">
        <v>1</v>
      </c>
      <c r="H1412" s="4">
        <v>35.630000000000003</v>
      </c>
      <c r="I1412" s="4">
        <v>17.309999999999999</v>
      </c>
      <c r="J1412" s="5">
        <v>0.05</v>
      </c>
      <c r="K1412" s="6">
        <v>3</v>
      </c>
      <c r="L1412" s="6">
        <v>4</v>
      </c>
      <c r="M1412" t="s">
        <v>58</v>
      </c>
      <c r="N1412" t="s">
        <v>59</v>
      </c>
      <c r="O1412" t="s">
        <v>64</v>
      </c>
      <c r="P1412" t="str">
        <f t="shared" si="154"/>
        <v>Individual</v>
      </c>
      <c r="Q1412" t="str">
        <f t="shared" si="155"/>
        <v>South</v>
      </c>
      <c r="R1412" t="str">
        <f>PROPER(TRIM(E1412))</f>
        <v>Office</v>
      </c>
      <c r="S1412" s="27">
        <f>IF(ISTEXT(B1412),DATEVALUE(B1412),B1412)</f>
        <v>45893</v>
      </c>
      <c r="T1412" s="27">
        <f>COUNTIF($A$2:$A$1986,A1412)</f>
        <v>1</v>
      </c>
      <c r="U1412" s="27" t="str">
        <f t="shared" si="156"/>
        <v>Wireless Mouse</v>
      </c>
      <c r="V1412" s="27">
        <f t="shared" si="157"/>
        <v>33.848500000000001</v>
      </c>
      <c r="W1412" s="27">
        <f t="shared" si="158"/>
        <v>17.309999999999999</v>
      </c>
      <c r="X1412" s="27">
        <f>RawSalesTable3[[#This Row],[Revenue]]-RawSalesTable3[[#This Row],[Total_Cost]]</f>
        <v>16.538500000000003</v>
      </c>
      <c r="Y1412" s="28">
        <f>RawSalesTable3[[#This Row],[Profit]]/RawSalesTable3[[#This Row],[Revenue]]</f>
        <v>0.4886036308846774</v>
      </c>
      <c r="Z1412" s="27" t="str">
        <f>TEXT(RawSalesTable3[[#This Row],[Order_Date_Clean]],"MMM YYYY")</f>
        <v>Aug 2025</v>
      </c>
      <c r="AA1412" s="27"/>
      <c r="AB1412" s="27">
        <f t="shared" si="159"/>
        <v>0</v>
      </c>
      <c r="AC1412" s="27">
        <f t="shared" si="160"/>
        <v>0</v>
      </c>
    </row>
    <row r="1413" spans="1:29">
      <c r="A1413" t="s">
        <v>1519</v>
      </c>
      <c r="B1413" s="3">
        <v>45697</v>
      </c>
      <c r="C1413" t="s">
        <v>78</v>
      </c>
      <c r="D1413" t="s">
        <v>55</v>
      </c>
      <c r="E1413" t="s">
        <v>79</v>
      </c>
      <c r="F1413" t="s">
        <v>80</v>
      </c>
      <c r="G1413" s="6">
        <v>4</v>
      </c>
      <c r="H1413" s="4">
        <v>76.930000000000007</v>
      </c>
      <c r="I1413" s="4">
        <v>44.04</v>
      </c>
      <c r="J1413" s="5">
        <v>0.05</v>
      </c>
      <c r="K1413" s="6">
        <v>6</v>
      </c>
      <c r="L1413" s="6">
        <v>4</v>
      </c>
      <c r="M1413" t="s">
        <v>58</v>
      </c>
      <c r="N1413" t="s">
        <v>59</v>
      </c>
      <c r="O1413" t="s">
        <v>60</v>
      </c>
      <c r="P1413" t="str">
        <f t="shared" si="154"/>
        <v>Small Business</v>
      </c>
      <c r="Q1413" t="str">
        <f t="shared" si="155"/>
        <v>London</v>
      </c>
      <c r="R1413" t="str">
        <f>PROPER(TRIM(E1413))</f>
        <v>Electronics</v>
      </c>
      <c r="S1413" s="27">
        <f>IF(ISTEXT(B1413),DATEVALUE(B1413),B1413)</f>
        <v>45697</v>
      </c>
      <c r="T1413" s="27">
        <f>COUNTIF($A$2:$A$1986,A1413)</f>
        <v>1</v>
      </c>
      <c r="U1413" s="27" t="str">
        <f t="shared" si="156"/>
        <v>Portable Speaker</v>
      </c>
      <c r="V1413" s="27">
        <f t="shared" si="157"/>
        <v>292.334</v>
      </c>
      <c r="W1413" s="27">
        <f t="shared" si="158"/>
        <v>176.16</v>
      </c>
      <c r="X1413" s="27">
        <f>RawSalesTable3[[#This Row],[Revenue]]-RawSalesTable3[[#This Row],[Total_Cost]]</f>
        <v>116.17400000000001</v>
      </c>
      <c r="Y1413" s="28">
        <f>RawSalesTable3[[#This Row],[Profit]]/RawSalesTable3[[#This Row],[Revenue]]</f>
        <v>0.39740160227684773</v>
      </c>
      <c r="Z1413" s="27" t="str">
        <f>TEXT(RawSalesTable3[[#This Row],[Order_Date_Clean]],"MMM YYYY")</f>
        <v>Feb 2025</v>
      </c>
      <c r="AA1413" s="27"/>
      <c r="AB1413" s="27">
        <f t="shared" si="159"/>
        <v>0</v>
      </c>
      <c r="AC1413" s="27">
        <f t="shared" si="160"/>
        <v>0</v>
      </c>
    </row>
    <row r="1414" spans="1:29">
      <c r="A1414" t="s">
        <v>1520</v>
      </c>
      <c r="B1414" s="3">
        <v>45795</v>
      </c>
      <c r="C1414" t="s">
        <v>66</v>
      </c>
      <c r="D1414" t="s">
        <v>62</v>
      </c>
      <c r="E1414" t="s">
        <v>67</v>
      </c>
      <c r="F1414" t="s">
        <v>71</v>
      </c>
      <c r="G1414" s="6">
        <v>2</v>
      </c>
      <c r="H1414" s="4">
        <v>70.650000000000006</v>
      </c>
      <c r="I1414" s="4">
        <v>38.49</v>
      </c>
      <c r="J1414" s="5">
        <v>0.05</v>
      </c>
      <c r="K1414" s="6">
        <v>3</v>
      </c>
      <c r="L1414" s="6">
        <v>5</v>
      </c>
      <c r="M1414" t="s">
        <v>58</v>
      </c>
      <c r="N1414" t="s">
        <v>59</v>
      </c>
      <c r="O1414" t="s">
        <v>64</v>
      </c>
      <c r="P1414" t="str">
        <f t="shared" si="154"/>
        <v>Individual</v>
      </c>
      <c r="Q1414" t="str">
        <f t="shared" si="155"/>
        <v>South</v>
      </c>
      <c r="R1414" t="str">
        <f>PROPER(TRIM(E1414))</f>
        <v>Office</v>
      </c>
      <c r="S1414" s="27">
        <f>IF(ISTEXT(B1414),DATEVALUE(B1414),B1414)</f>
        <v>45795</v>
      </c>
      <c r="T1414" s="27">
        <f>COUNTIF($A$2:$A$1986,A1414)</f>
        <v>1</v>
      </c>
      <c r="U1414" s="27" t="str">
        <f t="shared" si="156"/>
        <v>Ergonomic Keyboard</v>
      </c>
      <c r="V1414" s="27">
        <f t="shared" si="157"/>
        <v>134.23500000000001</v>
      </c>
      <c r="W1414" s="27">
        <f t="shared" si="158"/>
        <v>76.98</v>
      </c>
      <c r="X1414" s="27">
        <f>RawSalesTable3[[#This Row],[Revenue]]-RawSalesTable3[[#This Row],[Total_Cost]]</f>
        <v>57.25500000000001</v>
      </c>
      <c r="Y1414" s="28">
        <f>RawSalesTable3[[#This Row],[Profit]]/RawSalesTable3[[#This Row],[Revenue]]</f>
        <v>0.42652810369873734</v>
      </c>
      <c r="Z1414" s="27" t="str">
        <f>TEXT(RawSalesTable3[[#This Row],[Order_Date_Clean]],"MMM YYYY")</f>
        <v>May 2025</v>
      </c>
      <c r="AA1414" s="27"/>
      <c r="AB1414" s="27">
        <f t="shared" si="159"/>
        <v>0</v>
      </c>
      <c r="AC1414" s="27">
        <f t="shared" si="160"/>
        <v>0</v>
      </c>
    </row>
    <row r="1415" spans="1:29">
      <c r="A1415" t="s">
        <v>1521</v>
      </c>
      <c r="B1415" s="3">
        <v>46000</v>
      </c>
      <c r="C1415" t="s">
        <v>82</v>
      </c>
      <c r="D1415" t="s">
        <v>62</v>
      </c>
      <c r="E1415" t="s">
        <v>79</v>
      </c>
      <c r="F1415" t="s">
        <v>92</v>
      </c>
      <c r="G1415" s="6">
        <v>2</v>
      </c>
      <c r="H1415" s="4">
        <v>49.24</v>
      </c>
      <c r="I1415" s="4">
        <v>26.24</v>
      </c>
      <c r="J1415" s="5">
        <v>0.05</v>
      </c>
      <c r="K1415" s="6">
        <v>2</v>
      </c>
      <c r="L1415" s="6">
        <v>4</v>
      </c>
      <c r="M1415" t="s">
        <v>58</v>
      </c>
      <c r="N1415" t="s">
        <v>87</v>
      </c>
      <c r="O1415" t="s">
        <v>64</v>
      </c>
      <c r="P1415" t="str">
        <f t="shared" si="154"/>
        <v>Individual</v>
      </c>
      <c r="Q1415" t="str">
        <f t="shared" si="155"/>
        <v>Midlands</v>
      </c>
      <c r="R1415" t="str">
        <f>PROPER(TRIM(E1415))</f>
        <v>Electronics</v>
      </c>
      <c r="S1415" s="27">
        <f>IF(ISTEXT(B1415),DATEVALUE(B1415),B1415)</f>
        <v>46000</v>
      </c>
      <c r="T1415" s="27">
        <f>COUNTIF($A$2:$A$1986,A1415)</f>
        <v>1</v>
      </c>
      <c r="U1415" s="27" t="str">
        <f t="shared" si="156"/>
        <v>Webcam</v>
      </c>
      <c r="V1415" s="27">
        <f t="shared" si="157"/>
        <v>93.555999999999997</v>
      </c>
      <c r="W1415" s="27">
        <f t="shared" si="158"/>
        <v>52.48</v>
      </c>
      <c r="X1415" s="27">
        <f>RawSalesTable3[[#This Row],[Revenue]]-RawSalesTable3[[#This Row],[Total_Cost]]</f>
        <v>41.076000000000001</v>
      </c>
      <c r="Y1415" s="28">
        <f>RawSalesTable3[[#This Row],[Profit]]/RawSalesTable3[[#This Row],[Revenue]]</f>
        <v>0.43905254606866478</v>
      </c>
      <c r="Z1415" s="27" t="str">
        <f>TEXT(RawSalesTable3[[#This Row],[Order_Date_Clean]],"MMM YYYY")</f>
        <v>Dec 2025</v>
      </c>
      <c r="AA1415" s="27"/>
      <c r="AB1415" s="27">
        <f t="shared" si="159"/>
        <v>0</v>
      </c>
      <c r="AC1415" s="27">
        <f t="shared" si="160"/>
        <v>0</v>
      </c>
    </row>
    <row r="1416" spans="1:29">
      <c r="A1416" t="s">
        <v>1522</v>
      </c>
      <c r="B1416" s="3">
        <v>45799</v>
      </c>
      <c r="C1416" t="s">
        <v>82</v>
      </c>
      <c r="D1416" t="s">
        <v>55</v>
      </c>
      <c r="E1416" t="s">
        <v>56</v>
      </c>
      <c r="F1416" t="s">
        <v>83</v>
      </c>
      <c r="G1416" s="6">
        <v>2</v>
      </c>
      <c r="H1416" s="4">
        <v>66.48</v>
      </c>
      <c r="I1416" s="4">
        <v>34.89</v>
      </c>
      <c r="J1416" s="5">
        <v>0.05</v>
      </c>
      <c r="K1416" s="6">
        <v>3</v>
      </c>
      <c r="L1416" s="6">
        <v>4</v>
      </c>
      <c r="M1416" t="s">
        <v>58</v>
      </c>
      <c r="N1416" t="s">
        <v>59</v>
      </c>
      <c r="O1416" t="s">
        <v>64</v>
      </c>
      <c r="P1416" t="str">
        <f t="shared" si="154"/>
        <v>Small Business</v>
      </c>
      <c r="Q1416" t="str">
        <f t="shared" si="155"/>
        <v>Midlands</v>
      </c>
      <c r="R1416" t="str">
        <f>PROPER(TRIM(E1416))</f>
        <v>Home &amp; Kitchen</v>
      </c>
      <c r="S1416" s="27">
        <f>IF(ISTEXT(B1416),DATEVALUE(B1416),B1416)</f>
        <v>45799</v>
      </c>
      <c r="T1416" s="27">
        <f>COUNTIF($A$2:$A$1986,A1416)</f>
        <v>1</v>
      </c>
      <c r="U1416" s="27" t="str">
        <f t="shared" si="156"/>
        <v>Blender</v>
      </c>
      <c r="V1416" s="27">
        <f t="shared" si="157"/>
        <v>126.312</v>
      </c>
      <c r="W1416" s="27">
        <f t="shared" si="158"/>
        <v>69.78</v>
      </c>
      <c r="X1416" s="27">
        <f>RawSalesTable3[[#This Row],[Revenue]]-RawSalesTable3[[#This Row],[Total_Cost]]</f>
        <v>56.531999999999996</v>
      </c>
      <c r="Y1416" s="28">
        <f>RawSalesTable3[[#This Row],[Profit]]/RawSalesTable3[[#This Row],[Revenue]]</f>
        <v>0.44755842675280255</v>
      </c>
      <c r="Z1416" s="27" t="str">
        <f>TEXT(RawSalesTable3[[#This Row],[Order_Date_Clean]],"MMM YYYY")</f>
        <v>May 2025</v>
      </c>
      <c r="AA1416" s="27"/>
      <c r="AB1416" s="27">
        <f t="shared" si="159"/>
        <v>0</v>
      </c>
      <c r="AC1416" s="27">
        <f t="shared" si="160"/>
        <v>0</v>
      </c>
    </row>
    <row r="1417" spans="1:29">
      <c r="A1417" t="s">
        <v>1523</v>
      </c>
      <c r="B1417" s="3">
        <v>45784</v>
      </c>
      <c r="C1417" t="s">
        <v>66</v>
      </c>
      <c r="D1417" t="s">
        <v>62</v>
      </c>
      <c r="E1417" t="s">
        <v>79</v>
      </c>
      <c r="F1417" t="s">
        <v>80</v>
      </c>
      <c r="G1417" s="6">
        <v>1</v>
      </c>
      <c r="H1417" s="4">
        <v>73.69</v>
      </c>
      <c r="I1417" s="4">
        <v>41.99</v>
      </c>
      <c r="J1417" s="5">
        <v>0.05</v>
      </c>
      <c r="K1417" s="6">
        <v>4</v>
      </c>
      <c r="L1417" s="6">
        <v>5</v>
      </c>
      <c r="M1417" t="s">
        <v>58</v>
      </c>
      <c r="N1417" t="s">
        <v>59</v>
      </c>
      <c r="O1417" t="s">
        <v>64</v>
      </c>
      <c r="P1417" t="str">
        <f t="shared" si="154"/>
        <v>Individual</v>
      </c>
      <c r="Q1417" t="str">
        <f t="shared" si="155"/>
        <v>South</v>
      </c>
      <c r="R1417" t="str">
        <f>PROPER(TRIM(E1417))</f>
        <v>Electronics</v>
      </c>
      <c r="S1417" s="27">
        <f>IF(ISTEXT(B1417),DATEVALUE(B1417),B1417)</f>
        <v>45784</v>
      </c>
      <c r="T1417" s="27">
        <f>COUNTIF($A$2:$A$1986,A1417)</f>
        <v>1</v>
      </c>
      <c r="U1417" s="27" t="str">
        <f t="shared" si="156"/>
        <v>Portable Speaker</v>
      </c>
      <c r="V1417" s="27">
        <f t="shared" si="157"/>
        <v>70.005499999999998</v>
      </c>
      <c r="W1417" s="27">
        <f t="shared" si="158"/>
        <v>41.99</v>
      </c>
      <c r="X1417" s="27">
        <f>RawSalesTable3[[#This Row],[Revenue]]-RawSalesTable3[[#This Row],[Total_Cost]]</f>
        <v>28.015499999999996</v>
      </c>
      <c r="Y1417" s="28">
        <f>RawSalesTable3[[#This Row],[Profit]]/RawSalesTable3[[#This Row],[Revenue]]</f>
        <v>0.4001899850726014</v>
      </c>
      <c r="Z1417" s="27" t="str">
        <f>TEXT(RawSalesTable3[[#This Row],[Order_Date_Clean]],"MMM YYYY")</f>
        <v>May 2025</v>
      </c>
      <c r="AA1417" s="27"/>
      <c r="AB1417" s="27">
        <f t="shared" si="159"/>
        <v>0</v>
      </c>
      <c r="AC1417" s="27">
        <f t="shared" si="160"/>
        <v>0</v>
      </c>
    </row>
    <row r="1418" spans="1:29">
      <c r="A1418" t="s">
        <v>1524</v>
      </c>
      <c r="B1418" s="3">
        <v>45976</v>
      </c>
      <c r="C1418" t="s">
        <v>82</v>
      </c>
      <c r="D1418" t="s">
        <v>62</v>
      </c>
      <c r="E1418" t="s">
        <v>56</v>
      </c>
      <c r="F1418" t="s">
        <v>57</v>
      </c>
      <c r="G1418" s="6">
        <v>1</v>
      </c>
      <c r="H1418" s="4">
        <v>113.22</v>
      </c>
      <c r="I1418" s="4">
        <v>65.86</v>
      </c>
      <c r="J1418" s="5">
        <v>0.1</v>
      </c>
      <c r="K1418" s="6">
        <v>1</v>
      </c>
      <c r="L1418" s="6">
        <v>4</v>
      </c>
      <c r="M1418" t="s">
        <v>58</v>
      </c>
      <c r="N1418" t="s">
        <v>59</v>
      </c>
      <c r="O1418" t="s">
        <v>64</v>
      </c>
      <c r="P1418" t="str">
        <f t="shared" si="154"/>
        <v>Individual</v>
      </c>
      <c r="Q1418" t="str">
        <f t="shared" si="155"/>
        <v>Midlands</v>
      </c>
      <c r="R1418" t="str">
        <f>PROPER(TRIM(E1418))</f>
        <v>Home &amp; Kitchen</v>
      </c>
      <c r="S1418" s="27">
        <f>IF(ISTEXT(B1418),DATEVALUE(B1418),B1418)</f>
        <v>45976</v>
      </c>
      <c r="T1418" s="27">
        <f>COUNTIF($A$2:$A$1986,A1418)</f>
        <v>1</v>
      </c>
      <c r="U1418" s="27" t="str">
        <f t="shared" si="156"/>
        <v>Air Fryer</v>
      </c>
      <c r="V1418" s="27">
        <f t="shared" si="157"/>
        <v>101.898</v>
      </c>
      <c r="W1418" s="27">
        <f t="shared" si="158"/>
        <v>65.86</v>
      </c>
      <c r="X1418" s="27">
        <f>RawSalesTable3[[#This Row],[Revenue]]-RawSalesTable3[[#This Row],[Total_Cost]]</f>
        <v>36.037999999999997</v>
      </c>
      <c r="Y1418" s="28">
        <f>RawSalesTable3[[#This Row],[Profit]]/RawSalesTable3[[#This Row],[Revenue]]</f>
        <v>0.35366739288307913</v>
      </c>
      <c r="Z1418" s="27" t="str">
        <f>TEXT(RawSalesTable3[[#This Row],[Order_Date_Clean]],"MMM YYYY")</f>
        <v>Nov 2025</v>
      </c>
      <c r="AA1418" s="27"/>
      <c r="AB1418" s="27">
        <f t="shared" si="159"/>
        <v>0</v>
      </c>
      <c r="AC1418" s="27">
        <f t="shared" si="160"/>
        <v>0</v>
      </c>
    </row>
    <row r="1419" spans="1:29">
      <c r="A1419" t="s">
        <v>1525</v>
      </c>
      <c r="B1419" s="3">
        <v>45710</v>
      </c>
      <c r="C1419" t="s">
        <v>54</v>
      </c>
      <c r="D1419" t="s">
        <v>55</v>
      </c>
      <c r="E1419" t="s">
        <v>79</v>
      </c>
      <c r="F1419" t="s">
        <v>92</v>
      </c>
      <c r="G1419" s="6">
        <v>4</v>
      </c>
      <c r="H1419" s="4">
        <v>50.02</v>
      </c>
      <c r="I1419" s="4">
        <v>27.08</v>
      </c>
      <c r="J1419" s="5">
        <v>0</v>
      </c>
      <c r="K1419" s="6">
        <v>0</v>
      </c>
      <c r="L1419" s="6">
        <v>4</v>
      </c>
      <c r="M1419" t="s">
        <v>58</v>
      </c>
      <c r="N1419" t="s">
        <v>69</v>
      </c>
      <c r="O1419" t="s">
        <v>64</v>
      </c>
      <c r="P1419" t="str">
        <f t="shared" si="154"/>
        <v>Small Business</v>
      </c>
      <c r="Q1419" t="str">
        <f t="shared" si="155"/>
        <v>North</v>
      </c>
      <c r="R1419" t="str">
        <f>PROPER(TRIM(E1419))</f>
        <v>Electronics</v>
      </c>
      <c r="S1419" s="27">
        <f>IF(ISTEXT(B1419),DATEVALUE(B1419),B1419)</f>
        <v>45710</v>
      </c>
      <c r="T1419" s="27">
        <f>COUNTIF($A$2:$A$1986,A1419)</f>
        <v>1</v>
      </c>
      <c r="U1419" s="27" t="str">
        <f t="shared" si="156"/>
        <v>Webcam</v>
      </c>
      <c r="V1419" s="27">
        <f t="shared" si="157"/>
        <v>200.08</v>
      </c>
      <c r="W1419" s="27">
        <f t="shared" si="158"/>
        <v>108.32</v>
      </c>
      <c r="X1419" s="27">
        <f>RawSalesTable3[[#This Row],[Revenue]]-RawSalesTable3[[#This Row],[Total_Cost]]</f>
        <v>91.760000000000019</v>
      </c>
      <c r="Y1419" s="28">
        <f>RawSalesTable3[[#This Row],[Profit]]/RawSalesTable3[[#This Row],[Revenue]]</f>
        <v>0.45861655337864859</v>
      </c>
      <c r="Z1419" s="27" t="str">
        <f>TEXT(RawSalesTable3[[#This Row],[Order_Date_Clean]],"MMM YYYY")</f>
        <v>Feb 2025</v>
      </c>
      <c r="AA1419" s="27"/>
      <c r="AB1419" s="27">
        <f t="shared" si="159"/>
        <v>0</v>
      </c>
      <c r="AC1419" s="27">
        <f t="shared" si="160"/>
        <v>0</v>
      </c>
    </row>
    <row r="1420" spans="1:29">
      <c r="A1420" t="s">
        <v>1526</v>
      </c>
      <c r="B1420" s="3">
        <v>46003</v>
      </c>
      <c r="C1420" t="s">
        <v>66</v>
      </c>
      <c r="D1420" t="s">
        <v>62</v>
      </c>
      <c r="E1420" t="s">
        <v>56</v>
      </c>
      <c r="F1420" t="s">
        <v>63</v>
      </c>
      <c r="G1420" s="6">
        <v>2</v>
      </c>
      <c r="H1420" s="4">
        <v>40.5</v>
      </c>
      <c r="I1420" s="4">
        <v>20.45</v>
      </c>
      <c r="J1420" s="5">
        <v>0.25</v>
      </c>
      <c r="K1420" s="6">
        <v>4</v>
      </c>
      <c r="L1420" s="6">
        <v>4</v>
      </c>
      <c r="M1420" t="s">
        <v>58</v>
      </c>
      <c r="N1420" t="s">
        <v>59</v>
      </c>
      <c r="O1420" t="s">
        <v>64</v>
      </c>
      <c r="P1420" t="str">
        <f t="shared" si="154"/>
        <v>Individual</v>
      </c>
      <c r="Q1420" t="str">
        <f t="shared" si="155"/>
        <v>South</v>
      </c>
      <c r="R1420" t="str">
        <f>PROPER(TRIM(E1420))</f>
        <v>Home &amp; Kitchen</v>
      </c>
      <c r="S1420" s="27">
        <f>IF(ISTEXT(B1420),DATEVALUE(B1420),B1420)</f>
        <v>46003</v>
      </c>
      <c r="T1420" s="27">
        <f>COUNTIF($A$2:$A$1986,A1420)</f>
        <v>1</v>
      </c>
      <c r="U1420" s="27" t="str">
        <f t="shared" si="156"/>
        <v>Electric Kettle</v>
      </c>
      <c r="V1420" s="27">
        <f t="shared" si="157"/>
        <v>60.75</v>
      </c>
      <c r="W1420" s="27">
        <f t="shared" si="158"/>
        <v>40.9</v>
      </c>
      <c r="X1420" s="27">
        <f>RawSalesTable3[[#This Row],[Revenue]]-RawSalesTable3[[#This Row],[Total_Cost]]</f>
        <v>19.850000000000001</v>
      </c>
      <c r="Y1420" s="28">
        <f>RawSalesTable3[[#This Row],[Profit]]/RawSalesTable3[[#This Row],[Revenue]]</f>
        <v>0.32674897119341567</v>
      </c>
      <c r="Z1420" s="27" t="str">
        <f>TEXT(RawSalesTable3[[#This Row],[Order_Date_Clean]],"MMM YYYY")</f>
        <v>Dec 2025</v>
      </c>
      <c r="AA1420" s="27"/>
      <c r="AB1420" s="27">
        <f t="shared" si="159"/>
        <v>0</v>
      </c>
      <c r="AC1420" s="27">
        <f t="shared" si="160"/>
        <v>0</v>
      </c>
    </row>
    <row r="1421" spans="1:29">
      <c r="A1421" t="s">
        <v>1527</v>
      </c>
      <c r="B1421" s="3">
        <v>45832</v>
      </c>
      <c r="C1421" t="s">
        <v>82</v>
      </c>
      <c r="D1421" t="s">
        <v>55</v>
      </c>
      <c r="E1421" t="s">
        <v>56</v>
      </c>
      <c r="F1421" t="s">
        <v>63</v>
      </c>
      <c r="G1421" s="6">
        <v>1</v>
      </c>
      <c r="H1421" s="4">
        <v>40.770000000000003</v>
      </c>
      <c r="I1421" s="4">
        <v>19.809999999999999</v>
      </c>
      <c r="J1421" s="5">
        <v>0</v>
      </c>
      <c r="K1421" s="6">
        <v>3</v>
      </c>
      <c r="L1421" s="6">
        <v>5</v>
      </c>
      <c r="M1421" t="s">
        <v>58</v>
      </c>
      <c r="N1421" t="s">
        <v>59</v>
      </c>
      <c r="O1421" t="s">
        <v>64</v>
      </c>
      <c r="P1421" t="str">
        <f t="shared" si="154"/>
        <v>Small Business</v>
      </c>
      <c r="Q1421" t="str">
        <f t="shared" si="155"/>
        <v>Midlands</v>
      </c>
      <c r="R1421" t="str">
        <f>PROPER(TRIM(E1421))</f>
        <v>Home &amp; Kitchen</v>
      </c>
      <c r="S1421" s="27">
        <f>IF(ISTEXT(B1421),DATEVALUE(B1421),B1421)</f>
        <v>45832</v>
      </c>
      <c r="T1421" s="27">
        <f>COUNTIF($A$2:$A$1986,A1421)</f>
        <v>1</v>
      </c>
      <c r="U1421" s="27" t="str">
        <f t="shared" si="156"/>
        <v>Electric Kettle</v>
      </c>
      <c r="V1421" s="27">
        <f t="shared" si="157"/>
        <v>40.770000000000003</v>
      </c>
      <c r="W1421" s="27">
        <f t="shared" si="158"/>
        <v>19.809999999999999</v>
      </c>
      <c r="X1421" s="27">
        <f>RawSalesTable3[[#This Row],[Revenue]]-RawSalesTable3[[#This Row],[Total_Cost]]</f>
        <v>20.960000000000004</v>
      </c>
      <c r="Y1421" s="28">
        <f>RawSalesTable3[[#This Row],[Profit]]/RawSalesTable3[[#This Row],[Revenue]]</f>
        <v>0.51410350748099098</v>
      </c>
      <c r="Z1421" s="27" t="str">
        <f>TEXT(RawSalesTable3[[#This Row],[Order_Date_Clean]],"MMM YYYY")</f>
        <v>Jun 2025</v>
      </c>
      <c r="AA1421" s="27"/>
      <c r="AB1421" s="27">
        <f t="shared" si="159"/>
        <v>0</v>
      </c>
      <c r="AC1421" s="27">
        <f t="shared" si="160"/>
        <v>0</v>
      </c>
    </row>
    <row r="1422" spans="1:29">
      <c r="A1422" t="s">
        <v>1528</v>
      </c>
      <c r="B1422" s="3">
        <v>45719</v>
      </c>
      <c r="C1422" t="s">
        <v>66</v>
      </c>
      <c r="D1422" t="s">
        <v>62</v>
      </c>
      <c r="E1422" t="s">
        <v>56</v>
      </c>
      <c r="F1422" t="s">
        <v>57</v>
      </c>
      <c r="G1422" s="6">
        <v>3</v>
      </c>
      <c r="H1422" s="4">
        <v>111.49</v>
      </c>
      <c r="I1422" s="4">
        <v>69.78</v>
      </c>
      <c r="J1422" s="5">
        <v>0.15000000000000002</v>
      </c>
      <c r="K1422" s="6">
        <v>3</v>
      </c>
      <c r="L1422" s="6">
        <v>4</v>
      </c>
      <c r="M1422" t="s">
        <v>58</v>
      </c>
      <c r="N1422" t="s">
        <v>59</v>
      </c>
      <c r="O1422" t="s">
        <v>64</v>
      </c>
      <c r="P1422" t="str">
        <f t="shared" si="154"/>
        <v>Individual</v>
      </c>
      <c r="Q1422" t="str">
        <f t="shared" si="155"/>
        <v>South</v>
      </c>
      <c r="R1422" t="str">
        <f>PROPER(TRIM(E1422))</f>
        <v>Home &amp; Kitchen</v>
      </c>
      <c r="S1422" s="27">
        <f>IF(ISTEXT(B1422),DATEVALUE(B1422),B1422)</f>
        <v>45719</v>
      </c>
      <c r="T1422" s="27">
        <f>COUNTIF($A$2:$A$1986,A1422)</f>
        <v>1</v>
      </c>
      <c r="U1422" s="27" t="str">
        <f t="shared" si="156"/>
        <v>Air Fryer</v>
      </c>
      <c r="V1422" s="27">
        <f t="shared" si="157"/>
        <v>284.29949999999997</v>
      </c>
      <c r="W1422" s="27">
        <f t="shared" si="158"/>
        <v>209.34</v>
      </c>
      <c r="X1422" s="27">
        <f>RawSalesTable3[[#This Row],[Revenue]]-RawSalesTable3[[#This Row],[Total_Cost]]</f>
        <v>74.959499999999963</v>
      </c>
      <c r="Y1422" s="28">
        <f>RawSalesTable3[[#This Row],[Profit]]/RawSalesTable3[[#This Row],[Revenue]]</f>
        <v>0.26366384745664334</v>
      </c>
      <c r="Z1422" s="27" t="str">
        <f>TEXT(RawSalesTable3[[#This Row],[Order_Date_Clean]],"MMM YYYY")</f>
        <v>Mar 2025</v>
      </c>
      <c r="AA1422" s="27"/>
      <c r="AB1422" s="27">
        <f t="shared" si="159"/>
        <v>0</v>
      </c>
      <c r="AC1422" s="27">
        <f t="shared" si="160"/>
        <v>0</v>
      </c>
    </row>
    <row r="1423" spans="1:29">
      <c r="A1423" t="s">
        <v>1529</v>
      </c>
      <c r="B1423" s="3">
        <v>45857</v>
      </c>
      <c r="C1423" t="s">
        <v>54</v>
      </c>
      <c r="D1423" t="s">
        <v>62</v>
      </c>
      <c r="E1423" t="s">
        <v>67</v>
      </c>
      <c r="F1423" t="s">
        <v>68</v>
      </c>
      <c r="G1423" s="6">
        <v>2</v>
      </c>
      <c r="H1423" s="4">
        <v>38.799999999999997</v>
      </c>
      <c r="I1423" s="4">
        <v>19.78</v>
      </c>
      <c r="J1423" s="5">
        <v>0</v>
      </c>
      <c r="K1423" s="6">
        <v>0</v>
      </c>
      <c r="L1423" s="6">
        <v>5</v>
      </c>
      <c r="M1423" t="s">
        <v>58</v>
      </c>
      <c r="N1423" t="s">
        <v>69</v>
      </c>
      <c r="O1423" t="s">
        <v>64</v>
      </c>
      <c r="P1423" t="str">
        <f t="shared" si="154"/>
        <v>Individual</v>
      </c>
      <c r="Q1423" t="str">
        <f t="shared" si="155"/>
        <v>North</v>
      </c>
      <c r="R1423" t="str">
        <f>PROPER(TRIM(E1423))</f>
        <v>Office</v>
      </c>
      <c r="S1423" s="27">
        <f>IF(ISTEXT(B1423),DATEVALUE(B1423),B1423)</f>
        <v>45857</v>
      </c>
      <c r="T1423" s="27">
        <f>COUNTIF($A$2:$A$1986,A1423)</f>
        <v>1</v>
      </c>
      <c r="U1423" s="27" t="str">
        <f t="shared" si="156"/>
        <v>Desk Lamp</v>
      </c>
      <c r="V1423" s="27">
        <f t="shared" si="157"/>
        <v>77.599999999999994</v>
      </c>
      <c r="W1423" s="27">
        <f t="shared" si="158"/>
        <v>39.56</v>
      </c>
      <c r="X1423" s="27">
        <f>RawSalesTable3[[#This Row],[Revenue]]-RawSalesTable3[[#This Row],[Total_Cost]]</f>
        <v>38.039999999999992</v>
      </c>
      <c r="Y1423" s="28">
        <f>RawSalesTable3[[#This Row],[Profit]]/RawSalesTable3[[#This Row],[Revenue]]</f>
        <v>0.49020618556701023</v>
      </c>
      <c r="Z1423" s="27" t="str">
        <f>TEXT(RawSalesTable3[[#This Row],[Order_Date_Clean]],"MMM YYYY")</f>
        <v>Jul 2025</v>
      </c>
      <c r="AA1423" s="27"/>
      <c r="AB1423" s="27">
        <f t="shared" si="159"/>
        <v>0</v>
      </c>
      <c r="AC1423" s="27">
        <f t="shared" si="160"/>
        <v>0</v>
      </c>
    </row>
    <row r="1424" spans="1:29">
      <c r="A1424" t="s">
        <v>1530</v>
      </c>
      <c r="B1424" s="3">
        <v>45764</v>
      </c>
      <c r="C1424" t="s">
        <v>54</v>
      </c>
      <c r="D1424" t="s">
        <v>62</v>
      </c>
      <c r="E1424" t="s">
        <v>79</v>
      </c>
      <c r="F1424" t="s">
        <v>80</v>
      </c>
      <c r="G1424" s="6">
        <v>3</v>
      </c>
      <c r="H1424" s="4">
        <v>76.08</v>
      </c>
      <c r="I1424" s="4">
        <v>45.01</v>
      </c>
      <c r="J1424" s="5">
        <v>0</v>
      </c>
      <c r="K1424" s="6">
        <v>6</v>
      </c>
      <c r="L1424" s="6">
        <v>4</v>
      </c>
      <c r="M1424" t="s">
        <v>58</v>
      </c>
      <c r="N1424" t="s">
        <v>59</v>
      </c>
      <c r="O1424" t="s">
        <v>73</v>
      </c>
      <c r="P1424" t="str">
        <f t="shared" si="154"/>
        <v>Individual</v>
      </c>
      <c r="Q1424" t="str">
        <f t="shared" si="155"/>
        <v>North</v>
      </c>
      <c r="R1424" t="str">
        <f>PROPER(TRIM(E1424))</f>
        <v>Electronics</v>
      </c>
      <c r="S1424" s="27">
        <f>IF(ISTEXT(B1424),DATEVALUE(B1424),B1424)</f>
        <v>45764</v>
      </c>
      <c r="T1424" s="27">
        <f>COUNTIF($A$2:$A$1986,A1424)</f>
        <v>1</v>
      </c>
      <c r="U1424" s="27" t="str">
        <f t="shared" si="156"/>
        <v>Portable Speaker</v>
      </c>
      <c r="V1424" s="27">
        <f t="shared" si="157"/>
        <v>228.24</v>
      </c>
      <c r="W1424" s="27">
        <f t="shared" si="158"/>
        <v>135.03</v>
      </c>
      <c r="X1424" s="27">
        <f>RawSalesTable3[[#This Row],[Revenue]]-RawSalesTable3[[#This Row],[Total_Cost]]</f>
        <v>93.210000000000008</v>
      </c>
      <c r="Y1424" s="28">
        <f>RawSalesTable3[[#This Row],[Profit]]/RawSalesTable3[[#This Row],[Revenue]]</f>
        <v>0.40838590956887488</v>
      </c>
      <c r="Z1424" s="27" t="str">
        <f>TEXT(RawSalesTable3[[#This Row],[Order_Date_Clean]],"MMM YYYY")</f>
        <v>Apr 2025</v>
      </c>
      <c r="AA1424" s="27"/>
      <c r="AB1424" s="27">
        <f t="shared" si="159"/>
        <v>0</v>
      </c>
      <c r="AC1424" s="27">
        <f t="shared" si="160"/>
        <v>0</v>
      </c>
    </row>
    <row r="1425" spans="1:29">
      <c r="A1425" t="s">
        <v>1531</v>
      </c>
      <c r="B1425" s="3">
        <v>45697</v>
      </c>
      <c r="C1425" t="s">
        <v>82</v>
      </c>
      <c r="D1425" t="s">
        <v>55</v>
      </c>
      <c r="E1425" t="s">
        <v>75</v>
      </c>
      <c r="F1425" t="s">
        <v>76</v>
      </c>
      <c r="G1425" s="6">
        <v>3</v>
      </c>
      <c r="H1425" s="4">
        <v>120.58</v>
      </c>
      <c r="I1425" s="4">
        <v>74.430000000000007</v>
      </c>
      <c r="J1425" s="5">
        <v>0.05</v>
      </c>
      <c r="K1425" s="6">
        <v>2</v>
      </c>
      <c r="L1425" s="6">
        <v>4</v>
      </c>
      <c r="M1425" t="s">
        <v>58</v>
      </c>
      <c r="N1425" t="s">
        <v>69</v>
      </c>
      <c r="O1425" t="s">
        <v>64</v>
      </c>
      <c r="P1425" t="str">
        <f t="shared" si="154"/>
        <v>Small Business</v>
      </c>
      <c r="Q1425" t="str">
        <f t="shared" si="155"/>
        <v>Midlands</v>
      </c>
      <c r="R1425" t="str">
        <f>PROPER(TRIM(E1425))</f>
        <v>Furniture</v>
      </c>
      <c r="S1425" s="27">
        <f>IF(ISTEXT(B1425),DATEVALUE(B1425),B1425)</f>
        <v>45697</v>
      </c>
      <c r="T1425" s="27">
        <f>COUNTIF($A$2:$A$1986,A1425)</f>
        <v>1</v>
      </c>
      <c r="U1425" s="27" t="str">
        <f t="shared" si="156"/>
        <v>Bookshelf</v>
      </c>
      <c r="V1425" s="27">
        <f t="shared" si="157"/>
        <v>343.65300000000002</v>
      </c>
      <c r="W1425" s="27">
        <f t="shared" si="158"/>
        <v>223.29000000000002</v>
      </c>
      <c r="X1425" s="27">
        <f>RawSalesTable3[[#This Row],[Revenue]]-RawSalesTable3[[#This Row],[Total_Cost]]</f>
        <v>120.363</v>
      </c>
      <c r="Y1425" s="28">
        <f>RawSalesTable3[[#This Row],[Profit]]/RawSalesTable3[[#This Row],[Revenue]]</f>
        <v>0.35024574207121717</v>
      </c>
      <c r="Z1425" s="27" t="str">
        <f>TEXT(RawSalesTable3[[#This Row],[Order_Date_Clean]],"MMM YYYY")</f>
        <v>Feb 2025</v>
      </c>
      <c r="AA1425" s="27"/>
      <c r="AB1425" s="27">
        <f t="shared" si="159"/>
        <v>0</v>
      </c>
      <c r="AC1425" s="27">
        <f t="shared" si="160"/>
        <v>0</v>
      </c>
    </row>
    <row r="1426" spans="1:29">
      <c r="A1426" t="s">
        <v>1532</v>
      </c>
      <c r="B1426" s="3">
        <v>45989</v>
      </c>
      <c r="C1426" t="s">
        <v>78</v>
      </c>
      <c r="D1426" t="s">
        <v>62</v>
      </c>
      <c r="E1426" t="s">
        <v>67</v>
      </c>
      <c r="F1426" t="s">
        <v>107</v>
      </c>
      <c r="G1426" s="6">
        <v>1</v>
      </c>
      <c r="H1426" s="4">
        <v>45.57</v>
      </c>
      <c r="I1426" s="4">
        <v>21.9</v>
      </c>
      <c r="J1426" s="5">
        <v>0.1</v>
      </c>
      <c r="K1426" s="6">
        <v>1</v>
      </c>
      <c r="L1426" s="6">
        <v>4</v>
      </c>
      <c r="M1426" t="s">
        <v>58</v>
      </c>
      <c r="N1426" t="s">
        <v>59</v>
      </c>
      <c r="O1426" t="s">
        <v>64</v>
      </c>
      <c r="P1426" t="str">
        <f t="shared" si="154"/>
        <v>Individual</v>
      </c>
      <c r="Q1426" t="str">
        <f t="shared" si="155"/>
        <v>London</v>
      </c>
      <c r="R1426" t="str">
        <f>PROPER(TRIM(E1426))</f>
        <v>Office</v>
      </c>
      <c r="S1426" s="27">
        <f>IF(ISTEXT(B1426),DATEVALUE(B1426),B1426)</f>
        <v>45989</v>
      </c>
      <c r="T1426" s="27">
        <f>COUNTIF($A$2:$A$1986,A1426)</f>
        <v>1</v>
      </c>
      <c r="U1426" s="27" t="str">
        <f t="shared" si="156"/>
        <v>Laptop Stand</v>
      </c>
      <c r="V1426" s="27">
        <f t="shared" si="157"/>
        <v>41.012999999999998</v>
      </c>
      <c r="W1426" s="27">
        <f t="shared" si="158"/>
        <v>21.9</v>
      </c>
      <c r="X1426" s="27">
        <f>RawSalesTable3[[#This Row],[Revenue]]-RawSalesTable3[[#This Row],[Total_Cost]]</f>
        <v>19.113</v>
      </c>
      <c r="Y1426" s="28">
        <f>RawSalesTable3[[#This Row],[Profit]]/RawSalesTable3[[#This Row],[Revenue]]</f>
        <v>0.46602296832711582</v>
      </c>
      <c r="Z1426" s="27" t="str">
        <f>TEXT(RawSalesTable3[[#This Row],[Order_Date_Clean]],"MMM YYYY")</f>
        <v>Nov 2025</v>
      </c>
      <c r="AA1426" s="27"/>
      <c r="AB1426" s="27">
        <f t="shared" si="159"/>
        <v>0</v>
      </c>
      <c r="AC1426" s="27">
        <f t="shared" si="160"/>
        <v>0</v>
      </c>
    </row>
    <row r="1427" spans="1:29">
      <c r="A1427" t="s">
        <v>1533</v>
      </c>
      <c r="B1427" s="3">
        <v>45998</v>
      </c>
      <c r="C1427" t="s">
        <v>78</v>
      </c>
      <c r="D1427" t="s">
        <v>62</v>
      </c>
      <c r="E1427" t="s">
        <v>67</v>
      </c>
      <c r="F1427" t="s">
        <v>68</v>
      </c>
      <c r="G1427" s="6">
        <v>1</v>
      </c>
      <c r="H1427" s="4">
        <v>41.18</v>
      </c>
      <c r="I1427" s="4">
        <v>18.89</v>
      </c>
      <c r="J1427" s="5">
        <v>0.05</v>
      </c>
      <c r="K1427" s="6">
        <v>4</v>
      </c>
      <c r="L1427" s="6">
        <v>3</v>
      </c>
      <c r="M1427" t="s">
        <v>126</v>
      </c>
      <c r="N1427" t="s">
        <v>69</v>
      </c>
      <c r="O1427" t="s">
        <v>60</v>
      </c>
      <c r="P1427" t="str">
        <f t="shared" si="154"/>
        <v>Individual</v>
      </c>
      <c r="Q1427" t="str">
        <f t="shared" si="155"/>
        <v>London</v>
      </c>
      <c r="R1427" t="str">
        <f>PROPER(TRIM(E1427))</f>
        <v>Office</v>
      </c>
      <c r="S1427" s="27">
        <f>IF(ISTEXT(B1427),DATEVALUE(B1427),B1427)</f>
        <v>45998</v>
      </c>
      <c r="T1427" s="27">
        <f>COUNTIF($A$2:$A$1986,A1427)</f>
        <v>1</v>
      </c>
      <c r="U1427" s="27" t="str">
        <f t="shared" si="156"/>
        <v>Desk Lamp</v>
      </c>
      <c r="V1427" s="27">
        <f t="shared" si="157"/>
        <v>39.120999999999995</v>
      </c>
      <c r="W1427" s="27">
        <f t="shared" si="158"/>
        <v>18.89</v>
      </c>
      <c r="X1427" s="27">
        <f>RawSalesTable3[[#This Row],[Revenue]]-RawSalesTable3[[#This Row],[Total_Cost]]</f>
        <v>20.230999999999995</v>
      </c>
      <c r="Y1427" s="28">
        <f>RawSalesTable3[[#This Row],[Profit]]/RawSalesTable3[[#This Row],[Revenue]]</f>
        <v>0.51713913243526488</v>
      </c>
      <c r="Z1427" s="27" t="str">
        <f>TEXT(RawSalesTable3[[#This Row],[Order_Date_Clean]],"MMM YYYY")</f>
        <v>Dec 2025</v>
      </c>
      <c r="AA1427" s="27"/>
      <c r="AB1427" s="27">
        <f t="shared" si="159"/>
        <v>0</v>
      </c>
      <c r="AC1427" s="27">
        <f t="shared" si="160"/>
        <v>0</v>
      </c>
    </row>
    <row r="1428" spans="1:29">
      <c r="A1428" t="s">
        <v>1534</v>
      </c>
      <c r="B1428" s="3">
        <v>46008</v>
      </c>
      <c r="C1428" t="s">
        <v>78</v>
      </c>
      <c r="D1428" t="s">
        <v>62</v>
      </c>
      <c r="E1428" t="s">
        <v>79</v>
      </c>
      <c r="F1428" t="s">
        <v>115</v>
      </c>
      <c r="G1428" s="6">
        <v>1</v>
      </c>
      <c r="H1428" s="4">
        <v>60.63</v>
      </c>
      <c r="I1428" s="4">
        <v>33.4</v>
      </c>
      <c r="J1428" s="5">
        <v>0.05</v>
      </c>
      <c r="K1428" s="6">
        <v>0</v>
      </c>
      <c r="L1428" s="6">
        <v>4</v>
      </c>
      <c r="M1428" t="s">
        <v>58</v>
      </c>
      <c r="N1428" t="s">
        <v>69</v>
      </c>
      <c r="O1428" t="s">
        <v>64</v>
      </c>
      <c r="P1428" t="str">
        <f t="shared" si="154"/>
        <v>Individual</v>
      </c>
      <c r="Q1428" t="str">
        <f t="shared" si="155"/>
        <v>London</v>
      </c>
      <c r="R1428" t="str">
        <f>PROPER(TRIM(E1428))</f>
        <v>Electronics</v>
      </c>
      <c r="S1428" s="27">
        <f>IF(ISTEXT(B1428),DATEVALUE(B1428),B1428)</f>
        <v>46008</v>
      </c>
      <c r="T1428" s="27">
        <f>COUNTIF($A$2:$A$1986,A1428)</f>
        <v>1</v>
      </c>
      <c r="U1428" s="27" t="str">
        <f t="shared" si="156"/>
        <v>Wireless Headset</v>
      </c>
      <c r="V1428" s="27">
        <f t="shared" si="157"/>
        <v>57.598500000000001</v>
      </c>
      <c r="W1428" s="27">
        <f t="shared" si="158"/>
        <v>33.4</v>
      </c>
      <c r="X1428" s="27">
        <f>RawSalesTable3[[#This Row],[Revenue]]-RawSalesTable3[[#This Row],[Total_Cost]]</f>
        <v>24.198500000000003</v>
      </c>
      <c r="Y1428" s="28">
        <f>RawSalesTable3[[#This Row],[Profit]]/RawSalesTable3[[#This Row],[Revenue]]</f>
        <v>0.42012378794586669</v>
      </c>
      <c r="Z1428" s="27" t="str">
        <f>TEXT(RawSalesTable3[[#This Row],[Order_Date_Clean]],"MMM YYYY")</f>
        <v>Dec 2025</v>
      </c>
      <c r="AA1428" s="27"/>
      <c r="AB1428" s="27">
        <f t="shared" si="159"/>
        <v>0</v>
      </c>
      <c r="AC1428" s="27">
        <f t="shared" si="160"/>
        <v>0</v>
      </c>
    </row>
    <row r="1429" spans="1:29">
      <c r="A1429" t="s">
        <v>1535</v>
      </c>
      <c r="B1429" s="3">
        <v>45935</v>
      </c>
      <c r="C1429" t="s">
        <v>82</v>
      </c>
      <c r="D1429" t="s">
        <v>62</v>
      </c>
      <c r="E1429" t="s">
        <v>79</v>
      </c>
      <c r="F1429" t="s">
        <v>115</v>
      </c>
      <c r="G1429" s="6">
        <v>1</v>
      </c>
      <c r="H1429" s="4">
        <v>60.57</v>
      </c>
      <c r="I1429" s="4">
        <v>34.03</v>
      </c>
      <c r="J1429" s="5">
        <v>0.05</v>
      </c>
      <c r="K1429" s="6">
        <v>6</v>
      </c>
      <c r="L1429" s="6">
        <v>3</v>
      </c>
      <c r="M1429" t="s">
        <v>58</v>
      </c>
      <c r="N1429" t="s">
        <v>59</v>
      </c>
      <c r="O1429" t="s">
        <v>60</v>
      </c>
      <c r="P1429" t="str">
        <f t="shared" si="154"/>
        <v>Individual</v>
      </c>
      <c r="Q1429" t="str">
        <f t="shared" si="155"/>
        <v>Midlands</v>
      </c>
      <c r="R1429" t="str">
        <f>PROPER(TRIM(E1429))</f>
        <v>Electronics</v>
      </c>
      <c r="S1429" s="27">
        <f>IF(ISTEXT(B1429),DATEVALUE(B1429),B1429)</f>
        <v>45935</v>
      </c>
      <c r="T1429" s="27">
        <f>COUNTIF($A$2:$A$1986,A1429)</f>
        <v>1</v>
      </c>
      <c r="U1429" s="27" t="str">
        <f t="shared" si="156"/>
        <v>Wireless Headset</v>
      </c>
      <c r="V1429" s="27">
        <f t="shared" si="157"/>
        <v>57.541499999999999</v>
      </c>
      <c r="W1429" s="27">
        <f t="shared" si="158"/>
        <v>34.03</v>
      </c>
      <c r="X1429" s="27">
        <f>RawSalesTable3[[#This Row],[Revenue]]-RawSalesTable3[[#This Row],[Total_Cost]]</f>
        <v>23.511499999999998</v>
      </c>
      <c r="Y1429" s="28">
        <f>RawSalesTable3[[#This Row],[Profit]]/RawSalesTable3[[#This Row],[Revenue]]</f>
        <v>0.40860074902461696</v>
      </c>
      <c r="Z1429" s="27" t="str">
        <f>TEXT(RawSalesTable3[[#This Row],[Order_Date_Clean]],"MMM YYYY")</f>
        <v>Oct 2025</v>
      </c>
      <c r="AA1429" s="27"/>
      <c r="AB1429" s="27">
        <f t="shared" si="159"/>
        <v>0</v>
      </c>
      <c r="AC1429" s="27">
        <f t="shared" si="160"/>
        <v>0</v>
      </c>
    </row>
    <row r="1430" spans="1:29">
      <c r="A1430" t="s">
        <v>1536</v>
      </c>
      <c r="B1430" s="3">
        <v>46016</v>
      </c>
      <c r="C1430" t="s">
        <v>78</v>
      </c>
      <c r="D1430" t="s">
        <v>62</v>
      </c>
      <c r="E1430" t="s">
        <v>79</v>
      </c>
      <c r="F1430" t="s">
        <v>92</v>
      </c>
      <c r="G1430" s="6">
        <v>1</v>
      </c>
      <c r="H1430" s="4">
        <v>49.18</v>
      </c>
      <c r="I1430" s="4">
        <v>26.29</v>
      </c>
      <c r="J1430" s="5">
        <v>0.2</v>
      </c>
      <c r="K1430" s="6">
        <v>4</v>
      </c>
      <c r="L1430" s="6">
        <v>4</v>
      </c>
      <c r="M1430" t="s">
        <v>58</v>
      </c>
      <c r="N1430" t="s">
        <v>59</v>
      </c>
      <c r="O1430" t="s">
        <v>64</v>
      </c>
      <c r="P1430" t="str">
        <f t="shared" si="154"/>
        <v>Individual</v>
      </c>
      <c r="Q1430" t="str">
        <f t="shared" si="155"/>
        <v>London</v>
      </c>
      <c r="R1430" t="str">
        <f>PROPER(TRIM(E1430))</f>
        <v>Electronics</v>
      </c>
      <c r="S1430" s="27">
        <f>IF(ISTEXT(B1430),DATEVALUE(B1430),B1430)</f>
        <v>46016</v>
      </c>
      <c r="T1430" s="27">
        <f>COUNTIF($A$2:$A$1986,A1430)</f>
        <v>1</v>
      </c>
      <c r="U1430" s="27" t="str">
        <f t="shared" si="156"/>
        <v>Webcam</v>
      </c>
      <c r="V1430" s="27">
        <f t="shared" si="157"/>
        <v>39.344000000000001</v>
      </c>
      <c r="W1430" s="27">
        <f t="shared" si="158"/>
        <v>26.29</v>
      </c>
      <c r="X1430" s="27">
        <f>RawSalesTable3[[#This Row],[Revenue]]-RawSalesTable3[[#This Row],[Total_Cost]]</f>
        <v>13.054000000000002</v>
      </c>
      <c r="Y1430" s="28">
        <f>RawSalesTable3[[#This Row],[Profit]]/RawSalesTable3[[#This Row],[Revenue]]</f>
        <v>0.33179137860919078</v>
      </c>
      <c r="Z1430" s="27" t="str">
        <f>TEXT(RawSalesTable3[[#This Row],[Order_Date_Clean]],"MMM YYYY")</f>
        <v>Dec 2025</v>
      </c>
      <c r="AA1430" s="27"/>
      <c r="AB1430" s="27">
        <f t="shared" si="159"/>
        <v>0</v>
      </c>
      <c r="AC1430" s="27">
        <f t="shared" si="160"/>
        <v>0</v>
      </c>
    </row>
    <row r="1431" spans="1:29">
      <c r="A1431" t="s">
        <v>1537</v>
      </c>
      <c r="B1431" s="3">
        <v>45756</v>
      </c>
      <c r="C1431" t="s">
        <v>78</v>
      </c>
      <c r="D1431" t="s">
        <v>62</v>
      </c>
      <c r="E1431" t="s">
        <v>75</v>
      </c>
      <c r="F1431" t="s">
        <v>110</v>
      </c>
      <c r="G1431" s="6">
        <v>1</v>
      </c>
      <c r="H1431" s="4">
        <v>155.71</v>
      </c>
      <c r="I1431" s="4">
        <v>101.32</v>
      </c>
      <c r="J1431" s="5">
        <v>0.05</v>
      </c>
      <c r="K1431" s="6">
        <v>2</v>
      </c>
      <c r="L1431" s="6">
        <v>4</v>
      </c>
      <c r="M1431" t="s">
        <v>58</v>
      </c>
      <c r="N1431" t="s">
        <v>69</v>
      </c>
      <c r="O1431" t="s">
        <v>60</v>
      </c>
      <c r="P1431" t="str">
        <f t="shared" si="154"/>
        <v>Individual</v>
      </c>
      <c r="Q1431" t="str">
        <f t="shared" si="155"/>
        <v>London</v>
      </c>
      <c r="R1431" t="str">
        <f>PROPER(TRIM(E1431))</f>
        <v>Furniture</v>
      </c>
      <c r="S1431" s="27">
        <f>IF(ISTEXT(B1431),DATEVALUE(B1431),B1431)</f>
        <v>45756</v>
      </c>
      <c r="T1431" s="27">
        <f>COUNTIF($A$2:$A$1986,A1431)</f>
        <v>1</v>
      </c>
      <c r="U1431" s="27" t="str">
        <f t="shared" si="156"/>
        <v>Storage Cabinet</v>
      </c>
      <c r="V1431" s="27">
        <f t="shared" si="157"/>
        <v>147.92449999999999</v>
      </c>
      <c r="W1431" s="27">
        <f t="shared" si="158"/>
        <v>101.32</v>
      </c>
      <c r="X1431" s="27">
        <f>RawSalesTable3[[#This Row],[Revenue]]-RawSalesTable3[[#This Row],[Total_Cost]]</f>
        <v>46.604500000000002</v>
      </c>
      <c r="Y1431" s="28">
        <f>RawSalesTable3[[#This Row],[Profit]]/RawSalesTable3[[#This Row],[Revenue]]</f>
        <v>0.31505599140101881</v>
      </c>
      <c r="Z1431" s="27" t="str">
        <f>TEXT(RawSalesTable3[[#This Row],[Order_Date_Clean]],"MMM YYYY")</f>
        <v>Apr 2025</v>
      </c>
      <c r="AA1431" s="27"/>
      <c r="AB1431" s="27">
        <f t="shared" si="159"/>
        <v>0</v>
      </c>
      <c r="AC1431" s="27">
        <f t="shared" si="160"/>
        <v>0</v>
      </c>
    </row>
    <row r="1432" spans="1:29">
      <c r="A1432" t="s">
        <v>1538</v>
      </c>
      <c r="B1432" s="3">
        <v>45805</v>
      </c>
      <c r="C1432" t="s">
        <v>54</v>
      </c>
      <c r="D1432" t="s">
        <v>62</v>
      </c>
      <c r="E1432" t="s">
        <v>67</v>
      </c>
      <c r="F1432" t="s">
        <v>94</v>
      </c>
      <c r="G1432" s="6">
        <v>1</v>
      </c>
      <c r="H1432" s="4">
        <v>34.200000000000003</v>
      </c>
      <c r="I1432" s="4">
        <v>16.79</v>
      </c>
      <c r="J1432" s="5">
        <v>0.1</v>
      </c>
      <c r="K1432" s="6">
        <v>4</v>
      </c>
      <c r="L1432" s="6">
        <v>4</v>
      </c>
      <c r="M1432" t="s">
        <v>58</v>
      </c>
      <c r="N1432" t="s">
        <v>69</v>
      </c>
      <c r="O1432" t="s">
        <v>64</v>
      </c>
      <c r="P1432" t="str">
        <f t="shared" si="154"/>
        <v>Individual</v>
      </c>
      <c r="Q1432" t="str">
        <f t="shared" si="155"/>
        <v>North</v>
      </c>
      <c r="R1432" t="str">
        <f>PROPER(TRIM(E1432))</f>
        <v>Office</v>
      </c>
      <c r="S1432" s="27">
        <f>IF(ISTEXT(B1432),DATEVALUE(B1432),B1432)</f>
        <v>45805</v>
      </c>
      <c r="T1432" s="27">
        <f>COUNTIF($A$2:$A$1986,A1432)</f>
        <v>1</v>
      </c>
      <c r="U1432" s="27" t="str">
        <f t="shared" si="156"/>
        <v>Wireless Mouse</v>
      </c>
      <c r="V1432" s="27">
        <f t="shared" si="157"/>
        <v>30.780000000000005</v>
      </c>
      <c r="W1432" s="27">
        <f t="shared" si="158"/>
        <v>16.79</v>
      </c>
      <c r="X1432" s="27">
        <f>RawSalesTable3[[#This Row],[Revenue]]-RawSalesTable3[[#This Row],[Total_Cost]]</f>
        <v>13.990000000000006</v>
      </c>
      <c r="Y1432" s="28">
        <f>RawSalesTable3[[#This Row],[Profit]]/RawSalesTable3[[#This Row],[Revenue]]</f>
        <v>0.45451591942820024</v>
      </c>
      <c r="Z1432" s="27" t="str">
        <f>TEXT(RawSalesTable3[[#This Row],[Order_Date_Clean]],"MMM YYYY")</f>
        <v>May 2025</v>
      </c>
      <c r="AA1432" s="27"/>
      <c r="AB1432" s="27">
        <f t="shared" si="159"/>
        <v>0</v>
      </c>
      <c r="AC1432" s="27">
        <f t="shared" si="160"/>
        <v>0</v>
      </c>
    </row>
    <row r="1433" spans="1:29">
      <c r="A1433" t="s">
        <v>1539</v>
      </c>
      <c r="B1433" s="3">
        <v>45987</v>
      </c>
      <c r="C1433" t="s">
        <v>78</v>
      </c>
      <c r="D1433" t="s">
        <v>55</v>
      </c>
      <c r="E1433" t="s">
        <v>67</v>
      </c>
      <c r="F1433" t="s">
        <v>94</v>
      </c>
      <c r="G1433" s="6">
        <v>2</v>
      </c>
      <c r="H1433" s="4">
        <v>35.5</v>
      </c>
      <c r="I1433" s="4">
        <v>16.97</v>
      </c>
      <c r="J1433" s="5">
        <v>0.05</v>
      </c>
      <c r="K1433" s="6">
        <v>3</v>
      </c>
      <c r="L1433" s="6">
        <v>5</v>
      </c>
      <c r="M1433" t="s">
        <v>58</v>
      </c>
      <c r="N1433" t="s">
        <v>59</v>
      </c>
      <c r="O1433" t="s">
        <v>60</v>
      </c>
      <c r="P1433" t="str">
        <f t="shared" si="154"/>
        <v>Small Business</v>
      </c>
      <c r="Q1433" t="str">
        <f t="shared" si="155"/>
        <v>London</v>
      </c>
      <c r="R1433" t="str">
        <f>PROPER(TRIM(E1433))</f>
        <v>Office</v>
      </c>
      <c r="S1433" s="27">
        <f>IF(ISTEXT(B1433),DATEVALUE(B1433),B1433)</f>
        <v>45987</v>
      </c>
      <c r="T1433" s="27">
        <f>COUNTIF($A$2:$A$1986,A1433)</f>
        <v>1</v>
      </c>
      <c r="U1433" s="27" t="str">
        <f t="shared" si="156"/>
        <v>Wireless Mouse</v>
      </c>
      <c r="V1433" s="27">
        <f t="shared" si="157"/>
        <v>67.45</v>
      </c>
      <c r="W1433" s="27">
        <f t="shared" si="158"/>
        <v>33.94</v>
      </c>
      <c r="X1433" s="27">
        <f>RawSalesTable3[[#This Row],[Revenue]]-RawSalesTable3[[#This Row],[Total_Cost]]</f>
        <v>33.510000000000005</v>
      </c>
      <c r="Y1433" s="28">
        <f>RawSalesTable3[[#This Row],[Profit]]/RawSalesTable3[[#This Row],[Revenue]]</f>
        <v>0.49681245366938476</v>
      </c>
      <c r="Z1433" s="27" t="str">
        <f>TEXT(RawSalesTable3[[#This Row],[Order_Date_Clean]],"MMM YYYY")</f>
        <v>Nov 2025</v>
      </c>
      <c r="AA1433" s="27"/>
      <c r="AB1433" s="27">
        <f t="shared" si="159"/>
        <v>0</v>
      </c>
      <c r="AC1433" s="27">
        <f t="shared" si="160"/>
        <v>0</v>
      </c>
    </row>
    <row r="1434" spans="1:29">
      <c r="A1434" t="s">
        <v>1540</v>
      </c>
      <c r="B1434" s="3">
        <v>45665</v>
      </c>
      <c r="C1434" t="s">
        <v>66</v>
      </c>
      <c r="D1434" t="s">
        <v>62</v>
      </c>
      <c r="E1434" t="s">
        <v>75</v>
      </c>
      <c r="F1434" t="s">
        <v>76</v>
      </c>
      <c r="G1434" s="6">
        <v>2</v>
      </c>
      <c r="H1434" s="4">
        <v>123.37</v>
      </c>
      <c r="I1434" s="4">
        <v>74.55</v>
      </c>
      <c r="J1434" s="5">
        <v>0.15000000000000002</v>
      </c>
      <c r="K1434" s="6">
        <v>6</v>
      </c>
      <c r="L1434" s="6">
        <v>4</v>
      </c>
      <c r="M1434" t="s">
        <v>58</v>
      </c>
      <c r="N1434" t="s">
        <v>69</v>
      </c>
      <c r="O1434" t="s">
        <v>60</v>
      </c>
      <c r="P1434" t="str">
        <f t="shared" si="154"/>
        <v>Individual</v>
      </c>
      <c r="Q1434" t="str">
        <f t="shared" si="155"/>
        <v>South</v>
      </c>
      <c r="R1434" t="str">
        <f>PROPER(TRIM(E1434))</f>
        <v>Furniture</v>
      </c>
      <c r="S1434" s="27">
        <f>IF(ISTEXT(B1434),DATEVALUE(B1434),B1434)</f>
        <v>45665</v>
      </c>
      <c r="T1434" s="27">
        <f>COUNTIF($A$2:$A$1986,A1434)</f>
        <v>1</v>
      </c>
      <c r="U1434" s="27" t="str">
        <f t="shared" si="156"/>
        <v>Bookshelf</v>
      </c>
      <c r="V1434" s="27">
        <f t="shared" si="157"/>
        <v>209.72900000000001</v>
      </c>
      <c r="W1434" s="27">
        <f t="shared" si="158"/>
        <v>149.1</v>
      </c>
      <c r="X1434" s="27">
        <f>RawSalesTable3[[#This Row],[Revenue]]-RawSalesTable3[[#This Row],[Total_Cost]]</f>
        <v>60.629000000000019</v>
      </c>
      <c r="Y1434" s="28">
        <f>RawSalesTable3[[#This Row],[Profit]]/RawSalesTable3[[#This Row],[Revenue]]</f>
        <v>0.28908257799350595</v>
      </c>
      <c r="Z1434" s="27" t="str">
        <f>TEXT(RawSalesTable3[[#This Row],[Order_Date_Clean]],"MMM YYYY")</f>
        <v>Jan 2025</v>
      </c>
      <c r="AA1434" s="27"/>
      <c r="AB1434" s="27">
        <f t="shared" si="159"/>
        <v>0</v>
      </c>
      <c r="AC1434" s="27">
        <f t="shared" si="160"/>
        <v>0</v>
      </c>
    </row>
    <row r="1435" spans="1:29">
      <c r="A1435" t="s">
        <v>1541</v>
      </c>
      <c r="B1435" s="3">
        <v>45729</v>
      </c>
      <c r="C1435" t="s">
        <v>66</v>
      </c>
      <c r="D1435" t="s">
        <v>62</v>
      </c>
      <c r="E1435" t="s">
        <v>75</v>
      </c>
      <c r="F1435" t="s">
        <v>110</v>
      </c>
      <c r="G1435" s="6">
        <v>2</v>
      </c>
      <c r="H1435" s="4">
        <v>161.72999999999999</v>
      </c>
      <c r="I1435" s="4">
        <v>101.7</v>
      </c>
      <c r="J1435" s="5">
        <v>0.05</v>
      </c>
      <c r="K1435" s="6">
        <v>5</v>
      </c>
      <c r="L1435" s="6">
        <v>5</v>
      </c>
      <c r="M1435" t="s">
        <v>58</v>
      </c>
      <c r="N1435" t="s">
        <v>59</v>
      </c>
      <c r="O1435" t="s">
        <v>64</v>
      </c>
      <c r="P1435" t="str">
        <f t="shared" si="154"/>
        <v>Individual</v>
      </c>
      <c r="Q1435" t="str">
        <f t="shared" si="155"/>
        <v>South</v>
      </c>
      <c r="R1435" t="str">
        <f>PROPER(TRIM(E1435))</f>
        <v>Furniture</v>
      </c>
      <c r="S1435" s="27">
        <f>IF(ISTEXT(B1435),DATEVALUE(B1435),B1435)</f>
        <v>45729</v>
      </c>
      <c r="T1435" s="27">
        <f>COUNTIF($A$2:$A$1986,A1435)</f>
        <v>1</v>
      </c>
      <c r="U1435" s="27" t="str">
        <f t="shared" si="156"/>
        <v>Storage Cabinet</v>
      </c>
      <c r="V1435" s="27">
        <f t="shared" si="157"/>
        <v>307.28699999999998</v>
      </c>
      <c r="W1435" s="27">
        <f t="shared" si="158"/>
        <v>203.4</v>
      </c>
      <c r="X1435" s="27">
        <f>RawSalesTable3[[#This Row],[Revenue]]-RawSalesTable3[[#This Row],[Total_Cost]]</f>
        <v>103.88699999999997</v>
      </c>
      <c r="Y1435" s="28">
        <f>RawSalesTable3[[#This Row],[Profit]]/RawSalesTable3[[#This Row],[Revenue]]</f>
        <v>0.33807808335529971</v>
      </c>
      <c r="Z1435" s="27" t="str">
        <f>TEXT(RawSalesTable3[[#This Row],[Order_Date_Clean]],"MMM YYYY")</f>
        <v>Mar 2025</v>
      </c>
      <c r="AA1435" s="27"/>
      <c r="AB1435" s="27">
        <f t="shared" si="159"/>
        <v>0</v>
      </c>
      <c r="AC1435" s="27">
        <f t="shared" si="160"/>
        <v>0</v>
      </c>
    </row>
    <row r="1436" spans="1:29">
      <c r="A1436" t="s">
        <v>1542</v>
      </c>
      <c r="B1436" s="3">
        <v>45952</v>
      </c>
      <c r="C1436" t="s">
        <v>66</v>
      </c>
      <c r="D1436" t="s">
        <v>62</v>
      </c>
      <c r="E1436" t="s">
        <v>75</v>
      </c>
      <c r="F1436" t="s">
        <v>97</v>
      </c>
      <c r="G1436" s="6">
        <v>2</v>
      </c>
      <c r="H1436" s="4">
        <v>88.2</v>
      </c>
      <c r="I1436" s="4">
        <v>54.56</v>
      </c>
      <c r="J1436" s="5">
        <v>0.05</v>
      </c>
      <c r="K1436" s="6">
        <v>7</v>
      </c>
      <c r="L1436" s="6">
        <v>4</v>
      </c>
      <c r="M1436" t="s">
        <v>58</v>
      </c>
      <c r="N1436" t="s">
        <v>59</v>
      </c>
      <c r="O1436" t="s">
        <v>60</v>
      </c>
      <c r="P1436" t="str">
        <f t="shared" si="154"/>
        <v>Individual</v>
      </c>
      <c r="Q1436" t="str">
        <f t="shared" si="155"/>
        <v>South</v>
      </c>
      <c r="R1436" t="str">
        <f>PROPER(TRIM(E1436))</f>
        <v>Furniture</v>
      </c>
      <c r="S1436" s="27">
        <f>IF(ISTEXT(B1436),DATEVALUE(B1436),B1436)</f>
        <v>45952</v>
      </c>
      <c r="T1436" s="27">
        <f>COUNTIF($A$2:$A$1986,A1436)</f>
        <v>1</v>
      </c>
      <c r="U1436" s="27" t="str">
        <f t="shared" si="156"/>
        <v>Side Table</v>
      </c>
      <c r="V1436" s="27">
        <f t="shared" si="157"/>
        <v>167.57999999999998</v>
      </c>
      <c r="W1436" s="27">
        <f t="shared" si="158"/>
        <v>109.12</v>
      </c>
      <c r="X1436" s="27">
        <f>RawSalesTable3[[#This Row],[Revenue]]-RawSalesTable3[[#This Row],[Total_Cost]]</f>
        <v>58.45999999999998</v>
      </c>
      <c r="Y1436" s="28">
        <f>RawSalesTable3[[#This Row],[Profit]]/RawSalesTable3[[#This Row],[Revenue]]</f>
        <v>0.34884831125432619</v>
      </c>
      <c r="Z1436" s="27" t="str">
        <f>TEXT(RawSalesTable3[[#This Row],[Order_Date_Clean]],"MMM YYYY")</f>
        <v>Oct 2025</v>
      </c>
      <c r="AA1436" s="27"/>
      <c r="AB1436" s="27">
        <f t="shared" si="159"/>
        <v>0</v>
      </c>
      <c r="AC1436" s="27">
        <f t="shared" si="160"/>
        <v>0</v>
      </c>
    </row>
    <row r="1437" spans="1:29">
      <c r="A1437" t="s">
        <v>1543</v>
      </c>
      <c r="B1437" s="3">
        <v>45886</v>
      </c>
      <c r="C1437" t="s">
        <v>82</v>
      </c>
      <c r="D1437" t="s">
        <v>62</v>
      </c>
      <c r="E1437" t="s">
        <v>79</v>
      </c>
      <c r="F1437" t="s">
        <v>115</v>
      </c>
      <c r="G1437" s="6">
        <v>2</v>
      </c>
      <c r="H1437" s="4">
        <v>58.7</v>
      </c>
      <c r="I1437" s="4">
        <v>34.69</v>
      </c>
      <c r="J1437" s="5">
        <v>0.1</v>
      </c>
      <c r="K1437" s="6">
        <v>3</v>
      </c>
      <c r="L1437" s="6">
        <v>4</v>
      </c>
      <c r="M1437" t="s">
        <v>58</v>
      </c>
      <c r="N1437" t="s">
        <v>59</v>
      </c>
      <c r="O1437" t="s">
        <v>64</v>
      </c>
      <c r="P1437" t="str">
        <f t="shared" si="154"/>
        <v>Individual</v>
      </c>
      <c r="Q1437" t="str">
        <f t="shared" si="155"/>
        <v>Midlands</v>
      </c>
      <c r="R1437" t="str">
        <f>PROPER(TRIM(E1437))</f>
        <v>Electronics</v>
      </c>
      <c r="S1437" s="27">
        <f>IF(ISTEXT(B1437),DATEVALUE(B1437),B1437)</f>
        <v>45886</v>
      </c>
      <c r="T1437" s="27">
        <f>COUNTIF($A$2:$A$1986,A1437)</f>
        <v>1</v>
      </c>
      <c r="U1437" s="27" t="str">
        <f t="shared" si="156"/>
        <v>Wireless Headset</v>
      </c>
      <c r="V1437" s="27">
        <f t="shared" si="157"/>
        <v>105.66000000000001</v>
      </c>
      <c r="W1437" s="27">
        <f t="shared" si="158"/>
        <v>69.38</v>
      </c>
      <c r="X1437" s="27">
        <f>RawSalesTable3[[#This Row],[Revenue]]-RawSalesTable3[[#This Row],[Total_Cost]]</f>
        <v>36.280000000000015</v>
      </c>
      <c r="Y1437" s="28">
        <f>RawSalesTable3[[#This Row],[Profit]]/RawSalesTable3[[#This Row],[Revenue]]</f>
        <v>0.3433655120196859</v>
      </c>
      <c r="Z1437" s="27" t="str">
        <f>TEXT(RawSalesTable3[[#This Row],[Order_Date_Clean]],"MMM YYYY")</f>
        <v>Aug 2025</v>
      </c>
      <c r="AA1437" s="27"/>
      <c r="AB1437" s="27">
        <f t="shared" si="159"/>
        <v>0</v>
      </c>
      <c r="AC1437" s="27">
        <f t="shared" si="160"/>
        <v>0</v>
      </c>
    </row>
    <row r="1438" spans="1:29">
      <c r="A1438" t="s">
        <v>1544</v>
      </c>
      <c r="B1438" s="3">
        <v>45823</v>
      </c>
      <c r="C1438" t="s">
        <v>78</v>
      </c>
      <c r="D1438" t="s">
        <v>129</v>
      </c>
      <c r="E1438" t="s">
        <v>75</v>
      </c>
      <c r="F1438" t="s">
        <v>76</v>
      </c>
      <c r="G1438" s="6">
        <v>4</v>
      </c>
      <c r="H1438" s="4">
        <v>121.64</v>
      </c>
      <c r="I1438" s="4">
        <v>73.78</v>
      </c>
      <c r="J1438" s="5">
        <v>0.15000000000000002</v>
      </c>
      <c r="K1438" s="6">
        <v>4</v>
      </c>
      <c r="L1438" s="6">
        <v>5</v>
      </c>
      <c r="M1438" t="s">
        <v>58</v>
      </c>
      <c r="N1438" t="s">
        <v>59</v>
      </c>
      <c r="O1438" t="s">
        <v>64</v>
      </c>
      <c r="P1438" t="str">
        <f t="shared" si="154"/>
        <v>Corporate</v>
      </c>
      <c r="Q1438" t="str">
        <f t="shared" si="155"/>
        <v>London</v>
      </c>
      <c r="R1438" t="str">
        <f>PROPER(TRIM(E1438))</f>
        <v>Furniture</v>
      </c>
      <c r="S1438" s="27">
        <f>IF(ISTEXT(B1438),DATEVALUE(B1438),B1438)</f>
        <v>45823</v>
      </c>
      <c r="T1438" s="27">
        <f>COUNTIF($A$2:$A$1986,A1438)</f>
        <v>1</v>
      </c>
      <c r="U1438" s="27" t="str">
        <f t="shared" si="156"/>
        <v>Bookshelf</v>
      </c>
      <c r="V1438" s="27">
        <f t="shared" si="157"/>
        <v>413.57599999999996</v>
      </c>
      <c r="W1438" s="27">
        <f t="shared" si="158"/>
        <v>295.12</v>
      </c>
      <c r="X1438" s="27">
        <f>RawSalesTable3[[#This Row],[Revenue]]-RawSalesTable3[[#This Row],[Total_Cost]]</f>
        <v>118.45599999999996</v>
      </c>
      <c r="Y1438" s="28">
        <f>RawSalesTable3[[#This Row],[Profit]]/RawSalesTable3[[#This Row],[Revenue]]</f>
        <v>0.28641894113778354</v>
      </c>
      <c r="Z1438" s="27" t="str">
        <f>TEXT(RawSalesTable3[[#This Row],[Order_Date_Clean]],"MMM YYYY")</f>
        <v>Jun 2025</v>
      </c>
      <c r="AA1438" s="27"/>
      <c r="AB1438" s="27">
        <f t="shared" si="159"/>
        <v>0</v>
      </c>
      <c r="AC1438" s="27">
        <f t="shared" si="160"/>
        <v>0</v>
      </c>
    </row>
    <row r="1439" spans="1:29">
      <c r="A1439" t="s">
        <v>1545</v>
      </c>
      <c r="B1439" s="3">
        <v>45821</v>
      </c>
      <c r="C1439" t="s">
        <v>54</v>
      </c>
      <c r="D1439" t="s">
        <v>55</v>
      </c>
      <c r="E1439" t="s">
        <v>79</v>
      </c>
      <c r="F1439" t="s">
        <v>115</v>
      </c>
      <c r="G1439" s="6">
        <v>5</v>
      </c>
      <c r="H1439" s="4">
        <v>61.29</v>
      </c>
      <c r="I1439" s="4">
        <v>34.53</v>
      </c>
      <c r="J1439" s="5">
        <v>0.05</v>
      </c>
      <c r="K1439" s="6">
        <v>1</v>
      </c>
      <c r="L1439" s="6">
        <v>4</v>
      </c>
      <c r="M1439" t="s">
        <v>58</v>
      </c>
      <c r="N1439" t="s">
        <v>69</v>
      </c>
      <c r="O1439" t="s">
        <v>64</v>
      </c>
      <c r="P1439" t="str">
        <f t="shared" si="154"/>
        <v>Small Business</v>
      </c>
      <c r="Q1439" t="str">
        <f t="shared" si="155"/>
        <v>North</v>
      </c>
      <c r="R1439" t="str">
        <f>PROPER(TRIM(E1439))</f>
        <v>Electronics</v>
      </c>
      <c r="S1439" s="27">
        <f>IF(ISTEXT(B1439),DATEVALUE(B1439),B1439)</f>
        <v>45821</v>
      </c>
      <c r="T1439" s="27">
        <f>COUNTIF($A$2:$A$1986,A1439)</f>
        <v>1</v>
      </c>
      <c r="U1439" s="27" t="str">
        <f t="shared" si="156"/>
        <v>Wireless Headset</v>
      </c>
      <c r="V1439" s="27">
        <f t="shared" si="157"/>
        <v>291.1275</v>
      </c>
      <c r="W1439" s="27">
        <f t="shared" si="158"/>
        <v>172.65</v>
      </c>
      <c r="X1439" s="27">
        <f>RawSalesTable3[[#This Row],[Revenue]]-RawSalesTable3[[#This Row],[Total_Cost]]</f>
        <v>118.47749999999999</v>
      </c>
      <c r="Y1439" s="28">
        <f>RawSalesTable3[[#This Row],[Profit]]/RawSalesTable3[[#This Row],[Revenue]]</f>
        <v>0.40696086766107631</v>
      </c>
      <c r="Z1439" s="27" t="str">
        <f>TEXT(RawSalesTable3[[#This Row],[Order_Date_Clean]],"MMM YYYY")</f>
        <v>Jun 2025</v>
      </c>
      <c r="AA1439" s="27"/>
      <c r="AB1439" s="27">
        <f t="shared" si="159"/>
        <v>0</v>
      </c>
      <c r="AC1439" s="27">
        <f t="shared" si="160"/>
        <v>0</v>
      </c>
    </row>
    <row r="1440" spans="1:29">
      <c r="A1440" t="s">
        <v>1546</v>
      </c>
      <c r="B1440" s="3">
        <v>45954</v>
      </c>
      <c r="C1440" t="s">
        <v>78</v>
      </c>
      <c r="D1440" t="s">
        <v>62</v>
      </c>
      <c r="E1440" t="s">
        <v>56</v>
      </c>
      <c r="F1440" t="s">
        <v>63</v>
      </c>
      <c r="G1440" s="6">
        <v>1</v>
      </c>
      <c r="H1440" s="4">
        <v>41.16</v>
      </c>
      <c r="I1440" s="4">
        <v>19.989999999999998</v>
      </c>
      <c r="J1440" s="5">
        <v>0.1</v>
      </c>
      <c r="K1440" s="6">
        <v>0</v>
      </c>
      <c r="L1440" s="6">
        <v>4</v>
      </c>
      <c r="M1440" t="s">
        <v>58</v>
      </c>
      <c r="N1440" t="s">
        <v>69</v>
      </c>
      <c r="O1440" t="s">
        <v>64</v>
      </c>
      <c r="P1440" t="str">
        <f t="shared" si="154"/>
        <v>Individual</v>
      </c>
      <c r="Q1440" t="str">
        <f t="shared" si="155"/>
        <v>London</v>
      </c>
      <c r="R1440" t="str">
        <f>PROPER(TRIM(E1440))</f>
        <v>Home &amp; Kitchen</v>
      </c>
      <c r="S1440" s="27">
        <f>IF(ISTEXT(B1440),DATEVALUE(B1440),B1440)</f>
        <v>45954</v>
      </c>
      <c r="T1440" s="27">
        <f>COUNTIF($A$2:$A$1986,A1440)</f>
        <v>1</v>
      </c>
      <c r="U1440" s="27" t="str">
        <f t="shared" si="156"/>
        <v>Electric Kettle</v>
      </c>
      <c r="V1440" s="27">
        <f t="shared" si="157"/>
        <v>37.043999999999997</v>
      </c>
      <c r="W1440" s="27">
        <f t="shared" si="158"/>
        <v>19.989999999999998</v>
      </c>
      <c r="X1440" s="27">
        <f>RawSalesTable3[[#This Row],[Revenue]]-RawSalesTable3[[#This Row],[Total_Cost]]</f>
        <v>17.053999999999998</v>
      </c>
      <c r="Y1440" s="28">
        <f>RawSalesTable3[[#This Row],[Profit]]/RawSalesTable3[[#This Row],[Revenue]]</f>
        <v>0.46037145016736852</v>
      </c>
      <c r="Z1440" s="27" t="str">
        <f>TEXT(RawSalesTable3[[#This Row],[Order_Date_Clean]],"MMM YYYY")</f>
        <v>Oct 2025</v>
      </c>
      <c r="AA1440" s="27"/>
      <c r="AB1440" s="27">
        <f t="shared" si="159"/>
        <v>0</v>
      </c>
      <c r="AC1440" s="27">
        <f t="shared" si="160"/>
        <v>0</v>
      </c>
    </row>
    <row r="1441" spans="1:29">
      <c r="A1441" t="s">
        <v>1547</v>
      </c>
      <c r="B1441" s="3">
        <v>45917</v>
      </c>
      <c r="C1441" t="s">
        <v>78</v>
      </c>
      <c r="D1441" t="s">
        <v>62</v>
      </c>
      <c r="E1441" t="s">
        <v>67</v>
      </c>
      <c r="F1441" t="s">
        <v>71</v>
      </c>
      <c r="G1441" s="6">
        <v>1</v>
      </c>
      <c r="H1441" s="4">
        <v>68.5</v>
      </c>
      <c r="I1441" s="4">
        <v>38.549999999999997</v>
      </c>
      <c r="J1441" s="5">
        <v>0.1</v>
      </c>
      <c r="K1441" s="6">
        <v>1</v>
      </c>
      <c r="L1441" s="6">
        <v>5</v>
      </c>
      <c r="M1441" t="s">
        <v>58</v>
      </c>
      <c r="N1441" t="s">
        <v>69</v>
      </c>
      <c r="O1441" t="s">
        <v>64</v>
      </c>
      <c r="P1441" t="str">
        <f t="shared" si="154"/>
        <v>Individual</v>
      </c>
      <c r="Q1441" t="str">
        <f t="shared" si="155"/>
        <v>London</v>
      </c>
      <c r="R1441" t="str">
        <f>PROPER(TRIM(E1441))</f>
        <v>Office</v>
      </c>
      <c r="S1441" s="27">
        <f>IF(ISTEXT(B1441),DATEVALUE(B1441),B1441)</f>
        <v>45917</v>
      </c>
      <c r="T1441" s="27">
        <f>COUNTIF($A$2:$A$1986,A1441)</f>
        <v>1</v>
      </c>
      <c r="U1441" s="27" t="str">
        <f t="shared" si="156"/>
        <v>Ergonomic Keyboard</v>
      </c>
      <c r="V1441" s="27">
        <f t="shared" si="157"/>
        <v>61.65</v>
      </c>
      <c r="W1441" s="27">
        <f t="shared" si="158"/>
        <v>38.549999999999997</v>
      </c>
      <c r="X1441" s="27">
        <f>RawSalesTable3[[#This Row],[Revenue]]-RawSalesTable3[[#This Row],[Total_Cost]]</f>
        <v>23.1</v>
      </c>
      <c r="Y1441" s="28">
        <f>RawSalesTable3[[#This Row],[Profit]]/RawSalesTable3[[#This Row],[Revenue]]</f>
        <v>0.37469586374695868</v>
      </c>
      <c r="Z1441" s="27" t="str">
        <f>TEXT(RawSalesTable3[[#This Row],[Order_Date_Clean]],"MMM YYYY")</f>
        <v>Sep 2025</v>
      </c>
      <c r="AA1441" s="27"/>
      <c r="AB1441" s="27">
        <f t="shared" si="159"/>
        <v>0</v>
      </c>
      <c r="AC1441" s="27">
        <f t="shared" si="160"/>
        <v>0</v>
      </c>
    </row>
    <row r="1442" spans="1:29">
      <c r="A1442" t="s">
        <v>1548</v>
      </c>
      <c r="B1442" s="3">
        <v>45829</v>
      </c>
      <c r="C1442" t="s">
        <v>78</v>
      </c>
      <c r="D1442" t="s">
        <v>62</v>
      </c>
      <c r="E1442" t="s">
        <v>67</v>
      </c>
      <c r="F1442" t="s">
        <v>94</v>
      </c>
      <c r="G1442" s="6">
        <v>1</v>
      </c>
      <c r="H1442" s="4">
        <v>34.520000000000003</v>
      </c>
      <c r="I1442" s="4">
        <v>16.77</v>
      </c>
      <c r="J1442" s="5">
        <v>0</v>
      </c>
      <c r="K1442" s="6">
        <v>3</v>
      </c>
      <c r="L1442" s="6">
        <v>5</v>
      </c>
      <c r="M1442" t="s">
        <v>58</v>
      </c>
      <c r="N1442" t="s">
        <v>59</v>
      </c>
      <c r="O1442" t="s">
        <v>60</v>
      </c>
      <c r="P1442" t="str">
        <f t="shared" si="154"/>
        <v>Individual</v>
      </c>
      <c r="Q1442" t="str">
        <f t="shared" si="155"/>
        <v>London</v>
      </c>
      <c r="R1442" t="str">
        <f>PROPER(TRIM(E1442))</f>
        <v>Office</v>
      </c>
      <c r="S1442" s="27">
        <f>IF(ISTEXT(B1442),DATEVALUE(B1442),B1442)</f>
        <v>45829</v>
      </c>
      <c r="T1442" s="27">
        <f>COUNTIF($A$2:$A$1986,A1442)</f>
        <v>1</v>
      </c>
      <c r="U1442" s="27" t="str">
        <f t="shared" si="156"/>
        <v>Wireless Mouse</v>
      </c>
      <c r="V1442" s="27">
        <f t="shared" si="157"/>
        <v>34.520000000000003</v>
      </c>
      <c r="W1442" s="27">
        <f t="shared" si="158"/>
        <v>16.77</v>
      </c>
      <c r="X1442" s="27">
        <f>RawSalesTable3[[#This Row],[Revenue]]-RawSalesTable3[[#This Row],[Total_Cost]]</f>
        <v>17.750000000000004</v>
      </c>
      <c r="Y1442" s="28">
        <f>RawSalesTable3[[#This Row],[Profit]]/RawSalesTable3[[#This Row],[Revenue]]</f>
        <v>0.51419466975666284</v>
      </c>
      <c r="Z1442" s="27" t="str">
        <f>TEXT(RawSalesTable3[[#This Row],[Order_Date_Clean]],"MMM YYYY")</f>
        <v>Jun 2025</v>
      </c>
      <c r="AA1442" s="27"/>
      <c r="AB1442" s="27">
        <f t="shared" si="159"/>
        <v>0</v>
      </c>
      <c r="AC1442" s="27">
        <f t="shared" si="160"/>
        <v>0</v>
      </c>
    </row>
    <row r="1443" spans="1:29">
      <c r="A1443" t="s">
        <v>1549</v>
      </c>
      <c r="B1443" s="3">
        <v>46020</v>
      </c>
      <c r="C1443" t="s">
        <v>54</v>
      </c>
      <c r="D1443" t="s">
        <v>62</v>
      </c>
      <c r="E1443" t="s">
        <v>67</v>
      </c>
      <c r="F1443" t="s">
        <v>94</v>
      </c>
      <c r="G1443" s="6">
        <v>2</v>
      </c>
      <c r="H1443" s="4">
        <v>35.049999999999997</v>
      </c>
      <c r="I1443" s="4">
        <v>17.79</v>
      </c>
      <c r="J1443" s="5">
        <v>0.15000000000000002</v>
      </c>
      <c r="K1443" s="6">
        <v>0</v>
      </c>
      <c r="L1443" s="6">
        <v>4</v>
      </c>
      <c r="M1443" t="s">
        <v>58</v>
      </c>
      <c r="N1443" t="s">
        <v>69</v>
      </c>
      <c r="O1443" t="s">
        <v>64</v>
      </c>
      <c r="P1443" t="str">
        <f t="shared" si="154"/>
        <v>Individual</v>
      </c>
      <c r="Q1443" t="str">
        <f t="shared" si="155"/>
        <v>North</v>
      </c>
      <c r="R1443" t="str">
        <f>PROPER(TRIM(E1443))</f>
        <v>Office</v>
      </c>
      <c r="S1443" s="27">
        <f>IF(ISTEXT(B1443),DATEVALUE(B1443),B1443)</f>
        <v>46020</v>
      </c>
      <c r="T1443" s="27">
        <f>COUNTIF($A$2:$A$1986,A1443)</f>
        <v>1</v>
      </c>
      <c r="U1443" s="27" t="str">
        <f t="shared" si="156"/>
        <v>Wireless Mouse</v>
      </c>
      <c r="V1443" s="27">
        <f t="shared" si="157"/>
        <v>59.584999999999994</v>
      </c>
      <c r="W1443" s="27">
        <f t="shared" si="158"/>
        <v>35.58</v>
      </c>
      <c r="X1443" s="27">
        <f>RawSalesTable3[[#This Row],[Revenue]]-RawSalesTable3[[#This Row],[Total_Cost]]</f>
        <v>24.004999999999995</v>
      </c>
      <c r="Y1443" s="28">
        <f>RawSalesTable3[[#This Row],[Profit]]/RawSalesTable3[[#This Row],[Revenue]]</f>
        <v>0.40286984979441132</v>
      </c>
      <c r="Z1443" s="27" t="str">
        <f>TEXT(RawSalesTable3[[#This Row],[Order_Date_Clean]],"MMM YYYY")</f>
        <v>Dec 2025</v>
      </c>
      <c r="AA1443" s="27"/>
      <c r="AB1443" s="27">
        <f t="shared" si="159"/>
        <v>0</v>
      </c>
      <c r="AC1443" s="27">
        <f t="shared" si="160"/>
        <v>0</v>
      </c>
    </row>
    <row r="1444" spans="1:29">
      <c r="A1444" t="s">
        <v>1550</v>
      </c>
      <c r="B1444" s="3">
        <v>45973</v>
      </c>
      <c r="C1444" t="s">
        <v>66</v>
      </c>
      <c r="D1444" t="s">
        <v>62</v>
      </c>
      <c r="E1444" t="s">
        <v>67</v>
      </c>
      <c r="F1444" t="s">
        <v>94</v>
      </c>
      <c r="G1444" s="6">
        <v>1</v>
      </c>
      <c r="H1444" s="4">
        <v>35.14</v>
      </c>
      <c r="I1444" s="4">
        <v>17.440000000000001</v>
      </c>
      <c r="J1444" s="5">
        <v>0.1</v>
      </c>
      <c r="K1444" s="6">
        <v>5</v>
      </c>
      <c r="L1444" s="6">
        <v>5</v>
      </c>
      <c r="M1444" t="s">
        <v>58</v>
      </c>
      <c r="N1444" t="s">
        <v>69</v>
      </c>
      <c r="O1444" t="s">
        <v>64</v>
      </c>
      <c r="P1444" t="str">
        <f t="shared" si="154"/>
        <v>Individual</v>
      </c>
      <c r="Q1444" t="str">
        <f t="shared" si="155"/>
        <v>South</v>
      </c>
      <c r="R1444" t="str">
        <f>PROPER(TRIM(E1444))</f>
        <v>Office</v>
      </c>
      <c r="S1444" s="27">
        <f>IF(ISTEXT(B1444),DATEVALUE(B1444),B1444)</f>
        <v>45973</v>
      </c>
      <c r="T1444" s="27">
        <f>COUNTIF($A$2:$A$1986,A1444)</f>
        <v>1</v>
      </c>
      <c r="U1444" s="27" t="str">
        <f t="shared" si="156"/>
        <v>Wireless Mouse</v>
      </c>
      <c r="V1444" s="27">
        <f t="shared" si="157"/>
        <v>31.626000000000001</v>
      </c>
      <c r="W1444" s="27">
        <f t="shared" si="158"/>
        <v>17.440000000000001</v>
      </c>
      <c r="X1444" s="27">
        <f>RawSalesTable3[[#This Row],[Revenue]]-RawSalesTable3[[#This Row],[Total_Cost]]</f>
        <v>14.186</v>
      </c>
      <c r="Y1444" s="28">
        <f>RawSalesTable3[[#This Row],[Profit]]/RawSalesTable3[[#This Row],[Revenue]]</f>
        <v>0.44855498640359198</v>
      </c>
      <c r="Z1444" s="27" t="str">
        <f>TEXT(RawSalesTable3[[#This Row],[Order_Date_Clean]],"MMM YYYY")</f>
        <v>Nov 2025</v>
      </c>
      <c r="AA1444" s="27"/>
      <c r="AB1444" s="27">
        <f t="shared" si="159"/>
        <v>0</v>
      </c>
      <c r="AC1444" s="27">
        <f t="shared" si="160"/>
        <v>0</v>
      </c>
    </row>
    <row r="1445" spans="1:29">
      <c r="A1445" t="s">
        <v>1551</v>
      </c>
      <c r="B1445" s="3">
        <v>45769</v>
      </c>
      <c r="C1445" t="s">
        <v>82</v>
      </c>
      <c r="D1445" t="s">
        <v>62</v>
      </c>
      <c r="E1445" t="s">
        <v>67</v>
      </c>
      <c r="F1445" t="s">
        <v>71</v>
      </c>
      <c r="G1445" s="6">
        <v>4</v>
      </c>
      <c r="H1445" s="4">
        <v>69.11</v>
      </c>
      <c r="I1445" s="4">
        <v>39.5</v>
      </c>
      <c r="J1445" s="5">
        <v>0.05</v>
      </c>
      <c r="K1445" s="6">
        <v>6</v>
      </c>
      <c r="L1445" s="6">
        <v>3</v>
      </c>
      <c r="M1445" t="s">
        <v>126</v>
      </c>
      <c r="N1445" t="s">
        <v>59</v>
      </c>
      <c r="O1445" t="s">
        <v>64</v>
      </c>
      <c r="P1445" t="str">
        <f t="shared" si="154"/>
        <v>Individual</v>
      </c>
      <c r="Q1445" t="str">
        <f t="shared" si="155"/>
        <v>Midlands</v>
      </c>
      <c r="R1445" t="str">
        <f>PROPER(TRIM(E1445))</f>
        <v>Office</v>
      </c>
      <c r="S1445" s="27">
        <f>IF(ISTEXT(B1445),DATEVALUE(B1445),B1445)</f>
        <v>45769</v>
      </c>
      <c r="T1445" s="27">
        <f>COUNTIF($A$2:$A$1986,A1445)</f>
        <v>1</v>
      </c>
      <c r="U1445" s="27" t="str">
        <f t="shared" si="156"/>
        <v>Ergonomic Keyboard</v>
      </c>
      <c r="V1445" s="27">
        <f t="shared" si="157"/>
        <v>262.61799999999999</v>
      </c>
      <c r="W1445" s="27">
        <f t="shared" si="158"/>
        <v>158</v>
      </c>
      <c r="X1445" s="27">
        <f>RawSalesTable3[[#This Row],[Revenue]]-RawSalesTable3[[#This Row],[Total_Cost]]</f>
        <v>104.61799999999999</v>
      </c>
      <c r="Y1445" s="28">
        <f>RawSalesTable3[[#This Row],[Profit]]/RawSalesTable3[[#This Row],[Revenue]]</f>
        <v>0.39836568704353853</v>
      </c>
      <c r="Z1445" s="27" t="str">
        <f>TEXT(RawSalesTable3[[#This Row],[Order_Date_Clean]],"MMM YYYY")</f>
        <v>Apr 2025</v>
      </c>
      <c r="AA1445" s="27"/>
      <c r="AB1445" s="27">
        <f t="shared" si="159"/>
        <v>0</v>
      </c>
      <c r="AC1445" s="27">
        <f t="shared" si="160"/>
        <v>0</v>
      </c>
    </row>
    <row r="1446" spans="1:29">
      <c r="A1446" t="s">
        <v>1552</v>
      </c>
      <c r="B1446" s="3">
        <v>45935</v>
      </c>
      <c r="C1446" t="s">
        <v>66</v>
      </c>
      <c r="D1446" t="s">
        <v>62</v>
      </c>
      <c r="E1446" t="s">
        <v>67</v>
      </c>
      <c r="F1446" t="s">
        <v>71</v>
      </c>
      <c r="G1446" s="6">
        <v>1</v>
      </c>
      <c r="H1446" s="4">
        <v>69.83</v>
      </c>
      <c r="I1446" s="4">
        <v>39.49</v>
      </c>
      <c r="J1446" s="5">
        <v>0.2</v>
      </c>
      <c r="K1446" s="6">
        <v>0</v>
      </c>
      <c r="L1446" s="6">
        <v>5</v>
      </c>
      <c r="M1446" t="s">
        <v>58</v>
      </c>
      <c r="N1446" t="s">
        <v>69</v>
      </c>
      <c r="O1446" t="s">
        <v>73</v>
      </c>
      <c r="P1446" t="str">
        <f t="shared" si="154"/>
        <v>Individual</v>
      </c>
      <c r="Q1446" t="str">
        <f t="shared" si="155"/>
        <v>South</v>
      </c>
      <c r="R1446" t="str">
        <f>PROPER(TRIM(E1446))</f>
        <v>Office</v>
      </c>
      <c r="S1446" s="27">
        <f>IF(ISTEXT(B1446),DATEVALUE(B1446),B1446)</f>
        <v>45935</v>
      </c>
      <c r="T1446" s="27">
        <f>COUNTIF($A$2:$A$1986,A1446)</f>
        <v>1</v>
      </c>
      <c r="U1446" s="27" t="str">
        <f t="shared" si="156"/>
        <v>Ergonomic Keyboard</v>
      </c>
      <c r="V1446" s="27">
        <f t="shared" si="157"/>
        <v>55.864000000000004</v>
      </c>
      <c r="W1446" s="27">
        <f t="shared" si="158"/>
        <v>39.49</v>
      </c>
      <c r="X1446" s="27">
        <f>RawSalesTable3[[#This Row],[Revenue]]-RawSalesTable3[[#This Row],[Total_Cost]]</f>
        <v>16.374000000000002</v>
      </c>
      <c r="Y1446" s="28">
        <f>RawSalesTable3[[#This Row],[Profit]]/RawSalesTable3[[#This Row],[Revenue]]</f>
        <v>0.29310468280108837</v>
      </c>
      <c r="Z1446" s="27" t="str">
        <f>TEXT(RawSalesTable3[[#This Row],[Order_Date_Clean]],"MMM YYYY")</f>
        <v>Oct 2025</v>
      </c>
      <c r="AA1446" s="27"/>
      <c r="AB1446" s="27">
        <f t="shared" si="159"/>
        <v>0</v>
      </c>
      <c r="AC1446" s="27">
        <f t="shared" si="160"/>
        <v>0</v>
      </c>
    </row>
    <row r="1447" spans="1:29">
      <c r="A1447" t="s">
        <v>1553</v>
      </c>
      <c r="B1447" s="3">
        <v>45814</v>
      </c>
      <c r="C1447" t="s">
        <v>78</v>
      </c>
      <c r="D1447" t="s">
        <v>62</v>
      </c>
      <c r="E1447" t="s">
        <v>79</v>
      </c>
      <c r="F1447" t="s">
        <v>115</v>
      </c>
      <c r="G1447" s="6">
        <v>3</v>
      </c>
      <c r="H1447" s="4">
        <v>61.01</v>
      </c>
      <c r="I1447" s="4">
        <v>33.69</v>
      </c>
      <c r="J1447" s="5">
        <v>0</v>
      </c>
      <c r="K1447" s="6">
        <v>2</v>
      </c>
      <c r="L1447" s="6">
        <v>4</v>
      </c>
      <c r="M1447" t="s">
        <v>58</v>
      </c>
      <c r="N1447" t="s">
        <v>59</v>
      </c>
      <c r="O1447" t="s">
        <v>73</v>
      </c>
      <c r="P1447" t="str">
        <f t="shared" si="154"/>
        <v>Individual</v>
      </c>
      <c r="Q1447" t="str">
        <f t="shared" si="155"/>
        <v>London</v>
      </c>
      <c r="R1447" t="str">
        <f>PROPER(TRIM(E1447))</f>
        <v>Electronics</v>
      </c>
      <c r="S1447" s="27">
        <f>IF(ISTEXT(B1447),DATEVALUE(B1447),B1447)</f>
        <v>45814</v>
      </c>
      <c r="T1447" s="27">
        <f>COUNTIF($A$2:$A$1986,A1447)</f>
        <v>1</v>
      </c>
      <c r="U1447" s="27" t="str">
        <f t="shared" si="156"/>
        <v>Wireless Headset</v>
      </c>
      <c r="V1447" s="27">
        <f t="shared" si="157"/>
        <v>183.03</v>
      </c>
      <c r="W1447" s="27">
        <f t="shared" si="158"/>
        <v>101.07</v>
      </c>
      <c r="X1447" s="27">
        <f>RawSalesTable3[[#This Row],[Revenue]]-RawSalesTable3[[#This Row],[Total_Cost]]</f>
        <v>81.960000000000008</v>
      </c>
      <c r="Y1447" s="28">
        <f>RawSalesTable3[[#This Row],[Profit]]/RawSalesTable3[[#This Row],[Revenue]]</f>
        <v>0.44779544336993937</v>
      </c>
      <c r="Z1447" s="27" t="str">
        <f>TEXT(RawSalesTable3[[#This Row],[Order_Date_Clean]],"MMM YYYY")</f>
        <v>Jun 2025</v>
      </c>
      <c r="AA1447" s="27"/>
      <c r="AB1447" s="27">
        <f t="shared" si="159"/>
        <v>0</v>
      </c>
      <c r="AC1447" s="27">
        <f t="shared" si="160"/>
        <v>0</v>
      </c>
    </row>
    <row r="1448" spans="1:29">
      <c r="A1448" t="s">
        <v>1554</v>
      </c>
      <c r="B1448" s="3">
        <v>45883</v>
      </c>
      <c r="C1448" t="s">
        <v>78</v>
      </c>
      <c r="D1448" t="s">
        <v>55</v>
      </c>
      <c r="E1448" t="s">
        <v>79</v>
      </c>
      <c r="F1448" t="s">
        <v>85</v>
      </c>
      <c r="G1448" s="6">
        <v>2</v>
      </c>
      <c r="H1448" s="4">
        <v>134.76</v>
      </c>
      <c r="I1448" s="4">
        <v>87.46</v>
      </c>
      <c r="J1448" s="5">
        <v>0</v>
      </c>
      <c r="K1448" s="6">
        <v>4</v>
      </c>
      <c r="L1448" s="6">
        <v>4</v>
      </c>
      <c r="M1448" t="s">
        <v>58</v>
      </c>
      <c r="N1448" t="s">
        <v>59</v>
      </c>
      <c r="O1448" t="s">
        <v>64</v>
      </c>
      <c r="P1448" t="str">
        <f t="shared" si="154"/>
        <v>Small Business</v>
      </c>
      <c r="Q1448" t="str">
        <f t="shared" si="155"/>
        <v>London</v>
      </c>
      <c r="R1448" t="str">
        <f>PROPER(TRIM(E1448))</f>
        <v>Electronics</v>
      </c>
      <c r="S1448" s="27">
        <f>IF(ISTEXT(B1448),DATEVALUE(B1448),B1448)</f>
        <v>45883</v>
      </c>
      <c r="T1448" s="27">
        <f>COUNTIF($A$2:$A$1986,A1448)</f>
        <v>1</v>
      </c>
      <c r="U1448" s="27" t="str">
        <f t="shared" si="156"/>
        <v>SmartHome Hub</v>
      </c>
      <c r="V1448" s="27">
        <f t="shared" si="157"/>
        <v>269.52</v>
      </c>
      <c r="W1448" s="27">
        <f t="shared" si="158"/>
        <v>174.92</v>
      </c>
      <c r="X1448" s="27">
        <f>RawSalesTable3[[#This Row],[Revenue]]-RawSalesTable3[[#This Row],[Total_Cost]]</f>
        <v>94.6</v>
      </c>
      <c r="Y1448" s="28">
        <f>RawSalesTable3[[#This Row],[Profit]]/RawSalesTable3[[#This Row],[Revenue]]</f>
        <v>0.3509943603443158</v>
      </c>
      <c r="Z1448" s="27" t="str">
        <f>TEXT(RawSalesTable3[[#This Row],[Order_Date_Clean]],"MMM YYYY")</f>
        <v>Aug 2025</v>
      </c>
      <c r="AA1448" s="27"/>
      <c r="AB1448" s="27">
        <f t="shared" si="159"/>
        <v>0</v>
      </c>
      <c r="AC1448" s="27">
        <f t="shared" si="160"/>
        <v>0</v>
      </c>
    </row>
    <row r="1449" spans="1:29">
      <c r="A1449" t="s">
        <v>1555</v>
      </c>
      <c r="B1449" s="3">
        <v>45701</v>
      </c>
      <c r="C1449" t="s">
        <v>78</v>
      </c>
      <c r="D1449" t="s">
        <v>62</v>
      </c>
      <c r="E1449" t="s">
        <v>67</v>
      </c>
      <c r="F1449" t="s">
        <v>107</v>
      </c>
      <c r="G1449" s="6">
        <v>1</v>
      </c>
      <c r="H1449" s="4">
        <v>46.39</v>
      </c>
      <c r="I1449" s="4">
        <v>21.36</v>
      </c>
      <c r="J1449" s="5">
        <v>0</v>
      </c>
      <c r="K1449" s="6">
        <v>4</v>
      </c>
      <c r="L1449" s="6">
        <v>5</v>
      </c>
      <c r="M1449" t="s">
        <v>58</v>
      </c>
      <c r="N1449" t="s">
        <v>59</v>
      </c>
      <c r="O1449" t="s">
        <v>64</v>
      </c>
      <c r="P1449" t="str">
        <f t="shared" si="154"/>
        <v>Individual</v>
      </c>
      <c r="Q1449" t="str">
        <f t="shared" si="155"/>
        <v>London</v>
      </c>
      <c r="R1449" t="str">
        <f>PROPER(TRIM(E1449))</f>
        <v>Office</v>
      </c>
      <c r="S1449" s="27">
        <f>IF(ISTEXT(B1449),DATEVALUE(B1449),B1449)</f>
        <v>45701</v>
      </c>
      <c r="T1449" s="27">
        <f>COUNTIF($A$2:$A$1986,A1449)</f>
        <v>1</v>
      </c>
      <c r="U1449" s="27" t="str">
        <f t="shared" si="156"/>
        <v>Laptop Stand</v>
      </c>
      <c r="V1449" s="27">
        <f t="shared" si="157"/>
        <v>46.39</v>
      </c>
      <c r="W1449" s="27">
        <f t="shared" si="158"/>
        <v>21.36</v>
      </c>
      <c r="X1449" s="27">
        <f>RawSalesTable3[[#This Row],[Revenue]]-RawSalesTable3[[#This Row],[Total_Cost]]</f>
        <v>25.03</v>
      </c>
      <c r="Y1449" s="28">
        <f>RawSalesTable3[[#This Row],[Profit]]/RawSalesTable3[[#This Row],[Revenue]]</f>
        <v>0.53955593877990948</v>
      </c>
      <c r="Z1449" s="27" t="str">
        <f>TEXT(RawSalesTable3[[#This Row],[Order_Date_Clean]],"MMM YYYY")</f>
        <v>Feb 2025</v>
      </c>
      <c r="AA1449" s="27"/>
      <c r="AB1449" s="27">
        <f t="shared" si="159"/>
        <v>0</v>
      </c>
      <c r="AC1449" s="27">
        <f t="shared" si="160"/>
        <v>0</v>
      </c>
    </row>
    <row r="1450" spans="1:29">
      <c r="A1450" t="s">
        <v>1556</v>
      </c>
      <c r="B1450" s="3">
        <v>46010</v>
      </c>
      <c r="C1450" t="s">
        <v>54</v>
      </c>
      <c r="D1450" t="s">
        <v>129</v>
      </c>
      <c r="E1450" t="s">
        <v>56</v>
      </c>
      <c r="F1450" t="s">
        <v>89</v>
      </c>
      <c r="G1450" s="6">
        <v>5</v>
      </c>
      <c r="H1450" s="4">
        <v>81.37</v>
      </c>
      <c r="I1450" s="4">
        <v>45.63</v>
      </c>
      <c r="J1450" s="5">
        <v>0.05</v>
      </c>
      <c r="K1450" s="6">
        <v>3</v>
      </c>
      <c r="L1450" s="6">
        <v>5</v>
      </c>
      <c r="M1450" t="s">
        <v>58</v>
      </c>
      <c r="N1450" t="s">
        <v>69</v>
      </c>
      <c r="O1450" t="s">
        <v>60</v>
      </c>
      <c r="P1450" t="str">
        <f t="shared" si="154"/>
        <v>Corporate</v>
      </c>
      <c r="Q1450" t="str">
        <f t="shared" si="155"/>
        <v>North</v>
      </c>
      <c r="R1450" t="str">
        <f>PROPER(TRIM(E1450))</f>
        <v>Home &amp; Kitchen</v>
      </c>
      <c r="S1450" s="27">
        <f>IF(ISTEXT(B1450),DATEVALUE(B1450),B1450)</f>
        <v>46010</v>
      </c>
      <c r="T1450" s="27">
        <f>COUNTIF($A$2:$A$1986,A1450)</f>
        <v>1</v>
      </c>
      <c r="U1450" s="27" t="str">
        <f t="shared" si="156"/>
        <v>Coffee Maker</v>
      </c>
      <c r="V1450" s="27">
        <f t="shared" si="157"/>
        <v>386.50749999999999</v>
      </c>
      <c r="W1450" s="27">
        <f t="shared" si="158"/>
        <v>228.15</v>
      </c>
      <c r="X1450" s="27">
        <f>RawSalesTable3[[#This Row],[Revenue]]-RawSalesTable3[[#This Row],[Total_Cost]]</f>
        <v>158.35749999999999</v>
      </c>
      <c r="Y1450" s="28">
        <f>RawSalesTable3[[#This Row],[Profit]]/RawSalesTable3[[#This Row],[Revenue]]</f>
        <v>0.40971391240790928</v>
      </c>
      <c r="Z1450" s="27" t="str">
        <f>TEXT(RawSalesTable3[[#This Row],[Order_Date_Clean]],"MMM YYYY")</f>
        <v>Dec 2025</v>
      </c>
      <c r="AA1450" s="27"/>
      <c r="AB1450" s="27">
        <f t="shared" si="159"/>
        <v>0</v>
      </c>
      <c r="AC1450" s="27">
        <f t="shared" si="160"/>
        <v>0</v>
      </c>
    </row>
    <row r="1451" spans="1:29">
      <c r="A1451" t="s">
        <v>1557</v>
      </c>
      <c r="B1451" s="3">
        <v>45696</v>
      </c>
      <c r="C1451" t="s">
        <v>66</v>
      </c>
      <c r="D1451" t="s">
        <v>55</v>
      </c>
      <c r="E1451" t="s">
        <v>75</v>
      </c>
      <c r="F1451" t="s">
        <v>76</v>
      </c>
      <c r="G1451" s="6">
        <v>4</v>
      </c>
      <c r="H1451" s="4">
        <v>122.27</v>
      </c>
      <c r="I1451" s="4">
        <v>70.989999999999995</v>
      </c>
      <c r="J1451" s="5">
        <v>0.1</v>
      </c>
      <c r="K1451" s="6">
        <v>6</v>
      </c>
      <c r="L1451" s="6">
        <v>3</v>
      </c>
      <c r="M1451" t="s">
        <v>126</v>
      </c>
      <c r="N1451" t="s">
        <v>59</v>
      </c>
      <c r="O1451" t="s">
        <v>73</v>
      </c>
      <c r="P1451" t="str">
        <f t="shared" si="154"/>
        <v>Small Business</v>
      </c>
      <c r="Q1451" t="str">
        <f t="shared" si="155"/>
        <v>South</v>
      </c>
      <c r="R1451" t="str">
        <f>PROPER(TRIM(E1451))</f>
        <v>Furniture</v>
      </c>
      <c r="S1451" s="27">
        <f>IF(ISTEXT(B1451),DATEVALUE(B1451),B1451)</f>
        <v>45696</v>
      </c>
      <c r="T1451" s="27">
        <f>COUNTIF($A$2:$A$1986,A1451)</f>
        <v>1</v>
      </c>
      <c r="U1451" s="27" t="str">
        <f t="shared" si="156"/>
        <v>Bookshelf</v>
      </c>
      <c r="V1451" s="27">
        <f t="shared" si="157"/>
        <v>440.17199999999997</v>
      </c>
      <c r="W1451" s="27">
        <f t="shared" si="158"/>
        <v>283.95999999999998</v>
      </c>
      <c r="X1451" s="27">
        <f>RawSalesTable3[[#This Row],[Revenue]]-RawSalesTable3[[#This Row],[Total_Cost]]</f>
        <v>156.21199999999999</v>
      </c>
      <c r="Y1451" s="28">
        <f>RawSalesTable3[[#This Row],[Profit]]/RawSalesTable3[[#This Row],[Revenue]]</f>
        <v>0.35488854356933197</v>
      </c>
      <c r="Z1451" s="27" t="str">
        <f>TEXT(RawSalesTable3[[#This Row],[Order_Date_Clean]],"MMM YYYY")</f>
        <v>Feb 2025</v>
      </c>
      <c r="AA1451" s="27"/>
      <c r="AB1451" s="27">
        <f t="shared" si="159"/>
        <v>0</v>
      </c>
      <c r="AC1451" s="27">
        <f t="shared" si="160"/>
        <v>0</v>
      </c>
    </row>
    <row r="1452" spans="1:29">
      <c r="A1452" t="s">
        <v>1558</v>
      </c>
      <c r="B1452" s="3">
        <v>45848</v>
      </c>
      <c r="C1452" t="s">
        <v>78</v>
      </c>
      <c r="D1452" t="s">
        <v>62</v>
      </c>
      <c r="E1452" t="s">
        <v>67</v>
      </c>
      <c r="F1452" t="s">
        <v>94</v>
      </c>
      <c r="G1452" s="6">
        <v>1</v>
      </c>
      <c r="H1452" s="4">
        <v>35.92</v>
      </c>
      <c r="I1452" s="4">
        <v>17.73</v>
      </c>
      <c r="J1452" s="5">
        <v>0.1</v>
      </c>
      <c r="K1452" s="6">
        <v>5</v>
      </c>
      <c r="L1452" s="6">
        <v>4</v>
      </c>
      <c r="M1452" t="s">
        <v>58</v>
      </c>
      <c r="N1452" t="s">
        <v>59</v>
      </c>
      <c r="O1452" t="s">
        <v>73</v>
      </c>
      <c r="P1452" t="str">
        <f t="shared" si="154"/>
        <v>Individual</v>
      </c>
      <c r="Q1452" t="str">
        <f t="shared" si="155"/>
        <v>London</v>
      </c>
      <c r="R1452" t="str">
        <f>PROPER(TRIM(E1452))</f>
        <v>Office</v>
      </c>
      <c r="S1452" s="27">
        <f>IF(ISTEXT(B1452),DATEVALUE(B1452),B1452)</f>
        <v>45848</v>
      </c>
      <c r="T1452" s="27">
        <f>COUNTIF($A$2:$A$1986,A1452)</f>
        <v>1</v>
      </c>
      <c r="U1452" s="27" t="str">
        <f t="shared" si="156"/>
        <v>Wireless Mouse</v>
      </c>
      <c r="V1452" s="27">
        <f t="shared" si="157"/>
        <v>32.328000000000003</v>
      </c>
      <c r="W1452" s="27">
        <f t="shared" si="158"/>
        <v>17.73</v>
      </c>
      <c r="X1452" s="27">
        <f>RawSalesTable3[[#This Row],[Revenue]]-RawSalesTable3[[#This Row],[Total_Cost]]</f>
        <v>14.598000000000003</v>
      </c>
      <c r="Y1452" s="28">
        <f>RawSalesTable3[[#This Row],[Profit]]/RawSalesTable3[[#This Row],[Revenue]]</f>
        <v>0.45155902004454346</v>
      </c>
      <c r="Z1452" s="27" t="str">
        <f>TEXT(RawSalesTable3[[#This Row],[Order_Date_Clean]],"MMM YYYY")</f>
        <v>Jul 2025</v>
      </c>
      <c r="AA1452" s="27"/>
      <c r="AB1452" s="27">
        <f t="shared" si="159"/>
        <v>0</v>
      </c>
      <c r="AC1452" s="27">
        <f t="shared" si="160"/>
        <v>0</v>
      </c>
    </row>
    <row r="1453" spans="1:29">
      <c r="A1453" t="s">
        <v>1559</v>
      </c>
      <c r="B1453" s="3">
        <v>45981</v>
      </c>
      <c r="C1453" t="s">
        <v>66</v>
      </c>
      <c r="D1453" t="s">
        <v>62</v>
      </c>
      <c r="E1453" t="s">
        <v>79</v>
      </c>
      <c r="F1453" t="s">
        <v>85</v>
      </c>
      <c r="G1453" s="6">
        <v>1</v>
      </c>
      <c r="H1453" s="4">
        <v>128.55000000000001</v>
      </c>
      <c r="I1453" s="4">
        <v>81.56</v>
      </c>
      <c r="J1453" s="5">
        <v>0.1</v>
      </c>
      <c r="K1453" s="6">
        <v>2</v>
      </c>
      <c r="L1453" s="6">
        <v>4</v>
      </c>
      <c r="M1453" t="s">
        <v>58</v>
      </c>
      <c r="N1453" t="s">
        <v>69</v>
      </c>
      <c r="O1453" t="s">
        <v>64</v>
      </c>
      <c r="P1453" t="str">
        <f t="shared" si="154"/>
        <v>Individual</v>
      </c>
      <c r="Q1453" t="str">
        <f t="shared" si="155"/>
        <v>South</v>
      </c>
      <c r="R1453" t="str">
        <f>PROPER(TRIM(E1453))</f>
        <v>Electronics</v>
      </c>
      <c r="S1453" s="27">
        <f>IF(ISTEXT(B1453),DATEVALUE(B1453),B1453)</f>
        <v>45981</v>
      </c>
      <c r="T1453" s="27">
        <f>COUNTIF($A$2:$A$1986,A1453)</f>
        <v>1</v>
      </c>
      <c r="U1453" s="27" t="str">
        <f t="shared" si="156"/>
        <v>SmartHome Hub</v>
      </c>
      <c r="V1453" s="27">
        <f t="shared" si="157"/>
        <v>115.69500000000001</v>
      </c>
      <c r="W1453" s="27">
        <f t="shared" si="158"/>
        <v>81.56</v>
      </c>
      <c r="X1453" s="27">
        <f>RawSalesTable3[[#This Row],[Revenue]]-RawSalesTable3[[#This Row],[Total_Cost]]</f>
        <v>34.135000000000005</v>
      </c>
      <c r="Y1453" s="28">
        <f>RawSalesTable3[[#This Row],[Profit]]/RawSalesTable3[[#This Row],[Revenue]]</f>
        <v>0.29504300099399283</v>
      </c>
      <c r="Z1453" s="27" t="str">
        <f>TEXT(RawSalesTable3[[#This Row],[Order_Date_Clean]],"MMM YYYY")</f>
        <v>Nov 2025</v>
      </c>
      <c r="AA1453" s="27"/>
      <c r="AB1453" s="27">
        <f t="shared" si="159"/>
        <v>0</v>
      </c>
      <c r="AC1453" s="27">
        <f t="shared" si="160"/>
        <v>0</v>
      </c>
    </row>
    <row r="1454" spans="1:29">
      <c r="A1454" t="s">
        <v>1560</v>
      </c>
      <c r="B1454" s="3">
        <v>45890</v>
      </c>
      <c r="C1454" t="s">
        <v>54</v>
      </c>
      <c r="D1454" t="s">
        <v>62</v>
      </c>
      <c r="E1454" t="s">
        <v>56</v>
      </c>
      <c r="F1454" t="s">
        <v>83</v>
      </c>
      <c r="G1454" s="6">
        <v>1</v>
      </c>
      <c r="H1454" s="4">
        <v>63.05</v>
      </c>
      <c r="I1454" s="4">
        <v>36.44</v>
      </c>
      <c r="J1454" s="5">
        <v>0.05</v>
      </c>
      <c r="K1454" s="6">
        <v>4</v>
      </c>
      <c r="L1454" s="6">
        <v>4</v>
      </c>
      <c r="M1454" t="s">
        <v>58</v>
      </c>
      <c r="N1454" t="s">
        <v>59</v>
      </c>
      <c r="O1454" t="s">
        <v>64</v>
      </c>
      <c r="P1454" t="str">
        <f t="shared" si="154"/>
        <v>Individual</v>
      </c>
      <c r="Q1454" t="str">
        <f t="shared" si="155"/>
        <v>North</v>
      </c>
      <c r="R1454" t="str">
        <f>PROPER(TRIM(E1454))</f>
        <v>Home &amp; Kitchen</v>
      </c>
      <c r="S1454" s="27">
        <f>IF(ISTEXT(B1454),DATEVALUE(B1454),B1454)</f>
        <v>45890</v>
      </c>
      <c r="T1454" s="27">
        <f>COUNTIF($A$2:$A$1986,A1454)</f>
        <v>1</v>
      </c>
      <c r="U1454" s="27" t="str">
        <f t="shared" si="156"/>
        <v>Blender</v>
      </c>
      <c r="V1454" s="27">
        <f t="shared" si="157"/>
        <v>59.897499999999994</v>
      </c>
      <c r="W1454" s="27">
        <f t="shared" si="158"/>
        <v>36.44</v>
      </c>
      <c r="X1454" s="27">
        <f>RawSalesTable3[[#This Row],[Revenue]]-RawSalesTable3[[#This Row],[Total_Cost]]</f>
        <v>23.457499999999996</v>
      </c>
      <c r="Y1454" s="28">
        <f>RawSalesTable3[[#This Row],[Profit]]/RawSalesTable3[[#This Row],[Revenue]]</f>
        <v>0.39162736341249632</v>
      </c>
      <c r="Z1454" s="27" t="str">
        <f>TEXT(RawSalesTable3[[#This Row],[Order_Date_Clean]],"MMM YYYY")</f>
        <v>Aug 2025</v>
      </c>
      <c r="AA1454" s="27"/>
      <c r="AB1454" s="27">
        <f t="shared" si="159"/>
        <v>0</v>
      </c>
      <c r="AC1454" s="27">
        <f t="shared" si="160"/>
        <v>0</v>
      </c>
    </row>
    <row r="1455" spans="1:29">
      <c r="A1455" t="s">
        <v>1561</v>
      </c>
      <c r="B1455" s="3">
        <v>45972</v>
      </c>
      <c r="C1455" t="s">
        <v>78</v>
      </c>
      <c r="E1455" t="s">
        <v>75</v>
      </c>
      <c r="F1455" t="s">
        <v>146</v>
      </c>
      <c r="G1455" s="6">
        <v>1</v>
      </c>
      <c r="H1455" s="4">
        <v>186.67</v>
      </c>
      <c r="I1455" s="4">
        <v>116.5</v>
      </c>
      <c r="J1455" s="5">
        <v>0.15000000000000002</v>
      </c>
      <c r="K1455" s="6">
        <v>6</v>
      </c>
      <c r="L1455" s="6">
        <v>4</v>
      </c>
      <c r="M1455" t="s">
        <v>58</v>
      </c>
      <c r="N1455" t="s">
        <v>59</v>
      </c>
      <c r="O1455" t="s">
        <v>73</v>
      </c>
      <c r="P1455" t="str">
        <f t="shared" si="154"/>
        <v>Unknow</v>
      </c>
      <c r="Q1455" t="str">
        <f t="shared" si="155"/>
        <v>London</v>
      </c>
      <c r="R1455" t="str">
        <f>PROPER(TRIM(E1455))</f>
        <v>Furniture</v>
      </c>
      <c r="S1455" s="27">
        <f>IF(ISTEXT(B1455),DATEVALUE(B1455),B1455)</f>
        <v>45972</v>
      </c>
      <c r="T1455" s="27">
        <f>COUNTIF($A$2:$A$1986,A1455)</f>
        <v>1</v>
      </c>
      <c r="U1455" s="27" t="str">
        <f t="shared" si="156"/>
        <v>Office Chair</v>
      </c>
      <c r="V1455" s="27">
        <f t="shared" si="157"/>
        <v>158.6695</v>
      </c>
      <c r="W1455" s="27">
        <f t="shared" si="158"/>
        <v>116.5</v>
      </c>
      <c r="X1455" s="27">
        <f>RawSalesTable3[[#This Row],[Revenue]]-RawSalesTable3[[#This Row],[Total_Cost]]</f>
        <v>42.169499999999999</v>
      </c>
      <c r="Y1455" s="28">
        <f>RawSalesTable3[[#This Row],[Profit]]/RawSalesTable3[[#This Row],[Revenue]]</f>
        <v>0.26576941378147662</v>
      </c>
      <c r="Z1455" s="27" t="str">
        <f>TEXT(RawSalesTable3[[#This Row],[Order_Date_Clean]],"MMM YYYY")</f>
        <v>Nov 2025</v>
      </c>
      <c r="AA1455" s="27"/>
      <c r="AB1455" s="27">
        <f t="shared" si="159"/>
        <v>0</v>
      </c>
      <c r="AC1455" s="27">
        <f t="shared" si="160"/>
        <v>0</v>
      </c>
    </row>
    <row r="1456" spans="1:29">
      <c r="A1456" t="s">
        <v>1562</v>
      </c>
      <c r="B1456" s="3">
        <v>45915</v>
      </c>
      <c r="C1456" t="s">
        <v>78</v>
      </c>
      <c r="D1456" t="s">
        <v>62</v>
      </c>
      <c r="E1456" t="s">
        <v>56</v>
      </c>
      <c r="F1456" t="s">
        <v>89</v>
      </c>
      <c r="G1456" s="6">
        <v>2</v>
      </c>
      <c r="H1456" s="4">
        <v>79.72</v>
      </c>
      <c r="I1456" s="4">
        <v>43.75</v>
      </c>
      <c r="J1456" s="5">
        <v>0</v>
      </c>
      <c r="K1456" s="6">
        <v>2</v>
      </c>
      <c r="L1456" s="6">
        <v>5</v>
      </c>
      <c r="M1456" t="s">
        <v>58</v>
      </c>
      <c r="N1456" t="s">
        <v>59</v>
      </c>
      <c r="O1456" t="s">
        <v>64</v>
      </c>
      <c r="P1456" t="str">
        <f t="shared" si="154"/>
        <v>Individual</v>
      </c>
      <c r="Q1456" t="str">
        <f t="shared" si="155"/>
        <v>London</v>
      </c>
      <c r="R1456" t="str">
        <f>PROPER(TRIM(E1456))</f>
        <v>Home &amp; Kitchen</v>
      </c>
      <c r="S1456" s="27">
        <f>IF(ISTEXT(B1456),DATEVALUE(B1456),B1456)</f>
        <v>45915</v>
      </c>
      <c r="T1456" s="27">
        <f>COUNTIF($A$2:$A$1986,A1456)</f>
        <v>1</v>
      </c>
      <c r="U1456" s="27" t="str">
        <f t="shared" si="156"/>
        <v>Coffee Maker</v>
      </c>
      <c r="V1456" s="27">
        <f t="shared" si="157"/>
        <v>159.44</v>
      </c>
      <c r="W1456" s="27">
        <f t="shared" si="158"/>
        <v>87.5</v>
      </c>
      <c r="X1456" s="27">
        <f>RawSalesTable3[[#This Row],[Revenue]]-RawSalesTable3[[#This Row],[Total_Cost]]</f>
        <v>71.94</v>
      </c>
      <c r="Y1456" s="28">
        <f>RawSalesTable3[[#This Row],[Profit]]/RawSalesTable3[[#This Row],[Revenue]]</f>
        <v>0.45120421475163069</v>
      </c>
      <c r="Z1456" s="27" t="str">
        <f>TEXT(RawSalesTable3[[#This Row],[Order_Date_Clean]],"MMM YYYY")</f>
        <v>Sep 2025</v>
      </c>
      <c r="AA1456" s="27"/>
      <c r="AB1456" s="27">
        <f t="shared" si="159"/>
        <v>0</v>
      </c>
      <c r="AC1456" s="27">
        <f t="shared" si="160"/>
        <v>0</v>
      </c>
    </row>
    <row r="1457" spans="1:29">
      <c r="A1457" t="s">
        <v>1563</v>
      </c>
      <c r="B1457" s="3">
        <v>45672</v>
      </c>
      <c r="C1457" t="s">
        <v>66</v>
      </c>
      <c r="D1457" t="s">
        <v>62</v>
      </c>
      <c r="E1457" t="s">
        <v>75</v>
      </c>
      <c r="F1457" t="s">
        <v>110</v>
      </c>
      <c r="G1457" s="6">
        <v>1</v>
      </c>
      <c r="H1457" s="4">
        <v>164.67</v>
      </c>
      <c r="I1457" s="4">
        <v>103.71</v>
      </c>
      <c r="J1457" s="5">
        <v>0.05</v>
      </c>
      <c r="K1457" s="6">
        <v>5</v>
      </c>
      <c r="L1457" s="6">
        <v>4</v>
      </c>
      <c r="M1457" t="s">
        <v>58</v>
      </c>
      <c r="N1457" t="s">
        <v>59</v>
      </c>
      <c r="O1457" t="s">
        <v>64</v>
      </c>
      <c r="P1457" t="str">
        <f t="shared" si="154"/>
        <v>Individual</v>
      </c>
      <c r="Q1457" t="str">
        <f t="shared" si="155"/>
        <v>South</v>
      </c>
      <c r="R1457" t="str">
        <f>PROPER(TRIM(E1457))</f>
        <v>Furniture</v>
      </c>
      <c r="S1457" s="27">
        <f>IF(ISTEXT(B1457),DATEVALUE(B1457),B1457)</f>
        <v>45672</v>
      </c>
      <c r="T1457" s="27">
        <f>COUNTIF($A$2:$A$1986,A1457)</f>
        <v>1</v>
      </c>
      <c r="U1457" s="27" t="str">
        <f t="shared" si="156"/>
        <v>Storage Cabinet</v>
      </c>
      <c r="V1457" s="27">
        <f t="shared" si="157"/>
        <v>156.43649999999997</v>
      </c>
      <c r="W1457" s="27">
        <f t="shared" si="158"/>
        <v>103.71</v>
      </c>
      <c r="X1457" s="27">
        <f>RawSalesTable3[[#This Row],[Revenue]]-RawSalesTable3[[#This Row],[Total_Cost]]</f>
        <v>52.726499999999973</v>
      </c>
      <c r="Y1457" s="28">
        <f>RawSalesTable3[[#This Row],[Profit]]/RawSalesTable3[[#This Row],[Revenue]]</f>
        <v>0.33704730034231134</v>
      </c>
      <c r="Z1457" s="27" t="str">
        <f>TEXT(RawSalesTable3[[#This Row],[Order_Date_Clean]],"MMM YYYY")</f>
        <v>Jan 2025</v>
      </c>
      <c r="AA1457" s="27"/>
      <c r="AB1457" s="27">
        <f t="shared" si="159"/>
        <v>0</v>
      </c>
      <c r="AC1457" s="27">
        <f t="shared" si="160"/>
        <v>0</v>
      </c>
    </row>
    <row r="1458" spans="1:29">
      <c r="A1458" t="s">
        <v>1564</v>
      </c>
      <c r="B1458" s="3">
        <v>45834</v>
      </c>
      <c r="C1458" t="s">
        <v>54</v>
      </c>
      <c r="D1458" t="s">
        <v>55</v>
      </c>
      <c r="E1458" t="s">
        <v>75</v>
      </c>
      <c r="F1458" t="s">
        <v>110</v>
      </c>
      <c r="G1458" s="6">
        <v>3</v>
      </c>
      <c r="H1458" s="4">
        <v>158.97</v>
      </c>
      <c r="I1458" s="4">
        <v>103.28</v>
      </c>
      <c r="J1458" s="5">
        <v>0</v>
      </c>
      <c r="K1458" s="6">
        <v>3</v>
      </c>
      <c r="L1458" s="6"/>
      <c r="M1458" t="s">
        <v>58</v>
      </c>
      <c r="N1458" t="s">
        <v>69</v>
      </c>
      <c r="O1458" t="s">
        <v>64</v>
      </c>
      <c r="P1458" t="str">
        <f t="shared" si="154"/>
        <v>Small Business</v>
      </c>
      <c r="Q1458" t="str">
        <f t="shared" si="155"/>
        <v>North</v>
      </c>
      <c r="R1458" t="str">
        <f>PROPER(TRIM(E1458))</f>
        <v>Furniture</v>
      </c>
      <c r="S1458" s="27">
        <f>IF(ISTEXT(B1458),DATEVALUE(B1458),B1458)</f>
        <v>45834</v>
      </c>
      <c r="T1458" s="27">
        <f>COUNTIF($A$2:$A$1986,A1458)</f>
        <v>1</v>
      </c>
      <c r="U1458" s="27" t="str">
        <f t="shared" si="156"/>
        <v>Storage Cabinet</v>
      </c>
      <c r="V1458" s="27">
        <f t="shared" si="157"/>
        <v>476.90999999999997</v>
      </c>
      <c r="W1458" s="27">
        <f t="shared" si="158"/>
        <v>309.84000000000003</v>
      </c>
      <c r="X1458" s="27">
        <f>RawSalesTable3[[#This Row],[Revenue]]-RawSalesTable3[[#This Row],[Total_Cost]]</f>
        <v>167.06999999999994</v>
      </c>
      <c r="Y1458" s="28">
        <f>RawSalesTable3[[#This Row],[Profit]]/RawSalesTable3[[#This Row],[Revenue]]</f>
        <v>0.35031767000062897</v>
      </c>
      <c r="Z1458" s="27" t="str">
        <f>TEXT(RawSalesTable3[[#This Row],[Order_Date_Clean]],"MMM YYYY")</f>
        <v>Jun 2025</v>
      </c>
      <c r="AA1458" s="27"/>
      <c r="AB1458" s="27">
        <f t="shared" si="159"/>
        <v>0</v>
      </c>
      <c r="AC1458" s="27">
        <f t="shared" si="160"/>
        <v>0</v>
      </c>
    </row>
    <row r="1459" spans="1:29">
      <c r="A1459" t="s">
        <v>1565</v>
      </c>
      <c r="B1459" s="3">
        <v>45919</v>
      </c>
      <c r="C1459" t="s">
        <v>78</v>
      </c>
      <c r="D1459" t="s">
        <v>62</v>
      </c>
      <c r="E1459" t="s">
        <v>56</v>
      </c>
      <c r="F1459" t="s">
        <v>89</v>
      </c>
      <c r="G1459" s="6">
        <v>1</v>
      </c>
      <c r="H1459" s="4">
        <v>81.47</v>
      </c>
      <c r="I1459" s="4">
        <v>45.64</v>
      </c>
      <c r="J1459" s="5">
        <v>0</v>
      </c>
      <c r="K1459" s="6">
        <v>0</v>
      </c>
      <c r="L1459" s="6">
        <v>5</v>
      </c>
      <c r="M1459" t="s">
        <v>58</v>
      </c>
      <c r="N1459" t="s">
        <v>69</v>
      </c>
      <c r="O1459" t="s">
        <v>64</v>
      </c>
      <c r="P1459" t="str">
        <f t="shared" si="154"/>
        <v>Individual</v>
      </c>
      <c r="Q1459" t="str">
        <f t="shared" si="155"/>
        <v>London</v>
      </c>
      <c r="R1459" t="str">
        <f>PROPER(TRIM(E1459))</f>
        <v>Home &amp; Kitchen</v>
      </c>
      <c r="S1459" s="27">
        <f>IF(ISTEXT(B1459),DATEVALUE(B1459),B1459)</f>
        <v>45919</v>
      </c>
      <c r="T1459" s="27">
        <f>COUNTIF($A$2:$A$1986,A1459)</f>
        <v>1</v>
      </c>
      <c r="U1459" s="27" t="str">
        <f t="shared" si="156"/>
        <v>Coffee Maker</v>
      </c>
      <c r="V1459" s="27">
        <f t="shared" si="157"/>
        <v>81.47</v>
      </c>
      <c r="W1459" s="27">
        <f t="shared" si="158"/>
        <v>45.64</v>
      </c>
      <c r="X1459" s="27">
        <f>RawSalesTable3[[#This Row],[Revenue]]-RawSalesTable3[[#This Row],[Total_Cost]]</f>
        <v>35.83</v>
      </c>
      <c r="Y1459" s="28">
        <f>RawSalesTable3[[#This Row],[Profit]]/RawSalesTable3[[#This Row],[Revenue]]</f>
        <v>0.43979378912483119</v>
      </c>
      <c r="Z1459" s="27" t="str">
        <f>TEXT(RawSalesTable3[[#This Row],[Order_Date_Clean]],"MMM YYYY")</f>
        <v>Sep 2025</v>
      </c>
      <c r="AA1459" s="27"/>
      <c r="AB1459" s="27">
        <f t="shared" si="159"/>
        <v>0</v>
      </c>
      <c r="AC1459" s="27">
        <f t="shared" si="160"/>
        <v>0</v>
      </c>
    </row>
    <row r="1460" spans="1:29">
      <c r="A1460" t="s">
        <v>1566</v>
      </c>
      <c r="B1460" s="3">
        <v>45670</v>
      </c>
      <c r="C1460" t="s">
        <v>78</v>
      </c>
      <c r="D1460" t="s">
        <v>55</v>
      </c>
      <c r="E1460" t="s">
        <v>75</v>
      </c>
      <c r="F1460" t="s">
        <v>110</v>
      </c>
      <c r="G1460" s="6">
        <v>3</v>
      </c>
      <c r="H1460" s="4">
        <v>158.94</v>
      </c>
      <c r="I1460" s="4">
        <v>99.6</v>
      </c>
      <c r="J1460" s="5">
        <v>0.1</v>
      </c>
      <c r="K1460" s="6">
        <v>6</v>
      </c>
      <c r="L1460" s="6">
        <v>3</v>
      </c>
      <c r="M1460" t="s">
        <v>58</v>
      </c>
      <c r="N1460" t="s">
        <v>87</v>
      </c>
      <c r="O1460" t="s">
        <v>73</v>
      </c>
      <c r="P1460" t="str">
        <f t="shared" si="154"/>
        <v>Small Business</v>
      </c>
      <c r="Q1460" t="str">
        <f t="shared" si="155"/>
        <v>London</v>
      </c>
      <c r="R1460" t="str">
        <f>PROPER(TRIM(E1460))</f>
        <v>Furniture</v>
      </c>
      <c r="S1460" s="27">
        <f>IF(ISTEXT(B1460),DATEVALUE(B1460),B1460)</f>
        <v>45670</v>
      </c>
      <c r="T1460" s="27">
        <f>COUNTIF($A$2:$A$1986,A1460)</f>
        <v>1</v>
      </c>
      <c r="U1460" s="27" t="str">
        <f t="shared" si="156"/>
        <v>Storage Cabinet</v>
      </c>
      <c r="V1460" s="27">
        <f t="shared" si="157"/>
        <v>429.13799999999998</v>
      </c>
      <c r="W1460" s="27">
        <f t="shared" si="158"/>
        <v>298.79999999999995</v>
      </c>
      <c r="X1460" s="27">
        <f>RawSalesTable3[[#This Row],[Revenue]]-RawSalesTable3[[#This Row],[Total_Cost]]</f>
        <v>130.33800000000002</v>
      </c>
      <c r="Y1460" s="28">
        <f>RawSalesTable3[[#This Row],[Profit]]/RawSalesTable3[[#This Row],[Revenue]]</f>
        <v>0.30372048152342612</v>
      </c>
      <c r="Z1460" s="27" t="str">
        <f>TEXT(RawSalesTable3[[#This Row],[Order_Date_Clean]],"MMM YYYY")</f>
        <v>Jan 2025</v>
      </c>
      <c r="AA1460" s="27"/>
      <c r="AB1460" s="27">
        <f t="shared" si="159"/>
        <v>0</v>
      </c>
      <c r="AC1460" s="27">
        <f t="shared" si="160"/>
        <v>0</v>
      </c>
    </row>
    <row r="1461" spans="1:29">
      <c r="A1461" t="s">
        <v>1567</v>
      </c>
      <c r="B1461" s="3">
        <v>45962</v>
      </c>
      <c r="C1461" t="s">
        <v>66</v>
      </c>
      <c r="D1461" t="s">
        <v>55</v>
      </c>
      <c r="E1461" t="s">
        <v>56</v>
      </c>
      <c r="F1461" t="s">
        <v>57</v>
      </c>
      <c r="G1461" s="6">
        <v>2</v>
      </c>
      <c r="H1461" s="4">
        <v>110.99</v>
      </c>
      <c r="I1461" s="4">
        <v>69.78</v>
      </c>
      <c r="J1461" s="5">
        <v>0.05</v>
      </c>
      <c r="K1461" s="6">
        <v>5</v>
      </c>
      <c r="L1461" s="6">
        <v>5</v>
      </c>
      <c r="M1461" t="s">
        <v>58</v>
      </c>
      <c r="N1461" t="s">
        <v>59</v>
      </c>
      <c r="O1461" t="s">
        <v>64</v>
      </c>
      <c r="P1461" t="str">
        <f t="shared" si="154"/>
        <v>Small Business</v>
      </c>
      <c r="Q1461" t="str">
        <f t="shared" si="155"/>
        <v>South</v>
      </c>
      <c r="R1461" t="str">
        <f>PROPER(TRIM(E1461))</f>
        <v>Home &amp; Kitchen</v>
      </c>
      <c r="S1461" s="27">
        <f>IF(ISTEXT(B1461),DATEVALUE(B1461),B1461)</f>
        <v>45962</v>
      </c>
      <c r="T1461" s="27">
        <f>COUNTIF($A$2:$A$1986,A1461)</f>
        <v>1</v>
      </c>
      <c r="U1461" s="27" t="str">
        <f t="shared" si="156"/>
        <v>Air Fryer</v>
      </c>
      <c r="V1461" s="27">
        <f t="shared" si="157"/>
        <v>210.88099999999997</v>
      </c>
      <c r="W1461" s="27">
        <f t="shared" si="158"/>
        <v>139.56</v>
      </c>
      <c r="X1461" s="27">
        <f>RawSalesTable3[[#This Row],[Revenue]]-RawSalesTable3[[#This Row],[Total_Cost]]</f>
        <v>71.32099999999997</v>
      </c>
      <c r="Y1461" s="28">
        <f>RawSalesTable3[[#This Row],[Profit]]/RawSalesTable3[[#This Row],[Revenue]]</f>
        <v>0.33820495919499616</v>
      </c>
      <c r="Z1461" s="27" t="str">
        <f>TEXT(RawSalesTable3[[#This Row],[Order_Date_Clean]],"MMM YYYY")</f>
        <v>Nov 2025</v>
      </c>
      <c r="AA1461" s="27"/>
      <c r="AB1461" s="27">
        <f t="shared" si="159"/>
        <v>0</v>
      </c>
      <c r="AC1461" s="27">
        <f t="shared" si="160"/>
        <v>0</v>
      </c>
    </row>
    <row r="1462" spans="1:29">
      <c r="A1462" t="s">
        <v>1568</v>
      </c>
      <c r="B1462" s="3">
        <v>45669</v>
      </c>
      <c r="C1462" t="s">
        <v>82</v>
      </c>
      <c r="D1462" t="s">
        <v>62</v>
      </c>
      <c r="E1462" t="s">
        <v>56</v>
      </c>
      <c r="F1462" t="s">
        <v>89</v>
      </c>
      <c r="G1462" s="6">
        <v>1</v>
      </c>
      <c r="H1462" s="4">
        <v>79.959999999999994</v>
      </c>
      <c r="I1462" s="4">
        <v>44.7</v>
      </c>
      <c r="J1462" s="5">
        <v>0</v>
      </c>
      <c r="K1462" s="6">
        <v>3</v>
      </c>
      <c r="L1462" s="6">
        <v>4</v>
      </c>
      <c r="M1462" t="s">
        <v>126</v>
      </c>
      <c r="N1462" t="s">
        <v>69</v>
      </c>
      <c r="O1462" t="s">
        <v>60</v>
      </c>
      <c r="P1462" t="str">
        <f t="shared" si="154"/>
        <v>Individual</v>
      </c>
      <c r="Q1462" t="str">
        <f t="shared" si="155"/>
        <v>Midlands</v>
      </c>
      <c r="R1462" t="str">
        <f>PROPER(TRIM(E1462))</f>
        <v>Home &amp; Kitchen</v>
      </c>
      <c r="S1462" s="27">
        <f>IF(ISTEXT(B1462),DATEVALUE(B1462),B1462)</f>
        <v>45669</v>
      </c>
      <c r="T1462" s="27">
        <f>COUNTIF($A$2:$A$1986,A1462)</f>
        <v>1</v>
      </c>
      <c r="U1462" s="27" t="str">
        <f t="shared" si="156"/>
        <v>Coffee Maker</v>
      </c>
      <c r="V1462" s="27">
        <f t="shared" si="157"/>
        <v>79.959999999999994</v>
      </c>
      <c r="W1462" s="27">
        <f t="shared" si="158"/>
        <v>44.7</v>
      </c>
      <c r="X1462" s="27">
        <f>RawSalesTable3[[#This Row],[Revenue]]-RawSalesTable3[[#This Row],[Total_Cost]]</f>
        <v>35.259999999999991</v>
      </c>
      <c r="Y1462" s="28">
        <f>RawSalesTable3[[#This Row],[Profit]]/RawSalesTable3[[#This Row],[Revenue]]</f>
        <v>0.44097048524262122</v>
      </c>
      <c r="Z1462" s="27" t="str">
        <f>TEXT(RawSalesTable3[[#This Row],[Order_Date_Clean]],"MMM YYYY")</f>
        <v>Jan 2025</v>
      </c>
      <c r="AA1462" s="27"/>
      <c r="AB1462" s="27">
        <f t="shared" si="159"/>
        <v>0</v>
      </c>
      <c r="AC1462" s="27">
        <f t="shared" si="160"/>
        <v>0</v>
      </c>
    </row>
    <row r="1463" spans="1:29">
      <c r="A1463" t="s">
        <v>1569</v>
      </c>
      <c r="B1463" s="3">
        <v>46016</v>
      </c>
      <c r="C1463" t="s">
        <v>82</v>
      </c>
      <c r="D1463" t="s">
        <v>62</v>
      </c>
      <c r="E1463" t="s">
        <v>75</v>
      </c>
      <c r="F1463" t="s">
        <v>76</v>
      </c>
      <c r="G1463" s="6">
        <v>1</v>
      </c>
      <c r="H1463" s="4">
        <v>117.92</v>
      </c>
      <c r="I1463" s="4">
        <v>72.16</v>
      </c>
      <c r="J1463" s="5">
        <v>0.1</v>
      </c>
      <c r="K1463" s="6">
        <v>7</v>
      </c>
      <c r="L1463" s="6">
        <v>3</v>
      </c>
      <c r="M1463" t="s">
        <v>58</v>
      </c>
      <c r="N1463" t="s">
        <v>69</v>
      </c>
      <c r="O1463" t="s">
        <v>64</v>
      </c>
      <c r="P1463" t="str">
        <f t="shared" si="154"/>
        <v>Individual</v>
      </c>
      <c r="Q1463" t="str">
        <f t="shared" si="155"/>
        <v>Midlands</v>
      </c>
      <c r="R1463" t="str">
        <f>PROPER(TRIM(E1463))</f>
        <v>Furniture</v>
      </c>
      <c r="S1463" s="27">
        <f>IF(ISTEXT(B1463),DATEVALUE(B1463),B1463)</f>
        <v>46016</v>
      </c>
      <c r="T1463" s="27">
        <f>COUNTIF($A$2:$A$1986,A1463)</f>
        <v>1</v>
      </c>
      <c r="U1463" s="27" t="str">
        <f t="shared" si="156"/>
        <v>Bookshelf</v>
      </c>
      <c r="V1463" s="27">
        <f t="shared" si="157"/>
        <v>106.128</v>
      </c>
      <c r="W1463" s="27">
        <f t="shared" si="158"/>
        <v>72.16</v>
      </c>
      <c r="X1463" s="27">
        <f>RawSalesTable3[[#This Row],[Revenue]]-RawSalesTable3[[#This Row],[Total_Cost]]</f>
        <v>33.968000000000004</v>
      </c>
      <c r="Y1463" s="28">
        <f>RawSalesTable3[[#This Row],[Profit]]/RawSalesTable3[[#This Row],[Revenue]]</f>
        <v>0.32006633499170817</v>
      </c>
      <c r="Z1463" s="27" t="str">
        <f>TEXT(RawSalesTable3[[#This Row],[Order_Date_Clean]],"MMM YYYY")</f>
        <v>Dec 2025</v>
      </c>
      <c r="AA1463" s="27"/>
      <c r="AB1463" s="27">
        <f t="shared" si="159"/>
        <v>0</v>
      </c>
      <c r="AC1463" s="27">
        <f t="shared" si="160"/>
        <v>0</v>
      </c>
    </row>
    <row r="1464" spans="1:29">
      <c r="A1464" t="s">
        <v>1570</v>
      </c>
      <c r="B1464" s="3">
        <v>45967</v>
      </c>
      <c r="C1464" t="s">
        <v>54</v>
      </c>
      <c r="D1464" t="s">
        <v>62</v>
      </c>
      <c r="E1464" t="s">
        <v>75</v>
      </c>
      <c r="F1464" t="s">
        <v>146</v>
      </c>
      <c r="G1464" s="6">
        <v>1</v>
      </c>
      <c r="H1464" s="4">
        <v>179.11</v>
      </c>
      <c r="I1464" s="4">
        <v>117.32</v>
      </c>
      <c r="J1464" s="5">
        <v>0.05</v>
      </c>
      <c r="K1464" s="6">
        <v>6</v>
      </c>
      <c r="L1464" s="6">
        <v>3</v>
      </c>
      <c r="M1464" t="s">
        <v>58</v>
      </c>
      <c r="N1464" t="s">
        <v>59</v>
      </c>
      <c r="O1464" t="s">
        <v>64</v>
      </c>
      <c r="P1464" t="str">
        <f t="shared" si="154"/>
        <v>Individual</v>
      </c>
      <c r="Q1464" t="str">
        <f t="shared" si="155"/>
        <v>North</v>
      </c>
      <c r="R1464" t="str">
        <f>PROPER(TRIM(E1464))</f>
        <v>Furniture</v>
      </c>
      <c r="S1464" s="27">
        <f>IF(ISTEXT(B1464),DATEVALUE(B1464),B1464)</f>
        <v>45967</v>
      </c>
      <c r="T1464" s="27">
        <f>COUNTIF($A$2:$A$1986,A1464)</f>
        <v>1</v>
      </c>
      <c r="U1464" s="27" t="str">
        <f t="shared" si="156"/>
        <v>Office Chair</v>
      </c>
      <c r="V1464" s="27">
        <f t="shared" si="157"/>
        <v>170.15450000000001</v>
      </c>
      <c r="W1464" s="27">
        <f t="shared" si="158"/>
        <v>117.32</v>
      </c>
      <c r="X1464" s="27">
        <f>RawSalesTable3[[#This Row],[Revenue]]-RawSalesTable3[[#This Row],[Total_Cost]]</f>
        <v>52.83450000000002</v>
      </c>
      <c r="Y1464" s="28">
        <f>RawSalesTable3[[#This Row],[Profit]]/RawSalesTable3[[#This Row],[Revenue]]</f>
        <v>0.31050897860473875</v>
      </c>
      <c r="Z1464" s="27" t="str">
        <f>TEXT(RawSalesTable3[[#This Row],[Order_Date_Clean]],"MMM YYYY")</f>
        <v>Nov 2025</v>
      </c>
      <c r="AA1464" s="27"/>
      <c r="AB1464" s="27">
        <f t="shared" si="159"/>
        <v>0</v>
      </c>
      <c r="AC1464" s="27">
        <f t="shared" si="160"/>
        <v>0</v>
      </c>
    </row>
    <row r="1465" spans="1:29">
      <c r="A1465" t="s">
        <v>1571</v>
      </c>
      <c r="B1465" s="3">
        <v>45876</v>
      </c>
      <c r="C1465" t="s">
        <v>66</v>
      </c>
      <c r="D1465" t="s">
        <v>55</v>
      </c>
      <c r="E1465" t="s">
        <v>79</v>
      </c>
      <c r="F1465" t="s">
        <v>80</v>
      </c>
      <c r="G1465" s="6">
        <v>4</v>
      </c>
      <c r="H1465" s="4">
        <v>73.209999999999994</v>
      </c>
      <c r="I1465" s="4">
        <v>42.56</v>
      </c>
      <c r="J1465" s="5">
        <v>0.05</v>
      </c>
      <c r="K1465" s="6">
        <v>7</v>
      </c>
      <c r="L1465" s="6">
        <v>4</v>
      </c>
      <c r="M1465" t="s">
        <v>58</v>
      </c>
      <c r="N1465" t="s">
        <v>87</v>
      </c>
      <c r="O1465" t="s">
        <v>73</v>
      </c>
      <c r="P1465" t="str">
        <f t="shared" si="154"/>
        <v>Small Business</v>
      </c>
      <c r="Q1465" t="str">
        <f t="shared" si="155"/>
        <v>South</v>
      </c>
      <c r="R1465" t="str">
        <f>PROPER(TRIM(E1465))</f>
        <v>Electronics</v>
      </c>
      <c r="S1465" s="27">
        <f>IF(ISTEXT(B1465),DATEVALUE(B1465),B1465)</f>
        <v>45876</v>
      </c>
      <c r="T1465" s="27">
        <f>COUNTIF($A$2:$A$1986,A1465)</f>
        <v>1</v>
      </c>
      <c r="U1465" s="27" t="str">
        <f t="shared" si="156"/>
        <v>Portable Speaker</v>
      </c>
      <c r="V1465" s="27">
        <f t="shared" si="157"/>
        <v>278.19799999999998</v>
      </c>
      <c r="W1465" s="27">
        <f t="shared" si="158"/>
        <v>170.24</v>
      </c>
      <c r="X1465" s="27">
        <f>RawSalesTable3[[#This Row],[Revenue]]-RawSalesTable3[[#This Row],[Total_Cost]]</f>
        <v>107.95799999999997</v>
      </c>
      <c r="Y1465" s="28">
        <f>RawSalesTable3[[#This Row],[Profit]]/RawSalesTable3[[#This Row],[Revenue]]</f>
        <v>0.38806174019942624</v>
      </c>
      <c r="Z1465" s="27" t="str">
        <f>TEXT(RawSalesTable3[[#This Row],[Order_Date_Clean]],"MMM YYYY")</f>
        <v>Aug 2025</v>
      </c>
      <c r="AA1465" s="27"/>
      <c r="AB1465" s="27">
        <f t="shared" si="159"/>
        <v>0</v>
      </c>
      <c r="AC1465" s="27">
        <f t="shared" si="160"/>
        <v>0</v>
      </c>
    </row>
    <row r="1466" spans="1:29">
      <c r="A1466" t="s">
        <v>1572</v>
      </c>
      <c r="B1466" s="3">
        <v>46007</v>
      </c>
      <c r="C1466" t="s">
        <v>54</v>
      </c>
      <c r="D1466" t="s">
        <v>62</v>
      </c>
      <c r="E1466" t="s">
        <v>79</v>
      </c>
      <c r="F1466" t="s">
        <v>80</v>
      </c>
      <c r="G1466" s="6">
        <v>3</v>
      </c>
      <c r="H1466" s="4">
        <v>76.14</v>
      </c>
      <c r="I1466" s="4">
        <v>41.81</v>
      </c>
      <c r="J1466" s="5">
        <v>0.05</v>
      </c>
      <c r="K1466" s="6">
        <v>7</v>
      </c>
      <c r="L1466" s="6">
        <v>3</v>
      </c>
      <c r="M1466" t="s">
        <v>126</v>
      </c>
      <c r="N1466" t="s">
        <v>87</v>
      </c>
      <c r="O1466" t="s">
        <v>64</v>
      </c>
      <c r="P1466" t="str">
        <f t="shared" si="154"/>
        <v>Individual</v>
      </c>
      <c r="Q1466" t="str">
        <f t="shared" si="155"/>
        <v>North</v>
      </c>
      <c r="R1466" t="str">
        <f>PROPER(TRIM(E1466))</f>
        <v>Electronics</v>
      </c>
      <c r="S1466" s="27">
        <f>IF(ISTEXT(B1466),DATEVALUE(B1466),B1466)</f>
        <v>46007</v>
      </c>
      <c r="T1466" s="27">
        <f>COUNTIF($A$2:$A$1986,A1466)</f>
        <v>1</v>
      </c>
      <c r="U1466" s="27" t="str">
        <f t="shared" si="156"/>
        <v>Portable Speaker</v>
      </c>
      <c r="V1466" s="27">
        <f t="shared" si="157"/>
        <v>216.999</v>
      </c>
      <c r="W1466" s="27">
        <f t="shared" si="158"/>
        <v>125.43</v>
      </c>
      <c r="X1466" s="27">
        <f>RawSalesTable3[[#This Row],[Revenue]]-RawSalesTable3[[#This Row],[Total_Cost]]</f>
        <v>91.568999999999988</v>
      </c>
      <c r="Y1466" s="28">
        <f>RawSalesTable3[[#This Row],[Profit]]/RawSalesTable3[[#This Row],[Revenue]]</f>
        <v>0.42197890312858582</v>
      </c>
      <c r="Z1466" s="27" t="str">
        <f>TEXT(RawSalesTable3[[#This Row],[Order_Date_Clean]],"MMM YYYY")</f>
        <v>Dec 2025</v>
      </c>
      <c r="AA1466" s="27"/>
      <c r="AB1466" s="27">
        <f t="shared" si="159"/>
        <v>0</v>
      </c>
      <c r="AC1466" s="27">
        <f t="shared" si="160"/>
        <v>0</v>
      </c>
    </row>
    <row r="1467" spans="1:29">
      <c r="A1467" t="s">
        <v>1573</v>
      </c>
      <c r="B1467" s="3">
        <v>45975</v>
      </c>
      <c r="C1467" t="s">
        <v>78</v>
      </c>
      <c r="D1467" t="s">
        <v>55</v>
      </c>
      <c r="E1467" t="s">
        <v>75</v>
      </c>
      <c r="F1467" t="s">
        <v>146</v>
      </c>
      <c r="G1467" s="6">
        <v>3</v>
      </c>
      <c r="H1467" s="4">
        <v>176.73</v>
      </c>
      <c r="I1467" s="4">
        <v>117.42</v>
      </c>
      <c r="J1467" s="5">
        <v>0</v>
      </c>
      <c r="K1467" s="6">
        <v>8</v>
      </c>
      <c r="L1467" s="6">
        <v>2</v>
      </c>
      <c r="M1467" t="s">
        <v>126</v>
      </c>
      <c r="N1467" t="s">
        <v>59</v>
      </c>
      <c r="O1467" t="s">
        <v>64</v>
      </c>
      <c r="P1467" t="str">
        <f t="shared" si="154"/>
        <v>Small Business</v>
      </c>
      <c r="Q1467" t="str">
        <f t="shared" si="155"/>
        <v>London</v>
      </c>
      <c r="R1467" t="str">
        <f>PROPER(TRIM(E1467))</f>
        <v>Furniture</v>
      </c>
      <c r="S1467" s="27">
        <f>IF(ISTEXT(B1467),DATEVALUE(B1467),B1467)</f>
        <v>45975</v>
      </c>
      <c r="T1467" s="27">
        <f>COUNTIF($A$2:$A$1986,A1467)</f>
        <v>1</v>
      </c>
      <c r="U1467" s="27" t="str">
        <f t="shared" si="156"/>
        <v>Office Chair</v>
      </c>
      <c r="V1467" s="27">
        <f t="shared" si="157"/>
        <v>530.18999999999994</v>
      </c>
      <c r="W1467" s="27">
        <f t="shared" si="158"/>
        <v>352.26</v>
      </c>
      <c r="X1467" s="27">
        <f>RawSalesTable3[[#This Row],[Revenue]]-RawSalesTable3[[#This Row],[Total_Cost]]</f>
        <v>177.92999999999995</v>
      </c>
      <c r="Y1467" s="28">
        <f>RawSalesTable3[[#This Row],[Profit]]/RawSalesTable3[[#This Row],[Revenue]]</f>
        <v>0.33559667289085038</v>
      </c>
      <c r="Z1467" s="27" t="str">
        <f>TEXT(RawSalesTable3[[#This Row],[Order_Date_Clean]],"MMM YYYY")</f>
        <v>Nov 2025</v>
      </c>
      <c r="AA1467" s="27"/>
      <c r="AB1467" s="27">
        <f t="shared" si="159"/>
        <v>0</v>
      </c>
      <c r="AC1467" s="27">
        <f t="shared" si="160"/>
        <v>0</v>
      </c>
    </row>
    <row r="1468" spans="1:29">
      <c r="A1468" t="s">
        <v>1574</v>
      </c>
      <c r="B1468" s="3">
        <v>45699</v>
      </c>
      <c r="C1468" t="s">
        <v>82</v>
      </c>
      <c r="D1468" t="s">
        <v>62</v>
      </c>
      <c r="E1468" t="s">
        <v>79</v>
      </c>
      <c r="F1468" t="s">
        <v>92</v>
      </c>
      <c r="G1468" s="6">
        <v>2</v>
      </c>
      <c r="H1468" s="4">
        <v>50.22</v>
      </c>
      <c r="I1468" s="4">
        <v>26.66</v>
      </c>
      <c r="J1468" s="5">
        <v>0</v>
      </c>
      <c r="K1468" s="6">
        <v>7</v>
      </c>
      <c r="L1468" s="6">
        <v>2</v>
      </c>
      <c r="M1468" t="s">
        <v>126</v>
      </c>
      <c r="N1468" t="s">
        <v>59</v>
      </c>
      <c r="O1468" t="s">
        <v>64</v>
      </c>
      <c r="P1468" t="str">
        <f t="shared" si="154"/>
        <v>Individual</v>
      </c>
      <c r="Q1468" t="str">
        <f t="shared" si="155"/>
        <v>Midlands</v>
      </c>
      <c r="R1468" t="str">
        <f>PROPER(TRIM(E1468))</f>
        <v>Electronics</v>
      </c>
      <c r="S1468" s="27">
        <f>IF(ISTEXT(B1468),DATEVALUE(B1468),B1468)</f>
        <v>45699</v>
      </c>
      <c r="T1468" s="27">
        <f>COUNTIF($A$2:$A$1986,A1468)</f>
        <v>1</v>
      </c>
      <c r="U1468" s="27" t="str">
        <f t="shared" si="156"/>
        <v>Webcam</v>
      </c>
      <c r="V1468" s="27">
        <f t="shared" si="157"/>
        <v>100.44</v>
      </c>
      <c r="W1468" s="27">
        <f t="shared" si="158"/>
        <v>53.32</v>
      </c>
      <c r="X1468" s="27">
        <f>RawSalesTable3[[#This Row],[Revenue]]-RawSalesTable3[[#This Row],[Total_Cost]]</f>
        <v>47.12</v>
      </c>
      <c r="Y1468" s="28">
        <f>RawSalesTable3[[#This Row],[Profit]]/RawSalesTable3[[#This Row],[Revenue]]</f>
        <v>0.46913580246913578</v>
      </c>
      <c r="Z1468" s="27" t="str">
        <f>TEXT(RawSalesTable3[[#This Row],[Order_Date_Clean]],"MMM YYYY")</f>
        <v>Feb 2025</v>
      </c>
      <c r="AA1468" s="27"/>
      <c r="AB1468" s="27">
        <f t="shared" si="159"/>
        <v>0</v>
      </c>
      <c r="AC1468" s="27">
        <f t="shared" si="160"/>
        <v>0</v>
      </c>
    </row>
    <row r="1469" spans="1:29">
      <c r="A1469" t="s">
        <v>1575</v>
      </c>
      <c r="B1469" s="3">
        <v>45778</v>
      </c>
      <c r="C1469" t="s">
        <v>78</v>
      </c>
      <c r="D1469" t="s">
        <v>129</v>
      </c>
      <c r="E1469" t="s">
        <v>75</v>
      </c>
      <c r="F1469" t="s">
        <v>76</v>
      </c>
      <c r="G1469" s="6">
        <v>6</v>
      </c>
      <c r="H1469" s="4">
        <v>117.04</v>
      </c>
      <c r="I1469" s="4">
        <v>71.989999999999995</v>
      </c>
      <c r="J1469" s="5">
        <v>0.1</v>
      </c>
      <c r="K1469" s="6">
        <v>5</v>
      </c>
      <c r="L1469" s="6">
        <v>4</v>
      </c>
      <c r="M1469" t="s">
        <v>58</v>
      </c>
      <c r="N1469" t="s">
        <v>69</v>
      </c>
      <c r="O1469" t="s">
        <v>73</v>
      </c>
      <c r="P1469" t="str">
        <f t="shared" si="154"/>
        <v>Corporate</v>
      </c>
      <c r="Q1469" t="str">
        <f t="shared" si="155"/>
        <v>London</v>
      </c>
      <c r="R1469" t="str">
        <f>PROPER(TRIM(E1469))</f>
        <v>Furniture</v>
      </c>
      <c r="S1469" s="27">
        <f>IF(ISTEXT(B1469),DATEVALUE(B1469),B1469)</f>
        <v>45778</v>
      </c>
      <c r="T1469" s="27">
        <f>COUNTIF($A$2:$A$1986,A1469)</f>
        <v>1</v>
      </c>
      <c r="U1469" s="27" t="str">
        <f t="shared" si="156"/>
        <v>Bookshelf</v>
      </c>
      <c r="V1469" s="27">
        <f t="shared" si="157"/>
        <v>632.01600000000008</v>
      </c>
      <c r="W1469" s="27">
        <f t="shared" si="158"/>
        <v>431.93999999999994</v>
      </c>
      <c r="X1469" s="27">
        <f>RawSalesTable3[[#This Row],[Revenue]]-RawSalesTable3[[#This Row],[Total_Cost]]</f>
        <v>200.07600000000014</v>
      </c>
      <c r="Y1469" s="28">
        <f>RawSalesTable3[[#This Row],[Profit]]/RawSalesTable3[[#This Row],[Revenue]]</f>
        <v>0.31656793498898778</v>
      </c>
      <c r="Z1469" s="27" t="str">
        <f>TEXT(RawSalesTable3[[#This Row],[Order_Date_Clean]],"MMM YYYY")</f>
        <v>May 2025</v>
      </c>
      <c r="AA1469" s="27"/>
      <c r="AB1469" s="27">
        <f t="shared" si="159"/>
        <v>0</v>
      </c>
      <c r="AC1469" s="27">
        <f t="shared" si="160"/>
        <v>0</v>
      </c>
    </row>
    <row r="1470" spans="1:29">
      <c r="A1470" t="s">
        <v>1576</v>
      </c>
      <c r="B1470" s="3">
        <v>46015</v>
      </c>
      <c r="C1470" t="s">
        <v>78</v>
      </c>
      <c r="D1470" t="s">
        <v>62</v>
      </c>
      <c r="E1470" t="s">
        <v>56</v>
      </c>
      <c r="F1470" t="s">
        <v>63</v>
      </c>
      <c r="G1470" s="6">
        <v>1</v>
      </c>
      <c r="H1470" s="4">
        <v>40.42</v>
      </c>
      <c r="I1470" s="4">
        <v>20.93</v>
      </c>
      <c r="J1470" s="5">
        <v>0.1</v>
      </c>
      <c r="K1470" s="6">
        <v>3</v>
      </c>
      <c r="L1470" s="6">
        <v>4</v>
      </c>
      <c r="M1470" t="s">
        <v>58</v>
      </c>
      <c r="N1470" t="s">
        <v>59</v>
      </c>
      <c r="O1470" t="s">
        <v>64</v>
      </c>
      <c r="P1470" t="str">
        <f t="shared" si="154"/>
        <v>Individual</v>
      </c>
      <c r="Q1470" t="str">
        <f t="shared" si="155"/>
        <v>London</v>
      </c>
      <c r="R1470" t="str">
        <f>PROPER(TRIM(E1470))</f>
        <v>Home &amp; Kitchen</v>
      </c>
      <c r="S1470" s="27">
        <f>IF(ISTEXT(B1470),DATEVALUE(B1470),B1470)</f>
        <v>46015</v>
      </c>
      <c r="T1470" s="27">
        <f>COUNTIF($A$2:$A$1986,A1470)</f>
        <v>1</v>
      </c>
      <c r="U1470" s="27" t="str">
        <f t="shared" si="156"/>
        <v>Electric Kettle</v>
      </c>
      <c r="V1470" s="27">
        <f t="shared" si="157"/>
        <v>36.378</v>
      </c>
      <c r="W1470" s="27">
        <f t="shared" si="158"/>
        <v>20.93</v>
      </c>
      <c r="X1470" s="27">
        <f>RawSalesTable3[[#This Row],[Revenue]]-RawSalesTable3[[#This Row],[Total_Cost]]</f>
        <v>15.448</v>
      </c>
      <c r="Y1470" s="28">
        <f>RawSalesTable3[[#This Row],[Profit]]/RawSalesTable3[[#This Row],[Revenue]]</f>
        <v>0.42465226235636927</v>
      </c>
      <c r="Z1470" s="27" t="str">
        <f>TEXT(RawSalesTable3[[#This Row],[Order_Date_Clean]],"MMM YYYY")</f>
        <v>Dec 2025</v>
      </c>
      <c r="AA1470" s="27"/>
      <c r="AB1470" s="27">
        <f t="shared" si="159"/>
        <v>0</v>
      </c>
      <c r="AC1470" s="27">
        <f t="shared" si="160"/>
        <v>0</v>
      </c>
    </row>
    <row r="1471" spans="1:29">
      <c r="A1471" t="s">
        <v>1577</v>
      </c>
      <c r="B1471" s="3">
        <v>46011</v>
      </c>
      <c r="C1471" t="s">
        <v>66</v>
      </c>
      <c r="D1471" t="s">
        <v>62</v>
      </c>
      <c r="E1471" t="s">
        <v>79</v>
      </c>
      <c r="F1471" t="s">
        <v>115</v>
      </c>
      <c r="G1471" s="6">
        <v>1</v>
      </c>
      <c r="H1471" s="4">
        <v>60.26</v>
      </c>
      <c r="I1471" s="4">
        <v>34.479999999999997</v>
      </c>
      <c r="J1471" s="5">
        <v>0.1</v>
      </c>
      <c r="K1471" s="6">
        <v>2</v>
      </c>
      <c r="L1471" s="6">
        <v>3</v>
      </c>
      <c r="M1471" t="s">
        <v>126</v>
      </c>
      <c r="N1471" t="s">
        <v>87</v>
      </c>
      <c r="O1471" t="s">
        <v>64</v>
      </c>
      <c r="P1471" t="str">
        <f t="shared" si="154"/>
        <v>Individual</v>
      </c>
      <c r="Q1471" t="str">
        <f t="shared" si="155"/>
        <v>South</v>
      </c>
      <c r="R1471" t="str">
        <f>PROPER(TRIM(E1471))</f>
        <v>Electronics</v>
      </c>
      <c r="S1471" s="27">
        <f>IF(ISTEXT(B1471),DATEVALUE(B1471),B1471)</f>
        <v>46011</v>
      </c>
      <c r="T1471" s="27">
        <f>COUNTIF($A$2:$A$1986,A1471)</f>
        <v>1</v>
      </c>
      <c r="U1471" s="27" t="str">
        <f t="shared" si="156"/>
        <v>Wireless Headset</v>
      </c>
      <c r="V1471" s="27">
        <f t="shared" si="157"/>
        <v>54.234000000000002</v>
      </c>
      <c r="W1471" s="27">
        <f t="shared" si="158"/>
        <v>34.479999999999997</v>
      </c>
      <c r="X1471" s="27">
        <f>RawSalesTable3[[#This Row],[Revenue]]-RawSalesTable3[[#This Row],[Total_Cost]]</f>
        <v>19.754000000000005</v>
      </c>
      <c r="Y1471" s="28">
        <f>RawSalesTable3[[#This Row],[Profit]]/RawSalesTable3[[#This Row],[Revenue]]</f>
        <v>0.36423645683519573</v>
      </c>
      <c r="Z1471" s="27" t="str">
        <f>TEXT(RawSalesTable3[[#This Row],[Order_Date_Clean]],"MMM YYYY")</f>
        <v>Dec 2025</v>
      </c>
      <c r="AA1471" s="27"/>
      <c r="AB1471" s="27">
        <f t="shared" si="159"/>
        <v>0</v>
      </c>
      <c r="AC1471" s="27">
        <f t="shared" si="160"/>
        <v>0</v>
      </c>
    </row>
    <row r="1472" spans="1:29">
      <c r="A1472" t="s">
        <v>1578</v>
      </c>
      <c r="B1472" s="3">
        <v>45790</v>
      </c>
      <c r="C1472" t="s">
        <v>78</v>
      </c>
      <c r="D1472" t="s">
        <v>62</v>
      </c>
      <c r="E1472" t="s">
        <v>75</v>
      </c>
      <c r="F1472" t="s">
        <v>146</v>
      </c>
      <c r="G1472" s="6">
        <v>1</v>
      </c>
      <c r="H1472" s="4">
        <v>184.41</v>
      </c>
      <c r="I1472" s="4">
        <v>111.62</v>
      </c>
      <c r="J1472" s="5">
        <v>0.05</v>
      </c>
      <c r="K1472" s="6">
        <v>5</v>
      </c>
      <c r="L1472" s="6">
        <v>5</v>
      </c>
      <c r="M1472" t="s">
        <v>58</v>
      </c>
      <c r="N1472" t="s">
        <v>59</v>
      </c>
      <c r="O1472" t="s">
        <v>64</v>
      </c>
      <c r="P1472" t="str">
        <f t="shared" si="154"/>
        <v>Individual</v>
      </c>
      <c r="Q1472" t="str">
        <f t="shared" si="155"/>
        <v>London</v>
      </c>
      <c r="R1472" t="str">
        <f>PROPER(TRIM(E1472))</f>
        <v>Furniture</v>
      </c>
      <c r="S1472" s="27">
        <f>IF(ISTEXT(B1472),DATEVALUE(B1472),B1472)</f>
        <v>45790</v>
      </c>
      <c r="T1472" s="27">
        <f>COUNTIF($A$2:$A$1986,A1472)</f>
        <v>1</v>
      </c>
      <c r="U1472" s="27" t="str">
        <f t="shared" si="156"/>
        <v>Office Chair</v>
      </c>
      <c r="V1472" s="27">
        <f t="shared" si="157"/>
        <v>175.18949999999998</v>
      </c>
      <c r="W1472" s="27">
        <f t="shared" si="158"/>
        <v>111.62</v>
      </c>
      <c r="X1472" s="27">
        <f>RawSalesTable3[[#This Row],[Revenue]]-RawSalesTable3[[#This Row],[Total_Cost]]</f>
        <v>63.569499999999977</v>
      </c>
      <c r="Y1472" s="28">
        <f>RawSalesTable3[[#This Row],[Profit]]/RawSalesTable3[[#This Row],[Revenue]]</f>
        <v>0.36286135870015029</v>
      </c>
      <c r="Z1472" s="27" t="str">
        <f>TEXT(RawSalesTable3[[#This Row],[Order_Date_Clean]],"MMM YYYY")</f>
        <v>May 2025</v>
      </c>
      <c r="AA1472" s="27"/>
      <c r="AB1472" s="27">
        <f t="shared" si="159"/>
        <v>0</v>
      </c>
      <c r="AC1472" s="27">
        <f t="shared" si="160"/>
        <v>0</v>
      </c>
    </row>
    <row r="1473" spans="1:29">
      <c r="A1473" t="s">
        <v>1579</v>
      </c>
      <c r="B1473" s="3">
        <v>45988</v>
      </c>
      <c r="C1473" t="s">
        <v>1580</v>
      </c>
      <c r="D1473" t="s">
        <v>62</v>
      </c>
      <c r="E1473" t="s">
        <v>67</v>
      </c>
      <c r="F1473" t="s">
        <v>107</v>
      </c>
      <c r="G1473" s="6">
        <v>1</v>
      </c>
      <c r="H1473" s="4">
        <v>46.3</v>
      </c>
      <c r="I1473" s="4">
        <v>21.16</v>
      </c>
      <c r="J1473" s="5">
        <v>0.05</v>
      </c>
      <c r="K1473" s="6">
        <v>0</v>
      </c>
      <c r="L1473" s="6">
        <v>4</v>
      </c>
      <c r="M1473" t="s">
        <v>58</v>
      </c>
      <c r="N1473" t="s">
        <v>69</v>
      </c>
      <c r="O1473" t="s">
        <v>64</v>
      </c>
      <c r="P1473" t="str">
        <f t="shared" si="154"/>
        <v>Individual</v>
      </c>
      <c r="Q1473" t="str">
        <f t="shared" si="155"/>
        <v>Midlands</v>
      </c>
      <c r="R1473" t="str">
        <f>PROPER(TRIM(E1473))</f>
        <v>Office</v>
      </c>
      <c r="S1473" s="27">
        <f>IF(ISTEXT(B1473),DATEVALUE(B1473),B1473)</f>
        <v>45988</v>
      </c>
      <c r="T1473" s="27">
        <f>COUNTIF($A$2:$A$1986,A1473)</f>
        <v>1</v>
      </c>
      <c r="U1473" s="27" t="str">
        <f t="shared" si="156"/>
        <v>Laptop Stand</v>
      </c>
      <c r="V1473" s="27">
        <f t="shared" si="157"/>
        <v>43.984999999999992</v>
      </c>
      <c r="W1473" s="27">
        <f t="shared" si="158"/>
        <v>21.16</v>
      </c>
      <c r="X1473" s="27">
        <f>RawSalesTable3[[#This Row],[Revenue]]-RawSalesTable3[[#This Row],[Total_Cost]]</f>
        <v>22.824999999999992</v>
      </c>
      <c r="Y1473" s="28">
        <f>RawSalesTable3[[#This Row],[Profit]]/RawSalesTable3[[#This Row],[Revenue]]</f>
        <v>0.51892690690007948</v>
      </c>
      <c r="Z1473" s="27" t="str">
        <f>TEXT(RawSalesTable3[[#This Row],[Order_Date_Clean]],"MMM YYYY")</f>
        <v>Nov 2025</v>
      </c>
      <c r="AA1473" s="27"/>
      <c r="AB1473" s="27">
        <f t="shared" si="159"/>
        <v>0</v>
      </c>
      <c r="AC1473" s="27">
        <f t="shared" si="160"/>
        <v>0</v>
      </c>
    </row>
    <row r="1474" spans="1:29">
      <c r="A1474" t="s">
        <v>1581</v>
      </c>
      <c r="B1474" s="3">
        <v>46007</v>
      </c>
      <c r="C1474" t="s">
        <v>82</v>
      </c>
      <c r="D1474" t="s">
        <v>55</v>
      </c>
      <c r="E1474" t="s">
        <v>56</v>
      </c>
      <c r="F1474" t="s">
        <v>57</v>
      </c>
      <c r="G1474" s="6">
        <v>4</v>
      </c>
      <c r="H1474" s="4">
        <v>113.87</v>
      </c>
      <c r="I1474" s="4">
        <v>67.77</v>
      </c>
      <c r="J1474" s="5">
        <v>0.05</v>
      </c>
      <c r="K1474" s="6">
        <v>0</v>
      </c>
      <c r="L1474" s="6">
        <v>4</v>
      </c>
      <c r="M1474" t="s">
        <v>58</v>
      </c>
      <c r="N1474" t="s">
        <v>69</v>
      </c>
      <c r="O1474" t="s">
        <v>60</v>
      </c>
      <c r="P1474" t="str">
        <f t="shared" ref="P1474:P1537" si="161">IF(TRIM(D1474)="","Unknow",PROPER(TRIM(D1474)))</f>
        <v>Small Business</v>
      </c>
      <c r="Q1474" t="str">
        <f t="shared" ref="Q1474:Q1537" si="162">IF(PROPER(TRIM(C1474))="Mid Lands","Midlands",PROPER(TRIM(C1474)))</f>
        <v>Midlands</v>
      </c>
      <c r="R1474" t="str">
        <f>PROPER(TRIM(E1474))</f>
        <v>Home &amp; Kitchen</v>
      </c>
      <c r="S1474" s="27">
        <f>IF(ISTEXT(B1474),DATEVALUE(B1474),B1474)</f>
        <v>46007</v>
      </c>
      <c r="T1474" s="27">
        <f>COUNTIF($A$2:$A$1986,A1474)</f>
        <v>1</v>
      </c>
      <c r="U1474" s="27" t="str">
        <f t="shared" ref="U1474:U1537" si="163">TRIM(F1474)</f>
        <v>Air Fryer</v>
      </c>
      <c r="V1474" s="27">
        <f t="shared" ref="V1474:V1537" si="164">G1474*H1474*(1-J1474)</f>
        <v>432.70600000000002</v>
      </c>
      <c r="W1474" s="27">
        <f t="shared" ref="W1474:W1537" si="165">G1474*I1474</f>
        <v>271.08</v>
      </c>
      <c r="X1474" s="27">
        <f>RawSalesTable3[[#This Row],[Revenue]]-RawSalesTable3[[#This Row],[Total_Cost]]</f>
        <v>161.62600000000003</v>
      </c>
      <c r="Y1474" s="28">
        <f>RawSalesTable3[[#This Row],[Profit]]/RawSalesTable3[[#This Row],[Revenue]]</f>
        <v>0.37352382449053173</v>
      </c>
      <c r="Z1474" s="27" t="str">
        <f>TEXT(RawSalesTable3[[#This Row],[Order_Date_Clean]],"MMM YYYY")</f>
        <v>Dec 2025</v>
      </c>
      <c r="AA1474" s="27"/>
      <c r="AB1474" s="27">
        <f t="shared" ref="AB1474:AB1537" si="166">SUMIF($Z:$Z,AA1474,$V:$V)</f>
        <v>0</v>
      </c>
      <c r="AC1474" s="27">
        <f t="shared" ref="AC1474:AC1537" si="167">SUMIF($Z:$Z,AA1474,$X:$X)</f>
        <v>0</v>
      </c>
    </row>
    <row r="1475" spans="1:29">
      <c r="A1475" t="s">
        <v>1582</v>
      </c>
      <c r="B1475" s="3">
        <v>45727</v>
      </c>
      <c r="C1475" t="s">
        <v>78</v>
      </c>
      <c r="D1475" t="s">
        <v>62</v>
      </c>
      <c r="E1475" t="s">
        <v>79</v>
      </c>
      <c r="F1475" t="s">
        <v>85</v>
      </c>
      <c r="G1475" s="6">
        <v>2</v>
      </c>
      <c r="H1475" s="4">
        <v>128.68</v>
      </c>
      <c r="I1475" s="4">
        <v>81.64</v>
      </c>
      <c r="J1475" s="5">
        <v>0</v>
      </c>
      <c r="K1475" s="6">
        <v>2</v>
      </c>
      <c r="L1475" s="6">
        <v>4</v>
      </c>
      <c r="M1475" t="s">
        <v>58</v>
      </c>
      <c r="N1475" t="s">
        <v>59</v>
      </c>
      <c r="O1475" t="s">
        <v>73</v>
      </c>
      <c r="P1475" t="str">
        <f t="shared" si="161"/>
        <v>Individual</v>
      </c>
      <c r="Q1475" t="str">
        <f t="shared" si="162"/>
        <v>London</v>
      </c>
      <c r="R1475" t="str">
        <f>PROPER(TRIM(E1475))</f>
        <v>Electronics</v>
      </c>
      <c r="S1475" s="27">
        <f>IF(ISTEXT(B1475),DATEVALUE(B1475),B1475)</f>
        <v>45727</v>
      </c>
      <c r="T1475" s="27">
        <f>COUNTIF($A$2:$A$1986,A1475)</f>
        <v>1</v>
      </c>
      <c r="U1475" s="27" t="str">
        <f t="shared" si="163"/>
        <v>SmartHome Hub</v>
      </c>
      <c r="V1475" s="27">
        <f t="shared" si="164"/>
        <v>257.36</v>
      </c>
      <c r="W1475" s="27">
        <f t="shared" si="165"/>
        <v>163.28</v>
      </c>
      <c r="X1475" s="27">
        <f>RawSalesTable3[[#This Row],[Revenue]]-RawSalesTable3[[#This Row],[Total_Cost]]</f>
        <v>94.080000000000013</v>
      </c>
      <c r="Y1475" s="28">
        <f>RawSalesTable3[[#This Row],[Profit]]/RawSalesTable3[[#This Row],[Revenue]]</f>
        <v>0.365557973267019</v>
      </c>
      <c r="Z1475" s="27" t="str">
        <f>TEXT(RawSalesTable3[[#This Row],[Order_Date_Clean]],"MMM YYYY")</f>
        <v>Mar 2025</v>
      </c>
      <c r="AA1475" s="27"/>
      <c r="AB1475" s="27">
        <f t="shared" si="166"/>
        <v>0</v>
      </c>
      <c r="AC1475" s="27">
        <f t="shared" si="167"/>
        <v>0</v>
      </c>
    </row>
    <row r="1476" spans="1:29">
      <c r="A1476" t="s">
        <v>1583</v>
      </c>
      <c r="B1476" s="3">
        <v>45937</v>
      </c>
      <c r="C1476" t="s">
        <v>66</v>
      </c>
      <c r="D1476" t="s">
        <v>55</v>
      </c>
      <c r="E1476" t="s">
        <v>75</v>
      </c>
      <c r="F1476" t="s">
        <v>97</v>
      </c>
      <c r="G1476" s="6">
        <v>1</v>
      </c>
      <c r="H1476" s="4">
        <v>91.07</v>
      </c>
      <c r="I1476" s="4">
        <v>54.84</v>
      </c>
      <c r="J1476" s="5">
        <v>0.05</v>
      </c>
      <c r="K1476" s="6">
        <v>8</v>
      </c>
      <c r="L1476" s="6">
        <v>4</v>
      </c>
      <c r="M1476" t="s">
        <v>58</v>
      </c>
      <c r="N1476" t="s">
        <v>59</v>
      </c>
      <c r="O1476" t="s">
        <v>60</v>
      </c>
      <c r="P1476" t="str">
        <f t="shared" si="161"/>
        <v>Small Business</v>
      </c>
      <c r="Q1476" t="str">
        <f t="shared" si="162"/>
        <v>South</v>
      </c>
      <c r="R1476" t="str">
        <f>PROPER(TRIM(E1476))</f>
        <v>Furniture</v>
      </c>
      <c r="S1476" s="27">
        <f>IF(ISTEXT(B1476),DATEVALUE(B1476),B1476)</f>
        <v>45937</v>
      </c>
      <c r="T1476" s="27">
        <f>COUNTIF($A$2:$A$1986,A1476)</f>
        <v>1</v>
      </c>
      <c r="U1476" s="27" t="str">
        <f t="shared" si="163"/>
        <v>Side Table</v>
      </c>
      <c r="V1476" s="27">
        <f t="shared" si="164"/>
        <v>86.516499999999994</v>
      </c>
      <c r="W1476" s="27">
        <f t="shared" si="165"/>
        <v>54.84</v>
      </c>
      <c r="X1476" s="27">
        <f>RawSalesTable3[[#This Row],[Revenue]]-RawSalesTable3[[#This Row],[Total_Cost]]</f>
        <v>31.67649999999999</v>
      </c>
      <c r="Y1476" s="28">
        <f>RawSalesTable3[[#This Row],[Profit]]/RawSalesTable3[[#This Row],[Revenue]]</f>
        <v>0.36613247184063147</v>
      </c>
      <c r="Z1476" s="27" t="str">
        <f>TEXT(RawSalesTable3[[#This Row],[Order_Date_Clean]],"MMM YYYY")</f>
        <v>Oct 2025</v>
      </c>
      <c r="AA1476" s="27"/>
      <c r="AB1476" s="27">
        <f t="shared" si="166"/>
        <v>0</v>
      </c>
      <c r="AC1476" s="27">
        <f t="shared" si="167"/>
        <v>0</v>
      </c>
    </row>
    <row r="1477" spans="1:29">
      <c r="A1477" t="s">
        <v>1584</v>
      </c>
      <c r="B1477" s="3">
        <v>45958</v>
      </c>
      <c r="C1477" t="s">
        <v>82</v>
      </c>
      <c r="D1477" t="s">
        <v>55</v>
      </c>
      <c r="E1477" t="s">
        <v>79</v>
      </c>
      <c r="F1477" t="s">
        <v>85</v>
      </c>
      <c r="G1477" s="6">
        <v>4</v>
      </c>
      <c r="H1477" s="4">
        <v>129</v>
      </c>
      <c r="I1477" s="4">
        <v>84.05</v>
      </c>
      <c r="J1477" s="5">
        <v>0</v>
      </c>
      <c r="K1477" s="6">
        <v>3</v>
      </c>
      <c r="L1477" s="6">
        <v>4</v>
      </c>
      <c r="M1477" t="s">
        <v>58</v>
      </c>
      <c r="N1477" t="s">
        <v>59</v>
      </c>
      <c r="O1477" t="s">
        <v>73</v>
      </c>
      <c r="P1477" t="str">
        <f t="shared" si="161"/>
        <v>Small Business</v>
      </c>
      <c r="Q1477" t="str">
        <f t="shared" si="162"/>
        <v>Midlands</v>
      </c>
      <c r="R1477" t="str">
        <f>PROPER(TRIM(E1477))</f>
        <v>Electronics</v>
      </c>
      <c r="S1477" s="27">
        <f>IF(ISTEXT(B1477),DATEVALUE(B1477),B1477)</f>
        <v>45958</v>
      </c>
      <c r="T1477" s="27">
        <f>COUNTIF($A$2:$A$1986,A1477)</f>
        <v>1</v>
      </c>
      <c r="U1477" s="27" t="str">
        <f t="shared" si="163"/>
        <v>SmartHome Hub</v>
      </c>
      <c r="V1477" s="27">
        <f t="shared" si="164"/>
        <v>516</v>
      </c>
      <c r="W1477" s="27">
        <f t="shared" si="165"/>
        <v>336.2</v>
      </c>
      <c r="X1477" s="27">
        <f>RawSalesTable3[[#This Row],[Revenue]]-RawSalesTable3[[#This Row],[Total_Cost]]</f>
        <v>179.8</v>
      </c>
      <c r="Y1477" s="28">
        <f>RawSalesTable3[[#This Row],[Profit]]/RawSalesTable3[[#This Row],[Revenue]]</f>
        <v>0.34844961240310079</v>
      </c>
      <c r="Z1477" s="27" t="str">
        <f>TEXT(RawSalesTable3[[#This Row],[Order_Date_Clean]],"MMM YYYY")</f>
        <v>Oct 2025</v>
      </c>
      <c r="AA1477" s="27"/>
      <c r="AB1477" s="27">
        <f t="shared" si="166"/>
        <v>0</v>
      </c>
      <c r="AC1477" s="27">
        <f t="shared" si="167"/>
        <v>0</v>
      </c>
    </row>
    <row r="1478" spans="1:29">
      <c r="A1478" t="s">
        <v>1585</v>
      </c>
      <c r="B1478" s="3">
        <v>45935</v>
      </c>
      <c r="C1478" t="s">
        <v>82</v>
      </c>
      <c r="D1478" t="s">
        <v>62</v>
      </c>
      <c r="E1478" t="s">
        <v>56</v>
      </c>
      <c r="F1478" t="s">
        <v>89</v>
      </c>
      <c r="G1478" s="6">
        <v>1</v>
      </c>
      <c r="H1478" s="4">
        <v>77.62</v>
      </c>
      <c r="I1478" s="4">
        <v>43.99</v>
      </c>
      <c r="J1478" s="5">
        <v>0.05</v>
      </c>
      <c r="K1478" s="6">
        <v>3</v>
      </c>
      <c r="L1478" s="6">
        <v>5</v>
      </c>
      <c r="M1478" t="s">
        <v>58</v>
      </c>
      <c r="N1478" t="s">
        <v>59</v>
      </c>
      <c r="O1478" t="s">
        <v>64</v>
      </c>
      <c r="P1478" t="str">
        <f t="shared" si="161"/>
        <v>Individual</v>
      </c>
      <c r="Q1478" t="str">
        <f t="shared" si="162"/>
        <v>Midlands</v>
      </c>
      <c r="R1478" t="str">
        <f>PROPER(TRIM(E1478))</f>
        <v>Home &amp; Kitchen</v>
      </c>
      <c r="S1478" s="27">
        <f>IF(ISTEXT(B1478),DATEVALUE(B1478),B1478)</f>
        <v>45935</v>
      </c>
      <c r="T1478" s="27">
        <f>COUNTIF($A$2:$A$1986,A1478)</f>
        <v>1</v>
      </c>
      <c r="U1478" s="27" t="str">
        <f t="shared" si="163"/>
        <v>Coffee Maker</v>
      </c>
      <c r="V1478" s="27">
        <f t="shared" si="164"/>
        <v>73.739000000000004</v>
      </c>
      <c r="W1478" s="27">
        <f t="shared" si="165"/>
        <v>43.99</v>
      </c>
      <c r="X1478" s="27">
        <f>RawSalesTable3[[#This Row],[Revenue]]-RawSalesTable3[[#This Row],[Total_Cost]]</f>
        <v>29.749000000000002</v>
      </c>
      <c r="Y1478" s="28">
        <f>RawSalesTable3[[#This Row],[Profit]]/RawSalesTable3[[#This Row],[Revenue]]</f>
        <v>0.40343644475786222</v>
      </c>
      <c r="Z1478" s="27" t="str">
        <f>TEXT(RawSalesTable3[[#This Row],[Order_Date_Clean]],"MMM YYYY")</f>
        <v>Oct 2025</v>
      </c>
      <c r="AA1478" s="27"/>
      <c r="AB1478" s="27">
        <f t="shared" si="166"/>
        <v>0</v>
      </c>
      <c r="AC1478" s="27">
        <f t="shared" si="167"/>
        <v>0</v>
      </c>
    </row>
    <row r="1479" spans="1:29">
      <c r="A1479" t="s">
        <v>1586</v>
      </c>
      <c r="B1479" s="3">
        <v>45789</v>
      </c>
      <c r="C1479" t="s">
        <v>78</v>
      </c>
      <c r="D1479" t="s">
        <v>62</v>
      </c>
      <c r="E1479" t="s">
        <v>67</v>
      </c>
      <c r="F1479" t="s">
        <v>107</v>
      </c>
      <c r="G1479" s="6">
        <v>1</v>
      </c>
      <c r="H1479" s="4">
        <v>44.59</v>
      </c>
      <c r="I1479" s="4">
        <v>20.91</v>
      </c>
      <c r="J1479" s="5">
        <v>0</v>
      </c>
      <c r="K1479" s="6">
        <v>3</v>
      </c>
      <c r="L1479" s="6">
        <v>4</v>
      </c>
      <c r="M1479" t="s">
        <v>58</v>
      </c>
      <c r="N1479" t="s">
        <v>59</v>
      </c>
      <c r="O1479" t="s">
        <v>73</v>
      </c>
      <c r="P1479" t="str">
        <f t="shared" si="161"/>
        <v>Individual</v>
      </c>
      <c r="Q1479" t="str">
        <f t="shared" si="162"/>
        <v>London</v>
      </c>
      <c r="R1479" t="str">
        <f>PROPER(TRIM(E1479))</f>
        <v>Office</v>
      </c>
      <c r="S1479" s="27">
        <f>IF(ISTEXT(B1479),DATEVALUE(B1479),B1479)</f>
        <v>45789</v>
      </c>
      <c r="T1479" s="27">
        <f>COUNTIF($A$2:$A$1986,A1479)</f>
        <v>1</v>
      </c>
      <c r="U1479" s="27" t="str">
        <f t="shared" si="163"/>
        <v>Laptop Stand</v>
      </c>
      <c r="V1479" s="27">
        <f t="shared" si="164"/>
        <v>44.59</v>
      </c>
      <c r="W1479" s="27">
        <f t="shared" si="165"/>
        <v>20.91</v>
      </c>
      <c r="X1479" s="27">
        <f>RawSalesTable3[[#This Row],[Revenue]]-RawSalesTable3[[#This Row],[Total_Cost]]</f>
        <v>23.680000000000003</v>
      </c>
      <c r="Y1479" s="28">
        <f>RawSalesTable3[[#This Row],[Profit]]/RawSalesTable3[[#This Row],[Revenue]]</f>
        <v>0.53106077595873513</v>
      </c>
      <c r="Z1479" s="27" t="str">
        <f>TEXT(RawSalesTable3[[#This Row],[Order_Date_Clean]],"MMM YYYY")</f>
        <v>May 2025</v>
      </c>
      <c r="AA1479" s="27"/>
      <c r="AB1479" s="27">
        <f t="shared" si="166"/>
        <v>0</v>
      </c>
      <c r="AC1479" s="27">
        <f t="shared" si="167"/>
        <v>0</v>
      </c>
    </row>
    <row r="1480" spans="1:29">
      <c r="A1480" t="s">
        <v>1587</v>
      </c>
      <c r="B1480" s="3" t="s">
        <v>1588</v>
      </c>
      <c r="C1480" t="s">
        <v>82</v>
      </c>
      <c r="D1480" t="s">
        <v>62</v>
      </c>
      <c r="E1480" t="s">
        <v>67</v>
      </c>
      <c r="F1480" t="s">
        <v>68</v>
      </c>
      <c r="G1480" s="6">
        <v>1</v>
      </c>
      <c r="H1480" s="4">
        <v>41.28</v>
      </c>
      <c r="I1480" s="4">
        <v>18.5</v>
      </c>
      <c r="J1480" s="5">
        <v>0.1</v>
      </c>
      <c r="K1480" s="6">
        <v>4</v>
      </c>
      <c r="L1480" s="6">
        <v>4</v>
      </c>
      <c r="M1480" t="s">
        <v>58</v>
      </c>
      <c r="N1480" t="s">
        <v>59</v>
      </c>
      <c r="O1480" t="s">
        <v>64</v>
      </c>
      <c r="P1480" t="str">
        <f t="shared" si="161"/>
        <v>Individual</v>
      </c>
      <c r="Q1480" t="str">
        <f t="shared" si="162"/>
        <v>Midlands</v>
      </c>
      <c r="R1480" t="str">
        <f>PROPER(TRIM(E1480))</f>
        <v>Office</v>
      </c>
      <c r="S1480" s="27">
        <f>IF(ISTEXT(B1480),DATEVALUE(B1480),B1480)</f>
        <v>45738</v>
      </c>
      <c r="T1480" s="27">
        <f>COUNTIF($A$2:$A$1986,A1480)</f>
        <v>1</v>
      </c>
      <c r="U1480" s="27" t="str">
        <f t="shared" si="163"/>
        <v>Desk Lamp</v>
      </c>
      <c r="V1480" s="27">
        <f t="shared" si="164"/>
        <v>37.152000000000001</v>
      </c>
      <c r="W1480" s="27">
        <f t="shared" si="165"/>
        <v>18.5</v>
      </c>
      <c r="X1480" s="27">
        <f>RawSalesTable3[[#This Row],[Revenue]]-RawSalesTable3[[#This Row],[Total_Cost]]</f>
        <v>18.652000000000001</v>
      </c>
      <c r="Y1480" s="28">
        <f>RawSalesTable3[[#This Row],[Profit]]/RawSalesTable3[[#This Row],[Revenue]]</f>
        <v>0.50204565030146431</v>
      </c>
      <c r="Z1480" s="27" t="str">
        <f>TEXT(RawSalesTable3[[#This Row],[Order_Date_Clean]],"MMM YYYY")</f>
        <v>Mar 2025</v>
      </c>
      <c r="AA1480" s="27"/>
      <c r="AB1480" s="27">
        <f t="shared" si="166"/>
        <v>0</v>
      </c>
      <c r="AC1480" s="27">
        <f t="shared" si="167"/>
        <v>0</v>
      </c>
    </row>
    <row r="1481" spans="1:29">
      <c r="A1481" t="s">
        <v>1589</v>
      </c>
      <c r="B1481" s="3">
        <v>45773</v>
      </c>
      <c r="C1481" t="s">
        <v>78</v>
      </c>
      <c r="D1481" t="s">
        <v>62</v>
      </c>
      <c r="E1481" t="s">
        <v>79</v>
      </c>
      <c r="F1481" t="s">
        <v>92</v>
      </c>
      <c r="G1481" s="6">
        <v>1</v>
      </c>
      <c r="H1481" s="4">
        <v>51.32</v>
      </c>
      <c r="I1481" s="4">
        <v>25.55</v>
      </c>
      <c r="J1481" s="5">
        <v>0.1</v>
      </c>
      <c r="K1481" s="6">
        <v>0</v>
      </c>
      <c r="L1481" s="6">
        <v>4</v>
      </c>
      <c r="M1481" t="s">
        <v>58</v>
      </c>
      <c r="N1481" t="s">
        <v>69</v>
      </c>
      <c r="O1481" t="s">
        <v>64</v>
      </c>
      <c r="P1481" t="str">
        <f t="shared" si="161"/>
        <v>Individual</v>
      </c>
      <c r="Q1481" t="str">
        <f t="shared" si="162"/>
        <v>London</v>
      </c>
      <c r="R1481" t="str">
        <f>PROPER(TRIM(E1481))</f>
        <v>Electronics</v>
      </c>
      <c r="S1481" s="27">
        <f>IF(ISTEXT(B1481),DATEVALUE(B1481),B1481)</f>
        <v>45773</v>
      </c>
      <c r="T1481" s="27">
        <f>COUNTIF($A$2:$A$1986,A1481)</f>
        <v>1</v>
      </c>
      <c r="U1481" s="27" t="str">
        <f t="shared" si="163"/>
        <v>Webcam</v>
      </c>
      <c r="V1481" s="27">
        <f t="shared" si="164"/>
        <v>46.188000000000002</v>
      </c>
      <c r="W1481" s="27">
        <f t="shared" si="165"/>
        <v>25.55</v>
      </c>
      <c r="X1481" s="27">
        <f>RawSalesTable3[[#This Row],[Revenue]]-RawSalesTable3[[#This Row],[Total_Cost]]</f>
        <v>20.638000000000002</v>
      </c>
      <c r="Y1481" s="28">
        <f>RawSalesTable3[[#This Row],[Profit]]/RawSalesTable3[[#This Row],[Revenue]]</f>
        <v>0.4468260154152594</v>
      </c>
      <c r="Z1481" s="27" t="str">
        <f>TEXT(RawSalesTable3[[#This Row],[Order_Date_Clean]],"MMM YYYY")</f>
        <v>Apr 2025</v>
      </c>
      <c r="AA1481" s="27"/>
      <c r="AB1481" s="27">
        <f t="shared" si="166"/>
        <v>0</v>
      </c>
      <c r="AC1481" s="27">
        <f t="shared" si="167"/>
        <v>0</v>
      </c>
    </row>
    <row r="1482" spans="1:29">
      <c r="A1482" t="s">
        <v>1590</v>
      </c>
      <c r="B1482" s="3">
        <v>45965</v>
      </c>
      <c r="C1482" t="s">
        <v>66</v>
      </c>
      <c r="D1482" t="s">
        <v>62</v>
      </c>
      <c r="E1482" t="s">
        <v>56</v>
      </c>
      <c r="F1482" t="s">
        <v>57</v>
      </c>
      <c r="G1482" s="6">
        <v>2</v>
      </c>
      <c r="H1482" s="4">
        <v>111.38</v>
      </c>
      <c r="I1482" s="4">
        <v>68.52</v>
      </c>
      <c r="J1482" s="5">
        <v>0.25</v>
      </c>
      <c r="K1482" s="6">
        <v>5</v>
      </c>
      <c r="L1482" s="6">
        <v>4</v>
      </c>
      <c r="M1482" t="s">
        <v>58</v>
      </c>
      <c r="N1482" t="s">
        <v>59</v>
      </c>
      <c r="O1482" t="s">
        <v>64</v>
      </c>
      <c r="P1482" t="str">
        <f t="shared" si="161"/>
        <v>Individual</v>
      </c>
      <c r="Q1482" t="str">
        <f t="shared" si="162"/>
        <v>South</v>
      </c>
      <c r="R1482" t="str">
        <f>PROPER(TRIM(E1482))</f>
        <v>Home &amp; Kitchen</v>
      </c>
      <c r="S1482" s="27">
        <f>IF(ISTEXT(B1482),DATEVALUE(B1482),B1482)</f>
        <v>45965</v>
      </c>
      <c r="T1482" s="27">
        <f>COUNTIF($A$2:$A$1986,A1482)</f>
        <v>1</v>
      </c>
      <c r="U1482" s="27" t="str">
        <f t="shared" si="163"/>
        <v>Air Fryer</v>
      </c>
      <c r="V1482" s="27">
        <f t="shared" si="164"/>
        <v>167.07</v>
      </c>
      <c r="W1482" s="27">
        <f t="shared" si="165"/>
        <v>137.04</v>
      </c>
      <c r="X1482" s="27">
        <f>RawSalesTable3[[#This Row],[Revenue]]-RawSalesTable3[[#This Row],[Total_Cost]]</f>
        <v>30.03</v>
      </c>
      <c r="Y1482" s="28">
        <f>RawSalesTable3[[#This Row],[Profit]]/RawSalesTable3[[#This Row],[Revenue]]</f>
        <v>0.17974501705871793</v>
      </c>
      <c r="Z1482" s="27" t="str">
        <f>TEXT(RawSalesTable3[[#This Row],[Order_Date_Clean]],"MMM YYYY")</f>
        <v>Nov 2025</v>
      </c>
      <c r="AA1482" s="27"/>
      <c r="AB1482" s="27">
        <f t="shared" si="166"/>
        <v>0</v>
      </c>
      <c r="AC1482" s="27">
        <f t="shared" si="167"/>
        <v>0</v>
      </c>
    </row>
    <row r="1483" spans="1:29">
      <c r="A1483" t="s">
        <v>1591</v>
      </c>
      <c r="B1483" s="3">
        <v>45764</v>
      </c>
      <c r="C1483" t="s">
        <v>66</v>
      </c>
      <c r="D1483" t="s">
        <v>55</v>
      </c>
      <c r="E1483" t="s">
        <v>75</v>
      </c>
      <c r="F1483" t="s">
        <v>146</v>
      </c>
      <c r="G1483" s="6">
        <v>2</v>
      </c>
      <c r="H1483" s="4">
        <v>179.23</v>
      </c>
      <c r="I1483" s="4">
        <v>118.65</v>
      </c>
      <c r="J1483" s="5">
        <v>0.05</v>
      </c>
      <c r="K1483" s="6">
        <v>0</v>
      </c>
      <c r="L1483" s="6">
        <v>3</v>
      </c>
      <c r="M1483" t="s">
        <v>126</v>
      </c>
      <c r="N1483" t="s">
        <v>69</v>
      </c>
      <c r="O1483" t="s">
        <v>64</v>
      </c>
      <c r="P1483" t="str">
        <f t="shared" si="161"/>
        <v>Small Business</v>
      </c>
      <c r="Q1483" t="str">
        <f t="shared" si="162"/>
        <v>South</v>
      </c>
      <c r="R1483" t="str">
        <f>PROPER(TRIM(E1483))</f>
        <v>Furniture</v>
      </c>
      <c r="S1483" s="27">
        <f>IF(ISTEXT(B1483),DATEVALUE(B1483),B1483)</f>
        <v>45764</v>
      </c>
      <c r="T1483" s="27">
        <f>COUNTIF($A$2:$A$1986,A1483)</f>
        <v>1</v>
      </c>
      <c r="U1483" s="27" t="str">
        <f t="shared" si="163"/>
        <v>Office Chair</v>
      </c>
      <c r="V1483" s="27">
        <f t="shared" si="164"/>
        <v>340.53699999999998</v>
      </c>
      <c r="W1483" s="27">
        <f t="shared" si="165"/>
        <v>237.3</v>
      </c>
      <c r="X1483" s="27">
        <f>RawSalesTable3[[#This Row],[Revenue]]-RawSalesTable3[[#This Row],[Total_Cost]]</f>
        <v>103.23699999999997</v>
      </c>
      <c r="Y1483" s="28">
        <f>RawSalesTable3[[#This Row],[Profit]]/RawSalesTable3[[#This Row],[Revenue]]</f>
        <v>0.30315942173684496</v>
      </c>
      <c r="Z1483" s="27" t="str">
        <f>TEXT(RawSalesTable3[[#This Row],[Order_Date_Clean]],"MMM YYYY")</f>
        <v>Apr 2025</v>
      </c>
      <c r="AA1483" s="27"/>
      <c r="AB1483" s="27">
        <f t="shared" si="166"/>
        <v>0</v>
      </c>
      <c r="AC1483" s="27">
        <f t="shared" si="167"/>
        <v>0</v>
      </c>
    </row>
    <row r="1484" spans="1:29">
      <c r="A1484" t="s">
        <v>1592</v>
      </c>
      <c r="B1484" s="3">
        <v>45929</v>
      </c>
      <c r="C1484" t="s">
        <v>78</v>
      </c>
      <c r="D1484" t="s">
        <v>62</v>
      </c>
      <c r="E1484" t="s">
        <v>67</v>
      </c>
      <c r="F1484" t="s">
        <v>71</v>
      </c>
      <c r="G1484" s="6">
        <v>3</v>
      </c>
      <c r="H1484" s="4">
        <v>72.11</v>
      </c>
      <c r="I1484" s="4">
        <v>39.619999999999997</v>
      </c>
      <c r="J1484" s="5">
        <v>0.1</v>
      </c>
      <c r="K1484" s="6">
        <v>5</v>
      </c>
      <c r="L1484" s="6">
        <v>5</v>
      </c>
      <c r="M1484" t="s">
        <v>58</v>
      </c>
      <c r="N1484" t="s">
        <v>59</v>
      </c>
      <c r="O1484" t="s">
        <v>64</v>
      </c>
      <c r="P1484" t="str">
        <f t="shared" si="161"/>
        <v>Individual</v>
      </c>
      <c r="Q1484" t="str">
        <f t="shared" si="162"/>
        <v>London</v>
      </c>
      <c r="R1484" t="str">
        <f>PROPER(TRIM(E1484))</f>
        <v>Office</v>
      </c>
      <c r="S1484" s="27">
        <f>IF(ISTEXT(B1484),DATEVALUE(B1484),B1484)</f>
        <v>45929</v>
      </c>
      <c r="T1484" s="27">
        <f>COUNTIF($A$2:$A$1986,A1484)</f>
        <v>1</v>
      </c>
      <c r="U1484" s="27" t="str">
        <f t="shared" si="163"/>
        <v>Ergonomic Keyboard</v>
      </c>
      <c r="V1484" s="27">
        <f t="shared" si="164"/>
        <v>194.697</v>
      </c>
      <c r="W1484" s="27">
        <f t="shared" si="165"/>
        <v>118.85999999999999</v>
      </c>
      <c r="X1484" s="27">
        <f>RawSalesTable3[[#This Row],[Revenue]]-RawSalesTable3[[#This Row],[Total_Cost]]</f>
        <v>75.837000000000018</v>
      </c>
      <c r="Y1484" s="28">
        <f>RawSalesTable3[[#This Row],[Profit]]/RawSalesTable3[[#This Row],[Revenue]]</f>
        <v>0.38951293548436811</v>
      </c>
      <c r="Z1484" s="27" t="str">
        <f>TEXT(RawSalesTable3[[#This Row],[Order_Date_Clean]],"MMM YYYY")</f>
        <v>Sep 2025</v>
      </c>
      <c r="AA1484" s="27"/>
      <c r="AB1484" s="27">
        <f t="shared" si="166"/>
        <v>0</v>
      </c>
      <c r="AC1484" s="27">
        <f t="shared" si="167"/>
        <v>0</v>
      </c>
    </row>
    <row r="1485" spans="1:29">
      <c r="A1485" t="s">
        <v>1593</v>
      </c>
      <c r="B1485" s="3">
        <v>45789</v>
      </c>
      <c r="C1485" t="s">
        <v>66</v>
      </c>
      <c r="D1485" t="s">
        <v>62</v>
      </c>
      <c r="E1485" t="s">
        <v>99</v>
      </c>
      <c r="F1485" t="s">
        <v>83</v>
      </c>
      <c r="G1485" s="6">
        <v>1</v>
      </c>
      <c r="H1485" s="4">
        <v>65.23</v>
      </c>
      <c r="I1485" s="4">
        <v>34.64</v>
      </c>
      <c r="J1485" s="5">
        <v>0.05</v>
      </c>
      <c r="K1485" s="6">
        <v>3</v>
      </c>
      <c r="L1485" s="6">
        <v>4</v>
      </c>
      <c r="M1485" t="s">
        <v>58</v>
      </c>
      <c r="N1485" t="s">
        <v>59</v>
      </c>
      <c r="O1485" t="s">
        <v>64</v>
      </c>
      <c r="P1485" t="str">
        <f t="shared" si="161"/>
        <v>Individual</v>
      </c>
      <c r="Q1485" t="str">
        <f t="shared" si="162"/>
        <v>South</v>
      </c>
      <c r="R1485" t="str">
        <f>PROPER(TRIM(E1485))</f>
        <v>Home &amp; Kitchen</v>
      </c>
      <c r="S1485" s="27">
        <f>IF(ISTEXT(B1485),DATEVALUE(B1485),B1485)</f>
        <v>45789</v>
      </c>
      <c r="T1485" s="27">
        <f>COUNTIF($A$2:$A$1986,A1485)</f>
        <v>1</v>
      </c>
      <c r="U1485" s="27" t="str">
        <f t="shared" si="163"/>
        <v>Blender</v>
      </c>
      <c r="V1485" s="27">
        <f t="shared" si="164"/>
        <v>61.968499999999999</v>
      </c>
      <c r="W1485" s="27">
        <f t="shared" si="165"/>
        <v>34.64</v>
      </c>
      <c r="X1485" s="27">
        <f>RawSalesTable3[[#This Row],[Revenue]]-RawSalesTable3[[#This Row],[Total_Cost]]</f>
        <v>27.328499999999998</v>
      </c>
      <c r="Y1485" s="28">
        <f>RawSalesTable3[[#This Row],[Profit]]/RawSalesTable3[[#This Row],[Revenue]]</f>
        <v>0.4410063177259414</v>
      </c>
      <c r="Z1485" s="27" t="str">
        <f>TEXT(RawSalesTable3[[#This Row],[Order_Date_Clean]],"MMM YYYY")</f>
        <v>May 2025</v>
      </c>
      <c r="AA1485" s="27"/>
      <c r="AB1485" s="27">
        <f t="shared" si="166"/>
        <v>0</v>
      </c>
      <c r="AC1485" s="27">
        <f t="shared" si="167"/>
        <v>0</v>
      </c>
    </row>
    <row r="1486" spans="1:29">
      <c r="A1486" t="s">
        <v>1594</v>
      </c>
      <c r="B1486" s="3" t="s">
        <v>1595</v>
      </c>
      <c r="C1486" t="s">
        <v>66</v>
      </c>
      <c r="D1486" t="s">
        <v>62</v>
      </c>
      <c r="E1486" t="s">
        <v>67</v>
      </c>
      <c r="F1486" t="s">
        <v>107</v>
      </c>
      <c r="G1486" s="6">
        <v>1</v>
      </c>
      <c r="H1486" s="4">
        <v>44.69</v>
      </c>
      <c r="I1486" s="4">
        <v>20.95</v>
      </c>
      <c r="J1486" s="5">
        <v>0.05</v>
      </c>
      <c r="K1486" s="6">
        <v>3</v>
      </c>
      <c r="L1486" s="6">
        <v>5</v>
      </c>
      <c r="M1486" t="s">
        <v>58</v>
      </c>
      <c r="N1486" t="s">
        <v>59</v>
      </c>
      <c r="O1486" t="s">
        <v>60</v>
      </c>
      <c r="P1486" t="str">
        <f t="shared" si="161"/>
        <v>Individual</v>
      </c>
      <c r="Q1486" t="str">
        <f t="shared" si="162"/>
        <v>South</v>
      </c>
      <c r="R1486" t="str">
        <f>PROPER(TRIM(E1486))</f>
        <v>Office</v>
      </c>
      <c r="S1486" s="27">
        <f>IF(ISTEXT(B1486),DATEVALUE(B1486),B1486)</f>
        <v>45844</v>
      </c>
      <c r="T1486" s="27">
        <f>COUNTIF($A$2:$A$1986,A1486)</f>
        <v>1</v>
      </c>
      <c r="U1486" s="27" t="str">
        <f t="shared" si="163"/>
        <v>Laptop Stand</v>
      </c>
      <c r="V1486" s="27">
        <f t="shared" si="164"/>
        <v>42.455499999999994</v>
      </c>
      <c r="W1486" s="27">
        <f t="shared" si="165"/>
        <v>20.95</v>
      </c>
      <c r="X1486" s="27">
        <f>RawSalesTable3[[#This Row],[Revenue]]-RawSalesTable3[[#This Row],[Total_Cost]]</f>
        <v>21.505499999999994</v>
      </c>
      <c r="Y1486" s="28">
        <f>RawSalesTable3[[#This Row],[Profit]]/RawSalesTable3[[#This Row],[Revenue]]</f>
        <v>0.50654214412738041</v>
      </c>
      <c r="Z1486" s="27" t="str">
        <f>TEXT(RawSalesTable3[[#This Row],[Order_Date_Clean]],"MMM YYYY")</f>
        <v>Jul 2025</v>
      </c>
      <c r="AA1486" s="27"/>
      <c r="AB1486" s="27">
        <f t="shared" si="166"/>
        <v>0</v>
      </c>
      <c r="AC1486" s="27">
        <f t="shared" si="167"/>
        <v>0</v>
      </c>
    </row>
    <row r="1487" spans="1:29">
      <c r="A1487" t="s">
        <v>1596</v>
      </c>
      <c r="B1487" s="3">
        <v>45869</v>
      </c>
      <c r="C1487" t="s">
        <v>78</v>
      </c>
      <c r="D1487" t="s">
        <v>62</v>
      </c>
      <c r="E1487" t="s">
        <v>56</v>
      </c>
      <c r="F1487" t="s">
        <v>83</v>
      </c>
      <c r="G1487" s="6">
        <v>1</v>
      </c>
      <c r="H1487" s="4">
        <v>63.71</v>
      </c>
      <c r="I1487" s="4">
        <v>35.729999999999997</v>
      </c>
      <c r="J1487" s="5">
        <v>0.05</v>
      </c>
      <c r="K1487" s="6">
        <v>5</v>
      </c>
      <c r="L1487" s="6">
        <v>5</v>
      </c>
      <c r="M1487" t="s">
        <v>58</v>
      </c>
      <c r="N1487" t="s">
        <v>87</v>
      </c>
      <c r="O1487" t="s">
        <v>64</v>
      </c>
      <c r="P1487" t="str">
        <f t="shared" si="161"/>
        <v>Individual</v>
      </c>
      <c r="Q1487" t="str">
        <f t="shared" si="162"/>
        <v>London</v>
      </c>
      <c r="R1487" t="str">
        <f>PROPER(TRIM(E1487))</f>
        <v>Home &amp; Kitchen</v>
      </c>
      <c r="S1487" s="27">
        <f>IF(ISTEXT(B1487),DATEVALUE(B1487),B1487)</f>
        <v>45869</v>
      </c>
      <c r="T1487" s="27">
        <f>COUNTIF($A$2:$A$1986,A1487)</f>
        <v>1</v>
      </c>
      <c r="U1487" s="27" t="str">
        <f t="shared" si="163"/>
        <v>Blender</v>
      </c>
      <c r="V1487" s="27">
        <f t="shared" si="164"/>
        <v>60.524499999999996</v>
      </c>
      <c r="W1487" s="27">
        <f t="shared" si="165"/>
        <v>35.729999999999997</v>
      </c>
      <c r="X1487" s="27">
        <f>RawSalesTable3[[#This Row],[Revenue]]-RawSalesTable3[[#This Row],[Total_Cost]]</f>
        <v>24.794499999999999</v>
      </c>
      <c r="Y1487" s="28">
        <f>RawSalesTable3[[#This Row],[Profit]]/RawSalesTable3[[#This Row],[Revenue]]</f>
        <v>0.40966055068608581</v>
      </c>
      <c r="Z1487" s="27" t="str">
        <f>TEXT(RawSalesTable3[[#This Row],[Order_Date_Clean]],"MMM YYYY")</f>
        <v>Jul 2025</v>
      </c>
      <c r="AA1487" s="27"/>
      <c r="AB1487" s="27">
        <f t="shared" si="166"/>
        <v>0</v>
      </c>
      <c r="AC1487" s="27">
        <f t="shared" si="167"/>
        <v>0</v>
      </c>
    </row>
    <row r="1488" spans="1:29">
      <c r="A1488" t="s">
        <v>1597</v>
      </c>
      <c r="B1488" s="3">
        <v>45977</v>
      </c>
      <c r="C1488" t="s">
        <v>54</v>
      </c>
      <c r="D1488" t="s">
        <v>55</v>
      </c>
      <c r="E1488" t="s">
        <v>56</v>
      </c>
      <c r="F1488" t="s">
        <v>83</v>
      </c>
      <c r="G1488" s="6">
        <v>3</v>
      </c>
      <c r="H1488" s="4">
        <v>65.900000000000006</v>
      </c>
      <c r="I1488" s="4">
        <v>34</v>
      </c>
      <c r="J1488" s="5">
        <v>0.1</v>
      </c>
      <c r="K1488" s="6">
        <v>1</v>
      </c>
      <c r="L1488" s="6">
        <v>4</v>
      </c>
      <c r="M1488" t="s">
        <v>58</v>
      </c>
      <c r="N1488" t="s">
        <v>69</v>
      </c>
      <c r="O1488" t="s">
        <v>64</v>
      </c>
      <c r="P1488" t="str">
        <f t="shared" si="161"/>
        <v>Small Business</v>
      </c>
      <c r="Q1488" t="str">
        <f t="shared" si="162"/>
        <v>North</v>
      </c>
      <c r="R1488" t="str">
        <f>PROPER(TRIM(E1488))</f>
        <v>Home &amp; Kitchen</v>
      </c>
      <c r="S1488" s="27">
        <f>IF(ISTEXT(B1488),DATEVALUE(B1488),B1488)</f>
        <v>45977</v>
      </c>
      <c r="T1488" s="27">
        <f>COUNTIF($A$2:$A$1986,A1488)</f>
        <v>1</v>
      </c>
      <c r="U1488" s="27" t="str">
        <f t="shared" si="163"/>
        <v>Blender</v>
      </c>
      <c r="V1488" s="27">
        <f t="shared" si="164"/>
        <v>177.93</v>
      </c>
      <c r="W1488" s="27">
        <f t="shared" si="165"/>
        <v>102</v>
      </c>
      <c r="X1488" s="27">
        <f>RawSalesTable3[[#This Row],[Revenue]]-RawSalesTable3[[#This Row],[Total_Cost]]</f>
        <v>75.930000000000007</v>
      </c>
      <c r="Y1488" s="28">
        <f>RawSalesTable3[[#This Row],[Profit]]/RawSalesTable3[[#This Row],[Revenue]]</f>
        <v>0.42674085314449506</v>
      </c>
      <c r="Z1488" s="27" t="str">
        <f>TEXT(RawSalesTable3[[#This Row],[Order_Date_Clean]],"MMM YYYY")</f>
        <v>Nov 2025</v>
      </c>
      <c r="AA1488" s="27"/>
      <c r="AB1488" s="27">
        <f t="shared" si="166"/>
        <v>0</v>
      </c>
      <c r="AC1488" s="27">
        <f t="shared" si="167"/>
        <v>0</v>
      </c>
    </row>
    <row r="1489" spans="1:29">
      <c r="A1489" t="s">
        <v>1598</v>
      </c>
      <c r="B1489" s="3">
        <v>45663</v>
      </c>
      <c r="C1489" t="s">
        <v>66</v>
      </c>
      <c r="E1489" t="s">
        <v>56</v>
      </c>
      <c r="F1489" t="s">
        <v>83</v>
      </c>
      <c r="G1489" s="6">
        <v>1</v>
      </c>
      <c r="H1489" s="4">
        <v>67.540000000000006</v>
      </c>
      <c r="I1489" s="4">
        <v>35.97</v>
      </c>
      <c r="J1489" s="5">
        <v>0.15000000000000002</v>
      </c>
      <c r="K1489" s="6">
        <v>3</v>
      </c>
      <c r="L1489" s="6">
        <v>4</v>
      </c>
      <c r="M1489" t="s">
        <v>58</v>
      </c>
      <c r="N1489" t="s">
        <v>87</v>
      </c>
      <c r="O1489" t="s">
        <v>60</v>
      </c>
      <c r="P1489" t="str">
        <f t="shared" si="161"/>
        <v>Unknow</v>
      </c>
      <c r="Q1489" t="str">
        <f t="shared" si="162"/>
        <v>South</v>
      </c>
      <c r="R1489" t="str">
        <f>PROPER(TRIM(E1489))</f>
        <v>Home &amp; Kitchen</v>
      </c>
      <c r="S1489" s="27">
        <f>IF(ISTEXT(B1489),DATEVALUE(B1489),B1489)</f>
        <v>45663</v>
      </c>
      <c r="T1489" s="27">
        <f>COUNTIF($A$2:$A$1986,A1489)</f>
        <v>1</v>
      </c>
      <c r="U1489" s="27" t="str">
        <f t="shared" si="163"/>
        <v>Blender</v>
      </c>
      <c r="V1489" s="27">
        <f t="shared" si="164"/>
        <v>57.409000000000006</v>
      </c>
      <c r="W1489" s="27">
        <f t="shared" si="165"/>
        <v>35.97</v>
      </c>
      <c r="X1489" s="27">
        <f>RawSalesTable3[[#This Row],[Revenue]]-RawSalesTable3[[#This Row],[Total_Cost]]</f>
        <v>21.439000000000007</v>
      </c>
      <c r="Y1489" s="28">
        <f>RawSalesTable3[[#This Row],[Profit]]/RawSalesTable3[[#This Row],[Revenue]]</f>
        <v>0.37344318835025875</v>
      </c>
      <c r="Z1489" s="27" t="str">
        <f>TEXT(RawSalesTable3[[#This Row],[Order_Date_Clean]],"MMM YYYY")</f>
        <v>Jan 2025</v>
      </c>
      <c r="AA1489" s="27"/>
      <c r="AB1489" s="27">
        <f t="shared" si="166"/>
        <v>0</v>
      </c>
      <c r="AC1489" s="27">
        <f t="shared" si="167"/>
        <v>0</v>
      </c>
    </row>
    <row r="1490" spans="1:29">
      <c r="A1490" t="s">
        <v>1599</v>
      </c>
      <c r="B1490" s="3">
        <v>45953</v>
      </c>
      <c r="C1490" t="s">
        <v>78</v>
      </c>
      <c r="D1490" t="s">
        <v>55</v>
      </c>
      <c r="E1490" t="s">
        <v>67</v>
      </c>
      <c r="F1490" t="s">
        <v>71</v>
      </c>
      <c r="G1490" s="6">
        <v>3</v>
      </c>
      <c r="H1490" s="4">
        <v>70.959999999999994</v>
      </c>
      <c r="I1490" s="4">
        <v>38.630000000000003</v>
      </c>
      <c r="J1490" s="5">
        <v>0</v>
      </c>
      <c r="K1490" s="6">
        <v>4</v>
      </c>
      <c r="L1490" s="6">
        <v>5</v>
      </c>
      <c r="M1490" t="s">
        <v>58</v>
      </c>
      <c r="N1490" t="s">
        <v>59</v>
      </c>
      <c r="O1490" t="s">
        <v>64</v>
      </c>
      <c r="P1490" t="str">
        <f t="shared" si="161"/>
        <v>Small Business</v>
      </c>
      <c r="Q1490" t="str">
        <f t="shared" si="162"/>
        <v>London</v>
      </c>
      <c r="R1490" t="str">
        <f>PROPER(TRIM(E1490))</f>
        <v>Office</v>
      </c>
      <c r="S1490" s="27">
        <f>IF(ISTEXT(B1490),DATEVALUE(B1490),B1490)</f>
        <v>45953</v>
      </c>
      <c r="T1490" s="27">
        <f>COUNTIF($A$2:$A$1986,A1490)</f>
        <v>1</v>
      </c>
      <c r="U1490" s="27" t="str">
        <f t="shared" si="163"/>
        <v>Ergonomic Keyboard</v>
      </c>
      <c r="V1490" s="27">
        <f t="shared" si="164"/>
        <v>212.88</v>
      </c>
      <c r="W1490" s="27">
        <f t="shared" si="165"/>
        <v>115.89000000000001</v>
      </c>
      <c r="X1490" s="27">
        <f>RawSalesTable3[[#This Row],[Revenue]]-RawSalesTable3[[#This Row],[Total_Cost]]</f>
        <v>96.989999999999981</v>
      </c>
      <c r="Y1490" s="28">
        <f>RawSalesTable3[[#This Row],[Profit]]/RawSalesTable3[[#This Row],[Revenue]]</f>
        <v>0.45560879368658391</v>
      </c>
      <c r="Z1490" s="27" t="str">
        <f>TEXT(RawSalesTable3[[#This Row],[Order_Date_Clean]],"MMM YYYY")</f>
        <v>Oct 2025</v>
      </c>
      <c r="AA1490" s="27"/>
      <c r="AB1490" s="27">
        <f t="shared" si="166"/>
        <v>0</v>
      </c>
      <c r="AC1490" s="27">
        <f t="shared" si="167"/>
        <v>0</v>
      </c>
    </row>
    <row r="1491" spans="1:29">
      <c r="A1491" t="s">
        <v>1600</v>
      </c>
      <c r="B1491" s="3">
        <v>45978</v>
      </c>
      <c r="C1491" t="s">
        <v>66</v>
      </c>
      <c r="D1491" t="s">
        <v>129</v>
      </c>
      <c r="E1491" t="s">
        <v>79</v>
      </c>
      <c r="F1491" t="s">
        <v>85</v>
      </c>
      <c r="G1491" s="6">
        <v>6</v>
      </c>
      <c r="H1491" s="4">
        <v>134.91999999999999</v>
      </c>
      <c r="I1491" s="4">
        <v>86.78</v>
      </c>
      <c r="J1491" s="5">
        <v>0.15000000000000002</v>
      </c>
      <c r="K1491" s="6">
        <v>0</v>
      </c>
      <c r="L1491" s="6">
        <v>3</v>
      </c>
      <c r="M1491" t="s">
        <v>126</v>
      </c>
      <c r="N1491" t="s">
        <v>69</v>
      </c>
      <c r="O1491" t="s">
        <v>64</v>
      </c>
      <c r="P1491" t="str">
        <f t="shared" si="161"/>
        <v>Corporate</v>
      </c>
      <c r="Q1491" t="str">
        <f t="shared" si="162"/>
        <v>South</v>
      </c>
      <c r="R1491" t="str">
        <f>PROPER(TRIM(E1491))</f>
        <v>Electronics</v>
      </c>
      <c r="S1491" s="27">
        <f>IF(ISTEXT(B1491),DATEVALUE(B1491),B1491)</f>
        <v>45978</v>
      </c>
      <c r="T1491" s="27">
        <f>COUNTIF($A$2:$A$1986,A1491)</f>
        <v>1</v>
      </c>
      <c r="U1491" s="27" t="str">
        <f t="shared" si="163"/>
        <v>SmartHome Hub</v>
      </c>
      <c r="V1491" s="27">
        <f t="shared" si="164"/>
        <v>688.09199999999998</v>
      </c>
      <c r="W1491" s="27">
        <f t="shared" si="165"/>
        <v>520.68000000000006</v>
      </c>
      <c r="X1491" s="27">
        <f>RawSalesTable3[[#This Row],[Revenue]]-RawSalesTable3[[#This Row],[Total_Cost]]</f>
        <v>167.41199999999992</v>
      </c>
      <c r="Y1491" s="28">
        <f>RawSalesTable3[[#This Row],[Profit]]/RawSalesTable3[[#This Row],[Revenue]]</f>
        <v>0.24329886119879307</v>
      </c>
      <c r="Z1491" s="27" t="str">
        <f>TEXT(RawSalesTable3[[#This Row],[Order_Date_Clean]],"MMM YYYY")</f>
        <v>Nov 2025</v>
      </c>
      <c r="AA1491" s="27"/>
      <c r="AB1491" s="27">
        <f t="shared" si="166"/>
        <v>0</v>
      </c>
      <c r="AC1491" s="27">
        <f t="shared" si="167"/>
        <v>0</v>
      </c>
    </row>
    <row r="1492" spans="1:29">
      <c r="A1492" t="s">
        <v>1601</v>
      </c>
      <c r="B1492" s="3">
        <v>45685</v>
      </c>
      <c r="C1492" t="s">
        <v>66</v>
      </c>
      <c r="D1492" t="s">
        <v>55</v>
      </c>
      <c r="E1492" t="s">
        <v>67</v>
      </c>
      <c r="F1492" t="s">
        <v>94</v>
      </c>
      <c r="G1492" s="6">
        <v>4</v>
      </c>
      <c r="H1492" s="4">
        <v>35.700000000000003</v>
      </c>
      <c r="I1492" s="4">
        <v>17.149999999999999</v>
      </c>
      <c r="J1492" s="5">
        <v>0.2</v>
      </c>
      <c r="K1492" s="6">
        <v>8</v>
      </c>
      <c r="L1492" s="6">
        <v>3</v>
      </c>
      <c r="M1492" t="s">
        <v>58</v>
      </c>
      <c r="N1492" t="s">
        <v>59</v>
      </c>
      <c r="O1492" t="s">
        <v>64</v>
      </c>
      <c r="P1492" t="str">
        <f t="shared" si="161"/>
        <v>Small Business</v>
      </c>
      <c r="Q1492" t="str">
        <f t="shared" si="162"/>
        <v>South</v>
      </c>
      <c r="R1492" t="str">
        <f>PROPER(TRIM(E1492))</f>
        <v>Office</v>
      </c>
      <c r="S1492" s="27">
        <f>IF(ISTEXT(B1492),DATEVALUE(B1492),B1492)</f>
        <v>45685</v>
      </c>
      <c r="T1492" s="27">
        <f>COUNTIF($A$2:$A$1986,A1492)</f>
        <v>1</v>
      </c>
      <c r="U1492" s="27" t="str">
        <f t="shared" si="163"/>
        <v>Wireless Mouse</v>
      </c>
      <c r="V1492" s="27">
        <f t="shared" si="164"/>
        <v>114.24000000000001</v>
      </c>
      <c r="W1492" s="27">
        <f t="shared" si="165"/>
        <v>68.599999999999994</v>
      </c>
      <c r="X1492" s="27">
        <f>RawSalesTable3[[#This Row],[Revenue]]-RawSalesTable3[[#This Row],[Total_Cost]]</f>
        <v>45.640000000000015</v>
      </c>
      <c r="Y1492" s="28">
        <f>RawSalesTable3[[#This Row],[Profit]]/RawSalesTable3[[#This Row],[Revenue]]</f>
        <v>0.39950980392156871</v>
      </c>
      <c r="Z1492" s="27" t="str">
        <f>TEXT(RawSalesTable3[[#This Row],[Order_Date_Clean]],"MMM YYYY")</f>
        <v>Jan 2025</v>
      </c>
      <c r="AA1492" s="27"/>
      <c r="AB1492" s="27">
        <f t="shared" si="166"/>
        <v>0</v>
      </c>
      <c r="AC1492" s="27">
        <f t="shared" si="167"/>
        <v>0</v>
      </c>
    </row>
    <row r="1493" spans="1:29">
      <c r="A1493" t="s">
        <v>1602</v>
      </c>
      <c r="B1493" s="3">
        <v>46014</v>
      </c>
      <c r="C1493" t="s">
        <v>54</v>
      </c>
      <c r="D1493" t="s">
        <v>55</v>
      </c>
      <c r="E1493" t="s">
        <v>79</v>
      </c>
      <c r="F1493" t="s">
        <v>85</v>
      </c>
      <c r="G1493" s="6">
        <v>1</v>
      </c>
      <c r="H1493" s="4">
        <v>135.12</v>
      </c>
      <c r="I1493" s="4">
        <v>85.04</v>
      </c>
      <c r="J1493" s="5">
        <v>0.05</v>
      </c>
      <c r="K1493" s="6">
        <v>2</v>
      </c>
      <c r="L1493" s="6">
        <v>4</v>
      </c>
      <c r="M1493" t="s">
        <v>58</v>
      </c>
      <c r="N1493" t="s">
        <v>59</v>
      </c>
      <c r="O1493" t="s">
        <v>60</v>
      </c>
      <c r="P1493" t="str">
        <f t="shared" si="161"/>
        <v>Small Business</v>
      </c>
      <c r="Q1493" t="str">
        <f t="shared" si="162"/>
        <v>North</v>
      </c>
      <c r="R1493" t="str">
        <f>PROPER(TRIM(E1493))</f>
        <v>Electronics</v>
      </c>
      <c r="S1493" s="27">
        <f>IF(ISTEXT(B1493),DATEVALUE(B1493),B1493)</f>
        <v>46014</v>
      </c>
      <c r="T1493" s="27">
        <f>COUNTIF($A$2:$A$1986,A1493)</f>
        <v>1</v>
      </c>
      <c r="U1493" s="27" t="str">
        <f t="shared" si="163"/>
        <v>SmartHome Hub</v>
      </c>
      <c r="V1493" s="27">
        <f t="shared" si="164"/>
        <v>128.364</v>
      </c>
      <c r="W1493" s="27">
        <f t="shared" si="165"/>
        <v>85.04</v>
      </c>
      <c r="X1493" s="27">
        <f>RawSalesTable3[[#This Row],[Revenue]]-RawSalesTable3[[#This Row],[Total_Cost]]</f>
        <v>43.323999999999998</v>
      </c>
      <c r="Y1493" s="28">
        <f>RawSalesTable3[[#This Row],[Profit]]/RawSalesTable3[[#This Row],[Revenue]]</f>
        <v>0.33750895889813343</v>
      </c>
      <c r="Z1493" s="27" t="str">
        <f>TEXT(RawSalesTable3[[#This Row],[Order_Date_Clean]],"MMM YYYY")</f>
        <v>Dec 2025</v>
      </c>
      <c r="AA1493" s="27"/>
      <c r="AB1493" s="27">
        <f t="shared" si="166"/>
        <v>0</v>
      </c>
      <c r="AC1493" s="27">
        <f t="shared" si="167"/>
        <v>0</v>
      </c>
    </row>
    <row r="1494" spans="1:29">
      <c r="A1494" t="s">
        <v>1603</v>
      </c>
      <c r="B1494" s="3">
        <v>45988</v>
      </c>
      <c r="C1494" t="s">
        <v>78</v>
      </c>
      <c r="D1494" t="s">
        <v>62</v>
      </c>
      <c r="E1494" t="s">
        <v>75</v>
      </c>
      <c r="F1494" t="s">
        <v>97</v>
      </c>
      <c r="G1494" s="6">
        <v>2</v>
      </c>
      <c r="H1494" s="4">
        <v>90.4</v>
      </c>
      <c r="I1494" s="4">
        <v>55.86</v>
      </c>
      <c r="J1494" s="5">
        <v>0</v>
      </c>
      <c r="K1494" s="6">
        <v>3</v>
      </c>
      <c r="L1494" s="6">
        <v>4</v>
      </c>
      <c r="M1494" t="s">
        <v>58</v>
      </c>
      <c r="N1494" t="s">
        <v>69</v>
      </c>
      <c r="O1494" t="s">
        <v>60</v>
      </c>
      <c r="P1494" t="str">
        <f t="shared" si="161"/>
        <v>Individual</v>
      </c>
      <c r="Q1494" t="str">
        <f t="shared" si="162"/>
        <v>London</v>
      </c>
      <c r="R1494" t="str">
        <f>PROPER(TRIM(E1494))</f>
        <v>Furniture</v>
      </c>
      <c r="S1494" s="27">
        <f>IF(ISTEXT(B1494),DATEVALUE(B1494),B1494)</f>
        <v>45988</v>
      </c>
      <c r="T1494" s="27">
        <f>COUNTIF($A$2:$A$1986,A1494)</f>
        <v>1</v>
      </c>
      <c r="U1494" s="27" t="str">
        <f t="shared" si="163"/>
        <v>Side Table</v>
      </c>
      <c r="V1494" s="27">
        <f t="shared" si="164"/>
        <v>180.8</v>
      </c>
      <c r="W1494" s="27">
        <f t="shared" si="165"/>
        <v>111.72</v>
      </c>
      <c r="X1494" s="27">
        <f>RawSalesTable3[[#This Row],[Revenue]]-RawSalesTable3[[#This Row],[Total_Cost]]</f>
        <v>69.080000000000013</v>
      </c>
      <c r="Y1494" s="28">
        <f>RawSalesTable3[[#This Row],[Profit]]/RawSalesTable3[[#This Row],[Revenue]]</f>
        <v>0.38207964601769917</v>
      </c>
      <c r="Z1494" s="27" t="str">
        <f>TEXT(RawSalesTable3[[#This Row],[Order_Date_Clean]],"MMM YYYY")</f>
        <v>Nov 2025</v>
      </c>
      <c r="AA1494" s="27"/>
      <c r="AB1494" s="27">
        <f t="shared" si="166"/>
        <v>0</v>
      </c>
      <c r="AC1494" s="27">
        <f t="shared" si="167"/>
        <v>0</v>
      </c>
    </row>
    <row r="1495" spans="1:29">
      <c r="A1495" t="s">
        <v>1604</v>
      </c>
      <c r="B1495" s="3">
        <v>45807</v>
      </c>
      <c r="C1495" t="s">
        <v>54</v>
      </c>
      <c r="D1495" t="s">
        <v>62</v>
      </c>
      <c r="E1495" t="s">
        <v>79</v>
      </c>
      <c r="F1495" t="s">
        <v>115</v>
      </c>
      <c r="G1495" s="6">
        <v>1</v>
      </c>
      <c r="H1495" s="4">
        <v>58.47</v>
      </c>
      <c r="I1495" s="4">
        <v>33.159999999999997</v>
      </c>
      <c r="J1495" s="5">
        <v>0</v>
      </c>
      <c r="K1495" s="6">
        <v>3</v>
      </c>
      <c r="L1495" s="6">
        <v>4</v>
      </c>
      <c r="M1495" t="s">
        <v>58</v>
      </c>
      <c r="N1495" t="s">
        <v>59</v>
      </c>
      <c r="O1495" t="s">
        <v>60</v>
      </c>
      <c r="P1495" t="str">
        <f t="shared" si="161"/>
        <v>Individual</v>
      </c>
      <c r="Q1495" t="str">
        <f t="shared" si="162"/>
        <v>North</v>
      </c>
      <c r="R1495" t="str">
        <f>PROPER(TRIM(E1495))</f>
        <v>Electronics</v>
      </c>
      <c r="S1495" s="27">
        <f>IF(ISTEXT(B1495),DATEVALUE(B1495),B1495)</f>
        <v>45807</v>
      </c>
      <c r="T1495" s="27">
        <f>COUNTIF($A$2:$A$1986,A1495)</f>
        <v>1</v>
      </c>
      <c r="U1495" s="27" t="str">
        <f t="shared" si="163"/>
        <v>Wireless Headset</v>
      </c>
      <c r="V1495" s="27">
        <f t="shared" si="164"/>
        <v>58.47</v>
      </c>
      <c r="W1495" s="27">
        <f t="shared" si="165"/>
        <v>33.159999999999997</v>
      </c>
      <c r="X1495" s="27">
        <f>RawSalesTable3[[#This Row],[Revenue]]-RawSalesTable3[[#This Row],[Total_Cost]]</f>
        <v>25.310000000000002</v>
      </c>
      <c r="Y1495" s="28">
        <f>RawSalesTable3[[#This Row],[Profit]]/RawSalesTable3[[#This Row],[Revenue]]</f>
        <v>0.43287155806396449</v>
      </c>
      <c r="Z1495" s="27" t="str">
        <f>TEXT(RawSalesTable3[[#This Row],[Order_Date_Clean]],"MMM YYYY")</f>
        <v>May 2025</v>
      </c>
      <c r="AA1495" s="27"/>
      <c r="AB1495" s="27">
        <f t="shared" si="166"/>
        <v>0</v>
      </c>
      <c r="AC1495" s="27">
        <f t="shared" si="167"/>
        <v>0</v>
      </c>
    </row>
    <row r="1496" spans="1:29">
      <c r="A1496" t="s">
        <v>1605</v>
      </c>
      <c r="B1496" s="3">
        <v>45901</v>
      </c>
      <c r="C1496" t="s">
        <v>78</v>
      </c>
      <c r="D1496" t="s">
        <v>62</v>
      </c>
      <c r="E1496" t="s">
        <v>79</v>
      </c>
      <c r="F1496" t="s">
        <v>85</v>
      </c>
      <c r="G1496" s="6">
        <v>1</v>
      </c>
      <c r="H1496" s="4">
        <v>128.41</v>
      </c>
      <c r="I1496" s="4">
        <v>81.900000000000006</v>
      </c>
      <c r="J1496" s="5">
        <v>0.05</v>
      </c>
      <c r="K1496" s="6">
        <v>5</v>
      </c>
      <c r="L1496" s="6">
        <v>4</v>
      </c>
      <c r="M1496" t="s">
        <v>58</v>
      </c>
      <c r="N1496" t="s">
        <v>59</v>
      </c>
      <c r="O1496" t="s">
        <v>60</v>
      </c>
      <c r="P1496" t="str">
        <f t="shared" si="161"/>
        <v>Individual</v>
      </c>
      <c r="Q1496" t="str">
        <f t="shared" si="162"/>
        <v>London</v>
      </c>
      <c r="R1496" t="str">
        <f>PROPER(TRIM(E1496))</f>
        <v>Electronics</v>
      </c>
      <c r="S1496" s="27">
        <f>IF(ISTEXT(B1496),DATEVALUE(B1496),B1496)</f>
        <v>45901</v>
      </c>
      <c r="T1496" s="27">
        <f>COUNTIF($A$2:$A$1986,A1496)</f>
        <v>1</v>
      </c>
      <c r="U1496" s="27" t="str">
        <f t="shared" si="163"/>
        <v>SmartHome Hub</v>
      </c>
      <c r="V1496" s="27">
        <f t="shared" si="164"/>
        <v>121.98949999999999</v>
      </c>
      <c r="W1496" s="27">
        <f t="shared" si="165"/>
        <v>81.900000000000006</v>
      </c>
      <c r="X1496" s="27">
        <f>RawSalesTable3[[#This Row],[Revenue]]-RawSalesTable3[[#This Row],[Total_Cost]]</f>
        <v>40.089499999999987</v>
      </c>
      <c r="Y1496" s="28">
        <f>RawSalesTable3[[#This Row],[Profit]]/RawSalesTable3[[#This Row],[Revenue]]</f>
        <v>0.3286307428098319</v>
      </c>
      <c r="Z1496" s="27" t="str">
        <f>TEXT(RawSalesTable3[[#This Row],[Order_Date_Clean]],"MMM YYYY")</f>
        <v>Sep 2025</v>
      </c>
      <c r="AA1496" s="27"/>
      <c r="AB1496" s="27">
        <f t="shared" si="166"/>
        <v>0</v>
      </c>
      <c r="AC1496" s="27">
        <f t="shared" si="167"/>
        <v>0</v>
      </c>
    </row>
    <row r="1497" spans="1:29">
      <c r="A1497" t="s">
        <v>1606</v>
      </c>
      <c r="B1497" s="3">
        <v>45663</v>
      </c>
      <c r="C1497" t="s">
        <v>66</v>
      </c>
      <c r="D1497" t="s">
        <v>62</v>
      </c>
      <c r="E1497" t="s">
        <v>56</v>
      </c>
      <c r="F1497" t="s">
        <v>83</v>
      </c>
      <c r="G1497" s="6">
        <v>1</v>
      </c>
      <c r="H1497" s="4">
        <v>64.14</v>
      </c>
      <c r="I1497" s="4">
        <v>34.96</v>
      </c>
      <c r="J1497" s="5">
        <v>0.1</v>
      </c>
      <c r="K1497" s="6">
        <v>3</v>
      </c>
      <c r="L1497" s="6">
        <v>4</v>
      </c>
      <c r="M1497" t="s">
        <v>58</v>
      </c>
      <c r="N1497" t="s">
        <v>69</v>
      </c>
      <c r="O1497" t="s">
        <v>64</v>
      </c>
      <c r="P1497" t="str">
        <f t="shared" si="161"/>
        <v>Individual</v>
      </c>
      <c r="Q1497" t="str">
        <f t="shared" si="162"/>
        <v>South</v>
      </c>
      <c r="R1497" t="str">
        <f>PROPER(TRIM(E1497))</f>
        <v>Home &amp; Kitchen</v>
      </c>
      <c r="S1497" s="27">
        <f>IF(ISTEXT(B1497),DATEVALUE(B1497),B1497)</f>
        <v>45663</v>
      </c>
      <c r="T1497" s="27">
        <f>COUNTIF($A$2:$A$1986,A1497)</f>
        <v>1</v>
      </c>
      <c r="U1497" s="27" t="str">
        <f t="shared" si="163"/>
        <v>Blender</v>
      </c>
      <c r="V1497" s="27">
        <f t="shared" si="164"/>
        <v>57.725999999999999</v>
      </c>
      <c r="W1497" s="27">
        <f t="shared" si="165"/>
        <v>34.96</v>
      </c>
      <c r="X1497" s="27">
        <f>RawSalesTable3[[#This Row],[Revenue]]-RawSalesTable3[[#This Row],[Total_Cost]]</f>
        <v>22.765999999999998</v>
      </c>
      <c r="Y1497" s="28">
        <f>RawSalesTable3[[#This Row],[Profit]]/RawSalesTable3[[#This Row],[Revenue]]</f>
        <v>0.39438034854311749</v>
      </c>
      <c r="Z1497" s="27" t="str">
        <f>TEXT(RawSalesTable3[[#This Row],[Order_Date_Clean]],"MMM YYYY")</f>
        <v>Jan 2025</v>
      </c>
      <c r="AA1497" s="27"/>
      <c r="AB1497" s="27">
        <f t="shared" si="166"/>
        <v>0</v>
      </c>
      <c r="AC1497" s="27">
        <f t="shared" si="167"/>
        <v>0</v>
      </c>
    </row>
    <row r="1498" spans="1:29">
      <c r="A1498" t="s">
        <v>1607</v>
      </c>
      <c r="B1498" s="3">
        <v>45996</v>
      </c>
      <c r="C1498" t="s">
        <v>54</v>
      </c>
      <c r="D1498" t="s">
        <v>62</v>
      </c>
      <c r="E1498" t="s">
        <v>79</v>
      </c>
      <c r="F1498" t="s">
        <v>85</v>
      </c>
      <c r="G1498" s="6">
        <v>1</v>
      </c>
      <c r="H1498" s="4">
        <v>128.71</v>
      </c>
      <c r="I1498" s="4">
        <v>85.85</v>
      </c>
      <c r="J1498" s="5">
        <v>0.1</v>
      </c>
      <c r="K1498" s="6">
        <v>3</v>
      </c>
      <c r="L1498" s="6">
        <v>4</v>
      </c>
      <c r="M1498" t="s">
        <v>58</v>
      </c>
      <c r="N1498" t="s">
        <v>87</v>
      </c>
      <c r="O1498" t="s">
        <v>64</v>
      </c>
      <c r="P1498" t="str">
        <f t="shared" si="161"/>
        <v>Individual</v>
      </c>
      <c r="Q1498" t="str">
        <f t="shared" si="162"/>
        <v>North</v>
      </c>
      <c r="R1498" t="str">
        <f>PROPER(TRIM(E1498))</f>
        <v>Electronics</v>
      </c>
      <c r="S1498" s="27">
        <f>IF(ISTEXT(B1498),DATEVALUE(B1498),B1498)</f>
        <v>45996</v>
      </c>
      <c r="T1498" s="27">
        <f>COUNTIF($A$2:$A$1986,A1498)</f>
        <v>1</v>
      </c>
      <c r="U1498" s="27" t="str">
        <f t="shared" si="163"/>
        <v>SmartHome Hub</v>
      </c>
      <c r="V1498" s="27">
        <f t="shared" si="164"/>
        <v>115.83900000000001</v>
      </c>
      <c r="W1498" s="27">
        <f t="shared" si="165"/>
        <v>85.85</v>
      </c>
      <c r="X1498" s="27">
        <f>RawSalesTable3[[#This Row],[Revenue]]-RawSalesTable3[[#This Row],[Total_Cost]]</f>
        <v>29.989000000000019</v>
      </c>
      <c r="Y1498" s="28">
        <f>RawSalesTable3[[#This Row],[Profit]]/RawSalesTable3[[#This Row],[Revenue]]</f>
        <v>0.25888517684026979</v>
      </c>
      <c r="Z1498" s="27" t="str">
        <f>TEXT(RawSalesTable3[[#This Row],[Order_Date_Clean]],"MMM YYYY")</f>
        <v>Dec 2025</v>
      </c>
      <c r="AA1498" s="27"/>
      <c r="AB1498" s="27">
        <f t="shared" si="166"/>
        <v>0</v>
      </c>
      <c r="AC1498" s="27">
        <f t="shared" si="167"/>
        <v>0</v>
      </c>
    </row>
    <row r="1499" spans="1:29">
      <c r="A1499" t="s">
        <v>1608</v>
      </c>
      <c r="B1499" s="3">
        <v>45860</v>
      </c>
      <c r="C1499" t="s">
        <v>66</v>
      </c>
      <c r="D1499" t="s">
        <v>62</v>
      </c>
      <c r="E1499" t="s">
        <v>79</v>
      </c>
      <c r="F1499" t="s">
        <v>80</v>
      </c>
      <c r="G1499" s="6">
        <v>3</v>
      </c>
      <c r="H1499" s="4">
        <v>75.03</v>
      </c>
      <c r="I1499" s="4">
        <v>43.63</v>
      </c>
      <c r="J1499" s="5">
        <v>0.1</v>
      </c>
      <c r="K1499" s="6">
        <v>0</v>
      </c>
      <c r="L1499" s="6">
        <v>5</v>
      </c>
      <c r="M1499" t="s">
        <v>58</v>
      </c>
      <c r="N1499" t="s">
        <v>69</v>
      </c>
      <c r="O1499" t="s">
        <v>64</v>
      </c>
      <c r="P1499" t="str">
        <f t="shared" si="161"/>
        <v>Individual</v>
      </c>
      <c r="Q1499" t="str">
        <f t="shared" si="162"/>
        <v>South</v>
      </c>
      <c r="R1499" t="str">
        <f>PROPER(TRIM(E1499))</f>
        <v>Electronics</v>
      </c>
      <c r="S1499" s="27">
        <f>IF(ISTEXT(B1499),DATEVALUE(B1499),B1499)</f>
        <v>45860</v>
      </c>
      <c r="T1499" s="27">
        <f>COUNTIF($A$2:$A$1986,A1499)</f>
        <v>1</v>
      </c>
      <c r="U1499" s="27" t="str">
        <f t="shared" si="163"/>
        <v>Portable Speaker</v>
      </c>
      <c r="V1499" s="27">
        <f t="shared" si="164"/>
        <v>202.58100000000002</v>
      </c>
      <c r="W1499" s="27">
        <f t="shared" si="165"/>
        <v>130.89000000000001</v>
      </c>
      <c r="X1499" s="27">
        <f>RawSalesTable3[[#This Row],[Revenue]]-RawSalesTable3[[#This Row],[Total_Cost]]</f>
        <v>71.691000000000003</v>
      </c>
      <c r="Y1499" s="28">
        <f>RawSalesTable3[[#This Row],[Profit]]/RawSalesTable3[[#This Row],[Revenue]]</f>
        <v>0.35388807439986969</v>
      </c>
      <c r="Z1499" s="27" t="str">
        <f>TEXT(RawSalesTable3[[#This Row],[Order_Date_Clean]],"MMM YYYY")</f>
        <v>Jul 2025</v>
      </c>
      <c r="AA1499" s="27"/>
      <c r="AB1499" s="27">
        <f t="shared" si="166"/>
        <v>0</v>
      </c>
      <c r="AC1499" s="27">
        <f t="shared" si="167"/>
        <v>0</v>
      </c>
    </row>
    <row r="1500" spans="1:29">
      <c r="A1500" t="s">
        <v>1609</v>
      </c>
      <c r="B1500" s="3">
        <v>45723</v>
      </c>
      <c r="C1500" t="s">
        <v>66</v>
      </c>
      <c r="D1500" t="s">
        <v>55</v>
      </c>
      <c r="E1500" t="s">
        <v>79</v>
      </c>
      <c r="F1500" t="s">
        <v>85</v>
      </c>
      <c r="G1500" s="6">
        <v>3</v>
      </c>
      <c r="H1500" s="4">
        <v>133.11000000000001</v>
      </c>
      <c r="I1500" s="4">
        <v>87.33</v>
      </c>
      <c r="J1500" s="5">
        <v>0</v>
      </c>
      <c r="K1500" s="6">
        <v>4</v>
      </c>
      <c r="L1500" s="6">
        <v>4</v>
      </c>
      <c r="M1500" t="s">
        <v>58</v>
      </c>
      <c r="N1500" t="s">
        <v>59</v>
      </c>
      <c r="O1500" t="s">
        <v>64</v>
      </c>
      <c r="P1500" t="str">
        <f t="shared" si="161"/>
        <v>Small Business</v>
      </c>
      <c r="Q1500" t="str">
        <f t="shared" si="162"/>
        <v>South</v>
      </c>
      <c r="R1500" t="str">
        <f>PROPER(TRIM(E1500))</f>
        <v>Electronics</v>
      </c>
      <c r="S1500" s="27">
        <f>IF(ISTEXT(B1500),DATEVALUE(B1500),B1500)</f>
        <v>45723</v>
      </c>
      <c r="T1500" s="27">
        <f>COUNTIF($A$2:$A$1986,A1500)</f>
        <v>1</v>
      </c>
      <c r="U1500" s="27" t="str">
        <f t="shared" si="163"/>
        <v>SmartHome Hub</v>
      </c>
      <c r="V1500" s="27">
        <f t="shared" si="164"/>
        <v>399.33000000000004</v>
      </c>
      <c r="W1500" s="27">
        <f t="shared" si="165"/>
        <v>261.99</v>
      </c>
      <c r="X1500" s="27">
        <f>RawSalesTable3[[#This Row],[Revenue]]-RawSalesTable3[[#This Row],[Total_Cost]]</f>
        <v>137.34000000000003</v>
      </c>
      <c r="Y1500" s="28">
        <f>RawSalesTable3[[#This Row],[Profit]]/RawSalesTable3[[#This Row],[Revenue]]</f>
        <v>0.34392607617759752</v>
      </c>
      <c r="Z1500" s="27" t="str">
        <f>TEXT(RawSalesTable3[[#This Row],[Order_Date_Clean]],"MMM YYYY")</f>
        <v>Mar 2025</v>
      </c>
      <c r="AA1500" s="27"/>
      <c r="AB1500" s="27">
        <f t="shared" si="166"/>
        <v>0</v>
      </c>
      <c r="AC1500" s="27">
        <f t="shared" si="167"/>
        <v>0</v>
      </c>
    </row>
    <row r="1501" spans="1:29">
      <c r="A1501" t="s">
        <v>1610</v>
      </c>
      <c r="B1501" s="3">
        <v>45891</v>
      </c>
      <c r="C1501" t="s">
        <v>78</v>
      </c>
      <c r="D1501" t="s">
        <v>55</v>
      </c>
      <c r="E1501" t="s">
        <v>56</v>
      </c>
      <c r="F1501" t="s">
        <v>89</v>
      </c>
      <c r="G1501" s="6">
        <v>1</v>
      </c>
      <c r="H1501" s="4">
        <v>80.86</v>
      </c>
      <c r="I1501" s="4">
        <v>46.36</v>
      </c>
      <c r="J1501" s="5">
        <v>0.05</v>
      </c>
      <c r="K1501" s="6">
        <v>0</v>
      </c>
      <c r="L1501" s="6">
        <v>4</v>
      </c>
      <c r="M1501" t="s">
        <v>58</v>
      </c>
      <c r="N1501" t="s">
        <v>69</v>
      </c>
      <c r="O1501" t="s">
        <v>64</v>
      </c>
      <c r="P1501" t="str">
        <f t="shared" si="161"/>
        <v>Small Business</v>
      </c>
      <c r="Q1501" t="str">
        <f t="shared" si="162"/>
        <v>London</v>
      </c>
      <c r="R1501" t="str">
        <f>PROPER(TRIM(E1501))</f>
        <v>Home &amp; Kitchen</v>
      </c>
      <c r="S1501" s="27">
        <f>IF(ISTEXT(B1501),DATEVALUE(B1501),B1501)</f>
        <v>45891</v>
      </c>
      <c r="T1501" s="27">
        <f>COUNTIF($A$2:$A$1986,A1501)</f>
        <v>1</v>
      </c>
      <c r="U1501" s="27" t="str">
        <f t="shared" si="163"/>
        <v>Coffee Maker</v>
      </c>
      <c r="V1501" s="27">
        <f t="shared" si="164"/>
        <v>76.816999999999993</v>
      </c>
      <c r="W1501" s="27">
        <f t="shared" si="165"/>
        <v>46.36</v>
      </c>
      <c r="X1501" s="27">
        <f>RawSalesTable3[[#This Row],[Revenue]]-RawSalesTable3[[#This Row],[Total_Cost]]</f>
        <v>30.456999999999994</v>
      </c>
      <c r="Y1501" s="28">
        <f>RawSalesTable3[[#This Row],[Profit]]/RawSalesTable3[[#This Row],[Revenue]]</f>
        <v>0.39648775661637392</v>
      </c>
      <c r="Z1501" s="27" t="str">
        <f>TEXT(RawSalesTable3[[#This Row],[Order_Date_Clean]],"MMM YYYY")</f>
        <v>Aug 2025</v>
      </c>
      <c r="AA1501" s="27"/>
      <c r="AB1501" s="27">
        <f t="shared" si="166"/>
        <v>0</v>
      </c>
      <c r="AC1501" s="27">
        <f t="shared" si="167"/>
        <v>0</v>
      </c>
    </row>
    <row r="1502" spans="1:29">
      <c r="A1502" t="s">
        <v>1611</v>
      </c>
      <c r="B1502" s="3">
        <v>46007</v>
      </c>
      <c r="C1502" t="s">
        <v>54</v>
      </c>
      <c r="D1502" t="s">
        <v>62</v>
      </c>
      <c r="E1502" t="s">
        <v>56</v>
      </c>
      <c r="F1502" t="s">
        <v>89</v>
      </c>
      <c r="G1502" s="6">
        <v>2</v>
      </c>
      <c r="H1502" s="4">
        <v>82.81</v>
      </c>
      <c r="I1502" s="4">
        <v>46.63</v>
      </c>
      <c r="J1502" s="5">
        <v>0.05</v>
      </c>
      <c r="K1502" s="6">
        <v>6</v>
      </c>
      <c r="L1502" s="6">
        <v>4</v>
      </c>
      <c r="M1502" t="s">
        <v>58</v>
      </c>
      <c r="N1502" t="s">
        <v>59</v>
      </c>
      <c r="O1502" t="s">
        <v>64</v>
      </c>
      <c r="P1502" t="str">
        <f t="shared" si="161"/>
        <v>Individual</v>
      </c>
      <c r="Q1502" t="str">
        <f t="shared" si="162"/>
        <v>North</v>
      </c>
      <c r="R1502" t="str">
        <f>PROPER(TRIM(E1502))</f>
        <v>Home &amp; Kitchen</v>
      </c>
      <c r="S1502" s="27">
        <f>IF(ISTEXT(B1502),DATEVALUE(B1502),B1502)</f>
        <v>46007</v>
      </c>
      <c r="T1502" s="27">
        <f>COUNTIF($A$2:$A$1986,A1502)</f>
        <v>1</v>
      </c>
      <c r="U1502" s="27" t="str">
        <f t="shared" si="163"/>
        <v>Coffee Maker</v>
      </c>
      <c r="V1502" s="27">
        <f t="shared" si="164"/>
        <v>157.339</v>
      </c>
      <c r="W1502" s="27">
        <f t="shared" si="165"/>
        <v>93.26</v>
      </c>
      <c r="X1502" s="27">
        <f>RawSalesTable3[[#This Row],[Revenue]]-RawSalesTable3[[#This Row],[Total_Cost]]</f>
        <v>64.078999999999994</v>
      </c>
      <c r="Y1502" s="28">
        <f>RawSalesTable3[[#This Row],[Profit]]/RawSalesTable3[[#This Row],[Revenue]]</f>
        <v>0.40726711114218339</v>
      </c>
      <c r="Z1502" s="27" t="str">
        <f>TEXT(RawSalesTable3[[#This Row],[Order_Date_Clean]],"MMM YYYY")</f>
        <v>Dec 2025</v>
      </c>
      <c r="AA1502" s="27"/>
      <c r="AB1502" s="27">
        <f t="shared" si="166"/>
        <v>0</v>
      </c>
      <c r="AC1502" s="27">
        <f t="shared" si="167"/>
        <v>0</v>
      </c>
    </row>
    <row r="1503" spans="1:29">
      <c r="A1503" t="s">
        <v>1612</v>
      </c>
      <c r="B1503" s="3">
        <v>45782</v>
      </c>
      <c r="C1503" t="s">
        <v>82</v>
      </c>
      <c r="D1503" t="s">
        <v>62</v>
      </c>
      <c r="E1503" t="s">
        <v>79</v>
      </c>
      <c r="F1503" t="s">
        <v>80</v>
      </c>
      <c r="G1503" s="6">
        <v>1</v>
      </c>
      <c r="H1503" s="4">
        <v>73.86</v>
      </c>
      <c r="I1503" s="4">
        <v>45.01</v>
      </c>
      <c r="J1503" s="5">
        <v>0</v>
      </c>
      <c r="K1503" s="6">
        <v>3</v>
      </c>
      <c r="L1503" s="6">
        <v>5</v>
      </c>
      <c r="M1503" t="s">
        <v>58</v>
      </c>
      <c r="N1503" t="s">
        <v>59</v>
      </c>
      <c r="O1503" t="s">
        <v>60</v>
      </c>
      <c r="P1503" t="str">
        <f t="shared" si="161"/>
        <v>Individual</v>
      </c>
      <c r="Q1503" t="str">
        <f t="shared" si="162"/>
        <v>Midlands</v>
      </c>
      <c r="R1503" t="str">
        <f>PROPER(TRIM(E1503))</f>
        <v>Electronics</v>
      </c>
      <c r="S1503" s="27">
        <f>IF(ISTEXT(B1503),DATEVALUE(B1503),B1503)</f>
        <v>45782</v>
      </c>
      <c r="T1503" s="27">
        <f>COUNTIF($A$2:$A$1986,A1503)</f>
        <v>1</v>
      </c>
      <c r="U1503" s="27" t="str">
        <f t="shared" si="163"/>
        <v>Portable Speaker</v>
      </c>
      <c r="V1503" s="27">
        <f t="shared" si="164"/>
        <v>73.86</v>
      </c>
      <c r="W1503" s="27">
        <f t="shared" si="165"/>
        <v>45.01</v>
      </c>
      <c r="X1503" s="27">
        <f>RawSalesTable3[[#This Row],[Revenue]]-RawSalesTable3[[#This Row],[Total_Cost]]</f>
        <v>28.85</v>
      </c>
      <c r="Y1503" s="28">
        <f>RawSalesTable3[[#This Row],[Profit]]/RawSalesTable3[[#This Row],[Revenue]]</f>
        <v>0.39060384511237478</v>
      </c>
      <c r="Z1503" s="27" t="str">
        <f>TEXT(RawSalesTable3[[#This Row],[Order_Date_Clean]],"MMM YYYY")</f>
        <v>May 2025</v>
      </c>
      <c r="AA1503" s="27"/>
      <c r="AB1503" s="27">
        <f t="shared" si="166"/>
        <v>0</v>
      </c>
      <c r="AC1503" s="27">
        <f t="shared" si="167"/>
        <v>0</v>
      </c>
    </row>
    <row r="1504" spans="1:29">
      <c r="A1504" t="s">
        <v>1613</v>
      </c>
      <c r="B1504" s="3">
        <v>45994</v>
      </c>
      <c r="C1504" t="s">
        <v>54</v>
      </c>
      <c r="D1504" t="s">
        <v>62</v>
      </c>
      <c r="E1504" t="s">
        <v>79</v>
      </c>
      <c r="F1504" t="s">
        <v>115</v>
      </c>
      <c r="G1504" s="6">
        <v>1</v>
      </c>
      <c r="H1504" s="4">
        <v>59.78</v>
      </c>
      <c r="I1504" s="4">
        <v>33</v>
      </c>
      <c r="J1504" s="5">
        <v>0.1</v>
      </c>
      <c r="K1504" s="6">
        <v>2</v>
      </c>
      <c r="L1504" s="6">
        <v>4</v>
      </c>
      <c r="M1504" t="s">
        <v>58</v>
      </c>
      <c r="N1504" t="s">
        <v>59</v>
      </c>
      <c r="O1504" t="s">
        <v>73</v>
      </c>
      <c r="P1504" t="str">
        <f t="shared" si="161"/>
        <v>Individual</v>
      </c>
      <c r="Q1504" t="str">
        <f t="shared" si="162"/>
        <v>North</v>
      </c>
      <c r="R1504" t="str">
        <f>PROPER(TRIM(E1504))</f>
        <v>Electronics</v>
      </c>
      <c r="S1504" s="27">
        <f>IF(ISTEXT(B1504),DATEVALUE(B1504),B1504)</f>
        <v>45994</v>
      </c>
      <c r="T1504" s="27">
        <f>COUNTIF($A$2:$A$1986,A1504)</f>
        <v>1</v>
      </c>
      <c r="U1504" s="27" t="str">
        <f t="shared" si="163"/>
        <v>Wireless Headset</v>
      </c>
      <c r="V1504" s="27">
        <f t="shared" si="164"/>
        <v>53.802</v>
      </c>
      <c r="W1504" s="27">
        <f t="shared" si="165"/>
        <v>33</v>
      </c>
      <c r="X1504" s="27">
        <f>RawSalesTable3[[#This Row],[Revenue]]-RawSalesTable3[[#This Row],[Total_Cost]]</f>
        <v>20.802</v>
      </c>
      <c r="Y1504" s="28">
        <f>RawSalesTable3[[#This Row],[Profit]]/RawSalesTable3[[#This Row],[Revenue]]</f>
        <v>0.38663990186238428</v>
      </c>
      <c r="Z1504" s="27" t="str">
        <f>TEXT(RawSalesTable3[[#This Row],[Order_Date_Clean]],"MMM YYYY")</f>
        <v>Dec 2025</v>
      </c>
      <c r="AA1504" s="27"/>
      <c r="AB1504" s="27">
        <f t="shared" si="166"/>
        <v>0</v>
      </c>
      <c r="AC1504" s="27">
        <f t="shared" si="167"/>
        <v>0</v>
      </c>
    </row>
    <row r="1505" spans="1:29">
      <c r="A1505" t="s">
        <v>1614</v>
      </c>
      <c r="B1505" s="3">
        <v>45993</v>
      </c>
      <c r="C1505" t="s">
        <v>66</v>
      </c>
      <c r="D1505" t="s">
        <v>62</v>
      </c>
      <c r="E1505" t="s">
        <v>67</v>
      </c>
      <c r="F1505" t="s">
        <v>107</v>
      </c>
      <c r="G1505" s="6">
        <v>1</v>
      </c>
      <c r="H1505" s="4">
        <v>45.59</v>
      </c>
      <c r="I1505" s="4">
        <v>21.71</v>
      </c>
      <c r="J1505" s="5">
        <v>0</v>
      </c>
      <c r="K1505" s="6">
        <v>3</v>
      </c>
      <c r="L1505" s="6">
        <v>5</v>
      </c>
      <c r="M1505" t="s">
        <v>58</v>
      </c>
      <c r="N1505" t="s">
        <v>59</v>
      </c>
      <c r="O1505" t="s">
        <v>64</v>
      </c>
      <c r="P1505" t="str">
        <f t="shared" si="161"/>
        <v>Individual</v>
      </c>
      <c r="Q1505" t="str">
        <f t="shared" si="162"/>
        <v>South</v>
      </c>
      <c r="R1505" t="str">
        <f>PROPER(TRIM(E1505))</f>
        <v>Office</v>
      </c>
      <c r="S1505" s="27">
        <f>IF(ISTEXT(B1505),DATEVALUE(B1505),B1505)</f>
        <v>45993</v>
      </c>
      <c r="T1505" s="27">
        <f>COUNTIF($A$2:$A$1986,A1505)</f>
        <v>1</v>
      </c>
      <c r="U1505" s="27" t="str">
        <f t="shared" si="163"/>
        <v>Laptop Stand</v>
      </c>
      <c r="V1505" s="27">
        <f t="shared" si="164"/>
        <v>45.59</v>
      </c>
      <c r="W1505" s="27">
        <f t="shared" si="165"/>
        <v>21.71</v>
      </c>
      <c r="X1505" s="27">
        <f>RawSalesTable3[[#This Row],[Revenue]]-RawSalesTable3[[#This Row],[Total_Cost]]</f>
        <v>23.880000000000003</v>
      </c>
      <c r="Y1505" s="28">
        <f>RawSalesTable3[[#This Row],[Profit]]/RawSalesTable3[[#This Row],[Revenue]]</f>
        <v>0.52379907874533893</v>
      </c>
      <c r="Z1505" s="27" t="str">
        <f>TEXT(RawSalesTable3[[#This Row],[Order_Date_Clean]],"MMM YYYY")</f>
        <v>Dec 2025</v>
      </c>
      <c r="AA1505" s="27"/>
      <c r="AB1505" s="27">
        <f t="shared" si="166"/>
        <v>0</v>
      </c>
      <c r="AC1505" s="27">
        <f t="shared" si="167"/>
        <v>0</v>
      </c>
    </row>
    <row r="1506" spans="1:29">
      <c r="A1506" t="s">
        <v>1615</v>
      </c>
      <c r="B1506" s="3">
        <v>45904</v>
      </c>
      <c r="C1506" t="s">
        <v>54</v>
      </c>
      <c r="D1506" t="s">
        <v>55</v>
      </c>
      <c r="E1506" t="s">
        <v>56</v>
      </c>
      <c r="F1506" t="s">
        <v>57</v>
      </c>
      <c r="G1506" s="6">
        <v>4</v>
      </c>
      <c r="H1506" s="4">
        <v>113.49</v>
      </c>
      <c r="I1506" s="4">
        <v>66.09</v>
      </c>
      <c r="J1506" s="5">
        <v>0</v>
      </c>
      <c r="K1506" s="6">
        <v>0</v>
      </c>
      <c r="L1506" s="6">
        <v>4</v>
      </c>
      <c r="M1506" t="s">
        <v>58</v>
      </c>
      <c r="N1506" t="s">
        <v>69</v>
      </c>
      <c r="O1506" t="s">
        <v>64</v>
      </c>
      <c r="P1506" t="str">
        <f t="shared" si="161"/>
        <v>Small Business</v>
      </c>
      <c r="Q1506" t="str">
        <f t="shared" si="162"/>
        <v>North</v>
      </c>
      <c r="R1506" t="str">
        <f>PROPER(TRIM(E1506))</f>
        <v>Home &amp; Kitchen</v>
      </c>
      <c r="S1506" s="27">
        <f>IF(ISTEXT(B1506),DATEVALUE(B1506),B1506)</f>
        <v>45904</v>
      </c>
      <c r="T1506" s="27">
        <f>COUNTIF($A$2:$A$1986,A1506)</f>
        <v>1</v>
      </c>
      <c r="U1506" s="27" t="str">
        <f t="shared" si="163"/>
        <v>Air Fryer</v>
      </c>
      <c r="V1506" s="27">
        <f t="shared" si="164"/>
        <v>453.96</v>
      </c>
      <c r="W1506" s="27">
        <f t="shared" si="165"/>
        <v>264.36</v>
      </c>
      <c r="X1506" s="27">
        <f>RawSalesTable3[[#This Row],[Revenue]]-RawSalesTable3[[#This Row],[Total_Cost]]</f>
        <v>189.59999999999997</v>
      </c>
      <c r="Y1506" s="28">
        <f>RawSalesTable3[[#This Row],[Profit]]/RawSalesTable3[[#This Row],[Revenue]]</f>
        <v>0.41765794343113927</v>
      </c>
      <c r="Z1506" s="27" t="str">
        <f>TEXT(RawSalesTable3[[#This Row],[Order_Date_Clean]],"MMM YYYY")</f>
        <v>Sep 2025</v>
      </c>
      <c r="AA1506" s="27"/>
      <c r="AB1506" s="27">
        <f t="shared" si="166"/>
        <v>0</v>
      </c>
      <c r="AC1506" s="27">
        <f t="shared" si="167"/>
        <v>0</v>
      </c>
    </row>
    <row r="1507" spans="1:29">
      <c r="A1507" t="s">
        <v>1616</v>
      </c>
      <c r="B1507" s="3">
        <v>45967</v>
      </c>
      <c r="C1507" t="s">
        <v>66</v>
      </c>
      <c r="D1507" t="s">
        <v>129</v>
      </c>
      <c r="E1507" t="s">
        <v>75</v>
      </c>
      <c r="F1507" t="s">
        <v>76</v>
      </c>
      <c r="G1507" s="6">
        <v>5</v>
      </c>
      <c r="H1507" s="4">
        <v>124.76</v>
      </c>
      <c r="I1507" s="4">
        <v>74.650000000000006</v>
      </c>
      <c r="J1507" s="5">
        <v>0.1</v>
      </c>
      <c r="K1507" s="6">
        <v>9</v>
      </c>
      <c r="L1507" s="6">
        <v>3</v>
      </c>
      <c r="M1507" t="s">
        <v>58</v>
      </c>
      <c r="N1507" t="s">
        <v>87</v>
      </c>
      <c r="O1507" t="s">
        <v>73</v>
      </c>
      <c r="P1507" t="str">
        <f t="shared" si="161"/>
        <v>Corporate</v>
      </c>
      <c r="Q1507" t="str">
        <f t="shared" si="162"/>
        <v>South</v>
      </c>
      <c r="R1507" t="str">
        <f>PROPER(TRIM(E1507))</f>
        <v>Furniture</v>
      </c>
      <c r="S1507" s="27">
        <f>IF(ISTEXT(B1507),DATEVALUE(B1507),B1507)</f>
        <v>45967</v>
      </c>
      <c r="T1507" s="27">
        <f>COUNTIF($A$2:$A$1986,A1507)</f>
        <v>1</v>
      </c>
      <c r="U1507" s="27" t="str">
        <f t="shared" si="163"/>
        <v>Bookshelf</v>
      </c>
      <c r="V1507" s="27">
        <f t="shared" si="164"/>
        <v>561.42000000000007</v>
      </c>
      <c r="W1507" s="27">
        <f t="shared" si="165"/>
        <v>373.25</v>
      </c>
      <c r="X1507" s="27">
        <f>RawSalesTable3[[#This Row],[Revenue]]-RawSalesTable3[[#This Row],[Total_Cost]]</f>
        <v>188.17000000000007</v>
      </c>
      <c r="Y1507" s="28">
        <f>RawSalesTable3[[#This Row],[Profit]]/RawSalesTable3[[#This Row],[Revenue]]</f>
        <v>0.33516796694097117</v>
      </c>
      <c r="Z1507" s="27" t="str">
        <f>TEXT(RawSalesTable3[[#This Row],[Order_Date_Clean]],"MMM YYYY")</f>
        <v>Nov 2025</v>
      </c>
      <c r="AA1507" s="27"/>
      <c r="AB1507" s="27">
        <f t="shared" si="166"/>
        <v>0</v>
      </c>
      <c r="AC1507" s="27">
        <f t="shared" si="167"/>
        <v>0</v>
      </c>
    </row>
    <row r="1508" spans="1:29">
      <c r="A1508" t="s">
        <v>1617</v>
      </c>
      <c r="B1508" s="3">
        <v>45680</v>
      </c>
      <c r="C1508" t="s">
        <v>54</v>
      </c>
      <c r="D1508" t="s">
        <v>62</v>
      </c>
      <c r="E1508" t="s">
        <v>79</v>
      </c>
      <c r="F1508" t="s">
        <v>80</v>
      </c>
      <c r="G1508" s="6">
        <v>1</v>
      </c>
      <c r="H1508" s="4">
        <v>77.87</v>
      </c>
      <c r="I1508" s="4">
        <v>43.23</v>
      </c>
      <c r="J1508" s="5">
        <v>0.05</v>
      </c>
      <c r="K1508" s="6">
        <v>4</v>
      </c>
      <c r="L1508" s="6">
        <v>5</v>
      </c>
      <c r="M1508" t="s">
        <v>58</v>
      </c>
      <c r="N1508" t="s">
        <v>87</v>
      </c>
      <c r="O1508" t="s">
        <v>64</v>
      </c>
      <c r="P1508" t="str">
        <f t="shared" si="161"/>
        <v>Individual</v>
      </c>
      <c r="Q1508" t="str">
        <f t="shared" si="162"/>
        <v>North</v>
      </c>
      <c r="R1508" t="str">
        <f>PROPER(TRIM(E1508))</f>
        <v>Electronics</v>
      </c>
      <c r="S1508" s="27">
        <f>IF(ISTEXT(B1508),DATEVALUE(B1508),B1508)</f>
        <v>45680</v>
      </c>
      <c r="T1508" s="27">
        <f>COUNTIF($A$2:$A$1986,A1508)</f>
        <v>1</v>
      </c>
      <c r="U1508" s="27" t="str">
        <f t="shared" si="163"/>
        <v>Portable Speaker</v>
      </c>
      <c r="V1508" s="27">
        <f t="shared" si="164"/>
        <v>73.976500000000001</v>
      </c>
      <c r="W1508" s="27">
        <f t="shared" si="165"/>
        <v>43.23</v>
      </c>
      <c r="X1508" s="27">
        <f>RawSalesTable3[[#This Row],[Revenue]]-RawSalesTable3[[#This Row],[Total_Cost]]</f>
        <v>30.746500000000005</v>
      </c>
      <c r="Y1508" s="28">
        <f>RawSalesTable3[[#This Row],[Profit]]/RawSalesTable3[[#This Row],[Revenue]]</f>
        <v>0.41562523233729637</v>
      </c>
      <c r="Z1508" s="27" t="str">
        <f>TEXT(RawSalesTable3[[#This Row],[Order_Date_Clean]],"MMM YYYY")</f>
        <v>Jan 2025</v>
      </c>
      <c r="AA1508" s="27"/>
      <c r="AB1508" s="27">
        <f t="shared" si="166"/>
        <v>0</v>
      </c>
      <c r="AC1508" s="27">
        <f t="shared" si="167"/>
        <v>0</v>
      </c>
    </row>
    <row r="1509" spans="1:29">
      <c r="A1509" t="s">
        <v>1618</v>
      </c>
      <c r="B1509" s="3">
        <v>45965</v>
      </c>
      <c r="C1509" t="s">
        <v>66</v>
      </c>
      <c r="D1509" t="s">
        <v>62</v>
      </c>
      <c r="E1509" t="s">
        <v>56</v>
      </c>
      <c r="F1509" t="s">
        <v>57</v>
      </c>
      <c r="G1509" s="6">
        <v>1</v>
      </c>
      <c r="H1509" s="4">
        <v>112.44</v>
      </c>
      <c r="I1509" s="4">
        <v>68.52</v>
      </c>
      <c r="J1509" s="5">
        <v>0.15000000000000002</v>
      </c>
      <c r="K1509" s="6">
        <v>2</v>
      </c>
      <c r="L1509" s="6">
        <v>5</v>
      </c>
      <c r="M1509" t="s">
        <v>58</v>
      </c>
      <c r="N1509" t="s">
        <v>69</v>
      </c>
      <c r="O1509" t="s">
        <v>64</v>
      </c>
      <c r="P1509" t="str">
        <f t="shared" si="161"/>
        <v>Individual</v>
      </c>
      <c r="Q1509" t="str">
        <f t="shared" si="162"/>
        <v>South</v>
      </c>
      <c r="R1509" t="str">
        <f>PROPER(TRIM(E1509))</f>
        <v>Home &amp; Kitchen</v>
      </c>
      <c r="S1509" s="27">
        <f>IF(ISTEXT(B1509),DATEVALUE(B1509),B1509)</f>
        <v>45965</v>
      </c>
      <c r="T1509" s="27">
        <f>COUNTIF($A$2:$A$1986,A1509)</f>
        <v>1</v>
      </c>
      <c r="U1509" s="27" t="str">
        <f t="shared" si="163"/>
        <v>Air Fryer</v>
      </c>
      <c r="V1509" s="27">
        <f t="shared" si="164"/>
        <v>95.573999999999998</v>
      </c>
      <c r="W1509" s="27">
        <f t="shared" si="165"/>
        <v>68.52</v>
      </c>
      <c r="X1509" s="27">
        <f>RawSalesTable3[[#This Row],[Revenue]]-RawSalesTable3[[#This Row],[Total_Cost]]</f>
        <v>27.054000000000002</v>
      </c>
      <c r="Y1509" s="28">
        <f>RawSalesTable3[[#This Row],[Profit]]/RawSalesTable3[[#This Row],[Revenue]]</f>
        <v>0.28306861698788377</v>
      </c>
      <c r="Z1509" s="27" t="str">
        <f>TEXT(RawSalesTable3[[#This Row],[Order_Date_Clean]],"MMM YYYY")</f>
        <v>Nov 2025</v>
      </c>
      <c r="AA1509" s="27"/>
      <c r="AB1509" s="27">
        <f t="shared" si="166"/>
        <v>0</v>
      </c>
      <c r="AC1509" s="27">
        <f t="shared" si="167"/>
        <v>0</v>
      </c>
    </row>
    <row r="1510" spans="1:29">
      <c r="A1510" t="s">
        <v>1619</v>
      </c>
      <c r="B1510" s="3">
        <v>45751</v>
      </c>
      <c r="C1510" t="s">
        <v>78</v>
      </c>
      <c r="D1510" t="s">
        <v>62</v>
      </c>
      <c r="E1510" t="s">
        <v>75</v>
      </c>
      <c r="F1510" t="s">
        <v>146</v>
      </c>
      <c r="G1510" s="6">
        <v>1</v>
      </c>
      <c r="H1510" s="4">
        <v>181.86</v>
      </c>
      <c r="I1510" s="4">
        <v>119.93</v>
      </c>
      <c r="J1510" s="5">
        <v>0</v>
      </c>
      <c r="K1510" s="6">
        <v>7</v>
      </c>
      <c r="L1510" s="6">
        <v>4</v>
      </c>
      <c r="M1510" t="s">
        <v>58</v>
      </c>
      <c r="N1510" t="s">
        <v>59</v>
      </c>
      <c r="O1510" t="s">
        <v>64</v>
      </c>
      <c r="P1510" t="str">
        <f t="shared" si="161"/>
        <v>Individual</v>
      </c>
      <c r="Q1510" t="str">
        <f t="shared" si="162"/>
        <v>London</v>
      </c>
      <c r="R1510" t="str">
        <f>PROPER(TRIM(E1510))</f>
        <v>Furniture</v>
      </c>
      <c r="S1510" s="27">
        <f>IF(ISTEXT(B1510),DATEVALUE(B1510),B1510)</f>
        <v>45751</v>
      </c>
      <c r="T1510" s="27">
        <f>COUNTIF($A$2:$A$1986,A1510)</f>
        <v>1</v>
      </c>
      <c r="U1510" s="27" t="str">
        <f t="shared" si="163"/>
        <v>Office Chair</v>
      </c>
      <c r="V1510" s="27">
        <f t="shared" si="164"/>
        <v>181.86</v>
      </c>
      <c r="W1510" s="27">
        <f t="shared" si="165"/>
        <v>119.93</v>
      </c>
      <c r="X1510" s="27">
        <f>RawSalesTable3[[#This Row],[Revenue]]-RawSalesTable3[[#This Row],[Total_Cost]]</f>
        <v>61.930000000000007</v>
      </c>
      <c r="Y1510" s="28">
        <f>RawSalesTable3[[#This Row],[Profit]]/RawSalesTable3[[#This Row],[Revenue]]</f>
        <v>0.34053667656439018</v>
      </c>
      <c r="Z1510" s="27" t="str">
        <f>TEXT(RawSalesTable3[[#This Row],[Order_Date_Clean]],"MMM YYYY")</f>
        <v>Apr 2025</v>
      </c>
      <c r="AA1510" s="27"/>
      <c r="AB1510" s="27">
        <f t="shared" si="166"/>
        <v>0</v>
      </c>
      <c r="AC1510" s="27">
        <f t="shared" si="167"/>
        <v>0</v>
      </c>
    </row>
    <row r="1511" spans="1:29">
      <c r="A1511" t="s">
        <v>1620</v>
      </c>
      <c r="B1511" s="3">
        <v>45699</v>
      </c>
      <c r="C1511" t="s">
        <v>78</v>
      </c>
      <c r="D1511" t="s">
        <v>55</v>
      </c>
      <c r="E1511" t="s">
        <v>79</v>
      </c>
      <c r="F1511" t="s">
        <v>85</v>
      </c>
      <c r="G1511" s="6">
        <v>3</v>
      </c>
      <c r="H1511" s="4">
        <v>135.06</v>
      </c>
      <c r="I1511" s="4">
        <v>84.74</v>
      </c>
      <c r="J1511" s="5">
        <v>0</v>
      </c>
      <c r="K1511" s="6">
        <v>4</v>
      </c>
      <c r="L1511" s="6">
        <v>4</v>
      </c>
      <c r="M1511" t="s">
        <v>58</v>
      </c>
      <c r="N1511" t="s">
        <v>59</v>
      </c>
      <c r="O1511" t="s">
        <v>60</v>
      </c>
      <c r="P1511" t="str">
        <f t="shared" si="161"/>
        <v>Small Business</v>
      </c>
      <c r="Q1511" t="str">
        <f t="shared" si="162"/>
        <v>London</v>
      </c>
      <c r="R1511" t="str">
        <f>PROPER(TRIM(E1511))</f>
        <v>Electronics</v>
      </c>
      <c r="S1511" s="27">
        <f>IF(ISTEXT(B1511),DATEVALUE(B1511),B1511)</f>
        <v>45699</v>
      </c>
      <c r="T1511" s="27">
        <f>COUNTIF($A$2:$A$1986,A1511)</f>
        <v>1</v>
      </c>
      <c r="U1511" s="27" t="str">
        <f t="shared" si="163"/>
        <v>SmartHome Hub</v>
      </c>
      <c r="V1511" s="27">
        <f t="shared" si="164"/>
        <v>405.18</v>
      </c>
      <c r="W1511" s="27">
        <f t="shared" si="165"/>
        <v>254.21999999999997</v>
      </c>
      <c r="X1511" s="27">
        <f>RawSalesTable3[[#This Row],[Revenue]]-RawSalesTable3[[#This Row],[Total_Cost]]</f>
        <v>150.96000000000004</v>
      </c>
      <c r="Y1511" s="28">
        <f>RawSalesTable3[[#This Row],[Profit]]/RawSalesTable3[[#This Row],[Revenue]]</f>
        <v>0.37257515178439221</v>
      </c>
      <c r="Z1511" s="27" t="str">
        <f>TEXT(RawSalesTable3[[#This Row],[Order_Date_Clean]],"MMM YYYY")</f>
        <v>Feb 2025</v>
      </c>
      <c r="AA1511" s="27"/>
      <c r="AB1511" s="27">
        <f t="shared" si="166"/>
        <v>0</v>
      </c>
      <c r="AC1511" s="27">
        <f t="shared" si="167"/>
        <v>0</v>
      </c>
    </row>
    <row r="1512" spans="1:29">
      <c r="A1512" t="s">
        <v>1621</v>
      </c>
      <c r="B1512" s="3">
        <v>45691</v>
      </c>
      <c r="C1512" t="s">
        <v>54</v>
      </c>
      <c r="D1512" t="s">
        <v>62</v>
      </c>
      <c r="E1512" t="s">
        <v>56</v>
      </c>
      <c r="F1512" t="s">
        <v>57</v>
      </c>
      <c r="G1512" s="6">
        <v>1</v>
      </c>
      <c r="H1512" s="4">
        <v>112.42</v>
      </c>
      <c r="I1512" s="4">
        <v>68.28</v>
      </c>
      <c r="J1512" s="5">
        <v>0</v>
      </c>
      <c r="K1512" s="6">
        <v>5</v>
      </c>
      <c r="L1512" s="6">
        <v>5</v>
      </c>
      <c r="M1512" t="s">
        <v>58</v>
      </c>
      <c r="N1512" t="s">
        <v>59</v>
      </c>
      <c r="O1512" t="s">
        <v>73</v>
      </c>
      <c r="P1512" t="str">
        <f t="shared" si="161"/>
        <v>Individual</v>
      </c>
      <c r="Q1512" t="str">
        <f t="shared" si="162"/>
        <v>North</v>
      </c>
      <c r="R1512" t="str">
        <f>PROPER(TRIM(E1512))</f>
        <v>Home &amp; Kitchen</v>
      </c>
      <c r="S1512" s="27">
        <f>IF(ISTEXT(B1512),DATEVALUE(B1512),B1512)</f>
        <v>45691</v>
      </c>
      <c r="T1512" s="27">
        <f>COUNTIF($A$2:$A$1986,A1512)</f>
        <v>1</v>
      </c>
      <c r="U1512" s="27" t="str">
        <f t="shared" si="163"/>
        <v>Air Fryer</v>
      </c>
      <c r="V1512" s="27">
        <f t="shared" si="164"/>
        <v>112.42</v>
      </c>
      <c r="W1512" s="27">
        <f t="shared" si="165"/>
        <v>68.28</v>
      </c>
      <c r="X1512" s="27">
        <f>RawSalesTable3[[#This Row],[Revenue]]-RawSalesTable3[[#This Row],[Total_Cost]]</f>
        <v>44.14</v>
      </c>
      <c r="Y1512" s="28">
        <f>RawSalesTable3[[#This Row],[Profit]]/RawSalesTable3[[#This Row],[Revenue]]</f>
        <v>0.39263476249777618</v>
      </c>
      <c r="Z1512" s="27" t="str">
        <f>TEXT(RawSalesTable3[[#This Row],[Order_Date_Clean]],"MMM YYYY")</f>
        <v>Feb 2025</v>
      </c>
      <c r="AA1512" s="27"/>
      <c r="AB1512" s="27">
        <f t="shared" si="166"/>
        <v>0</v>
      </c>
      <c r="AC1512" s="27">
        <f t="shared" si="167"/>
        <v>0</v>
      </c>
    </row>
    <row r="1513" spans="1:29">
      <c r="A1513" t="s">
        <v>1622</v>
      </c>
      <c r="B1513" s="3">
        <v>45961</v>
      </c>
      <c r="C1513" t="s">
        <v>54</v>
      </c>
      <c r="D1513" t="s">
        <v>62</v>
      </c>
      <c r="E1513" t="s">
        <v>79</v>
      </c>
      <c r="F1513" t="s">
        <v>92</v>
      </c>
      <c r="G1513" s="6">
        <v>3</v>
      </c>
      <c r="H1513" s="4">
        <v>51.52</v>
      </c>
      <c r="I1513" s="4">
        <v>26.37</v>
      </c>
      <c r="J1513" s="5">
        <v>0.05</v>
      </c>
      <c r="K1513" s="6">
        <v>5</v>
      </c>
      <c r="L1513" s="6">
        <v>4</v>
      </c>
      <c r="M1513" t="s">
        <v>58</v>
      </c>
      <c r="N1513" t="s">
        <v>59</v>
      </c>
      <c r="O1513" t="s">
        <v>60</v>
      </c>
      <c r="P1513" t="str">
        <f t="shared" si="161"/>
        <v>Individual</v>
      </c>
      <c r="Q1513" t="str">
        <f t="shared" si="162"/>
        <v>North</v>
      </c>
      <c r="R1513" t="str">
        <f>PROPER(TRIM(E1513))</f>
        <v>Electronics</v>
      </c>
      <c r="S1513" s="27">
        <f>IF(ISTEXT(B1513),DATEVALUE(B1513),B1513)</f>
        <v>45961</v>
      </c>
      <c r="T1513" s="27">
        <f>COUNTIF($A$2:$A$1986,A1513)</f>
        <v>1</v>
      </c>
      <c r="U1513" s="27" t="str">
        <f t="shared" si="163"/>
        <v>Webcam</v>
      </c>
      <c r="V1513" s="27">
        <f t="shared" si="164"/>
        <v>146.83199999999999</v>
      </c>
      <c r="W1513" s="27">
        <f t="shared" si="165"/>
        <v>79.11</v>
      </c>
      <c r="X1513" s="27">
        <f>RawSalesTable3[[#This Row],[Revenue]]-RawSalesTable3[[#This Row],[Total_Cost]]</f>
        <v>67.721999999999994</v>
      </c>
      <c r="Y1513" s="28">
        <f>RawSalesTable3[[#This Row],[Profit]]/RawSalesTable3[[#This Row],[Revenue]]</f>
        <v>0.46122098725073551</v>
      </c>
      <c r="Z1513" s="27" t="str">
        <f>TEXT(RawSalesTable3[[#This Row],[Order_Date_Clean]],"MMM YYYY")</f>
        <v>Oct 2025</v>
      </c>
      <c r="AA1513" s="27"/>
      <c r="AB1513" s="27">
        <f t="shared" si="166"/>
        <v>0</v>
      </c>
      <c r="AC1513" s="27">
        <f t="shared" si="167"/>
        <v>0</v>
      </c>
    </row>
    <row r="1514" spans="1:29">
      <c r="A1514" t="s">
        <v>1623</v>
      </c>
      <c r="B1514" s="3">
        <v>46004</v>
      </c>
      <c r="C1514" t="s">
        <v>54</v>
      </c>
      <c r="D1514" t="s">
        <v>62</v>
      </c>
      <c r="E1514" t="s">
        <v>56</v>
      </c>
      <c r="F1514" t="s">
        <v>83</v>
      </c>
      <c r="G1514" s="6">
        <v>1</v>
      </c>
      <c r="H1514" s="4">
        <v>64.34</v>
      </c>
      <c r="I1514" s="4">
        <v>36.36</v>
      </c>
      <c r="J1514" s="5">
        <v>0.15000000000000002</v>
      </c>
      <c r="K1514" s="6">
        <v>0</v>
      </c>
      <c r="L1514" s="6">
        <v>5</v>
      </c>
      <c r="M1514" t="s">
        <v>58</v>
      </c>
      <c r="N1514" t="s">
        <v>69</v>
      </c>
      <c r="O1514" t="s">
        <v>64</v>
      </c>
      <c r="P1514" t="str">
        <f t="shared" si="161"/>
        <v>Individual</v>
      </c>
      <c r="Q1514" t="str">
        <f t="shared" si="162"/>
        <v>North</v>
      </c>
      <c r="R1514" t="str">
        <f>PROPER(TRIM(E1514))</f>
        <v>Home &amp; Kitchen</v>
      </c>
      <c r="S1514" s="27">
        <f>IF(ISTEXT(B1514),DATEVALUE(B1514),B1514)</f>
        <v>46004</v>
      </c>
      <c r="T1514" s="27">
        <f>COUNTIF($A$2:$A$1986,A1514)</f>
        <v>1</v>
      </c>
      <c r="U1514" s="27" t="str">
        <f t="shared" si="163"/>
        <v>Blender</v>
      </c>
      <c r="V1514" s="27">
        <f t="shared" si="164"/>
        <v>54.689</v>
      </c>
      <c r="W1514" s="27">
        <f t="shared" si="165"/>
        <v>36.36</v>
      </c>
      <c r="X1514" s="27">
        <f>RawSalesTable3[[#This Row],[Revenue]]-RawSalesTable3[[#This Row],[Total_Cost]]</f>
        <v>18.329000000000001</v>
      </c>
      <c r="Y1514" s="28">
        <f>RawSalesTable3[[#This Row],[Profit]]/RawSalesTable3[[#This Row],[Revenue]]</f>
        <v>0.33514966446634609</v>
      </c>
      <c r="Z1514" s="27" t="str">
        <f>TEXT(RawSalesTable3[[#This Row],[Order_Date_Clean]],"MMM YYYY")</f>
        <v>Dec 2025</v>
      </c>
      <c r="AA1514" s="27"/>
      <c r="AB1514" s="27">
        <f t="shared" si="166"/>
        <v>0</v>
      </c>
      <c r="AC1514" s="27">
        <f t="shared" si="167"/>
        <v>0</v>
      </c>
    </row>
    <row r="1515" spans="1:29">
      <c r="A1515" t="s">
        <v>1624</v>
      </c>
      <c r="B1515" s="3">
        <v>45974</v>
      </c>
      <c r="C1515" t="s">
        <v>66</v>
      </c>
      <c r="D1515" t="s">
        <v>62</v>
      </c>
      <c r="E1515" t="s">
        <v>67</v>
      </c>
      <c r="F1515" t="s">
        <v>68</v>
      </c>
      <c r="G1515" s="6">
        <v>1</v>
      </c>
      <c r="H1515" s="4">
        <v>40.56</v>
      </c>
      <c r="I1515" s="4">
        <v>19.940000000000001</v>
      </c>
      <c r="J1515" s="5">
        <v>0.15000000000000002</v>
      </c>
      <c r="K1515" s="6">
        <v>4</v>
      </c>
      <c r="L1515" s="6">
        <v>3</v>
      </c>
      <c r="M1515" t="s">
        <v>126</v>
      </c>
      <c r="N1515" t="s">
        <v>59</v>
      </c>
      <c r="O1515" t="s">
        <v>60</v>
      </c>
      <c r="P1515" t="str">
        <f t="shared" si="161"/>
        <v>Individual</v>
      </c>
      <c r="Q1515" t="str">
        <f t="shared" si="162"/>
        <v>South</v>
      </c>
      <c r="R1515" t="str">
        <f>PROPER(TRIM(E1515))</f>
        <v>Office</v>
      </c>
      <c r="S1515" s="27">
        <f>IF(ISTEXT(B1515),DATEVALUE(B1515),B1515)</f>
        <v>45974</v>
      </c>
      <c r="T1515" s="27">
        <f>COUNTIF($A$2:$A$1986,A1515)</f>
        <v>1</v>
      </c>
      <c r="U1515" s="27" t="str">
        <f t="shared" si="163"/>
        <v>Desk Lamp</v>
      </c>
      <c r="V1515" s="27">
        <f t="shared" si="164"/>
        <v>34.475999999999999</v>
      </c>
      <c r="W1515" s="27">
        <f t="shared" si="165"/>
        <v>19.940000000000001</v>
      </c>
      <c r="X1515" s="27">
        <f>RawSalesTable3[[#This Row],[Revenue]]-RawSalesTable3[[#This Row],[Total_Cost]]</f>
        <v>14.535999999999998</v>
      </c>
      <c r="Y1515" s="28">
        <f>RawSalesTable3[[#This Row],[Profit]]/RawSalesTable3[[#This Row],[Revenue]]</f>
        <v>0.42162663882120893</v>
      </c>
      <c r="Z1515" s="27" t="str">
        <f>TEXT(RawSalesTable3[[#This Row],[Order_Date_Clean]],"MMM YYYY")</f>
        <v>Nov 2025</v>
      </c>
      <c r="AA1515" s="27"/>
      <c r="AB1515" s="27">
        <f t="shared" si="166"/>
        <v>0</v>
      </c>
      <c r="AC1515" s="27">
        <f t="shared" si="167"/>
        <v>0</v>
      </c>
    </row>
    <row r="1516" spans="1:29">
      <c r="A1516" t="s">
        <v>1625</v>
      </c>
      <c r="B1516" s="3">
        <v>45901</v>
      </c>
      <c r="C1516" t="s">
        <v>54</v>
      </c>
      <c r="D1516" t="s">
        <v>62</v>
      </c>
      <c r="E1516" t="s">
        <v>79</v>
      </c>
      <c r="F1516" t="s">
        <v>85</v>
      </c>
      <c r="G1516" s="6">
        <v>2</v>
      </c>
      <c r="H1516" s="4">
        <v>126.35</v>
      </c>
      <c r="I1516" s="4">
        <v>82.84</v>
      </c>
      <c r="J1516" s="5">
        <v>0.1</v>
      </c>
      <c r="K1516" s="6">
        <v>4</v>
      </c>
      <c r="L1516" s="6">
        <v>4</v>
      </c>
      <c r="M1516" t="s">
        <v>58</v>
      </c>
      <c r="N1516" t="s">
        <v>69</v>
      </c>
      <c r="O1516" t="s">
        <v>64</v>
      </c>
      <c r="P1516" t="str">
        <f t="shared" si="161"/>
        <v>Individual</v>
      </c>
      <c r="Q1516" t="str">
        <f t="shared" si="162"/>
        <v>North</v>
      </c>
      <c r="R1516" t="str">
        <f>PROPER(TRIM(E1516))</f>
        <v>Electronics</v>
      </c>
      <c r="S1516" s="27">
        <f>IF(ISTEXT(B1516),DATEVALUE(B1516),B1516)</f>
        <v>45901</v>
      </c>
      <c r="T1516" s="27">
        <f>COUNTIF($A$2:$A$1986,A1516)</f>
        <v>1</v>
      </c>
      <c r="U1516" s="27" t="str">
        <f t="shared" si="163"/>
        <v>SmartHome Hub</v>
      </c>
      <c r="V1516" s="27">
        <f t="shared" si="164"/>
        <v>227.43</v>
      </c>
      <c r="W1516" s="27">
        <f t="shared" si="165"/>
        <v>165.68</v>
      </c>
      <c r="X1516" s="27">
        <f>RawSalesTable3[[#This Row],[Revenue]]-RawSalesTable3[[#This Row],[Total_Cost]]</f>
        <v>61.75</v>
      </c>
      <c r="Y1516" s="28">
        <f>RawSalesTable3[[#This Row],[Profit]]/RawSalesTable3[[#This Row],[Revenue]]</f>
        <v>0.27151211361737676</v>
      </c>
      <c r="Z1516" s="27" t="str">
        <f>TEXT(RawSalesTable3[[#This Row],[Order_Date_Clean]],"MMM YYYY")</f>
        <v>Sep 2025</v>
      </c>
      <c r="AA1516" s="27"/>
      <c r="AB1516" s="27">
        <f t="shared" si="166"/>
        <v>0</v>
      </c>
      <c r="AC1516" s="27">
        <f t="shared" si="167"/>
        <v>0</v>
      </c>
    </row>
    <row r="1517" spans="1:29">
      <c r="A1517" t="s">
        <v>1626</v>
      </c>
      <c r="B1517" s="3">
        <v>46011</v>
      </c>
      <c r="C1517" t="s">
        <v>78</v>
      </c>
      <c r="D1517" t="s">
        <v>55</v>
      </c>
      <c r="E1517" t="s">
        <v>67</v>
      </c>
      <c r="F1517" t="s">
        <v>68</v>
      </c>
      <c r="G1517" s="6">
        <v>4</v>
      </c>
      <c r="H1517" s="4">
        <v>40.4</v>
      </c>
      <c r="I1517" s="4">
        <v>18.899999999999999</v>
      </c>
      <c r="J1517" s="5">
        <v>0.2</v>
      </c>
      <c r="K1517" s="6">
        <v>0</v>
      </c>
      <c r="L1517" s="6">
        <v>4</v>
      </c>
      <c r="M1517" t="s">
        <v>58</v>
      </c>
      <c r="N1517" t="s">
        <v>69</v>
      </c>
      <c r="O1517" t="s">
        <v>64</v>
      </c>
      <c r="P1517" t="str">
        <f t="shared" si="161"/>
        <v>Small Business</v>
      </c>
      <c r="Q1517" t="str">
        <f t="shared" si="162"/>
        <v>London</v>
      </c>
      <c r="R1517" t="str">
        <f>PROPER(TRIM(E1517))</f>
        <v>Office</v>
      </c>
      <c r="S1517" s="27">
        <f>IF(ISTEXT(B1517),DATEVALUE(B1517),B1517)</f>
        <v>46011</v>
      </c>
      <c r="T1517" s="27">
        <f>COUNTIF($A$2:$A$1986,A1517)</f>
        <v>1</v>
      </c>
      <c r="U1517" s="27" t="str">
        <f t="shared" si="163"/>
        <v>Desk Lamp</v>
      </c>
      <c r="V1517" s="27">
        <f t="shared" si="164"/>
        <v>129.28</v>
      </c>
      <c r="W1517" s="27">
        <f t="shared" si="165"/>
        <v>75.599999999999994</v>
      </c>
      <c r="X1517" s="27">
        <f>RawSalesTable3[[#This Row],[Revenue]]-RawSalesTable3[[#This Row],[Total_Cost]]</f>
        <v>53.680000000000007</v>
      </c>
      <c r="Y1517" s="28">
        <f>RawSalesTable3[[#This Row],[Profit]]/RawSalesTable3[[#This Row],[Revenue]]</f>
        <v>0.41522277227722776</v>
      </c>
      <c r="Z1517" s="27" t="str">
        <f>TEXT(RawSalesTable3[[#This Row],[Order_Date_Clean]],"MMM YYYY")</f>
        <v>Dec 2025</v>
      </c>
      <c r="AA1517" s="27"/>
      <c r="AB1517" s="27">
        <f t="shared" si="166"/>
        <v>0</v>
      </c>
      <c r="AC1517" s="27">
        <f t="shared" si="167"/>
        <v>0</v>
      </c>
    </row>
    <row r="1518" spans="1:29">
      <c r="A1518" t="s">
        <v>1627</v>
      </c>
      <c r="B1518" s="3">
        <v>46010</v>
      </c>
      <c r="C1518" t="s">
        <v>66</v>
      </c>
      <c r="D1518" t="s">
        <v>129</v>
      </c>
      <c r="E1518" t="s">
        <v>79</v>
      </c>
      <c r="F1518" t="s">
        <v>115</v>
      </c>
      <c r="G1518" s="6">
        <v>4</v>
      </c>
      <c r="H1518" s="4">
        <v>58.92</v>
      </c>
      <c r="I1518" s="4">
        <v>34.28</v>
      </c>
      <c r="J1518" s="5">
        <v>0.15000000000000002</v>
      </c>
      <c r="K1518" s="6">
        <v>3</v>
      </c>
      <c r="L1518" s="6">
        <v>5</v>
      </c>
      <c r="M1518" t="s">
        <v>58</v>
      </c>
      <c r="N1518" t="s">
        <v>87</v>
      </c>
      <c r="O1518" t="s">
        <v>60</v>
      </c>
      <c r="P1518" t="str">
        <f t="shared" si="161"/>
        <v>Corporate</v>
      </c>
      <c r="Q1518" t="str">
        <f t="shared" si="162"/>
        <v>South</v>
      </c>
      <c r="R1518" t="str">
        <f>PROPER(TRIM(E1518))</f>
        <v>Electronics</v>
      </c>
      <c r="S1518" s="27">
        <f>IF(ISTEXT(B1518),DATEVALUE(B1518),B1518)</f>
        <v>46010</v>
      </c>
      <c r="T1518" s="27">
        <f>COUNTIF($A$2:$A$1986,A1518)</f>
        <v>1</v>
      </c>
      <c r="U1518" s="27" t="str">
        <f t="shared" si="163"/>
        <v>Wireless Headset</v>
      </c>
      <c r="V1518" s="27">
        <f t="shared" si="164"/>
        <v>200.328</v>
      </c>
      <c r="W1518" s="27">
        <f t="shared" si="165"/>
        <v>137.12</v>
      </c>
      <c r="X1518" s="27">
        <f>RawSalesTable3[[#This Row],[Revenue]]-RawSalesTable3[[#This Row],[Total_Cost]]</f>
        <v>63.207999999999998</v>
      </c>
      <c r="Y1518" s="28">
        <f>RawSalesTable3[[#This Row],[Profit]]/RawSalesTable3[[#This Row],[Revenue]]</f>
        <v>0.31552254302943172</v>
      </c>
      <c r="Z1518" s="27" t="str">
        <f>TEXT(RawSalesTable3[[#This Row],[Order_Date_Clean]],"MMM YYYY")</f>
        <v>Dec 2025</v>
      </c>
      <c r="AA1518" s="27"/>
      <c r="AB1518" s="27">
        <f t="shared" si="166"/>
        <v>0</v>
      </c>
      <c r="AC1518" s="27">
        <f t="shared" si="167"/>
        <v>0</v>
      </c>
    </row>
    <row r="1519" spans="1:29">
      <c r="A1519" t="s">
        <v>1628</v>
      </c>
      <c r="B1519" s="3">
        <v>45951</v>
      </c>
      <c r="C1519" t="s">
        <v>66</v>
      </c>
      <c r="D1519" t="s">
        <v>62</v>
      </c>
      <c r="E1519" t="s">
        <v>67</v>
      </c>
      <c r="F1519" t="s">
        <v>107</v>
      </c>
      <c r="G1519" s="6">
        <v>4</v>
      </c>
      <c r="H1519" s="4">
        <v>45.87</v>
      </c>
      <c r="I1519" s="4">
        <v>21.06</v>
      </c>
      <c r="J1519" s="5">
        <v>0.05</v>
      </c>
      <c r="K1519" s="6">
        <v>4</v>
      </c>
      <c r="L1519" s="6">
        <v>5</v>
      </c>
      <c r="M1519" t="s">
        <v>58</v>
      </c>
      <c r="N1519" t="s">
        <v>59</v>
      </c>
      <c r="O1519" t="s">
        <v>73</v>
      </c>
      <c r="P1519" t="str">
        <f t="shared" si="161"/>
        <v>Individual</v>
      </c>
      <c r="Q1519" t="str">
        <f t="shared" si="162"/>
        <v>South</v>
      </c>
      <c r="R1519" t="str">
        <f>PROPER(TRIM(E1519))</f>
        <v>Office</v>
      </c>
      <c r="S1519" s="27">
        <f>IF(ISTEXT(B1519),DATEVALUE(B1519),B1519)</f>
        <v>45951</v>
      </c>
      <c r="T1519" s="27">
        <f>COUNTIF($A$2:$A$1986,A1519)</f>
        <v>1</v>
      </c>
      <c r="U1519" s="27" t="str">
        <f t="shared" si="163"/>
        <v>Laptop Stand</v>
      </c>
      <c r="V1519" s="27">
        <f t="shared" si="164"/>
        <v>174.30599999999998</v>
      </c>
      <c r="W1519" s="27">
        <f t="shared" si="165"/>
        <v>84.24</v>
      </c>
      <c r="X1519" s="27">
        <f>RawSalesTable3[[#This Row],[Revenue]]-RawSalesTable3[[#This Row],[Total_Cost]]</f>
        <v>90.065999999999988</v>
      </c>
      <c r="Y1519" s="28">
        <f>RawSalesTable3[[#This Row],[Profit]]/RawSalesTable3[[#This Row],[Revenue]]</f>
        <v>0.5167119892602664</v>
      </c>
      <c r="Z1519" s="27" t="str">
        <f>TEXT(RawSalesTable3[[#This Row],[Order_Date_Clean]],"MMM YYYY")</f>
        <v>Oct 2025</v>
      </c>
      <c r="AA1519" s="27"/>
      <c r="AB1519" s="27">
        <f t="shared" si="166"/>
        <v>0</v>
      </c>
      <c r="AC1519" s="27">
        <f t="shared" si="167"/>
        <v>0</v>
      </c>
    </row>
    <row r="1520" spans="1:29">
      <c r="A1520" t="s">
        <v>1629</v>
      </c>
      <c r="B1520" s="3">
        <v>45990</v>
      </c>
      <c r="C1520" t="s">
        <v>78</v>
      </c>
      <c r="D1520" t="s">
        <v>62</v>
      </c>
      <c r="E1520" t="s">
        <v>79</v>
      </c>
      <c r="F1520" t="s">
        <v>85</v>
      </c>
      <c r="G1520" s="6">
        <v>1</v>
      </c>
      <c r="H1520" s="4">
        <v>128.78</v>
      </c>
      <c r="I1520" s="4">
        <v>87.17</v>
      </c>
      <c r="J1520" s="5">
        <v>0.15000000000000002</v>
      </c>
      <c r="K1520" s="6">
        <v>4</v>
      </c>
      <c r="L1520" s="6">
        <v>4</v>
      </c>
      <c r="M1520" t="s">
        <v>58</v>
      </c>
      <c r="N1520" t="s">
        <v>59</v>
      </c>
      <c r="O1520" t="s">
        <v>60</v>
      </c>
      <c r="P1520" t="str">
        <f t="shared" si="161"/>
        <v>Individual</v>
      </c>
      <c r="Q1520" t="str">
        <f t="shared" si="162"/>
        <v>London</v>
      </c>
      <c r="R1520" t="str">
        <f>PROPER(TRIM(E1520))</f>
        <v>Electronics</v>
      </c>
      <c r="S1520" s="27">
        <f>IF(ISTEXT(B1520),DATEVALUE(B1520),B1520)</f>
        <v>45990</v>
      </c>
      <c r="T1520" s="27">
        <f>COUNTIF($A$2:$A$1986,A1520)</f>
        <v>1</v>
      </c>
      <c r="U1520" s="27" t="str">
        <f t="shared" si="163"/>
        <v>SmartHome Hub</v>
      </c>
      <c r="V1520" s="27">
        <f t="shared" si="164"/>
        <v>109.46299999999999</v>
      </c>
      <c r="W1520" s="27">
        <f t="shared" si="165"/>
        <v>87.17</v>
      </c>
      <c r="X1520" s="27">
        <f>RawSalesTable3[[#This Row],[Revenue]]-RawSalesTable3[[#This Row],[Total_Cost]]</f>
        <v>22.292999999999992</v>
      </c>
      <c r="Y1520" s="28">
        <f>RawSalesTable3[[#This Row],[Profit]]/RawSalesTable3[[#This Row],[Revenue]]</f>
        <v>0.20365785699277375</v>
      </c>
      <c r="Z1520" s="27" t="str">
        <f>TEXT(RawSalesTable3[[#This Row],[Order_Date_Clean]],"MMM YYYY")</f>
        <v>Nov 2025</v>
      </c>
      <c r="AA1520" s="27"/>
      <c r="AB1520" s="27">
        <f t="shared" si="166"/>
        <v>0</v>
      </c>
      <c r="AC1520" s="27">
        <f t="shared" si="167"/>
        <v>0</v>
      </c>
    </row>
    <row r="1521" spans="1:29">
      <c r="A1521" t="s">
        <v>1630</v>
      </c>
      <c r="B1521" s="3">
        <v>45956</v>
      </c>
      <c r="C1521" t="s">
        <v>66</v>
      </c>
      <c r="D1521" t="s">
        <v>62</v>
      </c>
      <c r="E1521" t="s">
        <v>56</v>
      </c>
      <c r="F1521" t="s">
        <v>63</v>
      </c>
      <c r="G1521" s="6">
        <v>1</v>
      </c>
      <c r="H1521" s="4">
        <v>41.39</v>
      </c>
      <c r="I1521" s="4">
        <v>20.46</v>
      </c>
      <c r="J1521" s="5">
        <v>0.1</v>
      </c>
      <c r="K1521" s="6">
        <v>4</v>
      </c>
      <c r="L1521" s="6">
        <v>5</v>
      </c>
      <c r="M1521" t="s">
        <v>58</v>
      </c>
      <c r="N1521" t="s">
        <v>59</v>
      </c>
      <c r="O1521" t="s">
        <v>60</v>
      </c>
      <c r="P1521" t="str">
        <f t="shared" si="161"/>
        <v>Individual</v>
      </c>
      <c r="Q1521" t="str">
        <f t="shared" si="162"/>
        <v>South</v>
      </c>
      <c r="R1521" t="str">
        <f>PROPER(TRIM(E1521))</f>
        <v>Home &amp; Kitchen</v>
      </c>
      <c r="S1521" s="27">
        <f>IF(ISTEXT(B1521),DATEVALUE(B1521),B1521)</f>
        <v>45956</v>
      </c>
      <c r="T1521" s="27">
        <f>COUNTIF($A$2:$A$1986,A1521)</f>
        <v>1</v>
      </c>
      <c r="U1521" s="27" t="str">
        <f t="shared" si="163"/>
        <v>Electric Kettle</v>
      </c>
      <c r="V1521" s="27">
        <f t="shared" si="164"/>
        <v>37.251000000000005</v>
      </c>
      <c r="W1521" s="27">
        <f t="shared" si="165"/>
        <v>20.46</v>
      </c>
      <c r="X1521" s="27">
        <f>RawSalesTable3[[#This Row],[Revenue]]-RawSalesTable3[[#This Row],[Total_Cost]]</f>
        <v>16.791000000000004</v>
      </c>
      <c r="Y1521" s="28">
        <f>RawSalesTable3[[#This Row],[Profit]]/RawSalesTable3[[#This Row],[Revenue]]</f>
        <v>0.45075299991946527</v>
      </c>
      <c r="Z1521" s="27" t="str">
        <f>TEXT(RawSalesTable3[[#This Row],[Order_Date_Clean]],"MMM YYYY")</f>
        <v>Oct 2025</v>
      </c>
      <c r="AA1521" s="27"/>
      <c r="AB1521" s="27">
        <f t="shared" si="166"/>
        <v>0</v>
      </c>
      <c r="AC1521" s="27">
        <f t="shared" si="167"/>
        <v>0</v>
      </c>
    </row>
    <row r="1522" spans="1:29">
      <c r="A1522" t="s">
        <v>1631</v>
      </c>
      <c r="B1522" s="3">
        <v>45978</v>
      </c>
      <c r="C1522" t="s">
        <v>66</v>
      </c>
      <c r="D1522" t="s">
        <v>62</v>
      </c>
      <c r="E1522" t="s">
        <v>75</v>
      </c>
      <c r="F1522" t="s">
        <v>76</v>
      </c>
      <c r="G1522" s="6">
        <v>2</v>
      </c>
      <c r="H1522" s="4">
        <v>116.75</v>
      </c>
      <c r="I1522" s="4">
        <v>75.41</v>
      </c>
      <c r="J1522" s="5">
        <v>0.15000000000000002</v>
      </c>
      <c r="K1522" s="6">
        <v>8</v>
      </c>
      <c r="L1522" s="6">
        <v>3</v>
      </c>
      <c r="M1522" t="s">
        <v>58</v>
      </c>
      <c r="N1522" t="s">
        <v>59</v>
      </c>
      <c r="O1522" t="s">
        <v>60</v>
      </c>
      <c r="P1522" t="str">
        <f t="shared" si="161"/>
        <v>Individual</v>
      </c>
      <c r="Q1522" t="str">
        <f t="shared" si="162"/>
        <v>South</v>
      </c>
      <c r="R1522" t="str">
        <f>PROPER(TRIM(E1522))</f>
        <v>Furniture</v>
      </c>
      <c r="S1522" s="27">
        <f>IF(ISTEXT(B1522),DATEVALUE(B1522),B1522)</f>
        <v>45978</v>
      </c>
      <c r="T1522" s="27">
        <f>COUNTIF($A$2:$A$1986,A1522)</f>
        <v>1</v>
      </c>
      <c r="U1522" s="27" t="str">
        <f t="shared" si="163"/>
        <v>Bookshelf</v>
      </c>
      <c r="V1522" s="27">
        <f t="shared" si="164"/>
        <v>198.47499999999999</v>
      </c>
      <c r="W1522" s="27">
        <f t="shared" si="165"/>
        <v>150.82</v>
      </c>
      <c r="X1522" s="27">
        <f>RawSalesTable3[[#This Row],[Revenue]]-RawSalesTable3[[#This Row],[Total_Cost]]</f>
        <v>47.655000000000001</v>
      </c>
      <c r="Y1522" s="28">
        <f>RawSalesTable3[[#This Row],[Profit]]/RawSalesTable3[[#This Row],[Revenue]]</f>
        <v>0.24010580677667215</v>
      </c>
      <c r="Z1522" s="27" t="str">
        <f>TEXT(RawSalesTable3[[#This Row],[Order_Date_Clean]],"MMM YYYY")</f>
        <v>Nov 2025</v>
      </c>
      <c r="AA1522" s="27"/>
      <c r="AB1522" s="27">
        <f t="shared" si="166"/>
        <v>0</v>
      </c>
      <c r="AC1522" s="27">
        <f t="shared" si="167"/>
        <v>0</v>
      </c>
    </row>
    <row r="1523" spans="1:29">
      <c r="A1523" t="s">
        <v>1632</v>
      </c>
      <c r="B1523" s="3">
        <v>45749</v>
      </c>
      <c r="C1523" t="s">
        <v>54</v>
      </c>
      <c r="D1523" t="s">
        <v>62</v>
      </c>
      <c r="E1523" t="s">
        <v>67</v>
      </c>
      <c r="F1523" t="s">
        <v>71</v>
      </c>
      <c r="G1523" s="6">
        <v>1</v>
      </c>
      <c r="H1523" s="4">
        <v>71.489999999999995</v>
      </c>
      <c r="I1523" s="4">
        <v>39.630000000000003</v>
      </c>
      <c r="J1523" s="5">
        <v>0.05</v>
      </c>
      <c r="K1523" s="6">
        <v>1</v>
      </c>
      <c r="L1523" s="6">
        <v>4</v>
      </c>
      <c r="M1523" t="s">
        <v>58</v>
      </c>
      <c r="N1523" t="s">
        <v>69</v>
      </c>
      <c r="O1523" t="s">
        <v>64</v>
      </c>
      <c r="P1523" t="str">
        <f t="shared" si="161"/>
        <v>Individual</v>
      </c>
      <c r="Q1523" t="str">
        <f t="shared" si="162"/>
        <v>North</v>
      </c>
      <c r="R1523" t="str">
        <f>PROPER(TRIM(E1523))</f>
        <v>Office</v>
      </c>
      <c r="S1523" s="27">
        <f>IF(ISTEXT(B1523),DATEVALUE(B1523),B1523)</f>
        <v>45749</v>
      </c>
      <c r="T1523" s="27">
        <f>COUNTIF($A$2:$A$1986,A1523)</f>
        <v>1</v>
      </c>
      <c r="U1523" s="27" t="str">
        <f t="shared" si="163"/>
        <v>Ergonomic Keyboard</v>
      </c>
      <c r="V1523" s="27">
        <f t="shared" si="164"/>
        <v>67.915499999999994</v>
      </c>
      <c r="W1523" s="27">
        <f t="shared" si="165"/>
        <v>39.630000000000003</v>
      </c>
      <c r="X1523" s="27">
        <f>RawSalesTable3[[#This Row],[Revenue]]-RawSalesTable3[[#This Row],[Total_Cost]]</f>
        <v>28.285499999999992</v>
      </c>
      <c r="Y1523" s="28">
        <f>RawSalesTable3[[#This Row],[Profit]]/RawSalesTable3[[#This Row],[Revenue]]</f>
        <v>0.41648077390286448</v>
      </c>
      <c r="Z1523" s="27" t="str">
        <f>TEXT(RawSalesTable3[[#This Row],[Order_Date_Clean]],"MMM YYYY")</f>
        <v>Apr 2025</v>
      </c>
      <c r="AA1523" s="27"/>
      <c r="AB1523" s="27">
        <f t="shared" si="166"/>
        <v>0</v>
      </c>
      <c r="AC1523" s="27">
        <f t="shared" si="167"/>
        <v>0</v>
      </c>
    </row>
    <row r="1524" spans="1:29">
      <c r="A1524" t="s">
        <v>1633</v>
      </c>
      <c r="B1524" s="3">
        <v>45761</v>
      </c>
      <c r="C1524" t="s">
        <v>82</v>
      </c>
      <c r="D1524" t="s">
        <v>62</v>
      </c>
      <c r="E1524" t="s">
        <v>67</v>
      </c>
      <c r="F1524" t="s">
        <v>71</v>
      </c>
      <c r="G1524" s="6">
        <v>1</v>
      </c>
      <c r="H1524" s="4">
        <v>69.069999999999993</v>
      </c>
      <c r="I1524" s="4">
        <v>39.22</v>
      </c>
      <c r="J1524" s="5">
        <v>0.05</v>
      </c>
      <c r="K1524" s="6">
        <v>4</v>
      </c>
      <c r="L1524" s="6">
        <v>4</v>
      </c>
      <c r="M1524" t="s">
        <v>58</v>
      </c>
      <c r="N1524" t="s">
        <v>87</v>
      </c>
      <c r="O1524" t="s">
        <v>64</v>
      </c>
      <c r="P1524" t="str">
        <f t="shared" si="161"/>
        <v>Individual</v>
      </c>
      <c r="Q1524" t="str">
        <f t="shared" si="162"/>
        <v>Midlands</v>
      </c>
      <c r="R1524" t="str">
        <f>PROPER(TRIM(E1524))</f>
        <v>Office</v>
      </c>
      <c r="S1524" s="27">
        <f>IF(ISTEXT(B1524),DATEVALUE(B1524),B1524)</f>
        <v>45761</v>
      </c>
      <c r="T1524" s="27">
        <f>COUNTIF($A$2:$A$1986,A1524)</f>
        <v>1</v>
      </c>
      <c r="U1524" s="27" t="str">
        <f t="shared" si="163"/>
        <v>Ergonomic Keyboard</v>
      </c>
      <c r="V1524" s="27">
        <f t="shared" si="164"/>
        <v>65.616499999999988</v>
      </c>
      <c r="W1524" s="27">
        <f t="shared" si="165"/>
        <v>39.22</v>
      </c>
      <c r="X1524" s="27">
        <f>RawSalesTable3[[#This Row],[Revenue]]-RawSalesTable3[[#This Row],[Total_Cost]]</f>
        <v>26.396499999999989</v>
      </c>
      <c r="Y1524" s="28">
        <f>RawSalesTable3[[#This Row],[Profit]]/RawSalesTable3[[#This Row],[Revenue]]</f>
        <v>0.40228448637156805</v>
      </c>
      <c r="Z1524" s="27" t="str">
        <f>TEXT(RawSalesTable3[[#This Row],[Order_Date_Clean]],"MMM YYYY")</f>
        <v>Apr 2025</v>
      </c>
      <c r="AA1524" s="27"/>
      <c r="AB1524" s="27">
        <f t="shared" si="166"/>
        <v>0</v>
      </c>
      <c r="AC1524" s="27">
        <f t="shared" si="167"/>
        <v>0</v>
      </c>
    </row>
    <row r="1525" spans="1:29">
      <c r="A1525" t="s">
        <v>1634</v>
      </c>
      <c r="B1525" s="3">
        <v>45734</v>
      </c>
      <c r="C1525" t="s">
        <v>82</v>
      </c>
      <c r="D1525" t="s">
        <v>62</v>
      </c>
      <c r="E1525" t="s">
        <v>79</v>
      </c>
      <c r="F1525" t="s">
        <v>92</v>
      </c>
      <c r="G1525" s="6">
        <v>2</v>
      </c>
      <c r="H1525" s="4">
        <v>50.47</v>
      </c>
      <c r="I1525" s="4">
        <v>25.61</v>
      </c>
      <c r="J1525" s="5">
        <v>0.05</v>
      </c>
      <c r="K1525" s="6">
        <v>4</v>
      </c>
      <c r="L1525" s="6">
        <v>5</v>
      </c>
      <c r="M1525" t="s">
        <v>58</v>
      </c>
      <c r="N1525" t="s">
        <v>59</v>
      </c>
      <c r="O1525" t="s">
        <v>64</v>
      </c>
      <c r="P1525" t="str">
        <f t="shared" si="161"/>
        <v>Individual</v>
      </c>
      <c r="Q1525" t="str">
        <f t="shared" si="162"/>
        <v>Midlands</v>
      </c>
      <c r="R1525" t="str">
        <f>PROPER(TRIM(E1525))</f>
        <v>Electronics</v>
      </c>
      <c r="S1525" s="27">
        <f>IF(ISTEXT(B1525),DATEVALUE(B1525),B1525)</f>
        <v>45734</v>
      </c>
      <c r="T1525" s="27">
        <f>COUNTIF($A$2:$A$1986,A1525)</f>
        <v>1</v>
      </c>
      <c r="U1525" s="27" t="str">
        <f t="shared" si="163"/>
        <v>Webcam</v>
      </c>
      <c r="V1525" s="27">
        <f t="shared" si="164"/>
        <v>95.892999999999986</v>
      </c>
      <c r="W1525" s="27">
        <f t="shared" si="165"/>
        <v>51.22</v>
      </c>
      <c r="X1525" s="27">
        <f>RawSalesTable3[[#This Row],[Revenue]]-RawSalesTable3[[#This Row],[Total_Cost]]</f>
        <v>44.672999999999988</v>
      </c>
      <c r="Y1525" s="28">
        <f>RawSalesTable3[[#This Row],[Profit]]/RawSalesTable3[[#This Row],[Revenue]]</f>
        <v>0.46586299312775692</v>
      </c>
      <c r="Z1525" s="27" t="str">
        <f>TEXT(RawSalesTable3[[#This Row],[Order_Date_Clean]],"MMM YYYY")</f>
        <v>Mar 2025</v>
      </c>
      <c r="AA1525" s="27"/>
      <c r="AB1525" s="27">
        <f t="shared" si="166"/>
        <v>0</v>
      </c>
      <c r="AC1525" s="27">
        <f t="shared" si="167"/>
        <v>0</v>
      </c>
    </row>
    <row r="1526" spans="1:29">
      <c r="A1526" t="s">
        <v>1635</v>
      </c>
      <c r="B1526" s="3">
        <v>45909</v>
      </c>
      <c r="C1526" t="s">
        <v>78</v>
      </c>
      <c r="D1526" t="s">
        <v>62</v>
      </c>
      <c r="E1526" t="s">
        <v>75</v>
      </c>
      <c r="F1526" t="s">
        <v>110</v>
      </c>
      <c r="G1526" s="6">
        <v>2</v>
      </c>
      <c r="H1526" s="4">
        <v>155.46</v>
      </c>
      <c r="I1526" s="4">
        <v>104.87</v>
      </c>
      <c r="J1526" s="5">
        <v>0</v>
      </c>
      <c r="K1526" s="6">
        <v>7</v>
      </c>
      <c r="L1526" s="6">
        <v>4</v>
      </c>
      <c r="M1526" t="s">
        <v>58</v>
      </c>
      <c r="N1526" t="s">
        <v>59</v>
      </c>
      <c r="O1526" t="s">
        <v>64</v>
      </c>
      <c r="P1526" t="str">
        <f t="shared" si="161"/>
        <v>Individual</v>
      </c>
      <c r="Q1526" t="str">
        <f t="shared" si="162"/>
        <v>London</v>
      </c>
      <c r="R1526" t="str">
        <f>PROPER(TRIM(E1526))</f>
        <v>Furniture</v>
      </c>
      <c r="S1526" s="27">
        <f>IF(ISTEXT(B1526),DATEVALUE(B1526),B1526)</f>
        <v>45909</v>
      </c>
      <c r="T1526" s="27">
        <f>COUNTIF($A$2:$A$1986,A1526)</f>
        <v>1</v>
      </c>
      <c r="U1526" s="27" t="str">
        <f t="shared" si="163"/>
        <v>Storage Cabinet</v>
      </c>
      <c r="V1526" s="27">
        <f t="shared" si="164"/>
        <v>310.92</v>
      </c>
      <c r="W1526" s="27">
        <f t="shared" si="165"/>
        <v>209.74</v>
      </c>
      <c r="X1526" s="27">
        <f>RawSalesTable3[[#This Row],[Revenue]]-RawSalesTable3[[#This Row],[Total_Cost]]</f>
        <v>101.18</v>
      </c>
      <c r="Y1526" s="28">
        <f>RawSalesTable3[[#This Row],[Profit]]/RawSalesTable3[[#This Row],[Revenue]]</f>
        <v>0.3254213302457224</v>
      </c>
      <c r="Z1526" s="27" t="str">
        <f>TEXT(RawSalesTable3[[#This Row],[Order_Date_Clean]],"MMM YYYY")</f>
        <v>Sep 2025</v>
      </c>
      <c r="AA1526" s="27"/>
      <c r="AB1526" s="27">
        <f t="shared" si="166"/>
        <v>0</v>
      </c>
      <c r="AC1526" s="27">
        <f t="shared" si="167"/>
        <v>0</v>
      </c>
    </row>
    <row r="1527" spans="1:29">
      <c r="A1527" t="s">
        <v>1636</v>
      </c>
      <c r="B1527" s="3">
        <v>45982</v>
      </c>
      <c r="C1527" t="s">
        <v>78</v>
      </c>
      <c r="D1527" t="s">
        <v>55</v>
      </c>
      <c r="E1527" t="s">
        <v>79</v>
      </c>
      <c r="F1527" t="s">
        <v>85</v>
      </c>
      <c r="G1527" s="6">
        <v>2</v>
      </c>
      <c r="H1527" s="4">
        <v>129.97</v>
      </c>
      <c r="I1527" s="4">
        <v>84.14</v>
      </c>
      <c r="J1527" s="5">
        <v>0.1</v>
      </c>
      <c r="K1527" s="6">
        <v>4</v>
      </c>
      <c r="L1527" s="6">
        <v>2</v>
      </c>
      <c r="M1527" t="s">
        <v>126</v>
      </c>
      <c r="N1527" t="s">
        <v>59</v>
      </c>
      <c r="O1527" t="s">
        <v>60</v>
      </c>
      <c r="P1527" t="str">
        <f t="shared" si="161"/>
        <v>Small Business</v>
      </c>
      <c r="Q1527" t="str">
        <f t="shared" si="162"/>
        <v>London</v>
      </c>
      <c r="R1527" t="str">
        <f>PROPER(TRIM(E1527))</f>
        <v>Electronics</v>
      </c>
      <c r="S1527" s="27">
        <f>IF(ISTEXT(B1527),DATEVALUE(B1527),B1527)</f>
        <v>45982</v>
      </c>
      <c r="T1527" s="27">
        <f>COUNTIF($A$2:$A$1986,A1527)</f>
        <v>1</v>
      </c>
      <c r="U1527" s="27" t="str">
        <f t="shared" si="163"/>
        <v>SmartHome Hub</v>
      </c>
      <c r="V1527" s="27">
        <f t="shared" si="164"/>
        <v>233.946</v>
      </c>
      <c r="W1527" s="27">
        <f t="shared" si="165"/>
        <v>168.28</v>
      </c>
      <c r="X1527" s="27">
        <f>RawSalesTable3[[#This Row],[Revenue]]-RawSalesTable3[[#This Row],[Total_Cost]]</f>
        <v>65.665999999999997</v>
      </c>
      <c r="Y1527" s="28">
        <f>RawSalesTable3[[#This Row],[Profit]]/RawSalesTable3[[#This Row],[Revenue]]</f>
        <v>0.28068870594068718</v>
      </c>
      <c r="Z1527" s="27" t="str">
        <f>TEXT(RawSalesTable3[[#This Row],[Order_Date_Clean]],"MMM YYYY")</f>
        <v>Nov 2025</v>
      </c>
      <c r="AA1527" s="27"/>
      <c r="AB1527" s="27">
        <f t="shared" si="166"/>
        <v>0</v>
      </c>
      <c r="AC1527" s="27">
        <f t="shared" si="167"/>
        <v>0</v>
      </c>
    </row>
    <row r="1528" spans="1:29">
      <c r="A1528" t="s">
        <v>1637</v>
      </c>
      <c r="B1528" s="3">
        <v>45693</v>
      </c>
      <c r="C1528" t="s">
        <v>78</v>
      </c>
      <c r="D1528" t="s">
        <v>55</v>
      </c>
      <c r="E1528" t="s">
        <v>56</v>
      </c>
      <c r="F1528" t="s">
        <v>89</v>
      </c>
      <c r="G1528" s="6">
        <v>1</v>
      </c>
      <c r="H1528" s="4">
        <v>80.680000000000007</v>
      </c>
      <c r="I1528" s="4">
        <v>46.24</v>
      </c>
      <c r="J1528" s="5">
        <v>0</v>
      </c>
      <c r="K1528" s="6">
        <v>7</v>
      </c>
      <c r="L1528" s="6">
        <v>4</v>
      </c>
      <c r="M1528" t="s">
        <v>58</v>
      </c>
      <c r="N1528" t="s">
        <v>87</v>
      </c>
      <c r="O1528" t="s">
        <v>60</v>
      </c>
      <c r="P1528" t="str">
        <f t="shared" si="161"/>
        <v>Small Business</v>
      </c>
      <c r="Q1528" t="str">
        <f t="shared" si="162"/>
        <v>London</v>
      </c>
      <c r="R1528" t="str">
        <f>PROPER(TRIM(E1528))</f>
        <v>Home &amp; Kitchen</v>
      </c>
      <c r="S1528" s="27">
        <f>IF(ISTEXT(B1528),DATEVALUE(B1528),B1528)</f>
        <v>45693</v>
      </c>
      <c r="T1528" s="27">
        <f>COUNTIF($A$2:$A$1986,A1528)</f>
        <v>1</v>
      </c>
      <c r="U1528" s="27" t="str">
        <f t="shared" si="163"/>
        <v>Coffee Maker</v>
      </c>
      <c r="V1528" s="27">
        <f t="shared" si="164"/>
        <v>80.680000000000007</v>
      </c>
      <c r="W1528" s="27">
        <f t="shared" si="165"/>
        <v>46.24</v>
      </c>
      <c r="X1528" s="27">
        <f>RawSalesTable3[[#This Row],[Revenue]]-RawSalesTable3[[#This Row],[Total_Cost]]</f>
        <v>34.440000000000005</v>
      </c>
      <c r="Y1528" s="28">
        <f>RawSalesTable3[[#This Row],[Profit]]/RawSalesTable3[[#This Row],[Revenue]]</f>
        <v>0.42687159147248394</v>
      </c>
      <c r="Z1528" s="27" t="str">
        <f>TEXT(RawSalesTable3[[#This Row],[Order_Date_Clean]],"MMM YYYY")</f>
        <v>Feb 2025</v>
      </c>
      <c r="AA1528" s="27"/>
      <c r="AB1528" s="27">
        <f t="shared" si="166"/>
        <v>0</v>
      </c>
      <c r="AC1528" s="27">
        <f t="shared" si="167"/>
        <v>0</v>
      </c>
    </row>
    <row r="1529" spans="1:29">
      <c r="A1529" t="s">
        <v>1638</v>
      </c>
      <c r="B1529" s="3">
        <v>45884</v>
      </c>
      <c r="C1529" t="s">
        <v>66</v>
      </c>
      <c r="D1529" t="s">
        <v>62</v>
      </c>
      <c r="E1529" t="s">
        <v>79</v>
      </c>
      <c r="F1529" t="s">
        <v>115</v>
      </c>
      <c r="G1529" s="6">
        <v>1</v>
      </c>
      <c r="H1529" s="4">
        <v>60.75</v>
      </c>
      <c r="I1529" s="4">
        <v>33.07</v>
      </c>
      <c r="J1529" s="5">
        <v>0.1</v>
      </c>
      <c r="K1529" s="6">
        <v>7</v>
      </c>
      <c r="L1529" s="6">
        <v>3</v>
      </c>
      <c r="M1529" t="s">
        <v>58</v>
      </c>
      <c r="N1529" t="s">
        <v>59</v>
      </c>
      <c r="O1529" t="s">
        <v>60</v>
      </c>
      <c r="P1529" t="str">
        <f t="shared" si="161"/>
        <v>Individual</v>
      </c>
      <c r="Q1529" t="str">
        <f t="shared" si="162"/>
        <v>South</v>
      </c>
      <c r="R1529" t="str">
        <f>PROPER(TRIM(E1529))</f>
        <v>Electronics</v>
      </c>
      <c r="S1529" s="27">
        <f>IF(ISTEXT(B1529),DATEVALUE(B1529),B1529)</f>
        <v>45884</v>
      </c>
      <c r="T1529" s="27">
        <f>COUNTIF($A$2:$A$1986,A1529)</f>
        <v>1</v>
      </c>
      <c r="U1529" s="27" t="str">
        <f t="shared" si="163"/>
        <v>Wireless Headset</v>
      </c>
      <c r="V1529" s="27">
        <f t="shared" si="164"/>
        <v>54.675000000000004</v>
      </c>
      <c r="W1529" s="27">
        <f t="shared" si="165"/>
        <v>33.07</v>
      </c>
      <c r="X1529" s="27">
        <f>RawSalesTable3[[#This Row],[Revenue]]-RawSalesTable3[[#This Row],[Total_Cost]]</f>
        <v>21.605000000000004</v>
      </c>
      <c r="Y1529" s="28">
        <f>RawSalesTable3[[#This Row],[Profit]]/RawSalesTable3[[#This Row],[Revenue]]</f>
        <v>0.39515317786922727</v>
      </c>
      <c r="Z1529" s="27" t="str">
        <f>TEXT(RawSalesTable3[[#This Row],[Order_Date_Clean]],"MMM YYYY")</f>
        <v>Aug 2025</v>
      </c>
      <c r="AA1529" s="27"/>
      <c r="AB1529" s="27">
        <f t="shared" si="166"/>
        <v>0</v>
      </c>
      <c r="AC1529" s="27">
        <f t="shared" si="167"/>
        <v>0</v>
      </c>
    </row>
    <row r="1530" spans="1:29">
      <c r="A1530" t="s">
        <v>1639</v>
      </c>
      <c r="B1530" s="3">
        <v>45699</v>
      </c>
      <c r="C1530" t="s">
        <v>66</v>
      </c>
      <c r="D1530" t="s">
        <v>62</v>
      </c>
      <c r="E1530" t="s">
        <v>56</v>
      </c>
      <c r="F1530" t="s">
        <v>83</v>
      </c>
      <c r="G1530" s="6">
        <v>4</v>
      </c>
      <c r="H1530" s="4">
        <v>63.24</v>
      </c>
      <c r="I1530" s="4">
        <v>35.03</v>
      </c>
      <c r="J1530" s="5">
        <v>0.1</v>
      </c>
      <c r="K1530" s="6">
        <v>4</v>
      </c>
      <c r="L1530" s="6">
        <v>4</v>
      </c>
      <c r="M1530" t="s">
        <v>58</v>
      </c>
      <c r="N1530" t="s">
        <v>59</v>
      </c>
      <c r="O1530" t="s">
        <v>60</v>
      </c>
      <c r="P1530" t="str">
        <f t="shared" si="161"/>
        <v>Individual</v>
      </c>
      <c r="Q1530" t="str">
        <f t="shared" si="162"/>
        <v>South</v>
      </c>
      <c r="R1530" t="str">
        <f>PROPER(TRIM(E1530))</f>
        <v>Home &amp; Kitchen</v>
      </c>
      <c r="S1530" s="27">
        <f>IF(ISTEXT(B1530),DATEVALUE(B1530),B1530)</f>
        <v>45699</v>
      </c>
      <c r="T1530" s="27">
        <f>COUNTIF($A$2:$A$1986,A1530)</f>
        <v>1</v>
      </c>
      <c r="U1530" s="27" t="str">
        <f t="shared" si="163"/>
        <v>Blender</v>
      </c>
      <c r="V1530" s="27">
        <f t="shared" si="164"/>
        <v>227.66400000000002</v>
      </c>
      <c r="W1530" s="27">
        <f t="shared" si="165"/>
        <v>140.12</v>
      </c>
      <c r="X1530" s="27">
        <f>RawSalesTable3[[#This Row],[Revenue]]-RawSalesTable3[[#This Row],[Total_Cost]]</f>
        <v>87.544000000000011</v>
      </c>
      <c r="Y1530" s="28">
        <f>RawSalesTable3[[#This Row],[Profit]]/RawSalesTable3[[#This Row],[Revenue]]</f>
        <v>0.38453159041394336</v>
      </c>
      <c r="Z1530" s="27" t="str">
        <f>TEXT(RawSalesTable3[[#This Row],[Order_Date_Clean]],"MMM YYYY")</f>
        <v>Feb 2025</v>
      </c>
      <c r="AA1530" s="27"/>
      <c r="AB1530" s="27">
        <f t="shared" si="166"/>
        <v>0</v>
      </c>
      <c r="AC1530" s="27">
        <f t="shared" si="167"/>
        <v>0</v>
      </c>
    </row>
    <row r="1531" spans="1:29">
      <c r="A1531" t="s">
        <v>1640</v>
      </c>
      <c r="B1531" s="3">
        <v>45887</v>
      </c>
      <c r="C1531" t="s">
        <v>78</v>
      </c>
      <c r="D1531" t="s">
        <v>62</v>
      </c>
      <c r="E1531" t="s">
        <v>67</v>
      </c>
      <c r="F1531" t="s">
        <v>107</v>
      </c>
      <c r="G1531" s="6">
        <v>1</v>
      </c>
      <c r="H1531" s="4">
        <v>44.13</v>
      </c>
      <c r="I1531" s="4">
        <v>21.38</v>
      </c>
      <c r="J1531" s="5">
        <v>0.05</v>
      </c>
      <c r="K1531" s="6">
        <v>0</v>
      </c>
      <c r="L1531" s="6">
        <v>5</v>
      </c>
      <c r="M1531" t="s">
        <v>58</v>
      </c>
      <c r="N1531" t="s">
        <v>69</v>
      </c>
      <c r="O1531" t="s">
        <v>73</v>
      </c>
      <c r="P1531" t="str">
        <f t="shared" si="161"/>
        <v>Individual</v>
      </c>
      <c r="Q1531" t="str">
        <f t="shared" si="162"/>
        <v>London</v>
      </c>
      <c r="R1531" t="str">
        <f>PROPER(TRIM(E1531))</f>
        <v>Office</v>
      </c>
      <c r="S1531" s="27">
        <f>IF(ISTEXT(B1531),DATEVALUE(B1531),B1531)</f>
        <v>45887</v>
      </c>
      <c r="T1531" s="27">
        <f>COUNTIF($A$2:$A$1986,A1531)</f>
        <v>1</v>
      </c>
      <c r="U1531" s="27" t="str">
        <f t="shared" si="163"/>
        <v>Laptop Stand</v>
      </c>
      <c r="V1531" s="27">
        <f t="shared" si="164"/>
        <v>41.923499999999997</v>
      </c>
      <c r="W1531" s="27">
        <f t="shared" si="165"/>
        <v>21.38</v>
      </c>
      <c r="X1531" s="27">
        <f>RawSalesTable3[[#This Row],[Revenue]]-RawSalesTable3[[#This Row],[Total_Cost]]</f>
        <v>20.543499999999998</v>
      </c>
      <c r="Y1531" s="28">
        <f>RawSalesTable3[[#This Row],[Profit]]/RawSalesTable3[[#This Row],[Revenue]]</f>
        <v>0.49002349517573673</v>
      </c>
      <c r="Z1531" s="27" t="str">
        <f>TEXT(RawSalesTable3[[#This Row],[Order_Date_Clean]],"MMM YYYY")</f>
        <v>Aug 2025</v>
      </c>
      <c r="AA1531" s="27"/>
      <c r="AB1531" s="27">
        <f t="shared" si="166"/>
        <v>0</v>
      </c>
      <c r="AC1531" s="27">
        <f t="shared" si="167"/>
        <v>0</v>
      </c>
    </row>
    <row r="1532" spans="1:29">
      <c r="A1532" t="s">
        <v>1641</v>
      </c>
      <c r="B1532" s="3">
        <v>46015</v>
      </c>
      <c r="C1532" t="s">
        <v>54</v>
      </c>
      <c r="D1532" t="s">
        <v>55</v>
      </c>
      <c r="E1532" t="s">
        <v>75</v>
      </c>
      <c r="F1532" t="s">
        <v>97</v>
      </c>
      <c r="G1532" s="6">
        <v>4</v>
      </c>
      <c r="H1532" s="4">
        <v>92.99</v>
      </c>
      <c r="I1532" s="4">
        <v>54.18</v>
      </c>
      <c r="J1532" s="5">
        <v>0.05</v>
      </c>
      <c r="K1532" s="6">
        <v>2</v>
      </c>
      <c r="L1532" s="6">
        <v>4</v>
      </c>
      <c r="M1532" t="s">
        <v>58</v>
      </c>
      <c r="N1532" t="s">
        <v>69</v>
      </c>
      <c r="O1532" t="s">
        <v>64</v>
      </c>
      <c r="P1532" t="str">
        <f t="shared" si="161"/>
        <v>Small Business</v>
      </c>
      <c r="Q1532" t="str">
        <f t="shared" si="162"/>
        <v>North</v>
      </c>
      <c r="R1532" t="str">
        <f>PROPER(TRIM(E1532))</f>
        <v>Furniture</v>
      </c>
      <c r="S1532" s="27">
        <f>IF(ISTEXT(B1532),DATEVALUE(B1532),B1532)</f>
        <v>46015</v>
      </c>
      <c r="T1532" s="27">
        <f>COUNTIF($A$2:$A$1986,A1532)</f>
        <v>1</v>
      </c>
      <c r="U1532" s="27" t="str">
        <f t="shared" si="163"/>
        <v>Side Table</v>
      </c>
      <c r="V1532" s="27">
        <f t="shared" si="164"/>
        <v>353.36199999999997</v>
      </c>
      <c r="W1532" s="27">
        <f t="shared" si="165"/>
        <v>216.72</v>
      </c>
      <c r="X1532" s="27">
        <f>RawSalesTable3[[#This Row],[Revenue]]-RawSalesTable3[[#This Row],[Total_Cost]]</f>
        <v>136.64199999999997</v>
      </c>
      <c r="Y1532" s="28">
        <f>RawSalesTable3[[#This Row],[Profit]]/RawSalesTable3[[#This Row],[Revenue]]</f>
        <v>0.38669126844425822</v>
      </c>
      <c r="Z1532" s="27" t="str">
        <f>TEXT(RawSalesTable3[[#This Row],[Order_Date_Clean]],"MMM YYYY")</f>
        <v>Dec 2025</v>
      </c>
      <c r="AA1532" s="27"/>
      <c r="AB1532" s="27">
        <f t="shared" si="166"/>
        <v>0</v>
      </c>
      <c r="AC1532" s="27">
        <f t="shared" si="167"/>
        <v>0</v>
      </c>
    </row>
    <row r="1533" spans="1:29">
      <c r="A1533" t="s">
        <v>1642</v>
      </c>
      <c r="B1533" s="3">
        <v>45867</v>
      </c>
      <c r="C1533" t="s">
        <v>78</v>
      </c>
      <c r="D1533" t="s">
        <v>55</v>
      </c>
      <c r="E1533" t="s">
        <v>67</v>
      </c>
      <c r="F1533" t="s">
        <v>107</v>
      </c>
      <c r="G1533" s="6">
        <v>3</v>
      </c>
      <c r="H1533" s="4">
        <v>46.06</v>
      </c>
      <c r="I1533" s="4">
        <v>20.62</v>
      </c>
      <c r="J1533" s="5">
        <v>0.1</v>
      </c>
      <c r="K1533" s="6">
        <v>0</v>
      </c>
      <c r="L1533" s="6">
        <v>4</v>
      </c>
      <c r="M1533" t="s">
        <v>58</v>
      </c>
      <c r="N1533" t="s">
        <v>69</v>
      </c>
      <c r="O1533" t="s">
        <v>60</v>
      </c>
      <c r="P1533" t="str">
        <f t="shared" si="161"/>
        <v>Small Business</v>
      </c>
      <c r="Q1533" t="str">
        <f t="shared" si="162"/>
        <v>London</v>
      </c>
      <c r="R1533" t="str">
        <f>PROPER(TRIM(E1533))</f>
        <v>Office</v>
      </c>
      <c r="S1533" s="27">
        <f>IF(ISTEXT(B1533),DATEVALUE(B1533),B1533)</f>
        <v>45867</v>
      </c>
      <c r="T1533" s="27">
        <f>COUNTIF($A$2:$A$1986,A1533)</f>
        <v>1</v>
      </c>
      <c r="U1533" s="27" t="str">
        <f t="shared" si="163"/>
        <v>Laptop Stand</v>
      </c>
      <c r="V1533" s="27">
        <f t="shared" si="164"/>
        <v>124.36200000000001</v>
      </c>
      <c r="W1533" s="27">
        <f t="shared" si="165"/>
        <v>61.86</v>
      </c>
      <c r="X1533" s="27">
        <f>RawSalesTable3[[#This Row],[Revenue]]-RawSalesTable3[[#This Row],[Total_Cost]]</f>
        <v>62.50200000000001</v>
      </c>
      <c r="Y1533" s="28">
        <f>RawSalesTable3[[#This Row],[Profit]]/RawSalesTable3[[#This Row],[Revenue]]</f>
        <v>0.5025811743136972</v>
      </c>
      <c r="Z1533" s="27" t="str">
        <f>TEXT(RawSalesTable3[[#This Row],[Order_Date_Clean]],"MMM YYYY")</f>
        <v>Jul 2025</v>
      </c>
      <c r="AA1533" s="27"/>
      <c r="AB1533" s="27">
        <f t="shared" si="166"/>
        <v>0</v>
      </c>
      <c r="AC1533" s="27">
        <f t="shared" si="167"/>
        <v>0</v>
      </c>
    </row>
    <row r="1534" spans="1:29">
      <c r="A1534" t="s">
        <v>1643</v>
      </c>
      <c r="B1534" s="3">
        <v>45672</v>
      </c>
      <c r="C1534" t="s">
        <v>82</v>
      </c>
      <c r="D1534" t="s">
        <v>55</v>
      </c>
      <c r="E1534" t="s">
        <v>67</v>
      </c>
      <c r="F1534" t="s">
        <v>94</v>
      </c>
      <c r="G1534" s="6">
        <v>3</v>
      </c>
      <c r="H1534" s="4">
        <v>36.36</v>
      </c>
      <c r="I1534" s="4">
        <v>17.809999999999999</v>
      </c>
      <c r="J1534" s="5">
        <v>0</v>
      </c>
      <c r="K1534" s="6">
        <v>3</v>
      </c>
      <c r="L1534" s="6">
        <v>5</v>
      </c>
      <c r="M1534" t="s">
        <v>58</v>
      </c>
      <c r="N1534" t="s">
        <v>59</v>
      </c>
      <c r="O1534" t="s">
        <v>64</v>
      </c>
      <c r="P1534" t="str">
        <f t="shared" si="161"/>
        <v>Small Business</v>
      </c>
      <c r="Q1534" t="str">
        <f t="shared" si="162"/>
        <v>Midlands</v>
      </c>
      <c r="R1534" t="str">
        <f>PROPER(TRIM(E1534))</f>
        <v>Office</v>
      </c>
      <c r="S1534" s="27">
        <f>IF(ISTEXT(B1534),DATEVALUE(B1534),B1534)</f>
        <v>45672</v>
      </c>
      <c r="T1534" s="27">
        <f>COUNTIF($A$2:$A$1986,A1534)</f>
        <v>1</v>
      </c>
      <c r="U1534" s="27" t="str">
        <f t="shared" si="163"/>
        <v>Wireless Mouse</v>
      </c>
      <c r="V1534" s="27">
        <f t="shared" si="164"/>
        <v>109.08</v>
      </c>
      <c r="W1534" s="27">
        <f t="shared" si="165"/>
        <v>53.429999999999993</v>
      </c>
      <c r="X1534" s="27">
        <f>RawSalesTable3[[#This Row],[Revenue]]-RawSalesTable3[[#This Row],[Total_Cost]]</f>
        <v>55.650000000000006</v>
      </c>
      <c r="Y1534" s="28">
        <f>RawSalesTable3[[#This Row],[Profit]]/RawSalesTable3[[#This Row],[Revenue]]</f>
        <v>0.51017601760176023</v>
      </c>
      <c r="Z1534" s="27" t="str">
        <f>TEXT(RawSalesTable3[[#This Row],[Order_Date_Clean]],"MMM YYYY")</f>
        <v>Jan 2025</v>
      </c>
      <c r="AA1534" s="27"/>
      <c r="AB1534" s="27">
        <f t="shared" si="166"/>
        <v>0</v>
      </c>
      <c r="AC1534" s="27">
        <f t="shared" si="167"/>
        <v>0</v>
      </c>
    </row>
    <row r="1535" spans="1:29">
      <c r="A1535" t="s">
        <v>1644</v>
      </c>
      <c r="B1535" s="3">
        <v>45808</v>
      </c>
      <c r="C1535" t="s">
        <v>78</v>
      </c>
      <c r="D1535" t="s">
        <v>62</v>
      </c>
      <c r="E1535" t="s">
        <v>67</v>
      </c>
      <c r="F1535" t="s">
        <v>94</v>
      </c>
      <c r="G1535" s="6">
        <v>1</v>
      </c>
      <c r="H1535" s="4">
        <v>34.700000000000003</v>
      </c>
      <c r="I1535" s="4">
        <v>17.48</v>
      </c>
      <c r="J1535" s="5">
        <v>0</v>
      </c>
      <c r="K1535" s="6">
        <v>3</v>
      </c>
      <c r="L1535" s="6">
        <v>4</v>
      </c>
      <c r="M1535" t="s">
        <v>58</v>
      </c>
      <c r="N1535" t="s">
        <v>87</v>
      </c>
      <c r="O1535" t="s">
        <v>60</v>
      </c>
      <c r="P1535" t="str">
        <f t="shared" si="161"/>
        <v>Individual</v>
      </c>
      <c r="Q1535" t="str">
        <f t="shared" si="162"/>
        <v>London</v>
      </c>
      <c r="R1535" t="str">
        <f>PROPER(TRIM(E1535))</f>
        <v>Office</v>
      </c>
      <c r="S1535" s="27">
        <f>IF(ISTEXT(B1535),DATEVALUE(B1535),B1535)</f>
        <v>45808</v>
      </c>
      <c r="T1535" s="27">
        <f>COUNTIF($A$2:$A$1986,A1535)</f>
        <v>1</v>
      </c>
      <c r="U1535" s="27" t="str">
        <f t="shared" si="163"/>
        <v>Wireless Mouse</v>
      </c>
      <c r="V1535" s="27">
        <f t="shared" si="164"/>
        <v>34.700000000000003</v>
      </c>
      <c r="W1535" s="27">
        <f t="shared" si="165"/>
        <v>17.48</v>
      </c>
      <c r="X1535" s="27">
        <f>RawSalesTable3[[#This Row],[Revenue]]-RawSalesTable3[[#This Row],[Total_Cost]]</f>
        <v>17.220000000000002</v>
      </c>
      <c r="Y1535" s="28">
        <f>RawSalesTable3[[#This Row],[Profit]]/RawSalesTable3[[#This Row],[Revenue]]</f>
        <v>0.49625360230547555</v>
      </c>
      <c r="Z1535" s="27" t="str">
        <f>TEXT(RawSalesTable3[[#This Row],[Order_Date_Clean]],"MMM YYYY")</f>
        <v>May 2025</v>
      </c>
      <c r="AA1535" s="27"/>
      <c r="AB1535" s="27">
        <f t="shared" si="166"/>
        <v>0</v>
      </c>
      <c r="AC1535" s="27">
        <f t="shared" si="167"/>
        <v>0</v>
      </c>
    </row>
    <row r="1536" spans="1:29">
      <c r="A1536" t="s">
        <v>1645</v>
      </c>
      <c r="B1536" s="3">
        <v>45726</v>
      </c>
      <c r="C1536" t="s">
        <v>54</v>
      </c>
      <c r="D1536" t="s">
        <v>62</v>
      </c>
      <c r="E1536" t="s">
        <v>75</v>
      </c>
      <c r="F1536" t="s">
        <v>110</v>
      </c>
      <c r="G1536" s="6">
        <v>1</v>
      </c>
      <c r="H1536" s="4">
        <v>157.93</v>
      </c>
      <c r="I1536" s="4">
        <v>103.89</v>
      </c>
      <c r="J1536" s="5">
        <v>0</v>
      </c>
      <c r="K1536" s="6">
        <v>2</v>
      </c>
      <c r="L1536" s="6">
        <v>4</v>
      </c>
      <c r="M1536" t="s">
        <v>58</v>
      </c>
      <c r="N1536" t="s">
        <v>69</v>
      </c>
      <c r="O1536" t="s">
        <v>60</v>
      </c>
      <c r="P1536" t="str">
        <f t="shared" si="161"/>
        <v>Individual</v>
      </c>
      <c r="Q1536" t="str">
        <f t="shared" si="162"/>
        <v>North</v>
      </c>
      <c r="R1536" t="str">
        <f>PROPER(TRIM(E1536))</f>
        <v>Furniture</v>
      </c>
      <c r="S1536" s="27">
        <f>IF(ISTEXT(B1536),DATEVALUE(B1536),B1536)</f>
        <v>45726</v>
      </c>
      <c r="T1536" s="27">
        <f>COUNTIF($A$2:$A$1986,A1536)</f>
        <v>1</v>
      </c>
      <c r="U1536" s="27" t="str">
        <f t="shared" si="163"/>
        <v>Storage Cabinet</v>
      </c>
      <c r="V1536" s="27">
        <f t="shared" si="164"/>
        <v>157.93</v>
      </c>
      <c r="W1536" s="27">
        <f t="shared" si="165"/>
        <v>103.89</v>
      </c>
      <c r="X1536" s="27">
        <f>RawSalesTable3[[#This Row],[Revenue]]-RawSalesTable3[[#This Row],[Total_Cost]]</f>
        <v>54.040000000000006</v>
      </c>
      <c r="Y1536" s="28">
        <f>RawSalesTable3[[#This Row],[Profit]]/RawSalesTable3[[#This Row],[Revenue]]</f>
        <v>0.34217691382257964</v>
      </c>
      <c r="Z1536" s="27" t="str">
        <f>TEXT(RawSalesTable3[[#This Row],[Order_Date_Clean]],"MMM YYYY")</f>
        <v>Mar 2025</v>
      </c>
      <c r="AA1536" s="27"/>
      <c r="AB1536" s="27">
        <f t="shared" si="166"/>
        <v>0</v>
      </c>
      <c r="AC1536" s="27">
        <f t="shared" si="167"/>
        <v>0</v>
      </c>
    </row>
    <row r="1537" spans="1:29">
      <c r="A1537" t="s">
        <v>1646</v>
      </c>
      <c r="B1537" s="3">
        <v>45761</v>
      </c>
      <c r="C1537" t="s">
        <v>66</v>
      </c>
      <c r="D1537" t="s">
        <v>62</v>
      </c>
      <c r="E1537" t="s">
        <v>56</v>
      </c>
      <c r="F1537" t="s">
        <v>63</v>
      </c>
      <c r="G1537" s="6">
        <v>1</v>
      </c>
      <c r="H1537" s="4">
        <v>40.4</v>
      </c>
      <c r="I1537" s="4">
        <v>19.98</v>
      </c>
      <c r="J1537" s="5">
        <v>0.15000000000000002</v>
      </c>
      <c r="K1537" s="6">
        <v>3</v>
      </c>
      <c r="L1537" s="6">
        <v>5</v>
      </c>
      <c r="M1537" t="s">
        <v>58</v>
      </c>
      <c r="N1537" t="s">
        <v>59</v>
      </c>
      <c r="O1537" t="s">
        <v>64</v>
      </c>
      <c r="P1537" t="str">
        <f t="shared" si="161"/>
        <v>Individual</v>
      </c>
      <c r="Q1537" t="str">
        <f t="shared" si="162"/>
        <v>South</v>
      </c>
      <c r="R1537" t="str">
        <f>PROPER(TRIM(E1537))</f>
        <v>Home &amp; Kitchen</v>
      </c>
      <c r="S1537" s="27">
        <f>IF(ISTEXT(B1537),DATEVALUE(B1537),B1537)</f>
        <v>45761</v>
      </c>
      <c r="T1537" s="27">
        <f>COUNTIF($A$2:$A$1986,A1537)</f>
        <v>1</v>
      </c>
      <c r="U1537" s="27" t="str">
        <f t="shared" si="163"/>
        <v>Electric Kettle</v>
      </c>
      <c r="V1537" s="27">
        <f t="shared" si="164"/>
        <v>34.339999999999996</v>
      </c>
      <c r="W1537" s="27">
        <f t="shared" si="165"/>
        <v>19.98</v>
      </c>
      <c r="X1537" s="27">
        <f>RawSalesTable3[[#This Row],[Revenue]]-RawSalesTable3[[#This Row],[Total_Cost]]</f>
        <v>14.359999999999996</v>
      </c>
      <c r="Y1537" s="28">
        <f>RawSalesTable3[[#This Row],[Profit]]/RawSalesTable3[[#This Row],[Revenue]]</f>
        <v>0.41817122888759456</v>
      </c>
      <c r="Z1537" s="27" t="str">
        <f>TEXT(RawSalesTable3[[#This Row],[Order_Date_Clean]],"MMM YYYY")</f>
        <v>Apr 2025</v>
      </c>
      <c r="AA1537" s="27"/>
      <c r="AB1537" s="27">
        <f t="shared" si="166"/>
        <v>0</v>
      </c>
      <c r="AC1537" s="27">
        <f t="shared" si="167"/>
        <v>0</v>
      </c>
    </row>
    <row r="1538" spans="1:29">
      <c r="A1538" t="s">
        <v>1647</v>
      </c>
      <c r="B1538" s="3">
        <v>45938</v>
      </c>
      <c r="C1538" t="s">
        <v>78</v>
      </c>
      <c r="D1538" t="s">
        <v>55</v>
      </c>
      <c r="E1538" t="s">
        <v>79</v>
      </c>
      <c r="F1538" t="s">
        <v>92</v>
      </c>
      <c r="G1538" s="6">
        <v>2</v>
      </c>
      <c r="H1538" s="4">
        <v>48.7</v>
      </c>
      <c r="I1538" s="4">
        <v>25.47</v>
      </c>
      <c r="J1538" s="5">
        <v>0</v>
      </c>
      <c r="K1538" s="6">
        <v>0</v>
      </c>
      <c r="L1538" s="6">
        <v>4</v>
      </c>
      <c r="M1538" t="s">
        <v>58</v>
      </c>
      <c r="N1538" t="s">
        <v>69</v>
      </c>
      <c r="O1538" t="s">
        <v>64</v>
      </c>
      <c r="P1538" t="str">
        <f t="shared" ref="P1538:P1601" si="168">IF(TRIM(D1538)="","Unknow",PROPER(TRIM(D1538)))</f>
        <v>Small Business</v>
      </c>
      <c r="Q1538" t="str">
        <f t="shared" ref="Q1538:Q1601" si="169">IF(PROPER(TRIM(C1538))="Mid Lands","Midlands",PROPER(TRIM(C1538)))</f>
        <v>London</v>
      </c>
      <c r="R1538" t="str">
        <f>PROPER(TRIM(E1538))</f>
        <v>Electronics</v>
      </c>
      <c r="S1538" s="27">
        <f>IF(ISTEXT(B1538),DATEVALUE(B1538),B1538)</f>
        <v>45938</v>
      </c>
      <c r="T1538" s="27">
        <f>COUNTIF($A$2:$A$1986,A1538)</f>
        <v>1</v>
      </c>
      <c r="U1538" s="27" t="str">
        <f t="shared" ref="U1538:U1601" si="170">TRIM(F1538)</f>
        <v>Webcam</v>
      </c>
      <c r="V1538" s="27">
        <f t="shared" ref="V1538:V1601" si="171">G1538*H1538*(1-J1538)</f>
        <v>97.4</v>
      </c>
      <c r="W1538" s="27">
        <f t="shared" ref="W1538:W1601" si="172">G1538*I1538</f>
        <v>50.94</v>
      </c>
      <c r="X1538" s="27">
        <f>RawSalesTable3[[#This Row],[Revenue]]-RawSalesTable3[[#This Row],[Total_Cost]]</f>
        <v>46.460000000000008</v>
      </c>
      <c r="Y1538" s="28">
        <f>RawSalesTable3[[#This Row],[Profit]]/RawSalesTable3[[#This Row],[Revenue]]</f>
        <v>0.47700205338809043</v>
      </c>
      <c r="Z1538" s="27" t="str">
        <f>TEXT(RawSalesTable3[[#This Row],[Order_Date_Clean]],"MMM YYYY")</f>
        <v>Oct 2025</v>
      </c>
      <c r="AA1538" s="27"/>
      <c r="AB1538" s="27">
        <f t="shared" ref="AB1538:AB1601" si="173">SUMIF($Z:$Z,AA1538,$V:$V)</f>
        <v>0</v>
      </c>
      <c r="AC1538" s="27">
        <f t="shared" ref="AC1538:AC1601" si="174">SUMIF($Z:$Z,AA1538,$X:$X)</f>
        <v>0</v>
      </c>
    </row>
    <row r="1539" spans="1:29">
      <c r="A1539" t="s">
        <v>1648</v>
      </c>
      <c r="B1539" s="3">
        <v>45822</v>
      </c>
      <c r="C1539" t="s">
        <v>66</v>
      </c>
      <c r="D1539" t="s">
        <v>62</v>
      </c>
      <c r="E1539" t="s">
        <v>79</v>
      </c>
      <c r="F1539" t="s">
        <v>92</v>
      </c>
      <c r="G1539" s="6">
        <v>2</v>
      </c>
      <c r="H1539" s="4">
        <v>48.95</v>
      </c>
      <c r="I1539" s="4">
        <v>26.18</v>
      </c>
      <c r="J1539" s="5">
        <v>0.05</v>
      </c>
      <c r="K1539" s="6">
        <v>0</v>
      </c>
      <c r="L1539" s="6">
        <v>4</v>
      </c>
      <c r="M1539" t="s">
        <v>58</v>
      </c>
      <c r="N1539" t="s">
        <v>69</v>
      </c>
      <c r="O1539" t="s">
        <v>64</v>
      </c>
      <c r="P1539" t="str">
        <f t="shared" si="168"/>
        <v>Individual</v>
      </c>
      <c r="Q1539" t="str">
        <f t="shared" si="169"/>
        <v>South</v>
      </c>
      <c r="R1539" t="str">
        <f>PROPER(TRIM(E1539))</f>
        <v>Electronics</v>
      </c>
      <c r="S1539" s="27">
        <f>IF(ISTEXT(B1539),DATEVALUE(B1539),B1539)</f>
        <v>45822</v>
      </c>
      <c r="T1539" s="27">
        <f>COUNTIF($A$2:$A$1986,A1539)</f>
        <v>1</v>
      </c>
      <c r="U1539" s="27" t="str">
        <f t="shared" si="170"/>
        <v>Webcam</v>
      </c>
      <c r="V1539" s="27">
        <f t="shared" si="171"/>
        <v>93.004999999999995</v>
      </c>
      <c r="W1539" s="27">
        <f t="shared" si="172"/>
        <v>52.36</v>
      </c>
      <c r="X1539" s="27">
        <f>RawSalesTable3[[#This Row],[Revenue]]-RawSalesTable3[[#This Row],[Total_Cost]]</f>
        <v>40.644999999999996</v>
      </c>
      <c r="Y1539" s="28">
        <f>RawSalesTable3[[#This Row],[Profit]]/RawSalesTable3[[#This Row],[Revenue]]</f>
        <v>0.43701951507983439</v>
      </c>
      <c r="Z1539" s="27" t="str">
        <f>TEXT(RawSalesTable3[[#This Row],[Order_Date_Clean]],"MMM YYYY")</f>
        <v>Jun 2025</v>
      </c>
      <c r="AA1539" s="27"/>
      <c r="AB1539" s="27">
        <f t="shared" si="173"/>
        <v>0</v>
      </c>
      <c r="AC1539" s="27">
        <f t="shared" si="174"/>
        <v>0</v>
      </c>
    </row>
    <row r="1540" spans="1:29">
      <c r="A1540" t="s">
        <v>1649</v>
      </c>
      <c r="B1540" s="3">
        <v>45996</v>
      </c>
      <c r="C1540" t="s">
        <v>82</v>
      </c>
      <c r="D1540" t="s">
        <v>55</v>
      </c>
      <c r="E1540" t="s">
        <v>75</v>
      </c>
      <c r="F1540" t="s">
        <v>110</v>
      </c>
      <c r="G1540" s="6">
        <v>3</v>
      </c>
      <c r="H1540" s="4">
        <v>163.44</v>
      </c>
      <c r="I1540" s="4">
        <v>101.78</v>
      </c>
      <c r="J1540" s="5">
        <v>0.1</v>
      </c>
      <c r="K1540" s="6">
        <v>3</v>
      </c>
      <c r="L1540" s="6">
        <v>4</v>
      </c>
      <c r="M1540" t="s">
        <v>58</v>
      </c>
      <c r="N1540" t="s">
        <v>59</v>
      </c>
      <c r="O1540" t="s">
        <v>60</v>
      </c>
      <c r="P1540" t="str">
        <f t="shared" si="168"/>
        <v>Small Business</v>
      </c>
      <c r="Q1540" t="str">
        <f t="shared" si="169"/>
        <v>Midlands</v>
      </c>
      <c r="R1540" t="str">
        <f>PROPER(TRIM(E1540))</f>
        <v>Furniture</v>
      </c>
      <c r="S1540" s="27">
        <f>IF(ISTEXT(B1540),DATEVALUE(B1540),B1540)</f>
        <v>45996</v>
      </c>
      <c r="T1540" s="27">
        <f>COUNTIF($A$2:$A$1986,A1540)</f>
        <v>1</v>
      </c>
      <c r="U1540" s="27" t="str">
        <f t="shared" si="170"/>
        <v>Storage Cabinet</v>
      </c>
      <c r="V1540" s="27">
        <f t="shared" si="171"/>
        <v>441.28800000000001</v>
      </c>
      <c r="W1540" s="27">
        <f t="shared" si="172"/>
        <v>305.34000000000003</v>
      </c>
      <c r="X1540" s="27">
        <f>RawSalesTable3[[#This Row],[Revenue]]-RawSalesTable3[[#This Row],[Total_Cost]]</f>
        <v>135.94799999999998</v>
      </c>
      <c r="Y1540" s="28">
        <f>RawSalesTable3[[#This Row],[Profit]]/RawSalesTable3[[#This Row],[Revenue]]</f>
        <v>0.30807091967150702</v>
      </c>
      <c r="Z1540" s="27" t="str">
        <f>TEXT(RawSalesTable3[[#This Row],[Order_Date_Clean]],"MMM YYYY")</f>
        <v>Dec 2025</v>
      </c>
      <c r="AA1540" s="27"/>
      <c r="AB1540" s="27">
        <f t="shared" si="173"/>
        <v>0</v>
      </c>
      <c r="AC1540" s="27">
        <f t="shared" si="174"/>
        <v>0</v>
      </c>
    </row>
    <row r="1541" spans="1:29">
      <c r="A1541" t="s">
        <v>1650</v>
      </c>
      <c r="B1541" s="3">
        <v>45869</v>
      </c>
      <c r="C1541" t="s">
        <v>54</v>
      </c>
      <c r="D1541" t="s">
        <v>62</v>
      </c>
      <c r="E1541" t="s">
        <v>56</v>
      </c>
      <c r="F1541" t="s">
        <v>83</v>
      </c>
      <c r="G1541" s="6">
        <v>1</v>
      </c>
      <c r="H1541" s="4">
        <v>67.17</v>
      </c>
      <c r="I1541" s="4">
        <v>34.69</v>
      </c>
      <c r="J1541" s="5">
        <v>0</v>
      </c>
      <c r="K1541" s="6">
        <v>2</v>
      </c>
      <c r="L1541" s="6">
        <v>4</v>
      </c>
      <c r="M1541" t="s">
        <v>58</v>
      </c>
      <c r="N1541" t="s">
        <v>59</v>
      </c>
      <c r="O1541" t="s">
        <v>64</v>
      </c>
      <c r="P1541" t="str">
        <f t="shared" si="168"/>
        <v>Individual</v>
      </c>
      <c r="Q1541" t="str">
        <f t="shared" si="169"/>
        <v>North</v>
      </c>
      <c r="R1541" t="str">
        <f>PROPER(TRIM(E1541))</f>
        <v>Home &amp; Kitchen</v>
      </c>
      <c r="S1541" s="27">
        <f>IF(ISTEXT(B1541),DATEVALUE(B1541),B1541)</f>
        <v>45869</v>
      </c>
      <c r="T1541" s="27">
        <f>COUNTIF($A$2:$A$1986,A1541)</f>
        <v>1</v>
      </c>
      <c r="U1541" s="27" t="str">
        <f t="shared" si="170"/>
        <v>Blender</v>
      </c>
      <c r="V1541" s="27">
        <f t="shared" si="171"/>
        <v>67.17</v>
      </c>
      <c r="W1541" s="27">
        <f t="shared" si="172"/>
        <v>34.69</v>
      </c>
      <c r="X1541" s="27">
        <f>RawSalesTable3[[#This Row],[Revenue]]-RawSalesTable3[[#This Row],[Total_Cost]]</f>
        <v>32.480000000000004</v>
      </c>
      <c r="Y1541" s="28">
        <f>RawSalesTable3[[#This Row],[Profit]]/RawSalesTable3[[#This Row],[Revenue]]</f>
        <v>0.4835492035134733</v>
      </c>
      <c r="Z1541" s="27" t="str">
        <f>TEXT(RawSalesTable3[[#This Row],[Order_Date_Clean]],"MMM YYYY")</f>
        <v>Jul 2025</v>
      </c>
      <c r="AA1541" s="27"/>
      <c r="AB1541" s="27">
        <f t="shared" si="173"/>
        <v>0</v>
      </c>
      <c r="AC1541" s="27">
        <f t="shared" si="174"/>
        <v>0</v>
      </c>
    </row>
    <row r="1542" spans="1:29">
      <c r="A1542" t="s">
        <v>1651</v>
      </c>
      <c r="B1542" s="3">
        <v>45706</v>
      </c>
      <c r="C1542" t="s">
        <v>66</v>
      </c>
      <c r="D1542" t="s">
        <v>55</v>
      </c>
      <c r="E1542" t="s">
        <v>79</v>
      </c>
      <c r="F1542" t="s">
        <v>92</v>
      </c>
      <c r="G1542" s="6">
        <v>2</v>
      </c>
      <c r="H1542" s="4">
        <v>50.26</v>
      </c>
      <c r="I1542" s="4">
        <v>25.52</v>
      </c>
      <c r="J1542" s="5">
        <v>0.05</v>
      </c>
      <c r="K1542" s="6">
        <v>2</v>
      </c>
      <c r="L1542" s="6">
        <v>4</v>
      </c>
      <c r="M1542" t="s">
        <v>58</v>
      </c>
      <c r="N1542" t="s">
        <v>59</v>
      </c>
      <c r="O1542" t="s">
        <v>73</v>
      </c>
      <c r="P1542" t="str">
        <f t="shared" si="168"/>
        <v>Small Business</v>
      </c>
      <c r="Q1542" t="str">
        <f t="shared" si="169"/>
        <v>South</v>
      </c>
      <c r="R1542" t="str">
        <f>PROPER(TRIM(E1542))</f>
        <v>Electronics</v>
      </c>
      <c r="S1542" s="27">
        <f>IF(ISTEXT(B1542),DATEVALUE(B1542),B1542)</f>
        <v>45706</v>
      </c>
      <c r="T1542" s="27">
        <f>COUNTIF($A$2:$A$1986,A1542)</f>
        <v>1</v>
      </c>
      <c r="U1542" s="27" t="str">
        <f t="shared" si="170"/>
        <v>Webcam</v>
      </c>
      <c r="V1542" s="27">
        <f t="shared" si="171"/>
        <v>95.493999999999986</v>
      </c>
      <c r="W1542" s="27">
        <f t="shared" si="172"/>
        <v>51.04</v>
      </c>
      <c r="X1542" s="27">
        <f>RawSalesTable3[[#This Row],[Revenue]]-RawSalesTable3[[#This Row],[Total_Cost]]</f>
        <v>44.453999999999986</v>
      </c>
      <c r="Y1542" s="28">
        <f>RawSalesTable3[[#This Row],[Profit]]/RawSalesTable3[[#This Row],[Revenue]]</f>
        <v>0.46551615808323027</v>
      </c>
      <c r="Z1542" s="27" t="str">
        <f>TEXT(RawSalesTable3[[#This Row],[Order_Date_Clean]],"MMM YYYY")</f>
        <v>Feb 2025</v>
      </c>
      <c r="AA1542" s="27"/>
      <c r="AB1542" s="27">
        <f t="shared" si="173"/>
        <v>0</v>
      </c>
      <c r="AC1542" s="27">
        <f t="shared" si="174"/>
        <v>0</v>
      </c>
    </row>
    <row r="1543" spans="1:29">
      <c r="A1543" t="s">
        <v>1652</v>
      </c>
      <c r="B1543" s="3">
        <v>45823</v>
      </c>
      <c r="C1543" t="s">
        <v>54</v>
      </c>
      <c r="D1543" t="s">
        <v>62</v>
      </c>
      <c r="E1543" t="s">
        <v>56</v>
      </c>
      <c r="F1543" t="s">
        <v>89</v>
      </c>
      <c r="G1543" s="6">
        <v>1</v>
      </c>
      <c r="H1543" s="4">
        <v>78.95</v>
      </c>
      <c r="I1543" s="4">
        <v>46.46</v>
      </c>
      <c r="J1543" s="5">
        <v>0.1</v>
      </c>
      <c r="K1543" s="6">
        <v>2</v>
      </c>
      <c r="L1543" s="6">
        <v>5</v>
      </c>
      <c r="M1543" t="s">
        <v>58</v>
      </c>
      <c r="N1543" t="s">
        <v>59</v>
      </c>
      <c r="O1543" t="s">
        <v>60</v>
      </c>
      <c r="P1543" t="str">
        <f t="shared" si="168"/>
        <v>Individual</v>
      </c>
      <c r="Q1543" t="str">
        <f t="shared" si="169"/>
        <v>North</v>
      </c>
      <c r="R1543" t="str">
        <f>PROPER(TRIM(E1543))</f>
        <v>Home &amp; Kitchen</v>
      </c>
      <c r="S1543" s="27">
        <f>IF(ISTEXT(B1543),DATEVALUE(B1543),B1543)</f>
        <v>45823</v>
      </c>
      <c r="T1543" s="27">
        <f>COUNTIF($A$2:$A$1986,A1543)</f>
        <v>1</v>
      </c>
      <c r="U1543" s="27" t="str">
        <f t="shared" si="170"/>
        <v>Coffee Maker</v>
      </c>
      <c r="V1543" s="27">
        <f t="shared" si="171"/>
        <v>71.055000000000007</v>
      </c>
      <c r="W1543" s="27">
        <f t="shared" si="172"/>
        <v>46.46</v>
      </c>
      <c r="X1543" s="27">
        <f>RawSalesTable3[[#This Row],[Revenue]]-RawSalesTable3[[#This Row],[Total_Cost]]</f>
        <v>24.595000000000006</v>
      </c>
      <c r="Y1543" s="28">
        <f>RawSalesTable3[[#This Row],[Profit]]/RawSalesTable3[[#This Row],[Revenue]]</f>
        <v>0.34614031384139055</v>
      </c>
      <c r="Z1543" s="27" t="str">
        <f>TEXT(RawSalesTable3[[#This Row],[Order_Date_Clean]],"MMM YYYY")</f>
        <v>Jun 2025</v>
      </c>
      <c r="AA1543" s="27"/>
      <c r="AB1543" s="27">
        <f t="shared" si="173"/>
        <v>0</v>
      </c>
      <c r="AC1543" s="27">
        <f t="shared" si="174"/>
        <v>0</v>
      </c>
    </row>
    <row r="1544" spans="1:29">
      <c r="A1544" t="s">
        <v>1653</v>
      </c>
      <c r="B1544" s="3">
        <v>45862</v>
      </c>
      <c r="C1544" t="s">
        <v>54</v>
      </c>
      <c r="D1544" t="s">
        <v>62</v>
      </c>
      <c r="E1544" t="s">
        <v>79</v>
      </c>
      <c r="F1544" t="s">
        <v>80</v>
      </c>
      <c r="G1544" s="6">
        <v>1</v>
      </c>
      <c r="H1544" s="4">
        <v>73.03</v>
      </c>
      <c r="I1544" s="4">
        <v>42.05</v>
      </c>
      <c r="J1544" s="5">
        <v>0</v>
      </c>
      <c r="K1544" s="6">
        <v>3</v>
      </c>
      <c r="L1544" s="6">
        <v>4</v>
      </c>
      <c r="M1544" t="s">
        <v>58</v>
      </c>
      <c r="N1544" t="s">
        <v>87</v>
      </c>
      <c r="O1544" t="s">
        <v>60</v>
      </c>
      <c r="P1544" t="str">
        <f t="shared" si="168"/>
        <v>Individual</v>
      </c>
      <c r="Q1544" t="str">
        <f t="shared" si="169"/>
        <v>North</v>
      </c>
      <c r="R1544" t="str">
        <f>PROPER(TRIM(E1544))</f>
        <v>Electronics</v>
      </c>
      <c r="S1544" s="27">
        <f>IF(ISTEXT(B1544),DATEVALUE(B1544),B1544)</f>
        <v>45862</v>
      </c>
      <c r="T1544" s="27">
        <f>COUNTIF($A$2:$A$1986,A1544)</f>
        <v>1</v>
      </c>
      <c r="U1544" s="27" t="str">
        <f t="shared" si="170"/>
        <v>Portable Speaker</v>
      </c>
      <c r="V1544" s="27">
        <f t="shared" si="171"/>
        <v>73.03</v>
      </c>
      <c r="W1544" s="27">
        <f t="shared" si="172"/>
        <v>42.05</v>
      </c>
      <c r="X1544" s="27">
        <f>RawSalesTable3[[#This Row],[Revenue]]-RawSalesTable3[[#This Row],[Total_Cost]]</f>
        <v>30.980000000000004</v>
      </c>
      <c r="Y1544" s="28">
        <f>RawSalesTable3[[#This Row],[Profit]]/RawSalesTable3[[#This Row],[Revenue]]</f>
        <v>0.42420922908393816</v>
      </c>
      <c r="Z1544" s="27" t="str">
        <f>TEXT(RawSalesTable3[[#This Row],[Order_Date_Clean]],"MMM YYYY")</f>
        <v>Jul 2025</v>
      </c>
      <c r="AA1544" s="27"/>
      <c r="AB1544" s="27">
        <f t="shared" si="173"/>
        <v>0</v>
      </c>
      <c r="AC1544" s="27">
        <f t="shared" si="174"/>
        <v>0</v>
      </c>
    </row>
    <row r="1545" spans="1:29">
      <c r="A1545" t="s">
        <v>1654</v>
      </c>
      <c r="B1545" s="3">
        <v>45830</v>
      </c>
      <c r="C1545" t="s">
        <v>82</v>
      </c>
      <c r="D1545" t="s">
        <v>62</v>
      </c>
      <c r="E1545" t="s">
        <v>56</v>
      </c>
      <c r="F1545" t="s">
        <v>89</v>
      </c>
      <c r="G1545" s="6">
        <v>1</v>
      </c>
      <c r="H1545" s="4">
        <v>82.4</v>
      </c>
      <c r="I1545" s="4">
        <v>44.53</v>
      </c>
      <c r="J1545" s="5">
        <v>0.05</v>
      </c>
      <c r="K1545" s="6">
        <v>0</v>
      </c>
      <c r="L1545" s="6">
        <v>4</v>
      </c>
      <c r="M1545" t="s">
        <v>58</v>
      </c>
      <c r="N1545" t="s">
        <v>69</v>
      </c>
      <c r="O1545" t="s">
        <v>64</v>
      </c>
      <c r="P1545" t="str">
        <f t="shared" si="168"/>
        <v>Individual</v>
      </c>
      <c r="Q1545" t="str">
        <f t="shared" si="169"/>
        <v>Midlands</v>
      </c>
      <c r="R1545" t="str">
        <f>PROPER(TRIM(E1545))</f>
        <v>Home &amp; Kitchen</v>
      </c>
      <c r="S1545" s="27">
        <f>IF(ISTEXT(B1545),DATEVALUE(B1545),B1545)</f>
        <v>45830</v>
      </c>
      <c r="T1545" s="27">
        <f>COUNTIF($A$2:$A$1986,A1545)</f>
        <v>1</v>
      </c>
      <c r="U1545" s="27" t="str">
        <f t="shared" si="170"/>
        <v>Coffee Maker</v>
      </c>
      <c r="V1545" s="27">
        <f t="shared" si="171"/>
        <v>78.28</v>
      </c>
      <c r="W1545" s="27">
        <f t="shared" si="172"/>
        <v>44.53</v>
      </c>
      <c r="X1545" s="27">
        <f>RawSalesTable3[[#This Row],[Revenue]]-RawSalesTable3[[#This Row],[Total_Cost]]</f>
        <v>33.75</v>
      </c>
      <c r="Y1545" s="28">
        <f>RawSalesTable3[[#This Row],[Profit]]/RawSalesTable3[[#This Row],[Revenue]]</f>
        <v>0.43114460909555441</v>
      </c>
      <c r="Z1545" s="27" t="str">
        <f>TEXT(RawSalesTable3[[#This Row],[Order_Date_Clean]],"MMM YYYY")</f>
        <v>Jun 2025</v>
      </c>
      <c r="AA1545" s="27"/>
      <c r="AB1545" s="27">
        <f t="shared" si="173"/>
        <v>0</v>
      </c>
      <c r="AC1545" s="27">
        <f t="shared" si="174"/>
        <v>0</v>
      </c>
    </row>
    <row r="1546" spans="1:29">
      <c r="A1546" t="s">
        <v>1655</v>
      </c>
      <c r="B1546" s="3">
        <v>45828</v>
      </c>
      <c r="C1546" t="s">
        <v>54</v>
      </c>
      <c r="D1546" t="s">
        <v>62</v>
      </c>
      <c r="E1546" t="s">
        <v>79</v>
      </c>
      <c r="F1546" t="s">
        <v>92</v>
      </c>
      <c r="G1546" s="6">
        <v>2</v>
      </c>
      <c r="H1546" s="4">
        <v>50.52</v>
      </c>
      <c r="I1546" s="4">
        <v>25.32</v>
      </c>
      <c r="J1546" s="5">
        <v>0</v>
      </c>
      <c r="K1546" s="6">
        <v>3</v>
      </c>
      <c r="L1546" s="6">
        <v>4</v>
      </c>
      <c r="M1546" t="s">
        <v>58</v>
      </c>
      <c r="N1546" t="s">
        <v>69</v>
      </c>
      <c r="O1546" t="s">
        <v>64</v>
      </c>
      <c r="P1546" t="str">
        <f t="shared" si="168"/>
        <v>Individual</v>
      </c>
      <c r="Q1546" t="str">
        <f t="shared" si="169"/>
        <v>North</v>
      </c>
      <c r="R1546" t="str">
        <f>PROPER(TRIM(E1546))</f>
        <v>Electronics</v>
      </c>
      <c r="S1546" s="27">
        <f>IF(ISTEXT(B1546),DATEVALUE(B1546),B1546)</f>
        <v>45828</v>
      </c>
      <c r="T1546" s="27">
        <f>COUNTIF($A$2:$A$1986,A1546)</f>
        <v>1</v>
      </c>
      <c r="U1546" s="27" t="str">
        <f t="shared" si="170"/>
        <v>Webcam</v>
      </c>
      <c r="V1546" s="27">
        <f t="shared" si="171"/>
        <v>101.04</v>
      </c>
      <c r="W1546" s="27">
        <f t="shared" si="172"/>
        <v>50.64</v>
      </c>
      <c r="X1546" s="27">
        <f>RawSalesTable3[[#This Row],[Revenue]]-RawSalesTable3[[#This Row],[Total_Cost]]</f>
        <v>50.400000000000006</v>
      </c>
      <c r="Y1546" s="28">
        <f>RawSalesTable3[[#This Row],[Profit]]/RawSalesTable3[[#This Row],[Revenue]]</f>
        <v>0.49881235154394304</v>
      </c>
      <c r="Z1546" s="27" t="str">
        <f>TEXT(RawSalesTable3[[#This Row],[Order_Date_Clean]],"MMM YYYY")</f>
        <v>Jun 2025</v>
      </c>
      <c r="AA1546" s="27"/>
      <c r="AB1546" s="27">
        <f t="shared" si="173"/>
        <v>0</v>
      </c>
      <c r="AC1546" s="27">
        <f t="shared" si="174"/>
        <v>0</v>
      </c>
    </row>
    <row r="1547" spans="1:29">
      <c r="A1547" t="s">
        <v>1656</v>
      </c>
      <c r="B1547" s="3">
        <v>45659</v>
      </c>
      <c r="C1547" t="s">
        <v>54</v>
      </c>
      <c r="D1547" t="s">
        <v>55</v>
      </c>
      <c r="E1547" t="s">
        <v>79</v>
      </c>
      <c r="F1547" t="s">
        <v>85</v>
      </c>
      <c r="G1547" s="6">
        <v>1</v>
      </c>
      <c r="H1547" s="4">
        <v>129.35</v>
      </c>
      <c r="I1547" s="4">
        <v>81.77</v>
      </c>
      <c r="J1547" s="5">
        <v>0</v>
      </c>
      <c r="K1547" s="6">
        <v>2</v>
      </c>
      <c r="L1547" s="6">
        <v>4</v>
      </c>
      <c r="M1547" t="s">
        <v>58</v>
      </c>
      <c r="N1547" t="s">
        <v>69</v>
      </c>
      <c r="O1547" t="s">
        <v>60</v>
      </c>
      <c r="P1547" t="str">
        <f t="shared" si="168"/>
        <v>Small Business</v>
      </c>
      <c r="Q1547" t="str">
        <f t="shared" si="169"/>
        <v>North</v>
      </c>
      <c r="R1547" t="str">
        <f>PROPER(TRIM(E1547))</f>
        <v>Electronics</v>
      </c>
      <c r="S1547" s="27">
        <f>IF(ISTEXT(B1547),DATEVALUE(B1547),B1547)</f>
        <v>45659</v>
      </c>
      <c r="T1547" s="27">
        <f>COUNTIF($A$2:$A$1986,A1547)</f>
        <v>1</v>
      </c>
      <c r="U1547" s="27" t="str">
        <f t="shared" si="170"/>
        <v>SmartHome Hub</v>
      </c>
      <c r="V1547" s="27">
        <f t="shared" si="171"/>
        <v>129.35</v>
      </c>
      <c r="W1547" s="27">
        <f t="shared" si="172"/>
        <v>81.77</v>
      </c>
      <c r="X1547" s="27">
        <f>RawSalesTable3[[#This Row],[Revenue]]-RawSalesTable3[[#This Row],[Total_Cost]]</f>
        <v>47.58</v>
      </c>
      <c r="Y1547" s="28">
        <f>RawSalesTable3[[#This Row],[Profit]]/RawSalesTable3[[#This Row],[Revenue]]</f>
        <v>0.3678391959798995</v>
      </c>
      <c r="Z1547" s="27" t="str">
        <f>TEXT(RawSalesTable3[[#This Row],[Order_Date_Clean]],"MMM YYYY")</f>
        <v>Jan 2025</v>
      </c>
      <c r="AA1547" s="27"/>
      <c r="AB1547" s="27">
        <f t="shared" si="173"/>
        <v>0</v>
      </c>
      <c r="AC1547" s="27">
        <f t="shared" si="174"/>
        <v>0</v>
      </c>
    </row>
    <row r="1548" spans="1:29">
      <c r="A1548" t="s">
        <v>1657</v>
      </c>
      <c r="B1548" s="3">
        <v>45892</v>
      </c>
      <c r="C1548" t="s">
        <v>54</v>
      </c>
      <c r="D1548" t="s">
        <v>55</v>
      </c>
      <c r="E1548" t="s">
        <v>56</v>
      </c>
      <c r="F1548" t="s">
        <v>89</v>
      </c>
      <c r="G1548" s="6">
        <v>4</v>
      </c>
      <c r="H1548" s="4">
        <v>80.23</v>
      </c>
      <c r="I1548" s="4">
        <v>45.13</v>
      </c>
      <c r="J1548" s="5">
        <v>0</v>
      </c>
      <c r="K1548" s="6">
        <v>3</v>
      </c>
      <c r="L1548" s="6">
        <v>4</v>
      </c>
      <c r="M1548" t="s">
        <v>58</v>
      </c>
      <c r="N1548" t="s">
        <v>59</v>
      </c>
      <c r="O1548" t="s">
        <v>64</v>
      </c>
      <c r="P1548" t="str">
        <f t="shared" si="168"/>
        <v>Small Business</v>
      </c>
      <c r="Q1548" t="str">
        <f t="shared" si="169"/>
        <v>North</v>
      </c>
      <c r="R1548" t="str">
        <f>PROPER(TRIM(E1548))</f>
        <v>Home &amp; Kitchen</v>
      </c>
      <c r="S1548" s="27">
        <f>IF(ISTEXT(B1548),DATEVALUE(B1548),B1548)</f>
        <v>45892</v>
      </c>
      <c r="T1548" s="27">
        <f>COUNTIF($A$2:$A$1986,A1548)</f>
        <v>1</v>
      </c>
      <c r="U1548" s="27" t="str">
        <f t="shared" si="170"/>
        <v>Coffee Maker</v>
      </c>
      <c r="V1548" s="27">
        <f t="shared" si="171"/>
        <v>320.92</v>
      </c>
      <c r="W1548" s="27">
        <f t="shared" si="172"/>
        <v>180.52</v>
      </c>
      <c r="X1548" s="27">
        <f>RawSalesTable3[[#This Row],[Revenue]]-RawSalesTable3[[#This Row],[Total_Cost]]</f>
        <v>140.4</v>
      </c>
      <c r="Y1548" s="28">
        <f>RawSalesTable3[[#This Row],[Profit]]/RawSalesTable3[[#This Row],[Revenue]]</f>
        <v>0.43749220989654741</v>
      </c>
      <c r="Z1548" s="27" t="str">
        <f>TEXT(RawSalesTable3[[#This Row],[Order_Date_Clean]],"MMM YYYY")</f>
        <v>Aug 2025</v>
      </c>
      <c r="AA1548" s="27"/>
      <c r="AB1548" s="27">
        <f t="shared" si="173"/>
        <v>0</v>
      </c>
      <c r="AC1548" s="27">
        <f t="shared" si="174"/>
        <v>0</v>
      </c>
    </row>
    <row r="1549" spans="1:29">
      <c r="A1549" t="s">
        <v>1658</v>
      </c>
      <c r="B1549" s="3">
        <v>45866</v>
      </c>
      <c r="C1549" t="s">
        <v>66</v>
      </c>
      <c r="D1549" t="s">
        <v>55</v>
      </c>
      <c r="E1549" t="s">
        <v>79</v>
      </c>
      <c r="F1549" t="s">
        <v>85</v>
      </c>
      <c r="G1549" s="6">
        <v>3</v>
      </c>
      <c r="H1549" s="4">
        <v>132.44</v>
      </c>
      <c r="I1549" s="4">
        <v>82.26</v>
      </c>
      <c r="J1549" s="5">
        <v>0.15000000000000002</v>
      </c>
      <c r="K1549" s="6">
        <v>2</v>
      </c>
      <c r="L1549" s="6">
        <v>4</v>
      </c>
      <c r="M1549" t="s">
        <v>58</v>
      </c>
      <c r="N1549" t="s">
        <v>59</v>
      </c>
      <c r="O1549" t="s">
        <v>73</v>
      </c>
      <c r="P1549" t="str">
        <f t="shared" si="168"/>
        <v>Small Business</v>
      </c>
      <c r="Q1549" t="str">
        <f t="shared" si="169"/>
        <v>South</v>
      </c>
      <c r="R1549" t="str">
        <f>PROPER(TRIM(E1549))</f>
        <v>Electronics</v>
      </c>
      <c r="S1549" s="27">
        <f>IF(ISTEXT(B1549),DATEVALUE(B1549),B1549)</f>
        <v>45866</v>
      </c>
      <c r="T1549" s="27">
        <f>COUNTIF($A$2:$A$1986,A1549)</f>
        <v>1</v>
      </c>
      <c r="U1549" s="27" t="str">
        <f t="shared" si="170"/>
        <v>SmartHome Hub</v>
      </c>
      <c r="V1549" s="27">
        <f t="shared" si="171"/>
        <v>337.72199999999998</v>
      </c>
      <c r="W1549" s="27">
        <f t="shared" si="172"/>
        <v>246.78000000000003</v>
      </c>
      <c r="X1549" s="27">
        <f>RawSalesTable3[[#This Row],[Revenue]]-RawSalesTable3[[#This Row],[Total_Cost]]</f>
        <v>90.94199999999995</v>
      </c>
      <c r="Y1549" s="28">
        <f>RawSalesTable3[[#This Row],[Profit]]/RawSalesTable3[[#This Row],[Revenue]]</f>
        <v>0.26928065094959747</v>
      </c>
      <c r="Z1549" s="27" t="str">
        <f>TEXT(RawSalesTable3[[#This Row],[Order_Date_Clean]],"MMM YYYY")</f>
        <v>Jul 2025</v>
      </c>
      <c r="AA1549" s="27"/>
      <c r="AB1549" s="27">
        <f t="shared" si="173"/>
        <v>0</v>
      </c>
      <c r="AC1549" s="27">
        <f t="shared" si="174"/>
        <v>0</v>
      </c>
    </row>
    <row r="1550" spans="1:29">
      <c r="A1550" t="s">
        <v>1659</v>
      </c>
      <c r="B1550" s="3">
        <v>45872</v>
      </c>
      <c r="C1550" t="s">
        <v>82</v>
      </c>
      <c r="D1550" t="s">
        <v>62</v>
      </c>
      <c r="E1550" t="s">
        <v>67</v>
      </c>
      <c r="F1550" t="s">
        <v>68</v>
      </c>
      <c r="G1550" s="6">
        <v>3</v>
      </c>
      <c r="H1550" s="4">
        <v>39.840000000000003</v>
      </c>
      <c r="I1550" s="4">
        <v>18.739999999999998</v>
      </c>
      <c r="J1550" s="5">
        <v>0</v>
      </c>
      <c r="K1550" s="6">
        <v>5</v>
      </c>
      <c r="L1550" s="6">
        <v>4</v>
      </c>
      <c r="M1550" t="s">
        <v>58</v>
      </c>
      <c r="N1550" t="s">
        <v>59</v>
      </c>
      <c r="O1550" t="s">
        <v>73</v>
      </c>
      <c r="P1550" t="str">
        <f t="shared" si="168"/>
        <v>Individual</v>
      </c>
      <c r="Q1550" t="str">
        <f t="shared" si="169"/>
        <v>Midlands</v>
      </c>
      <c r="R1550" t="str">
        <f>PROPER(TRIM(E1550))</f>
        <v>Office</v>
      </c>
      <c r="S1550" s="27">
        <f>IF(ISTEXT(B1550),DATEVALUE(B1550),B1550)</f>
        <v>45872</v>
      </c>
      <c r="T1550" s="27">
        <f>COUNTIF($A$2:$A$1986,A1550)</f>
        <v>1</v>
      </c>
      <c r="U1550" s="27" t="str">
        <f t="shared" si="170"/>
        <v>Desk Lamp</v>
      </c>
      <c r="V1550" s="27">
        <f t="shared" si="171"/>
        <v>119.52000000000001</v>
      </c>
      <c r="W1550" s="27">
        <f t="shared" si="172"/>
        <v>56.22</v>
      </c>
      <c r="X1550" s="27">
        <f>RawSalesTable3[[#This Row],[Revenue]]-RawSalesTable3[[#This Row],[Total_Cost]]</f>
        <v>63.300000000000011</v>
      </c>
      <c r="Y1550" s="28">
        <f>RawSalesTable3[[#This Row],[Profit]]/RawSalesTable3[[#This Row],[Revenue]]</f>
        <v>0.52961847389558236</v>
      </c>
      <c r="Z1550" s="27" t="str">
        <f>TEXT(RawSalesTable3[[#This Row],[Order_Date_Clean]],"MMM YYYY")</f>
        <v>Aug 2025</v>
      </c>
      <c r="AA1550" s="27"/>
      <c r="AB1550" s="27">
        <f t="shared" si="173"/>
        <v>0</v>
      </c>
      <c r="AC1550" s="27">
        <f t="shared" si="174"/>
        <v>0</v>
      </c>
    </row>
    <row r="1551" spans="1:29">
      <c r="A1551" t="s">
        <v>1660</v>
      </c>
      <c r="B1551" s="3">
        <v>45857</v>
      </c>
      <c r="C1551" t="s">
        <v>54</v>
      </c>
      <c r="D1551" t="s">
        <v>62</v>
      </c>
      <c r="E1551" t="s">
        <v>56</v>
      </c>
      <c r="F1551" t="s">
        <v>83</v>
      </c>
      <c r="G1551" s="6">
        <v>1</v>
      </c>
      <c r="H1551" s="4">
        <v>65.25</v>
      </c>
      <c r="I1551" s="4">
        <v>34.42</v>
      </c>
      <c r="J1551" s="5">
        <v>0</v>
      </c>
      <c r="K1551" s="6">
        <v>0</v>
      </c>
      <c r="L1551" s="6">
        <v>5</v>
      </c>
      <c r="M1551" t="s">
        <v>58</v>
      </c>
      <c r="N1551" t="s">
        <v>69</v>
      </c>
      <c r="O1551" t="s">
        <v>64</v>
      </c>
      <c r="P1551" t="str">
        <f t="shared" si="168"/>
        <v>Individual</v>
      </c>
      <c r="Q1551" t="str">
        <f t="shared" si="169"/>
        <v>North</v>
      </c>
      <c r="R1551" t="str">
        <f>PROPER(TRIM(E1551))</f>
        <v>Home &amp; Kitchen</v>
      </c>
      <c r="S1551" s="27">
        <f>IF(ISTEXT(B1551),DATEVALUE(B1551),B1551)</f>
        <v>45857</v>
      </c>
      <c r="T1551" s="27">
        <f>COUNTIF($A$2:$A$1986,A1551)</f>
        <v>1</v>
      </c>
      <c r="U1551" s="27" t="str">
        <f t="shared" si="170"/>
        <v>Blender</v>
      </c>
      <c r="V1551" s="27">
        <f t="shared" si="171"/>
        <v>65.25</v>
      </c>
      <c r="W1551" s="27">
        <f t="shared" si="172"/>
        <v>34.42</v>
      </c>
      <c r="X1551" s="27">
        <f>RawSalesTable3[[#This Row],[Revenue]]-RawSalesTable3[[#This Row],[Total_Cost]]</f>
        <v>30.83</v>
      </c>
      <c r="Y1551" s="28">
        <f>RawSalesTable3[[#This Row],[Profit]]/RawSalesTable3[[#This Row],[Revenue]]</f>
        <v>0.47249042145593867</v>
      </c>
      <c r="Z1551" s="27" t="str">
        <f>TEXT(RawSalesTable3[[#This Row],[Order_Date_Clean]],"MMM YYYY")</f>
        <v>Jul 2025</v>
      </c>
      <c r="AA1551" s="27"/>
      <c r="AB1551" s="27">
        <f t="shared" si="173"/>
        <v>0</v>
      </c>
      <c r="AC1551" s="27">
        <f t="shared" si="174"/>
        <v>0</v>
      </c>
    </row>
    <row r="1552" spans="1:29">
      <c r="A1552" t="s">
        <v>1661</v>
      </c>
      <c r="B1552" s="3">
        <v>45699</v>
      </c>
      <c r="C1552" t="s">
        <v>78</v>
      </c>
      <c r="D1552" t="s">
        <v>62</v>
      </c>
      <c r="E1552" t="s">
        <v>56</v>
      </c>
      <c r="F1552" t="s">
        <v>63</v>
      </c>
      <c r="G1552" s="6">
        <v>1</v>
      </c>
      <c r="H1552" s="4">
        <v>40.83</v>
      </c>
      <c r="I1552" s="4">
        <v>20.87</v>
      </c>
      <c r="J1552" s="5">
        <v>0</v>
      </c>
      <c r="K1552" s="6">
        <v>1</v>
      </c>
      <c r="L1552" s="6">
        <v>4</v>
      </c>
      <c r="M1552" t="s">
        <v>58</v>
      </c>
      <c r="N1552" t="s">
        <v>69</v>
      </c>
      <c r="O1552" t="s">
        <v>73</v>
      </c>
      <c r="P1552" t="str">
        <f t="shared" si="168"/>
        <v>Individual</v>
      </c>
      <c r="Q1552" t="str">
        <f t="shared" si="169"/>
        <v>London</v>
      </c>
      <c r="R1552" t="str">
        <f>PROPER(TRIM(E1552))</f>
        <v>Home &amp; Kitchen</v>
      </c>
      <c r="S1552" s="27">
        <f>IF(ISTEXT(B1552),DATEVALUE(B1552),B1552)</f>
        <v>45699</v>
      </c>
      <c r="T1552" s="27">
        <f>COUNTIF($A$2:$A$1986,A1552)</f>
        <v>1</v>
      </c>
      <c r="U1552" s="27" t="str">
        <f t="shared" si="170"/>
        <v>Electric Kettle</v>
      </c>
      <c r="V1552" s="27">
        <f t="shared" si="171"/>
        <v>40.83</v>
      </c>
      <c r="W1552" s="27">
        <f t="shared" si="172"/>
        <v>20.87</v>
      </c>
      <c r="X1552" s="27">
        <f>RawSalesTable3[[#This Row],[Revenue]]-RawSalesTable3[[#This Row],[Total_Cost]]</f>
        <v>19.959999999999997</v>
      </c>
      <c r="Y1552" s="28">
        <f>RawSalesTable3[[#This Row],[Profit]]/RawSalesTable3[[#This Row],[Revenue]]</f>
        <v>0.4888562331618907</v>
      </c>
      <c r="Z1552" s="27" t="str">
        <f>TEXT(RawSalesTable3[[#This Row],[Order_Date_Clean]],"MMM YYYY")</f>
        <v>Feb 2025</v>
      </c>
      <c r="AA1552" s="27"/>
      <c r="AB1552" s="27">
        <f t="shared" si="173"/>
        <v>0</v>
      </c>
      <c r="AC1552" s="27">
        <f t="shared" si="174"/>
        <v>0</v>
      </c>
    </row>
    <row r="1553" spans="1:29">
      <c r="A1553" t="s">
        <v>1662</v>
      </c>
      <c r="B1553" s="3">
        <v>46021</v>
      </c>
      <c r="C1553" t="s">
        <v>1447</v>
      </c>
      <c r="D1553" t="s">
        <v>62</v>
      </c>
      <c r="E1553" t="s">
        <v>75</v>
      </c>
      <c r="F1553" t="s">
        <v>97</v>
      </c>
      <c r="G1553" s="6">
        <v>1</v>
      </c>
      <c r="H1553" s="4">
        <v>92.66</v>
      </c>
      <c r="I1553" s="4">
        <v>54.06</v>
      </c>
      <c r="J1553" s="5">
        <v>0</v>
      </c>
      <c r="K1553" s="6">
        <v>7</v>
      </c>
      <c r="L1553" s="6">
        <v>4</v>
      </c>
      <c r="M1553" t="s">
        <v>58</v>
      </c>
      <c r="N1553" t="s">
        <v>59</v>
      </c>
      <c r="O1553" t="s">
        <v>64</v>
      </c>
      <c r="P1553" t="str">
        <f t="shared" si="168"/>
        <v>Individual</v>
      </c>
      <c r="Q1553" t="str">
        <f t="shared" si="169"/>
        <v>South</v>
      </c>
      <c r="R1553" t="str">
        <f>PROPER(TRIM(E1553))</f>
        <v>Furniture</v>
      </c>
      <c r="S1553" s="27">
        <f>IF(ISTEXT(B1553),DATEVALUE(B1553),B1553)</f>
        <v>46021</v>
      </c>
      <c r="T1553" s="27">
        <f>COUNTIF($A$2:$A$1986,A1553)</f>
        <v>1</v>
      </c>
      <c r="U1553" s="27" t="str">
        <f t="shared" si="170"/>
        <v>Side Table</v>
      </c>
      <c r="V1553" s="27">
        <f t="shared" si="171"/>
        <v>92.66</v>
      </c>
      <c r="W1553" s="27">
        <f t="shared" si="172"/>
        <v>54.06</v>
      </c>
      <c r="X1553" s="27">
        <f>RawSalesTable3[[#This Row],[Revenue]]-RawSalesTable3[[#This Row],[Total_Cost]]</f>
        <v>38.599999999999994</v>
      </c>
      <c r="Y1553" s="28">
        <f>RawSalesTable3[[#This Row],[Profit]]/RawSalesTable3[[#This Row],[Revenue]]</f>
        <v>0.41657673213900276</v>
      </c>
      <c r="Z1553" s="27" t="str">
        <f>TEXT(RawSalesTable3[[#This Row],[Order_Date_Clean]],"MMM YYYY")</f>
        <v>Dec 2025</v>
      </c>
      <c r="AA1553" s="27"/>
      <c r="AB1553" s="27">
        <f t="shared" si="173"/>
        <v>0</v>
      </c>
      <c r="AC1553" s="27">
        <f t="shared" si="174"/>
        <v>0</v>
      </c>
    </row>
    <row r="1554" spans="1:29">
      <c r="A1554" t="s">
        <v>1663</v>
      </c>
      <c r="B1554" s="3">
        <v>45932</v>
      </c>
      <c r="C1554" t="s">
        <v>54</v>
      </c>
      <c r="D1554" t="s">
        <v>62</v>
      </c>
      <c r="E1554" t="s">
        <v>67</v>
      </c>
      <c r="F1554" t="s">
        <v>71</v>
      </c>
      <c r="G1554" s="6">
        <v>1</v>
      </c>
      <c r="H1554" s="4">
        <v>70.48</v>
      </c>
      <c r="I1554" s="4">
        <v>38.54</v>
      </c>
      <c r="J1554" s="5">
        <v>0.1</v>
      </c>
      <c r="K1554" s="6">
        <v>4</v>
      </c>
      <c r="L1554" s="6">
        <v>5</v>
      </c>
      <c r="M1554" t="s">
        <v>58</v>
      </c>
      <c r="N1554" t="s">
        <v>87</v>
      </c>
      <c r="O1554" t="s">
        <v>64</v>
      </c>
      <c r="P1554" t="str">
        <f t="shared" si="168"/>
        <v>Individual</v>
      </c>
      <c r="Q1554" t="str">
        <f t="shared" si="169"/>
        <v>North</v>
      </c>
      <c r="R1554" t="str">
        <f>PROPER(TRIM(E1554))</f>
        <v>Office</v>
      </c>
      <c r="S1554" s="27">
        <f>IF(ISTEXT(B1554),DATEVALUE(B1554),B1554)</f>
        <v>45932</v>
      </c>
      <c r="T1554" s="27">
        <f>COUNTIF($A$2:$A$1986,A1554)</f>
        <v>1</v>
      </c>
      <c r="U1554" s="27" t="str">
        <f t="shared" si="170"/>
        <v>Ergonomic Keyboard</v>
      </c>
      <c r="V1554" s="27">
        <f t="shared" si="171"/>
        <v>63.432000000000002</v>
      </c>
      <c r="W1554" s="27">
        <f t="shared" si="172"/>
        <v>38.54</v>
      </c>
      <c r="X1554" s="27">
        <f>RawSalesTable3[[#This Row],[Revenue]]-RawSalesTable3[[#This Row],[Total_Cost]]</f>
        <v>24.892000000000003</v>
      </c>
      <c r="Y1554" s="28">
        <f>RawSalesTable3[[#This Row],[Profit]]/RawSalesTable3[[#This Row],[Revenue]]</f>
        <v>0.39242022953714217</v>
      </c>
      <c r="Z1554" s="27" t="str">
        <f>TEXT(RawSalesTable3[[#This Row],[Order_Date_Clean]],"MMM YYYY")</f>
        <v>Oct 2025</v>
      </c>
      <c r="AA1554" s="27"/>
      <c r="AB1554" s="27">
        <f t="shared" si="173"/>
        <v>0</v>
      </c>
      <c r="AC1554" s="27">
        <f t="shared" si="174"/>
        <v>0</v>
      </c>
    </row>
    <row r="1555" spans="1:29">
      <c r="A1555" t="s">
        <v>1664</v>
      </c>
      <c r="B1555" s="3">
        <v>46017</v>
      </c>
      <c r="C1555" t="s">
        <v>78</v>
      </c>
      <c r="D1555" t="s">
        <v>62</v>
      </c>
      <c r="E1555" t="s">
        <v>79</v>
      </c>
      <c r="F1555" t="s">
        <v>80</v>
      </c>
      <c r="G1555" s="6">
        <v>3</v>
      </c>
      <c r="H1555" s="4">
        <v>77.95</v>
      </c>
      <c r="I1555" s="4">
        <v>42.4</v>
      </c>
      <c r="J1555" s="5">
        <v>0.05</v>
      </c>
      <c r="K1555" s="6">
        <v>2</v>
      </c>
      <c r="L1555" s="6">
        <v>5</v>
      </c>
      <c r="M1555" t="s">
        <v>58</v>
      </c>
      <c r="N1555" t="s">
        <v>59</v>
      </c>
      <c r="O1555" t="s">
        <v>73</v>
      </c>
      <c r="P1555" t="str">
        <f t="shared" si="168"/>
        <v>Individual</v>
      </c>
      <c r="Q1555" t="str">
        <f t="shared" si="169"/>
        <v>London</v>
      </c>
      <c r="R1555" t="str">
        <f>PROPER(TRIM(E1555))</f>
        <v>Electronics</v>
      </c>
      <c r="S1555" s="27">
        <f>IF(ISTEXT(B1555),DATEVALUE(B1555),B1555)</f>
        <v>46017</v>
      </c>
      <c r="T1555" s="27">
        <f>COUNTIF($A$2:$A$1986,A1555)</f>
        <v>1</v>
      </c>
      <c r="U1555" s="27" t="str">
        <f t="shared" si="170"/>
        <v>Portable Speaker</v>
      </c>
      <c r="V1555" s="27">
        <f t="shared" si="171"/>
        <v>222.1575</v>
      </c>
      <c r="W1555" s="27">
        <f t="shared" si="172"/>
        <v>127.19999999999999</v>
      </c>
      <c r="X1555" s="27">
        <f>RawSalesTable3[[#This Row],[Revenue]]-RawSalesTable3[[#This Row],[Total_Cost]]</f>
        <v>94.95750000000001</v>
      </c>
      <c r="Y1555" s="28">
        <f>RawSalesTable3[[#This Row],[Profit]]/RawSalesTable3[[#This Row],[Revenue]]</f>
        <v>0.42743323993112997</v>
      </c>
      <c r="Z1555" s="27" t="str">
        <f>TEXT(RawSalesTable3[[#This Row],[Order_Date_Clean]],"MMM YYYY")</f>
        <v>Dec 2025</v>
      </c>
      <c r="AA1555" s="27"/>
      <c r="AB1555" s="27">
        <f t="shared" si="173"/>
        <v>0</v>
      </c>
      <c r="AC1555" s="27">
        <f t="shared" si="174"/>
        <v>0</v>
      </c>
    </row>
    <row r="1556" spans="1:29">
      <c r="A1556" t="s">
        <v>1665</v>
      </c>
      <c r="B1556" s="3">
        <v>45924</v>
      </c>
      <c r="C1556" t="s">
        <v>78</v>
      </c>
      <c r="D1556" t="s">
        <v>129</v>
      </c>
      <c r="E1556" t="s">
        <v>79</v>
      </c>
      <c r="F1556" t="s">
        <v>85</v>
      </c>
      <c r="G1556" s="6">
        <v>8</v>
      </c>
      <c r="H1556" s="4">
        <v>129.94999999999999</v>
      </c>
      <c r="I1556" s="4">
        <v>86.91</v>
      </c>
      <c r="J1556" s="5">
        <v>0.05</v>
      </c>
      <c r="K1556" s="6">
        <v>4</v>
      </c>
      <c r="L1556" s="6">
        <v>4</v>
      </c>
      <c r="M1556" t="s">
        <v>58</v>
      </c>
      <c r="N1556" t="s">
        <v>59</v>
      </c>
      <c r="O1556" t="s">
        <v>64</v>
      </c>
      <c r="P1556" t="str">
        <f t="shared" si="168"/>
        <v>Corporate</v>
      </c>
      <c r="Q1556" t="str">
        <f t="shared" si="169"/>
        <v>London</v>
      </c>
      <c r="R1556" t="str">
        <f>PROPER(TRIM(E1556))</f>
        <v>Electronics</v>
      </c>
      <c r="S1556" s="27">
        <f>IF(ISTEXT(B1556),DATEVALUE(B1556),B1556)</f>
        <v>45924</v>
      </c>
      <c r="T1556" s="27">
        <f>COUNTIF($A$2:$A$1986,A1556)</f>
        <v>1</v>
      </c>
      <c r="U1556" s="27" t="str">
        <f t="shared" si="170"/>
        <v>SmartHome Hub</v>
      </c>
      <c r="V1556" s="27">
        <f t="shared" si="171"/>
        <v>987.61999999999989</v>
      </c>
      <c r="W1556" s="27">
        <f t="shared" si="172"/>
        <v>695.28</v>
      </c>
      <c r="X1556" s="27">
        <f>RawSalesTable3[[#This Row],[Revenue]]-RawSalesTable3[[#This Row],[Total_Cost]]</f>
        <v>292.33999999999992</v>
      </c>
      <c r="Y1556" s="28">
        <f>RawSalesTable3[[#This Row],[Profit]]/RawSalesTable3[[#This Row],[Revenue]]</f>
        <v>0.29600453615763145</v>
      </c>
      <c r="Z1556" s="27" t="str">
        <f>TEXT(RawSalesTable3[[#This Row],[Order_Date_Clean]],"MMM YYYY")</f>
        <v>Sep 2025</v>
      </c>
      <c r="AA1556" s="27"/>
      <c r="AB1556" s="27">
        <f t="shared" si="173"/>
        <v>0</v>
      </c>
      <c r="AC1556" s="27">
        <f t="shared" si="174"/>
        <v>0</v>
      </c>
    </row>
    <row r="1557" spans="1:29">
      <c r="A1557" t="s">
        <v>1666</v>
      </c>
      <c r="B1557" s="3">
        <v>45774</v>
      </c>
      <c r="C1557" t="s">
        <v>82</v>
      </c>
      <c r="D1557" t="s">
        <v>129</v>
      </c>
      <c r="E1557" t="s">
        <v>67</v>
      </c>
      <c r="F1557" t="s">
        <v>68</v>
      </c>
      <c r="G1557" s="6">
        <v>4</v>
      </c>
      <c r="H1557" s="4">
        <v>39.270000000000003</v>
      </c>
      <c r="I1557" s="4">
        <v>18.62</v>
      </c>
      <c r="J1557" s="5">
        <v>0.05</v>
      </c>
      <c r="K1557" s="6">
        <v>2</v>
      </c>
      <c r="L1557" s="6"/>
      <c r="M1557" t="s">
        <v>58</v>
      </c>
      <c r="N1557" t="s">
        <v>69</v>
      </c>
      <c r="O1557" t="s">
        <v>73</v>
      </c>
      <c r="P1557" t="str">
        <f t="shared" si="168"/>
        <v>Corporate</v>
      </c>
      <c r="Q1557" t="str">
        <f t="shared" si="169"/>
        <v>Midlands</v>
      </c>
      <c r="R1557" t="str">
        <f>PROPER(TRIM(E1557))</f>
        <v>Office</v>
      </c>
      <c r="S1557" s="27">
        <f>IF(ISTEXT(B1557),DATEVALUE(B1557),B1557)</f>
        <v>45774</v>
      </c>
      <c r="T1557" s="27">
        <f>COUNTIF($A$2:$A$1986,A1557)</f>
        <v>1</v>
      </c>
      <c r="U1557" s="27" t="str">
        <f t="shared" si="170"/>
        <v>Desk Lamp</v>
      </c>
      <c r="V1557" s="27">
        <f t="shared" si="171"/>
        <v>149.226</v>
      </c>
      <c r="W1557" s="27">
        <f t="shared" si="172"/>
        <v>74.48</v>
      </c>
      <c r="X1557" s="27">
        <f>RawSalesTable3[[#This Row],[Revenue]]-RawSalesTable3[[#This Row],[Total_Cost]]</f>
        <v>74.745999999999995</v>
      </c>
      <c r="Y1557" s="28">
        <f>RawSalesTable3[[#This Row],[Profit]]/RawSalesTable3[[#This Row],[Revenue]]</f>
        <v>0.50089126559714792</v>
      </c>
      <c r="Z1557" s="27" t="str">
        <f>TEXT(RawSalesTable3[[#This Row],[Order_Date_Clean]],"MMM YYYY")</f>
        <v>Apr 2025</v>
      </c>
      <c r="AA1557" s="27"/>
      <c r="AB1557" s="27">
        <f t="shared" si="173"/>
        <v>0</v>
      </c>
      <c r="AC1557" s="27">
        <f t="shared" si="174"/>
        <v>0</v>
      </c>
    </row>
    <row r="1558" spans="1:29">
      <c r="A1558" t="s">
        <v>1667</v>
      </c>
      <c r="B1558" s="3">
        <v>45756</v>
      </c>
      <c r="C1558" t="s">
        <v>66</v>
      </c>
      <c r="D1558" t="s">
        <v>62</v>
      </c>
      <c r="E1558" t="s">
        <v>67</v>
      </c>
      <c r="F1558" t="s">
        <v>107</v>
      </c>
      <c r="G1558" s="6">
        <v>1</v>
      </c>
      <c r="H1558" s="4">
        <v>43.99</v>
      </c>
      <c r="I1558" s="4">
        <v>20.69</v>
      </c>
      <c r="J1558" s="5">
        <v>0.1</v>
      </c>
      <c r="K1558" s="6">
        <v>4</v>
      </c>
      <c r="L1558" s="6">
        <v>5</v>
      </c>
      <c r="M1558" t="s">
        <v>58</v>
      </c>
      <c r="N1558" t="s">
        <v>59</v>
      </c>
      <c r="O1558" t="s">
        <v>64</v>
      </c>
      <c r="P1558" t="str">
        <f t="shared" si="168"/>
        <v>Individual</v>
      </c>
      <c r="Q1558" t="str">
        <f t="shared" si="169"/>
        <v>South</v>
      </c>
      <c r="R1558" t="str">
        <f>PROPER(TRIM(E1558))</f>
        <v>Office</v>
      </c>
      <c r="S1558" s="27">
        <f>IF(ISTEXT(B1558),DATEVALUE(B1558),B1558)</f>
        <v>45756</v>
      </c>
      <c r="T1558" s="27">
        <f>COUNTIF($A$2:$A$1986,A1558)</f>
        <v>1</v>
      </c>
      <c r="U1558" s="27" t="str">
        <f t="shared" si="170"/>
        <v>Laptop Stand</v>
      </c>
      <c r="V1558" s="27">
        <f t="shared" si="171"/>
        <v>39.591000000000001</v>
      </c>
      <c r="W1558" s="27">
        <f t="shared" si="172"/>
        <v>20.69</v>
      </c>
      <c r="X1558" s="27">
        <f>RawSalesTable3[[#This Row],[Revenue]]-RawSalesTable3[[#This Row],[Total_Cost]]</f>
        <v>18.901</v>
      </c>
      <c r="Y1558" s="28">
        <f>RawSalesTable3[[#This Row],[Profit]]/RawSalesTable3[[#This Row],[Revenue]]</f>
        <v>0.47740648127099594</v>
      </c>
      <c r="Z1558" s="27" t="str">
        <f>TEXT(RawSalesTable3[[#This Row],[Order_Date_Clean]],"MMM YYYY")</f>
        <v>Apr 2025</v>
      </c>
      <c r="AA1558" s="27"/>
      <c r="AB1558" s="27">
        <f t="shared" si="173"/>
        <v>0</v>
      </c>
      <c r="AC1558" s="27">
        <f t="shared" si="174"/>
        <v>0</v>
      </c>
    </row>
    <row r="1559" spans="1:29">
      <c r="A1559" t="s">
        <v>1668</v>
      </c>
      <c r="B1559" s="3">
        <v>45967</v>
      </c>
      <c r="C1559" t="s">
        <v>54</v>
      </c>
      <c r="D1559" t="s">
        <v>129</v>
      </c>
      <c r="E1559" t="s">
        <v>56</v>
      </c>
      <c r="F1559" t="s">
        <v>83</v>
      </c>
      <c r="G1559" s="6">
        <v>4</v>
      </c>
      <c r="H1559" s="4">
        <v>67.53</v>
      </c>
      <c r="I1559" s="4">
        <v>35.82</v>
      </c>
      <c r="J1559" s="5">
        <v>0.1</v>
      </c>
      <c r="K1559" s="6">
        <v>3</v>
      </c>
      <c r="L1559" s="6">
        <v>5</v>
      </c>
      <c r="M1559" t="s">
        <v>58</v>
      </c>
      <c r="N1559" t="s">
        <v>59</v>
      </c>
      <c r="O1559" t="s">
        <v>64</v>
      </c>
      <c r="P1559" t="str">
        <f t="shared" si="168"/>
        <v>Corporate</v>
      </c>
      <c r="Q1559" t="str">
        <f t="shared" si="169"/>
        <v>North</v>
      </c>
      <c r="R1559" t="str">
        <f>PROPER(TRIM(E1559))</f>
        <v>Home &amp; Kitchen</v>
      </c>
      <c r="S1559" s="27">
        <f>IF(ISTEXT(B1559),DATEVALUE(B1559),B1559)</f>
        <v>45967</v>
      </c>
      <c r="T1559" s="27">
        <f>COUNTIF($A$2:$A$1986,A1559)</f>
        <v>1</v>
      </c>
      <c r="U1559" s="27" t="str">
        <f t="shared" si="170"/>
        <v>Blender</v>
      </c>
      <c r="V1559" s="27">
        <f t="shared" si="171"/>
        <v>243.108</v>
      </c>
      <c r="W1559" s="27">
        <f t="shared" si="172"/>
        <v>143.28</v>
      </c>
      <c r="X1559" s="27">
        <f>RawSalesTable3[[#This Row],[Revenue]]-RawSalesTable3[[#This Row],[Total_Cost]]</f>
        <v>99.828000000000003</v>
      </c>
      <c r="Y1559" s="28">
        <f>RawSalesTable3[[#This Row],[Profit]]/RawSalesTable3[[#This Row],[Revenue]]</f>
        <v>0.41063231156523028</v>
      </c>
      <c r="Z1559" s="27" t="str">
        <f>TEXT(RawSalesTable3[[#This Row],[Order_Date_Clean]],"MMM YYYY")</f>
        <v>Nov 2025</v>
      </c>
      <c r="AA1559" s="27"/>
      <c r="AB1559" s="27">
        <f t="shared" si="173"/>
        <v>0</v>
      </c>
      <c r="AC1559" s="27">
        <f t="shared" si="174"/>
        <v>0</v>
      </c>
    </row>
    <row r="1560" spans="1:29">
      <c r="A1560" t="s">
        <v>1669</v>
      </c>
      <c r="B1560" s="3">
        <v>45877</v>
      </c>
      <c r="C1560" t="s">
        <v>78</v>
      </c>
      <c r="D1560" t="s">
        <v>62</v>
      </c>
      <c r="E1560" t="s">
        <v>75</v>
      </c>
      <c r="F1560" t="s">
        <v>146</v>
      </c>
      <c r="G1560" s="6">
        <v>1</v>
      </c>
      <c r="H1560" s="4">
        <v>177.89</v>
      </c>
      <c r="I1560" s="4">
        <v>116.11</v>
      </c>
      <c r="J1560" s="5">
        <v>0.05</v>
      </c>
      <c r="K1560" s="6">
        <v>5</v>
      </c>
      <c r="L1560" s="6"/>
      <c r="M1560" t="s">
        <v>126</v>
      </c>
      <c r="N1560" t="s">
        <v>59</v>
      </c>
      <c r="O1560" t="s">
        <v>73</v>
      </c>
      <c r="P1560" t="str">
        <f t="shared" si="168"/>
        <v>Individual</v>
      </c>
      <c r="Q1560" t="str">
        <f t="shared" si="169"/>
        <v>London</v>
      </c>
      <c r="R1560" t="str">
        <f>PROPER(TRIM(E1560))</f>
        <v>Furniture</v>
      </c>
      <c r="S1560" s="27">
        <f>IF(ISTEXT(B1560),DATEVALUE(B1560),B1560)</f>
        <v>45877</v>
      </c>
      <c r="T1560" s="27">
        <f>COUNTIF($A$2:$A$1986,A1560)</f>
        <v>1</v>
      </c>
      <c r="U1560" s="27" t="str">
        <f t="shared" si="170"/>
        <v>Office Chair</v>
      </c>
      <c r="V1560" s="27">
        <f t="shared" si="171"/>
        <v>168.99549999999999</v>
      </c>
      <c r="W1560" s="27">
        <f t="shared" si="172"/>
        <v>116.11</v>
      </c>
      <c r="X1560" s="27">
        <f>RawSalesTable3[[#This Row],[Revenue]]-RawSalesTable3[[#This Row],[Total_Cost]]</f>
        <v>52.885499999999993</v>
      </c>
      <c r="Y1560" s="28">
        <f>RawSalesTable3[[#This Row],[Profit]]/RawSalesTable3[[#This Row],[Revenue]]</f>
        <v>0.31294028539221458</v>
      </c>
      <c r="Z1560" s="27" t="str">
        <f>TEXT(RawSalesTable3[[#This Row],[Order_Date_Clean]],"MMM YYYY")</f>
        <v>Aug 2025</v>
      </c>
      <c r="AA1560" s="27"/>
      <c r="AB1560" s="27">
        <f t="shared" si="173"/>
        <v>0</v>
      </c>
      <c r="AC1560" s="27">
        <f t="shared" si="174"/>
        <v>0</v>
      </c>
    </row>
    <row r="1561" spans="1:29">
      <c r="A1561" t="s">
        <v>1670</v>
      </c>
      <c r="B1561" s="3">
        <v>46009</v>
      </c>
      <c r="C1561" t="s">
        <v>78</v>
      </c>
      <c r="D1561" t="s">
        <v>62</v>
      </c>
      <c r="E1561" t="s">
        <v>79</v>
      </c>
      <c r="F1561" t="s">
        <v>115</v>
      </c>
      <c r="G1561" s="6">
        <v>2</v>
      </c>
      <c r="H1561" s="4">
        <v>58.71</v>
      </c>
      <c r="I1561" s="4">
        <v>33.130000000000003</v>
      </c>
      <c r="J1561" s="5">
        <v>0.05</v>
      </c>
      <c r="K1561" s="6">
        <v>5</v>
      </c>
      <c r="L1561" s="6">
        <v>4</v>
      </c>
      <c r="M1561" t="s">
        <v>58</v>
      </c>
      <c r="N1561" t="s">
        <v>59</v>
      </c>
      <c r="O1561" t="s">
        <v>64</v>
      </c>
      <c r="P1561" t="str">
        <f t="shared" si="168"/>
        <v>Individual</v>
      </c>
      <c r="Q1561" t="str">
        <f t="shared" si="169"/>
        <v>London</v>
      </c>
      <c r="R1561" t="str">
        <f>PROPER(TRIM(E1561))</f>
        <v>Electronics</v>
      </c>
      <c r="S1561" s="27">
        <f>IF(ISTEXT(B1561),DATEVALUE(B1561),B1561)</f>
        <v>46009</v>
      </c>
      <c r="T1561" s="27">
        <f>COUNTIF($A$2:$A$1986,A1561)</f>
        <v>1</v>
      </c>
      <c r="U1561" s="27" t="str">
        <f t="shared" si="170"/>
        <v>Wireless Headset</v>
      </c>
      <c r="V1561" s="27">
        <f t="shared" si="171"/>
        <v>111.54899999999999</v>
      </c>
      <c r="W1561" s="27">
        <f t="shared" si="172"/>
        <v>66.260000000000005</v>
      </c>
      <c r="X1561" s="27">
        <f>RawSalesTable3[[#This Row],[Revenue]]-RawSalesTable3[[#This Row],[Total_Cost]]</f>
        <v>45.288999999999987</v>
      </c>
      <c r="Y1561" s="28">
        <f>RawSalesTable3[[#This Row],[Profit]]/RawSalesTable3[[#This Row],[Revenue]]</f>
        <v>0.40600095025504479</v>
      </c>
      <c r="Z1561" s="27" t="str">
        <f>TEXT(RawSalesTable3[[#This Row],[Order_Date_Clean]],"MMM YYYY")</f>
        <v>Dec 2025</v>
      </c>
      <c r="AA1561" s="27"/>
      <c r="AB1561" s="27">
        <f t="shared" si="173"/>
        <v>0</v>
      </c>
      <c r="AC1561" s="27">
        <f t="shared" si="174"/>
        <v>0</v>
      </c>
    </row>
    <row r="1562" spans="1:29">
      <c r="A1562" t="s">
        <v>1671</v>
      </c>
      <c r="B1562" s="3">
        <v>45910</v>
      </c>
      <c r="C1562" t="s">
        <v>54</v>
      </c>
      <c r="D1562" t="s">
        <v>62</v>
      </c>
      <c r="E1562" t="s">
        <v>79</v>
      </c>
      <c r="F1562" t="s">
        <v>80</v>
      </c>
      <c r="G1562" s="6">
        <v>1</v>
      </c>
      <c r="H1562" s="4">
        <v>73.78</v>
      </c>
      <c r="I1562" s="4">
        <v>42.8</v>
      </c>
      <c r="J1562" s="5">
        <v>0.1</v>
      </c>
      <c r="K1562" s="6">
        <v>3</v>
      </c>
      <c r="L1562" s="6">
        <v>5</v>
      </c>
      <c r="M1562" t="s">
        <v>58</v>
      </c>
      <c r="N1562" t="s">
        <v>59</v>
      </c>
      <c r="O1562" t="s">
        <v>64</v>
      </c>
      <c r="P1562" t="str">
        <f t="shared" si="168"/>
        <v>Individual</v>
      </c>
      <c r="Q1562" t="str">
        <f t="shared" si="169"/>
        <v>North</v>
      </c>
      <c r="R1562" t="str">
        <f>PROPER(TRIM(E1562))</f>
        <v>Electronics</v>
      </c>
      <c r="S1562" s="27">
        <f>IF(ISTEXT(B1562),DATEVALUE(B1562),B1562)</f>
        <v>45910</v>
      </c>
      <c r="T1562" s="27">
        <f>COUNTIF($A$2:$A$1986,A1562)</f>
        <v>1</v>
      </c>
      <c r="U1562" s="27" t="str">
        <f t="shared" si="170"/>
        <v>Portable Speaker</v>
      </c>
      <c r="V1562" s="27">
        <f t="shared" si="171"/>
        <v>66.402000000000001</v>
      </c>
      <c r="W1562" s="27">
        <f t="shared" si="172"/>
        <v>42.8</v>
      </c>
      <c r="X1562" s="27">
        <f>RawSalesTable3[[#This Row],[Revenue]]-RawSalesTable3[[#This Row],[Total_Cost]]</f>
        <v>23.602000000000004</v>
      </c>
      <c r="Y1562" s="28">
        <f>RawSalesTable3[[#This Row],[Profit]]/RawSalesTable3[[#This Row],[Revenue]]</f>
        <v>0.35544110117165151</v>
      </c>
      <c r="Z1562" s="27" t="str">
        <f>TEXT(RawSalesTable3[[#This Row],[Order_Date_Clean]],"MMM YYYY")</f>
        <v>Sep 2025</v>
      </c>
      <c r="AA1562" s="27"/>
      <c r="AB1562" s="27">
        <f t="shared" si="173"/>
        <v>0</v>
      </c>
      <c r="AC1562" s="27">
        <f t="shared" si="174"/>
        <v>0</v>
      </c>
    </row>
    <row r="1563" spans="1:29">
      <c r="A1563" t="s">
        <v>1672</v>
      </c>
      <c r="B1563" s="3">
        <v>45964</v>
      </c>
      <c r="C1563" t="s">
        <v>54</v>
      </c>
      <c r="D1563" t="s">
        <v>55</v>
      </c>
      <c r="E1563" t="s">
        <v>79</v>
      </c>
      <c r="F1563" t="s">
        <v>80</v>
      </c>
      <c r="G1563" s="6">
        <v>1</v>
      </c>
      <c r="H1563" s="4">
        <v>73.48</v>
      </c>
      <c r="I1563" s="4">
        <v>43.15</v>
      </c>
      <c r="J1563" s="5">
        <v>0</v>
      </c>
      <c r="K1563" s="6">
        <v>5</v>
      </c>
      <c r="L1563" s="6">
        <v>4</v>
      </c>
      <c r="M1563" t="s">
        <v>58</v>
      </c>
      <c r="N1563" t="s">
        <v>59</v>
      </c>
      <c r="O1563" t="s">
        <v>64</v>
      </c>
      <c r="P1563" t="str">
        <f t="shared" si="168"/>
        <v>Small Business</v>
      </c>
      <c r="Q1563" t="str">
        <f t="shared" si="169"/>
        <v>North</v>
      </c>
      <c r="R1563" t="str">
        <f>PROPER(TRIM(E1563))</f>
        <v>Electronics</v>
      </c>
      <c r="S1563" s="27">
        <f>IF(ISTEXT(B1563),DATEVALUE(B1563),B1563)</f>
        <v>45964</v>
      </c>
      <c r="T1563" s="27">
        <f>COUNTIF($A$2:$A$1986,A1563)</f>
        <v>1</v>
      </c>
      <c r="U1563" s="27" t="str">
        <f t="shared" si="170"/>
        <v>Portable Speaker</v>
      </c>
      <c r="V1563" s="27">
        <f t="shared" si="171"/>
        <v>73.48</v>
      </c>
      <c r="W1563" s="27">
        <f t="shared" si="172"/>
        <v>43.15</v>
      </c>
      <c r="X1563" s="27">
        <f>RawSalesTable3[[#This Row],[Revenue]]-RawSalesTable3[[#This Row],[Total_Cost]]</f>
        <v>30.330000000000005</v>
      </c>
      <c r="Y1563" s="28">
        <f>RawSalesTable3[[#This Row],[Profit]]/RawSalesTable3[[#This Row],[Revenue]]</f>
        <v>0.41276537833424065</v>
      </c>
      <c r="Z1563" s="27" t="str">
        <f>TEXT(RawSalesTable3[[#This Row],[Order_Date_Clean]],"MMM YYYY")</f>
        <v>Nov 2025</v>
      </c>
      <c r="AA1563" s="27"/>
      <c r="AB1563" s="27">
        <f t="shared" si="173"/>
        <v>0</v>
      </c>
      <c r="AC1563" s="27">
        <f t="shared" si="174"/>
        <v>0</v>
      </c>
    </row>
    <row r="1564" spans="1:29">
      <c r="A1564" t="s">
        <v>1673</v>
      </c>
      <c r="B1564" s="3">
        <v>45827</v>
      </c>
      <c r="C1564" t="s">
        <v>78</v>
      </c>
      <c r="D1564" t="s">
        <v>62</v>
      </c>
      <c r="E1564" t="s">
        <v>79</v>
      </c>
      <c r="F1564" t="s">
        <v>92</v>
      </c>
      <c r="G1564" s="6">
        <v>2</v>
      </c>
      <c r="H1564" s="4">
        <v>51.84</v>
      </c>
      <c r="I1564" s="4">
        <v>25.81</v>
      </c>
      <c r="J1564" s="5">
        <v>0</v>
      </c>
      <c r="K1564" s="6">
        <v>1</v>
      </c>
      <c r="L1564" s="6">
        <v>5</v>
      </c>
      <c r="M1564" t="s">
        <v>58</v>
      </c>
      <c r="N1564" t="s">
        <v>69</v>
      </c>
      <c r="O1564" t="s">
        <v>64</v>
      </c>
      <c r="P1564" t="str">
        <f t="shared" si="168"/>
        <v>Individual</v>
      </c>
      <c r="Q1564" t="str">
        <f t="shared" si="169"/>
        <v>London</v>
      </c>
      <c r="R1564" t="str">
        <f>PROPER(TRIM(E1564))</f>
        <v>Electronics</v>
      </c>
      <c r="S1564" s="27">
        <f>IF(ISTEXT(B1564),DATEVALUE(B1564),B1564)</f>
        <v>45827</v>
      </c>
      <c r="T1564" s="27">
        <f>COUNTIF($A$2:$A$1986,A1564)</f>
        <v>1</v>
      </c>
      <c r="U1564" s="27" t="str">
        <f t="shared" si="170"/>
        <v>Webcam</v>
      </c>
      <c r="V1564" s="27">
        <f t="shared" si="171"/>
        <v>103.68</v>
      </c>
      <c r="W1564" s="27">
        <f t="shared" si="172"/>
        <v>51.62</v>
      </c>
      <c r="X1564" s="27">
        <f>RawSalesTable3[[#This Row],[Revenue]]-RawSalesTable3[[#This Row],[Total_Cost]]</f>
        <v>52.060000000000009</v>
      </c>
      <c r="Y1564" s="28">
        <f>RawSalesTable3[[#This Row],[Profit]]/RawSalesTable3[[#This Row],[Revenue]]</f>
        <v>0.50212191358024694</v>
      </c>
      <c r="Z1564" s="27" t="str">
        <f>TEXT(RawSalesTable3[[#This Row],[Order_Date_Clean]],"MMM YYYY")</f>
        <v>Jun 2025</v>
      </c>
      <c r="AA1564" s="27"/>
      <c r="AB1564" s="27">
        <f t="shared" si="173"/>
        <v>0</v>
      </c>
      <c r="AC1564" s="27">
        <f t="shared" si="174"/>
        <v>0</v>
      </c>
    </row>
    <row r="1565" spans="1:29">
      <c r="A1565" t="s">
        <v>1674</v>
      </c>
      <c r="B1565" s="3">
        <v>45707</v>
      </c>
      <c r="C1565" t="s">
        <v>54</v>
      </c>
      <c r="D1565" t="s">
        <v>129</v>
      </c>
      <c r="E1565" t="s">
        <v>56</v>
      </c>
      <c r="F1565" t="s">
        <v>57</v>
      </c>
      <c r="G1565" s="6">
        <v>10</v>
      </c>
      <c r="H1565" s="4">
        <v>113.99</v>
      </c>
      <c r="I1565" s="4">
        <v>65.400000000000006</v>
      </c>
      <c r="J1565" s="5">
        <v>0.1</v>
      </c>
      <c r="K1565" s="6">
        <v>2</v>
      </c>
      <c r="L1565" s="6">
        <v>5</v>
      </c>
      <c r="M1565" t="s">
        <v>58</v>
      </c>
      <c r="N1565" t="s">
        <v>69</v>
      </c>
      <c r="O1565" t="s">
        <v>60</v>
      </c>
      <c r="P1565" t="str">
        <f t="shared" si="168"/>
        <v>Corporate</v>
      </c>
      <c r="Q1565" t="str">
        <f t="shared" si="169"/>
        <v>North</v>
      </c>
      <c r="R1565" t="str">
        <f>PROPER(TRIM(E1565))</f>
        <v>Home &amp; Kitchen</v>
      </c>
      <c r="S1565" s="27">
        <f>IF(ISTEXT(B1565),DATEVALUE(B1565),B1565)</f>
        <v>45707</v>
      </c>
      <c r="T1565" s="27">
        <f>COUNTIF($A$2:$A$1986,A1565)</f>
        <v>1</v>
      </c>
      <c r="U1565" s="27" t="str">
        <f t="shared" si="170"/>
        <v>Air Fryer</v>
      </c>
      <c r="V1565" s="27">
        <f t="shared" si="171"/>
        <v>1025.9099999999999</v>
      </c>
      <c r="W1565" s="27">
        <f t="shared" si="172"/>
        <v>654</v>
      </c>
      <c r="X1565" s="27">
        <f>RawSalesTable3[[#This Row],[Revenue]]-RawSalesTable3[[#This Row],[Total_Cost]]</f>
        <v>371.90999999999985</v>
      </c>
      <c r="Y1565" s="28">
        <f>RawSalesTable3[[#This Row],[Profit]]/RawSalesTable3[[#This Row],[Revenue]]</f>
        <v>0.3625171798695791</v>
      </c>
      <c r="Z1565" s="27" t="str">
        <f>TEXT(RawSalesTable3[[#This Row],[Order_Date_Clean]],"MMM YYYY")</f>
        <v>Feb 2025</v>
      </c>
      <c r="AA1565" s="27"/>
      <c r="AB1565" s="27">
        <f t="shared" si="173"/>
        <v>0</v>
      </c>
      <c r="AC1565" s="27">
        <f t="shared" si="174"/>
        <v>0</v>
      </c>
    </row>
    <row r="1566" spans="1:29">
      <c r="A1566" t="s">
        <v>1675</v>
      </c>
      <c r="B1566" s="3">
        <v>45768</v>
      </c>
      <c r="C1566" t="s">
        <v>54</v>
      </c>
      <c r="D1566" t="s">
        <v>62</v>
      </c>
      <c r="E1566" t="s">
        <v>67</v>
      </c>
      <c r="F1566" t="s">
        <v>71</v>
      </c>
      <c r="G1566" s="6">
        <v>1</v>
      </c>
      <c r="H1566" s="4">
        <v>69.540000000000006</v>
      </c>
      <c r="I1566" s="4">
        <v>38.880000000000003</v>
      </c>
      <c r="J1566" s="5">
        <v>0</v>
      </c>
      <c r="K1566" s="6">
        <v>4</v>
      </c>
      <c r="L1566" s="6">
        <v>4</v>
      </c>
      <c r="M1566" t="s">
        <v>126</v>
      </c>
      <c r="N1566" t="s">
        <v>59</v>
      </c>
      <c r="O1566" t="s">
        <v>73</v>
      </c>
      <c r="P1566" t="str">
        <f t="shared" si="168"/>
        <v>Individual</v>
      </c>
      <c r="Q1566" t="str">
        <f t="shared" si="169"/>
        <v>North</v>
      </c>
      <c r="R1566" t="str">
        <f>PROPER(TRIM(E1566))</f>
        <v>Office</v>
      </c>
      <c r="S1566" s="27">
        <f>IF(ISTEXT(B1566),DATEVALUE(B1566),B1566)</f>
        <v>45768</v>
      </c>
      <c r="T1566" s="27">
        <f>COUNTIF($A$2:$A$1986,A1566)</f>
        <v>1</v>
      </c>
      <c r="U1566" s="27" t="str">
        <f t="shared" si="170"/>
        <v>Ergonomic Keyboard</v>
      </c>
      <c r="V1566" s="27">
        <f t="shared" si="171"/>
        <v>69.540000000000006</v>
      </c>
      <c r="W1566" s="27">
        <f t="shared" si="172"/>
        <v>38.880000000000003</v>
      </c>
      <c r="X1566" s="27">
        <f>RawSalesTable3[[#This Row],[Revenue]]-RawSalesTable3[[#This Row],[Total_Cost]]</f>
        <v>30.660000000000004</v>
      </c>
      <c r="Y1566" s="28">
        <f>RawSalesTable3[[#This Row],[Profit]]/RawSalesTable3[[#This Row],[Revenue]]</f>
        <v>0.44089732528041414</v>
      </c>
      <c r="Z1566" s="27" t="str">
        <f>TEXT(RawSalesTable3[[#This Row],[Order_Date_Clean]],"MMM YYYY")</f>
        <v>Apr 2025</v>
      </c>
      <c r="AA1566" s="27"/>
      <c r="AB1566" s="27">
        <f t="shared" si="173"/>
        <v>0</v>
      </c>
      <c r="AC1566" s="27">
        <f t="shared" si="174"/>
        <v>0</v>
      </c>
    </row>
    <row r="1567" spans="1:29">
      <c r="A1567" t="s">
        <v>1676</v>
      </c>
      <c r="B1567" s="3">
        <v>45984</v>
      </c>
      <c r="C1567" t="s">
        <v>82</v>
      </c>
      <c r="D1567" t="s">
        <v>62</v>
      </c>
      <c r="E1567" t="s">
        <v>75</v>
      </c>
      <c r="F1567" t="s">
        <v>76</v>
      </c>
      <c r="G1567" s="6">
        <v>1</v>
      </c>
      <c r="H1567" s="4">
        <v>121.47</v>
      </c>
      <c r="I1567" s="4">
        <v>74.98</v>
      </c>
      <c r="J1567" s="5">
        <v>0.05</v>
      </c>
      <c r="K1567" s="6">
        <v>2</v>
      </c>
      <c r="L1567" s="6">
        <v>4</v>
      </c>
      <c r="M1567" t="s">
        <v>58</v>
      </c>
      <c r="N1567" t="s">
        <v>69</v>
      </c>
      <c r="O1567" t="s">
        <v>60</v>
      </c>
      <c r="P1567" t="str">
        <f t="shared" si="168"/>
        <v>Individual</v>
      </c>
      <c r="Q1567" t="str">
        <f t="shared" si="169"/>
        <v>Midlands</v>
      </c>
      <c r="R1567" t="str">
        <f>PROPER(TRIM(E1567))</f>
        <v>Furniture</v>
      </c>
      <c r="S1567" s="27">
        <f>IF(ISTEXT(B1567),DATEVALUE(B1567),B1567)</f>
        <v>45984</v>
      </c>
      <c r="T1567" s="27">
        <f>COUNTIF($A$2:$A$1986,A1567)</f>
        <v>1</v>
      </c>
      <c r="U1567" s="27" t="str">
        <f t="shared" si="170"/>
        <v>Bookshelf</v>
      </c>
      <c r="V1567" s="27">
        <f t="shared" si="171"/>
        <v>115.39649999999999</v>
      </c>
      <c r="W1567" s="27">
        <f t="shared" si="172"/>
        <v>74.98</v>
      </c>
      <c r="X1567" s="27">
        <f>RawSalesTable3[[#This Row],[Revenue]]-RawSalesTable3[[#This Row],[Total_Cost]]</f>
        <v>40.416499999999985</v>
      </c>
      <c r="Y1567" s="28">
        <f>RawSalesTable3[[#This Row],[Profit]]/RawSalesTable3[[#This Row],[Revenue]]</f>
        <v>0.35024025858669883</v>
      </c>
      <c r="Z1567" s="27" t="str">
        <f>TEXT(RawSalesTable3[[#This Row],[Order_Date_Clean]],"MMM YYYY")</f>
        <v>Nov 2025</v>
      </c>
      <c r="AA1567" s="27"/>
      <c r="AB1567" s="27">
        <f t="shared" si="173"/>
        <v>0</v>
      </c>
      <c r="AC1567" s="27">
        <f t="shared" si="174"/>
        <v>0</v>
      </c>
    </row>
    <row r="1568" spans="1:29">
      <c r="A1568" t="s">
        <v>1677</v>
      </c>
      <c r="B1568" s="3">
        <v>45744</v>
      </c>
      <c r="C1568" t="s">
        <v>78</v>
      </c>
      <c r="D1568" t="s">
        <v>55</v>
      </c>
      <c r="E1568" t="s">
        <v>79</v>
      </c>
      <c r="F1568" t="s">
        <v>80</v>
      </c>
      <c r="G1568" s="6">
        <v>2</v>
      </c>
      <c r="H1568" s="4">
        <v>77.849999999999994</v>
      </c>
      <c r="I1568" s="4">
        <v>43.98</v>
      </c>
      <c r="J1568" s="5">
        <v>0.05</v>
      </c>
      <c r="K1568" s="6">
        <v>1</v>
      </c>
      <c r="L1568" s="6">
        <v>3</v>
      </c>
      <c r="M1568" t="s">
        <v>126</v>
      </c>
      <c r="N1568" t="s">
        <v>69</v>
      </c>
      <c r="O1568" t="s">
        <v>64</v>
      </c>
      <c r="P1568" t="str">
        <f t="shared" si="168"/>
        <v>Small Business</v>
      </c>
      <c r="Q1568" t="str">
        <f t="shared" si="169"/>
        <v>London</v>
      </c>
      <c r="R1568" t="str">
        <f>PROPER(TRIM(E1568))</f>
        <v>Electronics</v>
      </c>
      <c r="S1568" s="27">
        <f>IF(ISTEXT(B1568),DATEVALUE(B1568),B1568)</f>
        <v>45744</v>
      </c>
      <c r="T1568" s="27">
        <f>COUNTIF($A$2:$A$1986,A1568)</f>
        <v>1</v>
      </c>
      <c r="U1568" s="27" t="str">
        <f t="shared" si="170"/>
        <v>Portable Speaker</v>
      </c>
      <c r="V1568" s="27">
        <f t="shared" si="171"/>
        <v>147.91499999999999</v>
      </c>
      <c r="W1568" s="27">
        <f t="shared" si="172"/>
        <v>87.96</v>
      </c>
      <c r="X1568" s="27">
        <f>RawSalesTable3[[#This Row],[Revenue]]-RawSalesTable3[[#This Row],[Total_Cost]]</f>
        <v>59.954999999999998</v>
      </c>
      <c r="Y1568" s="28">
        <f>RawSalesTable3[[#This Row],[Profit]]/RawSalesTable3[[#This Row],[Revenue]]</f>
        <v>0.4053341446100801</v>
      </c>
      <c r="Z1568" s="27" t="str">
        <f>TEXT(RawSalesTable3[[#This Row],[Order_Date_Clean]],"MMM YYYY")</f>
        <v>Mar 2025</v>
      </c>
      <c r="AA1568" s="27"/>
      <c r="AB1568" s="27">
        <f t="shared" si="173"/>
        <v>0</v>
      </c>
      <c r="AC1568" s="27">
        <f t="shared" si="174"/>
        <v>0</v>
      </c>
    </row>
    <row r="1569" spans="1:29">
      <c r="A1569" t="s">
        <v>1678</v>
      </c>
      <c r="B1569" s="3">
        <v>45822</v>
      </c>
      <c r="C1569" t="s">
        <v>82</v>
      </c>
      <c r="D1569" t="s">
        <v>62</v>
      </c>
      <c r="E1569" t="s">
        <v>56</v>
      </c>
      <c r="F1569" t="s">
        <v>83</v>
      </c>
      <c r="G1569" s="6">
        <v>2</v>
      </c>
      <c r="H1569" s="4">
        <v>64.38</v>
      </c>
      <c r="I1569" s="4">
        <v>34.409999999999997</v>
      </c>
      <c r="J1569" s="5">
        <v>0.1</v>
      </c>
      <c r="K1569" s="6">
        <v>4</v>
      </c>
      <c r="L1569" s="6">
        <v>5</v>
      </c>
      <c r="M1569" t="s">
        <v>58</v>
      </c>
      <c r="N1569" t="s">
        <v>59</v>
      </c>
      <c r="O1569" t="s">
        <v>64</v>
      </c>
      <c r="P1569" t="str">
        <f t="shared" si="168"/>
        <v>Individual</v>
      </c>
      <c r="Q1569" t="str">
        <f t="shared" si="169"/>
        <v>Midlands</v>
      </c>
      <c r="R1569" t="str">
        <f>PROPER(TRIM(E1569))</f>
        <v>Home &amp; Kitchen</v>
      </c>
      <c r="S1569" s="27">
        <f>IF(ISTEXT(B1569),DATEVALUE(B1569),B1569)</f>
        <v>45822</v>
      </c>
      <c r="T1569" s="27">
        <f>COUNTIF($A$2:$A$1986,A1569)</f>
        <v>1</v>
      </c>
      <c r="U1569" s="27" t="str">
        <f t="shared" si="170"/>
        <v>Blender</v>
      </c>
      <c r="V1569" s="27">
        <f t="shared" si="171"/>
        <v>115.884</v>
      </c>
      <c r="W1569" s="27">
        <f t="shared" si="172"/>
        <v>68.819999999999993</v>
      </c>
      <c r="X1569" s="27">
        <f>RawSalesTable3[[#This Row],[Revenue]]-RawSalesTable3[[#This Row],[Total_Cost]]</f>
        <v>47.064000000000007</v>
      </c>
      <c r="Y1569" s="28">
        <f>RawSalesTable3[[#This Row],[Profit]]/RawSalesTable3[[#This Row],[Revenue]]</f>
        <v>0.40613026819923376</v>
      </c>
      <c r="Z1569" s="27" t="str">
        <f>TEXT(RawSalesTable3[[#This Row],[Order_Date_Clean]],"MMM YYYY")</f>
        <v>Jun 2025</v>
      </c>
      <c r="AA1569" s="27"/>
      <c r="AB1569" s="27">
        <f t="shared" si="173"/>
        <v>0</v>
      </c>
      <c r="AC1569" s="27">
        <f t="shared" si="174"/>
        <v>0</v>
      </c>
    </row>
    <row r="1570" spans="1:29">
      <c r="A1570" t="s">
        <v>1679</v>
      </c>
      <c r="B1570" s="3">
        <v>45916</v>
      </c>
      <c r="C1570" t="s">
        <v>66</v>
      </c>
      <c r="D1570" t="s">
        <v>62</v>
      </c>
      <c r="E1570" t="s">
        <v>75</v>
      </c>
      <c r="F1570" t="s">
        <v>110</v>
      </c>
      <c r="G1570" s="6">
        <v>3</v>
      </c>
      <c r="H1570" s="4">
        <v>156.32</v>
      </c>
      <c r="I1570" s="4">
        <v>98.66</v>
      </c>
      <c r="J1570" s="5">
        <v>0.1</v>
      </c>
      <c r="K1570" s="6">
        <v>6</v>
      </c>
      <c r="L1570" s="6">
        <v>4</v>
      </c>
      <c r="M1570" t="s">
        <v>58</v>
      </c>
      <c r="N1570" t="s">
        <v>59</v>
      </c>
      <c r="O1570" t="s">
        <v>64</v>
      </c>
      <c r="P1570" t="str">
        <f t="shared" si="168"/>
        <v>Individual</v>
      </c>
      <c r="Q1570" t="str">
        <f t="shared" si="169"/>
        <v>South</v>
      </c>
      <c r="R1570" t="str">
        <f>PROPER(TRIM(E1570))</f>
        <v>Furniture</v>
      </c>
      <c r="S1570" s="27">
        <f>IF(ISTEXT(B1570),DATEVALUE(B1570),B1570)</f>
        <v>45916</v>
      </c>
      <c r="T1570" s="27">
        <f>COUNTIF($A$2:$A$1986,A1570)</f>
        <v>1</v>
      </c>
      <c r="U1570" s="27" t="str">
        <f t="shared" si="170"/>
        <v>Storage Cabinet</v>
      </c>
      <c r="V1570" s="27">
        <f t="shared" si="171"/>
        <v>422.06399999999996</v>
      </c>
      <c r="W1570" s="27">
        <f t="shared" si="172"/>
        <v>295.98</v>
      </c>
      <c r="X1570" s="27">
        <f>RawSalesTable3[[#This Row],[Revenue]]-RawSalesTable3[[#This Row],[Total_Cost]]</f>
        <v>126.08399999999995</v>
      </c>
      <c r="Y1570" s="28">
        <f>RawSalesTable3[[#This Row],[Profit]]/RawSalesTable3[[#This Row],[Revenue]]</f>
        <v>0.29873194586602969</v>
      </c>
      <c r="Z1570" s="27" t="str">
        <f>TEXT(RawSalesTable3[[#This Row],[Order_Date_Clean]],"MMM YYYY")</f>
        <v>Sep 2025</v>
      </c>
      <c r="AA1570" s="27"/>
      <c r="AB1570" s="27">
        <f t="shared" si="173"/>
        <v>0</v>
      </c>
      <c r="AC1570" s="27">
        <f t="shared" si="174"/>
        <v>0</v>
      </c>
    </row>
    <row r="1571" spans="1:29">
      <c r="A1571" t="s">
        <v>1680</v>
      </c>
      <c r="B1571" s="3">
        <v>45793</v>
      </c>
      <c r="C1571" t="s">
        <v>54</v>
      </c>
      <c r="D1571" t="s">
        <v>129</v>
      </c>
      <c r="E1571" t="s">
        <v>79</v>
      </c>
      <c r="F1571" t="s">
        <v>92</v>
      </c>
      <c r="G1571" s="6">
        <v>5</v>
      </c>
      <c r="H1571" s="4">
        <v>49.68</v>
      </c>
      <c r="I1571" s="4">
        <v>25.49</v>
      </c>
      <c r="J1571" s="5">
        <v>0.1</v>
      </c>
      <c r="K1571" s="6">
        <v>3</v>
      </c>
      <c r="L1571" s="6">
        <v>5</v>
      </c>
      <c r="M1571" t="s">
        <v>58</v>
      </c>
      <c r="N1571" t="s">
        <v>59</v>
      </c>
      <c r="O1571" t="s">
        <v>64</v>
      </c>
      <c r="P1571" t="str">
        <f t="shared" si="168"/>
        <v>Corporate</v>
      </c>
      <c r="Q1571" t="str">
        <f t="shared" si="169"/>
        <v>North</v>
      </c>
      <c r="R1571" t="str">
        <f>PROPER(TRIM(E1571))</f>
        <v>Electronics</v>
      </c>
      <c r="S1571" s="27">
        <f>IF(ISTEXT(B1571),DATEVALUE(B1571),B1571)</f>
        <v>45793</v>
      </c>
      <c r="T1571" s="27">
        <f>COUNTIF($A$2:$A$1986,A1571)</f>
        <v>1</v>
      </c>
      <c r="U1571" s="27" t="str">
        <f t="shared" si="170"/>
        <v>Webcam</v>
      </c>
      <c r="V1571" s="27">
        <f t="shared" si="171"/>
        <v>223.56</v>
      </c>
      <c r="W1571" s="27">
        <f t="shared" si="172"/>
        <v>127.44999999999999</v>
      </c>
      <c r="X1571" s="27">
        <f>RawSalesTable3[[#This Row],[Revenue]]-RawSalesTable3[[#This Row],[Total_Cost]]</f>
        <v>96.110000000000014</v>
      </c>
      <c r="Y1571" s="28">
        <f>RawSalesTable3[[#This Row],[Profit]]/RawSalesTable3[[#This Row],[Revenue]]</f>
        <v>0.42990696010019686</v>
      </c>
      <c r="Z1571" s="27" t="str">
        <f>TEXT(RawSalesTable3[[#This Row],[Order_Date_Clean]],"MMM YYYY")</f>
        <v>May 2025</v>
      </c>
      <c r="AA1571" s="27"/>
      <c r="AB1571" s="27">
        <f t="shared" si="173"/>
        <v>0</v>
      </c>
      <c r="AC1571" s="27">
        <f t="shared" si="174"/>
        <v>0</v>
      </c>
    </row>
    <row r="1572" spans="1:29">
      <c r="A1572" t="s">
        <v>1681</v>
      </c>
      <c r="B1572" s="3">
        <v>45684</v>
      </c>
      <c r="C1572" t="s">
        <v>78</v>
      </c>
      <c r="D1572" t="s">
        <v>55</v>
      </c>
      <c r="E1572" t="s">
        <v>67</v>
      </c>
      <c r="F1572" t="s">
        <v>94</v>
      </c>
      <c r="G1572" s="6">
        <v>2</v>
      </c>
      <c r="H1572" s="4">
        <v>35.6</v>
      </c>
      <c r="I1572" s="4">
        <v>16.649999999999999</v>
      </c>
      <c r="J1572" s="5">
        <v>0.05</v>
      </c>
      <c r="K1572" s="6">
        <v>4</v>
      </c>
      <c r="L1572" s="6">
        <v>5</v>
      </c>
      <c r="M1572" t="s">
        <v>58</v>
      </c>
      <c r="N1572" t="s">
        <v>59</v>
      </c>
      <c r="O1572" t="s">
        <v>73</v>
      </c>
      <c r="P1572" t="str">
        <f t="shared" si="168"/>
        <v>Small Business</v>
      </c>
      <c r="Q1572" t="str">
        <f t="shared" si="169"/>
        <v>London</v>
      </c>
      <c r="R1572" t="str">
        <f>PROPER(TRIM(E1572))</f>
        <v>Office</v>
      </c>
      <c r="S1572" s="27">
        <f>IF(ISTEXT(B1572),DATEVALUE(B1572),B1572)</f>
        <v>45684</v>
      </c>
      <c r="T1572" s="27">
        <f>COUNTIF($A$2:$A$1986,A1572)</f>
        <v>1</v>
      </c>
      <c r="U1572" s="27" t="str">
        <f t="shared" si="170"/>
        <v>Wireless Mouse</v>
      </c>
      <c r="V1572" s="27">
        <f t="shared" si="171"/>
        <v>67.64</v>
      </c>
      <c r="W1572" s="27">
        <f t="shared" si="172"/>
        <v>33.299999999999997</v>
      </c>
      <c r="X1572" s="27">
        <f>RawSalesTable3[[#This Row],[Revenue]]-RawSalesTable3[[#This Row],[Total_Cost]]</f>
        <v>34.340000000000003</v>
      </c>
      <c r="Y1572" s="28">
        <f>RawSalesTable3[[#This Row],[Profit]]/RawSalesTable3[[#This Row],[Revenue]]</f>
        <v>0.50768775872264937</v>
      </c>
      <c r="Z1572" s="27" t="str">
        <f>TEXT(RawSalesTable3[[#This Row],[Order_Date_Clean]],"MMM YYYY")</f>
        <v>Jan 2025</v>
      </c>
      <c r="AA1572" s="27"/>
      <c r="AB1572" s="27">
        <f t="shared" si="173"/>
        <v>0</v>
      </c>
      <c r="AC1572" s="27">
        <f t="shared" si="174"/>
        <v>0</v>
      </c>
    </row>
    <row r="1573" spans="1:29">
      <c r="A1573" t="s">
        <v>1682</v>
      </c>
      <c r="B1573" s="3">
        <v>45809</v>
      </c>
      <c r="C1573" t="s">
        <v>66</v>
      </c>
      <c r="D1573" t="s">
        <v>62</v>
      </c>
      <c r="E1573" t="s">
        <v>75</v>
      </c>
      <c r="F1573" t="s">
        <v>110</v>
      </c>
      <c r="G1573" s="6">
        <v>4</v>
      </c>
      <c r="H1573" s="4">
        <v>159</v>
      </c>
      <c r="I1573" s="4">
        <v>103.13</v>
      </c>
      <c r="J1573" s="5">
        <v>0</v>
      </c>
      <c r="K1573" s="6">
        <v>2</v>
      </c>
      <c r="L1573" s="6">
        <v>5</v>
      </c>
      <c r="M1573" t="s">
        <v>58</v>
      </c>
      <c r="N1573" t="s">
        <v>69</v>
      </c>
      <c r="O1573" t="s">
        <v>64</v>
      </c>
      <c r="P1573" t="str">
        <f t="shared" si="168"/>
        <v>Individual</v>
      </c>
      <c r="Q1573" t="str">
        <f t="shared" si="169"/>
        <v>South</v>
      </c>
      <c r="R1573" t="str">
        <f>PROPER(TRIM(E1573))</f>
        <v>Furniture</v>
      </c>
      <c r="S1573" s="27">
        <f>IF(ISTEXT(B1573),DATEVALUE(B1573),B1573)</f>
        <v>45809</v>
      </c>
      <c r="T1573" s="27">
        <f>COUNTIF($A$2:$A$1986,A1573)</f>
        <v>1</v>
      </c>
      <c r="U1573" s="27" t="str">
        <f t="shared" si="170"/>
        <v>Storage Cabinet</v>
      </c>
      <c r="V1573" s="27">
        <f t="shared" si="171"/>
        <v>636</v>
      </c>
      <c r="W1573" s="27">
        <f t="shared" si="172"/>
        <v>412.52</v>
      </c>
      <c r="X1573" s="27">
        <f>RawSalesTable3[[#This Row],[Revenue]]-RawSalesTable3[[#This Row],[Total_Cost]]</f>
        <v>223.48000000000002</v>
      </c>
      <c r="Y1573" s="28">
        <f>RawSalesTable3[[#This Row],[Profit]]/RawSalesTable3[[#This Row],[Revenue]]</f>
        <v>0.35138364779874215</v>
      </c>
      <c r="Z1573" s="27" t="str">
        <f>TEXT(RawSalesTable3[[#This Row],[Order_Date_Clean]],"MMM YYYY")</f>
        <v>Jun 2025</v>
      </c>
      <c r="AA1573" s="27"/>
      <c r="AB1573" s="27">
        <f t="shared" si="173"/>
        <v>0</v>
      </c>
      <c r="AC1573" s="27">
        <f t="shared" si="174"/>
        <v>0</v>
      </c>
    </row>
    <row r="1574" spans="1:29">
      <c r="A1574" t="s">
        <v>1683</v>
      </c>
      <c r="B1574" s="3">
        <v>45964</v>
      </c>
      <c r="C1574" t="s">
        <v>54</v>
      </c>
      <c r="D1574" t="s">
        <v>62</v>
      </c>
      <c r="E1574" t="s">
        <v>75</v>
      </c>
      <c r="F1574" t="s">
        <v>110</v>
      </c>
      <c r="G1574" s="6">
        <v>1</v>
      </c>
      <c r="H1574" s="4">
        <v>161.65</v>
      </c>
      <c r="I1574" s="4">
        <v>101.16</v>
      </c>
      <c r="J1574" s="5">
        <v>0.05</v>
      </c>
      <c r="K1574" s="6">
        <v>3</v>
      </c>
      <c r="L1574" s="6">
        <v>4</v>
      </c>
      <c r="M1574" t="s">
        <v>58</v>
      </c>
      <c r="N1574" t="s">
        <v>59</v>
      </c>
      <c r="O1574" t="s">
        <v>64</v>
      </c>
      <c r="P1574" t="str">
        <f t="shared" si="168"/>
        <v>Individual</v>
      </c>
      <c r="Q1574" t="str">
        <f t="shared" si="169"/>
        <v>North</v>
      </c>
      <c r="R1574" t="str">
        <f>PROPER(TRIM(E1574))</f>
        <v>Furniture</v>
      </c>
      <c r="S1574" s="27">
        <f>IF(ISTEXT(B1574),DATEVALUE(B1574),B1574)</f>
        <v>45964</v>
      </c>
      <c r="T1574" s="27">
        <f>COUNTIF($A$2:$A$1986,A1574)</f>
        <v>1</v>
      </c>
      <c r="U1574" s="27" t="str">
        <f t="shared" si="170"/>
        <v>Storage Cabinet</v>
      </c>
      <c r="V1574" s="27">
        <f t="shared" si="171"/>
        <v>153.5675</v>
      </c>
      <c r="W1574" s="27">
        <f t="shared" si="172"/>
        <v>101.16</v>
      </c>
      <c r="X1574" s="27">
        <f>RawSalesTable3[[#This Row],[Revenue]]-RawSalesTable3[[#This Row],[Total_Cost]]</f>
        <v>52.407499999999999</v>
      </c>
      <c r="Y1574" s="28">
        <f>RawSalesTable3[[#This Row],[Profit]]/RawSalesTable3[[#This Row],[Revenue]]</f>
        <v>0.34126686961759489</v>
      </c>
      <c r="Z1574" s="27" t="str">
        <f>TEXT(RawSalesTable3[[#This Row],[Order_Date_Clean]],"MMM YYYY")</f>
        <v>Nov 2025</v>
      </c>
      <c r="AA1574" s="27"/>
      <c r="AB1574" s="27">
        <f t="shared" si="173"/>
        <v>0</v>
      </c>
      <c r="AC1574" s="27">
        <f t="shared" si="174"/>
        <v>0</v>
      </c>
    </row>
    <row r="1575" spans="1:29">
      <c r="A1575" t="s">
        <v>1684</v>
      </c>
      <c r="B1575" s="3">
        <v>45969</v>
      </c>
      <c r="C1575" t="s">
        <v>78</v>
      </c>
      <c r="D1575" t="s">
        <v>62</v>
      </c>
      <c r="E1575" t="s">
        <v>67</v>
      </c>
      <c r="F1575" t="s">
        <v>68</v>
      </c>
      <c r="G1575" s="6">
        <v>2</v>
      </c>
      <c r="H1575" s="4">
        <v>40.479999999999997</v>
      </c>
      <c r="I1575" s="4">
        <v>19.52</v>
      </c>
      <c r="J1575" s="5">
        <v>0.1</v>
      </c>
      <c r="K1575" s="6">
        <v>3</v>
      </c>
      <c r="L1575" s="6">
        <v>4</v>
      </c>
      <c r="M1575" t="s">
        <v>58</v>
      </c>
      <c r="N1575" t="s">
        <v>59</v>
      </c>
      <c r="O1575" t="s">
        <v>64</v>
      </c>
      <c r="P1575" t="str">
        <f t="shared" si="168"/>
        <v>Individual</v>
      </c>
      <c r="Q1575" t="str">
        <f t="shared" si="169"/>
        <v>London</v>
      </c>
      <c r="R1575" t="str">
        <f>PROPER(TRIM(E1575))</f>
        <v>Office</v>
      </c>
      <c r="S1575" s="27">
        <f>IF(ISTEXT(B1575),DATEVALUE(B1575),B1575)</f>
        <v>45969</v>
      </c>
      <c r="T1575" s="27">
        <f>COUNTIF($A$2:$A$1986,A1575)</f>
        <v>1</v>
      </c>
      <c r="U1575" s="27" t="str">
        <f t="shared" si="170"/>
        <v>Desk Lamp</v>
      </c>
      <c r="V1575" s="27">
        <f t="shared" si="171"/>
        <v>72.86399999999999</v>
      </c>
      <c r="W1575" s="27">
        <f t="shared" si="172"/>
        <v>39.04</v>
      </c>
      <c r="X1575" s="27">
        <f>RawSalesTable3[[#This Row],[Revenue]]-RawSalesTable3[[#This Row],[Total_Cost]]</f>
        <v>33.823999999999991</v>
      </c>
      <c r="Y1575" s="28">
        <f>RawSalesTable3[[#This Row],[Profit]]/RawSalesTable3[[#This Row],[Revenue]]</f>
        <v>0.46420729029424673</v>
      </c>
      <c r="Z1575" s="27" t="str">
        <f>TEXT(RawSalesTable3[[#This Row],[Order_Date_Clean]],"MMM YYYY")</f>
        <v>Nov 2025</v>
      </c>
      <c r="AA1575" s="27"/>
      <c r="AB1575" s="27">
        <f t="shared" si="173"/>
        <v>0</v>
      </c>
      <c r="AC1575" s="27">
        <f t="shared" si="174"/>
        <v>0</v>
      </c>
    </row>
    <row r="1576" spans="1:29">
      <c r="A1576" t="s">
        <v>1685</v>
      </c>
      <c r="B1576" s="3">
        <v>45951</v>
      </c>
      <c r="C1576" t="s">
        <v>82</v>
      </c>
      <c r="D1576" t="s">
        <v>62</v>
      </c>
      <c r="E1576" t="s">
        <v>79</v>
      </c>
      <c r="F1576" t="s">
        <v>85</v>
      </c>
      <c r="G1576" s="6">
        <v>3</v>
      </c>
      <c r="H1576" s="4">
        <v>133.96</v>
      </c>
      <c r="I1576" s="4">
        <v>85.9</v>
      </c>
      <c r="J1576" s="5">
        <v>0.05</v>
      </c>
      <c r="K1576" s="6">
        <v>0</v>
      </c>
      <c r="L1576" s="6">
        <v>3</v>
      </c>
      <c r="M1576" t="s">
        <v>126</v>
      </c>
      <c r="N1576" t="s">
        <v>69</v>
      </c>
      <c r="O1576" t="s">
        <v>73</v>
      </c>
      <c r="P1576" t="str">
        <f t="shared" si="168"/>
        <v>Individual</v>
      </c>
      <c r="Q1576" t="str">
        <f t="shared" si="169"/>
        <v>Midlands</v>
      </c>
      <c r="R1576" t="str">
        <f>PROPER(TRIM(E1576))</f>
        <v>Electronics</v>
      </c>
      <c r="S1576" s="27">
        <f>IF(ISTEXT(B1576),DATEVALUE(B1576),B1576)</f>
        <v>45951</v>
      </c>
      <c r="T1576" s="27">
        <f>COUNTIF($A$2:$A$1986,A1576)</f>
        <v>1</v>
      </c>
      <c r="U1576" s="27" t="str">
        <f t="shared" si="170"/>
        <v>SmartHome Hub</v>
      </c>
      <c r="V1576" s="27">
        <f t="shared" si="171"/>
        <v>381.786</v>
      </c>
      <c r="W1576" s="27">
        <f t="shared" si="172"/>
        <v>257.70000000000005</v>
      </c>
      <c r="X1576" s="27">
        <f>RawSalesTable3[[#This Row],[Revenue]]-RawSalesTable3[[#This Row],[Total_Cost]]</f>
        <v>124.08599999999996</v>
      </c>
      <c r="Y1576" s="28">
        <f>RawSalesTable3[[#This Row],[Profit]]/RawSalesTable3[[#This Row],[Revenue]]</f>
        <v>0.32501453693954191</v>
      </c>
      <c r="Z1576" s="27" t="str">
        <f>TEXT(RawSalesTable3[[#This Row],[Order_Date_Clean]],"MMM YYYY")</f>
        <v>Oct 2025</v>
      </c>
      <c r="AA1576" s="27"/>
      <c r="AB1576" s="27">
        <f t="shared" si="173"/>
        <v>0</v>
      </c>
      <c r="AC1576" s="27">
        <f t="shared" si="174"/>
        <v>0</v>
      </c>
    </row>
    <row r="1577" spans="1:29">
      <c r="A1577" t="s">
        <v>1686</v>
      </c>
      <c r="B1577" s="3">
        <v>45787</v>
      </c>
      <c r="C1577" t="s">
        <v>82</v>
      </c>
      <c r="D1577" t="s">
        <v>62</v>
      </c>
      <c r="E1577" t="s">
        <v>56</v>
      </c>
      <c r="F1577" t="s">
        <v>57</v>
      </c>
      <c r="G1577" s="6">
        <v>1</v>
      </c>
      <c r="H1577" s="4">
        <v>106.7</v>
      </c>
      <c r="I1577" s="4">
        <v>65.040000000000006</v>
      </c>
      <c r="J1577" s="5">
        <v>0.05</v>
      </c>
      <c r="K1577" s="6">
        <v>2</v>
      </c>
      <c r="L1577" s="6">
        <v>4</v>
      </c>
      <c r="M1577" t="s">
        <v>58</v>
      </c>
      <c r="N1577" t="s">
        <v>59</v>
      </c>
      <c r="O1577" t="s">
        <v>64</v>
      </c>
      <c r="P1577" t="str">
        <f t="shared" si="168"/>
        <v>Individual</v>
      </c>
      <c r="Q1577" t="str">
        <f t="shared" si="169"/>
        <v>Midlands</v>
      </c>
      <c r="R1577" t="str">
        <f>PROPER(TRIM(E1577))</f>
        <v>Home &amp; Kitchen</v>
      </c>
      <c r="S1577" s="27">
        <f>IF(ISTEXT(B1577),DATEVALUE(B1577),B1577)</f>
        <v>45787</v>
      </c>
      <c r="T1577" s="27">
        <f>COUNTIF($A$2:$A$1986,A1577)</f>
        <v>1</v>
      </c>
      <c r="U1577" s="27" t="str">
        <f t="shared" si="170"/>
        <v>Air Fryer</v>
      </c>
      <c r="V1577" s="27">
        <f t="shared" si="171"/>
        <v>101.36499999999999</v>
      </c>
      <c r="W1577" s="27">
        <f t="shared" si="172"/>
        <v>65.040000000000006</v>
      </c>
      <c r="X1577" s="27">
        <f>RawSalesTable3[[#This Row],[Revenue]]-RawSalesTable3[[#This Row],[Total_Cost]]</f>
        <v>36.324999999999989</v>
      </c>
      <c r="Y1577" s="28">
        <f>RawSalesTable3[[#This Row],[Profit]]/RawSalesTable3[[#This Row],[Revenue]]</f>
        <v>0.35835840773442501</v>
      </c>
      <c r="Z1577" s="27" t="str">
        <f>TEXT(RawSalesTable3[[#This Row],[Order_Date_Clean]],"MMM YYYY")</f>
        <v>May 2025</v>
      </c>
      <c r="AA1577" s="27"/>
      <c r="AB1577" s="27">
        <f t="shared" si="173"/>
        <v>0</v>
      </c>
      <c r="AC1577" s="27">
        <f t="shared" si="174"/>
        <v>0</v>
      </c>
    </row>
    <row r="1578" spans="1:29">
      <c r="A1578" t="s">
        <v>1687</v>
      </c>
      <c r="B1578" s="3">
        <v>45973</v>
      </c>
      <c r="C1578" t="s">
        <v>54</v>
      </c>
      <c r="D1578" t="s">
        <v>62</v>
      </c>
      <c r="E1578" t="s">
        <v>79</v>
      </c>
      <c r="F1578" t="s">
        <v>85</v>
      </c>
      <c r="G1578" s="6">
        <v>2</v>
      </c>
      <c r="H1578" s="4">
        <v>129.27000000000001</v>
      </c>
      <c r="I1578" s="4">
        <v>86.75</v>
      </c>
      <c r="J1578" s="5">
        <v>0.15000000000000002</v>
      </c>
      <c r="K1578" s="6">
        <v>1</v>
      </c>
      <c r="L1578" s="6">
        <v>4</v>
      </c>
      <c r="M1578" t="s">
        <v>58</v>
      </c>
      <c r="N1578" t="s">
        <v>69</v>
      </c>
      <c r="O1578" t="s">
        <v>64</v>
      </c>
      <c r="P1578" t="str">
        <f t="shared" si="168"/>
        <v>Individual</v>
      </c>
      <c r="Q1578" t="str">
        <f t="shared" si="169"/>
        <v>North</v>
      </c>
      <c r="R1578" t="str">
        <f>PROPER(TRIM(E1578))</f>
        <v>Electronics</v>
      </c>
      <c r="S1578" s="27">
        <f>IF(ISTEXT(B1578),DATEVALUE(B1578),B1578)</f>
        <v>45973</v>
      </c>
      <c r="T1578" s="27">
        <f>COUNTIF($A$2:$A$1986,A1578)</f>
        <v>1</v>
      </c>
      <c r="U1578" s="27" t="str">
        <f t="shared" si="170"/>
        <v>SmartHome Hub</v>
      </c>
      <c r="V1578" s="27">
        <f t="shared" si="171"/>
        <v>219.75900000000001</v>
      </c>
      <c r="W1578" s="27">
        <f t="shared" si="172"/>
        <v>173.5</v>
      </c>
      <c r="X1578" s="27">
        <f>RawSalesTable3[[#This Row],[Revenue]]-RawSalesTable3[[#This Row],[Total_Cost]]</f>
        <v>46.259000000000015</v>
      </c>
      <c r="Y1578" s="28">
        <f>RawSalesTable3[[#This Row],[Profit]]/RawSalesTable3[[#This Row],[Revenue]]</f>
        <v>0.21049877365659658</v>
      </c>
      <c r="Z1578" s="27" t="str">
        <f>TEXT(RawSalesTable3[[#This Row],[Order_Date_Clean]],"MMM YYYY")</f>
        <v>Nov 2025</v>
      </c>
      <c r="AA1578" s="27"/>
      <c r="AB1578" s="27">
        <f t="shared" si="173"/>
        <v>0</v>
      </c>
      <c r="AC1578" s="27">
        <f t="shared" si="174"/>
        <v>0</v>
      </c>
    </row>
    <row r="1579" spans="1:29">
      <c r="A1579" t="s">
        <v>1688</v>
      </c>
      <c r="B1579" s="3">
        <v>45713</v>
      </c>
      <c r="C1579" t="s">
        <v>54</v>
      </c>
      <c r="D1579" t="s">
        <v>62</v>
      </c>
      <c r="E1579" t="s">
        <v>67</v>
      </c>
      <c r="F1579" t="s">
        <v>107</v>
      </c>
      <c r="G1579" s="6">
        <v>2</v>
      </c>
      <c r="H1579" s="4">
        <v>46.67</v>
      </c>
      <c r="I1579" s="4">
        <v>22.02</v>
      </c>
      <c r="J1579" s="5">
        <v>0</v>
      </c>
      <c r="K1579" s="6">
        <v>3</v>
      </c>
      <c r="L1579" s="6">
        <v>5</v>
      </c>
      <c r="M1579" t="s">
        <v>58</v>
      </c>
      <c r="N1579" t="s">
        <v>69</v>
      </c>
      <c r="O1579" t="s">
        <v>64</v>
      </c>
      <c r="P1579" t="str">
        <f t="shared" si="168"/>
        <v>Individual</v>
      </c>
      <c r="Q1579" t="str">
        <f t="shared" si="169"/>
        <v>North</v>
      </c>
      <c r="R1579" t="str">
        <f>PROPER(TRIM(E1579))</f>
        <v>Office</v>
      </c>
      <c r="S1579" s="27">
        <f>IF(ISTEXT(B1579),DATEVALUE(B1579),B1579)</f>
        <v>45713</v>
      </c>
      <c r="T1579" s="27">
        <f>COUNTIF($A$2:$A$1986,A1579)</f>
        <v>1</v>
      </c>
      <c r="U1579" s="27" t="str">
        <f t="shared" si="170"/>
        <v>Laptop Stand</v>
      </c>
      <c r="V1579" s="27">
        <f t="shared" si="171"/>
        <v>93.34</v>
      </c>
      <c r="W1579" s="27">
        <f t="shared" si="172"/>
        <v>44.04</v>
      </c>
      <c r="X1579" s="27">
        <f>RawSalesTable3[[#This Row],[Revenue]]-RawSalesTable3[[#This Row],[Total_Cost]]</f>
        <v>49.300000000000004</v>
      </c>
      <c r="Y1579" s="28">
        <f>RawSalesTable3[[#This Row],[Profit]]/RawSalesTable3[[#This Row],[Revenue]]</f>
        <v>0.52817655881722736</v>
      </c>
      <c r="Z1579" s="27" t="str">
        <f>TEXT(RawSalesTable3[[#This Row],[Order_Date_Clean]],"MMM YYYY")</f>
        <v>Feb 2025</v>
      </c>
      <c r="AA1579" s="27"/>
      <c r="AB1579" s="27">
        <f t="shared" si="173"/>
        <v>0</v>
      </c>
      <c r="AC1579" s="27">
        <f t="shared" si="174"/>
        <v>0</v>
      </c>
    </row>
    <row r="1580" spans="1:29">
      <c r="A1580" t="s">
        <v>1689</v>
      </c>
      <c r="B1580" s="3" t="s">
        <v>1690</v>
      </c>
      <c r="C1580" t="s">
        <v>82</v>
      </c>
      <c r="D1580" t="s">
        <v>62</v>
      </c>
      <c r="E1580" t="s">
        <v>79</v>
      </c>
      <c r="F1580" t="s">
        <v>115</v>
      </c>
      <c r="G1580" s="6">
        <v>3</v>
      </c>
      <c r="H1580" s="4">
        <v>62.07</v>
      </c>
      <c r="I1580" s="4">
        <v>34.82</v>
      </c>
      <c r="J1580" s="5">
        <v>0.15000000000000002</v>
      </c>
      <c r="K1580" s="6">
        <v>2</v>
      </c>
      <c r="L1580" s="6">
        <v>5</v>
      </c>
      <c r="M1580" t="s">
        <v>58</v>
      </c>
      <c r="N1580" t="s">
        <v>69</v>
      </c>
      <c r="O1580" t="s">
        <v>64</v>
      </c>
      <c r="P1580" t="str">
        <f t="shared" si="168"/>
        <v>Individual</v>
      </c>
      <c r="Q1580" t="str">
        <f t="shared" si="169"/>
        <v>Midlands</v>
      </c>
      <c r="R1580" t="str">
        <f>PROPER(TRIM(E1580))</f>
        <v>Electronics</v>
      </c>
      <c r="S1580" s="27">
        <f>IF(ISTEXT(B1580),DATEVALUE(B1580),B1580)</f>
        <v>45987</v>
      </c>
      <c r="T1580" s="27">
        <f>COUNTIF($A$2:$A$1986,A1580)</f>
        <v>1</v>
      </c>
      <c r="U1580" s="27" t="str">
        <f t="shared" si="170"/>
        <v>Wireless Headset</v>
      </c>
      <c r="V1580" s="27">
        <f t="shared" si="171"/>
        <v>158.27850000000001</v>
      </c>
      <c r="W1580" s="27">
        <f t="shared" si="172"/>
        <v>104.46000000000001</v>
      </c>
      <c r="X1580" s="27">
        <f>RawSalesTable3[[#This Row],[Revenue]]-RawSalesTable3[[#This Row],[Total_Cost]]</f>
        <v>53.8185</v>
      </c>
      <c r="Y1580" s="28">
        <f>RawSalesTable3[[#This Row],[Profit]]/RawSalesTable3[[#This Row],[Revenue]]</f>
        <v>0.34002407149423325</v>
      </c>
      <c r="Z1580" s="27" t="str">
        <f>TEXT(RawSalesTable3[[#This Row],[Order_Date_Clean]],"MMM YYYY")</f>
        <v>Nov 2025</v>
      </c>
      <c r="AA1580" s="27"/>
      <c r="AB1580" s="27">
        <f t="shared" si="173"/>
        <v>0</v>
      </c>
      <c r="AC1580" s="27">
        <f t="shared" si="174"/>
        <v>0</v>
      </c>
    </row>
    <row r="1581" spans="1:29">
      <c r="A1581" t="s">
        <v>1691</v>
      </c>
      <c r="B1581" s="3">
        <v>45812</v>
      </c>
      <c r="C1581" t="s">
        <v>78</v>
      </c>
      <c r="D1581" t="s">
        <v>55</v>
      </c>
      <c r="E1581" t="s">
        <v>56</v>
      </c>
      <c r="F1581" t="s">
        <v>57</v>
      </c>
      <c r="G1581" s="6">
        <v>2</v>
      </c>
      <c r="H1581" s="4">
        <v>109.71</v>
      </c>
      <c r="I1581" s="4">
        <v>68.86</v>
      </c>
      <c r="J1581" s="5">
        <v>0.05</v>
      </c>
      <c r="K1581" s="6">
        <v>3</v>
      </c>
      <c r="L1581" s="6">
        <v>5</v>
      </c>
      <c r="M1581" t="s">
        <v>58</v>
      </c>
      <c r="N1581" t="s">
        <v>59</v>
      </c>
      <c r="O1581" t="s">
        <v>60</v>
      </c>
      <c r="P1581" t="str">
        <f t="shared" si="168"/>
        <v>Small Business</v>
      </c>
      <c r="Q1581" t="str">
        <f t="shared" si="169"/>
        <v>London</v>
      </c>
      <c r="R1581" t="str">
        <f>PROPER(TRIM(E1581))</f>
        <v>Home &amp; Kitchen</v>
      </c>
      <c r="S1581" s="27">
        <f>IF(ISTEXT(B1581),DATEVALUE(B1581),B1581)</f>
        <v>45812</v>
      </c>
      <c r="T1581" s="27">
        <f>COUNTIF($A$2:$A$1986,A1581)</f>
        <v>1</v>
      </c>
      <c r="U1581" s="27" t="str">
        <f t="shared" si="170"/>
        <v>Air Fryer</v>
      </c>
      <c r="V1581" s="27">
        <f t="shared" si="171"/>
        <v>208.44899999999998</v>
      </c>
      <c r="W1581" s="27">
        <f t="shared" si="172"/>
        <v>137.72</v>
      </c>
      <c r="X1581" s="27">
        <f>RawSalesTable3[[#This Row],[Revenue]]-RawSalesTable3[[#This Row],[Total_Cost]]</f>
        <v>70.728999999999985</v>
      </c>
      <c r="Y1581" s="28">
        <f>RawSalesTable3[[#This Row],[Profit]]/RawSalesTable3[[#This Row],[Revenue]]</f>
        <v>0.33931081463571422</v>
      </c>
      <c r="Z1581" s="27" t="str">
        <f>TEXT(RawSalesTable3[[#This Row],[Order_Date_Clean]],"MMM YYYY")</f>
        <v>Jun 2025</v>
      </c>
      <c r="AA1581" s="27"/>
      <c r="AB1581" s="27">
        <f t="shared" si="173"/>
        <v>0</v>
      </c>
      <c r="AC1581" s="27">
        <f t="shared" si="174"/>
        <v>0</v>
      </c>
    </row>
    <row r="1582" spans="1:29">
      <c r="A1582" t="s">
        <v>1692</v>
      </c>
      <c r="B1582" s="3">
        <v>46020</v>
      </c>
      <c r="C1582" t="s">
        <v>54</v>
      </c>
      <c r="D1582" t="s">
        <v>55</v>
      </c>
      <c r="E1582" t="s">
        <v>56</v>
      </c>
      <c r="F1582" t="s">
        <v>89</v>
      </c>
      <c r="G1582" s="6">
        <v>1</v>
      </c>
      <c r="H1582" s="4">
        <v>78.58</v>
      </c>
      <c r="I1582" s="4">
        <v>46.5</v>
      </c>
      <c r="J1582" s="5">
        <v>0.1</v>
      </c>
      <c r="K1582" s="6">
        <v>3</v>
      </c>
      <c r="L1582" s="6">
        <v>5</v>
      </c>
      <c r="M1582" t="s">
        <v>58</v>
      </c>
      <c r="N1582" t="s">
        <v>69</v>
      </c>
      <c r="O1582" t="s">
        <v>64</v>
      </c>
      <c r="P1582" t="str">
        <f t="shared" si="168"/>
        <v>Small Business</v>
      </c>
      <c r="Q1582" t="str">
        <f t="shared" si="169"/>
        <v>North</v>
      </c>
      <c r="R1582" t="str">
        <f>PROPER(TRIM(E1582))</f>
        <v>Home &amp; Kitchen</v>
      </c>
      <c r="S1582" s="27">
        <f>IF(ISTEXT(B1582),DATEVALUE(B1582),B1582)</f>
        <v>46020</v>
      </c>
      <c r="T1582" s="27">
        <f>COUNTIF($A$2:$A$1986,A1582)</f>
        <v>1</v>
      </c>
      <c r="U1582" s="27" t="str">
        <f t="shared" si="170"/>
        <v>Coffee Maker</v>
      </c>
      <c r="V1582" s="27">
        <f t="shared" si="171"/>
        <v>70.721999999999994</v>
      </c>
      <c r="W1582" s="27">
        <f t="shared" si="172"/>
        <v>46.5</v>
      </c>
      <c r="X1582" s="27">
        <f>RawSalesTable3[[#This Row],[Revenue]]-RawSalesTable3[[#This Row],[Total_Cost]]</f>
        <v>24.221999999999994</v>
      </c>
      <c r="Y1582" s="28">
        <f>RawSalesTable3[[#This Row],[Profit]]/RawSalesTable3[[#This Row],[Revenue]]</f>
        <v>0.34249597013659111</v>
      </c>
      <c r="Z1582" s="27" t="str">
        <f>TEXT(RawSalesTable3[[#This Row],[Order_Date_Clean]],"MMM YYYY")</f>
        <v>Dec 2025</v>
      </c>
      <c r="AA1582" s="27"/>
      <c r="AB1582" s="27">
        <f t="shared" si="173"/>
        <v>0</v>
      </c>
      <c r="AC1582" s="27">
        <f t="shared" si="174"/>
        <v>0</v>
      </c>
    </row>
    <row r="1583" spans="1:29">
      <c r="A1583" t="s">
        <v>1693</v>
      </c>
      <c r="B1583" s="3">
        <v>45886</v>
      </c>
      <c r="C1583" t="s">
        <v>82</v>
      </c>
      <c r="D1583" t="s">
        <v>55</v>
      </c>
      <c r="E1583" t="s">
        <v>56</v>
      </c>
      <c r="F1583" t="s">
        <v>89</v>
      </c>
      <c r="G1583" s="6">
        <v>3</v>
      </c>
      <c r="H1583" s="4">
        <v>80.53</v>
      </c>
      <c r="I1583" s="4">
        <v>46.4</v>
      </c>
      <c r="J1583" s="5">
        <v>0.05</v>
      </c>
      <c r="K1583" s="6">
        <v>4</v>
      </c>
      <c r="L1583" s="6">
        <v>5</v>
      </c>
      <c r="M1583" t="s">
        <v>58</v>
      </c>
      <c r="N1583" t="s">
        <v>59</v>
      </c>
      <c r="O1583" t="s">
        <v>60</v>
      </c>
      <c r="P1583" t="str">
        <f t="shared" si="168"/>
        <v>Small Business</v>
      </c>
      <c r="Q1583" t="str">
        <f t="shared" si="169"/>
        <v>Midlands</v>
      </c>
      <c r="R1583" t="str">
        <f>PROPER(TRIM(E1583))</f>
        <v>Home &amp; Kitchen</v>
      </c>
      <c r="S1583" s="27">
        <f>IF(ISTEXT(B1583),DATEVALUE(B1583),B1583)</f>
        <v>45886</v>
      </c>
      <c r="T1583" s="27">
        <f>COUNTIF($A$2:$A$1986,A1583)</f>
        <v>1</v>
      </c>
      <c r="U1583" s="27" t="str">
        <f t="shared" si="170"/>
        <v>Coffee Maker</v>
      </c>
      <c r="V1583" s="27">
        <f t="shared" si="171"/>
        <v>229.51049999999998</v>
      </c>
      <c r="W1583" s="27">
        <f t="shared" si="172"/>
        <v>139.19999999999999</v>
      </c>
      <c r="X1583" s="27">
        <f>RawSalesTable3[[#This Row],[Revenue]]-RawSalesTable3[[#This Row],[Total_Cost]]</f>
        <v>90.31049999999999</v>
      </c>
      <c r="Y1583" s="28">
        <f>RawSalesTable3[[#This Row],[Profit]]/RawSalesTable3[[#This Row],[Revenue]]</f>
        <v>0.39349180102871112</v>
      </c>
      <c r="Z1583" s="27" t="str">
        <f>TEXT(RawSalesTable3[[#This Row],[Order_Date_Clean]],"MMM YYYY")</f>
        <v>Aug 2025</v>
      </c>
      <c r="AA1583" s="27"/>
      <c r="AB1583" s="27">
        <f t="shared" si="173"/>
        <v>0</v>
      </c>
      <c r="AC1583" s="27">
        <f t="shared" si="174"/>
        <v>0</v>
      </c>
    </row>
    <row r="1584" spans="1:29">
      <c r="A1584" t="s">
        <v>1694</v>
      </c>
      <c r="B1584" s="3">
        <v>45726</v>
      </c>
      <c r="C1584" t="s">
        <v>54</v>
      </c>
      <c r="D1584" t="s">
        <v>55</v>
      </c>
      <c r="E1584" t="s">
        <v>56</v>
      </c>
      <c r="F1584" t="s">
        <v>83</v>
      </c>
      <c r="G1584" s="6">
        <v>2</v>
      </c>
      <c r="H1584" s="4">
        <v>64.680000000000007</v>
      </c>
      <c r="I1584" s="4">
        <v>35.97</v>
      </c>
      <c r="J1584" s="5">
        <v>0.05</v>
      </c>
      <c r="K1584" s="6">
        <v>0</v>
      </c>
      <c r="L1584" s="6">
        <v>5</v>
      </c>
      <c r="M1584" t="s">
        <v>58</v>
      </c>
      <c r="N1584" t="s">
        <v>69</v>
      </c>
      <c r="O1584" t="s">
        <v>64</v>
      </c>
      <c r="P1584" t="str">
        <f t="shared" si="168"/>
        <v>Small Business</v>
      </c>
      <c r="Q1584" t="str">
        <f t="shared" si="169"/>
        <v>North</v>
      </c>
      <c r="R1584" t="str">
        <f>PROPER(TRIM(E1584))</f>
        <v>Home &amp; Kitchen</v>
      </c>
      <c r="S1584" s="27">
        <f>IF(ISTEXT(B1584),DATEVALUE(B1584),B1584)</f>
        <v>45726</v>
      </c>
      <c r="T1584" s="27">
        <f>COUNTIF($A$2:$A$1986,A1584)</f>
        <v>1</v>
      </c>
      <c r="U1584" s="27" t="str">
        <f t="shared" si="170"/>
        <v>Blender</v>
      </c>
      <c r="V1584" s="27">
        <f t="shared" si="171"/>
        <v>122.89200000000001</v>
      </c>
      <c r="W1584" s="27">
        <f t="shared" si="172"/>
        <v>71.94</v>
      </c>
      <c r="X1584" s="27">
        <f>RawSalesTable3[[#This Row],[Revenue]]-RawSalesTable3[[#This Row],[Total_Cost]]</f>
        <v>50.952000000000012</v>
      </c>
      <c r="Y1584" s="28">
        <f>RawSalesTable3[[#This Row],[Profit]]/RawSalesTable3[[#This Row],[Revenue]]</f>
        <v>0.41460794844253496</v>
      </c>
      <c r="Z1584" s="27" t="str">
        <f>TEXT(RawSalesTable3[[#This Row],[Order_Date_Clean]],"MMM YYYY")</f>
        <v>Mar 2025</v>
      </c>
      <c r="AA1584" s="27"/>
      <c r="AB1584" s="27">
        <f t="shared" si="173"/>
        <v>0</v>
      </c>
      <c r="AC1584" s="27">
        <f t="shared" si="174"/>
        <v>0</v>
      </c>
    </row>
    <row r="1585" spans="1:29">
      <c r="A1585" t="s">
        <v>1695</v>
      </c>
      <c r="B1585" s="3">
        <v>45828</v>
      </c>
      <c r="C1585" t="s">
        <v>82</v>
      </c>
      <c r="D1585" t="s">
        <v>62</v>
      </c>
      <c r="E1585" t="s">
        <v>67</v>
      </c>
      <c r="F1585" t="s">
        <v>68</v>
      </c>
      <c r="G1585" s="6">
        <v>1</v>
      </c>
      <c r="H1585" s="4">
        <v>39.520000000000003</v>
      </c>
      <c r="I1585" s="4">
        <v>19.52</v>
      </c>
      <c r="J1585" s="5">
        <v>0.05</v>
      </c>
      <c r="K1585" s="6">
        <v>6</v>
      </c>
      <c r="L1585" s="6">
        <v>2</v>
      </c>
      <c r="M1585" t="s">
        <v>126</v>
      </c>
      <c r="N1585" t="s">
        <v>59</v>
      </c>
      <c r="O1585" t="s">
        <v>64</v>
      </c>
      <c r="P1585" t="str">
        <f t="shared" si="168"/>
        <v>Individual</v>
      </c>
      <c r="Q1585" t="str">
        <f t="shared" si="169"/>
        <v>Midlands</v>
      </c>
      <c r="R1585" t="str">
        <f>PROPER(TRIM(E1585))</f>
        <v>Office</v>
      </c>
      <c r="S1585" s="27">
        <f>IF(ISTEXT(B1585),DATEVALUE(B1585),B1585)</f>
        <v>45828</v>
      </c>
      <c r="T1585" s="27">
        <f>COUNTIF($A$2:$A$1986,A1585)</f>
        <v>1</v>
      </c>
      <c r="U1585" s="27" t="str">
        <f t="shared" si="170"/>
        <v>Desk Lamp</v>
      </c>
      <c r="V1585" s="27">
        <f t="shared" si="171"/>
        <v>37.544000000000004</v>
      </c>
      <c r="W1585" s="27">
        <f t="shared" si="172"/>
        <v>19.52</v>
      </c>
      <c r="X1585" s="27">
        <f>RawSalesTable3[[#This Row],[Revenue]]-RawSalesTable3[[#This Row],[Total_Cost]]</f>
        <v>18.024000000000004</v>
      </c>
      <c r="Y1585" s="28">
        <f>RawSalesTable3[[#This Row],[Profit]]/RawSalesTable3[[#This Row],[Revenue]]</f>
        <v>0.48007670999360758</v>
      </c>
      <c r="Z1585" s="27" t="str">
        <f>TEXT(RawSalesTable3[[#This Row],[Order_Date_Clean]],"MMM YYYY")</f>
        <v>Jun 2025</v>
      </c>
      <c r="AA1585" s="27"/>
      <c r="AB1585" s="27">
        <f t="shared" si="173"/>
        <v>0</v>
      </c>
      <c r="AC1585" s="27">
        <f t="shared" si="174"/>
        <v>0</v>
      </c>
    </row>
    <row r="1586" spans="1:29">
      <c r="A1586" t="s">
        <v>1696</v>
      </c>
      <c r="B1586" s="3">
        <v>45902</v>
      </c>
      <c r="C1586" t="s">
        <v>66</v>
      </c>
      <c r="D1586" t="s">
        <v>62</v>
      </c>
      <c r="E1586" t="s">
        <v>56</v>
      </c>
      <c r="F1586" t="s">
        <v>63</v>
      </c>
      <c r="G1586" s="6">
        <v>1</v>
      </c>
      <c r="H1586" s="4">
        <v>40.06</v>
      </c>
      <c r="I1586" s="4">
        <v>20.9</v>
      </c>
      <c r="J1586" s="5">
        <v>0.05</v>
      </c>
      <c r="K1586" s="6">
        <v>3</v>
      </c>
      <c r="L1586" s="6">
        <v>4</v>
      </c>
      <c r="M1586" t="s">
        <v>58</v>
      </c>
      <c r="N1586" t="s">
        <v>59</v>
      </c>
      <c r="O1586" t="s">
        <v>60</v>
      </c>
      <c r="P1586" t="str">
        <f t="shared" si="168"/>
        <v>Individual</v>
      </c>
      <c r="Q1586" t="str">
        <f t="shared" si="169"/>
        <v>South</v>
      </c>
      <c r="R1586" t="str">
        <f>PROPER(TRIM(E1586))</f>
        <v>Home &amp; Kitchen</v>
      </c>
      <c r="S1586" s="27">
        <f>IF(ISTEXT(B1586),DATEVALUE(B1586),B1586)</f>
        <v>45902</v>
      </c>
      <c r="T1586" s="27">
        <f>COUNTIF($A$2:$A$1986,A1586)</f>
        <v>1</v>
      </c>
      <c r="U1586" s="27" t="str">
        <f t="shared" si="170"/>
        <v>Electric Kettle</v>
      </c>
      <c r="V1586" s="27">
        <f t="shared" si="171"/>
        <v>38.057000000000002</v>
      </c>
      <c r="W1586" s="27">
        <f t="shared" si="172"/>
        <v>20.9</v>
      </c>
      <c r="X1586" s="27">
        <f>RawSalesTable3[[#This Row],[Revenue]]-RawSalesTable3[[#This Row],[Total_Cost]]</f>
        <v>17.157000000000004</v>
      </c>
      <c r="Y1586" s="28">
        <f>RawSalesTable3[[#This Row],[Profit]]/RawSalesTable3[[#This Row],[Revenue]]</f>
        <v>0.45082376435346988</v>
      </c>
      <c r="Z1586" s="27" t="str">
        <f>TEXT(RawSalesTable3[[#This Row],[Order_Date_Clean]],"MMM YYYY")</f>
        <v>Sep 2025</v>
      </c>
      <c r="AA1586" s="27"/>
      <c r="AB1586" s="27">
        <f t="shared" si="173"/>
        <v>0</v>
      </c>
      <c r="AC1586" s="27">
        <f t="shared" si="174"/>
        <v>0</v>
      </c>
    </row>
    <row r="1587" spans="1:29">
      <c r="A1587" t="s">
        <v>1697</v>
      </c>
      <c r="B1587" s="3">
        <v>45928</v>
      </c>
      <c r="C1587" t="s">
        <v>66</v>
      </c>
      <c r="D1587" t="s">
        <v>62</v>
      </c>
      <c r="E1587" t="s">
        <v>79</v>
      </c>
      <c r="F1587" t="s">
        <v>80</v>
      </c>
      <c r="G1587" s="6">
        <v>1</v>
      </c>
      <c r="H1587" s="4">
        <v>77.19</v>
      </c>
      <c r="I1587" s="4">
        <v>42.92</v>
      </c>
      <c r="J1587" s="5">
        <v>0.2</v>
      </c>
      <c r="K1587" s="6">
        <v>4</v>
      </c>
      <c r="L1587" s="6">
        <v>4</v>
      </c>
      <c r="M1587" t="s">
        <v>58</v>
      </c>
      <c r="N1587" t="s">
        <v>59</v>
      </c>
      <c r="O1587" t="s">
        <v>60</v>
      </c>
      <c r="P1587" t="str">
        <f t="shared" si="168"/>
        <v>Individual</v>
      </c>
      <c r="Q1587" t="str">
        <f t="shared" si="169"/>
        <v>South</v>
      </c>
      <c r="R1587" t="str">
        <f>PROPER(TRIM(E1587))</f>
        <v>Electronics</v>
      </c>
      <c r="S1587" s="27">
        <f>IF(ISTEXT(B1587),DATEVALUE(B1587),B1587)</f>
        <v>45928</v>
      </c>
      <c r="T1587" s="27">
        <f>COUNTIF($A$2:$A$1986,A1587)</f>
        <v>1</v>
      </c>
      <c r="U1587" s="27" t="str">
        <f t="shared" si="170"/>
        <v>Portable Speaker</v>
      </c>
      <c r="V1587" s="27">
        <f t="shared" si="171"/>
        <v>61.752000000000002</v>
      </c>
      <c r="W1587" s="27">
        <f t="shared" si="172"/>
        <v>42.92</v>
      </c>
      <c r="X1587" s="27">
        <f>RawSalesTable3[[#This Row],[Revenue]]-RawSalesTable3[[#This Row],[Total_Cost]]</f>
        <v>18.832000000000001</v>
      </c>
      <c r="Y1587" s="28">
        <f>RawSalesTable3[[#This Row],[Profit]]/RawSalesTable3[[#This Row],[Revenue]]</f>
        <v>0.30496178261432827</v>
      </c>
      <c r="Z1587" s="27" t="str">
        <f>TEXT(RawSalesTable3[[#This Row],[Order_Date_Clean]],"MMM YYYY")</f>
        <v>Sep 2025</v>
      </c>
      <c r="AA1587" s="27"/>
      <c r="AB1587" s="27">
        <f t="shared" si="173"/>
        <v>0</v>
      </c>
      <c r="AC1587" s="27">
        <f t="shared" si="174"/>
        <v>0</v>
      </c>
    </row>
    <row r="1588" spans="1:29">
      <c r="A1588" t="s">
        <v>1698</v>
      </c>
      <c r="B1588" s="3">
        <v>45704</v>
      </c>
      <c r="C1588" t="s">
        <v>66</v>
      </c>
      <c r="D1588" t="s">
        <v>129</v>
      </c>
      <c r="E1588" t="s">
        <v>67</v>
      </c>
      <c r="F1588" t="s">
        <v>107</v>
      </c>
      <c r="G1588" s="6">
        <v>5</v>
      </c>
      <c r="H1588" s="4">
        <v>46.74</v>
      </c>
      <c r="I1588" s="4">
        <v>20.63</v>
      </c>
      <c r="J1588" s="5">
        <v>0.2</v>
      </c>
      <c r="K1588" s="6">
        <v>7</v>
      </c>
      <c r="L1588" s="6">
        <v>4</v>
      </c>
      <c r="M1588" t="s">
        <v>58</v>
      </c>
      <c r="N1588" t="s">
        <v>59</v>
      </c>
      <c r="O1588" t="s">
        <v>64</v>
      </c>
      <c r="P1588" t="str">
        <f t="shared" si="168"/>
        <v>Corporate</v>
      </c>
      <c r="Q1588" t="str">
        <f t="shared" si="169"/>
        <v>South</v>
      </c>
      <c r="R1588" t="str">
        <f>PROPER(TRIM(E1588))</f>
        <v>Office</v>
      </c>
      <c r="S1588" s="27">
        <f>IF(ISTEXT(B1588),DATEVALUE(B1588),B1588)</f>
        <v>45704</v>
      </c>
      <c r="T1588" s="27">
        <f>COUNTIF($A$2:$A$1986,A1588)</f>
        <v>1</v>
      </c>
      <c r="U1588" s="27" t="str">
        <f t="shared" si="170"/>
        <v>Laptop Stand</v>
      </c>
      <c r="V1588" s="27">
        <f t="shared" si="171"/>
        <v>186.96000000000004</v>
      </c>
      <c r="W1588" s="27">
        <f t="shared" si="172"/>
        <v>103.14999999999999</v>
      </c>
      <c r="X1588" s="27">
        <f>RawSalesTable3[[#This Row],[Revenue]]-RawSalesTable3[[#This Row],[Total_Cost]]</f>
        <v>83.810000000000045</v>
      </c>
      <c r="Y1588" s="28">
        <f>RawSalesTable3[[#This Row],[Profit]]/RawSalesTable3[[#This Row],[Revenue]]</f>
        <v>0.44827770646127529</v>
      </c>
      <c r="Z1588" s="27" t="str">
        <f>TEXT(RawSalesTable3[[#This Row],[Order_Date_Clean]],"MMM YYYY")</f>
        <v>Feb 2025</v>
      </c>
      <c r="AA1588" s="27"/>
      <c r="AB1588" s="27">
        <f t="shared" si="173"/>
        <v>0</v>
      </c>
      <c r="AC1588" s="27">
        <f t="shared" si="174"/>
        <v>0</v>
      </c>
    </row>
    <row r="1589" spans="1:29">
      <c r="A1589" t="s">
        <v>1699</v>
      </c>
      <c r="B1589" s="3">
        <v>45843</v>
      </c>
      <c r="C1589" t="s">
        <v>305</v>
      </c>
      <c r="D1589" t="s">
        <v>62</v>
      </c>
      <c r="E1589" t="s">
        <v>75</v>
      </c>
      <c r="F1589" t="s">
        <v>76</v>
      </c>
      <c r="G1589" s="6">
        <v>1</v>
      </c>
      <c r="H1589" s="4">
        <v>121.92</v>
      </c>
      <c r="I1589" s="4">
        <v>74.430000000000007</v>
      </c>
      <c r="J1589" s="5">
        <v>0.05</v>
      </c>
      <c r="K1589" s="6">
        <v>8</v>
      </c>
      <c r="L1589" s="6">
        <v>4</v>
      </c>
      <c r="M1589" t="s">
        <v>58</v>
      </c>
      <c r="N1589" t="s">
        <v>59</v>
      </c>
      <c r="O1589" t="s">
        <v>60</v>
      </c>
      <c r="P1589" t="str">
        <f t="shared" si="168"/>
        <v>Individual</v>
      </c>
      <c r="Q1589" t="str">
        <f t="shared" si="169"/>
        <v>London</v>
      </c>
      <c r="R1589" t="str">
        <f>PROPER(TRIM(E1589))</f>
        <v>Furniture</v>
      </c>
      <c r="S1589" s="27">
        <f>IF(ISTEXT(B1589),DATEVALUE(B1589),B1589)</f>
        <v>45843</v>
      </c>
      <c r="T1589" s="27">
        <f>COUNTIF($A$2:$A$1986,A1589)</f>
        <v>1</v>
      </c>
      <c r="U1589" s="27" t="str">
        <f t="shared" si="170"/>
        <v>Bookshelf</v>
      </c>
      <c r="V1589" s="27">
        <f t="shared" si="171"/>
        <v>115.824</v>
      </c>
      <c r="W1589" s="27">
        <f t="shared" si="172"/>
        <v>74.430000000000007</v>
      </c>
      <c r="X1589" s="27">
        <f>RawSalesTable3[[#This Row],[Revenue]]-RawSalesTable3[[#This Row],[Total_Cost]]</f>
        <v>41.393999999999991</v>
      </c>
      <c r="Y1589" s="28">
        <f>RawSalesTable3[[#This Row],[Profit]]/RawSalesTable3[[#This Row],[Revenue]]</f>
        <v>0.35738707003729792</v>
      </c>
      <c r="Z1589" s="27" t="str">
        <f>TEXT(RawSalesTable3[[#This Row],[Order_Date_Clean]],"MMM YYYY")</f>
        <v>Jul 2025</v>
      </c>
      <c r="AA1589" s="27"/>
      <c r="AB1589" s="27">
        <f t="shared" si="173"/>
        <v>0</v>
      </c>
      <c r="AC1589" s="27">
        <f t="shared" si="174"/>
        <v>0</v>
      </c>
    </row>
    <row r="1590" spans="1:29">
      <c r="A1590" t="s">
        <v>1700</v>
      </c>
      <c r="B1590" s="3">
        <v>45687</v>
      </c>
      <c r="C1590" t="s">
        <v>82</v>
      </c>
      <c r="D1590" t="s">
        <v>62</v>
      </c>
      <c r="E1590" t="s">
        <v>79</v>
      </c>
      <c r="F1590" t="s">
        <v>92</v>
      </c>
      <c r="G1590" s="6">
        <v>1</v>
      </c>
      <c r="H1590" s="4">
        <v>50.86</v>
      </c>
      <c r="I1590" s="4">
        <v>26.93</v>
      </c>
      <c r="J1590" s="5">
        <v>0</v>
      </c>
      <c r="K1590" s="6">
        <v>0</v>
      </c>
      <c r="L1590" s="6">
        <v>5</v>
      </c>
      <c r="M1590" t="s">
        <v>58</v>
      </c>
      <c r="N1590" t="s">
        <v>69</v>
      </c>
      <c r="O1590" t="s">
        <v>64</v>
      </c>
      <c r="P1590" t="str">
        <f t="shared" si="168"/>
        <v>Individual</v>
      </c>
      <c r="Q1590" t="str">
        <f t="shared" si="169"/>
        <v>Midlands</v>
      </c>
      <c r="R1590" t="str">
        <f>PROPER(TRIM(E1590))</f>
        <v>Electronics</v>
      </c>
      <c r="S1590" s="27">
        <f>IF(ISTEXT(B1590),DATEVALUE(B1590),B1590)</f>
        <v>45687</v>
      </c>
      <c r="T1590" s="27">
        <f>COUNTIF($A$2:$A$1986,A1590)</f>
        <v>1</v>
      </c>
      <c r="U1590" s="27" t="str">
        <f t="shared" si="170"/>
        <v>Webcam</v>
      </c>
      <c r="V1590" s="27">
        <f t="shared" si="171"/>
        <v>50.86</v>
      </c>
      <c r="W1590" s="27">
        <f t="shared" si="172"/>
        <v>26.93</v>
      </c>
      <c r="X1590" s="27">
        <f>RawSalesTable3[[#This Row],[Revenue]]-RawSalesTable3[[#This Row],[Total_Cost]]</f>
        <v>23.93</v>
      </c>
      <c r="Y1590" s="28">
        <f>RawSalesTable3[[#This Row],[Profit]]/RawSalesTable3[[#This Row],[Revenue]]</f>
        <v>0.47050727487219818</v>
      </c>
      <c r="Z1590" s="27" t="str">
        <f>TEXT(RawSalesTable3[[#This Row],[Order_Date_Clean]],"MMM YYYY")</f>
        <v>Jan 2025</v>
      </c>
      <c r="AA1590" s="27"/>
      <c r="AB1590" s="27">
        <f t="shared" si="173"/>
        <v>0</v>
      </c>
      <c r="AC1590" s="27">
        <f t="shared" si="174"/>
        <v>0</v>
      </c>
    </row>
    <row r="1591" spans="1:29">
      <c r="A1591" t="s">
        <v>1701</v>
      </c>
      <c r="B1591" s="3">
        <v>45677</v>
      </c>
      <c r="C1591" t="s">
        <v>66</v>
      </c>
      <c r="D1591" t="s">
        <v>129</v>
      </c>
      <c r="E1591" t="s">
        <v>67</v>
      </c>
      <c r="F1591" t="s">
        <v>71</v>
      </c>
      <c r="G1591" s="6">
        <v>4</v>
      </c>
      <c r="H1591" s="4">
        <v>69.569999999999993</v>
      </c>
      <c r="I1591" s="4">
        <v>38.14</v>
      </c>
      <c r="J1591" s="5">
        <v>0.2</v>
      </c>
      <c r="K1591" s="6">
        <v>3</v>
      </c>
      <c r="L1591" s="6">
        <v>4</v>
      </c>
      <c r="M1591" t="s">
        <v>58</v>
      </c>
      <c r="N1591" t="s">
        <v>69</v>
      </c>
      <c r="O1591" t="s">
        <v>64</v>
      </c>
      <c r="P1591" t="str">
        <f t="shared" si="168"/>
        <v>Corporate</v>
      </c>
      <c r="Q1591" t="str">
        <f t="shared" si="169"/>
        <v>South</v>
      </c>
      <c r="R1591" t="str">
        <f>PROPER(TRIM(E1591))</f>
        <v>Office</v>
      </c>
      <c r="S1591" s="27">
        <f>IF(ISTEXT(B1591),DATEVALUE(B1591),B1591)</f>
        <v>45677</v>
      </c>
      <c r="T1591" s="27">
        <f>COUNTIF($A$2:$A$1986,A1591)</f>
        <v>1</v>
      </c>
      <c r="U1591" s="27" t="str">
        <f t="shared" si="170"/>
        <v>Ergonomic Keyboard</v>
      </c>
      <c r="V1591" s="27">
        <f t="shared" si="171"/>
        <v>222.624</v>
      </c>
      <c r="W1591" s="27">
        <f t="shared" si="172"/>
        <v>152.56</v>
      </c>
      <c r="X1591" s="27">
        <f>RawSalesTable3[[#This Row],[Revenue]]-RawSalesTable3[[#This Row],[Total_Cost]]</f>
        <v>70.063999999999993</v>
      </c>
      <c r="Y1591" s="28">
        <f>RawSalesTable3[[#This Row],[Profit]]/RawSalesTable3[[#This Row],[Revenue]]</f>
        <v>0.31471898806957022</v>
      </c>
      <c r="Z1591" s="27" t="str">
        <f>TEXT(RawSalesTable3[[#This Row],[Order_Date_Clean]],"MMM YYYY")</f>
        <v>Jan 2025</v>
      </c>
      <c r="AA1591" s="27"/>
      <c r="AB1591" s="27">
        <f t="shared" si="173"/>
        <v>0</v>
      </c>
      <c r="AC1591" s="27">
        <f t="shared" si="174"/>
        <v>0</v>
      </c>
    </row>
    <row r="1592" spans="1:29">
      <c r="A1592" t="s">
        <v>1702</v>
      </c>
      <c r="B1592" s="3">
        <v>45947</v>
      </c>
      <c r="C1592" t="s">
        <v>78</v>
      </c>
      <c r="D1592" t="s">
        <v>62</v>
      </c>
      <c r="E1592" t="s">
        <v>56</v>
      </c>
      <c r="F1592" t="s">
        <v>83</v>
      </c>
      <c r="G1592" s="6">
        <v>3</v>
      </c>
      <c r="H1592" s="4">
        <v>64.14</v>
      </c>
      <c r="I1592" s="4">
        <v>35.85</v>
      </c>
      <c r="J1592" s="5">
        <v>0</v>
      </c>
      <c r="K1592" s="6">
        <v>0</v>
      </c>
      <c r="L1592" s="6">
        <v>5</v>
      </c>
      <c r="M1592" t="s">
        <v>58</v>
      </c>
      <c r="N1592" t="s">
        <v>69</v>
      </c>
      <c r="O1592" t="s">
        <v>64</v>
      </c>
      <c r="P1592" t="str">
        <f t="shared" si="168"/>
        <v>Individual</v>
      </c>
      <c r="Q1592" t="str">
        <f t="shared" si="169"/>
        <v>London</v>
      </c>
      <c r="R1592" t="str">
        <f>PROPER(TRIM(E1592))</f>
        <v>Home &amp; Kitchen</v>
      </c>
      <c r="S1592" s="27">
        <f>IF(ISTEXT(B1592),DATEVALUE(B1592),B1592)</f>
        <v>45947</v>
      </c>
      <c r="T1592" s="27">
        <f>COUNTIF($A$2:$A$1986,A1592)</f>
        <v>1</v>
      </c>
      <c r="U1592" s="27" t="str">
        <f t="shared" si="170"/>
        <v>Blender</v>
      </c>
      <c r="V1592" s="27">
        <f t="shared" si="171"/>
        <v>192.42000000000002</v>
      </c>
      <c r="W1592" s="27">
        <f t="shared" si="172"/>
        <v>107.55000000000001</v>
      </c>
      <c r="X1592" s="27">
        <f>RawSalesTable3[[#This Row],[Revenue]]-RawSalesTable3[[#This Row],[Total_Cost]]</f>
        <v>84.87</v>
      </c>
      <c r="Y1592" s="28">
        <f>RawSalesTable3[[#This Row],[Profit]]/RawSalesTable3[[#This Row],[Revenue]]</f>
        <v>0.44106641721234796</v>
      </c>
      <c r="Z1592" s="27" t="str">
        <f>TEXT(RawSalesTable3[[#This Row],[Order_Date_Clean]],"MMM YYYY")</f>
        <v>Oct 2025</v>
      </c>
      <c r="AA1592" s="27"/>
      <c r="AB1592" s="27">
        <f t="shared" si="173"/>
        <v>0</v>
      </c>
      <c r="AC1592" s="27">
        <f t="shared" si="174"/>
        <v>0</v>
      </c>
    </row>
    <row r="1593" spans="1:29">
      <c r="A1593" t="s">
        <v>1703</v>
      </c>
      <c r="B1593" s="3">
        <v>46016</v>
      </c>
      <c r="C1593" t="s">
        <v>66</v>
      </c>
      <c r="D1593" t="s">
        <v>62</v>
      </c>
      <c r="E1593" t="s">
        <v>67</v>
      </c>
      <c r="F1593" t="s">
        <v>94</v>
      </c>
      <c r="G1593" s="6">
        <v>2</v>
      </c>
      <c r="H1593" s="4">
        <v>35.5</v>
      </c>
      <c r="I1593" s="4">
        <v>17.09</v>
      </c>
      <c r="J1593" s="5">
        <v>0.15000000000000002</v>
      </c>
      <c r="K1593" s="6">
        <v>3</v>
      </c>
      <c r="L1593" s="6">
        <v>4</v>
      </c>
      <c r="M1593" t="s">
        <v>58</v>
      </c>
      <c r="N1593" t="s">
        <v>69</v>
      </c>
      <c r="O1593" t="s">
        <v>60</v>
      </c>
      <c r="P1593" t="str">
        <f t="shared" si="168"/>
        <v>Individual</v>
      </c>
      <c r="Q1593" t="str">
        <f t="shared" si="169"/>
        <v>South</v>
      </c>
      <c r="R1593" t="str">
        <f>PROPER(TRIM(E1593))</f>
        <v>Office</v>
      </c>
      <c r="S1593" s="27">
        <f>IF(ISTEXT(B1593),DATEVALUE(B1593),B1593)</f>
        <v>46016</v>
      </c>
      <c r="T1593" s="27">
        <f>COUNTIF($A$2:$A$1986,A1593)</f>
        <v>1</v>
      </c>
      <c r="U1593" s="27" t="str">
        <f t="shared" si="170"/>
        <v>Wireless Mouse</v>
      </c>
      <c r="V1593" s="27">
        <f t="shared" si="171"/>
        <v>60.35</v>
      </c>
      <c r="W1593" s="27">
        <f t="shared" si="172"/>
        <v>34.18</v>
      </c>
      <c r="X1593" s="27">
        <f>RawSalesTable3[[#This Row],[Revenue]]-RawSalesTable3[[#This Row],[Total_Cost]]</f>
        <v>26.17</v>
      </c>
      <c r="Y1593" s="28">
        <f>RawSalesTable3[[#This Row],[Profit]]/RawSalesTable3[[#This Row],[Revenue]]</f>
        <v>0.43363711681855843</v>
      </c>
      <c r="Z1593" s="27" t="str">
        <f>TEXT(RawSalesTable3[[#This Row],[Order_Date_Clean]],"MMM YYYY")</f>
        <v>Dec 2025</v>
      </c>
      <c r="AA1593" s="27"/>
      <c r="AB1593" s="27">
        <f t="shared" si="173"/>
        <v>0</v>
      </c>
      <c r="AC1593" s="27">
        <f t="shared" si="174"/>
        <v>0</v>
      </c>
    </row>
    <row r="1594" spans="1:29">
      <c r="A1594" t="s">
        <v>1704</v>
      </c>
      <c r="B1594" s="3">
        <v>45917</v>
      </c>
      <c r="C1594" t="s">
        <v>78</v>
      </c>
      <c r="D1594" t="s">
        <v>62</v>
      </c>
      <c r="E1594" t="s">
        <v>67</v>
      </c>
      <c r="F1594" t="s">
        <v>71</v>
      </c>
      <c r="G1594" s="6">
        <v>1</v>
      </c>
      <c r="H1594" s="4">
        <v>68.709999999999994</v>
      </c>
      <c r="I1594" s="4">
        <v>39.08</v>
      </c>
      <c r="J1594" s="5">
        <v>0</v>
      </c>
      <c r="K1594" s="6">
        <v>0</v>
      </c>
      <c r="L1594" s="6">
        <v>4</v>
      </c>
      <c r="M1594" t="s">
        <v>58</v>
      </c>
      <c r="N1594" t="s">
        <v>69</v>
      </c>
      <c r="O1594" t="s">
        <v>73</v>
      </c>
      <c r="P1594" t="str">
        <f t="shared" si="168"/>
        <v>Individual</v>
      </c>
      <c r="Q1594" t="str">
        <f t="shared" si="169"/>
        <v>London</v>
      </c>
      <c r="R1594" t="str">
        <f>PROPER(TRIM(E1594))</f>
        <v>Office</v>
      </c>
      <c r="S1594" s="27">
        <f>IF(ISTEXT(B1594),DATEVALUE(B1594),B1594)</f>
        <v>45917</v>
      </c>
      <c r="T1594" s="27">
        <f>COUNTIF($A$2:$A$1986,A1594)</f>
        <v>1</v>
      </c>
      <c r="U1594" s="27" t="str">
        <f t="shared" si="170"/>
        <v>Ergonomic Keyboard</v>
      </c>
      <c r="V1594" s="27">
        <f t="shared" si="171"/>
        <v>68.709999999999994</v>
      </c>
      <c r="W1594" s="27">
        <f t="shared" si="172"/>
        <v>39.08</v>
      </c>
      <c r="X1594" s="27">
        <f>RawSalesTable3[[#This Row],[Revenue]]-RawSalesTable3[[#This Row],[Total_Cost]]</f>
        <v>29.629999999999995</v>
      </c>
      <c r="Y1594" s="28">
        <f>RawSalesTable3[[#This Row],[Profit]]/RawSalesTable3[[#This Row],[Revenue]]</f>
        <v>0.43123271721729001</v>
      </c>
      <c r="Z1594" s="27" t="str">
        <f>TEXT(RawSalesTable3[[#This Row],[Order_Date_Clean]],"MMM YYYY")</f>
        <v>Sep 2025</v>
      </c>
      <c r="AA1594" s="27"/>
      <c r="AB1594" s="27">
        <f t="shared" si="173"/>
        <v>0</v>
      </c>
      <c r="AC1594" s="27">
        <f t="shared" si="174"/>
        <v>0</v>
      </c>
    </row>
    <row r="1595" spans="1:29">
      <c r="A1595" t="s">
        <v>1705</v>
      </c>
      <c r="B1595" s="3">
        <v>45930</v>
      </c>
      <c r="C1595" t="s">
        <v>82</v>
      </c>
      <c r="D1595" t="s">
        <v>62</v>
      </c>
      <c r="E1595" t="s">
        <v>75</v>
      </c>
      <c r="F1595" t="s">
        <v>146</v>
      </c>
      <c r="G1595" s="6">
        <v>1</v>
      </c>
      <c r="H1595" s="4">
        <v>181.06</v>
      </c>
      <c r="I1595" s="4">
        <v>117.05</v>
      </c>
      <c r="J1595" s="5">
        <v>0</v>
      </c>
      <c r="K1595" s="6">
        <v>3</v>
      </c>
      <c r="L1595" s="6">
        <v>4</v>
      </c>
      <c r="M1595" t="s">
        <v>58</v>
      </c>
      <c r="N1595" t="s">
        <v>59</v>
      </c>
      <c r="O1595" t="s">
        <v>73</v>
      </c>
      <c r="P1595" t="str">
        <f t="shared" si="168"/>
        <v>Individual</v>
      </c>
      <c r="Q1595" t="str">
        <f t="shared" si="169"/>
        <v>Midlands</v>
      </c>
      <c r="R1595" t="str">
        <f>PROPER(TRIM(E1595))</f>
        <v>Furniture</v>
      </c>
      <c r="S1595" s="27">
        <f>IF(ISTEXT(B1595),DATEVALUE(B1595),B1595)</f>
        <v>45930</v>
      </c>
      <c r="T1595" s="27">
        <f>COUNTIF($A$2:$A$1986,A1595)</f>
        <v>1</v>
      </c>
      <c r="U1595" s="27" t="str">
        <f t="shared" si="170"/>
        <v>Office Chair</v>
      </c>
      <c r="V1595" s="27">
        <f t="shared" si="171"/>
        <v>181.06</v>
      </c>
      <c r="W1595" s="27">
        <f t="shared" si="172"/>
        <v>117.05</v>
      </c>
      <c r="X1595" s="27">
        <f>RawSalesTable3[[#This Row],[Revenue]]-RawSalesTable3[[#This Row],[Total_Cost]]</f>
        <v>64.010000000000005</v>
      </c>
      <c r="Y1595" s="28">
        <f>RawSalesTable3[[#This Row],[Profit]]/RawSalesTable3[[#This Row],[Revenue]]</f>
        <v>0.35352921683419863</v>
      </c>
      <c r="Z1595" s="27" t="str">
        <f>TEXT(RawSalesTable3[[#This Row],[Order_Date_Clean]],"MMM YYYY")</f>
        <v>Sep 2025</v>
      </c>
      <c r="AA1595" s="27"/>
      <c r="AB1595" s="27">
        <f t="shared" si="173"/>
        <v>0</v>
      </c>
      <c r="AC1595" s="27">
        <f t="shared" si="174"/>
        <v>0</v>
      </c>
    </row>
    <row r="1596" spans="1:29">
      <c r="A1596" t="s">
        <v>1706</v>
      </c>
      <c r="B1596" s="3">
        <v>45824</v>
      </c>
      <c r="C1596" t="s">
        <v>66</v>
      </c>
      <c r="D1596" t="s">
        <v>129</v>
      </c>
      <c r="E1596" t="s">
        <v>67</v>
      </c>
      <c r="F1596" t="s">
        <v>68</v>
      </c>
      <c r="G1596" s="6">
        <v>6</v>
      </c>
      <c r="H1596" s="4">
        <v>41.03</v>
      </c>
      <c r="I1596" s="4">
        <v>18.899999999999999</v>
      </c>
      <c r="J1596" s="5">
        <v>0.1</v>
      </c>
      <c r="K1596" s="6">
        <v>1</v>
      </c>
      <c r="L1596" s="6">
        <v>4</v>
      </c>
      <c r="M1596" t="s">
        <v>58</v>
      </c>
      <c r="N1596" t="s">
        <v>69</v>
      </c>
      <c r="O1596" t="s">
        <v>60</v>
      </c>
      <c r="P1596" t="str">
        <f t="shared" si="168"/>
        <v>Corporate</v>
      </c>
      <c r="Q1596" t="str">
        <f t="shared" si="169"/>
        <v>South</v>
      </c>
      <c r="R1596" t="str">
        <f>PROPER(TRIM(E1596))</f>
        <v>Office</v>
      </c>
      <c r="S1596" s="27">
        <f>IF(ISTEXT(B1596),DATEVALUE(B1596),B1596)</f>
        <v>45824</v>
      </c>
      <c r="T1596" s="27">
        <f>COUNTIF($A$2:$A$1986,A1596)</f>
        <v>1</v>
      </c>
      <c r="U1596" s="27" t="str">
        <f t="shared" si="170"/>
        <v>Desk Lamp</v>
      </c>
      <c r="V1596" s="27">
        <f t="shared" si="171"/>
        <v>221.56200000000001</v>
      </c>
      <c r="W1596" s="27">
        <f t="shared" si="172"/>
        <v>113.39999999999999</v>
      </c>
      <c r="X1596" s="27">
        <f>RawSalesTable3[[#This Row],[Revenue]]-RawSalesTable3[[#This Row],[Total_Cost]]</f>
        <v>108.16200000000002</v>
      </c>
      <c r="Y1596" s="28">
        <f>RawSalesTable3[[#This Row],[Profit]]/RawSalesTable3[[#This Row],[Revenue]]</f>
        <v>0.48817938094077512</v>
      </c>
      <c r="Z1596" s="27" t="str">
        <f>TEXT(RawSalesTable3[[#This Row],[Order_Date_Clean]],"MMM YYYY")</f>
        <v>Jun 2025</v>
      </c>
      <c r="AA1596" s="27"/>
      <c r="AB1596" s="27">
        <f t="shared" si="173"/>
        <v>0</v>
      </c>
      <c r="AC1596" s="27">
        <f t="shared" si="174"/>
        <v>0</v>
      </c>
    </row>
    <row r="1597" spans="1:29">
      <c r="A1597" t="s">
        <v>1707</v>
      </c>
      <c r="B1597" s="3">
        <v>45939</v>
      </c>
      <c r="C1597" t="s">
        <v>82</v>
      </c>
      <c r="D1597" t="s">
        <v>62</v>
      </c>
      <c r="E1597" t="s">
        <v>56</v>
      </c>
      <c r="F1597" t="s">
        <v>89</v>
      </c>
      <c r="G1597" s="6">
        <v>3</v>
      </c>
      <c r="H1597" s="4">
        <v>77.66</v>
      </c>
      <c r="I1597" s="4">
        <v>45.59</v>
      </c>
      <c r="J1597" s="5">
        <v>0</v>
      </c>
      <c r="K1597" s="6">
        <v>3</v>
      </c>
      <c r="L1597" s="6">
        <v>4</v>
      </c>
      <c r="M1597" t="s">
        <v>58</v>
      </c>
      <c r="N1597" t="s">
        <v>87</v>
      </c>
      <c r="O1597" t="s">
        <v>64</v>
      </c>
      <c r="P1597" t="str">
        <f t="shared" si="168"/>
        <v>Individual</v>
      </c>
      <c r="Q1597" t="str">
        <f t="shared" si="169"/>
        <v>Midlands</v>
      </c>
      <c r="R1597" t="str">
        <f>PROPER(TRIM(E1597))</f>
        <v>Home &amp; Kitchen</v>
      </c>
      <c r="S1597" s="27">
        <f>IF(ISTEXT(B1597),DATEVALUE(B1597),B1597)</f>
        <v>45939</v>
      </c>
      <c r="T1597" s="27">
        <f>COUNTIF($A$2:$A$1986,A1597)</f>
        <v>1</v>
      </c>
      <c r="U1597" s="27" t="str">
        <f t="shared" si="170"/>
        <v>Coffee Maker</v>
      </c>
      <c r="V1597" s="27">
        <f t="shared" si="171"/>
        <v>232.98</v>
      </c>
      <c r="W1597" s="27">
        <f t="shared" si="172"/>
        <v>136.77000000000001</v>
      </c>
      <c r="X1597" s="27">
        <f>RawSalesTable3[[#This Row],[Revenue]]-RawSalesTable3[[#This Row],[Total_Cost]]</f>
        <v>96.20999999999998</v>
      </c>
      <c r="Y1597" s="28">
        <f>RawSalesTable3[[#This Row],[Profit]]/RawSalesTable3[[#This Row],[Revenue]]</f>
        <v>0.41295390162245682</v>
      </c>
      <c r="Z1597" s="27" t="str">
        <f>TEXT(RawSalesTable3[[#This Row],[Order_Date_Clean]],"MMM YYYY")</f>
        <v>Oct 2025</v>
      </c>
      <c r="AA1597" s="27"/>
      <c r="AB1597" s="27">
        <f t="shared" si="173"/>
        <v>0</v>
      </c>
      <c r="AC1597" s="27">
        <f t="shared" si="174"/>
        <v>0</v>
      </c>
    </row>
    <row r="1598" spans="1:29">
      <c r="A1598" t="s">
        <v>1708</v>
      </c>
      <c r="B1598" s="3">
        <v>45950</v>
      </c>
      <c r="C1598" t="s">
        <v>66</v>
      </c>
      <c r="D1598" t="s">
        <v>62</v>
      </c>
      <c r="E1598" t="s">
        <v>56</v>
      </c>
      <c r="F1598" t="s">
        <v>57</v>
      </c>
      <c r="G1598" s="6">
        <v>1</v>
      </c>
      <c r="H1598" s="4">
        <v>112.74</v>
      </c>
      <c r="I1598" s="4">
        <v>65.28</v>
      </c>
      <c r="J1598" s="5">
        <v>0.1</v>
      </c>
      <c r="K1598" s="6">
        <v>3</v>
      </c>
      <c r="L1598" s="6">
        <v>4</v>
      </c>
      <c r="M1598" t="s">
        <v>58</v>
      </c>
      <c r="N1598" t="s">
        <v>59</v>
      </c>
      <c r="O1598" t="s">
        <v>64</v>
      </c>
      <c r="P1598" t="str">
        <f t="shared" si="168"/>
        <v>Individual</v>
      </c>
      <c r="Q1598" t="str">
        <f t="shared" si="169"/>
        <v>South</v>
      </c>
      <c r="R1598" t="str">
        <f>PROPER(TRIM(E1598))</f>
        <v>Home &amp; Kitchen</v>
      </c>
      <c r="S1598" s="27">
        <f>IF(ISTEXT(B1598),DATEVALUE(B1598),B1598)</f>
        <v>45950</v>
      </c>
      <c r="T1598" s="27">
        <f>COUNTIF($A$2:$A$1986,A1598)</f>
        <v>1</v>
      </c>
      <c r="U1598" s="27" t="str">
        <f t="shared" si="170"/>
        <v>Air Fryer</v>
      </c>
      <c r="V1598" s="27">
        <f t="shared" si="171"/>
        <v>101.46599999999999</v>
      </c>
      <c r="W1598" s="27">
        <f t="shared" si="172"/>
        <v>65.28</v>
      </c>
      <c r="X1598" s="27">
        <f>RawSalesTable3[[#This Row],[Revenue]]-RawSalesTable3[[#This Row],[Total_Cost]]</f>
        <v>36.185999999999993</v>
      </c>
      <c r="Y1598" s="28">
        <f>RawSalesTable3[[#This Row],[Profit]]/RawSalesTable3[[#This Row],[Revenue]]</f>
        <v>0.3566317781325764</v>
      </c>
      <c r="Z1598" s="27" t="str">
        <f>TEXT(RawSalesTable3[[#This Row],[Order_Date_Clean]],"MMM YYYY")</f>
        <v>Oct 2025</v>
      </c>
      <c r="AA1598" s="27"/>
      <c r="AB1598" s="27">
        <f t="shared" si="173"/>
        <v>0</v>
      </c>
      <c r="AC1598" s="27">
        <f t="shared" si="174"/>
        <v>0</v>
      </c>
    </row>
    <row r="1599" spans="1:29">
      <c r="A1599" t="s">
        <v>1709</v>
      </c>
      <c r="B1599" s="3">
        <v>45772</v>
      </c>
      <c r="C1599" t="s">
        <v>78</v>
      </c>
      <c r="D1599" t="s">
        <v>62</v>
      </c>
      <c r="E1599" t="s">
        <v>75</v>
      </c>
      <c r="F1599" t="s">
        <v>76</v>
      </c>
      <c r="G1599" s="6">
        <v>1</v>
      </c>
      <c r="H1599" s="4">
        <v>119.77</v>
      </c>
      <c r="I1599" s="4">
        <v>72.819999999999993</v>
      </c>
      <c r="J1599" s="5">
        <v>0.05</v>
      </c>
      <c r="K1599" s="6">
        <v>4</v>
      </c>
      <c r="L1599" s="6">
        <v>4</v>
      </c>
      <c r="M1599" t="s">
        <v>58</v>
      </c>
      <c r="N1599" t="s">
        <v>69</v>
      </c>
      <c r="O1599" t="s">
        <v>64</v>
      </c>
      <c r="P1599" t="str">
        <f t="shared" si="168"/>
        <v>Individual</v>
      </c>
      <c r="Q1599" t="str">
        <f t="shared" si="169"/>
        <v>London</v>
      </c>
      <c r="R1599" t="str">
        <f>PROPER(TRIM(E1599))</f>
        <v>Furniture</v>
      </c>
      <c r="S1599" s="27">
        <f>IF(ISTEXT(B1599),DATEVALUE(B1599),B1599)</f>
        <v>45772</v>
      </c>
      <c r="T1599" s="27">
        <f>COUNTIF($A$2:$A$1986,A1599)</f>
        <v>1</v>
      </c>
      <c r="U1599" s="27" t="str">
        <f t="shared" si="170"/>
        <v>Bookshelf</v>
      </c>
      <c r="V1599" s="27">
        <f t="shared" si="171"/>
        <v>113.78149999999999</v>
      </c>
      <c r="W1599" s="27">
        <f t="shared" si="172"/>
        <v>72.819999999999993</v>
      </c>
      <c r="X1599" s="27">
        <f>RawSalesTable3[[#This Row],[Revenue]]-RawSalesTable3[[#This Row],[Total_Cost]]</f>
        <v>40.961500000000001</v>
      </c>
      <c r="Y1599" s="28">
        <f>RawSalesTable3[[#This Row],[Profit]]/RawSalesTable3[[#This Row],[Revenue]]</f>
        <v>0.36000140620399629</v>
      </c>
      <c r="Z1599" s="27" t="str">
        <f>TEXT(RawSalesTable3[[#This Row],[Order_Date_Clean]],"MMM YYYY")</f>
        <v>Apr 2025</v>
      </c>
      <c r="AA1599" s="27"/>
      <c r="AB1599" s="27">
        <f t="shared" si="173"/>
        <v>0</v>
      </c>
      <c r="AC1599" s="27">
        <f t="shared" si="174"/>
        <v>0</v>
      </c>
    </row>
    <row r="1600" spans="1:29">
      <c r="A1600" t="s">
        <v>1710</v>
      </c>
      <c r="B1600" s="3">
        <v>45784</v>
      </c>
      <c r="C1600" t="s">
        <v>66</v>
      </c>
      <c r="D1600" t="s">
        <v>55</v>
      </c>
      <c r="E1600" t="s">
        <v>67</v>
      </c>
      <c r="F1600" t="s">
        <v>107</v>
      </c>
      <c r="G1600" s="6">
        <v>3</v>
      </c>
      <c r="H1600" s="4">
        <v>46.48</v>
      </c>
      <c r="I1600" s="4">
        <v>21.56</v>
      </c>
      <c r="J1600" s="5">
        <v>0.1</v>
      </c>
      <c r="K1600" s="6">
        <v>1</v>
      </c>
      <c r="L1600" s="6">
        <v>4</v>
      </c>
      <c r="M1600" t="s">
        <v>58</v>
      </c>
      <c r="N1600" t="s">
        <v>69</v>
      </c>
      <c r="O1600" t="s">
        <v>60</v>
      </c>
      <c r="P1600" t="str">
        <f t="shared" si="168"/>
        <v>Small Business</v>
      </c>
      <c r="Q1600" t="str">
        <f t="shared" si="169"/>
        <v>South</v>
      </c>
      <c r="R1600" t="str">
        <f>PROPER(TRIM(E1600))</f>
        <v>Office</v>
      </c>
      <c r="S1600" s="27">
        <f>IF(ISTEXT(B1600),DATEVALUE(B1600),B1600)</f>
        <v>45784</v>
      </c>
      <c r="T1600" s="27">
        <f>COUNTIF($A$2:$A$1986,A1600)</f>
        <v>1</v>
      </c>
      <c r="U1600" s="27" t="str">
        <f t="shared" si="170"/>
        <v>Laptop Stand</v>
      </c>
      <c r="V1600" s="27">
        <f t="shared" si="171"/>
        <v>125.496</v>
      </c>
      <c r="W1600" s="27">
        <f t="shared" si="172"/>
        <v>64.679999999999993</v>
      </c>
      <c r="X1600" s="27">
        <f>RawSalesTable3[[#This Row],[Revenue]]-RawSalesTable3[[#This Row],[Total_Cost]]</f>
        <v>60.816000000000003</v>
      </c>
      <c r="Y1600" s="28">
        <f>RawSalesTable3[[#This Row],[Profit]]/RawSalesTable3[[#This Row],[Revenue]]</f>
        <v>0.4846050870147256</v>
      </c>
      <c r="Z1600" s="27" t="str">
        <f>TEXT(RawSalesTable3[[#This Row],[Order_Date_Clean]],"MMM YYYY")</f>
        <v>May 2025</v>
      </c>
      <c r="AA1600" s="27"/>
      <c r="AB1600" s="27">
        <f t="shared" si="173"/>
        <v>0</v>
      </c>
      <c r="AC1600" s="27">
        <f t="shared" si="174"/>
        <v>0</v>
      </c>
    </row>
    <row r="1601" spans="1:29">
      <c r="A1601" t="s">
        <v>1711</v>
      </c>
      <c r="B1601" s="3">
        <v>45992</v>
      </c>
      <c r="C1601" t="s">
        <v>82</v>
      </c>
      <c r="D1601" t="s">
        <v>62</v>
      </c>
      <c r="E1601" t="s">
        <v>75</v>
      </c>
      <c r="F1601" t="s">
        <v>146</v>
      </c>
      <c r="G1601" s="6">
        <v>2</v>
      </c>
      <c r="H1601" s="4">
        <v>179.21</v>
      </c>
      <c r="I1601" s="4">
        <v>120.24</v>
      </c>
      <c r="J1601" s="5">
        <v>0.05</v>
      </c>
      <c r="K1601" s="6">
        <v>4</v>
      </c>
      <c r="L1601" s="6">
        <v>4</v>
      </c>
      <c r="M1601" t="s">
        <v>58</v>
      </c>
      <c r="N1601" t="s">
        <v>59</v>
      </c>
      <c r="O1601" t="s">
        <v>73</v>
      </c>
      <c r="P1601" t="str">
        <f t="shared" si="168"/>
        <v>Individual</v>
      </c>
      <c r="Q1601" t="str">
        <f t="shared" si="169"/>
        <v>Midlands</v>
      </c>
      <c r="R1601" t="str">
        <f>PROPER(TRIM(E1601))</f>
        <v>Furniture</v>
      </c>
      <c r="S1601" s="27">
        <f>IF(ISTEXT(B1601),DATEVALUE(B1601),B1601)</f>
        <v>45992</v>
      </c>
      <c r="T1601" s="27">
        <f>COUNTIF($A$2:$A$1986,A1601)</f>
        <v>1</v>
      </c>
      <c r="U1601" s="27" t="str">
        <f t="shared" si="170"/>
        <v>Office Chair</v>
      </c>
      <c r="V1601" s="27">
        <f t="shared" si="171"/>
        <v>340.49900000000002</v>
      </c>
      <c r="W1601" s="27">
        <f t="shared" si="172"/>
        <v>240.48</v>
      </c>
      <c r="X1601" s="27">
        <f>RawSalesTable3[[#This Row],[Revenue]]-RawSalesTable3[[#This Row],[Total_Cost]]</f>
        <v>100.01900000000003</v>
      </c>
      <c r="Y1601" s="28">
        <f>RawSalesTable3[[#This Row],[Profit]]/RawSalesTable3[[#This Row],[Revenue]]</f>
        <v>0.29374241921415345</v>
      </c>
      <c r="Z1601" s="27" t="str">
        <f>TEXT(RawSalesTable3[[#This Row],[Order_Date_Clean]],"MMM YYYY")</f>
        <v>Dec 2025</v>
      </c>
      <c r="AA1601" s="27"/>
      <c r="AB1601" s="27">
        <f t="shared" si="173"/>
        <v>0</v>
      </c>
      <c r="AC1601" s="27">
        <f t="shared" si="174"/>
        <v>0</v>
      </c>
    </row>
    <row r="1602" spans="1:29">
      <c r="A1602" t="s">
        <v>1712</v>
      </c>
      <c r="B1602" s="3">
        <v>45966</v>
      </c>
      <c r="C1602" t="s">
        <v>78</v>
      </c>
      <c r="D1602" t="s">
        <v>55</v>
      </c>
      <c r="E1602" t="s">
        <v>75</v>
      </c>
      <c r="F1602" t="s">
        <v>146</v>
      </c>
      <c r="G1602" s="6">
        <v>6</v>
      </c>
      <c r="H1602" s="4">
        <v>179.72</v>
      </c>
      <c r="I1602" s="4">
        <v>111.74</v>
      </c>
      <c r="J1602" s="5">
        <v>0.1</v>
      </c>
      <c r="K1602" s="6">
        <v>2</v>
      </c>
      <c r="L1602" s="6">
        <v>4</v>
      </c>
      <c r="M1602" t="s">
        <v>58</v>
      </c>
      <c r="N1602" t="s">
        <v>69</v>
      </c>
      <c r="O1602" t="s">
        <v>64</v>
      </c>
      <c r="P1602" t="str">
        <f t="shared" ref="P1602:P1665" si="175">IF(TRIM(D1602)="","Unknow",PROPER(TRIM(D1602)))</f>
        <v>Small Business</v>
      </c>
      <c r="Q1602" t="str">
        <f t="shared" ref="Q1602:Q1665" si="176">IF(PROPER(TRIM(C1602))="Mid Lands","Midlands",PROPER(TRIM(C1602)))</f>
        <v>London</v>
      </c>
      <c r="R1602" t="str">
        <f>PROPER(TRIM(E1602))</f>
        <v>Furniture</v>
      </c>
      <c r="S1602" s="27">
        <f>IF(ISTEXT(B1602),DATEVALUE(B1602),B1602)</f>
        <v>45966</v>
      </c>
      <c r="T1602" s="27">
        <f>COUNTIF($A$2:$A$1986,A1602)</f>
        <v>1</v>
      </c>
      <c r="U1602" s="27" t="str">
        <f t="shared" ref="U1602:U1665" si="177">TRIM(F1602)</f>
        <v>Office Chair</v>
      </c>
      <c r="V1602" s="27">
        <f t="shared" ref="V1602:V1665" si="178">G1602*H1602*(1-J1602)</f>
        <v>970.48799999999994</v>
      </c>
      <c r="W1602" s="27">
        <f t="shared" ref="W1602:W1665" si="179">G1602*I1602</f>
        <v>670.43999999999994</v>
      </c>
      <c r="X1602" s="27">
        <f>RawSalesTable3[[#This Row],[Revenue]]-RawSalesTable3[[#This Row],[Total_Cost]]</f>
        <v>300.048</v>
      </c>
      <c r="Y1602" s="28">
        <f>RawSalesTable3[[#This Row],[Profit]]/RawSalesTable3[[#This Row],[Revenue]]</f>
        <v>0.30917229270222818</v>
      </c>
      <c r="Z1602" s="27" t="str">
        <f>TEXT(RawSalesTable3[[#This Row],[Order_Date_Clean]],"MMM YYYY")</f>
        <v>Nov 2025</v>
      </c>
      <c r="AA1602" s="27"/>
      <c r="AB1602" s="27">
        <f t="shared" ref="AB1602:AB1665" si="180">SUMIF($Z:$Z,AA1602,$V:$V)</f>
        <v>0</v>
      </c>
      <c r="AC1602" s="27">
        <f t="shared" ref="AC1602:AC1665" si="181">SUMIF($Z:$Z,AA1602,$X:$X)</f>
        <v>0</v>
      </c>
    </row>
    <row r="1603" spans="1:29">
      <c r="A1603" t="s">
        <v>1713</v>
      </c>
      <c r="B1603" s="3">
        <v>45777</v>
      </c>
      <c r="C1603" t="s">
        <v>78</v>
      </c>
      <c r="D1603" t="s">
        <v>62</v>
      </c>
      <c r="E1603" t="s">
        <v>75</v>
      </c>
      <c r="F1603" t="s">
        <v>97</v>
      </c>
      <c r="G1603" s="6">
        <v>2</v>
      </c>
      <c r="H1603" s="4">
        <v>91.8</v>
      </c>
      <c r="I1603" s="4">
        <v>54.8</v>
      </c>
      <c r="J1603" s="5">
        <v>0.05</v>
      </c>
      <c r="K1603" s="6">
        <v>3</v>
      </c>
      <c r="L1603" s="6">
        <v>5</v>
      </c>
      <c r="M1603" t="s">
        <v>58</v>
      </c>
      <c r="N1603" t="s">
        <v>59</v>
      </c>
      <c r="O1603" t="s">
        <v>64</v>
      </c>
      <c r="P1603" t="str">
        <f t="shared" si="175"/>
        <v>Individual</v>
      </c>
      <c r="Q1603" t="str">
        <f t="shared" si="176"/>
        <v>London</v>
      </c>
      <c r="R1603" t="str">
        <f>PROPER(TRIM(E1603))</f>
        <v>Furniture</v>
      </c>
      <c r="S1603" s="27">
        <f>IF(ISTEXT(B1603),DATEVALUE(B1603),B1603)</f>
        <v>45777</v>
      </c>
      <c r="T1603" s="27">
        <f>COUNTIF($A$2:$A$1986,A1603)</f>
        <v>1</v>
      </c>
      <c r="U1603" s="27" t="str">
        <f t="shared" si="177"/>
        <v>Side Table</v>
      </c>
      <c r="V1603" s="27">
        <f t="shared" si="178"/>
        <v>174.42</v>
      </c>
      <c r="W1603" s="27">
        <f t="shared" si="179"/>
        <v>109.6</v>
      </c>
      <c r="X1603" s="27">
        <f>RawSalesTable3[[#This Row],[Revenue]]-RawSalesTable3[[#This Row],[Total_Cost]]</f>
        <v>64.819999999999993</v>
      </c>
      <c r="Y1603" s="28">
        <f>RawSalesTable3[[#This Row],[Profit]]/RawSalesTable3[[#This Row],[Revenue]]</f>
        <v>0.37163169361311776</v>
      </c>
      <c r="Z1603" s="27" t="str">
        <f>TEXT(RawSalesTable3[[#This Row],[Order_Date_Clean]],"MMM YYYY")</f>
        <v>Apr 2025</v>
      </c>
      <c r="AA1603" s="27"/>
      <c r="AB1603" s="27">
        <f t="shared" si="180"/>
        <v>0</v>
      </c>
      <c r="AC1603" s="27">
        <f t="shared" si="181"/>
        <v>0</v>
      </c>
    </row>
    <row r="1604" spans="1:29">
      <c r="A1604" t="s">
        <v>1714</v>
      </c>
      <c r="B1604" s="3">
        <v>45891</v>
      </c>
      <c r="C1604" t="s">
        <v>82</v>
      </c>
      <c r="D1604" t="s">
        <v>62</v>
      </c>
      <c r="E1604" t="s">
        <v>56</v>
      </c>
      <c r="F1604" t="s">
        <v>57</v>
      </c>
      <c r="G1604" s="6">
        <v>3</v>
      </c>
      <c r="H1604" s="4">
        <v>113.53</v>
      </c>
      <c r="I1604" s="4">
        <v>68.45</v>
      </c>
      <c r="J1604" s="5">
        <v>0.1</v>
      </c>
      <c r="K1604" s="6">
        <v>4</v>
      </c>
      <c r="L1604" s="6">
        <v>3</v>
      </c>
      <c r="M1604" t="s">
        <v>126</v>
      </c>
      <c r="N1604" t="s">
        <v>59</v>
      </c>
      <c r="O1604" t="s">
        <v>64</v>
      </c>
      <c r="P1604" t="str">
        <f t="shared" si="175"/>
        <v>Individual</v>
      </c>
      <c r="Q1604" t="str">
        <f t="shared" si="176"/>
        <v>Midlands</v>
      </c>
      <c r="R1604" t="str">
        <f>PROPER(TRIM(E1604))</f>
        <v>Home &amp; Kitchen</v>
      </c>
      <c r="S1604" s="27">
        <f>IF(ISTEXT(B1604),DATEVALUE(B1604),B1604)</f>
        <v>45891</v>
      </c>
      <c r="T1604" s="27">
        <f>COUNTIF($A$2:$A$1986,A1604)</f>
        <v>1</v>
      </c>
      <c r="U1604" s="27" t="str">
        <f t="shared" si="177"/>
        <v>Air Fryer</v>
      </c>
      <c r="V1604" s="27">
        <f t="shared" si="178"/>
        <v>306.53100000000006</v>
      </c>
      <c r="W1604" s="27">
        <f t="shared" si="179"/>
        <v>205.35000000000002</v>
      </c>
      <c r="X1604" s="27">
        <f>RawSalesTable3[[#This Row],[Revenue]]-RawSalesTable3[[#This Row],[Total_Cost]]</f>
        <v>101.18100000000004</v>
      </c>
      <c r="Y1604" s="28">
        <f>RawSalesTable3[[#This Row],[Profit]]/RawSalesTable3[[#This Row],[Revenue]]</f>
        <v>0.33008406980044441</v>
      </c>
      <c r="Z1604" s="27" t="str">
        <f>TEXT(RawSalesTable3[[#This Row],[Order_Date_Clean]],"MMM YYYY")</f>
        <v>Aug 2025</v>
      </c>
      <c r="AA1604" s="27"/>
      <c r="AB1604" s="27">
        <f t="shared" si="180"/>
        <v>0</v>
      </c>
      <c r="AC1604" s="27">
        <f t="shared" si="181"/>
        <v>0</v>
      </c>
    </row>
    <row r="1605" spans="1:29">
      <c r="A1605" t="s">
        <v>1715</v>
      </c>
      <c r="B1605" s="3">
        <v>45988</v>
      </c>
      <c r="C1605" t="s">
        <v>66</v>
      </c>
      <c r="D1605" t="s">
        <v>62</v>
      </c>
      <c r="E1605" t="s">
        <v>79</v>
      </c>
      <c r="F1605" t="s">
        <v>80</v>
      </c>
      <c r="G1605" s="6">
        <v>2</v>
      </c>
      <c r="H1605" s="4">
        <v>74.959999999999994</v>
      </c>
      <c r="I1605" s="4">
        <v>41.74</v>
      </c>
      <c r="J1605" s="5">
        <v>0</v>
      </c>
      <c r="K1605" s="6">
        <v>1</v>
      </c>
      <c r="L1605" s="6">
        <v>5</v>
      </c>
      <c r="M1605" t="s">
        <v>58</v>
      </c>
      <c r="N1605" t="s">
        <v>69</v>
      </c>
      <c r="O1605" t="s">
        <v>64</v>
      </c>
      <c r="P1605" t="str">
        <f t="shared" si="175"/>
        <v>Individual</v>
      </c>
      <c r="Q1605" t="str">
        <f t="shared" si="176"/>
        <v>South</v>
      </c>
      <c r="R1605" t="str">
        <f>PROPER(TRIM(E1605))</f>
        <v>Electronics</v>
      </c>
      <c r="S1605" s="27">
        <f>IF(ISTEXT(B1605),DATEVALUE(B1605),B1605)</f>
        <v>45988</v>
      </c>
      <c r="T1605" s="27">
        <f>COUNTIF($A$2:$A$1986,A1605)</f>
        <v>1</v>
      </c>
      <c r="U1605" s="27" t="str">
        <f t="shared" si="177"/>
        <v>Portable Speaker</v>
      </c>
      <c r="V1605" s="27">
        <f t="shared" si="178"/>
        <v>149.91999999999999</v>
      </c>
      <c r="W1605" s="27">
        <f t="shared" si="179"/>
        <v>83.48</v>
      </c>
      <c r="X1605" s="27">
        <f>RawSalesTable3[[#This Row],[Revenue]]-RawSalesTable3[[#This Row],[Total_Cost]]</f>
        <v>66.439999999999984</v>
      </c>
      <c r="Y1605" s="28">
        <f>RawSalesTable3[[#This Row],[Profit]]/RawSalesTable3[[#This Row],[Revenue]]</f>
        <v>0.44316969050160077</v>
      </c>
      <c r="Z1605" s="27" t="str">
        <f>TEXT(RawSalesTable3[[#This Row],[Order_Date_Clean]],"MMM YYYY")</f>
        <v>Nov 2025</v>
      </c>
      <c r="AA1605" s="27"/>
      <c r="AB1605" s="27">
        <f t="shared" si="180"/>
        <v>0</v>
      </c>
      <c r="AC1605" s="27">
        <f t="shared" si="181"/>
        <v>0</v>
      </c>
    </row>
    <row r="1606" spans="1:29">
      <c r="A1606" t="s">
        <v>1716</v>
      </c>
      <c r="B1606" s="3">
        <v>45671</v>
      </c>
      <c r="C1606" t="s">
        <v>82</v>
      </c>
      <c r="D1606" t="s">
        <v>62</v>
      </c>
      <c r="E1606" t="s">
        <v>56</v>
      </c>
      <c r="F1606" t="s">
        <v>89</v>
      </c>
      <c r="G1606" s="6">
        <v>3</v>
      </c>
      <c r="H1606" s="4">
        <v>79.400000000000006</v>
      </c>
      <c r="I1606" s="4">
        <v>44.63</v>
      </c>
      <c r="J1606" s="5">
        <v>0</v>
      </c>
      <c r="K1606" s="6">
        <v>0</v>
      </c>
      <c r="L1606" s="6">
        <v>4</v>
      </c>
      <c r="M1606" t="s">
        <v>58</v>
      </c>
      <c r="N1606" t="s">
        <v>69</v>
      </c>
      <c r="O1606" t="s">
        <v>73</v>
      </c>
      <c r="P1606" t="str">
        <f t="shared" si="175"/>
        <v>Individual</v>
      </c>
      <c r="Q1606" t="str">
        <f t="shared" si="176"/>
        <v>Midlands</v>
      </c>
      <c r="R1606" t="str">
        <f>PROPER(TRIM(E1606))</f>
        <v>Home &amp; Kitchen</v>
      </c>
      <c r="S1606" s="27">
        <f>IF(ISTEXT(B1606),DATEVALUE(B1606),B1606)</f>
        <v>45671</v>
      </c>
      <c r="T1606" s="27">
        <f>COUNTIF($A$2:$A$1986,A1606)</f>
        <v>1</v>
      </c>
      <c r="U1606" s="27" t="str">
        <f t="shared" si="177"/>
        <v>Coffee Maker</v>
      </c>
      <c r="V1606" s="27">
        <f t="shared" si="178"/>
        <v>238.20000000000002</v>
      </c>
      <c r="W1606" s="27">
        <f t="shared" si="179"/>
        <v>133.89000000000001</v>
      </c>
      <c r="X1606" s="27">
        <f>RawSalesTable3[[#This Row],[Revenue]]-RawSalesTable3[[#This Row],[Total_Cost]]</f>
        <v>104.31</v>
      </c>
      <c r="Y1606" s="28">
        <f>RawSalesTable3[[#This Row],[Profit]]/RawSalesTable3[[#This Row],[Revenue]]</f>
        <v>0.43790931989924431</v>
      </c>
      <c r="Z1606" s="27" t="str">
        <f>TEXT(RawSalesTable3[[#This Row],[Order_Date_Clean]],"MMM YYYY")</f>
        <v>Jan 2025</v>
      </c>
      <c r="AA1606" s="27"/>
      <c r="AB1606" s="27">
        <f t="shared" si="180"/>
        <v>0</v>
      </c>
      <c r="AC1606" s="27">
        <f t="shared" si="181"/>
        <v>0</v>
      </c>
    </row>
    <row r="1607" spans="1:29">
      <c r="A1607" t="s">
        <v>1717</v>
      </c>
      <c r="B1607" s="3">
        <v>45899</v>
      </c>
      <c r="C1607" t="s">
        <v>78</v>
      </c>
      <c r="D1607" t="s">
        <v>62</v>
      </c>
      <c r="E1607" t="s">
        <v>56</v>
      </c>
      <c r="F1607" t="s">
        <v>63</v>
      </c>
      <c r="G1607" s="6">
        <v>2</v>
      </c>
      <c r="H1607" s="4">
        <v>40.549999999999997</v>
      </c>
      <c r="I1607" s="4">
        <v>20.32</v>
      </c>
      <c r="J1607" s="5">
        <v>0</v>
      </c>
      <c r="K1607" s="6">
        <v>4</v>
      </c>
      <c r="L1607" s="6">
        <v>5</v>
      </c>
      <c r="M1607" t="s">
        <v>58</v>
      </c>
      <c r="N1607" t="s">
        <v>59</v>
      </c>
      <c r="O1607" t="s">
        <v>64</v>
      </c>
      <c r="P1607" t="str">
        <f t="shared" si="175"/>
        <v>Individual</v>
      </c>
      <c r="Q1607" t="str">
        <f t="shared" si="176"/>
        <v>London</v>
      </c>
      <c r="R1607" t="str">
        <f>PROPER(TRIM(E1607))</f>
        <v>Home &amp; Kitchen</v>
      </c>
      <c r="S1607" s="27">
        <f>IF(ISTEXT(B1607),DATEVALUE(B1607),B1607)</f>
        <v>45899</v>
      </c>
      <c r="T1607" s="27">
        <f>COUNTIF($A$2:$A$1986,A1607)</f>
        <v>1</v>
      </c>
      <c r="U1607" s="27" t="str">
        <f t="shared" si="177"/>
        <v>Electric Kettle</v>
      </c>
      <c r="V1607" s="27">
        <f t="shared" si="178"/>
        <v>81.099999999999994</v>
      </c>
      <c r="W1607" s="27">
        <f t="shared" si="179"/>
        <v>40.64</v>
      </c>
      <c r="X1607" s="27">
        <f>RawSalesTable3[[#This Row],[Revenue]]-RawSalesTable3[[#This Row],[Total_Cost]]</f>
        <v>40.459999999999994</v>
      </c>
      <c r="Y1607" s="28">
        <f>RawSalesTable3[[#This Row],[Profit]]/RawSalesTable3[[#This Row],[Revenue]]</f>
        <v>0.49889025893958072</v>
      </c>
      <c r="Z1607" s="27" t="str">
        <f>TEXT(RawSalesTable3[[#This Row],[Order_Date_Clean]],"MMM YYYY")</f>
        <v>Aug 2025</v>
      </c>
      <c r="AA1607" s="27"/>
      <c r="AB1607" s="27">
        <f t="shared" si="180"/>
        <v>0</v>
      </c>
      <c r="AC1607" s="27">
        <f t="shared" si="181"/>
        <v>0</v>
      </c>
    </row>
    <row r="1608" spans="1:29">
      <c r="A1608" t="s">
        <v>1718</v>
      </c>
      <c r="B1608" s="3">
        <v>45954</v>
      </c>
      <c r="C1608" t="s">
        <v>54</v>
      </c>
      <c r="D1608" t="s">
        <v>62</v>
      </c>
      <c r="E1608" t="s">
        <v>79</v>
      </c>
      <c r="F1608" t="s">
        <v>80</v>
      </c>
      <c r="G1608" s="6">
        <v>1</v>
      </c>
      <c r="H1608" s="4">
        <v>76.88</v>
      </c>
      <c r="I1608" s="4">
        <v>42.21</v>
      </c>
      <c r="J1608" s="5">
        <v>0</v>
      </c>
      <c r="K1608" s="6">
        <v>3</v>
      </c>
      <c r="L1608" s="6">
        <v>4</v>
      </c>
      <c r="M1608" t="s">
        <v>58</v>
      </c>
      <c r="N1608" t="s">
        <v>87</v>
      </c>
      <c r="O1608" t="s">
        <v>60</v>
      </c>
      <c r="P1608" t="str">
        <f t="shared" si="175"/>
        <v>Individual</v>
      </c>
      <c r="Q1608" t="str">
        <f t="shared" si="176"/>
        <v>North</v>
      </c>
      <c r="R1608" t="str">
        <f>PROPER(TRIM(E1608))</f>
        <v>Electronics</v>
      </c>
      <c r="S1608" s="27">
        <f>IF(ISTEXT(B1608),DATEVALUE(B1608),B1608)</f>
        <v>45954</v>
      </c>
      <c r="T1608" s="27">
        <f>COUNTIF($A$2:$A$1986,A1608)</f>
        <v>1</v>
      </c>
      <c r="U1608" s="27" t="str">
        <f t="shared" si="177"/>
        <v>Portable Speaker</v>
      </c>
      <c r="V1608" s="27">
        <f t="shared" si="178"/>
        <v>76.88</v>
      </c>
      <c r="W1608" s="27">
        <f t="shared" si="179"/>
        <v>42.21</v>
      </c>
      <c r="X1608" s="27">
        <f>RawSalesTable3[[#This Row],[Revenue]]-RawSalesTable3[[#This Row],[Total_Cost]]</f>
        <v>34.669999999999995</v>
      </c>
      <c r="Y1608" s="28">
        <f>RawSalesTable3[[#This Row],[Profit]]/RawSalesTable3[[#This Row],[Revenue]]</f>
        <v>0.45096253902185218</v>
      </c>
      <c r="Z1608" s="27" t="str">
        <f>TEXT(RawSalesTable3[[#This Row],[Order_Date_Clean]],"MMM YYYY")</f>
        <v>Oct 2025</v>
      </c>
      <c r="AA1608" s="27"/>
      <c r="AB1608" s="27">
        <f t="shared" si="180"/>
        <v>0</v>
      </c>
      <c r="AC1608" s="27">
        <f t="shared" si="181"/>
        <v>0</v>
      </c>
    </row>
    <row r="1609" spans="1:29">
      <c r="A1609" t="s">
        <v>1719</v>
      </c>
      <c r="B1609" s="3">
        <v>45898</v>
      </c>
      <c r="C1609" t="s">
        <v>66</v>
      </c>
      <c r="D1609" t="s">
        <v>62</v>
      </c>
      <c r="E1609" t="s">
        <v>79</v>
      </c>
      <c r="F1609" t="s">
        <v>85</v>
      </c>
      <c r="G1609" s="6">
        <v>1</v>
      </c>
      <c r="H1609" s="4">
        <v>134.5</v>
      </c>
      <c r="I1609" s="4">
        <v>84.4</v>
      </c>
      <c r="J1609" s="5">
        <v>0.05</v>
      </c>
      <c r="K1609" s="6">
        <v>3</v>
      </c>
      <c r="L1609" s="6">
        <v>3</v>
      </c>
      <c r="M1609" t="s">
        <v>126</v>
      </c>
      <c r="N1609" t="s">
        <v>59</v>
      </c>
      <c r="O1609" t="s">
        <v>64</v>
      </c>
      <c r="P1609" t="str">
        <f t="shared" si="175"/>
        <v>Individual</v>
      </c>
      <c r="Q1609" t="str">
        <f t="shared" si="176"/>
        <v>South</v>
      </c>
      <c r="R1609" t="str">
        <f>PROPER(TRIM(E1609))</f>
        <v>Electronics</v>
      </c>
      <c r="S1609" s="27">
        <f>IF(ISTEXT(B1609),DATEVALUE(B1609),B1609)</f>
        <v>45898</v>
      </c>
      <c r="T1609" s="27">
        <f>COUNTIF($A$2:$A$1986,A1609)</f>
        <v>1</v>
      </c>
      <c r="U1609" s="27" t="str">
        <f t="shared" si="177"/>
        <v>SmartHome Hub</v>
      </c>
      <c r="V1609" s="27">
        <f t="shared" si="178"/>
        <v>127.77499999999999</v>
      </c>
      <c r="W1609" s="27">
        <f t="shared" si="179"/>
        <v>84.4</v>
      </c>
      <c r="X1609" s="27">
        <f>RawSalesTable3[[#This Row],[Revenue]]-RawSalesTable3[[#This Row],[Total_Cost]]</f>
        <v>43.374999999999986</v>
      </c>
      <c r="Y1609" s="28">
        <f>RawSalesTable3[[#This Row],[Profit]]/RawSalesTable3[[#This Row],[Revenue]]</f>
        <v>0.33946390138916055</v>
      </c>
      <c r="Z1609" s="27" t="str">
        <f>TEXT(RawSalesTable3[[#This Row],[Order_Date_Clean]],"MMM YYYY")</f>
        <v>Aug 2025</v>
      </c>
      <c r="AA1609" s="27"/>
      <c r="AB1609" s="27">
        <f t="shared" si="180"/>
        <v>0</v>
      </c>
      <c r="AC1609" s="27">
        <f t="shared" si="181"/>
        <v>0</v>
      </c>
    </row>
    <row r="1610" spans="1:29">
      <c r="A1610" t="s">
        <v>1720</v>
      </c>
      <c r="B1610" s="3">
        <v>45956</v>
      </c>
      <c r="C1610" t="s">
        <v>82</v>
      </c>
      <c r="D1610" t="s">
        <v>55</v>
      </c>
      <c r="E1610" t="s">
        <v>56</v>
      </c>
      <c r="F1610" t="s">
        <v>57</v>
      </c>
      <c r="G1610" s="6">
        <v>2</v>
      </c>
      <c r="H1610" s="4">
        <v>112.11</v>
      </c>
      <c r="I1610" s="4">
        <v>69.06</v>
      </c>
      <c r="J1610" s="5">
        <v>0</v>
      </c>
      <c r="K1610" s="6">
        <v>1</v>
      </c>
      <c r="L1610" s="6">
        <v>5</v>
      </c>
      <c r="M1610" t="s">
        <v>58</v>
      </c>
      <c r="N1610" t="s">
        <v>69</v>
      </c>
      <c r="O1610" t="s">
        <v>64</v>
      </c>
      <c r="P1610" t="str">
        <f t="shared" si="175"/>
        <v>Small Business</v>
      </c>
      <c r="Q1610" t="str">
        <f t="shared" si="176"/>
        <v>Midlands</v>
      </c>
      <c r="R1610" t="str">
        <f>PROPER(TRIM(E1610))</f>
        <v>Home &amp; Kitchen</v>
      </c>
      <c r="S1610" s="27">
        <f>IF(ISTEXT(B1610),DATEVALUE(B1610),B1610)</f>
        <v>45956</v>
      </c>
      <c r="T1610" s="27">
        <f>COUNTIF($A$2:$A$1986,A1610)</f>
        <v>1</v>
      </c>
      <c r="U1610" s="27" t="str">
        <f t="shared" si="177"/>
        <v>Air Fryer</v>
      </c>
      <c r="V1610" s="27">
        <f t="shared" si="178"/>
        <v>224.22</v>
      </c>
      <c r="W1610" s="27">
        <f t="shared" si="179"/>
        <v>138.12</v>
      </c>
      <c r="X1610" s="27">
        <f>RawSalesTable3[[#This Row],[Revenue]]-RawSalesTable3[[#This Row],[Total_Cost]]</f>
        <v>86.1</v>
      </c>
      <c r="Y1610" s="28">
        <f>RawSalesTable3[[#This Row],[Profit]]/RawSalesTable3[[#This Row],[Revenue]]</f>
        <v>0.38399785924538399</v>
      </c>
      <c r="Z1610" s="27" t="str">
        <f>TEXT(RawSalesTable3[[#This Row],[Order_Date_Clean]],"MMM YYYY")</f>
        <v>Oct 2025</v>
      </c>
      <c r="AA1610" s="27"/>
      <c r="AB1610" s="27">
        <f t="shared" si="180"/>
        <v>0</v>
      </c>
      <c r="AC1610" s="27">
        <f t="shared" si="181"/>
        <v>0</v>
      </c>
    </row>
    <row r="1611" spans="1:29">
      <c r="A1611" t="s">
        <v>1721</v>
      </c>
      <c r="B1611" s="3">
        <v>45867</v>
      </c>
      <c r="C1611" t="s">
        <v>78</v>
      </c>
      <c r="D1611" t="s">
        <v>62</v>
      </c>
      <c r="E1611" t="s">
        <v>67</v>
      </c>
      <c r="F1611" t="s">
        <v>107</v>
      </c>
      <c r="G1611" s="6">
        <v>1</v>
      </c>
      <c r="H1611" s="4">
        <v>44.41</v>
      </c>
      <c r="I1611" s="4">
        <v>20.95</v>
      </c>
      <c r="J1611" s="5">
        <v>0</v>
      </c>
      <c r="K1611" s="6">
        <v>1</v>
      </c>
      <c r="L1611" s="6">
        <v>5</v>
      </c>
      <c r="M1611" t="s">
        <v>58</v>
      </c>
      <c r="N1611" t="s">
        <v>69</v>
      </c>
      <c r="O1611" t="s">
        <v>60</v>
      </c>
      <c r="P1611" t="str">
        <f t="shared" si="175"/>
        <v>Individual</v>
      </c>
      <c r="Q1611" t="str">
        <f t="shared" si="176"/>
        <v>London</v>
      </c>
      <c r="R1611" t="str">
        <f>PROPER(TRIM(E1611))</f>
        <v>Office</v>
      </c>
      <c r="S1611" s="27">
        <f>IF(ISTEXT(B1611),DATEVALUE(B1611),B1611)</f>
        <v>45867</v>
      </c>
      <c r="T1611" s="27">
        <f>COUNTIF($A$2:$A$1986,A1611)</f>
        <v>1</v>
      </c>
      <c r="U1611" s="27" t="str">
        <f t="shared" si="177"/>
        <v>Laptop Stand</v>
      </c>
      <c r="V1611" s="27">
        <f t="shared" si="178"/>
        <v>44.41</v>
      </c>
      <c r="W1611" s="27">
        <f t="shared" si="179"/>
        <v>20.95</v>
      </c>
      <c r="X1611" s="27">
        <f>RawSalesTable3[[#This Row],[Revenue]]-RawSalesTable3[[#This Row],[Total_Cost]]</f>
        <v>23.459999999999997</v>
      </c>
      <c r="Y1611" s="28">
        <f>RawSalesTable3[[#This Row],[Profit]]/RawSalesTable3[[#This Row],[Revenue]]</f>
        <v>0.52825940103580271</v>
      </c>
      <c r="Z1611" s="27" t="str">
        <f>TEXT(RawSalesTable3[[#This Row],[Order_Date_Clean]],"MMM YYYY")</f>
        <v>Jul 2025</v>
      </c>
      <c r="AA1611" s="27"/>
      <c r="AB1611" s="27">
        <f t="shared" si="180"/>
        <v>0</v>
      </c>
      <c r="AC1611" s="27">
        <f t="shared" si="181"/>
        <v>0</v>
      </c>
    </row>
    <row r="1612" spans="1:29">
      <c r="A1612" t="s">
        <v>1722</v>
      </c>
      <c r="B1612" s="3">
        <v>46020</v>
      </c>
      <c r="C1612" t="s">
        <v>66</v>
      </c>
      <c r="D1612" t="s">
        <v>129</v>
      </c>
      <c r="E1612" t="s">
        <v>67</v>
      </c>
      <c r="F1612" t="s">
        <v>68</v>
      </c>
      <c r="G1612" s="6">
        <v>5</v>
      </c>
      <c r="H1612" s="4">
        <v>40.4</v>
      </c>
      <c r="I1612" s="4">
        <v>19</v>
      </c>
      <c r="J1612" s="5">
        <v>0.2</v>
      </c>
      <c r="K1612" s="6">
        <v>3</v>
      </c>
      <c r="L1612" s="6">
        <v>5</v>
      </c>
      <c r="M1612" t="s">
        <v>58</v>
      </c>
      <c r="N1612" t="s">
        <v>59</v>
      </c>
      <c r="O1612" t="s">
        <v>64</v>
      </c>
      <c r="P1612" t="str">
        <f t="shared" si="175"/>
        <v>Corporate</v>
      </c>
      <c r="Q1612" t="str">
        <f t="shared" si="176"/>
        <v>South</v>
      </c>
      <c r="R1612" t="str">
        <f>PROPER(TRIM(E1612))</f>
        <v>Office</v>
      </c>
      <c r="S1612" s="27">
        <f>IF(ISTEXT(B1612),DATEVALUE(B1612),B1612)</f>
        <v>46020</v>
      </c>
      <c r="T1612" s="27">
        <f>COUNTIF($A$2:$A$1986,A1612)</f>
        <v>1</v>
      </c>
      <c r="U1612" s="27" t="str">
        <f t="shared" si="177"/>
        <v>Desk Lamp</v>
      </c>
      <c r="V1612" s="27">
        <f t="shared" si="178"/>
        <v>161.60000000000002</v>
      </c>
      <c r="W1612" s="27">
        <f t="shared" si="179"/>
        <v>95</v>
      </c>
      <c r="X1612" s="27">
        <f>RawSalesTable3[[#This Row],[Revenue]]-RawSalesTable3[[#This Row],[Total_Cost]]</f>
        <v>66.600000000000023</v>
      </c>
      <c r="Y1612" s="28">
        <f>RawSalesTable3[[#This Row],[Profit]]/RawSalesTable3[[#This Row],[Revenue]]</f>
        <v>0.41212871287128722</v>
      </c>
      <c r="Z1612" s="27" t="str">
        <f>TEXT(RawSalesTable3[[#This Row],[Order_Date_Clean]],"MMM YYYY")</f>
        <v>Dec 2025</v>
      </c>
      <c r="AA1612" s="27"/>
      <c r="AB1612" s="27">
        <f t="shared" si="180"/>
        <v>0</v>
      </c>
      <c r="AC1612" s="27">
        <f t="shared" si="181"/>
        <v>0</v>
      </c>
    </row>
    <row r="1613" spans="1:29">
      <c r="A1613" t="s">
        <v>1723</v>
      </c>
      <c r="B1613" s="3">
        <v>45769</v>
      </c>
      <c r="C1613" t="s">
        <v>78</v>
      </c>
      <c r="D1613" t="s">
        <v>55</v>
      </c>
      <c r="E1613" t="s">
        <v>79</v>
      </c>
      <c r="F1613" t="s">
        <v>92</v>
      </c>
      <c r="G1613" s="6">
        <v>2</v>
      </c>
      <c r="H1613" s="4">
        <v>49.99</v>
      </c>
      <c r="I1613" s="4">
        <v>26.61</v>
      </c>
      <c r="J1613" s="5">
        <v>0</v>
      </c>
      <c r="K1613" s="6">
        <v>4</v>
      </c>
      <c r="L1613" s="6">
        <v>5</v>
      </c>
      <c r="M1613" t="s">
        <v>58</v>
      </c>
      <c r="N1613" t="s">
        <v>59</v>
      </c>
      <c r="O1613" t="s">
        <v>73</v>
      </c>
      <c r="P1613" t="str">
        <f t="shared" si="175"/>
        <v>Small Business</v>
      </c>
      <c r="Q1613" t="str">
        <f t="shared" si="176"/>
        <v>London</v>
      </c>
      <c r="R1613" t="str">
        <f>PROPER(TRIM(E1613))</f>
        <v>Electronics</v>
      </c>
      <c r="S1613" s="27">
        <f>IF(ISTEXT(B1613),DATEVALUE(B1613),B1613)</f>
        <v>45769</v>
      </c>
      <c r="T1613" s="27">
        <f>COUNTIF($A$2:$A$1986,A1613)</f>
        <v>1</v>
      </c>
      <c r="U1613" s="27" t="str">
        <f t="shared" si="177"/>
        <v>Webcam</v>
      </c>
      <c r="V1613" s="27">
        <f t="shared" si="178"/>
        <v>99.98</v>
      </c>
      <c r="W1613" s="27">
        <f t="shared" si="179"/>
        <v>53.22</v>
      </c>
      <c r="X1613" s="27">
        <f>RawSalesTable3[[#This Row],[Revenue]]-RawSalesTable3[[#This Row],[Total_Cost]]</f>
        <v>46.760000000000005</v>
      </c>
      <c r="Y1613" s="28">
        <f>RawSalesTable3[[#This Row],[Profit]]/RawSalesTable3[[#This Row],[Revenue]]</f>
        <v>0.46769353870774161</v>
      </c>
      <c r="Z1613" s="27" t="str">
        <f>TEXT(RawSalesTable3[[#This Row],[Order_Date_Clean]],"MMM YYYY")</f>
        <v>Apr 2025</v>
      </c>
      <c r="AA1613" s="27"/>
      <c r="AB1613" s="27">
        <f t="shared" si="180"/>
        <v>0</v>
      </c>
      <c r="AC1613" s="27">
        <f t="shared" si="181"/>
        <v>0</v>
      </c>
    </row>
    <row r="1614" spans="1:29">
      <c r="A1614" t="s">
        <v>1724</v>
      </c>
      <c r="B1614" s="3">
        <v>45785</v>
      </c>
      <c r="C1614" t="s">
        <v>78</v>
      </c>
      <c r="D1614" t="s">
        <v>129</v>
      </c>
      <c r="E1614" t="s">
        <v>75</v>
      </c>
      <c r="F1614" t="s">
        <v>146</v>
      </c>
      <c r="G1614" s="6">
        <v>5</v>
      </c>
      <c r="H1614" s="4">
        <v>178.04</v>
      </c>
      <c r="I1614" s="4">
        <v>118.12</v>
      </c>
      <c r="J1614" s="5">
        <v>0.05</v>
      </c>
      <c r="K1614" s="6">
        <v>3</v>
      </c>
      <c r="L1614" s="6">
        <v>5</v>
      </c>
      <c r="M1614" t="s">
        <v>58</v>
      </c>
      <c r="N1614" t="s">
        <v>69</v>
      </c>
      <c r="O1614" t="s">
        <v>73</v>
      </c>
      <c r="P1614" t="str">
        <f t="shared" si="175"/>
        <v>Corporate</v>
      </c>
      <c r="Q1614" t="str">
        <f t="shared" si="176"/>
        <v>London</v>
      </c>
      <c r="R1614" t="str">
        <f>PROPER(TRIM(E1614))</f>
        <v>Furniture</v>
      </c>
      <c r="S1614" s="27">
        <f>IF(ISTEXT(B1614),DATEVALUE(B1614),B1614)</f>
        <v>45785</v>
      </c>
      <c r="T1614" s="27">
        <f>COUNTIF($A$2:$A$1986,A1614)</f>
        <v>1</v>
      </c>
      <c r="U1614" s="27" t="str">
        <f t="shared" si="177"/>
        <v>Office Chair</v>
      </c>
      <c r="V1614" s="27">
        <f t="shared" si="178"/>
        <v>845.68999999999994</v>
      </c>
      <c r="W1614" s="27">
        <f t="shared" si="179"/>
        <v>590.6</v>
      </c>
      <c r="X1614" s="27">
        <f>RawSalesTable3[[#This Row],[Revenue]]-RawSalesTable3[[#This Row],[Total_Cost]]</f>
        <v>255.08999999999992</v>
      </c>
      <c r="Y1614" s="28">
        <f>RawSalesTable3[[#This Row],[Profit]]/RawSalesTable3[[#This Row],[Revenue]]</f>
        <v>0.30163535101514732</v>
      </c>
      <c r="Z1614" s="27" t="str">
        <f>TEXT(RawSalesTable3[[#This Row],[Order_Date_Clean]],"MMM YYYY")</f>
        <v>May 2025</v>
      </c>
      <c r="AA1614" s="27"/>
      <c r="AB1614" s="27">
        <f t="shared" si="180"/>
        <v>0</v>
      </c>
      <c r="AC1614" s="27">
        <f t="shared" si="181"/>
        <v>0</v>
      </c>
    </row>
    <row r="1615" spans="1:29">
      <c r="A1615" t="s">
        <v>1725</v>
      </c>
      <c r="B1615" s="3">
        <v>45810</v>
      </c>
      <c r="C1615" t="s">
        <v>66</v>
      </c>
      <c r="D1615" t="s">
        <v>55</v>
      </c>
      <c r="E1615" t="s">
        <v>56</v>
      </c>
      <c r="F1615" t="s">
        <v>83</v>
      </c>
      <c r="G1615" s="6">
        <v>3</v>
      </c>
      <c r="H1615" s="4">
        <v>64.819999999999993</v>
      </c>
      <c r="I1615" s="4">
        <v>34.520000000000003</v>
      </c>
      <c r="J1615" s="5">
        <v>0.05</v>
      </c>
      <c r="K1615" s="6">
        <v>5</v>
      </c>
      <c r="L1615" s="6">
        <v>4</v>
      </c>
      <c r="M1615" t="s">
        <v>58</v>
      </c>
      <c r="N1615" t="s">
        <v>59</v>
      </c>
      <c r="O1615" t="s">
        <v>60</v>
      </c>
      <c r="P1615" t="str">
        <f t="shared" si="175"/>
        <v>Small Business</v>
      </c>
      <c r="Q1615" t="str">
        <f t="shared" si="176"/>
        <v>South</v>
      </c>
      <c r="R1615" t="str">
        <f>PROPER(TRIM(E1615))</f>
        <v>Home &amp; Kitchen</v>
      </c>
      <c r="S1615" s="27">
        <f>IF(ISTEXT(B1615),DATEVALUE(B1615),B1615)</f>
        <v>45810</v>
      </c>
      <c r="T1615" s="27">
        <f>COUNTIF($A$2:$A$1986,A1615)</f>
        <v>1</v>
      </c>
      <c r="U1615" s="27" t="str">
        <f t="shared" si="177"/>
        <v>Blender</v>
      </c>
      <c r="V1615" s="27">
        <f t="shared" si="178"/>
        <v>184.73699999999997</v>
      </c>
      <c r="W1615" s="27">
        <f t="shared" si="179"/>
        <v>103.56</v>
      </c>
      <c r="X1615" s="27">
        <f>RawSalesTable3[[#This Row],[Revenue]]-RawSalesTable3[[#This Row],[Total_Cost]]</f>
        <v>81.176999999999964</v>
      </c>
      <c r="Y1615" s="28">
        <f>RawSalesTable3[[#This Row],[Profit]]/RawSalesTable3[[#This Row],[Revenue]]</f>
        <v>0.43941928254762164</v>
      </c>
      <c r="Z1615" s="27" t="str">
        <f>TEXT(RawSalesTable3[[#This Row],[Order_Date_Clean]],"MMM YYYY")</f>
        <v>Jun 2025</v>
      </c>
      <c r="AA1615" s="27"/>
      <c r="AB1615" s="27">
        <f t="shared" si="180"/>
        <v>0</v>
      </c>
      <c r="AC1615" s="27">
        <f t="shared" si="181"/>
        <v>0</v>
      </c>
    </row>
    <row r="1616" spans="1:29">
      <c r="A1616" t="s">
        <v>1726</v>
      </c>
      <c r="B1616" s="3">
        <v>46000</v>
      </c>
      <c r="C1616" t="s">
        <v>54</v>
      </c>
      <c r="D1616" t="s">
        <v>62</v>
      </c>
      <c r="E1616" t="s">
        <v>56</v>
      </c>
      <c r="F1616" t="s">
        <v>57</v>
      </c>
      <c r="G1616" s="6">
        <v>1</v>
      </c>
      <c r="H1616" s="4">
        <v>108.72</v>
      </c>
      <c r="I1616" s="4">
        <v>69.34</v>
      </c>
      <c r="J1616" s="5">
        <v>0.05</v>
      </c>
      <c r="K1616" s="6">
        <v>3</v>
      </c>
      <c r="L1616" s="6">
        <v>4</v>
      </c>
      <c r="M1616" t="s">
        <v>58</v>
      </c>
      <c r="N1616" t="s">
        <v>59</v>
      </c>
      <c r="O1616" t="s">
        <v>73</v>
      </c>
      <c r="P1616" t="str">
        <f t="shared" si="175"/>
        <v>Individual</v>
      </c>
      <c r="Q1616" t="str">
        <f t="shared" si="176"/>
        <v>North</v>
      </c>
      <c r="R1616" t="str">
        <f>PROPER(TRIM(E1616))</f>
        <v>Home &amp; Kitchen</v>
      </c>
      <c r="S1616" s="27">
        <f>IF(ISTEXT(B1616),DATEVALUE(B1616),B1616)</f>
        <v>46000</v>
      </c>
      <c r="T1616" s="27">
        <f>COUNTIF($A$2:$A$1986,A1616)</f>
        <v>1</v>
      </c>
      <c r="U1616" s="27" t="str">
        <f t="shared" si="177"/>
        <v>Air Fryer</v>
      </c>
      <c r="V1616" s="27">
        <f t="shared" si="178"/>
        <v>103.28399999999999</v>
      </c>
      <c r="W1616" s="27">
        <f t="shared" si="179"/>
        <v>69.34</v>
      </c>
      <c r="X1616" s="27">
        <f>RawSalesTable3[[#This Row],[Revenue]]-RawSalesTable3[[#This Row],[Total_Cost]]</f>
        <v>33.943999999999988</v>
      </c>
      <c r="Y1616" s="28">
        <f>RawSalesTable3[[#This Row],[Profit]]/RawSalesTable3[[#This Row],[Revenue]]</f>
        <v>0.32864722512683464</v>
      </c>
      <c r="Z1616" s="27" t="str">
        <f>TEXT(RawSalesTable3[[#This Row],[Order_Date_Clean]],"MMM YYYY")</f>
        <v>Dec 2025</v>
      </c>
      <c r="AA1616" s="27"/>
      <c r="AB1616" s="27">
        <f t="shared" si="180"/>
        <v>0</v>
      </c>
      <c r="AC1616" s="27">
        <f t="shared" si="181"/>
        <v>0</v>
      </c>
    </row>
    <row r="1617" spans="1:29">
      <c r="A1617" t="s">
        <v>1727</v>
      </c>
      <c r="B1617" s="3">
        <v>46011</v>
      </c>
      <c r="C1617" t="s">
        <v>66</v>
      </c>
      <c r="D1617" t="s">
        <v>55</v>
      </c>
      <c r="E1617" t="s">
        <v>79</v>
      </c>
      <c r="F1617" t="s">
        <v>92</v>
      </c>
      <c r="G1617" s="6">
        <v>2</v>
      </c>
      <c r="H1617" s="4">
        <v>51.65</v>
      </c>
      <c r="I1617" s="4">
        <v>25.83</v>
      </c>
      <c r="J1617" s="5">
        <v>0.05</v>
      </c>
      <c r="K1617" s="6">
        <v>0</v>
      </c>
      <c r="L1617" s="6">
        <v>4</v>
      </c>
      <c r="M1617" t="s">
        <v>58</v>
      </c>
      <c r="N1617" t="s">
        <v>69</v>
      </c>
      <c r="O1617" t="s">
        <v>64</v>
      </c>
      <c r="P1617" t="str">
        <f t="shared" si="175"/>
        <v>Small Business</v>
      </c>
      <c r="Q1617" t="str">
        <f t="shared" si="176"/>
        <v>South</v>
      </c>
      <c r="R1617" t="str">
        <f>PROPER(TRIM(E1617))</f>
        <v>Electronics</v>
      </c>
      <c r="S1617" s="27">
        <f>IF(ISTEXT(B1617),DATEVALUE(B1617),B1617)</f>
        <v>46011</v>
      </c>
      <c r="T1617" s="27">
        <f>COUNTIF($A$2:$A$1986,A1617)</f>
        <v>1</v>
      </c>
      <c r="U1617" s="27" t="str">
        <f t="shared" si="177"/>
        <v>Webcam</v>
      </c>
      <c r="V1617" s="27">
        <f t="shared" si="178"/>
        <v>98.134999999999991</v>
      </c>
      <c r="W1617" s="27">
        <f t="shared" si="179"/>
        <v>51.66</v>
      </c>
      <c r="X1617" s="27">
        <f>RawSalesTable3[[#This Row],[Revenue]]-RawSalesTable3[[#This Row],[Total_Cost]]</f>
        <v>46.474999999999994</v>
      </c>
      <c r="Y1617" s="28">
        <f>RawSalesTable3[[#This Row],[Profit]]/RawSalesTable3[[#This Row],[Revenue]]</f>
        <v>0.47358231008304885</v>
      </c>
      <c r="Z1617" s="27" t="str">
        <f>TEXT(RawSalesTable3[[#This Row],[Order_Date_Clean]],"MMM YYYY")</f>
        <v>Dec 2025</v>
      </c>
      <c r="AA1617" s="27"/>
      <c r="AB1617" s="27">
        <f t="shared" si="180"/>
        <v>0</v>
      </c>
      <c r="AC1617" s="27">
        <f t="shared" si="181"/>
        <v>0</v>
      </c>
    </row>
    <row r="1618" spans="1:29">
      <c r="A1618" t="s">
        <v>1728</v>
      </c>
      <c r="B1618" s="3">
        <v>45917</v>
      </c>
      <c r="C1618" t="s">
        <v>78</v>
      </c>
      <c r="D1618" t="s">
        <v>129</v>
      </c>
      <c r="E1618" t="s">
        <v>67</v>
      </c>
      <c r="F1618" t="s">
        <v>71</v>
      </c>
      <c r="G1618" s="6">
        <v>4</v>
      </c>
      <c r="H1618" s="4">
        <v>70.540000000000006</v>
      </c>
      <c r="I1618" s="4">
        <v>38.15</v>
      </c>
      <c r="J1618" s="5">
        <v>0.05</v>
      </c>
      <c r="K1618" s="6">
        <v>0</v>
      </c>
      <c r="L1618" s="6">
        <v>4</v>
      </c>
      <c r="M1618" t="s">
        <v>58</v>
      </c>
      <c r="N1618" t="s">
        <v>69</v>
      </c>
      <c r="O1618" t="s">
        <v>64</v>
      </c>
      <c r="P1618" t="str">
        <f t="shared" si="175"/>
        <v>Corporate</v>
      </c>
      <c r="Q1618" t="str">
        <f t="shared" si="176"/>
        <v>London</v>
      </c>
      <c r="R1618" t="str">
        <f>PROPER(TRIM(E1618))</f>
        <v>Office</v>
      </c>
      <c r="S1618" s="27">
        <f>IF(ISTEXT(B1618),DATEVALUE(B1618),B1618)</f>
        <v>45917</v>
      </c>
      <c r="T1618" s="27">
        <f>COUNTIF($A$2:$A$1986,A1618)</f>
        <v>1</v>
      </c>
      <c r="U1618" s="27" t="str">
        <f t="shared" si="177"/>
        <v>Ergonomic Keyboard</v>
      </c>
      <c r="V1618" s="27">
        <f t="shared" si="178"/>
        <v>268.05200000000002</v>
      </c>
      <c r="W1618" s="27">
        <f t="shared" si="179"/>
        <v>152.6</v>
      </c>
      <c r="X1618" s="27">
        <f>RawSalesTable3[[#This Row],[Revenue]]-RawSalesTable3[[#This Row],[Total_Cost]]</f>
        <v>115.45200000000003</v>
      </c>
      <c r="Y1618" s="28">
        <f>RawSalesTable3[[#This Row],[Profit]]/RawSalesTable3[[#This Row],[Revenue]]</f>
        <v>0.43070747466909415</v>
      </c>
      <c r="Z1618" s="27" t="str">
        <f>TEXT(RawSalesTable3[[#This Row],[Order_Date_Clean]],"MMM YYYY")</f>
        <v>Sep 2025</v>
      </c>
      <c r="AA1618" s="27"/>
      <c r="AB1618" s="27">
        <f t="shared" si="180"/>
        <v>0</v>
      </c>
      <c r="AC1618" s="27">
        <f t="shared" si="181"/>
        <v>0</v>
      </c>
    </row>
    <row r="1619" spans="1:29">
      <c r="A1619" t="s">
        <v>1729</v>
      </c>
      <c r="B1619" s="3">
        <v>45760</v>
      </c>
      <c r="C1619" t="s">
        <v>78</v>
      </c>
      <c r="D1619" t="s">
        <v>62</v>
      </c>
      <c r="E1619" t="s">
        <v>79</v>
      </c>
      <c r="F1619" t="s">
        <v>115</v>
      </c>
      <c r="G1619" s="6">
        <v>1</v>
      </c>
      <c r="H1619" s="4">
        <v>59.63</v>
      </c>
      <c r="I1619" s="4">
        <v>35.42</v>
      </c>
      <c r="J1619" s="5">
        <v>0</v>
      </c>
      <c r="K1619" s="6">
        <v>2</v>
      </c>
      <c r="L1619" s="6">
        <v>4</v>
      </c>
      <c r="M1619" t="s">
        <v>58</v>
      </c>
      <c r="N1619" t="s">
        <v>59</v>
      </c>
      <c r="O1619" t="s">
        <v>64</v>
      </c>
      <c r="P1619" t="str">
        <f t="shared" si="175"/>
        <v>Individual</v>
      </c>
      <c r="Q1619" t="str">
        <f t="shared" si="176"/>
        <v>London</v>
      </c>
      <c r="R1619" t="str">
        <f>PROPER(TRIM(E1619))</f>
        <v>Electronics</v>
      </c>
      <c r="S1619" s="27">
        <f>IF(ISTEXT(B1619),DATEVALUE(B1619),B1619)</f>
        <v>45760</v>
      </c>
      <c r="T1619" s="27">
        <f>COUNTIF($A$2:$A$1986,A1619)</f>
        <v>1</v>
      </c>
      <c r="U1619" s="27" t="str">
        <f t="shared" si="177"/>
        <v>Wireless Headset</v>
      </c>
      <c r="V1619" s="27">
        <f t="shared" si="178"/>
        <v>59.63</v>
      </c>
      <c r="W1619" s="27">
        <f t="shared" si="179"/>
        <v>35.42</v>
      </c>
      <c r="X1619" s="27">
        <f>RawSalesTable3[[#This Row],[Revenue]]-RawSalesTable3[[#This Row],[Total_Cost]]</f>
        <v>24.21</v>
      </c>
      <c r="Y1619" s="28">
        <f>RawSalesTable3[[#This Row],[Profit]]/RawSalesTable3[[#This Row],[Revenue]]</f>
        <v>0.40600368941807813</v>
      </c>
      <c r="Z1619" s="27" t="str">
        <f>TEXT(RawSalesTable3[[#This Row],[Order_Date_Clean]],"MMM YYYY")</f>
        <v>Apr 2025</v>
      </c>
      <c r="AA1619" s="27"/>
      <c r="AB1619" s="27">
        <f t="shared" si="180"/>
        <v>0</v>
      </c>
      <c r="AC1619" s="27">
        <f t="shared" si="181"/>
        <v>0</v>
      </c>
    </row>
    <row r="1620" spans="1:29">
      <c r="A1620" t="s">
        <v>1730</v>
      </c>
      <c r="B1620" s="3">
        <v>45986</v>
      </c>
      <c r="C1620" t="s">
        <v>54</v>
      </c>
      <c r="D1620" t="s">
        <v>62</v>
      </c>
      <c r="E1620" t="s">
        <v>56</v>
      </c>
      <c r="F1620" t="s">
        <v>57</v>
      </c>
      <c r="G1620" s="6">
        <v>2</v>
      </c>
      <c r="H1620" s="4">
        <v>110.64</v>
      </c>
      <c r="I1620" s="4">
        <v>67.569999999999993</v>
      </c>
      <c r="J1620" s="5">
        <v>0.05</v>
      </c>
      <c r="K1620" s="6">
        <v>5</v>
      </c>
      <c r="L1620" s="6">
        <v>4</v>
      </c>
      <c r="M1620" t="s">
        <v>58</v>
      </c>
      <c r="N1620" t="s">
        <v>59</v>
      </c>
      <c r="O1620" t="s">
        <v>64</v>
      </c>
      <c r="P1620" t="str">
        <f t="shared" si="175"/>
        <v>Individual</v>
      </c>
      <c r="Q1620" t="str">
        <f t="shared" si="176"/>
        <v>North</v>
      </c>
      <c r="R1620" t="str">
        <f>PROPER(TRIM(E1620))</f>
        <v>Home &amp; Kitchen</v>
      </c>
      <c r="S1620" s="27">
        <f>IF(ISTEXT(B1620),DATEVALUE(B1620),B1620)</f>
        <v>45986</v>
      </c>
      <c r="T1620" s="27">
        <f>COUNTIF($A$2:$A$1986,A1620)</f>
        <v>1</v>
      </c>
      <c r="U1620" s="27" t="str">
        <f t="shared" si="177"/>
        <v>Air Fryer</v>
      </c>
      <c r="V1620" s="27">
        <f t="shared" si="178"/>
        <v>210.21599999999998</v>
      </c>
      <c r="W1620" s="27">
        <f t="shared" si="179"/>
        <v>135.13999999999999</v>
      </c>
      <c r="X1620" s="27">
        <f>RawSalesTable3[[#This Row],[Revenue]]-RawSalesTable3[[#This Row],[Total_Cost]]</f>
        <v>75.075999999999993</v>
      </c>
      <c r="Y1620" s="28">
        <f>RawSalesTable3[[#This Row],[Profit]]/RawSalesTable3[[#This Row],[Revenue]]</f>
        <v>0.35713742055790237</v>
      </c>
      <c r="Z1620" s="27" t="str">
        <f>TEXT(RawSalesTable3[[#This Row],[Order_Date_Clean]],"MMM YYYY")</f>
        <v>Nov 2025</v>
      </c>
      <c r="AA1620" s="27"/>
      <c r="AB1620" s="27">
        <f t="shared" si="180"/>
        <v>0</v>
      </c>
      <c r="AC1620" s="27">
        <f t="shared" si="181"/>
        <v>0</v>
      </c>
    </row>
    <row r="1621" spans="1:29">
      <c r="A1621" t="s">
        <v>1731</v>
      </c>
      <c r="B1621" s="3">
        <v>45989</v>
      </c>
      <c r="C1621" t="s">
        <v>66</v>
      </c>
      <c r="D1621" t="s">
        <v>55</v>
      </c>
      <c r="E1621" t="s">
        <v>67</v>
      </c>
      <c r="F1621" t="s">
        <v>107</v>
      </c>
      <c r="G1621" s="6">
        <v>3</v>
      </c>
      <c r="H1621" s="4">
        <v>45.03</v>
      </c>
      <c r="I1621" s="4">
        <v>21.17</v>
      </c>
      <c r="J1621" s="5">
        <v>0.05</v>
      </c>
      <c r="K1621" s="6">
        <v>4</v>
      </c>
      <c r="L1621" s="6">
        <v>4</v>
      </c>
      <c r="M1621" t="s">
        <v>58</v>
      </c>
      <c r="N1621" t="s">
        <v>59</v>
      </c>
      <c r="O1621" t="s">
        <v>64</v>
      </c>
      <c r="P1621" t="str">
        <f t="shared" si="175"/>
        <v>Small Business</v>
      </c>
      <c r="Q1621" t="str">
        <f t="shared" si="176"/>
        <v>South</v>
      </c>
      <c r="R1621" t="str">
        <f>PROPER(TRIM(E1621))</f>
        <v>Office</v>
      </c>
      <c r="S1621" s="27">
        <f>IF(ISTEXT(B1621),DATEVALUE(B1621),B1621)</f>
        <v>45989</v>
      </c>
      <c r="T1621" s="27">
        <f>COUNTIF($A$2:$A$1986,A1621)</f>
        <v>1</v>
      </c>
      <c r="U1621" s="27" t="str">
        <f t="shared" si="177"/>
        <v>Laptop Stand</v>
      </c>
      <c r="V1621" s="27">
        <f t="shared" si="178"/>
        <v>128.3355</v>
      </c>
      <c r="W1621" s="27">
        <f t="shared" si="179"/>
        <v>63.510000000000005</v>
      </c>
      <c r="X1621" s="27">
        <f>RawSalesTable3[[#This Row],[Revenue]]-RawSalesTable3[[#This Row],[Total_Cost]]</f>
        <v>64.825499999999991</v>
      </c>
      <c r="Y1621" s="28">
        <f>RawSalesTable3[[#This Row],[Profit]]/RawSalesTable3[[#This Row],[Revenue]]</f>
        <v>0.50512523814532995</v>
      </c>
      <c r="Z1621" s="27" t="str">
        <f>TEXT(RawSalesTable3[[#This Row],[Order_Date_Clean]],"MMM YYYY")</f>
        <v>Nov 2025</v>
      </c>
      <c r="AA1621" s="27"/>
      <c r="AB1621" s="27">
        <f t="shared" si="180"/>
        <v>0</v>
      </c>
      <c r="AC1621" s="27">
        <f t="shared" si="181"/>
        <v>0</v>
      </c>
    </row>
    <row r="1622" spans="1:29">
      <c r="A1622" t="s">
        <v>1732</v>
      </c>
      <c r="B1622" s="3">
        <v>45836</v>
      </c>
      <c r="C1622" t="s">
        <v>54</v>
      </c>
      <c r="D1622" t="s">
        <v>62</v>
      </c>
      <c r="E1622" t="s">
        <v>56</v>
      </c>
      <c r="F1622" t="s">
        <v>57</v>
      </c>
      <c r="G1622" s="6">
        <v>2</v>
      </c>
      <c r="H1622" s="4">
        <v>111.15</v>
      </c>
      <c r="I1622" s="4">
        <v>65.08</v>
      </c>
      <c r="J1622" s="5">
        <v>0.1</v>
      </c>
      <c r="K1622" s="6">
        <v>0</v>
      </c>
      <c r="L1622" s="6">
        <v>4</v>
      </c>
      <c r="M1622" t="s">
        <v>58</v>
      </c>
      <c r="N1622" t="s">
        <v>69</v>
      </c>
      <c r="O1622" t="s">
        <v>64</v>
      </c>
      <c r="P1622" t="str">
        <f t="shared" si="175"/>
        <v>Individual</v>
      </c>
      <c r="Q1622" t="str">
        <f t="shared" si="176"/>
        <v>North</v>
      </c>
      <c r="R1622" t="str">
        <f>PROPER(TRIM(E1622))</f>
        <v>Home &amp; Kitchen</v>
      </c>
      <c r="S1622" s="27">
        <f>IF(ISTEXT(B1622),DATEVALUE(B1622),B1622)</f>
        <v>45836</v>
      </c>
      <c r="T1622" s="27">
        <f>COUNTIF($A$2:$A$1986,A1622)</f>
        <v>1</v>
      </c>
      <c r="U1622" s="27" t="str">
        <f t="shared" si="177"/>
        <v>Air Fryer</v>
      </c>
      <c r="V1622" s="27">
        <f t="shared" si="178"/>
        <v>200.07000000000002</v>
      </c>
      <c r="W1622" s="27">
        <f t="shared" si="179"/>
        <v>130.16</v>
      </c>
      <c r="X1622" s="27">
        <f>RawSalesTable3[[#This Row],[Revenue]]-RawSalesTable3[[#This Row],[Total_Cost]]</f>
        <v>69.910000000000025</v>
      </c>
      <c r="Y1622" s="28">
        <f>RawSalesTable3[[#This Row],[Profit]]/RawSalesTable3[[#This Row],[Revenue]]</f>
        <v>0.3494277003048934</v>
      </c>
      <c r="Z1622" s="27" t="str">
        <f>TEXT(RawSalesTable3[[#This Row],[Order_Date_Clean]],"MMM YYYY")</f>
        <v>Jun 2025</v>
      </c>
      <c r="AA1622" s="27"/>
      <c r="AB1622" s="27">
        <f t="shared" si="180"/>
        <v>0</v>
      </c>
      <c r="AC1622" s="27">
        <f t="shared" si="181"/>
        <v>0</v>
      </c>
    </row>
    <row r="1623" spans="1:29">
      <c r="A1623" t="s">
        <v>1733</v>
      </c>
      <c r="B1623" s="3">
        <v>45885</v>
      </c>
      <c r="C1623" t="s">
        <v>82</v>
      </c>
      <c r="D1623" t="s">
        <v>62</v>
      </c>
      <c r="E1623" t="s">
        <v>67</v>
      </c>
      <c r="F1623" t="s">
        <v>107</v>
      </c>
      <c r="G1623" s="6">
        <v>2</v>
      </c>
      <c r="H1623" s="4">
        <v>44.33</v>
      </c>
      <c r="I1623" s="4">
        <v>21.63</v>
      </c>
      <c r="J1623" s="5">
        <v>0</v>
      </c>
      <c r="K1623" s="6">
        <v>1</v>
      </c>
      <c r="L1623" s="6">
        <v>5</v>
      </c>
      <c r="M1623" t="s">
        <v>58</v>
      </c>
      <c r="N1623" t="s">
        <v>59</v>
      </c>
      <c r="O1623" t="s">
        <v>60</v>
      </c>
      <c r="P1623" t="str">
        <f t="shared" si="175"/>
        <v>Individual</v>
      </c>
      <c r="Q1623" t="str">
        <f t="shared" si="176"/>
        <v>Midlands</v>
      </c>
      <c r="R1623" t="str">
        <f>PROPER(TRIM(E1623))</f>
        <v>Office</v>
      </c>
      <c r="S1623" s="27">
        <f>IF(ISTEXT(B1623),DATEVALUE(B1623),B1623)</f>
        <v>45885</v>
      </c>
      <c r="T1623" s="27">
        <f>COUNTIF($A$2:$A$1986,A1623)</f>
        <v>1</v>
      </c>
      <c r="U1623" s="27" t="str">
        <f t="shared" si="177"/>
        <v>Laptop Stand</v>
      </c>
      <c r="V1623" s="27">
        <f t="shared" si="178"/>
        <v>88.66</v>
      </c>
      <c r="W1623" s="27">
        <f t="shared" si="179"/>
        <v>43.26</v>
      </c>
      <c r="X1623" s="27">
        <f>RawSalesTable3[[#This Row],[Revenue]]-RawSalesTable3[[#This Row],[Total_Cost]]</f>
        <v>45.4</v>
      </c>
      <c r="Y1623" s="28">
        <f>RawSalesTable3[[#This Row],[Profit]]/RawSalesTable3[[#This Row],[Revenue]]</f>
        <v>0.51206857658470561</v>
      </c>
      <c r="Z1623" s="27" t="str">
        <f>TEXT(RawSalesTable3[[#This Row],[Order_Date_Clean]],"MMM YYYY")</f>
        <v>Aug 2025</v>
      </c>
      <c r="AA1623" s="27"/>
      <c r="AB1623" s="27">
        <f t="shared" si="180"/>
        <v>0</v>
      </c>
      <c r="AC1623" s="27">
        <f t="shared" si="181"/>
        <v>0</v>
      </c>
    </row>
    <row r="1624" spans="1:29">
      <c r="A1624" t="s">
        <v>1734</v>
      </c>
      <c r="B1624" s="3">
        <v>45704</v>
      </c>
      <c r="C1624" t="s">
        <v>54</v>
      </c>
      <c r="D1624" t="s">
        <v>55</v>
      </c>
      <c r="E1624" t="s">
        <v>79</v>
      </c>
      <c r="F1624" t="s">
        <v>92</v>
      </c>
      <c r="G1624" s="6">
        <v>3</v>
      </c>
      <c r="H1624" s="4">
        <v>49.22</v>
      </c>
      <c r="I1624" s="4">
        <v>25.89</v>
      </c>
      <c r="J1624" s="5">
        <v>0</v>
      </c>
      <c r="K1624" s="6">
        <v>0</v>
      </c>
      <c r="L1624" s="6">
        <v>5</v>
      </c>
      <c r="M1624" t="s">
        <v>58</v>
      </c>
      <c r="N1624" t="s">
        <v>69</v>
      </c>
      <c r="O1624" t="s">
        <v>73</v>
      </c>
      <c r="P1624" t="str">
        <f t="shared" si="175"/>
        <v>Small Business</v>
      </c>
      <c r="Q1624" t="str">
        <f t="shared" si="176"/>
        <v>North</v>
      </c>
      <c r="R1624" t="str">
        <f>PROPER(TRIM(E1624))</f>
        <v>Electronics</v>
      </c>
      <c r="S1624" s="27">
        <f>IF(ISTEXT(B1624),DATEVALUE(B1624),B1624)</f>
        <v>45704</v>
      </c>
      <c r="T1624" s="27">
        <f>COUNTIF($A$2:$A$1986,A1624)</f>
        <v>1</v>
      </c>
      <c r="U1624" s="27" t="str">
        <f t="shared" si="177"/>
        <v>Webcam</v>
      </c>
      <c r="V1624" s="27">
        <f t="shared" si="178"/>
        <v>147.66</v>
      </c>
      <c r="W1624" s="27">
        <f t="shared" si="179"/>
        <v>77.67</v>
      </c>
      <c r="X1624" s="27">
        <f>RawSalesTable3[[#This Row],[Revenue]]-RawSalesTable3[[#This Row],[Total_Cost]]</f>
        <v>69.989999999999995</v>
      </c>
      <c r="Y1624" s="28">
        <f>RawSalesTable3[[#This Row],[Profit]]/RawSalesTable3[[#This Row],[Revenue]]</f>
        <v>0.47399431125558711</v>
      </c>
      <c r="Z1624" s="27" t="str">
        <f>TEXT(RawSalesTable3[[#This Row],[Order_Date_Clean]],"MMM YYYY")</f>
        <v>Feb 2025</v>
      </c>
      <c r="AA1624" s="27"/>
      <c r="AB1624" s="27">
        <f t="shared" si="180"/>
        <v>0</v>
      </c>
      <c r="AC1624" s="27">
        <f t="shared" si="181"/>
        <v>0</v>
      </c>
    </row>
    <row r="1625" spans="1:29">
      <c r="A1625" t="s">
        <v>1735</v>
      </c>
      <c r="B1625" s="3">
        <v>45864</v>
      </c>
      <c r="C1625" t="s">
        <v>78</v>
      </c>
      <c r="D1625" t="s">
        <v>62</v>
      </c>
      <c r="E1625" t="s">
        <v>75</v>
      </c>
      <c r="F1625" t="s">
        <v>110</v>
      </c>
      <c r="G1625" s="6">
        <v>3</v>
      </c>
      <c r="H1625" s="4">
        <v>157.59</v>
      </c>
      <c r="I1625" s="4">
        <v>104.2</v>
      </c>
      <c r="J1625" s="5">
        <v>0</v>
      </c>
      <c r="K1625" s="6">
        <v>4</v>
      </c>
      <c r="L1625" s="6">
        <v>5</v>
      </c>
      <c r="M1625" t="s">
        <v>58</v>
      </c>
      <c r="N1625" t="s">
        <v>59</v>
      </c>
      <c r="O1625" t="s">
        <v>60</v>
      </c>
      <c r="P1625" t="str">
        <f t="shared" si="175"/>
        <v>Individual</v>
      </c>
      <c r="Q1625" t="str">
        <f t="shared" si="176"/>
        <v>London</v>
      </c>
      <c r="R1625" t="str">
        <f>PROPER(TRIM(E1625))</f>
        <v>Furniture</v>
      </c>
      <c r="S1625" s="27">
        <f>IF(ISTEXT(B1625),DATEVALUE(B1625),B1625)</f>
        <v>45864</v>
      </c>
      <c r="T1625" s="27">
        <f>COUNTIF($A$2:$A$1986,A1625)</f>
        <v>1</v>
      </c>
      <c r="U1625" s="27" t="str">
        <f t="shared" si="177"/>
        <v>Storage Cabinet</v>
      </c>
      <c r="V1625" s="27">
        <f t="shared" si="178"/>
        <v>472.77</v>
      </c>
      <c r="W1625" s="27">
        <f t="shared" si="179"/>
        <v>312.60000000000002</v>
      </c>
      <c r="X1625" s="27">
        <f>RawSalesTable3[[#This Row],[Revenue]]-RawSalesTable3[[#This Row],[Total_Cost]]</f>
        <v>160.16999999999996</v>
      </c>
      <c r="Y1625" s="28">
        <f>RawSalesTable3[[#This Row],[Profit]]/RawSalesTable3[[#This Row],[Revenue]]</f>
        <v>0.33879053239418738</v>
      </c>
      <c r="Z1625" s="27" t="str">
        <f>TEXT(RawSalesTable3[[#This Row],[Order_Date_Clean]],"MMM YYYY")</f>
        <v>Jul 2025</v>
      </c>
      <c r="AA1625" s="27"/>
      <c r="AB1625" s="27">
        <f t="shared" si="180"/>
        <v>0</v>
      </c>
      <c r="AC1625" s="27">
        <f t="shared" si="181"/>
        <v>0</v>
      </c>
    </row>
    <row r="1626" spans="1:29">
      <c r="A1626" t="s">
        <v>1736</v>
      </c>
      <c r="B1626" s="3">
        <v>45678</v>
      </c>
      <c r="C1626" t="s">
        <v>54</v>
      </c>
      <c r="D1626" t="s">
        <v>62</v>
      </c>
      <c r="E1626" t="s">
        <v>79</v>
      </c>
      <c r="F1626" t="s">
        <v>80</v>
      </c>
      <c r="G1626" s="6">
        <v>2</v>
      </c>
      <c r="H1626" s="4">
        <v>76.2</v>
      </c>
      <c r="I1626" s="4">
        <v>42.91</v>
      </c>
      <c r="J1626" s="5">
        <v>0</v>
      </c>
      <c r="K1626" s="6">
        <v>0</v>
      </c>
      <c r="L1626" s="6">
        <v>5</v>
      </c>
      <c r="M1626" t="s">
        <v>58</v>
      </c>
      <c r="N1626" t="s">
        <v>69</v>
      </c>
      <c r="O1626" t="s">
        <v>64</v>
      </c>
      <c r="P1626" t="str">
        <f t="shared" si="175"/>
        <v>Individual</v>
      </c>
      <c r="Q1626" t="str">
        <f t="shared" si="176"/>
        <v>North</v>
      </c>
      <c r="R1626" t="str">
        <f>PROPER(TRIM(E1626))</f>
        <v>Electronics</v>
      </c>
      <c r="S1626" s="27">
        <f>IF(ISTEXT(B1626),DATEVALUE(B1626),B1626)</f>
        <v>45678</v>
      </c>
      <c r="T1626" s="27">
        <f>COUNTIF($A$2:$A$1986,A1626)</f>
        <v>1</v>
      </c>
      <c r="U1626" s="27" t="str">
        <f t="shared" si="177"/>
        <v>Portable Speaker</v>
      </c>
      <c r="V1626" s="27">
        <f t="shared" si="178"/>
        <v>152.4</v>
      </c>
      <c r="W1626" s="27">
        <f t="shared" si="179"/>
        <v>85.82</v>
      </c>
      <c r="X1626" s="27">
        <f>RawSalesTable3[[#This Row],[Revenue]]-RawSalesTable3[[#This Row],[Total_Cost]]</f>
        <v>66.580000000000013</v>
      </c>
      <c r="Y1626" s="28">
        <f>RawSalesTable3[[#This Row],[Profit]]/RawSalesTable3[[#This Row],[Revenue]]</f>
        <v>0.43687664041994756</v>
      </c>
      <c r="Z1626" s="27" t="str">
        <f>TEXT(RawSalesTable3[[#This Row],[Order_Date_Clean]],"MMM YYYY")</f>
        <v>Jan 2025</v>
      </c>
      <c r="AA1626" s="27"/>
      <c r="AB1626" s="27">
        <f t="shared" si="180"/>
        <v>0</v>
      </c>
      <c r="AC1626" s="27">
        <f t="shared" si="181"/>
        <v>0</v>
      </c>
    </row>
    <row r="1627" spans="1:29">
      <c r="A1627" t="s">
        <v>1737</v>
      </c>
      <c r="B1627" s="3">
        <v>46002</v>
      </c>
      <c r="C1627" t="s">
        <v>54</v>
      </c>
      <c r="D1627" t="s">
        <v>62</v>
      </c>
      <c r="E1627" t="s">
        <v>67</v>
      </c>
      <c r="F1627" t="s">
        <v>94</v>
      </c>
      <c r="G1627" s="6">
        <v>1</v>
      </c>
      <c r="H1627" s="4">
        <v>33.97</v>
      </c>
      <c r="I1627" s="4">
        <v>17.75</v>
      </c>
      <c r="J1627" s="5">
        <v>0.1</v>
      </c>
      <c r="K1627" s="6">
        <v>1</v>
      </c>
      <c r="L1627" s="6">
        <v>4</v>
      </c>
      <c r="M1627" t="s">
        <v>58</v>
      </c>
      <c r="N1627" t="s">
        <v>59</v>
      </c>
      <c r="O1627" t="s">
        <v>64</v>
      </c>
      <c r="P1627" t="str">
        <f t="shared" si="175"/>
        <v>Individual</v>
      </c>
      <c r="Q1627" t="str">
        <f t="shared" si="176"/>
        <v>North</v>
      </c>
      <c r="R1627" t="str">
        <f>PROPER(TRIM(E1627))</f>
        <v>Office</v>
      </c>
      <c r="S1627" s="27">
        <f>IF(ISTEXT(B1627),DATEVALUE(B1627),B1627)</f>
        <v>46002</v>
      </c>
      <c r="T1627" s="27">
        <f>COUNTIF($A$2:$A$1986,A1627)</f>
        <v>1</v>
      </c>
      <c r="U1627" s="27" t="str">
        <f t="shared" si="177"/>
        <v>Wireless Mouse</v>
      </c>
      <c r="V1627" s="27">
        <f t="shared" si="178"/>
        <v>30.573</v>
      </c>
      <c r="W1627" s="27">
        <f t="shared" si="179"/>
        <v>17.75</v>
      </c>
      <c r="X1627" s="27">
        <f>RawSalesTable3[[#This Row],[Revenue]]-RawSalesTable3[[#This Row],[Total_Cost]]</f>
        <v>12.823</v>
      </c>
      <c r="Y1627" s="28">
        <f>RawSalesTable3[[#This Row],[Profit]]/RawSalesTable3[[#This Row],[Revenue]]</f>
        <v>0.41942236614005823</v>
      </c>
      <c r="Z1627" s="27" t="str">
        <f>TEXT(RawSalesTable3[[#This Row],[Order_Date_Clean]],"MMM YYYY")</f>
        <v>Dec 2025</v>
      </c>
      <c r="AA1627" s="27"/>
      <c r="AB1627" s="27">
        <f t="shared" si="180"/>
        <v>0</v>
      </c>
      <c r="AC1627" s="27">
        <f t="shared" si="181"/>
        <v>0</v>
      </c>
    </row>
    <row r="1628" spans="1:29">
      <c r="A1628" t="s">
        <v>1738</v>
      </c>
      <c r="B1628" s="3">
        <v>45712</v>
      </c>
      <c r="C1628" t="s">
        <v>78</v>
      </c>
      <c r="D1628" t="s">
        <v>62</v>
      </c>
      <c r="E1628" t="s">
        <v>75</v>
      </c>
      <c r="F1628" t="s">
        <v>76</v>
      </c>
      <c r="G1628" s="6">
        <v>3</v>
      </c>
      <c r="H1628" s="4">
        <v>116.45</v>
      </c>
      <c r="I1628" s="4">
        <v>70.33</v>
      </c>
      <c r="J1628" s="5">
        <v>0.05</v>
      </c>
      <c r="K1628" s="6">
        <v>2</v>
      </c>
      <c r="L1628" s="6">
        <v>4</v>
      </c>
      <c r="M1628" t="s">
        <v>58</v>
      </c>
      <c r="N1628" t="s">
        <v>69</v>
      </c>
      <c r="O1628" t="s">
        <v>73</v>
      </c>
      <c r="P1628" t="str">
        <f t="shared" si="175"/>
        <v>Individual</v>
      </c>
      <c r="Q1628" t="str">
        <f t="shared" si="176"/>
        <v>London</v>
      </c>
      <c r="R1628" t="str">
        <f>PROPER(TRIM(E1628))</f>
        <v>Furniture</v>
      </c>
      <c r="S1628" s="27">
        <f>IF(ISTEXT(B1628),DATEVALUE(B1628),B1628)</f>
        <v>45712</v>
      </c>
      <c r="T1628" s="27">
        <f>COUNTIF($A$2:$A$1986,A1628)</f>
        <v>1</v>
      </c>
      <c r="U1628" s="27" t="str">
        <f t="shared" si="177"/>
        <v>Bookshelf</v>
      </c>
      <c r="V1628" s="27">
        <f t="shared" si="178"/>
        <v>331.88249999999999</v>
      </c>
      <c r="W1628" s="27">
        <f t="shared" si="179"/>
        <v>210.99</v>
      </c>
      <c r="X1628" s="27">
        <f>RawSalesTable3[[#This Row],[Revenue]]-RawSalesTable3[[#This Row],[Total_Cost]]</f>
        <v>120.89249999999998</v>
      </c>
      <c r="Y1628" s="28">
        <f>RawSalesTable3[[#This Row],[Profit]]/RawSalesTable3[[#This Row],[Revenue]]</f>
        <v>0.36426295450950258</v>
      </c>
      <c r="Z1628" s="27" t="str">
        <f>TEXT(RawSalesTable3[[#This Row],[Order_Date_Clean]],"MMM YYYY")</f>
        <v>Feb 2025</v>
      </c>
      <c r="AA1628" s="27"/>
      <c r="AB1628" s="27">
        <f t="shared" si="180"/>
        <v>0</v>
      </c>
      <c r="AC1628" s="27">
        <f t="shared" si="181"/>
        <v>0</v>
      </c>
    </row>
    <row r="1629" spans="1:29">
      <c r="A1629" t="s">
        <v>1739</v>
      </c>
      <c r="B1629" s="3">
        <v>45807</v>
      </c>
      <c r="C1629" t="s">
        <v>82</v>
      </c>
      <c r="D1629" t="s">
        <v>62</v>
      </c>
      <c r="E1629" t="s">
        <v>56</v>
      </c>
      <c r="F1629" t="s">
        <v>57</v>
      </c>
      <c r="G1629" s="6">
        <v>2</v>
      </c>
      <c r="H1629" s="4">
        <v>111.84</v>
      </c>
      <c r="I1629" s="4">
        <v>68.86</v>
      </c>
      <c r="J1629" s="5">
        <v>0.05</v>
      </c>
      <c r="K1629" s="6">
        <v>4</v>
      </c>
      <c r="L1629" s="6">
        <v>5</v>
      </c>
      <c r="M1629" t="s">
        <v>58</v>
      </c>
      <c r="N1629" t="s">
        <v>59</v>
      </c>
      <c r="O1629" t="s">
        <v>73</v>
      </c>
      <c r="P1629" t="str">
        <f t="shared" si="175"/>
        <v>Individual</v>
      </c>
      <c r="Q1629" t="str">
        <f t="shared" si="176"/>
        <v>Midlands</v>
      </c>
      <c r="R1629" t="str">
        <f>PROPER(TRIM(E1629))</f>
        <v>Home &amp; Kitchen</v>
      </c>
      <c r="S1629" s="27">
        <f>IF(ISTEXT(B1629),DATEVALUE(B1629),B1629)</f>
        <v>45807</v>
      </c>
      <c r="T1629" s="27">
        <f>COUNTIF($A$2:$A$1986,A1629)</f>
        <v>1</v>
      </c>
      <c r="U1629" s="27" t="str">
        <f t="shared" si="177"/>
        <v>Air Fryer</v>
      </c>
      <c r="V1629" s="27">
        <f t="shared" si="178"/>
        <v>212.49600000000001</v>
      </c>
      <c r="W1629" s="27">
        <f t="shared" si="179"/>
        <v>137.72</v>
      </c>
      <c r="X1629" s="27">
        <f>RawSalesTable3[[#This Row],[Revenue]]-RawSalesTable3[[#This Row],[Total_Cost]]</f>
        <v>74.77600000000001</v>
      </c>
      <c r="Y1629" s="28">
        <f>RawSalesTable3[[#This Row],[Profit]]/RawSalesTable3[[#This Row],[Revenue]]</f>
        <v>0.35189368270461563</v>
      </c>
      <c r="Z1629" s="27" t="str">
        <f>TEXT(RawSalesTable3[[#This Row],[Order_Date_Clean]],"MMM YYYY")</f>
        <v>May 2025</v>
      </c>
      <c r="AA1629" s="27"/>
      <c r="AB1629" s="27">
        <f t="shared" si="180"/>
        <v>0</v>
      </c>
      <c r="AC1629" s="27">
        <f t="shared" si="181"/>
        <v>0</v>
      </c>
    </row>
    <row r="1630" spans="1:29">
      <c r="A1630" t="s">
        <v>1740</v>
      </c>
      <c r="B1630" s="3">
        <v>46012</v>
      </c>
      <c r="C1630" t="s">
        <v>54</v>
      </c>
      <c r="D1630" t="s">
        <v>62</v>
      </c>
      <c r="E1630" t="s">
        <v>67</v>
      </c>
      <c r="F1630" t="s">
        <v>71</v>
      </c>
      <c r="G1630" s="6">
        <v>1</v>
      </c>
      <c r="H1630" s="4">
        <v>68.989999999999995</v>
      </c>
      <c r="I1630" s="4">
        <v>37.79</v>
      </c>
      <c r="J1630" s="5">
        <v>0.1</v>
      </c>
      <c r="K1630" s="6">
        <v>0</v>
      </c>
      <c r="L1630" s="6">
        <v>4</v>
      </c>
      <c r="M1630" t="s">
        <v>58</v>
      </c>
      <c r="N1630" t="s">
        <v>69</v>
      </c>
      <c r="O1630" t="s">
        <v>64</v>
      </c>
      <c r="P1630" t="str">
        <f t="shared" si="175"/>
        <v>Individual</v>
      </c>
      <c r="Q1630" t="str">
        <f t="shared" si="176"/>
        <v>North</v>
      </c>
      <c r="R1630" t="str">
        <f>PROPER(TRIM(E1630))</f>
        <v>Office</v>
      </c>
      <c r="S1630" s="27">
        <f>IF(ISTEXT(B1630),DATEVALUE(B1630),B1630)</f>
        <v>46012</v>
      </c>
      <c r="T1630" s="27">
        <f>COUNTIF($A$2:$A$1986,A1630)</f>
        <v>1</v>
      </c>
      <c r="U1630" s="27" t="str">
        <f t="shared" si="177"/>
        <v>Ergonomic Keyboard</v>
      </c>
      <c r="V1630" s="27">
        <f t="shared" si="178"/>
        <v>62.090999999999994</v>
      </c>
      <c r="W1630" s="27">
        <f t="shared" si="179"/>
        <v>37.79</v>
      </c>
      <c r="X1630" s="27">
        <f>RawSalesTable3[[#This Row],[Revenue]]-RawSalesTable3[[#This Row],[Total_Cost]]</f>
        <v>24.300999999999995</v>
      </c>
      <c r="Y1630" s="28">
        <f>RawSalesTable3[[#This Row],[Profit]]/RawSalesTable3[[#This Row],[Revenue]]</f>
        <v>0.39137717221497476</v>
      </c>
      <c r="Z1630" s="27" t="str">
        <f>TEXT(RawSalesTable3[[#This Row],[Order_Date_Clean]],"MMM YYYY")</f>
        <v>Dec 2025</v>
      </c>
      <c r="AA1630" s="27"/>
      <c r="AB1630" s="27">
        <f t="shared" si="180"/>
        <v>0</v>
      </c>
      <c r="AC1630" s="27">
        <f t="shared" si="181"/>
        <v>0</v>
      </c>
    </row>
    <row r="1631" spans="1:29">
      <c r="A1631" t="s">
        <v>1741</v>
      </c>
      <c r="B1631" s="3">
        <v>45701</v>
      </c>
      <c r="C1631" t="s">
        <v>66</v>
      </c>
      <c r="D1631" t="s">
        <v>55</v>
      </c>
      <c r="E1631" t="s">
        <v>75</v>
      </c>
      <c r="F1631" t="s">
        <v>146</v>
      </c>
      <c r="G1631" s="6">
        <v>2</v>
      </c>
      <c r="H1631" s="4">
        <v>185.68</v>
      </c>
      <c r="I1631" s="4">
        <v>119.29</v>
      </c>
      <c r="J1631" s="5">
        <v>0.05</v>
      </c>
      <c r="K1631" s="6">
        <v>6</v>
      </c>
      <c r="L1631" s="6">
        <v>4</v>
      </c>
      <c r="M1631" t="s">
        <v>58</v>
      </c>
      <c r="N1631" t="s">
        <v>87</v>
      </c>
      <c r="O1631" t="s">
        <v>64</v>
      </c>
      <c r="P1631" t="str">
        <f t="shared" si="175"/>
        <v>Small Business</v>
      </c>
      <c r="Q1631" t="str">
        <f t="shared" si="176"/>
        <v>South</v>
      </c>
      <c r="R1631" t="str">
        <f>PROPER(TRIM(E1631))</f>
        <v>Furniture</v>
      </c>
      <c r="S1631" s="27">
        <f>IF(ISTEXT(B1631),DATEVALUE(B1631),B1631)</f>
        <v>45701</v>
      </c>
      <c r="T1631" s="27">
        <f>COUNTIF($A$2:$A$1986,A1631)</f>
        <v>1</v>
      </c>
      <c r="U1631" s="27" t="str">
        <f t="shared" si="177"/>
        <v>Office Chair</v>
      </c>
      <c r="V1631" s="27">
        <f t="shared" si="178"/>
        <v>352.79199999999997</v>
      </c>
      <c r="W1631" s="27">
        <f t="shared" si="179"/>
        <v>238.58</v>
      </c>
      <c r="X1631" s="27">
        <f>RawSalesTable3[[#This Row],[Revenue]]-RawSalesTable3[[#This Row],[Total_Cost]]</f>
        <v>114.21199999999996</v>
      </c>
      <c r="Y1631" s="28">
        <f>RawSalesTable3[[#This Row],[Profit]]/RawSalesTable3[[#This Row],[Revenue]]</f>
        <v>0.32373749971654675</v>
      </c>
      <c r="Z1631" s="27" t="str">
        <f>TEXT(RawSalesTable3[[#This Row],[Order_Date_Clean]],"MMM YYYY")</f>
        <v>Feb 2025</v>
      </c>
      <c r="AA1631" s="27"/>
      <c r="AB1631" s="27">
        <f t="shared" si="180"/>
        <v>0</v>
      </c>
      <c r="AC1631" s="27">
        <f t="shared" si="181"/>
        <v>0</v>
      </c>
    </row>
    <row r="1632" spans="1:29">
      <c r="A1632" t="s">
        <v>1742</v>
      </c>
      <c r="B1632" s="3">
        <v>45810</v>
      </c>
      <c r="C1632" t="s">
        <v>66</v>
      </c>
      <c r="D1632" t="s">
        <v>62</v>
      </c>
      <c r="E1632" t="s">
        <v>79</v>
      </c>
      <c r="F1632" t="s">
        <v>80</v>
      </c>
      <c r="G1632" s="6">
        <v>1</v>
      </c>
      <c r="H1632" s="4">
        <v>74.489999999999995</v>
      </c>
      <c r="I1632" s="4">
        <v>44.93</v>
      </c>
      <c r="J1632" s="5">
        <v>0.15000000000000002</v>
      </c>
      <c r="K1632" s="6">
        <v>5</v>
      </c>
      <c r="L1632" s="6">
        <v>5</v>
      </c>
      <c r="M1632" t="s">
        <v>58</v>
      </c>
      <c r="N1632" t="s">
        <v>59</v>
      </c>
      <c r="O1632" t="s">
        <v>60</v>
      </c>
      <c r="P1632" t="str">
        <f t="shared" si="175"/>
        <v>Individual</v>
      </c>
      <c r="Q1632" t="str">
        <f t="shared" si="176"/>
        <v>South</v>
      </c>
      <c r="R1632" t="str">
        <f>PROPER(TRIM(E1632))</f>
        <v>Electronics</v>
      </c>
      <c r="S1632" s="27">
        <f>IF(ISTEXT(B1632),DATEVALUE(B1632),B1632)</f>
        <v>45810</v>
      </c>
      <c r="T1632" s="27">
        <f>COUNTIF($A$2:$A$1986,A1632)</f>
        <v>1</v>
      </c>
      <c r="U1632" s="27" t="str">
        <f t="shared" si="177"/>
        <v>Portable Speaker</v>
      </c>
      <c r="V1632" s="27">
        <f t="shared" si="178"/>
        <v>63.316499999999991</v>
      </c>
      <c r="W1632" s="27">
        <f t="shared" si="179"/>
        <v>44.93</v>
      </c>
      <c r="X1632" s="27">
        <f>RawSalesTable3[[#This Row],[Revenue]]-RawSalesTable3[[#This Row],[Total_Cost]]</f>
        <v>18.386499999999991</v>
      </c>
      <c r="Y1632" s="28">
        <f>RawSalesTable3[[#This Row],[Profit]]/RawSalesTable3[[#This Row],[Revenue]]</f>
        <v>0.29039034059052526</v>
      </c>
      <c r="Z1632" s="27" t="str">
        <f>TEXT(RawSalesTable3[[#This Row],[Order_Date_Clean]],"MMM YYYY")</f>
        <v>Jun 2025</v>
      </c>
      <c r="AA1632" s="27"/>
      <c r="AB1632" s="27">
        <f t="shared" si="180"/>
        <v>0</v>
      </c>
      <c r="AC1632" s="27">
        <f t="shared" si="181"/>
        <v>0</v>
      </c>
    </row>
    <row r="1633" spans="1:29">
      <c r="A1633" t="s">
        <v>1743</v>
      </c>
      <c r="B1633" s="3">
        <v>45962</v>
      </c>
      <c r="C1633" t="s">
        <v>78</v>
      </c>
      <c r="D1633" t="s">
        <v>129</v>
      </c>
      <c r="E1633" t="s">
        <v>75</v>
      </c>
      <c r="F1633" t="s">
        <v>97</v>
      </c>
      <c r="G1633" s="6">
        <v>4</v>
      </c>
      <c r="H1633" s="4">
        <v>88.95</v>
      </c>
      <c r="I1633" s="4">
        <v>54.95</v>
      </c>
      <c r="J1633" s="5">
        <v>0.2</v>
      </c>
      <c r="K1633" s="6">
        <v>5</v>
      </c>
      <c r="L1633" s="6">
        <v>4</v>
      </c>
      <c r="M1633" t="s">
        <v>58</v>
      </c>
      <c r="N1633" t="s">
        <v>59</v>
      </c>
      <c r="O1633" t="s">
        <v>64</v>
      </c>
      <c r="P1633" t="str">
        <f t="shared" si="175"/>
        <v>Corporate</v>
      </c>
      <c r="Q1633" t="str">
        <f t="shared" si="176"/>
        <v>London</v>
      </c>
      <c r="R1633" t="str">
        <f>PROPER(TRIM(E1633))</f>
        <v>Furniture</v>
      </c>
      <c r="S1633" s="27">
        <f>IF(ISTEXT(B1633),DATEVALUE(B1633),B1633)</f>
        <v>45962</v>
      </c>
      <c r="T1633" s="27">
        <f>COUNTIF($A$2:$A$1986,A1633)</f>
        <v>1</v>
      </c>
      <c r="U1633" s="27" t="str">
        <f t="shared" si="177"/>
        <v>Side Table</v>
      </c>
      <c r="V1633" s="27">
        <f t="shared" si="178"/>
        <v>284.64000000000004</v>
      </c>
      <c r="W1633" s="27">
        <f t="shared" si="179"/>
        <v>219.8</v>
      </c>
      <c r="X1633" s="27">
        <f>RawSalesTable3[[#This Row],[Revenue]]-RawSalesTable3[[#This Row],[Total_Cost]]</f>
        <v>64.840000000000032</v>
      </c>
      <c r="Y1633" s="28">
        <f>RawSalesTable3[[#This Row],[Profit]]/RawSalesTable3[[#This Row],[Revenue]]</f>
        <v>0.22779651489600908</v>
      </c>
      <c r="Z1633" s="27" t="str">
        <f>TEXT(RawSalesTable3[[#This Row],[Order_Date_Clean]],"MMM YYYY")</f>
        <v>Nov 2025</v>
      </c>
      <c r="AA1633" s="27"/>
      <c r="AB1633" s="27">
        <f t="shared" si="180"/>
        <v>0</v>
      </c>
      <c r="AC1633" s="27">
        <f t="shared" si="181"/>
        <v>0</v>
      </c>
    </row>
    <row r="1634" spans="1:29">
      <c r="A1634" t="s">
        <v>1744</v>
      </c>
      <c r="B1634" s="3">
        <v>45962</v>
      </c>
      <c r="C1634" t="s">
        <v>78</v>
      </c>
      <c r="D1634" t="s">
        <v>55</v>
      </c>
      <c r="E1634" t="s">
        <v>56</v>
      </c>
      <c r="F1634" t="s">
        <v>57</v>
      </c>
      <c r="G1634" s="6">
        <v>2</v>
      </c>
      <c r="H1634" s="4">
        <v>113.85</v>
      </c>
      <c r="I1634" s="4">
        <v>68.180000000000007</v>
      </c>
      <c r="J1634" s="5">
        <v>0</v>
      </c>
      <c r="K1634" s="6">
        <v>2</v>
      </c>
      <c r="L1634" s="6">
        <v>4</v>
      </c>
      <c r="M1634" t="s">
        <v>58</v>
      </c>
      <c r="N1634" t="s">
        <v>59</v>
      </c>
      <c r="O1634" t="s">
        <v>73</v>
      </c>
      <c r="P1634" t="str">
        <f t="shared" si="175"/>
        <v>Small Business</v>
      </c>
      <c r="Q1634" t="str">
        <f t="shared" si="176"/>
        <v>London</v>
      </c>
      <c r="R1634" t="str">
        <f>PROPER(TRIM(E1634))</f>
        <v>Home &amp; Kitchen</v>
      </c>
      <c r="S1634" s="27">
        <f>IF(ISTEXT(B1634),DATEVALUE(B1634),B1634)</f>
        <v>45962</v>
      </c>
      <c r="T1634" s="27">
        <f>COUNTIF($A$2:$A$1986,A1634)</f>
        <v>1</v>
      </c>
      <c r="U1634" s="27" t="str">
        <f t="shared" si="177"/>
        <v>Air Fryer</v>
      </c>
      <c r="V1634" s="27">
        <f t="shared" si="178"/>
        <v>227.7</v>
      </c>
      <c r="W1634" s="27">
        <f t="shared" si="179"/>
        <v>136.36000000000001</v>
      </c>
      <c r="X1634" s="27">
        <f>RawSalesTable3[[#This Row],[Revenue]]-RawSalesTable3[[#This Row],[Total_Cost]]</f>
        <v>91.339999999999975</v>
      </c>
      <c r="Y1634" s="28">
        <f>RawSalesTable3[[#This Row],[Profit]]/RawSalesTable3[[#This Row],[Revenue]]</f>
        <v>0.40114185331576629</v>
      </c>
      <c r="Z1634" s="27" t="str">
        <f>TEXT(RawSalesTable3[[#This Row],[Order_Date_Clean]],"MMM YYYY")</f>
        <v>Nov 2025</v>
      </c>
      <c r="AA1634" s="27"/>
      <c r="AB1634" s="27">
        <f t="shared" si="180"/>
        <v>0</v>
      </c>
      <c r="AC1634" s="27">
        <f t="shared" si="181"/>
        <v>0</v>
      </c>
    </row>
    <row r="1635" spans="1:29">
      <c r="A1635" t="s">
        <v>1745</v>
      </c>
      <c r="B1635" s="3">
        <v>45979</v>
      </c>
      <c r="C1635" t="s">
        <v>66</v>
      </c>
      <c r="D1635" t="s">
        <v>55</v>
      </c>
      <c r="E1635" t="s">
        <v>67</v>
      </c>
      <c r="F1635" t="s">
        <v>68</v>
      </c>
      <c r="G1635" s="6">
        <v>1</v>
      </c>
      <c r="H1635" s="4">
        <v>41.03</v>
      </c>
      <c r="I1635" s="4">
        <v>19.170000000000002</v>
      </c>
      <c r="J1635" s="5">
        <v>0.2</v>
      </c>
      <c r="K1635" s="6">
        <v>4</v>
      </c>
      <c r="L1635" s="6">
        <v>3</v>
      </c>
      <c r="M1635" t="s">
        <v>126</v>
      </c>
      <c r="N1635" t="s">
        <v>69</v>
      </c>
      <c r="O1635" t="s">
        <v>64</v>
      </c>
      <c r="P1635" t="str">
        <f t="shared" si="175"/>
        <v>Small Business</v>
      </c>
      <c r="Q1635" t="str">
        <f t="shared" si="176"/>
        <v>South</v>
      </c>
      <c r="R1635" t="str">
        <f>PROPER(TRIM(E1635))</f>
        <v>Office</v>
      </c>
      <c r="S1635" s="27">
        <f>IF(ISTEXT(B1635),DATEVALUE(B1635),B1635)</f>
        <v>45979</v>
      </c>
      <c r="T1635" s="27">
        <f>COUNTIF($A$2:$A$1986,A1635)</f>
        <v>1</v>
      </c>
      <c r="U1635" s="27" t="str">
        <f t="shared" si="177"/>
        <v>Desk Lamp</v>
      </c>
      <c r="V1635" s="27">
        <f t="shared" si="178"/>
        <v>32.824000000000005</v>
      </c>
      <c r="W1635" s="27">
        <f t="shared" si="179"/>
        <v>19.170000000000002</v>
      </c>
      <c r="X1635" s="27">
        <f>RawSalesTable3[[#This Row],[Revenue]]-RawSalesTable3[[#This Row],[Total_Cost]]</f>
        <v>13.654000000000003</v>
      </c>
      <c r="Y1635" s="28">
        <f>RawSalesTable3[[#This Row],[Profit]]/RawSalesTable3[[#This Row],[Revenue]]</f>
        <v>0.41597611503777726</v>
      </c>
      <c r="Z1635" s="27" t="str">
        <f>TEXT(RawSalesTable3[[#This Row],[Order_Date_Clean]],"MMM YYYY")</f>
        <v>Nov 2025</v>
      </c>
      <c r="AA1635" s="27"/>
      <c r="AB1635" s="27">
        <f t="shared" si="180"/>
        <v>0</v>
      </c>
      <c r="AC1635" s="27">
        <f t="shared" si="181"/>
        <v>0</v>
      </c>
    </row>
    <row r="1636" spans="1:29">
      <c r="A1636" t="s">
        <v>1746</v>
      </c>
      <c r="B1636" s="3">
        <v>46014</v>
      </c>
      <c r="C1636" t="s">
        <v>82</v>
      </c>
      <c r="D1636" t="s">
        <v>55</v>
      </c>
      <c r="E1636" t="s">
        <v>79</v>
      </c>
      <c r="F1636" t="s">
        <v>80</v>
      </c>
      <c r="G1636" s="6">
        <v>2</v>
      </c>
      <c r="H1636" s="4">
        <v>74</v>
      </c>
      <c r="I1636" s="4">
        <v>44.64</v>
      </c>
      <c r="J1636" s="5">
        <v>0.1</v>
      </c>
      <c r="K1636" s="6">
        <v>3</v>
      </c>
      <c r="L1636" s="6">
        <v>4</v>
      </c>
      <c r="M1636" t="s">
        <v>58</v>
      </c>
      <c r="N1636" t="s">
        <v>59</v>
      </c>
      <c r="O1636" t="s">
        <v>64</v>
      </c>
      <c r="P1636" t="str">
        <f t="shared" si="175"/>
        <v>Small Business</v>
      </c>
      <c r="Q1636" t="str">
        <f t="shared" si="176"/>
        <v>Midlands</v>
      </c>
      <c r="R1636" t="str">
        <f>PROPER(TRIM(E1636))</f>
        <v>Electronics</v>
      </c>
      <c r="S1636" s="27">
        <f>IF(ISTEXT(B1636),DATEVALUE(B1636),B1636)</f>
        <v>46014</v>
      </c>
      <c r="T1636" s="27">
        <f>COUNTIF($A$2:$A$1986,A1636)</f>
        <v>1</v>
      </c>
      <c r="U1636" s="27" t="str">
        <f t="shared" si="177"/>
        <v>Portable Speaker</v>
      </c>
      <c r="V1636" s="27">
        <f t="shared" si="178"/>
        <v>133.20000000000002</v>
      </c>
      <c r="W1636" s="27">
        <f t="shared" si="179"/>
        <v>89.28</v>
      </c>
      <c r="X1636" s="27">
        <f>RawSalesTable3[[#This Row],[Revenue]]-RawSalesTable3[[#This Row],[Total_Cost]]</f>
        <v>43.920000000000016</v>
      </c>
      <c r="Y1636" s="28">
        <f>RawSalesTable3[[#This Row],[Profit]]/RawSalesTable3[[#This Row],[Revenue]]</f>
        <v>0.3297297297297298</v>
      </c>
      <c r="Z1636" s="27" t="str">
        <f>TEXT(RawSalesTable3[[#This Row],[Order_Date_Clean]],"MMM YYYY")</f>
        <v>Dec 2025</v>
      </c>
      <c r="AA1636" s="27"/>
      <c r="AB1636" s="27">
        <f t="shared" si="180"/>
        <v>0</v>
      </c>
      <c r="AC1636" s="27">
        <f t="shared" si="181"/>
        <v>0</v>
      </c>
    </row>
    <row r="1637" spans="1:29">
      <c r="A1637" t="s">
        <v>1747</v>
      </c>
      <c r="B1637" s="3">
        <v>46005</v>
      </c>
      <c r="C1637" t="s">
        <v>54</v>
      </c>
      <c r="D1637" t="s">
        <v>55</v>
      </c>
      <c r="E1637" t="s">
        <v>56</v>
      </c>
      <c r="F1637" t="s">
        <v>57</v>
      </c>
      <c r="G1637" s="6">
        <v>1</v>
      </c>
      <c r="H1637" s="4">
        <v>108.23</v>
      </c>
      <c r="I1637" s="4">
        <v>66.739999999999995</v>
      </c>
      <c r="J1637" s="5">
        <v>0.1</v>
      </c>
      <c r="K1637" s="6">
        <v>1</v>
      </c>
      <c r="L1637" s="6">
        <v>4</v>
      </c>
      <c r="M1637" t="s">
        <v>58</v>
      </c>
      <c r="N1637" t="s">
        <v>59</v>
      </c>
      <c r="O1637" t="s">
        <v>64</v>
      </c>
      <c r="P1637" t="str">
        <f t="shared" si="175"/>
        <v>Small Business</v>
      </c>
      <c r="Q1637" t="str">
        <f t="shared" si="176"/>
        <v>North</v>
      </c>
      <c r="R1637" t="str">
        <f>PROPER(TRIM(E1637))</f>
        <v>Home &amp; Kitchen</v>
      </c>
      <c r="S1637" s="27">
        <f>IF(ISTEXT(B1637),DATEVALUE(B1637),B1637)</f>
        <v>46005</v>
      </c>
      <c r="T1637" s="27">
        <f>COUNTIF($A$2:$A$1986,A1637)</f>
        <v>1</v>
      </c>
      <c r="U1637" s="27" t="str">
        <f t="shared" si="177"/>
        <v>Air Fryer</v>
      </c>
      <c r="V1637" s="27">
        <f t="shared" si="178"/>
        <v>97.407000000000011</v>
      </c>
      <c r="W1637" s="27">
        <f t="shared" si="179"/>
        <v>66.739999999999995</v>
      </c>
      <c r="X1637" s="27">
        <f>RawSalesTable3[[#This Row],[Revenue]]-RawSalesTable3[[#This Row],[Total_Cost]]</f>
        <v>30.667000000000016</v>
      </c>
      <c r="Y1637" s="28">
        <f>RawSalesTable3[[#This Row],[Profit]]/RawSalesTable3[[#This Row],[Revenue]]</f>
        <v>0.31483363618631116</v>
      </c>
      <c r="Z1637" s="27" t="str">
        <f>TEXT(RawSalesTable3[[#This Row],[Order_Date_Clean]],"MMM YYYY")</f>
        <v>Dec 2025</v>
      </c>
      <c r="AA1637" s="27"/>
      <c r="AB1637" s="27">
        <f t="shared" si="180"/>
        <v>0</v>
      </c>
      <c r="AC1637" s="27">
        <f t="shared" si="181"/>
        <v>0</v>
      </c>
    </row>
    <row r="1638" spans="1:29">
      <c r="A1638" t="s">
        <v>1748</v>
      </c>
      <c r="B1638" s="3">
        <v>45929</v>
      </c>
      <c r="C1638" t="s">
        <v>54</v>
      </c>
      <c r="D1638" t="s">
        <v>62</v>
      </c>
      <c r="E1638" t="s">
        <v>67</v>
      </c>
      <c r="F1638" t="s">
        <v>71</v>
      </c>
      <c r="G1638" s="6">
        <v>1</v>
      </c>
      <c r="H1638" s="4">
        <v>68.41</v>
      </c>
      <c r="I1638" s="4">
        <v>38.159999999999997</v>
      </c>
      <c r="J1638" s="5">
        <v>0.05</v>
      </c>
      <c r="K1638" s="6">
        <v>1</v>
      </c>
      <c r="L1638" s="6">
        <v>4</v>
      </c>
      <c r="M1638" t="s">
        <v>58</v>
      </c>
      <c r="N1638" t="s">
        <v>69</v>
      </c>
      <c r="O1638" t="s">
        <v>64</v>
      </c>
      <c r="P1638" t="str">
        <f t="shared" si="175"/>
        <v>Individual</v>
      </c>
      <c r="Q1638" t="str">
        <f t="shared" si="176"/>
        <v>North</v>
      </c>
      <c r="R1638" t="str">
        <f>PROPER(TRIM(E1638))</f>
        <v>Office</v>
      </c>
      <c r="S1638" s="27">
        <f>IF(ISTEXT(B1638),DATEVALUE(B1638),B1638)</f>
        <v>45929</v>
      </c>
      <c r="T1638" s="27">
        <f>COUNTIF($A$2:$A$1986,A1638)</f>
        <v>1</v>
      </c>
      <c r="U1638" s="27" t="str">
        <f t="shared" si="177"/>
        <v>Ergonomic Keyboard</v>
      </c>
      <c r="V1638" s="27">
        <f t="shared" si="178"/>
        <v>64.989499999999992</v>
      </c>
      <c r="W1638" s="27">
        <f t="shared" si="179"/>
        <v>38.159999999999997</v>
      </c>
      <c r="X1638" s="27">
        <f>RawSalesTable3[[#This Row],[Revenue]]-RawSalesTable3[[#This Row],[Total_Cost]]</f>
        <v>26.829499999999996</v>
      </c>
      <c r="Y1638" s="28">
        <f>RawSalesTable3[[#This Row],[Profit]]/RawSalesTable3[[#This Row],[Revenue]]</f>
        <v>0.41282822609806197</v>
      </c>
      <c r="Z1638" s="27" t="str">
        <f>TEXT(RawSalesTable3[[#This Row],[Order_Date_Clean]],"MMM YYYY")</f>
        <v>Sep 2025</v>
      </c>
      <c r="AA1638" s="27"/>
      <c r="AB1638" s="27">
        <f t="shared" si="180"/>
        <v>0</v>
      </c>
      <c r="AC1638" s="27">
        <f t="shared" si="181"/>
        <v>0</v>
      </c>
    </row>
    <row r="1639" spans="1:29">
      <c r="A1639" t="s">
        <v>1749</v>
      </c>
      <c r="B1639" s="3">
        <v>45961</v>
      </c>
      <c r="C1639" t="s">
        <v>78</v>
      </c>
      <c r="D1639" t="s">
        <v>55</v>
      </c>
      <c r="E1639" t="s">
        <v>79</v>
      </c>
      <c r="F1639" t="s">
        <v>92</v>
      </c>
      <c r="G1639" s="6">
        <v>3</v>
      </c>
      <c r="H1639" s="4">
        <v>49.81</v>
      </c>
      <c r="I1639" s="4">
        <v>26.51</v>
      </c>
      <c r="J1639" s="5">
        <v>0</v>
      </c>
      <c r="K1639" s="6">
        <v>2</v>
      </c>
      <c r="L1639" s="6">
        <v>4</v>
      </c>
      <c r="M1639" t="s">
        <v>58</v>
      </c>
      <c r="N1639" t="s">
        <v>69</v>
      </c>
      <c r="O1639" t="s">
        <v>60</v>
      </c>
      <c r="P1639" t="str">
        <f t="shared" si="175"/>
        <v>Small Business</v>
      </c>
      <c r="Q1639" t="str">
        <f t="shared" si="176"/>
        <v>London</v>
      </c>
      <c r="R1639" t="str">
        <f>PROPER(TRIM(E1639))</f>
        <v>Electronics</v>
      </c>
      <c r="S1639" s="27">
        <f>IF(ISTEXT(B1639),DATEVALUE(B1639),B1639)</f>
        <v>45961</v>
      </c>
      <c r="T1639" s="27">
        <f>COUNTIF($A$2:$A$1986,A1639)</f>
        <v>1</v>
      </c>
      <c r="U1639" s="27" t="str">
        <f t="shared" si="177"/>
        <v>Webcam</v>
      </c>
      <c r="V1639" s="27">
        <f t="shared" si="178"/>
        <v>149.43</v>
      </c>
      <c r="W1639" s="27">
        <f t="shared" si="179"/>
        <v>79.53</v>
      </c>
      <c r="X1639" s="27">
        <f>RawSalesTable3[[#This Row],[Revenue]]-RawSalesTable3[[#This Row],[Total_Cost]]</f>
        <v>69.900000000000006</v>
      </c>
      <c r="Y1639" s="28">
        <f>RawSalesTable3[[#This Row],[Profit]]/RawSalesTable3[[#This Row],[Revenue]]</f>
        <v>0.46777755470789001</v>
      </c>
      <c r="Z1639" s="27" t="str">
        <f>TEXT(RawSalesTable3[[#This Row],[Order_Date_Clean]],"MMM YYYY")</f>
        <v>Oct 2025</v>
      </c>
      <c r="AA1639" s="27"/>
      <c r="AB1639" s="27">
        <f t="shared" si="180"/>
        <v>0</v>
      </c>
      <c r="AC1639" s="27">
        <f t="shared" si="181"/>
        <v>0</v>
      </c>
    </row>
    <row r="1640" spans="1:29">
      <c r="A1640" t="s">
        <v>1750</v>
      </c>
      <c r="B1640" s="3">
        <v>45930</v>
      </c>
      <c r="C1640" t="s">
        <v>82</v>
      </c>
      <c r="D1640" t="s">
        <v>55</v>
      </c>
      <c r="E1640" t="s">
        <v>56</v>
      </c>
      <c r="F1640" t="s">
        <v>83</v>
      </c>
      <c r="G1640" s="6">
        <v>2</v>
      </c>
      <c r="H1640" s="4">
        <v>65.72</v>
      </c>
      <c r="I1640" s="4">
        <v>34.549999999999997</v>
      </c>
      <c r="J1640" s="5">
        <v>0.05</v>
      </c>
      <c r="K1640" s="6">
        <v>3</v>
      </c>
      <c r="L1640" s="6">
        <v>5</v>
      </c>
      <c r="M1640" t="s">
        <v>58</v>
      </c>
      <c r="N1640" t="s">
        <v>59</v>
      </c>
      <c r="O1640" t="s">
        <v>64</v>
      </c>
      <c r="P1640" t="str">
        <f t="shared" si="175"/>
        <v>Small Business</v>
      </c>
      <c r="Q1640" t="str">
        <f t="shared" si="176"/>
        <v>Midlands</v>
      </c>
      <c r="R1640" t="str">
        <f>PROPER(TRIM(E1640))</f>
        <v>Home &amp; Kitchen</v>
      </c>
      <c r="S1640" s="27">
        <f>IF(ISTEXT(B1640),DATEVALUE(B1640),B1640)</f>
        <v>45930</v>
      </c>
      <c r="T1640" s="27">
        <f>COUNTIF($A$2:$A$1986,A1640)</f>
        <v>1</v>
      </c>
      <c r="U1640" s="27" t="str">
        <f t="shared" si="177"/>
        <v>Blender</v>
      </c>
      <c r="V1640" s="27">
        <f t="shared" si="178"/>
        <v>124.86799999999999</v>
      </c>
      <c r="W1640" s="27">
        <f t="shared" si="179"/>
        <v>69.099999999999994</v>
      </c>
      <c r="X1640" s="27">
        <f>RawSalesTable3[[#This Row],[Revenue]]-RawSalesTable3[[#This Row],[Total_Cost]]</f>
        <v>55.768000000000001</v>
      </c>
      <c r="Y1640" s="28">
        <f>RawSalesTable3[[#This Row],[Profit]]/RawSalesTable3[[#This Row],[Revenue]]</f>
        <v>0.44661562610116284</v>
      </c>
      <c r="Z1640" s="27" t="str">
        <f>TEXT(RawSalesTable3[[#This Row],[Order_Date_Clean]],"MMM YYYY")</f>
        <v>Sep 2025</v>
      </c>
      <c r="AA1640" s="27"/>
      <c r="AB1640" s="27">
        <f t="shared" si="180"/>
        <v>0</v>
      </c>
      <c r="AC1640" s="27">
        <f t="shared" si="181"/>
        <v>0</v>
      </c>
    </row>
    <row r="1641" spans="1:29">
      <c r="A1641" t="s">
        <v>1751</v>
      </c>
      <c r="B1641" s="3">
        <v>45832</v>
      </c>
      <c r="C1641" t="s">
        <v>54</v>
      </c>
      <c r="D1641" t="s">
        <v>55</v>
      </c>
      <c r="E1641" t="s">
        <v>79</v>
      </c>
      <c r="F1641" t="s">
        <v>80</v>
      </c>
      <c r="G1641" s="6">
        <v>6</v>
      </c>
      <c r="H1641" s="4">
        <v>77.44</v>
      </c>
      <c r="I1641" s="4">
        <v>42.41</v>
      </c>
      <c r="J1641" s="5">
        <v>0.1</v>
      </c>
      <c r="K1641" s="6">
        <v>4</v>
      </c>
      <c r="L1641" s="6">
        <v>4</v>
      </c>
      <c r="M1641" t="s">
        <v>58</v>
      </c>
      <c r="N1641" t="s">
        <v>59</v>
      </c>
      <c r="O1641" t="s">
        <v>73</v>
      </c>
      <c r="P1641" t="str">
        <f t="shared" si="175"/>
        <v>Small Business</v>
      </c>
      <c r="Q1641" t="str">
        <f t="shared" si="176"/>
        <v>North</v>
      </c>
      <c r="R1641" t="str">
        <f>PROPER(TRIM(E1641))</f>
        <v>Electronics</v>
      </c>
      <c r="S1641" s="27">
        <f>IF(ISTEXT(B1641),DATEVALUE(B1641),B1641)</f>
        <v>45832</v>
      </c>
      <c r="T1641" s="27">
        <f>COUNTIF($A$2:$A$1986,A1641)</f>
        <v>1</v>
      </c>
      <c r="U1641" s="27" t="str">
        <f t="shared" si="177"/>
        <v>Portable Speaker</v>
      </c>
      <c r="V1641" s="27">
        <f t="shared" si="178"/>
        <v>418.17599999999999</v>
      </c>
      <c r="W1641" s="27">
        <f t="shared" si="179"/>
        <v>254.45999999999998</v>
      </c>
      <c r="X1641" s="27">
        <f>RawSalesTable3[[#This Row],[Revenue]]-RawSalesTable3[[#This Row],[Total_Cost]]</f>
        <v>163.71600000000001</v>
      </c>
      <c r="Y1641" s="28">
        <f>RawSalesTable3[[#This Row],[Profit]]/RawSalesTable3[[#This Row],[Revenue]]</f>
        <v>0.39150022956841141</v>
      </c>
      <c r="Z1641" s="27" t="str">
        <f>TEXT(RawSalesTable3[[#This Row],[Order_Date_Clean]],"MMM YYYY")</f>
        <v>Jun 2025</v>
      </c>
      <c r="AA1641" s="27"/>
      <c r="AB1641" s="27">
        <f t="shared" si="180"/>
        <v>0</v>
      </c>
      <c r="AC1641" s="27">
        <f t="shared" si="181"/>
        <v>0</v>
      </c>
    </row>
    <row r="1642" spans="1:29">
      <c r="A1642" t="s">
        <v>1752</v>
      </c>
      <c r="B1642" s="3">
        <v>45660</v>
      </c>
      <c r="C1642" t="s">
        <v>66</v>
      </c>
      <c r="D1642" t="s">
        <v>62</v>
      </c>
      <c r="E1642" t="s">
        <v>56</v>
      </c>
      <c r="F1642" t="s">
        <v>89</v>
      </c>
      <c r="G1642" s="6">
        <v>2</v>
      </c>
      <c r="H1642" s="4">
        <v>79.31</v>
      </c>
      <c r="I1642" s="4">
        <v>46.85</v>
      </c>
      <c r="J1642" s="5">
        <v>0.15000000000000002</v>
      </c>
      <c r="K1642" s="6">
        <v>4</v>
      </c>
      <c r="L1642" s="6">
        <v>4</v>
      </c>
      <c r="M1642" t="s">
        <v>58</v>
      </c>
      <c r="N1642" t="s">
        <v>87</v>
      </c>
      <c r="O1642" t="s">
        <v>64</v>
      </c>
      <c r="P1642" t="str">
        <f t="shared" si="175"/>
        <v>Individual</v>
      </c>
      <c r="Q1642" t="str">
        <f t="shared" si="176"/>
        <v>South</v>
      </c>
      <c r="R1642" t="str">
        <f>PROPER(TRIM(E1642))</f>
        <v>Home &amp; Kitchen</v>
      </c>
      <c r="S1642" s="27">
        <f>IF(ISTEXT(B1642),DATEVALUE(B1642),B1642)</f>
        <v>45660</v>
      </c>
      <c r="T1642" s="27">
        <f>COUNTIF($A$2:$A$1986,A1642)</f>
        <v>1</v>
      </c>
      <c r="U1642" s="27" t="str">
        <f t="shared" si="177"/>
        <v>Coffee Maker</v>
      </c>
      <c r="V1642" s="27">
        <f t="shared" si="178"/>
        <v>134.827</v>
      </c>
      <c r="W1642" s="27">
        <f t="shared" si="179"/>
        <v>93.7</v>
      </c>
      <c r="X1642" s="27">
        <f>RawSalesTable3[[#This Row],[Revenue]]-RawSalesTable3[[#This Row],[Total_Cost]]</f>
        <v>41.126999999999995</v>
      </c>
      <c r="Y1642" s="28">
        <f>RawSalesTable3[[#This Row],[Profit]]/RawSalesTable3[[#This Row],[Revenue]]</f>
        <v>0.30503534158588408</v>
      </c>
      <c r="Z1642" s="27" t="str">
        <f>TEXT(RawSalesTable3[[#This Row],[Order_Date_Clean]],"MMM YYYY")</f>
        <v>Jan 2025</v>
      </c>
      <c r="AA1642" s="27"/>
      <c r="AB1642" s="27">
        <f t="shared" si="180"/>
        <v>0</v>
      </c>
      <c r="AC1642" s="27">
        <f t="shared" si="181"/>
        <v>0</v>
      </c>
    </row>
    <row r="1643" spans="1:29">
      <c r="A1643" t="s">
        <v>1753</v>
      </c>
      <c r="B1643" s="3">
        <v>45765</v>
      </c>
      <c r="C1643" t="s">
        <v>82</v>
      </c>
      <c r="D1643" t="s">
        <v>62</v>
      </c>
      <c r="E1643" t="s">
        <v>67</v>
      </c>
      <c r="F1643" t="s">
        <v>68</v>
      </c>
      <c r="G1643" s="6">
        <v>1</v>
      </c>
      <c r="H1643" s="4">
        <v>40.159999999999997</v>
      </c>
      <c r="I1643" s="4">
        <v>18.649999999999999</v>
      </c>
      <c r="J1643" s="5">
        <v>0.05</v>
      </c>
      <c r="K1643" s="6">
        <v>0</v>
      </c>
      <c r="L1643" s="6">
        <v>4</v>
      </c>
      <c r="M1643" t="s">
        <v>58</v>
      </c>
      <c r="N1643" t="s">
        <v>69</v>
      </c>
      <c r="O1643" t="s">
        <v>64</v>
      </c>
      <c r="P1643" t="str">
        <f t="shared" si="175"/>
        <v>Individual</v>
      </c>
      <c r="Q1643" t="str">
        <f t="shared" si="176"/>
        <v>Midlands</v>
      </c>
      <c r="R1643" t="str">
        <f>PROPER(TRIM(E1643))</f>
        <v>Office</v>
      </c>
      <c r="S1643" s="27">
        <f>IF(ISTEXT(B1643),DATEVALUE(B1643),B1643)</f>
        <v>45765</v>
      </c>
      <c r="T1643" s="27">
        <f>COUNTIF($A$2:$A$1986,A1643)</f>
        <v>1</v>
      </c>
      <c r="U1643" s="27" t="str">
        <f t="shared" si="177"/>
        <v>Desk Lamp</v>
      </c>
      <c r="V1643" s="27">
        <f t="shared" si="178"/>
        <v>38.151999999999994</v>
      </c>
      <c r="W1643" s="27">
        <f t="shared" si="179"/>
        <v>18.649999999999999</v>
      </c>
      <c r="X1643" s="27">
        <f>RawSalesTable3[[#This Row],[Revenue]]-RawSalesTable3[[#This Row],[Total_Cost]]</f>
        <v>19.501999999999995</v>
      </c>
      <c r="Y1643" s="28">
        <f>RawSalesTable3[[#This Row],[Profit]]/RawSalesTable3[[#This Row],[Revenue]]</f>
        <v>0.51116586286433208</v>
      </c>
      <c r="Z1643" s="27" t="str">
        <f>TEXT(RawSalesTable3[[#This Row],[Order_Date_Clean]],"MMM YYYY")</f>
        <v>Apr 2025</v>
      </c>
      <c r="AA1643" s="27"/>
      <c r="AB1643" s="27">
        <f t="shared" si="180"/>
        <v>0</v>
      </c>
      <c r="AC1643" s="27">
        <f t="shared" si="181"/>
        <v>0</v>
      </c>
    </row>
    <row r="1644" spans="1:29">
      <c r="A1644" t="s">
        <v>1754</v>
      </c>
      <c r="B1644" s="3">
        <v>45719</v>
      </c>
      <c r="C1644" t="s">
        <v>66</v>
      </c>
      <c r="D1644" t="s">
        <v>62</v>
      </c>
      <c r="E1644" t="s">
        <v>67</v>
      </c>
      <c r="F1644" t="s">
        <v>71</v>
      </c>
      <c r="G1644" s="6">
        <v>1</v>
      </c>
      <c r="H1644" s="4">
        <v>67.989999999999995</v>
      </c>
      <c r="I1644" s="4">
        <v>38.909999999999997</v>
      </c>
      <c r="J1644" s="5">
        <v>0</v>
      </c>
      <c r="K1644" s="6">
        <v>2</v>
      </c>
      <c r="L1644" s="6">
        <v>4</v>
      </c>
      <c r="M1644" t="s">
        <v>58</v>
      </c>
      <c r="N1644" t="s">
        <v>69</v>
      </c>
      <c r="O1644" t="s">
        <v>64</v>
      </c>
      <c r="P1644" t="str">
        <f t="shared" si="175"/>
        <v>Individual</v>
      </c>
      <c r="Q1644" t="str">
        <f t="shared" si="176"/>
        <v>South</v>
      </c>
      <c r="R1644" t="str">
        <f>PROPER(TRIM(E1644))</f>
        <v>Office</v>
      </c>
      <c r="S1644" s="27">
        <f>IF(ISTEXT(B1644),DATEVALUE(B1644),B1644)</f>
        <v>45719</v>
      </c>
      <c r="T1644" s="27">
        <f>COUNTIF($A$2:$A$1986,A1644)</f>
        <v>1</v>
      </c>
      <c r="U1644" s="27" t="str">
        <f t="shared" si="177"/>
        <v>Ergonomic Keyboard</v>
      </c>
      <c r="V1644" s="27">
        <f t="shared" si="178"/>
        <v>67.989999999999995</v>
      </c>
      <c r="W1644" s="27">
        <f t="shared" si="179"/>
        <v>38.909999999999997</v>
      </c>
      <c r="X1644" s="27">
        <f>RawSalesTable3[[#This Row],[Revenue]]-RawSalesTable3[[#This Row],[Total_Cost]]</f>
        <v>29.08</v>
      </c>
      <c r="Y1644" s="28">
        <f>RawSalesTable3[[#This Row],[Profit]]/RawSalesTable3[[#This Row],[Revenue]]</f>
        <v>0.42770995734666861</v>
      </c>
      <c r="Z1644" s="27" t="str">
        <f>TEXT(RawSalesTable3[[#This Row],[Order_Date_Clean]],"MMM YYYY")</f>
        <v>Mar 2025</v>
      </c>
      <c r="AA1644" s="27"/>
      <c r="AB1644" s="27">
        <f t="shared" si="180"/>
        <v>0</v>
      </c>
      <c r="AC1644" s="27">
        <f t="shared" si="181"/>
        <v>0</v>
      </c>
    </row>
    <row r="1645" spans="1:29">
      <c r="A1645" t="s">
        <v>1755</v>
      </c>
      <c r="B1645" s="3">
        <v>45848</v>
      </c>
      <c r="C1645" t="s">
        <v>78</v>
      </c>
      <c r="D1645" t="s">
        <v>55</v>
      </c>
      <c r="E1645" t="s">
        <v>79</v>
      </c>
      <c r="F1645" t="s">
        <v>85</v>
      </c>
      <c r="G1645" s="6">
        <v>3</v>
      </c>
      <c r="H1645" s="4">
        <v>126.37</v>
      </c>
      <c r="I1645" s="4">
        <v>85.55</v>
      </c>
      <c r="J1645" s="5">
        <v>0.1</v>
      </c>
      <c r="K1645" s="6">
        <v>0</v>
      </c>
      <c r="L1645" s="6">
        <v>3</v>
      </c>
      <c r="M1645" t="s">
        <v>126</v>
      </c>
      <c r="N1645" t="s">
        <v>69</v>
      </c>
      <c r="O1645" t="s">
        <v>60</v>
      </c>
      <c r="P1645" t="str">
        <f t="shared" si="175"/>
        <v>Small Business</v>
      </c>
      <c r="Q1645" t="str">
        <f t="shared" si="176"/>
        <v>London</v>
      </c>
      <c r="R1645" t="str">
        <f>PROPER(TRIM(E1645))</f>
        <v>Electronics</v>
      </c>
      <c r="S1645" s="27">
        <f>IF(ISTEXT(B1645),DATEVALUE(B1645),B1645)</f>
        <v>45848</v>
      </c>
      <c r="T1645" s="27">
        <f>COUNTIF($A$2:$A$1986,A1645)</f>
        <v>1</v>
      </c>
      <c r="U1645" s="27" t="str">
        <f t="shared" si="177"/>
        <v>SmartHome Hub</v>
      </c>
      <c r="V1645" s="27">
        <f t="shared" si="178"/>
        <v>341.19900000000001</v>
      </c>
      <c r="W1645" s="27">
        <f t="shared" si="179"/>
        <v>256.64999999999998</v>
      </c>
      <c r="X1645" s="27">
        <f>RawSalesTable3[[#This Row],[Revenue]]-RawSalesTable3[[#This Row],[Total_Cost]]</f>
        <v>84.549000000000035</v>
      </c>
      <c r="Y1645" s="28">
        <f>RawSalesTable3[[#This Row],[Profit]]/RawSalesTable3[[#This Row],[Revenue]]</f>
        <v>0.24779967115964593</v>
      </c>
      <c r="Z1645" s="27" t="str">
        <f>TEXT(RawSalesTable3[[#This Row],[Order_Date_Clean]],"MMM YYYY")</f>
        <v>Jul 2025</v>
      </c>
      <c r="AA1645" s="27"/>
      <c r="AB1645" s="27">
        <f t="shared" si="180"/>
        <v>0</v>
      </c>
      <c r="AC1645" s="27">
        <f t="shared" si="181"/>
        <v>0</v>
      </c>
    </row>
    <row r="1646" spans="1:29">
      <c r="A1646" t="s">
        <v>1756</v>
      </c>
      <c r="B1646" s="3">
        <v>45675</v>
      </c>
      <c r="C1646" t="s">
        <v>66</v>
      </c>
      <c r="D1646" t="s">
        <v>55</v>
      </c>
      <c r="E1646" t="s">
        <v>75</v>
      </c>
      <c r="F1646" t="s">
        <v>97</v>
      </c>
      <c r="G1646" s="6">
        <v>2</v>
      </c>
      <c r="H1646" s="4">
        <v>90.99</v>
      </c>
      <c r="I1646" s="4">
        <v>55</v>
      </c>
      <c r="J1646" s="5">
        <v>0.1</v>
      </c>
      <c r="K1646" s="6">
        <v>1</v>
      </c>
      <c r="L1646" s="6">
        <v>5</v>
      </c>
      <c r="M1646" t="s">
        <v>58</v>
      </c>
      <c r="N1646" t="s">
        <v>69</v>
      </c>
      <c r="O1646" t="s">
        <v>73</v>
      </c>
      <c r="P1646" t="str">
        <f t="shared" si="175"/>
        <v>Small Business</v>
      </c>
      <c r="Q1646" t="str">
        <f t="shared" si="176"/>
        <v>South</v>
      </c>
      <c r="R1646" t="str">
        <f>PROPER(TRIM(E1646))</f>
        <v>Furniture</v>
      </c>
      <c r="S1646" s="27">
        <f>IF(ISTEXT(B1646),DATEVALUE(B1646),B1646)</f>
        <v>45675</v>
      </c>
      <c r="T1646" s="27">
        <f>COUNTIF($A$2:$A$1986,A1646)</f>
        <v>1</v>
      </c>
      <c r="U1646" s="27" t="str">
        <f t="shared" si="177"/>
        <v>Side Table</v>
      </c>
      <c r="V1646" s="27">
        <f t="shared" si="178"/>
        <v>163.78199999999998</v>
      </c>
      <c r="W1646" s="27">
        <f t="shared" si="179"/>
        <v>110</v>
      </c>
      <c r="X1646" s="27">
        <f>RawSalesTable3[[#This Row],[Revenue]]-RawSalesTable3[[#This Row],[Total_Cost]]</f>
        <v>53.781999999999982</v>
      </c>
      <c r="Y1646" s="28">
        <f>RawSalesTable3[[#This Row],[Profit]]/RawSalesTable3[[#This Row],[Revenue]]</f>
        <v>0.32837552356180771</v>
      </c>
      <c r="Z1646" s="27" t="str">
        <f>TEXT(RawSalesTable3[[#This Row],[Order_Date_Clean]],"MMM YYYY")</f>
        <v>Jan 2025</v>
      </c>
      <c r="AA1646" s="27"/>
      <c r="AB1646" s="27">
        <f t="shared" si="180"/>
        <v>0</v>
      </c>
      <c r="AC1646" s="27">
        <f t="shared" si="181"/>
        <v>0</v>
      </c>
    </row>
    <row r="1647" spans="1:29">
      <c r="A1647" t="s">
        <v>1757</v>
      </c>
      <c r="B1647" s="3">
        <v>45977</v>
      </c>
      <c r="C1647" t="s">
        <v>66</v>
      </c>
      <c r="D1647" t="s">
        <v>62</v>
      </c>
      <c r="E1647" t="s">
        <v>56</v>
      </c>
      <c r="F1647" t="s">
        <v>57</v>
      </c>
      <c r="G1647" s="6">
        <v>2</v>
      </c>
      <c r="H1647" s="4">
        <v>110.78</v>
      </c>
      <c r="I1647" s="4">
        <v>65.81</v>
      </c>
      <c r="J1647" s="5">
        <v>0.15000000000000002</v>
      </c>
      <c r="K1647" s="6">
        <v>8</v>
      </c>
      <c r="L1647" s="6">
        <v>3</v>
      </c>
      <c r="M1647" t="s">
        <v>58</v>
      </c>
      <c r="N1647" t="s">
        <v>59</v>
      </c>
      <c r="O1647" t="s">
        <v>64</v>
      </c>
      <c r="P1647" t="str">
        <f t="shared" si="175"/>
        <v>Individual</v>
      </c>
      <c r="Q1647" t="str">
        <f t="shared" si="176"/>
        <v>South</v>
      </c>
      <c r="R1647" t="str">
        <f>PROPER(TRIM(E1647))</f>
        <v>Home &amp; Kitchen</v>
      </c>
      <c r="S1647" s="27">
        <f>IF(ISTEXT(B1647),DATEVALUE(B1647),B1647)</f>
        <v>45977</v>
      </c>
      <c r="T1647" s="27">
        <f>COUNTIF($A$2:$A$1986,A1647)</f>
        <v>1</v>
      </c>
      <c r="U1647" s="27" t="str">
        <f t="shared" si="177"/>
        <v>Air Fryer</v>
      </c>
      <c r="V1647" s="27">
        <f t="shared" si="178"/>
        <v>188.32599999999999</v>
      </c>
      <c r="W1647" s="27">
        <f t="shared" si="179"/>
        <v>131.62</v>
      </c>
      <c r="X1647" s="27">
        <f>RawSalesTable3[[#This Row],[Revenue]]-RawSalesTable3[[#This Row],[Total_Cost]]</f>
        <v>56.705999999999989</v>
      </c>
      <c r="Y1647" s="28">
        <f>RawSalesTable3[[#This Row],[Profit]]/RawSalesTable3[[#This Row],[Revenue]]</f>
        <v>0.30110552977284066</v>
      </c>
      <c r="Z1647" s="27" t="str">
        <f>TEXT(RawSalesTable3[[#This Row],[Order_Date_Clean]],"MMM YYYY")</f>
        <v>Nov 2025</v>
      </c>
      <c r="AA1647" s="27"/>
      <c r="AB1647" s="27">
        <f t="shared" si="180"/>
        <v>0</v>
      </c>
      <c r="AC1647" s="27">
        <f t="shared" si="181"/>
        <v>0</v>
      </c>
    </row>
    <row r="1648" spans="1:29">
      <c r="A1648" t="s">
        <v>1758</v>
      </c>
      <c r="B1648" s="3">
        <v>45659</v>
      </c>
      <c r="C1648" t="s">
        <v>78</v>
      </c>
      <c r="D1648" t="s">
        <v>62</v>
      </c>
      <c r="E1648" t="s">
        <v>75</v>
      </c>
      <c r="F1648" t="s">
        <v>97</v>
      </c>
      <c r="G1648" s="6">
        <v>1</v>
      </c>
      <c r="H1648" s="4">
        <v>91.68</v>
      </c>
      <c r="I1648" s="4">
        <v>54.41</v>
      </c>
      <c r="J1648" s="5">
        <v>0.05</v>
      </c>
      <c r="K1648" s="6">
        <v>3</v>
      </c>
      <c r="L1648" s="6">
        <v>4</v>
      </c>
      <c r="M1648" t="s">
        <v>58</v>
      </c>
      <c r="N1648" t="s">
        <v>69</v>
      </c>
      <c r="O1648" t="s">
        <v>64</v>
      </c>
      <c r="P1648" t="str">
        <f t="shared" si="175"/>
        <v>Individual</v>
      </c>
      <c r="Q1648" t="str">
        <f t="shared" si="176"/>
        <v>London</v>
      </c>
      <c r="R1648" t="str">
        <f>PROPER(TRIM(E1648))</f>
        <v>Furniture</v>
      </c>
      <c r="S1648" s="27">
        <f>IF(ISTEXT(B1648),DATEVALUE(B1648),B1648)</f>
        <v>45659</v>
      </c>
      <c r="T1648" s="27">
        <f>COUNTIF($A$2:$A$1986,A1648)</f>
        <v>1</v>
      </c>
      <c r="U1648" s="27" t="str">
        <f t="shared" si="177"/>
        <v>Side Table</v>
      </c>
      <c r="V1648" s="27">
        <f t="shared" si="178"/>
        <v>87.096000000000004</v>
      </c>
      <c r="W1648" s="27">
        <f t="shared" si="179"/>
        <v>54.41</v>
      </c>
      <c r="X1648" s="27">
        <f>RawSalesTable3[[#This Row],[Revenue]]-RawSalesTable3[[#This Row],[Total_Cost]]</f>
        <v>32.686000000000007</v>
      </c>
      <c r="Y1648" s="28">
        <f>RawSalesTable3[[#This Row],[Profit]]/RawSalesTable3[[#This Row],[Revenue]]</f>
        <v>0.37528703958850013</v>
      </c>
      <c r="Z1648" s="27" t="str">
        <f>TEXT(RawSalesTable3[[#This Row],[Order_Date_Clean]],"MMM YYYY")</f>
        <v>Jan 2025</v>
      </c>
      <c r="AA1648" s="27"/>
      <c r="AB1648" s="27">
        <f t="shared" si="180"/>
        <v>0</v>
      </c>
      <c r="AC1648" s="27">
        <f t="shared" si="181"/>
        <v>0</v>
      </c>
    </row>
    <row r="1649" spans="1:29">
      <c r="A1649" t="s">
        <v>1759</v>
      </c>
      <c r="B1649" s="3">
        <v>45988</v>
      </c>
      <c r="C1649" t="s">
        <v>82</v>
      </c>
      <c r="D1649" t="s">
        <v>62</v>
      </c>
      <c r="E1649" t="s">
        <v>67</v>
      </c>
      <c r="F1649" t="s">
        <v>107</v>
      </c>
      <c r="G1649" s="6">
        <v>2</v>
      </c>
      <c r="H1649" s="4">
        <v>46.02</v>
      </c>
      <c r="I1649" s="4">
        <v>20.97</v>
      </c>
      <c r="J1649" s="5">
        <v>0.1</v>
      </c>
      <c r="K1649" s="6">
        <v>4</v>
      </c>
      <c r="L1649" s="6">
        <v>4</v>
      </c>
      <c r="M1649" t="s">
        <v>58</v>
      </c>
      <c r="N1649" t="s">
        <v>87</v>
      </c>
      <c r="O1649" t="s">
        <v>64</v>
      </c>
      <c r="P1649" t="str">
        <f t="shared" si="175"/>
        <v>Individual</v>
      </c>
      <c r="Q1649" t="str">
        <f t="shared" si="176"/>
        <v>Midlands</v>
      </c>
      <c r="R1649" t="str">
        <f>PROPER(TRIM(E1649))</f>
        <v>Office</v>
      </c>
      <c r="S1649" s="27">
        <f>IF(ISTEXT(B1649),DATEVALUE(B1649),B1649)</f>
        <v>45988</v>
      </c>
      <c r="T1649" s="27">
        <f>COUNTIF($A$2:$A$1986,A1649)</f>
        <v>1</v>
      </c>
      <c r="U1649" s="27" t="str">
        <f t="shared" si="177"/>
        <v>Laptop Stand</v>
      </c>
      <c r="V1649" s="27">
        <f t="shared" si="178"/>
        <v>82.836000000000013</v>
      </c>
      <c r="W1649" s="27">
        <f t="shared" si="179"/>
        <v>41.94</v>
      </c>
      <c r="X1649" s="27">
        <f>RawSalesTable3[[#This Row],[Revenue]]-RawSalesTable3[[#This Row],[Total_Cost]]</f>
        <v>40.896000000000015</v>
      </c>
      <c r="Y1649" s="28">
        <f>RawSalesTable3[[#This Row],[Profit]]/RawSalesTable3[[#This Row],[Revenue]]</f>
        <v>0.49369839200347687</v>
      </c>
      <c r="Z1649" s="27" t="str">
        <f>TEXT(RawSalesTable3[[#This Row],[Order_Date_Clean]],"MMM YYYY")</f>
        <v>Nov 2025</v>
      </c>
      <c r="AA1649" s="27"/>
      <c r="AB1649" s="27">
        <f t="shared" si="180"/>
        <v>0</v>
      </c>
      <c r="AC1649" s="27">
        <f t="shared" si="181"/>
        <v>0</v>
      </c>
    </row>
    <row r="1650" spans="1:29">
      <c r="A1650" t="s">
        <v>1760</v>
      </c>
      <c r="B1650" s="3">
        <v>45699</v>
      </c>
      <c r="C1650" t="s">
        <v>78</v>
      </c>
      <c r="D1650" t="s">
        <v>55</v>
      </c>
      <c r="E1650" t="s">
        <v>56</v>
      </c>
      <c r="F1650" t="s">
        <v>63</v>
      </c>
      <c r="G1650" s="6">
        <v>5</v>
      </c>
      <c r="H1650" s="4">
        <v>40.98</v>
      </c>
      <c r="I1650" s="4">
        <v>19.760000000000002</v>
      </c>
      <c r="J1650" s="5">
        <v>0</v>
      </c>
      <c r="K1650" s="6">
        <v>5</v>
      </c>
      <c r="L1650" s="6">
        <v>4</v>
      </c>
      <c r="M1650" t="s">
        <v>58</v>
      </c>
      <c r="N1650" t="s">
        <v>59</v>
      </c>
      <c r="O1650" t="s">
        <v>64</v>
      </c>
      <c r="P1650" t="str">
        <f t="shared" si="175"/>
        <v>Small Business</v>
      </c>
      <c r="Q1650" t="str">
        <f t="shared" si="176"/>
        <v>London</v>
      </c>
      <c r="R1650" t="str">
        <f>PROPER(TRIM(E1650))</f>
        <v>Home &amp; Kitchen</v>
      </c>
      <c r="S1650" s="27">
        <f>IF(ISTEXT(B1650),DATEVALUE(B1650),B1650)</f>
        <v>45699</v>
      </c>
      <c r="T1650" s="27">
        <f>COUNTIF($A$2:$A$1986,A1650)</f>
        <v>1</v>
      </c>
      <c r="U1650" s="27" t="str">
        <f t="shared" si="177"/>
        <v>Electric Kettle</v>
      </c>
      <c r="V1650" s="27">
        <f t="shared" si="178"/>
        <v>204.89999999999998</v>
      </c>
      <c r="W1650" s="27">
        <f t="shared" si="179"/>
        <v>98.800000000000011</v>
      </c>
      <c r="X1650" s="27">
        <f>RawSalesTable3[[#This Row],[Revenue]]-RawSalesTable3[[#This Row],[Total_Cost]]</f>
        <v>106.09999999999997</v>
      </c>
      <c r="Y1650" s="28">
        <f>RawSalesTable3[[#This Row],[Profit]]/RawSalesTable3[[#This Row],[Revenue]]</f>
        <v>0.51781356759394814</v>
      </c>
      <c r="Z1650" s="27" t="str">
        <f>TEXT(RawSalesTable3[[#This Row],[Order_Date_Clean]],"MMM YYYY")</f>
        <v>Feb 2025</v>
      </c>
      <c r="AA1650" s="27"/>
      <c r="AB1650" s="27">
        <f t="shared" si="180"/>
        <v>0</v>
      </c>
      <c r="AC1650" s="27">
        <f t="shared" si="181"/>
        <v>0</v>
      </c>
    </row>
    <row r="1651" spans="1:29">
      <c r="A1651" t="s">
        <v>1761</v>
      </c>
      <c r="B1651" s="3">
        <v>45996</v>
      </c>
      <c r="C1651" t="s">
        <v>54</v>
      </c>
      <c r="D1651" t="s">
        <v>62</v>
      </c>
      <c r="E1651" t="s">
        <v>56</v>
      </c>
      <c r="F1651" t="s">
        <v>83</v>
      </c>
      <c r="G1651" s="6">
        <v>4</v>
      </c>
      <c r="H1651" s="4">
        <v>63.25</v>
      </c>
      <c r="I1651" s="4">
        <v>36.67</v>
      </c>
      <c r="J1651" s="5">
        <v>0.2</v>
      </c>
      <c r="K1651" s="6">
        <v>2</v>
      </c>
      <c r="L1651" s="6">
        <v>5</v>
      </c>
      <c r="M1651" t="s">
        <v>58</v>
      </c>
      <c r="N1651" t="s">
        <v>59</v>
      </c>
      <c r="O1651" t="s">
        <v>64</v>
      </c>
      <c r="P1651" t="str">
        <f t="shared" si="175"/>
        <v>Individual</v>
      </c>
      <c r="Q1651" t="str">
        <f t="shared" si="176"/>
        <v>North</v>
      </c>
      <c r="R1651" t="str">
        <f>PROPER(TRIM(E1651))</f>
        <v>Home &amp; Kitchen</v>
      </c>
      <c r="S1651" s="27">
        <f>IF(ISTEXT(B1651),DATEVALUE(B1651),B1651)</f>
        <v>45996</v>
      </c>
      <c r="T1651" s="27">
        <f>COUNTIF($A$2:$A$1986,A1651)</f>
        <v>1</v>
      </c>
      <c r="U1651" s="27" t="str">
        <f t="shared" si="177"/>
        <v>Blender</v>
      </c>
      <c r="V1651" s="27">
        <f t="shared" si="178"/>
        <v>202.4</v>
      </c>
      <c r="W1651" s="27">
        <f t="shared" si="179"/>
        <v>146.68</v>
      </c>
      <c r="X1651" s="27">
        <f>RawSalesTable3[[#This Row],[Revenue]]-RawSalesTable3[[#This Row],[Total_Cost]]</f>
        <v>55.72</v>
      </c>
      <c r="Y1651" s="28">
        <f>RawSalesTable3[[#This Row],[Profit]]/RawSalesTable3[[#This Row],[Revenue]]</f>
        <v>0.275296442687747</v>
      </c>
      <c r="Z1651" s="27" t="str">
        <f>TEXT(RawSalesTable3[[#This Row],[Order_Date_Clean]],"MMM YYYY")</f>
        <v>Dec 2025</v>
      </c>
      <c r="AA1651" s="27"/>
      <c r="AB1651" s="27">
        <f t="shared" si="180"/>
        <v>0</v>
      </c>
      <c r="AC1651" s="27">
        <f t="shared" si="181"/>
        <v>0</v>
      </c>
    </row>
    <row r="1652" spans="1:29">
      <c r="A1652" t="s">
        <v>1762</v>
      </c>
      <c r="B1652" s="3">
        <v>45902</v>
      </c>
      <c r="C1652" t="s">
        <v>78</v>
      </c>
      <c r="D1652" t="s">
        <v>62</v>
      </c>
      <c r="E1652" t="s">
        <v>67</v>
      </c>
      <c r="F1652" t="s">
        <v>107</v>
      </c>
      <c r="G1652" s="6">
        <v>1</v>
      </c>
      <c r="H1652" s="4">
        <v>43.74</v>
      </c>
      <c r="I1652" s="4">
        <v>21.65</v>
      </c>
      <c r="J1652" s="5">
        <v>0</v>
      </c>
      <c r="K1652" s="6">
        <v>2</v>
      </c>
      <c r="L1652" s="6">
        <v>4</v>
      </c>
      <c r="M1652" t="s">
        <v>58</v>
      </c>
      <c r="N1652" t="s">
        <v>69</v>
      </c>
      <c r="O1652" t="s">
        <v>73</v>
      </c>
      <c r="P1652" t="str">
        <f t="shared" si="175"/>
        <v>Individual</v>
      </c>
      <c r="Q1652" t="str">
        <f t="shared" si="176"/>
        <v>London</v>
      </c>
      <c r="R1652" t="str">
        <f>PROPER(TRIM(E1652))</f>
        <v>Office</v>
      </c>
      <c r="S1652" s="27">
        <f>IF(ISTEXT(B1652),DATEVALUE(B1652),B1652)</f>
        <v>45902</v>
      </c>
      <c r="T1652" s="27">
        <f>COUNTIF($A$2:$A$1986,A1652)</f>
        <v>1</v>
      </c>
      <c r="U1652" s="27" t="str">
        <f t="shared" si="177"/>
        <v>Laptop Stand</v>
      </c>
      <c r="V1652" s="27">
        <f t="shared" si="178"/>
        <v>43.74</v>
      </c>
      <c r="W1652" s="27">
        <f t="shared" si="179"/>
        <v>21.65</v>
      </c>
      <c r="X1652" s="27">
        <f>RawSalesTable3[[#This Row],[Revenue]]-RawSalesTable3[[#This Row],[Total_Cost]]</f>
        <v>22.090000000000003</v>
      </c>
      <c r="Y1652" s="28">
        <f>RawSalesTable3[[#This Row],[Profit]]/RawSalesTable3[[#This Row],[Revenue]]</f>
        <v>0.50502972107910382</v>
      </c>
      <c r="Z1652" s="27" t="str">
        <f>TEXT(RawSalesTable3[[#This Row],[Order_Date_Clean]],"MMM YYYY")</f>
        <v>Sep 2025</v>
      </c>
      <c r="AA1652" s="27"/>
      <c r="AB1652" s="27">
        <f t="shared" si="180"/>
        <v>0</v>
      </c>
      <c r="AC1652" s="27">
        <f t="shared" si="181"/>
        <v>0</v>
      </c>
    </row>
    <row r="1653" spans="1:29">
      <c r="A1653" t="s">
        <v>1763</v>
      </c>
      <c r="B1653" s="3">
        <v>45827</v>
      </c>
      <c r="C1653" t="s">
        <v>78</v>
      </c>
      <c r="D1653" t="s">
        <v>62</v>
      </c>
      <c r="E1653" t="s">
        <v>79</v>
      </c>
      <c r="F1653" t="s">
        <v>85</v>
      </c>
      <c r="G1653" s="6">
        <v>3</v>
      </c>
      <c r="H1653" s="4">
        <v>126.51</v>
      </c>
      <c r="I1653" s="4">
        <v>84.2</v>
      </c>
      <c r="J1653" s="5">
        <v>0.05</v>
      </c>
      <c r="K1653" s="6">
        <v>1</v>
      </c>
      <c r="L1653" s="6">
        <v>4</v>
      </c>
      <c r="M1653" t="s">
        <v>58</v>
      </c>
      <c r="N1653" t="s">
        <v>59</v>
      </c>
      <c r="O1653" t="s">
        <v>64</v>
      </c>
      <c r="P1653" t="str">
        <f t="shared" si="175"/>
        <v>Individual</v>
      </c>
      <c r="Q1653" t="str">
        <f t="shared" si="176"/>
        <v>London</v>
      </c>
      <c r="R1653" t="str">
        <f>PROPER(TRIM(E1653))</f>
        <v>Electronics</v>
      </c>
      <c r="S1653" s="27">
        <f>IF(ISTEXT(B1653),DATEVALUE(B1653),B1653)</f>
        <v>45827</v>
      </c>
      <c r="T1653" s="27">
        <f>COUNTIF($A$2:$A$1986,A1653)</f>
        <v>1</v>
      </c>
      <c r="U1653" s="27" t="str">
        <f t="shared" si="177"/>
        <v>SmartHome Hub</v>
      </c>
      <c r="V1653" s="27">
        <f t="shared" si="178"/>
        <v>360.55349999999999</v>
      </c>
      <c r="W1653" s="27">
        <f t="shared" si="179"/>
        <v>252.60000000000002</v>
      </c>
      <c r="X1653" s="27">
        <f>RawSalesTable3[[#This Row],[Revenue]]-RawSalesTable3[[#This Row],[Total_Cost]]</f>
        <v>107.95349999999996</v>
      </c>
      <c r="Y1653" s="28">
        <f>RawSalesTable3[[#This Row],[Profit]]/RawSalesTable3[[#This Row],[Revenue]]</f>
        <v>0.29941048970541118</v>
      </c>
      <c r="Z1653" s="27" t="str">
        <f>TEXT(RawSalesTable3[[#This Row],[Order_Date_Clean]],"MMM YYYY")</f>
        <v>Jun 2025</v>
      </c>
      <c r="AA1653" s="27"/>
      <c r="AB1653" s="27">
        <f t="shared" si="180"/>
        <v>0</v>
      </c>
      <c r="AC1653" s="27">
        <f t="shared" si="181"/>
        <v>0</v>
      </c>
    </row>
    <row r="1654" spans="1:29">
      <c r="A1654" t="s">
        <v>1764</v>
      </c>
      <c r="B1654" s="3">
        <v>45790</v>
      </c>
      <c r="C1654" t="s">
        <v>78</v>
      </c>
      <c r="D1654" t="s">
        <v>62</v>
      </c>
      <c r="E1654" t="s">
        <v>79</v>
      </c>
      <c r="F1654" t="s">
        <v>80</v>
      </c>
      <c r="G1654" s="6">
        <v>1</v>
      </c>
      <c r="H1654" s="4">
        <v>77.69</v>
      </c>
      <c r="I1654" s="4">
        <v>42.21</v>
      </c>
      <c r="J1654" s="5">
        <v>0</v>
      </c>
      <c r="K1654" s="6">
        <v>4</v>
      </c>
      <c r="L1654" s="6">
        <v>4</v>
      </c>
      <c r="M1654" t="s">
        <v>58</v>
      </c>
      <c r="N1654" t="s">
        <v>59</v>
      </c>
      <c r="O1654" t="s">
        <v>60</v>
      </c>
      <c r="P1654" t="str">
        <f t="shared" si="175"/>
        <v>Individual</v>
      </c>
      <c r="Q1654" t="str">
        <f t="shared" si="176"/>
        <v>London</v>
      </c>
      <c r="R1654" t="str">
        <f>PROPER(TRIM(E1654))</f>
        <v>Electronics</v>
      </c>
      <c r="S1654" s="27">
        <f>IF(ISTEXT(B1654),DATEVALUE(B1654),B1654)</f>
        <v>45790</v>
      </c>
      <c r="T1654" s="27">
        <f>COUNTIF($A$2:$A$1986,A1654)</f>
        <v>1</v>
      </c>
      <c r="U1654" s="27" t="str">
        <f t="shared" si="177"/>
        <v>Portable Speaker</v>
      </c>
      <c r="V1654" s="27">
        <f t="shared" si="178"/>
        <v>77.69</v>
      </c>
      <c r="W1654" s="27">
        <f t="shared" si="179"/>
        <v>42.21</v>
      </c>
      <c r="X1654" s="27">
        <f>RawSalesTable3[[#This Row],[Revenue]]-RawSalesTable3[[#This Row],[Total_Cost]]</f>
        <v>35.479999999999997</v>
      </c>
      <c r="Y1654" s="28">
        <f>RawSalesTable3[[#This Row],[Profit]]/RawSalesTable3[[#This Row],[Revenue]]</f>
        <v>0.45668683228214696</v>
      </c>
      <c r="Z1654" s="27" t="str">
        <f>TEXT(RawSalesTable3[[#This Row],[Order_Date_Clean]],"MMM YYYY")</f>
        <v>May 2025</v>
      </c>
      <c r="AA1654" s="27"/>
      <c r="AB1654" s="27">
        <f t="shared" si="180"/>
        <v>0</v>
      </c>
      <c r="AC1654" s="27">
        <f t="shared" si="181"/>
        <v>0</v>
      </c>
    </row>
    <row r="1655" spans="1:29">
      <c r="A1655" t="s">
        <v>1765</v>
      </c>
      <c r="B1655" s="3">
        <v>45843</v>
      </c>
      <c r="C1655" t="s">
        <v>54</v>
      </c>
      <c r="D1655" t="s">
        <v>62</v>
      </c>
      <c r="E1655" t="s">
        <v>79</v>
      </c>
      <c r="F1655" t="s">
        <v>85</v>
      </c>
      <c r="G1655" s="6">
        <v>2</v>
      </c>
      <c r="H1655" s="4">
        <v>128.59</v>
      </c>
      <c r="I1655" s="4">
        <v>84.89</v>
      </c>
      <c r="J1655" s="5">
        <v>0</v>
      </c>
      <c r="K1655" s="6">
        <v>3</v>
      </c>
      <c r="L1655" s="6">
        <v>4</v>
      </c>
      <c r="M1655" t="s">
        <v>58</v>
      </c>
      <c r="N1655" t="s">
        <v>59</v>
      </c>
      <c r="O1655" t="s">
        <v>64</v>
      </c>
      <c r="P1655" t="str">
        <f t="shared" si="175"/>
        <v>Individual</v>
      </c>
      <c r="Q1655" t="str">
        <f t="shared" si="176"/>
        <v>North</v>
      </c>
      <c r="R1655" t="str">
        <f>PROPER(TRIM(E1655))</f>
        <v>Electronics</v>
      </c>
      <c r="S1655" s="27">
        <f>IF(ISTEXT(B1655),DATEVALUE(B1655),B1655)</f>
        <v>45843</v>
      </c>
      <c r="T1655" s="27">
        <f>COUNTIF($A$2:$A$1986,A1655)</f>
        <v>1</v>
      </c>
      <c r="U1655" s="27" t="str">
        <f t="shared" si="177"/>
        <v>SmartHome Hub</v>
      </c>
      <c r="V1655" s="27">
        <f t="shared" si="178"/>
        <v>257.18</v>
      </c>
      <c r="W1655" s="27">
        <f t="shared" si="179"/>
        <v>169.78</v>
      </c>
      <c r="X1655" s="27">
        <f>RawSalesTable3[[#This Row],[Revenue]]-RawSalesTable3[[#This Row],[Total_Cost]]</f>
        <v>87.4</v>
      </c>
      <c r="Y1655" s="28">
        <f>RawSalesTable3[[#This Row],[Profit]]/RawSalesTable3[[#This Row],[Revenue]]</f>
        <v>0.33983980091764526</v>
      </c>
      <c r="Z1655" s="27" t="str">
        <f>TEXT(RawSalesTable3[[#This Row],[Order_Date_Clean]],"MMM YYYY")</f>
        <v>Jul 2025</v>
      </c>
      <c r="AA1655" s="27"/>
      <c r="AB1655" s="27">
        <f t="shared" si="180"/>
        <v>0</v>
      </c>
      <c r="AC1655" s="27">
        <f t="shared" si="181"/>
        <v>0</v>
      </c>
    </row>
    <row r="1656" spans="1:29">
      <c r="A1656" t="s">
        <v>1766</v>
      </c>
      <c r="B1656" s="3">
        <v>45795</v>
      </c>
      <c r="C1656" t="s">
        <v>82</v>
      </c>
      <c r="D1656" t="s">
        <v>62</v>
      </c>
      <c r="E1656" t="s">
        <v>56</v>
      </c>
      <c r="F1656" t="s">
        <v>83</v>
      </c>
      <c r="G1656" s="6">
        <v>2</v>
      </c>
      <c r="H1656" s="4">
        <v>66.989999999999995</v>
      </c>
      <c r="I1656" s="4">
        <v>36.700000000000003</v>
      </c>
      <c r="J1656" s="5">
        <v>0</v>
      </c>
      <c r="K1656" s="6">
        <v>1</v>
      </c>
      <c r="L1656" s="6">
        <v>5</v>
      </c>
      <c r="M1656" t="s">
        <v>58</v>
      </c>
      <c r="N1656" t="s">
        <v>69</v>
      </c>
      <c r="O1656" t="s">
        <v>64</v>
      </c>
      <c r="P1656" t="str">
        <f t="shared" si="175"/>
        <v>Individual</v>
      </c>
      <c r="Q1656" t="str">
        <f t="shared" si="176"/>
        <v>Midlands</v>
      </c>
      <c r="R1656" t="str">
        <f>PROPER(TRIM(E1656))</f>
        <v>Home &amp; Kitchen</v>
      </c>
      <c r="S1656" s="27">
        <f>IF(ISTEXT(B1656),DATEVALUE(B1656),B1656)</f>
        <v>45795</v>
      </c>
      <c r="T1656" s="27">
        <f>COUNTIF($A$2:$A$1986,A1656)</f>
        <v>1</v>
      </c>
      <c r="U1656" s="27" t="str">
        <f t="shared" si="177"/>
        <v>Blender</v>
      </c>
      <c r="V1656" s="27">
        <f t="shared" si="178"/>
        <v>133.97999999999999</v>
      </c>
      <c r="W1656" s="27">
        <f t="shared" si="179"/>
        <v>73.400000000000006</v>
      </c>
      <c r="X1656" s="27">
        <f>RawSalesTable3[[#This Row],[Revenue]]-RawSalesTable3[[#This Row],[Total_Cost]]</f>
        <v>60.579999999999984</v>
      </c>
      <c r="Y1656" s="28">
        <f>RawSalesTable3[[#This Row],[Profit]]/RawSalesTable3[[#This Row],[Revenue]]</f>
        <v>0.45215703836393484</v>
      </c>
      <c r="Z1656" s="27" t="str">
        <f>TEXT(RawSalesTable3[[#This Row],[Order_Date_Clean]],"MMM YYYY")</f>
        <v>May 2025</v>
      </c>
      <c r="AA1656" s="27"/>
      <c r="AB1656" s="27">
        <f t="shared" si="180"/>
        <v>0</v>
      </c>
      <c r="AC1656" s="27">
        <f t="shared" si="181"/>
        <v>0</v>
      </c>
    </row>
    <row r="1657" spans="1:29">
      <c r="A1657" t="s">
        <v>1767</v>
      </c>
      <c r="B1657" s="3">
        <v>45856</v>
      </c>
      <c r="C1657" t="s">
        <v>78</v>
      </c>
      <c r="D1657" t="s">
        <v>62</v>
      </c>
      <c r="E1657" t="s">
        <v>79</v>
      </c>
      <c r="F1657" t="s">
        <v>115</v>
      </c>
      <c r="G1657" s="6">
        <v>1</v>
      </c>
      <c r="H1657" s="4">
        <v>61.92</v>
      </c>
      <c r="I1657" s="4">
        <v>34.83</v>
      </c>
      <c r="J1657" s="5">
        <v>0</v>
      </c>
      <c r="K1657" s="6">
        <v>0</v>
      </c>
      <c r="L1657" s="6">
        <v>5</v>
      </c>
      <c r="M1657" t="s">
        <v>58</v>
      </c>
      <c r="N1657" t="s">
        <v>69</v>
      </c>
      <c r="O1657" t="s">
        <v>64</v>
      </c>
      <c r="P1657" t="str">
        <f t="shared" si="175"/>
        <v>Individual</v>
      </c>
      <c r="Q1657" t="str">
        <f t="shared" si="176"/>
        <v>London</v>
      </c>
      <c r="R1657" t="str">
        <f>PROPER(TRIM(E1657))</f>
        <v>Electronics</v>
      </c>
      <c r="S1657" s="27">
        <f>IF(ISTEXT(B1657),DATEVALUE(B1657),B1657)</f>
        <v>45856</v>
      </c>
      <c r="T1657" s="27">
        <f>COUNTIF($A$2:$A$1986,A1657)</f>
        <v>1</v>
      </c>
      <c r="U1657" s="27" t="str">
        <f t="shared" si="177"/>
        <v>Wireless Headset</v>
      </c>
      <c r="V1657" s="27">
        <f t="shared" si="178"/>
        <v>61.92</v>
      </c>
      <c r="W1657" s="27">
        <f t="shared" si="179"/>
        <v>34.83</v>
      </c>
      <c r="X1657" s="27">
        <f>RawSalesTable3[[#This Row],[Revenue]]-RawSalesTable3[[#This Row],[Total_Cost]]</f>
        <v>27.090000000000003</v>
      </c>
      <c r="Y1657" s="28">
        <f>RawSalesTable3[[#This Row],[Profit]]/RawSalesTable3[[#This Row],[Revenue]]</f>
        <v>0.43750000000000006</v>
      </c>
      <c r="Z1657" s="27" t="str">
        <f>TEXT(RawSalesTable3[[#This Row],[Order_Date_Clean]],"MMM YYYY")</f>
        <v>Jul 2025</v>
      </c>
      <c r="AA1657" s="27"/>
      <c r="AB1657" s="27">
        <f t="shared" si="180"/>
        <v>0</v>
      </c>
      <c r="AC1657" s="27">
        <f t="shared" si="181"/>
        <v>0</v>
      </c>
    </row>
    <row r="1658" spans="1:29">
      <c r="A1658" t="s">
        <v>1768</v>
      </c>
      <c r="B1658" s="3">
        <v>45719</v>
      </c>
      <c r="C1658" t="s">
        <v>66</v>
      </c>
      <c r="D1658" t="s">
        <v>62</v>
      </c>
      <c r="E1658" t="s">
        <v>67</v>
      </c>
      <c r="F1658" t="s">
        <v>107</v>
      </c>
      <c r="G1658" s="6">
        <v>2</v>
      </c>
      <c r="H1658" s="4">
        <v>45.23</v>
      </c>
      <c r="I1658" s="4">
        <v>21.58</v>
      </c>
      <c r="J1658" s="5">
        <v>0.05</v>
      </c>
      <c r="K1658" s="6">
        <v>2</v>
      </c>
      <c r="L1658" s="6">
        <v>4</v>
      </c>
      <c r="M1658" t="s">
        <v>58</v>
      </c>
      <c r="N1658" t="s">
        <v>69</v>
      </c>
      <c r="O1658" t="s">
        <v>64</v>
      </c>
      <c r="P1658" t="str">
        <f t="shared" si="175"/>
        <v>Individual</v>
      </c>
      <c r="Q1658" t="str">
        <f t="shared" si="176"/>
        <v>South</v>
      </c>
      <c r="R1658" t="str">
        <f>PROPER(TRIM(E1658))</f>
        <v>Office</v>
      </c>
      <c r="S1658" s="27">
        <f>IF(ISTEXT(B1658),DATEVALUE(B1658),B1658)</f>
        <v>45719</v>
      </c>
      <c r="T1658" s="27">
        <f>COUNTIF($A$2:$A$1986,A1658)</f>
        <v>1</v>
      </c>
      <c r="U1658" s="27" t="str">
        <f t="shared" si="177"/>
        <v>Laptop Stand</v>
      </c>
      <c r="V1658" s="27">
        <f t="shared" si="178"/>
        <v>85.936999999999983</v>
      </c>
      <c r="W1658" s="27">
        <f t="shared" si="179"/>
        <v>43.16</v>
      </c>
      <c r="X1658" s="27">
        <f>RawSalesTable3[[#This Row],[Revenue]]-RawSalesTable3[[#This Row],[Total_Cost]]</f>
        <v>42.776999999999987</v>
      </c>
      <c r="Y1658" s="28">
        <f>RawSalesTable3[[#This Row],[Profit]]/RawSalesTable3[[#This Row],[Revenue]]</f>
        <v>0.49777162339853609</v>
      </c>
      <c r="Z1658" s="27" t="str">
        <f>TEXT(RawSalesTable3[[#This Row],[Order_Date_Clean]],"MMM YYYY")</f>
        <v>Mar 2025</v>
      </c>
      <c r="AA1658" s="27"/>
      <c r="AB1658" s="27">
        <f t="shared" si="180"/>
        <v>0</v>
      </c>
      <c r="AC1658" s="27">
        <f t="shared" si="181"/>
        <v>0</v>
      </c>
    </row>
    <row r="1659" spans="1:29">
      <c r="A1659" t="s">
        <v>1769</v>
      </c>
      <c r="B1659" s="3">
        <v>45826</v>
      </c>
      <c r="C1659" t="s">
        <v>82</v>
      </c>
      <c r="D1659" t="s">
        <v>62</v>
      </c>
      <c r="E1659" t="s">
        <v>67</v>
      </c>
      <c r="F1659" t="s">
        <v>107</v>
      </c>
      <c r="G1659" s="6">
        <v>2</v>
      </c>
      <c r="H1659" s="4">
        <v>45.75</v>
      </c>
      <c r="I1659" s="4">
        <v>21.53</v>
      </c>
      <c r="J1659" s="5">
        <v>0</v>
      </c>
      <c r="K1659" s="6">
        <v>3</v>
      </c>
      <c r="L1659" s="6">
        <v>5</v>
      </c>
      <c r="M1659" t="s">
        <v>58</v>
      </c>
      <c r="N1659" t="s">
        <v>59</v>
      </c>
      <c r="O1659" t="s">
        <v>64</v>
      </c>
      <c r="P1659" t="str">
        <f t="shared" si="175"/>
        <v>Individual</v>
      </c>
      <c r="Q1659" t="str">
        <f t="shared" si="176"/>
        <v>Midlands</v>
      </c>
      <c r="R1659" t="str">
        <f>PROPER(TRIM(E1659))</f>
        <v>Office</v>
      </c>
      <c r="S1659" s="27">
        <f>IF(ISTEXT(B1659),DATEVALUE(B1659),B1659)</f>
        <v>45826</v>
      </c>
      <c r="T1659" s="27">
        <f>COUNTIF($A$2:$A$1986,A1659)</f>
        <v>1</v>
      </c>
      <c r="U1659" s="27" t="str">
        <f t="shared" si="177"/>
        <v>Laptop Stand</v>
      </c>
      <c r="V1659" s="27">
        <f t="shared" si="178"/>
        <v>91.5</v>
      </c>
      <c r="W1659" s="27">
        <f t="shared" si="179"/>
        <v>43.06</v>
      </c>
      <c r="X1659" s="27">
        <f>RawSalesTable3[[#This Row],[Revenue]]-RawSalesTable3[[#This Row],[Total_Cost]]</f>
        <v>48.44</v>
      </c>
      <c r="Y1659" s="28">
        <f>RawSalesTable3[[#This Row],[Profit]]/RawSalesTable3[[#This Row],[Revenue]]</f>
        <v>0.52939890710382509</v>
      </c>
      <c r="Z1659" s="27" t="str">
        <f>TEXT(RawSalesTable3[[#This Row],[Order_Date_Clean]],"MMM YYYY")</f>
        <v>Jun 2025</v>
      </c>
      <c r="AA1659" s="27"/>
      <c r="AB1659" s="27">
        <f t="shared" si="180"/>
        <v>0</v>
      </c>
      <c r="AC1659" s="27">
        <f t="shared" si="181"/>
        <v>0</v>
      </c>
    </row>
    <row r="1660" spans="1:29">
      <c r="A1660" t="s">
        <v>1770</v>
      </c>
      <c r="B1660" s="3">
        <v>45815</v>
      </c>
      <c r="C1660" t="s">
        <v>78</v>
      </c>
      <c r="D1660" t="s">
        <v>62</v>
      </c>
      <c r="E1660" t="s">
        <v>67</v>
      </c>
      <c r="F1660" t="s">
        <v>71</v>
      </c>
      <c r="G1660" s="6">
        <v>1</v>
      </c>
      <c r="H1660" s="4">
        <v>72.09</v>
      </c>
      <c r="I1660" s="4">
        <v>37.67</v>
      </c>
      <c r="J1660" s="5">
        <v>0.05</v>
      </c>
      <c r="K1660" s="6">
        <v>6</v>
      </c>
      <c r="L1660" s="6">
        <v>4</v>
      </c>
      <c r="M1660" t="s">
        <v>58</v>
      </c>
      <c r="N1660" t="s">
        <v>59</v>
      </c>
      <c r="O1660" t="s">
        <v>64</v>
      </c>
      <c r="P1660" t="str">
        <f t="shared" si="175"/>
        <v>Individual</v>
      </c>
      <c r="Q1660" t="str">
        <f t="shared" si="176"/>
        <v>London</v>
      </c>
      <c r="R1660" t="str">
        <f>PROPER(TRIM(E1660))</f>
        <v>Office</v>
      </c>
      <c r="S1660" s="27">
        <f>IF(ISTEXT(B1660),DATEVALUE(B1660),B1660)</f>
        <v>45815</v>
      </c>
      <c r="T1660" s="27">
        <f>COUNTIF($A$2:$A$1986,A1660)</f>
        <v>1</v>
      </c>
      <c r="U1660" s="27" t="str">
        <f t="shared" si="177"/>
        <v>Ergonomic Keyboard</v>
      </c>
      <c r="V1660" s="27">
        <f t="shared" si="178"/>
        <v>68.485500000000002</v>
      </c>
      <c r="W1660" s="27">
        <f t="shared" si="179"/>
        <v>37.67</v>
      </c>
      <c r="X1660" s="27">
        <f>RawSalesTable3[[#This Row],[Revenue]]-RawSalesTable3[[#This Row],[Total_Cost]]</f>
        <v>30.8155</v>
      </c>
      <c r="Y1660" s="28">
        <f>RawSalesTable3[[#This Row],[Profit]]/RawSalesTable3[[#This Row],[Revenue]]</f>
        <v>0.44995656014776847</v>
      </c>
      <c r="Z1660" s="27" t="str">
        <f>TEXT(RawSalesTable3[[#This Row],[Order_Date_Clean]],"MMM YYYY")</f>
        <v>Jun 2025</v>
      </c>
      <c r="AA1660" s="27"/>
      <c r="AB1660" s="27">
        <f t="shared" si="180"/>
        <v>0</v>
      </c>
      <c r="AC1660" s="27">
        <f t="shared" si="181"/>
        <v>0</v>
      </c>
    </row>
    <row r="1661" spans="1:29">
      <c r="A1661" t="s">
        <v>1771</v>
      </c>
      <c r="B1661" s="3">
        <v>45721</v>
      </c>
      <c r="C1661" t="s">
        <v>66</v>
      </c>
      <c r="D1661" t="s">
        <v>62</v>
      </c>
      <c r="E1661" t="s">
        <v>79</v>
      </c>
      <c r="F1661" t="s">
        <v>85</v>
      </c>
      <c r="G1661" s="6">
        <v>1</v>
      </c>
      <c r="H1661" s="4">
        <v>131.36000000000001</v>
      </c>
      <c r="I1661" s="4">
        <v>84.15</v>
      </c>
      <c r="J1661" s="5">
        <v>0</v>
      </c>
      <c r="K1661" s="6">
        <v>6</v>
      </c>
      <c r="L1661" s="6">
        <v>3</v>
      </c>
      <c r="M1661" t="s">
        <v>58</v>
      </c>
      <c r="N1661" t="s">
        <v>59</v>
      </c>
      <c r="O1661" t="s">
        <v>60</v>
      </c>
      <c r="P1661" t="str">
        <f t="shared" si="175"/>
        <v>Individual</v>
      </c>
      <c r="Q1661" t="str">
        <f t="shared" si="176"/>
        <v>South</v>
      </c>
      <c r="R1661" t="str">
        <f>PROPER(TRIM(E1661))</f>
        <v>Electronics</v>
      </c>
      <c r="S1661" s="27">
        <f>IF(ISTEXT(B1661),DATEVALUE(B1661),B1661)</f>
        <v>45721</v>
      </c>
      <c r="T1661" s="27">
        <f>COUNTIF($A$2:$A$1986,A1661)</f>
        <v>1</v>
      </c>
      <c r="U1661" s="27" t="str">
        <f t="shared" si="177"/>
        <v>SmartHome Hub</v>
      </c>
      <c r="V1661" s="27">
        <f t="shared" si="178"/>
        <v>131.36000000000001</v>
      </c>
      <c r="W1661" s="27">
        <f t="shared" si="179"/>
        <v>84.15</v>
      </c>
      <c r="X1661" s="27">
        <f>RawSalesTable3[[#This Row],[Revenue]]-RawSalesTable3[[#This Row],[Total_Cost]]</f>
        <v>47.210000000000008</v>
      </c>
      <c r="Y1661" s="28">
        <f>RawSalesTable3[[#This Row],[Profit]]/RawSalesTable3[[#This Row],[Revenue]]</f>
        <v>0.35939403166869671</v>
      </c>
      <c r="Z1661" s="27" t="str">
        <f>TEXT(RawSalesTable3[[#This Row],[Order_Date_Clean]],"MMM YYYY")</f>
        <v>Mar 2025</v>
      </c>
      <c r="AA1661" s="27"/>
      <c r="AB1661" s="27">
        <f t="shared" si="180"/>
        <v>0</v>
      </c>
      <c r="AC1661" s="27">
        <f t="shared" si="181"/>
        <v>0</v>
      </c>
    </row>
    <row r="1662" spans="1:29">
      <c r="A1662" t="s">
        <v>1772</v>
      </c>
      <c r="B1662" s="3">
        <v>45671</v>
      </c>
      <c r="C1662" t="s">
        <v>82</v>
      </c>
      <c r="D1662" t="s">
        <v>62</v>
      </c>
      <c r="E1662" t="s">
        <v>75</v>
      </c>
      <c r="F1662" t="s">
        <v>76</v>
      </c>
      <c r="G1662" s="6">
        <v>1</v>
      </c>
      <c r="H1662" s="4">
        <v>120.19</v>
      </c>
      <c r="I1662" s="4">
        <v>70.209999999999994</v>
      </c>
      <c r="J1662" s="5">
        <v>0.05</v>
      </c>
      <c r="K1662" s="6">
        <v>4</v>
      </c>
      <c r="L1662" s="6">
        <v>4</v>
      </c>
      <c r="M1662" t="s">
        <v>58</v>
      </c>
      <c r="N1662" t="s">
        <v>69</v>
      </c>
      <c r="O1662" t="s">
        <v>73</v>
      </c>
      <c r="P1662" t="str">
        <f t="shared" si="175"/>
        <v>Individual</v>
      </c>
      <c r="Q1662" t="str">
        <f t="shared" si="176"/>
        <v>Midlands</v>
      </c>
      <c r="R1662" t="str">
        <f>PROPER(TRIM(E1662))</f>
        <v>Furniture</v>
      </c>
      <c r="S1662" s="27">
        <f>IF(ISTEXT(B1662),DATEVALUE(B1662),B1662)</f>
        <v>45671</v>
      </c>
      <c r="T1662" s="27">
        <f>COUNTIF($A$2:$A$1986,A1662)</f>
        <v>1</v>
      </c>
      <c r="U1662" s="27" t="str">
        <f t="shared" si="177"/>
        <v>Bookshelf</v>
      </c>
      <c r="V1662" s="27">
        <f t="shared" si="178"/>
        <v>114.18049999999999</v>
      </c>
      <c r="W1662" s="27">
        <f t="shared" si="179"/>
        <v>70.209999999999994</v>
      </c>
      <c r="X1662" s="27">
        <f>RawSalesTable3[[#This Row],[Revenue]]-RawSalesTable3[[#This Row],[Total_Cost]]</f>
        <v>43.970500000000001</v>
      </c>
      <c r="Y1662" s="28">
        <f>RawSalesTable3[[#This Row],[Profit]]/RawSalesTable3[[#This Row],[Revenue]]</f>
        <v>0.38509640437727988</v>
      </c>
      <c r="Z1662" s="27" t="str">
        <f>TEXT(RawSalesTable3[[#This Row],[Order_Date_Clean]],"MMM YYYY")</f>
        <v>Jan 2025</v>
      </c>
      <c r="AA1662" s="27"/>
      <c r="AB1662" s="27">
        <f t="shared" si="180"/>
        <v>0</v>
      </c>
      <c r="AC1662" s="27">
        <f t="shared" si="181"/>
        <v>0</v>
      </c>
    </row>
    <row r="1663" spans="1:29">
      <c r="A1663" t="s">
        <v>1773</v>
      </c>
      <c r="B1663" s="3">
        <v>46005</v>
      </c>
      <c r="C1663" t="s">
        <v>54</v>
      </c>
      <c r="D1663" t="s">
        <v>129</v>
      </c>
      <c r="E1663" t="s">
        <v>79</v>
      </c>
      <c r="F1663" t="s">
        <v>92</v>
      </c>
      <c r="G1663" s="6">
        <v>4</v>
      </c>
      <c r="H1663" s="4">
        <v>49.89</v>
      </c>
      <c r="I1663" s="4">
        <v>27.2</v>
      </c>
      <c r="J1663" s="5">
        <v>0.1</v>
      </c>
      <c r="K1663" s="6">
        <v>0</v>
      </c>
      <c r="L1663" s="6">
        <v>4</v>
      </c>
      <c r="M1663" t="s">
        <v>58</v>
      </c>
      <c r="N1663" t="s">
        <v>69</v>
      </c>
      <c r="O1663" t="s">
        <v>64</v>
      </c>
      <c r="P1663" t="str">
        <f t="shared" si="175"/>
        <v>Corporate</v>
      </c>
      <c r="Q1663" t="str">
        <f t="shared" si="176"/>
        <v>North</v>
      </c>
      <c r="R1663" t="str">
        <f>PROPER(TRIM(E1663))</f>
        <v>Electronics</v>
      </c>
      <c r="S1663" s="27">
        <f>IF(ISTEXT(B1663),DATEVALUE(B1663),B1663)</f>
        <v>46005</v>
      </c>
      <c r="T1663" s="27">
        <f>COUNTIF($A$2:$A$1986,A1663)</f>
        <v>1</v>
      </c>
      <c r="U1663" s="27" t="str">
        <f t="shared" si="177"/>
        <v>Webcam</v>
      </c>
      <c r="V1663" s="27">
        <f t="shared" si="178"/>
        <v>179.60400000000001</v>
      </c>
      <c r="W1663" s="27">
        <f t="shared" si="179"/>
        <v>108.8</v>
      </c>
      <c r="X1663" s="27">
        <f>RawSalesTable3[[#This Row],[Revenue]]-RawSalesTable3[[#This Row],[Total_Cost]]</f>
        <v>70.804000000000016</v>
      </c>
      <c r="Y1663" s="28">
        <f>RawSalesTable3[[#This Row],[Profit]]/RawSalesTable3[[#This Row],[Revenue]]</f>
        <v>0.39422284581635159</v>
      </c>
      <c r="Z1663" s="27" t="str">
        <f>TEXT(RawSalesTable3[[#This Row],[Order_Date_Clean]],"MMM YYYY")</f>
        <v>Dec 2025</v>
      </c>
      <c r="AA1663" s="27"/>
      <c r="AB1663" s="27">
        <f t="shared" si="180"/>
        <v>0</v>
      </c>
      <c r="AC1663" s="27">
        <f t="shared" si="181"/>
        <v>0</v>
      </c>
    </row>
    <row r="1664" spans="1:29">
      <c r="A1664" t="s">
        <v>1774</v>
      </c>
      <c r="B1664" s="3">
        <v>45846</v>
      </c>
      <c r="C1664" t="s">
        <v>66</v>
      </c>
      <c r="D1664" t="s">
        <v>55</v>
      </c>
      <c r="E1664" t="s">
        <v>79</v>
      </c>
      <c r="F1664" t="s">
        <v>80</v>
      </c>
      <c r="G1664" s="6">
        <v>3</v>
      </c>
      <c r="H1664" s="4">
        <v>75.45</v>
      </c>
      <c r="I1664" s="4">
        <v>42.2</v>
      </c>
      <c r="J1664" s="5">
        <v>0.1</v>
      </c>
      <c r="K1664" s="6">
        <v>7</v>
      </c>
      <c r="L1664" s="6">
        <v>4</v>
      </c>
      <c r="M1664" t="s">
        <v>58</v>
      </c>
      <c r="N1664" t="s">
        <v>59</v>
      </c>
      <c r="O1664" t="s">
        <v>73</v>
      </c>
      <c r="P1664" t="str">
        <f t="shared" si="175"/>
        <v>Small Business</v>
      </c>
      <c r="Q1664" t="str">
        <f t="shared" si="176"/>
        <v>South</v>
      </c>
      <c r="R1664" t="str">
        <f>PROPER(TRIM(E1664))</f>
        <v>Electronics</v>
      </c>
      <c r="S1664" s="27">
        <f>IF(ISTEXT(B1664),DATEVALUE(B1664),B1664)</f>
        <v>45846</v>
      </c>
      <c r="T1664" s="27">
        <f>COUNTIF($A$2:$A$1986,A1664)</f>
        <v>1</v>
      </c>
      <c r="U1664" s="27" t="str">
        <f t="shared" si="177"/>
        <v>Portable Speaker</v>
      </c>
      <c r="V1664" s="27">
        <f t="shared" si="178"/>
        <v>203.71500000000003</v>
      </c>
      <c r="W1664" s="27">
        <f t="shared" si="179"/>
        <v>126.60000000000001</v>
      </c>
      <c r="X1664" s="27">
        <f>RawSalesTable3[[#This Row],[Revenue]]-RawSalesTable3[[#This Row],[Total_Cost]]</f>
        <v>77.115000000000023</v>
      </c>
      <c r="Y1664" s="28">
        <f>RawSalesTable3[[#This Row],[Profit]]/RawSalesTable3[[#This Row],[Revenue]]</f>
        <v>0.37854355349385177</v>
      </c>
      <c r="Z1664" s="27" t="str">
        <f>TEXT(RawSalesTable3[[#This Row],[Order_Date_Clean]],"MMM YYYY")</f>
        <v>Jul 2025</v>
      </c>
      <c r="AA1664" s="27"/>
      <c r="AB1664" s="27">
        <f t="shared" si="180"/>
        <v>0</v>
      </c>
      <c r="AC1664" s="27">
        <f t="shared" si="181"/>
        <v>0</v>
      </c>
    </row>
    <row r="1665" spans="1:29">
      <c r="A1665" t="s">
        <v>1775</v>
      </c>
      <c r="B1665" s="3">
        <v>45813</v>
      </c>
      <c r="C1665" t="s">
        <v>54</v>
      </c>
      <c r="D1665" t="s">
        <v>62</v>
      </c>
      <c r="E1665" t="s">
        <v>56</v>
      </c>
      <c r="F1665" t="s">
        <v>63</v>
      </c>
      <c r="G1665" s="6">
        <v>1</v>
      </c>
      <c r="H1665" s="4">
        <v>40.32</v>
      </c>
      <c r="I1665" s="4">
        <v>20.010000000000002</v>
      </c>
      <c r="J1665" s="5">
        <v>0</v>
      </c>
      <c r="K1665" s="6">
        <v>0</v>
      </c>
      <c r="L1665" s="6">
        <v>3</v>
      </c>
      <c r="M1665" t="s">
        <v>126</v>
      </c>
      <c r="N1665" t="s">
        <v>69</v>
      </c>
      <c r="O1665" t="s">
        <v>64</v>
      </c>
      <c r="P1665" t="str">
        <f t="shared" si="175"/>
        <v>Individual</v>
      </c>
      <c r="Q1665" t="str">
        <f t="shared" si="176"/>
        <v>North</v>
      </c>
      <c r="R1665" t="str">
        <f>PROPER(TRIM(E1665))</f>
        <v>Home &amp; Kitchen</v>
      </c>
      <c r="S1665" s="27">
        <f>IF(ISTEXT(B1665),DATEVALUE(B1665),B1665)</f>
        <v>45813</v>
      </c>
      <c r="T1665" s="27">
        <f>COUNTIF($A$2:$A$1986,A1665)</f>
        <v>1</v>
      </c>
      <c r="U1665" s="27" t="str">
        <f t="shared" si="177"/>
        <v>Electric Kettle</v>
      </c>
      <c r="V1665" s="27">
        <f t="shared" si="178"/>
        <v>40.32</v>
      </c>
      <c r="W1665" s="27">
        <f t="shared" si="179"/>
        <v>20.010000000000002</v>
      </c>
      <c r="X1665" s="27">
        <f>RawSalesTable3[[#This Row],[Revenue]]-RawSalesTable3[[#This Row],[Total_Cost]]</f>
        <v>20.309999999999999</v>
      </c>
      <c r="Y1665" s="28">
        <f>RawSalesTable3[[#This Row],[Profit]]/RawSalesTable3[[#This Row],[Revenue]]</f>
        <v>0.50372023809523803</v>
      </c>
      <c r="Z1665" s="27" t="str">
        <f>TEXT(RawSalesTable3[[#This Row],[Order_Date_Clean]],"MMM YYYY")</f>
        <v>Jun 2025</v>
      </c>
      <c r="AA1665" s="27"/>
      <c r="AB1665" s="27">
        <f t="shared" si="180"/>
        <v>0</v>
      </c>
      <c r="AC1665" s="27">
        <f t="shared" si="181"/>
        <v>0</v>
      </c>
    </row>
    <row r="1666" spans="1:29">
      <c r="A1666" t="s">
        <v>1776</v>
      </c>
      <c r="B1666" s="3">
        <v>45960</v>
      </c>
      <c r="C1666" t="s">
        <v>54</v>
      </c>
      <c r="D1666" t="s">
        <v>62</v>
      </c>
      <c r="E1666" t="s">
        <v>1777</v>
      </c>
      <c r="F1666" t="s">
        <v>63</v>
      </c>
      <c r="G1666" s="6">
        <v>1</v>
      </c>
      <c r="H1666" s="4">
        <v>40.229999999999997</v>
      </c>
      <c r="I1666" s="4">
        <v>20.3</v>
      </c>
      <c r="J1666" s="5">
        <v>0</v>
      </c>
      <c r="K1666" s="6">
        <v>1</v>
      </c>
      <c r="L1666" s="6">
        <v>5</v>
      </c>
      <c r="M1666" t="s">
        <v>58</v>
      </c>
      <c r="N1666" t="s">
        <v>87</v>
      </c>
      <c r="O1666" t="s">
        <v>60</v>
      </c>
      <c r="P1666" t="str">
        <f t="shared" ref="P1666:P1729" si="182">IF(TRIM(D1666)="","Unknow",PROPER(TRIM(D1666)))</f>
        <v>Individual</v>
      </c>
      <c r="Q1666" t="str">
        <f t="shared" ref="Q1666:Q1729" si="183">IF(PROPER(TRIM(C1666))="Mid Lands","Midlands",PROPER(TRIM(C1666)))</f>
        <v>North</v>
      </c>
      <c r="R1666" t="str">
        <f>PROPER(TRIM(E1666))</f>
        <v>Home &amp; Kitchen</v>
      </c>
      <c r="S1666" s="27">
        <f>IF(ISTEXT(B1666),DATEVALUE(B1666),B1666)</f>
        <v>45960</v>
      </c>
      <c r="T1666" s="27">
        <f>COUNTIF($A$2:$A$1986,A1666)</f>
        <v>1</v>
      </c>
      <c r="U1666" s="27" t="str">
        <f t="shared" ref="U1666:U1729" si="184">TRIM(F1666)</f>
        <v>Electric Kettle</v>
      </c>
      <c r="V1666" s="27">
        <f t="shared" ref="V1666:V1729" si="185">G1666*H1666*(1-J1666)</f>
        <v>40.229999999999997</v>
      </c>
      <c r="W1666" s="27">
        <f t="shared" ref="W1666:W1729" si="186">G1666*I1666</f>
        <v>20.3</v>
      </c>
      <c r="X1666" s="27">
        <f>RawSalesTable3[[#This Row],[Revenue]]-RawSalesTable3[[#This Row],[Total_Cost]]</f>
        <v>19.929999999999996</v>
      </c>
      <c r="Y1666" s="28">
        <f>RawSalesTable3[[#This Row],[Profit]]/RawSalesTable3[[#This Row],[Revenue]]</f>
        <v>0.49540144171016648</v>
      </c>
      <c r="Z1666" s="27" t="str">
        <f>TEXT(RawSalesTable3[[#This Row],[Order_Date_Clean]],"MMM YYYY")</f>
        <v>Oct 2025</v>
      </c>
      <c r="AA1666" s="27"/>
      <c r="AB1666" s="27">
        <f t="shared" ref="AB1666:AB1729" si="187">SUMIF($Z:$Z,AA1666,$V:$V)</f>
        <v>0</v>
      </c>
      <c r="AC1666" s="27">
        <f t="shared" ref="AC1666:AC1729" si="188">SUMIF($Z:$Z,AA1666,$X:$X)</f>
        <v>0</v>
      </c>
    </row>
    <row r="1667" spans="1:29">
      <c r="A1667" t="s">
        <v>1778</v>
      </c>
      <c r="B1667" s="3">
        <v>45909</v>
      </c>
      <c r="C1667" t="s">
        <v>82</v>
      </c>
      <c r="D1667" t="s">
        <v>62</v>
      </c>
      <c r="E1667" t="s">
        <v>75</v>
      </c>
      <c r="F1667" t="s">
        <v>146</v>
      </c>
      <c r="G1667" s="6">
        <v>1</v>
      </c>
      <c r="H1667" s="4">
        <v>185.66</v>
      </c>
      <c r="I1667" s="4">
        <v>115.21</v>
      </c>
      <c r="J1667" s="5">
        <v>0</v>
      </c>
      <c r="K1667" s="6">
        <v>6</v>
      </c>
      <c r="L1667" s="6">
        <v>4</v>
      </c>
      <c r="M1667" t="s">
        <v>58</v>
      </c>
      <c r="N1667" t="s">
        <v>59</v>
      </c>
      <c r="O1667" t="s">
        <v>60</v>
      </c>
      <c r="P1667" t="str">
        <f t="shared" si="182"/>
        <v>Individual</v>
      </c>
      <c r="Q1667" t="str">
        <f t="shared" si="183"/>
        <v>Midlands</v>
      </c>
      <c r="R1667" t="str">
        <f>PROPER(TRIM(E1667))</f>
        <v>Furniture</v>
      </c>
      <c r="S1667" s="27">
        <f>IF(ISTEXT(B1667),DATEVALUE(B1667),B1667)</f>
        <v>45909</v>
      </c>
      <c r="T1667" s="27">
        <f>COUNTIF($A$2:$A$1986,A1667)</f>
        <v>1</v>
      </c>
      <c r="U1667" s="27" t="str">
        <f t="shared" si="184"/>
        <v>Office Chair</v>
      </c>
      <c r="V1667" s="27">
        <f t="shared" si="185"/>
        <v>185.66</v>
      </c>
      <c r="W1667" s="27">
        <f t="shared" si="186"/>
        <v>115.21</v>
      </c>
      <c r="X1667" s="27">
        <f>RawSalesTable3[[#This Row],[Revenue]]-RawSalesTable3[[#This Row],[Total_Cost]]</f>
        <v>70.45</v>
      </c>
      <c r="Y1667" s="28">
        <f>RawSalesTable3[[#This Row],[Profit]]/RawSalesTable3[[#This Row],[Revenue]]</f>
        <v>0.37945707206721968</v>
      </c>
      <c r="Z1667" s="27" t="str">
        <f>TEXT(RawSalesTable3[[#This Row],[Order_Date_Clean]],"MMM YYYY")</f>
        <v>Sep 2025</v>
      </c>
      <c r="AA1667" s="27"/>
      <c r="AB1667" s="27">
        <f t="shared" si="187"/>
        <v>0</v>
      </c>
      <c r="AC1667" s="27">
        <f t="shared" si="188"/>
        <v>0</v>
      </c>
    </row>
    <row r="1668" spans="1:29">
      <c r="A1668" t="s">
        <v>1779</v>
      </c>
      <c r="B1668" s="3">
        <v>45803</v>
      </c>
      <c r="C1668" t="s">
        <v>66</v>
      </c>
      <c r="D1668" t="s">
        <v>55</v>
      </c>
      <c r="E1668" t="s">
        <v>79</v>
      </c>
      <c r="F1668" t="s">
        <v>80</v>
      </c>
      <c r="G1668" s="6">
        <v>6</v>
      </c>
      <c r="H1668" s="4">
        <v>74.849999999999994</v>
      </c>
      <c r="I1668" s="4">
        <v>42.59</v>
      </c>
      <c r="J1668" s="5">
        <v>0.1</v>
      </c>
      <c r="K1668" s="6">
        <v>3</v>
      </c>
      <c r="L1668" s="6">
        <v>4</v>
      </c>
      <c r="M1668" t="s">
        <v>58</v>
      </c>
      <c r="N1668" t="s">
        <v>69</v>
      </c>
      <c r="O1668" t="s">
        <v>73</v>
      </c>
      <c r="P1668" t="str">
        <f t="shared" si="182"/>
        <v>Small Business</v>
      </c>
      <c r="Q1668" t="str">
        <f t="shared" si="183"/>
        <v>South</v>
      </c>
      <c r="R1668" t="str">
        <f>PROPER(TRIM(E1668))</f>
        <v>Electronics</v>
      </c>
      <c r="S1668" s="27">
        <f>IF(ISTEXT(B1668),DATEVALUE(B1668),B1668)</f>
        <v>45803</v>
      </c>
      <c r="T1668" s="27">
        <f>COUNTIF($A$2:$A$1986,A1668)</f>
        <v>1</v>
      </c>
      <c r="U1668" s="27" t="str">
        <f t="shared" si="184"/>
        <v>Portable Speaker</v>
      </c>
      <c r="V1668" s="27">
        <f t="shared" si="185"/>
        <v>404.19</v>
      </c>
      <c r="W1668" s="27">
        <f t="shared" si="186"/>
        <v>255.54000000000002</v>
      </c>
      <c r="X1668" s="27">
        <f>RawSalesTable3[[#This Row],[Revenue]]-RawSalesTable3[[#This Row],[Total_Cost]]</f>
        <v>148.64999999999998</v>
      </c>
      <c r="Y1668" s="28">
        <f>RawSalesTable3[[#This Row],[Profit]]/RawSalesTable3[[#This Row],[Revenue]]</f>
        <v>0.36777258220143988</v>
      </c>
      <c r="Z1668" s="27" t="str">
        <f>TEXT(RawSalesTable3[[#This Row],[Order_Date_Clean]],"MMM YYYY")</f>
        <v>May 2025</v>
      </c>
      <c r="AA1668" s="27"/>
      <c r="AB1668" s="27">
        <f t="shared" si="187"/>
        <v>0</v>
      </c>
      <c r="AC1668" s="27">
        <f t="shared" si="188"/>
        <v>0</v>
      </c>
    </row>
    <row r="1669" spans="1:29">
      <c r="A1669" t="s">
        <v>1780</v>
      </c>
      <c r="B1669" s="3">
        <v>45732</v>
      </c>
      <c r="C1669" t="s">
        <v>78</v>
      </c>
      <c r="D1669" t="s">
        <v>62</v>
      </c>
      <c r="E1669" t="s">
        <v>67</v>
      </c>
      <c r="F1669" t="s">
        <v>68</v>
      </c>
      <c r="G1669" s="6">
        <v>3</v>
      </c>
      <c r="H1669" s="4">
        <v>39.119999999999997</v>
      </c>
      <c r="I1669" s="4">
        <v>18.73</v>
      </c>
      <c r="J1669" s="5">
        <v>0.05</v>
      </c>
      <c r="K1669" s="6">
        <v>4</v>
      </c>
      <c r="L1669" s="6">
        <v>3</v>
      </c>
      <c r="M1669" t="s">
        <v>126</v>
      </c>
      <c r="N1669" t="s">
        <v>59</v>
      </c>
      <c r="O1669" t="s">
        <v>64</v>
      </c>
      <c r="P1669" t="str">
        <f t="shared" si="182"/>
        <v>Individual</v>
      </c>
      <c r="Q1669" t="str">
        <f t="shared" si="183"/>
        <v>London</v>
      </c>
      <c r="R1669" t="str">
        <f>PROPER(TRIM(E1669))</f>
        <v>Office</v>
      </c>
      <c r="S1669" s="27">
        <f>IF(ISTEXT(B1669),DATEVALUE(B1669),B1669)</f>
        <v>45732</v>
      </c>
      <c r="T1669" s="27">
        <f>COUNTIF($A$2:$A$1986,A1669)</f>
        <v>1</v>
      </c>
      <c r="U1669" s="27" t="str">
        <f t="shared" si="184"/>
        <v>Desk Lamp</v>
      </c>
      <c r="V1669" s="27">
        <f t="shared" si="185"/>
        <v>111.49199999999998</v>
      </c>
      <c r="W1669" s="27">
        <f t="shared" si="186"/>
        <v>56.19</v>
      </c>
      <c r="X1669" s="27">
        <f>RawSalesTable3[[#This Row],[Revenue]]-RawSalesTable3[[#This Row],[Total_Cost]]</f>
        <v>55.301999999999978</v>
      </c>
      <c r="Y1669" s="28">
        <f>RawSalesTable3[[#This Row],[Profit]]/RawSalesTable3[[#This Row],[Revenue]]</f>
        <v>0.49601765149068983</v>
      </c>
      <c r="Z1669" s="27" t="str">
        <f>TEXT(RawSalesTable3[[#This Row],[Order_Date_Clean]],"MMM YYYY")</f>
        <v>Mar 2025</v>
      </c>
      <c r="AA1669" s="27"/>
      <c r="AB1669" s="27">
        <f t="shared" si="187"/>
        <v>0</v>
      </c>
      <c r="AC1669" s="27">
        <f t="shared" si="188"/>
        <v>0</v>
      </c>
    </row>
    <row r="1670" spans="1:29">
      <c r="A1670" t="s">
        <v>1781</v>
      </c>
      <c r="B1670" s="3">
        <v>45945</v>
      </c>
      <c r="C1670" t="s">
        <v>54</v>
      </c>
      <c r="D1670" t="s">
        <v>62</v>
      </c>
      <c r="E1670" t="s">
        <v>79</v>
      </c>
      <c r="F1670" t="s">
        <v>115</v>
      </c>
      <c r="G1670" s="6">
        <v>1</v>
      </c>
      <c r="H1670" s="4">
        <v>60.04</v>
      </c>
      <c r="I1670" s="4">
        <v>33.11</v>
      </c>
      <c r="J1670" s="5">
        <v>0.05</v>
      </c>
      <c r="K1670" s="6">
        <v>4</v>
      </c>
      <c r="L1670" s="6"/>
      <c r="M1670" t="s">
        <v>58</v>
      </c>
      <c r="N1670" t="s">
        <v>87</v>
      </c>
      <c r="O1670" t="s">
        <v>60</v>
      </c>
      <c r="P1670" t="str">
        <f t="shared" si="182"/>
        <v>Individual</v>
      </c>
      <c r="Q1670" t="str">
        <f t="shared" si="183"/>
        <v>North</v>
      </c>
      <c r="R1670" t="str">
        <f>PROPER(TRIM(E1670))</f>
        <v>Electronics</v>
      </c>
      <c r="S1670" s="27">
        <f>IF(ISTEXT(B1670),DATEVALUE(B1670),B1670)</f>
        <v>45945</v>
      </c>
      <c r="T1670" s="27">
        <f>COUNTIF($A$2:$A$1986,A1670)</f>
        <v>1</v>
      </c>
      <c r="U1670" s="27" t="str">
        <f t="shared" si="184"/>
        <v>Wireless Headset</v>
      </c>
      <c r="V1670" s="27">
        <f t="shared" si="185"/>
        <v>57.037999999999997</v>
      </c>
      <c r="W1670" s="27">
        <f t="shared" si="186"/>
        <v>33.11</v>
      </c>
      <c r="X1670" s="27">
        <f>RawSalesTable3[[#This Row],[Revenue]]-RawSalesTable3[[#This Row],[Total_Cost]]</f>
        <v>23.927999999999997</v>
      </c>
      <c r="Y1670" s="28">
        <f>RawSalesTable3[[#This Row],[Profit]]/RawSalesTable3[[#This Row],[Revenue]]</f>
        <v>0.41950980048388792</v>
      </c>
      <c r="Z1670" s="27" t="str">
        <f>TEXT(RawSalesTable3[[#This Row],[Order_Date_Clean]],"MMM YYYY")</f>
        <v>Oct 2025</v>
      </c>
      <c r="AA1670" s="27"/>
      <c r="AB1670" s="27">
        <f t="shared" si="187"/>
        <v>0</v>
      </c>
      <c r="AC1670" s="27">
        <f t="shared" si="188"/>
        <v>0</v>
      </c>
    </row>
    <row r="1671" spans="1:29">
      <c r="A1671" t="s">
        <v>1782</v>
      </c>
      <c r="B1671" s="3">
        <v>45983</v>
      </c>
      <c r="C1671" t="s">
        <v>66</v>
      </c>
      <c r="D1671" t="s">
        <v>62</v>
      </c>
      <c r="E1671" t="s">
        <v>79</v>
      </c>
      <c r="F1671" t="s">
        <v>85</v>
      </c>
      <c r="G1671" s="6">
        <v>1</v>
      </c>
      <c r="H1671" s="4">
        <v>131.06</v>
      </c>
      <c r="I1671" s="4">
        <v>82.62</v>
      </c>
      <c r="J1671" s="5">
        <v>0.15000000000000002</v>
      </c>
      <c r="K1671" s="6">
        <v>0</v>
      </c>
      <c r="L1671" s="6">
        <v>4</v>
      </c>
      <c r="M1671" t="s">
        <v>58</v>
      </c>
      <c r="N1671" t="s">
        <v>69</v>
      </c>
      <c r="O1671" t="s">
        <v>64</v>
      </c>
      <c r="P1671" t="str">
        <f t="shared" si="182"/>
        <v>Individual</v>
      </c>
      <c r="Q1671" t="str">
        <f t="shared" si="183"/>
        <v>South</v>
      </c>
      <c r="R1671" t="str">
        <f>PROPER(TRIM(E1671))</f>
        <v>Electronics</v>
      </c>
      <c r="S1671" s="27">
        <f>IF(ISTEXT(B1671),DATEVALUE(B1671),B1671)</f>
        <v>45983</v>
      </c>
      <c r="T1671" s="27">
        <f>COUNTIF($A$2:$A$1986,A1671)</f>
        <v>1</v>
      </c>
      <c r="U1671" s="27" t="str">
        <f t="shared" si="184"/>
        <v>SmartHome Hub</v>
      </c>
      <c r="V1671" s="27">
        <f t="shared" si="185"/>
        <v>111.401</v>
      </c>
      <c r="W1671" s="27">
        <f t="shared" si="186"/>
        <v>82.62</v>
      </c>
      <c r="X1671" s="27">
        <f>RawSalesTable3[[#This Row],[Revenue]]-RawSalesTable3[[#This Row],[Total_Cost]]</f>
        <v>28.780999999999992</v>
      </c>
      <c r="Y1671" s="28">
        <f>RawSalesTable3[[#This Row],[Profit]]/RawSalesTable3[[#This Row],[Revenue]]</f>
        <v>0.25835495193041347</v>
      </c>
      <c r="Z1671" s="27" t="str">
        <f>TEXT(RawSalesTable3[[#This Row],[Order_Date_Clean]],"MMM YYYY")</f>
        <v>Nov 2025</v>
      </c>
      <c r="AA1671" s="27"/>
      <c r="AB1671" s="27">
        <f t="shared" si="187"/>
        <v>0</v>
      </c>
      <c r="AC1671" s="27">
        <f t="shared" si="188"/>
        <v>0</v>
      </c>
    </row>
    <row r="1672" spans="1:29">
      <c r="A1672" t="s">
        <v>1783</v>
      </c>
      <c r="B1672" s="3">
        <v>45818</v>
      </c>
      <c r="C1672" t="s">
        <v>82</v>
      </c>
      <c r="D1672" t="s">
        <v>62</v>
      </c>
      <c r="E1672" t="s">
        <v>79</v>
      </c>
      <c r="F1672" t="s">
        <v>80</v>
      </c>
      <c r="G1672" s="6">
        <v>2</v>
      </c>
      <c r="H1672" s="4">
        <v>74.239999999999995</v>
      </c>
      <c r="I1672" s="4">
        <v>42.04</v>
      </c>
      <c r="J1672" s="5">
        <v>0.05</v>
      </c>
      <c r="K1672" s="6">
        <v>2</v>
      </c>
      <c r="L1672" s="6">
        <v>4</v>
      </c>
      <c r="M1672" t="s">
        <v>58</v>
      </c>
      <c r="N1672" t="s">
        <v>59</v>
      </c>
      <c r="O1672" t="s">
        <v>64</v>
      </c>
      <c r="P1672" t="str">
        <f t="shared" si="182"/>
        <v>Individual</v>
      </c>
      <c r="Q1672" t="str">
        <f t="shared" si="183"/>
        <v>Midlands</v>
      </c>
      <c r="R1672" t="str">
        <f>PROPER(TRIM(E1672))</f>
        <v>Electronics</v>
      </c>
      <c r="S1672" s="27">
        <f>IF(ISTEXT(B1672),DATEVALUE(B1672),B1672)</f>
        <v>45818</v>
      </c>
      <c r="T1672" s="27">
        <f>COUNTIF($A$2:$A$1986,A1672)</f>
        <v>1</v>
      </c>
      <c r="U1672" s="27" t="str">
        <f t="shared" si="184"/>
        <v>Portable Speaker</v>
      </c>
      <c r="V1672" s="27">
        <f t="shared" si="185"/>
        <v>141.05599999999998</v>
      </c>
      <c r="W1672" s="27">
        <f t="shared" si="186"/>
        <v>84.08</v>
      </c>
      <c r="X1672" s="27">
        <f>RawSalesTable3[[#This Row],[Revenue]]-RawSalesTable3[[#This Row],[Total_Cost]]</f>
        <v>56.975999999999985</v>
      </c>
      <c r="Y1672" s="28">
        <f>RawSalesTable3[[#This Row],[Profit]]/RawSalesTable3[[#This Row],[Revenue]]</f>
        <v>0.40392468239564422</v>
      </c>
      <c r="Z1672" s="27" t="str">
        <f>TEXT(RawSalesTable3[[#This Row],[Order_Date_Clean]],"MMM YYYY")</f>
        <v>Jun 2025</v>
      </c>
      <c r="AA1672" s="27"/>
      <c r="AB1672" s="27">
        <f t="shared" si="187"/>
        <v>0</v>
      </c>
      <c r="AC1672" s="27">
        <f t="shared" si="188"/>
        <v>0</v>
      </c>
    </row>
    <row r="1673" spans="1:29">
      <c r="A1673" t="s">
        <v>1784</v>
      </c>
      <c r="B1673" s="3">
        <v>45904</v>
      </c>
      <c r="C1673" t="s">
        <v>78</v>
      </c>
      <c r="D1673" t="s">
        <v>62</v>
      </c>
      <c r="E1673" t="s">
        <v>67</v>
      </c>
      <c r="F1673" t="s">
        <v>68</v>
      </c>
      <c r="G1673" s="6">
        <v>3</v>
      </c>
      <c r="H1673" s="4">
        <v>40.35</v>
      </c>
      <c r="I1673" s="4">
        <v>19.04</v>
      </c>
      <c r="J1673" s="5">
        <v>0.05</v>
      </c>
      <c r="K1673" s="6">
        <v>2</v>
      </c>
      <c r="L1673" s="6">
        <v>3</v>
      </c>
      <c r="M1673" t="s">
        <v>126</v>
      </c>
      <c r="N1673" t="s">
        <v>59</v>
      </c>
      <c r="O1673" t="s">
        <v>64</v>
      </c>
      <c r="P1673" t="str">
        <f t="shared" si="182"/>
        <v>Individual</v>
      </c>
      <c r="Q1673" t="str">
        <f t="shared" si="183"/>
        <v>London</v>
      </c>
      <c r="R1673" t="str">
        <f>PROPER(TRIM(E1673))</f>
        <v>Office</v>
      </c>
      <c r="S1673" s="27">
        <f>IF(ISTEXT(B1673),DATEVALUE(B1673),B1673)</f>
        <v>45904</v>
      </c>
      <c r="T1673" s="27">
        <f>COUNTIF($A$2:$A$1986,A1673)</f>
        <v>1</v>
      </c>
      <c r="U1673" s="27" t="str">
        <f t="shared" si="184"/>
        <v>Desk Lamp</v>
      </c>
      <c r="V1673" s="27">
        <f t="shared" si="185"/>
        <v>114.9975</v>
      </c>
      <c r="W1673" s="27">
        <f t="shared" si="186"/>
        <v>57.12</v>
      </c>
      <c r="X1673" s="27">
        <f>RawSalesTable3[[#This Row],[Revenue]]-RawSalesTable3[[#This Row],[Total_Cost]]</f>
        <v>57.877500000000005</v>
      </c>
      <c r="Y1673" s="28">
        <f>RawSalesTable3[[#This Row],[Profit]]/RawSalesTable3[[#This Row],[Revenue]]</f>
        <v>0.50329354985977959</v>
      </c>
      <c r="Z1673" s="27" t="str">
        <f>TEXT(RawSalesTable3[[#This Row],[Order_Date_Clean]],"MMM YYYY")</f>
        <v>Sep 2025</v>
      </c>
      <c r="AA1673" s="27"/>
      <c r="AB1673" s="27">
        <f t="shared" si="187"/>
        <v>0</v>
      </c>
      <c r="AC1673" s="27">
        <f t="shared" si="188"/>
        <v>0</v>
      </c>
    </row>
    <row r="1674" spans="1:29">
      <c r="A1674" t="s">
        <v>1785</v>
      </c>
      <c r="B1674" s="3">
        <v>45966</v>
      </c>
      <c r="C1674" t="s">
        <v>66</v>
      </c>
      <c r="D1674" t="s">
        <v>62</v>
      </c>
      <c r="E1674" t="s">
        <v>79</v>
      </c>
      <c r="F1674" t="s">
        <v>80</v>
      </c>
      <c r="G1674" s="6">
        <v>1</v>
      </c>
      <c r="H1674" s="4">
        <v>76.31</v>
      </c>
      <c r="I1674" s="4">
        <v>42.63</v>
      </c>
      <c r="J1674" s="5">
        <v>0.15000000000000002</v>
      </c>
      <c r="K1674" s="6">
        <v>1</v>
      </c>
      <c r="L1674" s="6">
        <v>5</v>
      </c>
      <c r="M1674" t="s">
        <v>58</v>
      </c>
      <c r="N1674" t="s">
        <v>69</v>
      </c>
      <c r="O1674" t="s">
        <v>64</v>
      </c>
      <c r="P1674" t="str">
        <f t="shared" si="182"/>
        <v>Individual</v>
      </c>
      <c r="Q1674" t="str">
        <f t="shared" si="183"/>
        <v>South</v>
      </c>
      <c r="R1674" t="str">
        <f>PROPER(TRIM(E1674))</f>
        <v>Electronics</v>
      </c>
      <c r="S1674" s="27">
        <f>IF(ISTEXT(B1674),DATEVALUE(B1674),B1674)</f>
        <v>45966</v>
      </c>
      <c r="T1674" s="27">
        <f>COUNTIF($A$2:$A$1986,A1674)</f>
        <v>1</v>
      </c>
      <c r="U1674" s="27" t="str">
        <f t="shared" si="184"/>
        <v>Portable Speaker</v>
      </c>
      <c r="V1674" s="27">
        <f t="shared" si="185"/>
        <v>64.863500000000002</v>
      </c>
      <c r="W1674" s="27">
        <f t="shared" si="186"/>
        <v>42.63</v>
      </c>
      <c r="X1674" s="27">
        <f>RawSalesTable3[[#This Row],[Revenue]]-RawSalesTable3[[#This Row],[Total_Cost]]</f>
        <v>22.233499999999999</v>
      </c>
      <c r="Y1674" s="28">
        <f>RawSalesTable3[[#This Row],[Profit]]/RawSalesTable3[[#This Row],[Revenue]]</f>
        <v>0.3427736708626577</v>
      </c>
      <c r="Z1674" s="27" t="str">
        <f>TEXT(RawSalesTable3[[#This Row],[Order_Date_Clean]],"MMM YYYY")</f>
        <v>Nov 2025</v>
      </c>
      <c r="AA1674" s="27"/>
      <c r="AB1674" s="27">
        <f t="shared" si="187"/>
        <v>0</v>
      </c>
      <c r="AC1674" s="27">
        <f t="shared" si="188"/>
        <v>0</v>
      </c>
    </row>
    <row r="1675" spans="1:29">
      <c r="A1675" t="s">
        <v>1786</v>
      </c>
      <c r="B1675" s="3">
        <v>45779</v>
      </c>
      <c r="C1675" t="s">
        <v>66</v>
      </c>
      <c r="D1675" t="s">
        <v>55</v>
      </c>
      <c r="E1675" t="s">
        <v>67</v>
      </c>
      <c r="F1675" t="s">
        <v>94</v>
      </c>
      <c r="G1675" s="6">
        <v>2</v>
      </c>
      <c r="H1675" s="4">
        <v>35.65</v>
      </c>
      <c r="I1675" s="4">
        <v>16.63</v>
      </c>
      <c r="J1675" s="5">
        <v>0</v>
      </c>
      <c r="K1675" s="6">
        <v>4</v>
      </c>
      <c r="L1675" s="6">
        <v>5</v>
      </c>
      <c r="M1675" t="s">
        <v>58</v>
      </c>
      <c r="N1675" t="s">
        <v>59</v>
      </c>
      <c r="O1675" t="s">
        <v>60</v>
      </c>
      <c r="P1675" t="str">
        <f t="shared" si="182"/>
        <v>Small Business</v>
      </c>
      <c r="Q1675" t="str">
        <f t="shared" si="183"/>
        <v>South</v>
      </c>
      <c r="R1675" t="str">
        <f>PROPER(TRIM(E1675))</f>
        <v>Office</v>
      </c>
      <c r="S1675" s="27">
        <f>IF(ISTEXT(B1675),DATEVALUE(B1675),B1675)</f>
        <v>45779</v>
      </c>
      <c r="T1675" s="27">
        <f>COUNTIF($A$2:$A$1986,A1675)</f>
        <v>1</v>
      </c>
      <c r="U1675" s="27" t="str">
        <f t="shared" si="184"/>
        <v>Wireless Mouse</v>
      </c>
      <c r="V1675" s="27">
        <f t="shared" si="185"/>
        <v>71.3</v>
      </c>
      <c r="W1675" s="27">
        <f t="shared" si="186"/>
        <v>33.26</v>
      </c>
      <c r="X1675" s="27">
        <f>RawSalesTable3[[#This Row],[Revenue]]-RawSalesTable3[[#This Row],[Total_Cost]]</f>
        <v>38.04</v>
      </c>
      <c r="Y1675" s="28">
        <f>RawSalesTable3[[#This Row],[Profit]]/RawSalesTable3[[#This Row],[Revenue]]</f>
        <v>0.5335203366058906</v>
      </c>
      <c r="Z1675" s="27" t="str">
        <f>TEXT(RawSalesTable3[[#This Row],[Order_Date_Clean]],"MMM YYYY")</f>
        <v>May 2025</v>
      </c>
      <c r="AA1675" s="27"/>
      <c r="AB1675" s="27">
        <f t="shared" si="187"/>
        <v>0</v>
      </c>
      <c r="AC1675" s="27">
        <f t="shared" si="188"/>
        <v>0</v>
      </c>
    </row>
    <row r="1676" spans="1:29">
      <c r="A1676" t="s">
        <v>1787</v>
      </c>
      <c r="B1676" s="3">
        <v>45937</v>
      </c>
      <c r="C1676" t="s">
        <v>54</v>
      </c>
      <c r="D1676" t="s">
        <v>55</v>
      </c>
      <c r="E1676" t="s">
        <v>67</v>
      </c>
      <c r="F1676" t="s">
        <v>68</v>
      </c>
      <c r="G1676" s="6">
        <v>3</v>
      </c>
      <c r="H1676" s="4">
        <v>40.25</v>
      </c>
      <c r="I1676" s="4">
        <v>18.84</v>
      </c>
      <c r="J1676" s="5">
        <v>0</v>
      </c>
      <c r="K1676" s="6">
        <v>6</v>
      </c>
      <c r="L1676" s="6">
        <v>4</v>
      </c>
      <c r="M1676" t="s">
        <v>58</v>
      </c>
      <c r="N1676" t="s">
        <v>87</v>
      </c>
      <c r="O1676" t="s">
        <v>60</v>
      </c>
      <c r="P1676" t="str">
        <f t="shared" si="182"/>
        <v>Small Business</v>
      </c>
      <c r="Q1676" t="str">
        <f t="shared" si="183"/>
        <v>North</v>
      </c>
      <c r="R1676" t="str">
        <f>PROPER(TRIM(E1676))</f>
        <v>Office</v>
      </c>
      <c r="S1676" s="27">
        <f>IF(ISTEXT(B1676),DATEVALUE(B1676),B1676)</f>
        <v>45937</v>
      </c>
      <c r="T1676" s="27">
        <f>COUNTIF($A$2:$A$1986,A1676)</f>
        <v>1</v>
      </c>
      <c r="U1676" s="27" t="str">
        <f t="shared" si="184"/>
        <v>Desk Lamp</v>
      </c>
      <c r="V1676" s="27">
        <f t="shared" si="185"/>
        <v>120.75</v>
      </c>
      <c r="W1676" s="27">
        <f t="shared" si="186"/>
        <v>56.519999999999996</v>
      </c>
      <c r="X1676" s="27">
        <f>RawSalesTable3[[#This Row],[Revenue]]-RawSalesTable3[[#This Row],[Total_Cost]]</f>
        <v>64.23</v>
      </c>
      <c r="Y1676" s="28">
        <f>RawSalesTable3[[#This Row],[Profit]]/RawSalesTable3[[#This Row],[Revenue]]</f>
        <v>0.5319254658385093</v>
      </c>
      <c r="Z1676" s="27" t="str">
        <f>TEXT(RawSalesTable3[[#This Row],[Order_Date_Clean]],"MMM YYYY")</f>
        <v>Oct 2025</v>
      </c>
      <c r="AA1676" s="27"/>
      <c r="AB1676" s="27">
        <f t="shared" si="187"/>
        <v>0</v>
      </c>
      <c r="AC1676" s="27">
        <f t="shared" si="188"/>
        <v>0</v>
      </c>
    </row>
    <row r="1677" spans="1:29">
      <c r="A1677" t="s">
        <v>1788</v>
      </c>
      <c r="B1677" s="3">
        <v>45789</v>
      </c>
      <c r="C1677" t="s">
        <v>82</v>
      </c>
      <c r="D1677" t="s">
        <v>62</v>
      </c>
      <c r="E1677" t="s">
        <v>79</v>
      </c>
      <c r="F1677" t="s">
        <v>115</v>
      </c>
      <c r="G1677" s="6">
        <v>3</v>
      </c>
      <c r="H1677" s="4">
        <v>60.17</v>
      </c>
      <c r="I1677" s="4">
        <v>34.29</v>
      </c>
      <c r="J1677" s="5">
        <v>0.1</v>
      </c>
      <c r="K1677" s="6">
        <v>4</v>
      </c>
      <c r="L1677" s="6">
        <v>4</v>
      </c>
      <c r="M1677" t="s">
        <v>58</v>
      </c>
      <c r="N1677" t="s">
        <v>59</v>
      </c>
      <c r="O1677" t="s">
        <v>73</v>
      </c>
      <c r="P1677" t="str">
        <f t="shared" si="182"/>
        <v>Individual</v>
      </c>
      <c r="Q1677" t="str">
        <f t="shared" si="183"/>
        <v>Midlands</v>
      </c>
      <c r="R1677" t="str">
        <f>PROPER(TRIM(E1677))</f>
        <v>Electronics</v>
      </c>
      <c r="S1677" s="27">
        <f>IF(ISTEXT(B1677),DATEVALUE(B1677),B1677)</f>
        <v>45789</v>
      </c>
      <c r="T1677" s="27">
        <f>COUNTIF($A$2:$A$1986,A1677)</f>
        <v>1</v>
      </c>
      <c r="U1677" s="27" t="str">
        <f t="shared" si="184"/>
        <v>Wireless Headset</v>
      </c>
      <c r="V1677" s="27">
        <f t="shared" si="185"/>
        <v>162.459</v>
      </c>
      <c r="W1677" s="27">
        <f t="shared" si="186"/>
        <v>102.87</v>
      </c>
      <c r="X1677" s="27">
        <f>RawSalesTable3[[#This Row],[Revenue]]-RawSalesTable3[[#This Row],[Total_Cost]]</f>
        <v>59.588999999999999</v>
      </c>
      <c r="Y1677" s="28">
        <f>RawSalesTable3[[#This Row],[Profit]]/RawSalesTable3[[#This Row],[Revenue]]</f>
        <v>0.36679408343028086</v>
      </c>
      <c r="Z1677" s="27" t="str">
        <f>TEXT(RawSalesTable3[[#This Row],[Order_Date_Clean]],"MMM YYYY")</f>
        <v>May 2025</v>
      </c>
      <c r="AA1677" s="27"/>
      <c r="AB1677" s="27">
        <f t="shared" si="187"/>
        <v>0</v>
      </c>
      <c r="AC1677" s="27">
        <f t="shared" si="188"/>
        <v>0</v>
      </c>
    </row>
    <row r="1678" spans="1:29">
      <c r="A1678" t="s">
        <v>1789</v>
      </c>
      <c r="B1678" s="3">
        <v>45818</v>
      </c>
      <c r="C1678" t="s">
        <v>82</v>
      </c>
      <c r="D1678" t="s">
        <v>62</v>
      </c>
      <c r="E1678" t="s">
        <v>56</v>
      </c>
      <c r="F1678" t="s">
        <v>63</v>
      </c>
      <c r="G1678" s="6">
        <v>2</v>
      </c>
      <c r="H1678" s="4">
        <v>39.51</v>
      </c>
      <c r="I1678" s="4">
        <v>19.72</v>
      </c>
      <c r="J1678" s="5">
        <v>0.05</v>
      </c>
      <c r="K1678" s="6">
        <v>6</v>
      </c>
      <c r="L1678" s="6">
        <v>4</v>
      </c>
      <c r="M1678" t="s">
        <v>58</v>
      </c>
      <c r="N1678" t="s">
        <v>59</v>
      </c>
      <c r="O1678" t="s">
        <v>64</v>
      </c>
      <c r="P1678" t="str">
        <f t="shared" si="182"/>
        <v>Individual</v>
      </c>
      <c r="Q1678" t="str">
        <f t="shared" si="183"/>
        <v>Midlands</v>
      </c>
      <c r="R1678" t="str">
        <f>PROPER(TRIM(E1678))</f>
        <v>Home &amp; Kitchen</v>
      </c>
      <c r="S1678" s="27">
        <f>IF(ISTEXT(B1678),DATEVALUE(B1678),B1678)</f>
        <v>45818</v>
      </c>
      <c r="T1678" s="27">
        <f>COUNTIF($A$2:$A$1986,A1678)</f>
        <v>1</v>
      </c>
      <c r="U1678" s="27" t="str">
        <f t="shared" si="184"/>
        <v>Electric Kettle</v>
      </c>
      <c r="V1678" s="27">
        <f t="shared" si="185"/>
        <v>75.068999999999988</v>
      </c>
      <c r="W1678" s="27">
        <f t="shared" si="186"/>
        <v>39.44</v>
      </c>
      <c r="X1678" s="27">
        <f>RawSalesTable3[[#This Row],[Revenue]]-RawSalesTable3[[#This Row],[Total_Cost]]</f>
        <v>35.628999999999991</v>
      </c>
      <c r="Y1678" s="28">
        <f>RawSalesTable3[[#This Row],[Profit]]/RawSalesTable3[[#This Row],[Revenue]]</f>
        <v>0.47461668598222961</v>
      </c>
      <c r="Z1678" s="27" t="str">
        <f>TEXT(RawSalesTable3[[#This Row],[Order_Date_Clean]],"MMM YYYY")</f>
        <v>Jun 2025</v>
      </c>
      <c r="AA1678" s="27"/>
      <c r="AB1678" s="27">
        <f t="shared" si="187"/>
        <v>0</v>
      </c>
      <c r="AC1678" s="27">
        <f t="shared" si="188"/>
        <v>0</v>
      </c>
    </row>
    <row r="1679" spans="1:29">
      <c r="A1679" t="s">
        <v>1790</v>
      </c>
      <c r="B1679" s="3">
        <v>45972</v>
      </c>
      <c r="C1679" t="s">
        <v>82</v>
      </c>
      <c r="D1679" t="s">
        <v>62</v>
      </c>
      <c r="E1679" t="s">
        <v>67</v>
      </c>
      <c r="F1679" t="s">
        <v>94</v>
      </c>
      <c r="G1679" s="6">
        <v>2</v>
      </c>
      <c r="H1679" s="4">
        <v>36.17</v>
      </c>
      <c r="I1679" s="4">
        <v>16.79</v>
      </c>
      <c r="J1679" s="5">
        <v>0.05</v>
      </c>
      <c r="K1679" s="6">
        <v>3</v>
      </c>
      <c r="L1679" s="6">
        <v>5</v>
      </c>
      <c r="M1679" t="s">
        <v>58</v>
      </c>
      <c r="N1679" t="s">
        <v>59</v>
      </c>
      <c r="O1679" t="s">
        <v>64</v>
      </c>
      <c r="P1679" t="str">
        <f t="shared" si="182"/>
        <v>Individual</v>
      </c>
      <c r="Q1679" t="str">
        <f t="shared" si="183"/>
        <v>Midlands</v>
      </c>
      <c r="R1679" t="str">
        <f>PROPER(TRIM(E1679))</f>
        <v>Office</v>
      </c>
      <c r="S1679" s="27">
        <f>IF(ISTEXT(B1679),DATEVALUE(B1679),B1679)</f>
        <v>45972</v>
      </c>
      <c r="T1679" s="27">
        <f>COUNTIF($A$2:$A$1986,A1679)</f>
        <v>1</v>
      </c>
      <c r="U1679" s="27" t="str">
        <f t="shared" si="184"/>
        <v>Wireless Mouse</v>
      </c>
      <c r="V1679" s="27">
        <f t="shared" si="185"/>
        <v>68.722999999999999</v>
      </c>
      <c r="W1679" s="27">
        <f t="shared" si="186"/>
        <v>33.58</v>
      </c>
      <c r="X1679" s="27">
        <f>RawSalesTable3[[#This Row],[Revenue]]-RawSalesTable3[[#This Row],[Total_Cost]]</f>
        <v>35.143000000000001</v>
      </c>
      <c r="Y1679" s="28">
        <f>RawSalesTable3[[#This Row],[Profit]]/RawSalesTable3[[#This Row],[Revenue]]</f>
        <v>0.51137173871920616</v>
      </c>
      <c r="Z1679" s="27" t="str">
        <f>TEXT(RawSalesTable3[[#This Row],[Order_Date_Clean]],"MMM YYYY")</f>
        <v>Nov 2025</v>
      </c>
      <c r="AA1679" s="27"/>
      <c r="AB1679" s="27">
        <f t="shared" si="187"/>
        <v>0</v>
      </c>
      <c r="AC1679" s="27">
        <f t="shared" si="188"/>
        <v>0</v>
      </c>
    </row>
    <row r="1680" spans="1:29">
      <c r="A1680" t="s">
        <v>1791</v>
      </c>
      <c r="B1680" s="3">
        <v>45883</v>
      </c>
      <c r="C1680" t="s">
        <v>66</v>
      </c>
      <c r="D1680" t="s">
        <v>62</v>
      </c>
      <c r="E1680" t="s">
        <v>79</v>
      </c>
      <c r="F1680" t="s">
        <v>92</v>
      </c>
      <c r="G1680" s="6">
        <v>3</v>
      </c>
      <c r="H1680" s="4">
        <v>48.56</v>
      </c>
      <c r="I1680" s="4">
        <v>25.43</v>
      </c>
      <c r="J1680" s="5">
        <v>0</v>
      </c>
      <c r="K1680" s="6">
        <v>5</v>
      </c>
      <c r="L1680" s="6">
        <v>4</v>
      </c>
      <c r="M1680" t="s">
        <v>58</v>
      </c>
      <c r="N1680" t="s">
        <v>59</v>
      </c>
      <c r="O1680" t="s">
        <v>64</v>
      </c>
      <c r="P1680" t="str">
        <f t="shared" si="182"/>
        <v>Individual</v>
      </c>
      <c r="Q1680" t="str">
        <f t="shared" si="183"/>
        <v>South</v>
      </c>
      <c r="R1680" t="str">
        <f>PROPER(TRIM(E1680))</f>
        <v>Electronics</v>
      </c>
      <c r="S1680" s="27">
        <f>IF(ISTEXT(B1680),DATEVALUE(B1680),B1680)</f>
        <v>45883</v>
      </c>
      <c r="T1680" s="27">
        <f>COUNTIF($A$2:$A$1986,A1680)</f>
        <v>1</v>
      </c>
      <c r="U1680" s="27" t="str">
        <f t="shared" si="184"/>
        <v>Webcam</v>
      </c>
      <c r="V1680" s="27">
        <f t="shared" si="185"/>
        <v>145.68</v>
      </c>
      <c r="W1680" s="27">
        <f t="shared" si="186"/>
        <v>76.289999999999992</v>
      </c>
      <c r="X1680" s="27">
        <f>RawSalesTable3[[#This Row],[Revenue]]-RawSalesTable3[[#This Row],[Total_Cost]]</f>
        <v>69.390000000000015</v>
      </c>
      <c r="Y1680" s="28">
        <f>RawSalesTable3[[#This Row],[Profit]]/RawSalesTable3[[#This Row],[Revenue]]</f>
        <v>0.47631795716639219</v>
      </c>
      <c r="Z1680" s="27" t="str">
        <f>TEXT(RawSalesTable3[[#This Row],[Order_Date_Clean]],"MMM YYYY")</f>
        <v>Aug 2025</v>
      </c>
      <c r="AA1680" s="27"/>
      <c r="AB1680" s="27">
        <f t="shared" si="187"/>
        <v>0</v>
      </c>
      <c r="AC1680" s="27">
        <f t="shared" si="188"/>
        <v>0</v>
      </c>
    </row>
    <row r="1681" spans="1:29">
      <c r="A1681" t="s">
        <v>1792</v>
      </c>
      <c r="B1681" s="3">
        <v>45816</v>
      </c>
      <c r="C1681" t="s">
        <v>54</v>
      </c>
      <c r="D1681" t="s">
        <v>62</v>
      </c>
      <c r="E1681" t="s">
        <v>56</v>
      </c>
      <c r="F1681" t="s">
        <v>57</v>
      </c>
      <c r="G1681" s="6">
        <v>2</v>
      </c>
      <c r="H1681" s="4">
        <v>108.27</v>
      </c>
      <c r="I1681" s="4">
        <v>68.010000000000005</v>
      </c>
      <c r="J1681" s="5">
        <v>0</v>
      </c>
      <c r="K1681" s="6">
        <v>6</v>
      </c>
      <c r="L1681" s="6">
        <v>4</v>
      </c>
      <c r="M1681" t="s">
        <v>58</v>
      </c>
      <c r="N1681" t="s">
        <v>59</v>
      </c>
      <c r="O1681" t="s">
        <v>64</v>
      </c>
      <c r="P1681" t="str">
        <f t="shared" si="182"/>
        <v>Individual</v>
      </c>
      <c r="Q1681" t="str">
        <f t="shared" si="183"/>
        <v>North</v>
      </c>
      <c r="R1681" t="str">
        <f>PROPER(TRIM(E1681))</f>
        <v>Home &amp; Kitchen</v>
      </c>
      <c r="S1681" s="27">
        <f>IF(ISTEXT(B1681),DATEVALUE(B1681),B1681)</f>
        <v>45816</v>
      </c>
      <c r="T1681" s="27">
        <f>COUNTIF($A$2:$A$1986,A1681)</f>
        <v>1</v>
      </c>
      <c r="U1681" s="27" t="str">
        <f t="shared" si="184"/>
        <v>Air Fryer</v>
      </c>
      <c r="V1681" s="27">
        <f t="shared" si="185"/>
        <v>216.54</v>
      </c>
      <c r="W1681" s="27">
        <f t="shared" si="186"/>
        <v>136.02000000000001</v>
      </c>
      <c r="X1681" s="27">
        <f>RawSalesTable3[[#This Row],[Revenue]]-RawSalesTable3[[#This Row],[Total_Cost]]</f>
        <v>80.519999999999982</v>
      </c>
      <c r="Y1681" s="28">
        <f>RawSalesTable3[[#This Row],[Profit]]/RawSalesTable3[[#This Row],[Revenue]]</f>
        <v>0.37184815738431692</v>
      </c>
      <c r="Z1681" s="27" t="str">
        <f>TEXT(RawSalesTable3[[#This Row],[Order_Date_Clean]],"MMM YYYY")</f>
        <v>Jun 2025</v>
      </c>
      <c r="AA1681" s="27"/>
      <c r="AB1681" s="27">
        <f t="shared" si="187"/>
        <v>0</v>
      </c>
      <c r="AC1681" s="27">
        <f t="shared" si="188"/>
        <v>0</v>
      </c>
    </row>
    <row r="1682" spans="1:29">
      <c r="A1682" t="s">
        <v>1793</v>
      </c>
      <c r="B1682" s="3">
        <v>45938</v>
      </c>
      <c r="C1682" t="s">
        <v>54</v>
      </c>
      <c r="D1682" t="s">
        <v>62</v>
      </c>
      <c r="E1682" t="s">
        <v>79</v>
      </c>
      <c r="F1682" t="s">
        <v>85</v>
      </c>
      <c r="G1682" s="6">
        <v>2</v>
      </c>
      <c r="H1682" s="4">
        <v>127.68</v>
      </c>
      <c r="I1682" s="4">
        <v>87</v>
      </c>
      <c r="J1682" s="5">
        <v>0</v>
      </c>
      <c r="K1682" s="6">
        <v>0</v>
      </c>
      <c r="L1682" s="6">
        <v>4</v>
      </c>
      <c r="M1682" t="s">
        <v>58</v>
      </c>
      <c r="N1682" t="s">
        <v>69</v>
      </c>
      <c r="O1682" t="s">
        <v>64</v>
      </c>
      <c r="P1682" t="str">
        <f t="shared" si="182"/>
        <v>Individual</v>
      </c>
      <c r="Q1682" t="str">
        <f t="shared" si="183"/>
        <v>North</v>
      </c>
      <c r="R1682" t="str">
        <f>PROPER(TRIM(E1682))</f>
        <v>Electronics</v>
      </c>
      <c r="S1682" s="27">
        <f>IF(ISTEXT(B1682),DATEVALUE(B1682),B1682)</f>
        <v>45938</v>
      </c>
      <c r="T1682" s="27">
        <f>COUNTIF($A$2:$A$1986,A1682)</f>
        <v>1</v>
      </c>
      <c r="U1682" s="27" t="str">
        <f t="shared" si="184"/>
        <v>SmartHome Hub</v>
      </c>
      <c r="V1682" s="27">
        <f t="shared" si="185"/>
        <v>255.36</v>
      </c>
      <c r="W1682" s="27">
        <f t="shared" si="186"/>
        <v>174</v>
      </c>
      <c r="X1682" s="27">
        <f>RawSalesTable3[[#This Row],[Revenue]]-RawSalesTable3[[#This Row],[Total_Cost]]</f>
        <v>81.360000000000014</v>
      </c>
      <c r="Y1682" s="28">
        <f>RawSalesTable3[[#This Row],[Profit]]/RawSalesTable3[[#This Row],[Revenue]]</f>
        <v>0.31860902255639101</v>
      </c>
      <c r="Z1682" s="27" t="str">
        <f>TEXT(RawSalesTable3[[#This Row],[Order_Date_Clean]],"MMM YYYY")</f>
        <v>Oct 2025</v>
      </c>
      <c r="AA1682" s="27"/>
      <c r="AB1682" s="27">
        <f t="shared" si="187"/>
        <v>0</v>
      </c>
      <c r="AC1682" s="27">
        <f t="shared" si="188"/>
        <v>0</v>
      </c>
    </row>
    <row r="1683" spans="1:29">
      <c r="A1683" t="s">
        <v>1794</v>
      </c>
      <c r="B1683" s="3">
        <v>45792</v>
      </c>
      <c r="C1683" t="s">
        <v>54</v>
      </c>
      <c r="D1683" t="s">
        <v>62</v>
      </c>
      <c r="E1683" t="s">
        <v>56</v>
      </c>
      <c r="F1683" t="s">
        <v>57</v>
      </c>
      <c r="G1683" s="6">
        <v>1</v>
      </c>
      <c r="H1683" s="4">
        <v>110.01</v>
      </c>
      <c r="I1683" s="4">
        <v>67.11</v>
      </c>
      <c r="J1683" s="5">
        <v>0</v>
      </c>
      <c r="K1683" s="6">
        <v>0</v>
      </c>
      <c r="L1683" s="6">
        <v>3</v>
      </c>
      <c r="M1683" t="s">
        <v>126</v>
      </c>
      <c r="N1683" t="s">
        <v>69</v>
      </c>
      <c r="O1683" t="s">
        <v>60</v>
      </c>
      <c r="P1683" t="str">
        <f t="shared" si="182"/>
        <v>Individual</v>
      </c>
      <c r="Q1683" t="str">
        <f t="shared" si="183"/>
        <v>North</v>
      </c>
      <c r="R1683" t="str">
        <f>PROPER(TRIM(E1683))</f>
        <v>Home &amp; Kitchen</v>
      </c>
      <c r="S1683" s="27">
        <f>IF(ISTEXT(B1683),DATEVALUE(B1683),B1683)</f>
        <v>45792</v>
      </c>
      <c r="T1683" s="27">
        <f>COUNTIF($A$2:$A$1986,A1683)</f>
        <v>1</v>
      </c>
      <c r="U1683" s="27" t="str">
        <f t="shared" si="184"/>
        <v>Air Fryer</v>
      </c>
      <c r="V1683" s="27">
        <f t="shared" si="185"/>
        <v>110.01</v>
      </c>
      <c r="W1683" s="27">
        <f t="shared" si="186"/>
        <v>67.11</v>
      </c>
      <c r="X1683" s="27">
        <f>RawSalesTable3[[#This Row],[Revenue]]-RawSalesTable3[[#This Row],[Total_Cost]]</f>
        <v>42.900000000000006</v>
      </c>
      <c r="Y1683" s="28">
        <f>RawSalesTable3[[#This Row],[Profit]]/RawSalesTable3[[#This Row],[Revenue]]</f>
        <v>0.389964548677393</v>
      </c>
      <c r="Z1683" s="27" t="str">
        <f>TEXT(RawSalesTable3[[#This Row],[Order_Date_Clean]],"MMM YYYY")</f>
        <v>May 2025</v>
      </c>
      <c r="AA1683" s="27"/>
      <c r="AB1683" s="27">
        <f t="shared" si="187"/>
        <v>0</v>
      </c>
      <c r="AC1683" s="27">
        <f t="shared" si="188"/>
        <v>0</v>
      </c>
    </row>
    <row r="1684" spans="1:29">
      <c r="A1684" t="s">
        <v>1795</v>
      </c>
      <c r="B1684" s="3">
        <v>45675</v>
      </c>
      <c r="C1684" t="s">
        <v>54</v>
      </c>
      <c r="D1684" t="s">
        <v>62</v>
      </c>
      <c r="E1684" t="s">
        <v>75</v>
      </c>
      <c r="F1684" t="s">
        <v>146</v>
      </c>
      <c r="G1684" s="6">
        <v>1</v>
      </c>
      <c r="H1684" s="4">
        <v>182.59</v>
      </c>
      <c r="I1684" s="4">
        <v>114.5</v>
      </c>
      <c r="J1684" s="5">
        <v>0.1</v>
      </c>
      <c r="K1684" s="6">
        <v>3</v>
      </c>
      <c r="L1684" s="6">
        <v>4</v>
      </c>
      <c r="M1684" t="s">
        <v>58</v>
      </c>
      <c r="N1684" t="s">
        <v>69</v>
      </c>
      <c r="O1684" t="s">
        <v>73</v>
      </c>
      <c r="P1684" t="str">
        <f t="shared" si="182"/>
        <v>Individual</v>
      </c>
      <c r="Q1684" t="str">
        <f t="shared" si="183"/>
        <v>North</v>
      </c>
      <c r="R1684" t="str">
        <f>PROPER(TRIM(E1684))</f>
        <v>Furniture</v>
      </c>
      <c r="S1684" s="27">
        <f>IF(ISTEXT(B1684),DATEVALUE(B1684),B1684)</f>
        <v>45675</v>
      </c>
      <c r="T1684" s="27">
        <f>COUNTIF($A$2:$A$1986,A1684)</f>
        <v>1</v>
      </c>
      <c r="U1684" s="27" t="str">
        <f t="shared" si="184"/>
        <v>Office Chair</v>
      </c>
      <c r="V1684" s="27">
        <f t="shared" si="185"/>
        <v>164.33100000000002</v>
      </c>
      <c r="W1684" s="27">
        <f t="shared" si="186"/>
        <v>114.5</v>
      </c>
      <c r="X1684" s="27">
        <f>RawSalesTable3[[#This Row],[Revenue]]-RawSalesTable3[[#This Row],[Total_Cost]]</f>
        <v>49.831000000000017</v>
      </c>
      <c r="Y1684" s="28">
        <f>RawSalesTable3[[#This Row],[Profit]]/RawSalesTable3[[#This Row],[Revenue]]</f>
        <v>0.30323554289817511</v>
      </c>
      <c r="Z1684" s="27" t="str">
        <f>TEXT(RawSalesTable3[[#This Row],[Order_Date_Clean]],"MMM YYYY")</f>
        <v>Jan 2025</v>
      </c>
      <c r="AA1684" s="27"/>
      <c r="AB1684" s="27">
        <f t="shared" si="187"/>
        <v>0</v>
      </c>
      <c r="AC1684" s="27">
        <f t="shared" si="188"/>
        <v>0</v>
      </c>
    </row>
    <row r="1685" spans="1:29">
      <c r="A1685" t="s">
        <v>1796</v>
      </c>
      <c r="B1685" s="3">
        <v>45860</v>
      </c>
      <c r="C1685" t="s">
        <v>82</v>
      </c>
      <c r="D1685" t="s">
        <v>62</v>
      </c>
      <c r="E1685" t="s">
        <v>67</v>
      </c>
      <c r="F1685" t="s">
        <v>107</v>
      </c>
      <c r="G1685" s="6">
        <v>1</v>
      </c>
      <c r="H1685" s="4">
        <v>44.5</v>
      </c>
      <c r="I1685" s="4">
        <v>20.72</v>
      </c>
      <c r="J1685" s="5">
        <v>0.05</v>
      </c>
      <c r="K1685" s="6">
        <v>0</v>
      </c>
      <c r="L1685" s="6">
        <v>5</v>
      </c>
      <c r="M1685" t="s">
        <v>58</v>
      </c>
      <c r="N1685" t="s">
        <v>69</v>
      </c>
      <c r="O1685" t="s">
        <v>73</v>
      </c>
      <c r="P1685" t="str">
        <f t="shared" si="182"/>
        <v>Individual</v>
      </c>
      <c r="Q1685" t="str">
        <f t="shared" si="183"/>
        <v>Midlands</v>
      </c>
      <c r="R1685" t="str">
        <f>PROPER(TRIM(E1685))</f>
        <v>Office</v>
      </c>
      <c r="S1685" s="27">
        <f>IF(ISTEXT(B1685),DATEVALUE(B1685),B1685)</f>
        <v>45860</v>
      </c>
      <c r="T1685" s="27">
        <f>COUNTIF($A$2:$A$1986,A1685)</f>
        <v>1</v>
      </c>
      <c r="U1685" s="27" t="str">
        <f t="shared" si="184"/>
        <v>Laptop Stand</v>
      </c>
      <c r="V1685" s="27">
        <f t="shared" si="185"/>
        <v>42.274999999999999</v>
      </c>
      <c r="W1685" s="27">
        <f t="shared" si="186"/>
        <v>20.72</v>
      </c>
      <c r="X1685" s="27">
        <f>RawSalesTable3[[#This Row],[Revenue]]-RawSalesTable3[[#This Row],[Total_Cost]]</f>
        <v>21.555</v>
      </c>
      <c r="Y1685" s="28">
        <f>RawSalesTable3[[#This Row],[Profit]]/RawSalesTable3[[#This Row],[Revenue]]</f>
        <v>0.50987581312832642</v>
      </c>
      <c r="Z1685" s="27" t="str">
        <f>TEXT(RawSalesTable3[[#This Row],[Order_Date_Clean]],"MMM YYYY")</f>
        <v>Jul 2025</v>
      </c>
      <c r="AA1685" s="27"/>
      <c r="AB1685" s="27">
        <f t="shared" si="187"/>
        <v>0</v>
      </c>
      <c r="AC1685" s="27">
        <f t="shared" si="188"/>
        <v>0</v>
      </c>
    </row>
    <row r="1686" spans="1:29">
      <c r="A1686" t="s">
        <v>1797</v>
      </c>
      <c r="B1686" s="3">
        <v>45756</v>
      </c>
      <c r="C1686" t="s">
        <v>78</v>
      </c>
      <c r="D1686" t="s">
        <v>62</v>
      </c>
      <c r="E1686" t="s">
        <v>75</v>
      </c>
      <c r="F1686" t="s">
        <v>76</v>
      </c>
      <c r="G1686" s="6">
        <v>2</v>
      </c>
      <c r="H1686" s="4">
        <v>116.55</v>
      </c>
      <c r="I1686" s="4">
        <v>73.28</v>
      </c>
      <c r="J1686" s="5">
        <v>0</v>
      </c>
      <c r="K1686" s="6">
        <v>7</v>
      </c>
      <c r="L1686" s="6">
        <v>4</v>
      </c>
      <c r="M1686" t="s">
        <v>58</v>
      </c>
      <c r="N1686" t="s">
        <v>59</v>
      </c>
      <c r="O1686" t="s">
        <v>60</v>
      </c>
      <c r="P1686" t="str">
        <f t="shared" si="182"/>
        <v>Individual</v>
      </c>
      <c r="Q1686" t="str">
        <f t="shared" si="183"/>
        <v>London</v>
      </c>
      <c r="R1686" t="str">
        <f>PROPER(TRIM(E1686))</f>
        <v>Furniture</v>
      </c>
      <c r="S1686" s="27">
        <f>IF(ISTEXT(B1686),DATEVALUE(B1686),B1686)</f>
        <v>45756</v>
      </c>
      <c r="T1686" s="27">
        <f>COUNTIF($A$2:$A$1986,A1686)</f>
        <v>1</v>
      </c>
      <c r="U1686" s="27" t="str">
        <f t="shared" si="184"/>
        <v>Bookshelf</v>
      </c>
      <c r="V1686" s="27">
        <f t="shared" si="185"/>
        <v>233.1</v>
      </c>
      <c r="W1686" s="27">
        <f t="shared" si="186"/>
        <v>146.56</v>
      </c>
      <c r="X1686" s="27">
        <f>RawSalesTable3[[#This Row],[Revenue]]-RawSalesTable3[[#This Row],[Total_Cost]]</f>
        <v>86.539999999999992</v>
      </c>
      <c r="Y1686" s="28">
        <f>RawSalesTable3[[#This Row],[Profit]]/RawSalesTable3[[#This Row],[Revenue]]</f>
        <v>0.37125697125697121</v>
      </c>
      <c r="Z1686" s="27" t="str">
        <f>TEXT(RawSalesTable3[[#This Row],[Order_Date_Clean]],"MMM YYYY")</f>
        <v>Apr 2025</v>
      </c>
      <c r="AA1686" s="27"/>
      <c r="AB1686" s="27">
        <f t="shared" si="187"/>
        <v>0</v>
      </c>
      <c r="AC1686" s="27">
        <f t="shared" si="188"/>
        <v>0</v>
      </c>
    </row>
    <row r="1687" spans="1:29">
      <c r="A1687" t="s">
        <v>1798</v>
      </c>
      <c r="B1687" s="3">
        <v>45785</v>
      </c>
      <c r="C1687" t="s">
        <v>78</v>
      </c>
      <c r="D1687" t="s">
        <v>129</v>
      </c>
      <c r="E1687" t="s">
        <v>56</v>
      </c>
      <c r="F1687" t="s">
        <v>63</v>
      </c>
      <c r="G1687" s="6">
        <v>2</v>
      </c>
      <c r="H1687" s="4">
        <v>40.92</v>
      </c>
      <c r="I1687" s="4">
        <v>20.45</v>
      </c>
      <c r="J1687" s="5">
        <v>0.05</v>
      </c>
      <c r="K1687" s="6">
        <v>2</v>
      </c>
      <c r="L1687" s="6">
        <v>4</v>
      </c>
      <c r="M1687" t="s">
        <v>58</v>
      </c>
      <c r="N1687" t="s">
        <v>69</v>
      </c>
      <c r="O1687" t="s">
        <v>64</v>
      </c>
      <c r="P1687" t="str">
        <f t="shared" si="182"/>
        <v>Corporate</v>
      </c>
      <c r="Q1687" t="str">
        <f t="shared" si="183"/>
        <v>London</v>
      </c>
      <c r="R1687" t="str">
        <f>PROPER(TRIM(E1687))</f>
        <v>Home &amp; Kitchen</v>
      </c>
      <c r="S1687" s="27">
        <f>IF(ISTEXT(B1687),DATEVALUE(B1687),B1687)</f>
        <v>45785</v>
      </c>
      <c r="T1687" s="27">
        <f>COUNTIF($A$2:$A$1986,A1687)</f>
        <v>1</v>
      </c>
      <c r="U1687" s="27" t="str">
        <f t="shared" si="184"/>
        <v>Electric Kettle</v>
      </c>
      <c r="V1687" s="27">
        <f t="shared" si="185"/>
        <v>77.748000000000005</v>
      </c>
      <c r="W1687" s="27">
        <f t="shared" si="186"/>
        <v>40.9</v>
      </c>
      <c r="X1687" s="27">
        <f>RawSalesTable3[[#This Row],[Revenue]]-RawSalesTable3[[#This Row],[Total_Cost]]</f>
        <v>36.848000000000006</v>
      </c>
      <c r="Y1687" s="28">
        <f>RawSalesTable3[[#This Row],[Profit]]/RawSalesTable3[[#This Row],[Revenue]]</f>
        <v>0.47394145187014464</v>
      </c>
      <c r="Z1687" s="27" t="str">
        <f>TEXT(RawSalesTable3[[#This Row],[Order_Date_Clean]],"MMM YYYY")</f>
        <v>May 2025</v>
      </c>
      <c r="AA1687" s="27"/>
      <c r="AB1687" s="27">
        <f t="shared" si="187"/>
        <v>0</v>
      </c>
      <c r="AC1687" s="27">
        <f t="shared" si="188"/>
        <v>0</v>
      </c>
    </row>
    <row r="1688" spans="1:29">
      <c r="A1688" t="s">
        <v>1799</v>
      </c>
      <c r="B1688" s="3">
        <v>46003</v>
      </c>
      <c r="C1688" t="s">
        <v>54</v>
      </c>
      <c r="D1688" t="s">
        <v>62</v>
      </c>
      <c r="E1688" t="s">
        <v>75</v>
      </c>
      <c r="F1688" t="s">
        <v>146</v>
      </c>
      <c r="G1688" s="6">
        <v>2</v>
      </c>
      <c r="H1688" s="4">
        <v>186.19</v>
      </c>
      <c r="I1688" s="4">
        <v>116.07</v>
      </c>
      <c r="J1688" s="5">
        <v>0.2</v>
      </c>
      <c r="K1688" s="6">
        <v>4</v>
      </c>
      <c r="L1688" s="6">
        <v>4</v>
      </c>
      <c r="M1688" t="s">
        <v>58</v>
      </c>
      <c r="N1688" t="s">
        <v>59</v>
      </c>
      <c r="O1688" t="s">
        <v>64</v>
      </c>
      <c r="P1688" t="str">
        <f t="shared" si="182"/>
        <v>Individual</v>
      </c>
      <c r="Q1688" t="str">
        <f t="shared" si="183"/>
        <v>North</v>
      </c>
      <c r="R1688" t="str">
        <f>PROPER(TRIM(E1688))</f>
        <v>Furniture</v>
      </c>
      <c r="S1688" s="27">
        <f>IF(ISTEXT(B1688),DATEVALUE(B1688),B1688)</f>
        <v>46003</v>
      </c>
      <c r="T1688" s="27">
        <f>COUNTIF($A$2:$A$1986,A1688)</f>
        <v>1</v>
      </c>
      <c r="U1688" s="27" t="str">
        <f t="shared" si="184"/>
        <v>Office Chair</v>
      </c>
      <c r="V1688" s="27">
        <f t="shared" si="185"/>
        <v>297.904</v>
      </c>
      <c r="W1688" s="27">
        <f t="shared" si="186"/>
        <v>232.14</v>
      </c>
      <c r="X1688" s="27">
        <f>RawSalesTable3[[#This Row],[Revenue]]-RawSalesTable3[[#This Row],[Total_Cost]]</f>
        <v>65.76400000000001</v>
      </c>
      <c r="Y1688" s="28">
        <f>RawSalesTable3[[#This Row],[Profit]]/RawSalesTable3[[#This Row],[Revenue]]</f>
        <v>0.22075567968204526</v>
      </c>
      <c r="Z1688" s="27" t="str">
        <f>TEXT(RawSalesTable3[[#This Row],[Order_Date_Clean]],"MMM YYYY")</f>
        <v>Dec 2025</v>
      </c>
      <c r="AA1688" s="27"/>
      <c r="AB1688" s="27">
        <f t="shared" si="187"/>
        <v>0</v>
      </c>
      <c r="AC1688" s="27">
        <f t="shared" si="188"/>
        <v>0</v>
      </c>
    </row>
    <row r="1689" spans="1:29">
      <c r="A1689" t="s">
        <v>1800</v>
      </c>
      <c r="B1689" s="3">
        <v>45931</v>
      </c>
      <c r="C1689" t="s">
        <v>54</v>
      </c>
      <c r="D1689" t="s">
        <v>55</v>
      </c>
      <c r="E1689" t="s">
        <v>79</v>
      </c>
      <c r="F1689" t="s">
        <v>80</v>
      </c>
      <c r="G1689" s="6">
        <v>4</v>
      </c>
      <c r="H1689" s="4">
        <v>75.95</v>
      </c>
      <c r="I1689" s="4">
        <v>43.78</v>
      </c>
      <c r="J1689" s="5">
        <v>0.05</v>
      </c>
      <c r="K1689" s="6">
        <v>3</v>
      </c>
      <c r="L1689" s="6">
        <v>5</v>
      </c>
      <c r="M1689" t="s">
        <v>58</v>
      </c>
      <c r="N1689" t="s">
        <v>59</v>
      </c>
      <c r="O1689" t="s">
        <v>60</v>
      </c>
      <c r="P1689" t="str">
        <f t="shared" si="182"/>
        <v>Small Business</v>
      </c>
      <c r="Q1689" t="str">
        <f t="shared" si="183"/>
        <v>North</v>
      </c>
      <c r="R1689" t="str">
        <f>PROPER(TRIM(E1689))</f>
        <v>Electronics</v>
      </c>
      <c r="S1689" s="27">
        <f>IF(ISTEXT(B1689),DATEVALUE(B1689),B1689)</f>
        <v>45931</v>
      </c>
      <c r="T1689" s="27">
        <f>COUNTIF($A$2:$A$1986,A1689)</f>
        <v>1</v>
      </c>
      <c r="U1689" s="27" t="str">
        <f t="shared" si="184"/>
        <v>Portable Speaker</v>
      </c>
      <c r="V1689" s="27">
        <f t="shared" si="185"/>
        <v>288.61</v>
      </c>
      <c r="W1689" s="27">
        <f t="shared" si="186"/>
        <v>175.12</v>
      </c>
      <c r="X1689" s="27">
        <f>RawSalesTable3[[#This Row],[Revenue]]-RawSalesTable3[[#This Row],[Total_Cost]]</f>
        <v>113.49000000000001</v>
      </c>
      <c r="Y1689" s="28">
        <f>RawSalesTable3[[#This Row],[Profit]]/RawSalesTable3[[#This Row],[Revenue]]</f>
        <v>0.39322961782336024</v>
      </c>
      <c r="Z1689" s="27" t="str">
        <f>TEXT(RawSalesTable3[[#This Row],[Order_Date_Clean]],"MMM YYYY")</f>
        <v>Oct 2025</v>
      </c>
      <c r="AA1689" s="27"/>
      <c r="AB1689" s="27">
        <f t="shared" si="187"/>
        <v>0</v>
      </c>
      <c r="AC1689" s="27">
        <f t="shared" si="188"/>
        <v>0</v>
      </c>
    </row>
    <row r="1690" spans="1:29">
      <c r="A1690" t="s">
        <v>1801</v>
      </c>
      <c r="B1690" s="3">
        <v>45795</v>
      </c>
      <c r="C1690" t="s">
        <v>82</v>
      </c>
      <c r="D1690" t="s">
        <v>62</v>
      </c>
      <c r="E1690" t="s">
        <v>56</v>
      </c>
      <c r="F1690" t="s">
        <v>57</v>
      </c>
      <c r="G1690" s="6">
        <v>1</v>
      </c>
      <c r="H1690" s="4">
        <v>112.61</v>
      </c>
      <c r="I1690" s="4">
        <v>68.91</v>
      </c>
      <c r="J1690" s="5">
        <v>0.05</v>
      </c>
      <c r="K1690" s="6">
        <v>2</v>
      </c>
      <c r="L1690" s="6">
        <v>5</v>
      </c>
      <c r="M1690" t="s">
        <v>58</v>
      </c>
      <c r="N1690" t="s">
        <v>69</v>
      </c>
      <c r="O1690" t="s">
        <v>64</v>
      </c>
      <c r="P1690" t="str">
        <f t="shared" si="182"/>
        <v>Individual</v>
      </c>
      <c r="Q1690" t="str">
        <f t="shared" si="183"/>
        <v>Midlands</v>
      </c>
      <c r="R1690" t="str">
        <f>PROPER(TRIM(E1690))</f>
        <v>Home &amp; Kitchen</v>
      </c>
      <c r="S1690" s="27">
        <f>IF(ISTEXT(B1690),DATEVALUE(B1690),B1690)</f>
        <v>45795</v>
      </c>
      <c r="T1690" s="27">
        <f>COUNTIF($A$2:$A$1986,A1690)</f>
        <v>1</v>
      </c>
      <c r="U1690" s="27" t="str">
        <f t="shared" si="184"/>
        <v>Air Fryer</v>
      </c>
      <c r="V1690" s="27">
        <f t="shared" si="185"/>
        <v>106.97949999999999</v>
      </c>
      <c r="W1690" s="27">
        <f t="shared" si="186"/>
        <v>68.91</v>
      </c>
      <c r="X1690" s="27">
        <f>RawSalesTable3[[#This Row],[Revenue]]-RawSalesTable3[[#This Row],[Total_Cost]]</f>
        <v>38.069499999999991</v>
      </c>
      <c r="Y1690" s="28">
        <f>RawSalesTable3[[#This Row],[Profit]]/RawSalesTable3[[#This Row],[Revenue]]</f>
        <v>0.35585789800849693</v>
      </c>
      <c r="Z1690" s="27" t="str">
        <f>TEXT(RawSalesTable3[[#This Row],[Order_Date_Clean]],"MMM YYYY")</f>
        <v>May 2025</v>
      </c>
      <c r="AA1690" s="27"/>
      <c r="AB1690" s="27">
        <f t="shared" si="187"/>
        <v>0</v>
      </c>
      <c r="AC1690" s="27">
        <f t="shared" si="188"/>
        <v>0</v>
      </c>
    </row>
    <row r="1691" spans="1:29">
      <c r="A1691" t="s">
        <v>1802</v>
      </c>
      <c r="B1691" s="3">
        <v>45981</v>
      </c>
      <c r="C1691" t="s">
        <v>66</v>
      </c>
      <c r="D1691" t="s">
        <v>62</v>
      </c>
      <c r="E1691" t="s">
        <v>67</v>
      </c>
      <c r="F1691" t="s">
        <v>94</v>
      </c>
      <c r="G1691" s="6">
        <v>1</v>
      </c>
      <c r="H1691" s="4">
        <v>35.24</v>
      </c>
      <c r="I1691" s="4">
        <v>17.649999999999999</v>
      </c>
      <c r="J1691" s="5">
        <v>0.15000000000000002</v>
      </c>
      <c r="K1691" s="6">
        <v>1</v>
      </c>
      <c r="L1691" s="6">
        <v>4</v>
      </c>
      <c r="M1691" t="s">
        <v>58</v>
      </c>
      <c r="N1691" t="s">
        <v>69</v>
      </c>
      <c r="O1691" t="s">
        <v>73</v>
      </c>
      <c r="P1691" t="str">
        <f t="shared" si="182"/>
        <v>Individual</v>
      </c>
      <c r="Q1691" t="str">
        <f t="shared" si="183"/>
        <v>South</v>
      </c>
      <c r="R1691" t="str">
        <f>PROPER(TRIM(E1691))</f>
        <v>Office</v>
      </c>
      <c r="S1691" s="27">
        <f>IF(ISTEXT(B1691),DATEVALUE(B1691),B1691)</f>
        <v>45981</v>
      </c>
      <c r="T1691" s="27">
        <f>COUNTIF($A$2:$A$1986,A1691)</f>
        <v>1</v>
      </c>
      <c r="U1691" s="27" t="str">
        <f t="shared" si="184"/>
        <v>Wireless Mouse</v>
      </c>
      <c r="V1691" s="27">
        <f t="shared" si="185"/>
        <v>29.954000000000001</v>
      </c>
      <c r="W1691" s="27">
        <f t="shared" si="186"/>
        <v>17.649999999999999</v>
      </c>
      <c r="X1691" s="27">
        <f>RawSalesTable3[[#This Row],[Revenue]]-RawSalesTable3[[#This Row],[Total_Cost]]</f>
        <v>12.304000000000002</v>
      </c>
      <c r="Y1691" s="28">
        <f>RawSalesTable3[[#This Row],[Profit]]/RawSalesTable3[[#This Row],[Revenue]]</f>
        <v>0.41076317019429798</v>
      </c>
      <c r="Z1691" s="27" t="str">
        <f>TEXT(RawSalesTable3[[#This Row],[Order_Date_Clean]],"MMM YYYY")</f>
        <v>Nov 2025</v>
      </c>
      <c r="AA1691" s="27"/>
      <c r="AB1691" s="27">
        <f t="shared" si="187"/>
        <v>0</v>
      </c>
      <c r="AC1691" s="27">
        <f t="shared" si="188"/>
        <v>0</v>
      </c>
    </row>
    <row r="1692" spans="1:29">
      <c r="A1692" t="s">
        <v>1803</v>
      </c>
      <c r="B1692" s="3">
        <v>45761</v>
      </c>
      <c r="C1692" t="s">
        <v>82</v>
      </c>
      <c r="D1692" t="s">
        <v>62</v>
      </c>
      <c r="E1692" t="s">
        <v>75</v>
      </c>
      <c r="F1692" t="s">
        <v>110</v>
      </c>
      <c r="G1692" s="6">
        <v>2</v>
      </c>
      <c r="H1692" s="4">
        <v>162.86000000000001</v>
      </c>
      <c r="I1692" s="4">
        <v>100.3</v>
      </c>
      <c r="J1692" s="5">
        <v>0</v>
      </c>
      <c r="K1692" s="6">
        <v>5</v>
      </c>
      <c r="L1692" s="6">
        <v>4</v>
      </c>
      <c r="M1692" t="s">
        <v>58</v>
      </c>
      <c r="N1692" t="s">
        <v>59</v>
      </c>
      <c r="O1692" t="s">
        <v>64</v>
      </c>
      <c r="P1692" t="str">
        <f t="shared" si="182"/>
        <v>Individual</v>
      </c>
      <c r="Q1692" t="str">
        <f t="shared" si="183"/>
        <v>Midlands</v>
      </c>
      <c r="R1692" t="str">
        <f>PROPER(TRIM(E1692))</f>
        <v>Furniture</v>
      </c>
      <c r="S1692" s="27">
        <f>IF(ISTEXT(B1692),DATEVALUE(B1692),B1692)</f>
        <v>45761</v>
      </c>
      <c r="T1692" s="27">
        <f>COUNTIF($A$2:$A$1986,A1692)</f>
        <v>1</v>
      </c>
      <c r="U1692" s="27" t="str">
        <f t="shared" si="184"/>
        <v>Storage Cabinet</v>
      </c>
      <c r="V1692" s="27">
        <f t="shared" si="185"/>
        <v>325.72000000000003</v>
      </c>
      <c r="W1692" s="27">
        <f t="shared" si="186"/>
        <v>200.6</v>
      </c>
      <c r="X1692" s="27">
        <f>RawSalesTable3[[#This Row],[Revenue]]-RawSalesTable3[[#This Row],[Total_Cost]]</f>
        <v>125.12000000000003</v>
      </c>
      <c r="Y1692" s="28">
        <f>RawSalesTable3[[#This Row],[Profit]]/RawSalesTable3[[#This Row],[Revenue]]</f>
        <v>0.38413361169102306</v>
      </c>
      <c r="Z1692" s="27" t="str">
        <f>TEXT(RawSalesTable3[[#This Row],[Order_Date_Clean]],"MMM YYYY")</f>
        <v>Apr 2025</v>
      </c>
      <c r="AA1692" s="27"/>
      <c r="AB1692" s="27">
        <f t="shared" si="187"/>
        <v>0</v>
      </c>
      <c r="AC1692" s="27">
        <f t="shared" si="188"/>
        <v>0</v>
      </c>
    </row>
    <row r="1693" spans="1:29">
      <c r="A1693" t="s">
        <v>1804</v>
      </c>
      <c r="B1693" s="3">
        <v>45760</v>
      </c>
      <c r="C1693" t="s">
        <v>82</v>
      </c>
      <c r="D1693" t="s">
        <v>55</v>
      </c>
      <c r="E1693" t="s">
        <v>79</v>
      </c>
      <c r="F1693" t="s">
        <v>85</v>
      </c>
      <c r="G1693" s="6">
        <v>4</v>
      </c>
      <c r="H1693" s="4">
        <v>131</v>
      </c>
      <c r="I1693" s="4">
        <v>83.05</v>
      </c>
      <c r="J1693" s="5">
        <v>0.1</v>
      </c>
      <c r="K1693" s="6">
        <v>3</v>
      </c>
      <c r="L1693" s="6">
        <v>4</v>
      </c>
      <c r="M1693" t="s">
        <v>58</v>
      </c>
      <c r="N1693" t="s">
        <v>59</v>
      </c>
      <c r="O1693" t="s">
        <v>73</v>
      </c>
      <c r="P1693" t="str">
        <f t="shared" si="182"/>
        <v>Small Business</v>
      </c>
      <c r="Q1693" t="str">
        <f t="shared" si="183"/>
        <v>Midlands</v>
      </c>
      <c r="R1693" t="str">
        <f>PROPER(TRIM(E1693))</f>
        <v>Electronics</v>
      </c>
      <c r="S1693" s="27">
        <f>IF(ISTEXT(B1693),DATEVALUE(B1693),B1693)</f>
        <v>45760</v>
      </c>
      <c r="T1693" s="27">
        <f>COUNTIF($A$2:$A$1986,A1693)</f>
        <v>1</v>
      </c>
      <c r="U1693" s="27" t="str">
        <f t="shared" si="184"/>
        <v>SmartHome Hub</v>
      </c>
      <c r="V1693" s="27">
        <f t="shared" si="185"/>
        <v>471.6</v>
      </c>
      <c r="W1693" s="27">
        <f t="shared" si="186"/>
        <v>332.2</v>
      </c>
      <c r="X1693" s="27">
        <f>RawSalesTable3[[#This Row],[Revenue]]-RawSalesTable3[[#This Row],[Total_Cost]]</f>
        <v>139.40000000000003</v>
      </c>
      <c r="Y1693" s="28">
        <f>RawSalesTable3[[#This Row],[Profit]]/RawSalesTable3[[#This Row],[Revenue]]</f>
        <v>0.29558948261238344</v>
      </c>
      <c r="Z1693" s="27" t="str">
        <f>TEXT(RawSalesTable3[[#This Row],[Order_Date_Clean]],"MMM YYYY")</f>
        <v>Apr 2025</v>
      </c>
      <c r="AA1693" s="27"/>
      <c r="AB1693" s="27">
        <f t="shared" si="187"/>
        <v>0</v>
      </c>
      <c r="AC1693" s="27">
        <f t="shared" si="188"/>
        <v>0</v>
      </c>
    </row>
    <row r="1694" spans="1:29">
      <c r="A1694" t="s">
        <v>1805</v>
      </c>
      <c r="B1694" s="3">
        <v>46022</v>
      </c>
      <c r="C1694" t="s">
        <v>78</v>
      </c>
      <c r="D1694" t="s">
        <v>55</v>
      </c>
      <c r="E1694" t="s">
        <v>67</v>
      </c>
      <c r="F1694" t="s">
        <v>68</v>
      </c>
      <c r="G1694" s="6">
        <v>1</v>
      </c>
      <c r="H1694" s="4">
        <v>39.590000000000003</v>
      </c>
      <c r="I1694" s="4">
        <v>19.5</v>
      </c>
      <c r="J1694" s="5">
        <v>0</v>
      </c>
      <c r="K1694" s="6">
        <v>0</v>
      </c>
      <c r="L1694" s="6">
        <v>5</v>
      </c>
      <c r="M1694" t="s">
        <v>58</v>
      </c>
      <c r="N1694" t="s">
        <v>69</v>
      </c>
      <c r="O1694" t="s">
        <v>60</v>
      </c>
      <c r="P1694" t="str">
        <f t="shared" si="182"/>
        <v>Small Business</v>
      </c>
      <c r="Q1694" t="str">
        <f t="shared" si="183"/>
        <v>London</v>
      </c>
      <c r="R1694" t="str">
        <f>PROPER(TRIM(E1694))</f>
        <v>Office</v>
      </c>
      <c r="S1694" s="27">
        <f>IF(ISTEXT(B1694),DATEVALUE(B1694),B1694)</f>
        <v>46022</v>
      </c>
      <c r="T1694" s="27">
        <f>COUNTIF($A$2:$A$1986,A1694)</f>
        <v>1</v>
      </c>
      <c r="U1694" s="27" t="str">
        <f t="shared" si="184"/>
        <v>Desk Lamp</v>
      </c>
      <c r="V1694" s="27">
        <f t="shared" si="185"/>
        <v>39.590000000000003</v>
      </c>
      <c r="W1694" s="27">
        <f t="shared" si="186"/>
        <v>19.5</v>
      </c>
      <c r="X1694" s="27">
        <f>RawSalesTable3[[#This Row],[Revenue]]-RawSalesTable3[[#This Row],[Total_Cost]]</f>
        <v>20.090000000000003</v>
      </c>
      <c r="Y1694" s="28">
        <f>RawSalesTable3[[#This Row],[Profit]]/RawSalesTable3[[#This Row],[Revenue]]</f>
        <v>0.50745137661025519</v>
      </c>
      <c r="Z1694" s="27" t="str">
        <f>TEXT(RawSalesTable3[[#This Row],[Order_Date_Clean]],"MMM YYYY")</f>
        <v>Dec 2025</v>
      </c>
      <c r="AA1694" s="27"/>
      <c r="AB1694" s="27">
        <f t="shared" si="187"/>
        <v>0</v>
      </c>
      <c r="AC1694" s="27">
        <f t="shared" si="188"/>
        <v>0</v>
      </c>
    </row>
    <row r="1695" spans="1:29">
      <c r="A1695" t="s">
        <v>1806</v>
      </c>
      <c r="B1695" s="3">
        <v>45864</v>
      </c>
      <c r="C1695" t="s">
        <v>82</v>
      </c>
      <c r="D1695" t="s">
        <v>129</v>
      </c>
      <c r="E1695" t="s">
        <v>79</v>
      </c>
      <c r="F1695" t="s">
        <v>80</v>
      </c>
      <c r="G1695" s="6">
        <v>6</v>
      </c>
      <c r="H1695" s="4">
        <v>73.44</v>
      </c>
      <c r="I1695" s="4">
        <v>42.34</v>
      </c>
      <c r="J1695" s="5">
        <v>0.1</v>
      </c>
      <c r="K1695" s="6">
        <v>5</v>
      </c>
      <c r="L1695" s="6">
        <v>3</v>
      </c>
      <c r="M1695" t="s">
        <v>126</v>
      </c>
      <c r="N1695" t="s">
        <v>59</v>
      </c>
      <c r="O1695" t="s">
        <v>64</v>
      </c>
      <c r="P1695" t="str">
        <f t="shared" si="182"/>
        <v>Corporate</v>
      </c>
      <c r="Q1695" t="str">
        <f t="shared" si="183"/>
        <v>Midlands</v>
      </c>
      <c r="R1695" t="str">
        <f>PROPER(TRIM(E1695))</f>
        <v>Electronics</v>
      </c>
      <c r="S1695" s="27">
        <f>IF(ISTEXT(B1695),DATEVALUE(B1695),B1695)</f>
        <v>45864</v>
      </c>
      <c r="T1695" s="27">
        <f>COUNTIF($A$2:$A$1986,A1695)</f>
        <v>1</v>
      </c>
      <c r="U1695" s="27" t="str">
        <f t="shared" si="184"/>
        <v>Portable Speaker</v>
      </c>
      <c r="V1695" s="27">
        <f t="shared" si="185"/>
        <v>396.57600000000002</v>
      </c>
      <c r="W1695" s="27">
        <f t="shared" si="186"/>
        <v>254.04000000000002</v>
      </c>
      <c r="X1695" s="27">
        <f>RawSalesTable3[[#This Row],[Revenue]]-RawSalesTable3[[#This Row],[Total_Cost]]</f>
        <v>142.536</v>
      </c>
      <c r="Y1695" s="28">
        <f>RawSalesTable3[[#This Row],[Profit]]/RawSalesTable3[[#This Row],[Revenue]]</f>
        <v>0.3594166061486323</v>
      </c>
      <c r="Z1695" s="27" t="str">
        <f>TEXT(RawSalesTable3[[#This Row],[Order_Date_Clean]],"MMM YYYY")</f>
        <v>Jul 2025</v>
      </c>
      <c r="AA1695" s="27"/>
      <c r="AB1695" s="27">
        <f t="shared" si="187"/>
        <v>0</v>
      </c>
      <c r="AC1695" s="27">
        <f t="shared" si="188"/>
        <v>0</v>
      </c>
    </row>
    <row r="1696" spans="1:29">
      <c r="A1696" t="s">
        <v>1807</v>
      </c>
      <c r="B1696" s="3">
        <v>45749</v>
      </c>
      <c r="C1696" t="s">
        <v>66</v>
      </c>
      <c r="D1696" t="s">
        <v>62</v>
      </c>
      <c r="E1696" t="s">
        <v>75</v>
      </c>
      <c r="F1696" t="s">
        <v>110</v>
      </c>
      <c r="G1696" s="6">
        <v>2</v>
      </c>
      <c r="H1696" s="4">
        <v>157.36000000000001</v>
      </c>
      <c r="I1696" s="4">
        <v>103.98</v>
      </c>
      <c r="J1696" s="5">
        <v>0.1</v>
      </c>
      <c r="K1696" s="6">
        <v>5</v>
      </c>
      <c r="L1696" s="6">
        <v>5</v>
      </c>
      <c r="M1696" t="s">
        <v>58</v>
      </c>
      <c r="N1696" t="s">
        <v>69</v>
      </c>
      <c r="O1696" t="s">
        <v>73</v>
      </c>
      <c r="P1696" t="str">
        <f t="shared" si="182"/>
        <v>Individual</v>
      </c>
      <c r="Q1696" t="str">
        <f t="shared" si="183"/>
        <v>South</v>
      </c>
      <c r="R1696" t="str">
        <f>PROPER(TRIM(E1696))</f>
        <v>Furniture</v>
      </c>
      <c r="S1696" s="27">
        <f>IF(ISTEXT(B1696),DATEVALUE(B1696),B1696)</f>
        <v>45749</v>
      </c>
      <c r="T1696" s="27">
        <f>COUNTIF($A$2:$A$1986,A1696)</f>
        <v>1</v>
      </c>
      <c r="U1696" s="27" t="str">
        <f t="shared" si="184"/>
        <v>Storage Cabinet</v>
      </c>
      <c r="V1696" s="27">
        <f t="shared" si="185"/>
        <v>283.24800000000005</v>
      </c>
      <c r="W1696" s="27">
        <f t="shared" si="186"/>
        <v>207.96</v>
      </c>
      <c r="X1696" s="27">
        <f>RawSalesTable3[[#This Row],[Revenue]]-RawSalesTable3[[#This Row],[Total_Cost]]</f>
        <v>75.288000000000039</v>
      </c>
      <c r="Y1696" s="28">
        <f>RawSalesTable3[[#This Row],[Profit]]/RawSalesTable3[[#This Row],[Revenue]]</f>
        <v>0.26580240637180147</v>
      </c>
      <c r="Z1696" s="27" t="str">
        <f>TEXT(RawSalesTable3[[#This Row],[Order_Date_Clean]],"MMM YYYY")</f>
        <v>Apr 2025</v>
      </c>
      <c r="AA1696" s="27"/>
      <c r="AB1696" s="27">
        <f t="shared" si="187"/>
        <v>0</v>
      </c>
      <c r="AC1696" s="27">
        <f t="shared" si="188"/>
        <v>0</v>
      </c>
    </row>
    <row r="1697" spans="1:29">
      <c r="A1697" t="s">
        <v>1808</v>
      </c>
      <c r="B1697" s="3">
        <v>45794</v>
      </c>
      <c r="C1697" t="s">
        <v>66</v>
      </c>
      <c r="D1697" t="s">
        <v>62</v>
      </c>
      <c r="E1697" t="s">
        <v>79</v>
      </c>
      <c r="F1697" t="s">
        <v>115</v>
      </c>
      <c r="G1697" s="6">
        <v>2</v>
      </c>
      <c r="H1697" s="4">
        <v>59.55</v>
      </c>
      <c r="I1697" s="4">
        <v>33.090000000000003</v>
      </c>
      <c r="J1697" s="5">
        <v>0.15000000000000002</v>
      </c>
      <c r="K1697" s="6">
        <v>4</v>
      </c>
      <c r="L1697" s="6">
        <v>5</v>
      </c>
      <c r="M1697" t="s">
        <v>58</v>
      </c>
      <c r="N1697" t="s">
        <v>69</v>
      </c>
      <c r="O1697" t="s">
        <v>60</v>
      </c>
      <c r="P1697" t="str">
        <f t="shared" si="182"/>
        <v>Individual</v>
      </c>
      <c r="Q1697" t="str">
        <f t="shared" si="183"/>
        <v>South</v>
      </c>
      <c r="R1697" t="str">
        <f>PROPER(TRIM(E1697))</f>
        <v>Electronics</v>
      </c>
      <c r="S1697" s="27">
        <f>IF(ISTEXT(B1697),DATEVALUE(B1697),B1697)</f>
        <v>45794</v>
      </c>
      <c r="T1697" s="27">
        <f>COUNTIF($A$2:$A$1986,A1697)</f>
        <v>1</v>
      </c>
      <c r="U1697" s="27" t="str">
        <f t="shared" si="184"/>
        <v>Wireless Headset</v>
      </c>
      <c r="V1697" s="27">
        <f t="shared" si="185"/>
        <v>101.235</v>
      </c>
      <c r="W1697" s="27">
        <f t="shared" si="186"/>
        <v>66.180000000000007</v>
      </c>
      <c r="X1697" s="27">
        <f>RawSalesTable3[[#This Row],[Revenue]]-RawSalesTable3[[#This Row],[Total_Cost]]</f>
        <v>35.054999999999993</v>
      </c>
      <c r="Y1697" s="28">
        <f>RawSalesTable3[[#This Row],[Profit]]/RawSalesTable3[[#This Row],[Revenue]]</f>
        <v>0.34627352200325967</v>
      </c>
      <c r="Z1697" s="27" t="str">
        <f>TEXT(RawSalesTable3[[#This Row],[Order_Date_Clean]],"MMM YYYY")</f>
        <v>May 2025</v>
      </c>
      <c r="AA1697" s="27"/>
      <c r="AB1697" s="27">
        <f t="shared" si="187"/>
        <v>0</v>
      </c>
      <c r="AC1697" s="27">
        <f t="shared" si="188"/>
        <v>0</v>
      </c>
    </row>
    <row r="1698" spans="1:29">
      <c r="A1698" t="s">
        <v>1809</v>
      </c>
      <c r="B1698" s="3">
        <v>45686</v>
      </c>
      <c r="C1698" t="s">
        <v>66</v>
      </c>
      <c r="D1698" t="s">
        <v>62</v>
      </c>
      <c r="E1698" t="s">
        <v>79</v>
      </c>
      <c r="F1698" t="s">
        <v>80</v>
      </c>
      <c r="G1698" s="6">
        <v>3</v>
      </c>
      <c r="H1698" s="4">
        <v>75.92</v>
      </c>
      <c r="I1698" s="4">
        <v>43.58</v>
      </c>
      <c r="J1698" s="5">
        <v>0.05</v>
      </c>
      <c r="K1698" s="6">
        <v>4</v>
      </c>
      <c r="L1698" s="6">
        <v>5</v>
      </c>
      <c r="M1698" t="s">
        <v>58</v>
      </c>
      <c r="N1698" t="s">
        <v>87</v>
      </c>
      <c r="O1698" t="s">
        <v>64</v>
      </c>
      <c r="P1698" t="str">
        <f t="shared" si="182"/>
        <v>Individual</v>
      </c>
      <c r="Q1698" t="str">
        <f t="shared" si="183"/>
        <v>South</v>
      </c>
      <c r="R1698" t="str">
        <f>PROPER(TRIM(E1698))</f>
        <v>Electronics</v>
      </c>
      <c r="S1698" s="27">
        <f>IF(ISTEXT(B1698),DATEVALUE(B1698),B1698)</f>
        <v>45686</v>
      </c>
      <c r="T1698" s="27">
        <f>COUNTIF($A$2:$A$1986,A1698)</f>
        <v>1</v>
      </c>
      <c r="U1698" s="27" t="str">
        <f t="shared" si="184"/>
        <v>Portable Speaker</v>
      </c>
      <c r="V1698" s="27">
        <f t="shared" si="185"/>
        <v>216.37199999999999</v>
      </c>
      <c r="W1698" s="27">
        <f t="shared" si="186"/>
        <v>130.74</v>
      </c>
      <c r="X1698" s="27">
        <f>RawSalesTable3[[#This Row],[Revenue]]-RawSalesTable3[[#This Row],[Total_Cost]]</f>
        <v>85.631999999999977</v>
      </c>
      <c r="Y1698" s="28">
        <f>RawSalesTable3[[#This Row],[Profit]]/RawSalesTable3[[#This Row],[Revenue]]</f>
        <v>0.39576285286451102</v>
      </c>
      <c r="Z1698" s="27" t="str">
        <f>TEXT(RawSalesTable3[[#This Row],[Order_Date_Clean]],"MMM YYYY")</f>
        <v>Jan 2025</v>
      </c>
      <c r="AA1698" s="27"/>
      <c r="AB1698" s="27">
        <f t="shared" si="187"/>
        <v>0</v>
      </c>
      <c r="AC1698" s="27">
        <f t="shared" si="188"/>
        <v>0</v>
      </c>
    </row>
    <row r="1699" spans="1:29">
      <c r="A1699" t="s">
        <v>1810</v>
      </c>
      <c r="B1699" s="3">
        <v>45756</v>
      </c>
      <c r="C1699" t="s">
        <v>82</v>
      </c>
      <c r="D1699" t="s">
        <v>62</v>
      </c>
      <c r="E1699" t="s">
        <v>56</v>
      </c>
      <c r="F1699" t="s">
        <v>57</v>
      </c>
      <c r="G1699" s="6">
        <v>1</v>
      </c>
      <c r="H1699" s="4">
        <v>109.2</v>
      </c>
      <c r="I1699" s="4">
        <v>65.180000000000007</v>
      </c>
      <c r="J1699" s="5">
        <v>0</v>
      </c>
      <c r="K1699" s="6">
        <v>3</v>
      </c>
      <c r="L1699" s="6">
        <v>4</v>
      </c>
      <c r="M1699" t="s">
        <v>58</v>
      </c>
      <c r="N1699" t="s">
        <v>87</v>
      </c>
      <c r="O1699" t="s">
        <v>73</v>
      </c>
      <c r="P1699" t="str">
        <f t="shared" si="182"/>
        <v>Individual</v>
      </c>
      <c r="Q1699" t="str">
        <f t="shared" si="183"/>
        <v>Midlands</v>
      </c>
      <c r="R1699" t="str">
        <f>PROPER(TRIM(E1699))</f>
        <v>Home &amp; Kitchen</v>
      </c>
      <c r="S1699" s="27">
        <f>IF(ISTEXT(B1699),DATEVALUE(B1699),B1699)</f>
        <v>45756</v>
      </c>
      <c r="T1699" s="27">
        <f>COUNTIF($A$2:$A$1986,A1699)</f>
        <v>1</v>
      </c>
      <c r="U1699" s="27" t="str">
        <f t="shared" si="184"/>
        <v>Air Fryer</v>
      </c>
      <c r="V1699" s="27">
        <f t="shared" si="185"/>
        <v>109.2</v>
      </c>
      <c r="W1699" s="27">
        <f t="shared" si="186"/>
        <v>65.180000000000007</v>
      </c>
      <c r="X1699" s="27">
        <f>RawSalesTable3[[#This Row],[Revenue]]-RawSalesTable3[[#This Row],[Total_Cost]]</f>
        <v>44.019999999999996</v>
      </c>
      <c r="Y1699" s="28">
        <f>RawSalesTable3[[#This Row],[Profit]]/RawSalesTable3[[#This Row],[Revenue]]</f>
        <v>0.40311355311355307</v>
      </c>
      <c r="Z1699" s="27" t="str">
        <f>TEXT(RawSalesTable3[[#This Row],[Order_Date_Clean]],"MMM YYYY")</f>
        <v>Apr 2025</v>
      </c>
      <c r="AA1699" s="27"/>
      <c r="AB1699" s="27">
        <f t="shared" si="187"/>
        <v>0</v>
      </c>
      <c r="AC1699" s="27">
        <f t="shared" si="188"/>
        <v>0</v>
      </c>
    </row>
    <row r="1700" spans="1:29">
      <c r="A1700" t="s">
        <v>1811</v>
      </c>
      <c r="B1700" s="3">
        <v>45928</v>
      </c>
      <c r="C1700" t="s">
        <v>82</v>
      </c>
      <c r="D1700" t="s">
        <v>62</v>
      </c>
      <c r="E1700" t="s">
        <v>56</v>
      </c>
      <c r="F1700" t="s">
        <v>57</v>
      </c>
      <c r="G1700" s="6">
        <v>1</v>
      </c>
      <c r="H1700" s="4">
        <v>109.12</v>
      </c>
      <c r="I1700" s="4">
        <v>65</v>
      </c>
      <c r="J1700" s="5">
        <v>0.05</v>
      </c>
      <c r="K1700" s="6">
        <v>3</v>
      </c>
      <c r="L1700" s="6">
        <v>4</v>
      </c>
      <c r="M1700" t="s">
        <v>58</v>
      </c>
      <c r="N1700" t="s">
        <v>87</v>
      </c>
      <c r="O1700" t="s">
        <v>73</v>
      </c>
      <c r="P1700" t="str">
        <f t="shared" si="182"/>
        <v>Individual</v>
      </c>
      <c r="Q1700" t="str">
        <f t="shared" si="183"/>
        <v>Midlands</v>
      </c>
      <c r="R1700" t="str">
        <f>PROPER(TRIM(E1700))</f>
        <v>Home &amp; Kitchen</v>
      </c>
      <c r="S1700" s="27">
        <f>IF(ISTEXT(B1700),DATEVALUE(B1700),B1700)</f>
        <v>45928</v>
      </c>
      <c r="T1700" s="27">
        <f>COUNTIF($A$2:$A$1986,A1700)</f>
        <v>1</v>
      </c>
      <c r="U1700" s="27" t="str">
        <f t="shared" si="184"/>
        <v>Air Fryer</v>
      </c>
      <c r="V1700" s="27">
        <f t="shared" si="185"/>
        <v>103.664</v>
      </c>
      <c r="W1700" s="27">
        <f t="shared" si="186"/>
        <v>65</v>
      </c>
      <c r="X1700" s="27">
        <f>RawSalesTable3[[#This Row],[Revenue]]-RawSalesTable3[[#This Row],[Total_Cost]]</f>
        <v>38.664000000000001</v>
      </c>
      <c r="Y1700" s="28">
        <f>RawSalesTable3[[#This Row],[Profit]]/RawSalesTable3[[#This Row],[Revenue]]</f>
        <v>0.37297422441734834</v>
      </c>
      <c r="Z1700" s="27" t="str">
        <f>TEXT(RawSalesTable3[[#This Row],[Order_Date_Clean]],"MMM YYYY")</f>
        <v>Sep 2025</v>
      </c>
      <c r="AA1700" s="27"/>
      <c r="AB1700" s="27">
        <f t="shared" si="187"/>
        <v>0</v>
      </c>
      <c r="AC1700" s="27">
        <f t="shared" si="188"/>
        <v>0</v>
      </c>
    </row>
    <row r="1701" spans="1:29">
      <c r="A1701" t="s">
        <v>1812</v>
      </c>
      <c r="B1701" s="3">
        <v>45995</v>
      </c>
      <c r="C1701" t="s">
        <v>209</v>
      </c>
      <c r="D1701" t="s">
        <v>129</v>
      </c>
      <c r="E1701" t="s">
        <v>67</v>
      </c>
      <c r="F1701" t="s">
        <v>71</v>
      </c>
      <c r="G1701" s="6">
        <v>6</v>
      </c>
      <c r="H1701" s="4">
        <v>70.209999999999994</v>
      </c>
      <c r="I1701" s="4">
        <v>39.299999999999997</v>
      </c>
      <c r="J1701" s="5">
        <v>0.1</v>
      </c>
      <c r="K1701" s="6">
        <v>0</v>
      </c>
      <c r="L1701" s="6">
        <v>3</v>
      </c>
      <c r="M1701" t="s">
        <v>126</v>
      </c>
      <c r="N1701" t="s">
        <v>69</v>
      </c>
      <c r="O1701" t="s">
        <v>64</v>
      </c>
      <c r="P1701" t="str">
        <f t="shared" si="182"/>
        <v>Corporate</v>
      </c>
      <c r="Q1701" t="str">
        <f t="shared" si="183"/>
        <v>Midlands</v>
      </c>
      <c r="R1701" t="str">
        <f>PROPER(TRIM(E1701))</f>
        <v>Office</v>
      </c>
      <c r="S1701" s="27">
        <f>IF(ISTEXT(B1701),DATEVALUE(B1701),B1701)</f>
        <v>45995</v>
      </c>
      <c r="T1701" s="27">
        <f>COUNTIF($A$2:$A$1986,A1701)</f>
        <v>1</v>
      </c>
      <c r="U1701" s="27" t="str">
        <f t="shared" si="184"/>
        <v>Ergonomic Keyboard</v>
      </c>
      <c r="V1701" s="27">
        <f t="shared" si="185"/>
        <v>379.13400000000001</v>
      </c>
      <c r="W1701" s="27">
        <f t="shared" si="186"/>
        <v>235.79999999999998</v>
      </c>
      <c r="X1701" s="27">
        <f>RawSalesTable3[[#This Row],[Revenue]]-RawSalesTable3[[#This Row],[Total_Cost]]</f>
        <v>143.33400000000003</v>
      </c>
      <c r="Y1701" s="28">
        <f>RawSalesTable3[[#This Row],[Profit]]/RawSalesTable3[[#This Row],[Revenue]]</f>
        <v>0.37805630726867023</v>
      </c>
      <c r="Z1701" s="27" t="str">
        <f>TEXT(RawSalesTable3[[#This Row],[Order_Date_Clean]],"MMM YYYY")</f>
        <v>Dec 2025</v>
      </c>
      <c r="AA1701" s="27"/>
      <c r="AB1701" s="27">
        <f t="shared" si="187"/>
        <v>0</v>
      </c>
      <c r="AC1701" s="27">
        <f t="shared" si="188"/>
        <v>0</v>
      </c>
    </row>
    <row r="1702" spans="1:29">
      <c r="A1702" t="s">
        <v>1813</v>
      </c>
      <c r="B1702" s="3">
        <v>45995</v>
      </c>
      <c r="C1702" t="s">
        <v>82</v>
      </c>
      <c r="D1702" t="s">
        <v>62</v>
      </c>
      <c r="E1702" t="s">
        <v>79</v>
      </c>
      <c r="F1702" t="s">
        <v>80</v>
      </c>
      <c r="G1702" s="6">
        <v>1</v>
      </c>
      <c r="H1702" s="4">
        <v>74.650000000000006</v>
      </c>
      <c r="I1702" s="4">
        <v>44.64</v>
      </c>
      <c r="J1702" s="5">
        <v>0.05</v>
      </c>
      <c r="K1702" s="6">
        <v>3</v>
      </c>
      <c r="L1702" s="6">
        <v>4</v>
      </c>
      <c r="M1702" t="s">
        <v>58</v>
      </c>
      <c r="N1702" t="s">
        <v>59</v>
      </c>
      <c r="O1702" t="s">
        <v>64</v>
      </c>
      <c r="P1702" t="str">
        <f t="shared" si="182"/>
        <v>Individual</v>
      </c>
      <c r="Q1702" t="str">
        <f t="shared" si="183"/>
        <v>Midlands</v>
      </c>
      <c r="R1702" t="str">
        <f>PROPER(TRIM(E1702))</f>
        <v>Electronics</v>
      </c>
      <c r="S1702" s="27">
        <f>IF(ISTEXT(B1702),DATEVALUE(B1702),B1702)</f>
        <v>45995</v>
      </c>
      <c r="T1702" s="27">
        <f>COUNTIF($A$2:$A$1986,A1702)</f>
        <v>1</v>
      </c>
      <c r="U1702" s="27" t="str">
        <f t="shared" si="184"/>
        <v>Portable Speaker</v>
      </c>
      <c r="V1702" s="27">
        <f t="shared" si="185"/>
        <v>70.917500000000004</v>
      </c>
      <c r="W1702" s="27">
        <f t="shared" si="186"/>
        <v>44.64</v>
      </c>
      <c r="X1702" s="27">
        <f>RawSalesTable3[[#This Row],[Revenue]]-RawSalesTable3[[#This Row],[Total_Cost]]</f>
        <v>26.277500000000003</v>
      </c>
      <c r="Y1702" s="28">
        <f>RawSalesTable3[[#This Row],[Profit]]/RawSalesTable3[[#This Row],[Revenue]]</f>
        <v>0.37053618641379071</v>
      </c>
      <c r="Z1702" s="27" t="str">
        <f>TEXT(RawSalesTable3[[#This Row],[Order_Date_Clean]],"MMM YYYY")</f>
        <v>Dec 2025</v>
      </c>
      <c r="AA1702" s="27"/>
      <c r="AB1702" s="27">
        <f t="shared" si="187"/>
        <v>0</v>
      </c>
      <c r="AC1702" s="27">
        <f t="shared" si="188"/>
        <v>0</v>
      </c>
    </row>
    <row r="1703" spans="1:29">
      <c r="A1703" t="s">
        <v>1814</v>
      </c>
      <c r="B1703" s="3">
        <v>45991</v>
      </c>
      <c r="C1703" t="s">
        <v>78</v>
      </c>
      <c r="D1703" t="s">
        <v>55</v>
      </c>
      <c r="E1703" t="s">
        <v>79</v>
      </c>
      <c r="F1703" t="s">
        <v>85</v>
      </c>
      <c r="G1703" s="6">
        <v>2</v>
      </c>
      <c r="H1703" s="4">
        <v>126.65</v>
      </c>
      <c r="I1703" s="4">
        <v>83</v>
      </c>
      <c r="J1703" s="5">
        <v>0.05</v>
      </c>
      <c r="K1703" s="6">
        <v>2</v>
      </c>
      <c r="L1703" s="6">
        <v>4</v>
      </c>
      <c r="M1703" t="s">
        <v>58</v>
      </c>
      <c r="N1703" t="s">
        <v>69</v>
      </c>
      <c r="O1703" t="s">
        <v>60</v>
      </c>
      <c r="P1703" t="str">
        <f t="shared" si="182"/>
        <v>Small Business</v>
      </c>
      <c r="Q1703" t="str">
        <f t="shared" si="183"/>
        <v>London</v>
      </c>
      <c r="R1703" t="str">
        <f>PROPER(TRIM(E1703))</f>
        <v>Electronics</v>
      </c>
      <c r="S1703" s="27">
        <f>IF(ISTEXT(B1703),DATEVALUE(B1703),B1703)</f>
        <v>45991</v>
      </c>
      <c r="T1703" s="27">
        <f>COUNTIF($A$2:$A$1986,A1703)</f>
        <v>1</v>
      </c>
      <c r="U1703" s="27" t="str">
        <f t="shared" si="184"/>
        <v>SmartHome Hub</v>
      </c>
      <c r="V1703" s="27">
        <f t="shared" si="185"/>
        <v>240.63499999999999</v>
      </c>
      <c r="W1703" s="27">
        <f t="shared" si="186"/>
        <v>166</v>
      </c>
      <c r="X1703" s="27">
        <f>RawSalesTable3[[#This Row],[Revenue]]-RawSalesTable3[[#This Row],[Total_Cost]]</f>
        <v>74.634999999999991</v>
      </c>
      <c r="Y1703" s="28">
        <f>RawSalesTable3[[#This Row],[Profit]]/RawSalesTable3[[#This Row],[Revenue]]</f>
        <v>0.31015853886591721</v>
      </c>
      <c r="Z1703" s="27" t="str">
        <f>TEXT(RawSalesTable3[[#This Row],[Order_Date_Clean]],"MMM YYYY")</f>
        <v>Nov 2025</v>
      </c>
      <c r="AA1703" s="27"/>
      <c r="AB1703" s="27">
        <f t="shared" si="187"/>
        <v>0</v>
      </c>
      <c r="AC1703" s="27">
        <f t="shared" si="188"/>
        <v>0</v>
      </c>
    </row>
    <row r="1704" spans="1:29">
      <c r="A1704" t="s">
        <v>1815</v>
      </c>
      <c r="B1704" s="3">
        <v>45746</v>
      </c>
      <c r="C1704" t="s">
        <v>66</v>
      </c>
      <c r="D1704" t="s">
        <v>62</v>
      </c>
      <c r="E1704" t="s">
        <v>75</v>
      </c>
      <c r="F1704" t="s">
        <v>110</v>
      </c>
      <c r="G1704" s="6">
        <v>1</v>
      </c>
      <c r="H1704" s="4">
        <v>161.9</v>
      </c>
      <c r="I1704" s="4">
        <v>98.29</v>
      </c>
      <c r="J1704" s="5">
        <v>0.15000000000000002</v>
      </c>
      <c r="K1704" s="6">
        <v>3</v>
      </c>
      <c r="L1704" s="6">
        <v>5</v>
      </c>
      <c r="M1704" t="s">
        <v>58</v>
      </c>
      <c r="N1704" t="s">
        <v>69</v>
      </c>
      <c r="O1704" t="s">
        <v>64</v>
      </c>
      <c r="P1704" t="str">
        <f t="shared" si="182"/>
        <v>Individual</v>
      </c>
      <c r="Q1704" t="str">
        <f t="shared" si="183"/>
        <v>South</v>
      </c>
      <c r="R1704" t="str">
        <f>PROPER(TRIM(E1704))</f>
        <v>Furniture</v>
      </c>
      <c r="S1704" s="27">
        <f>IF(ISTEXT(B1704),DATEVALUE(B1704),B1704)</f>
        <v>45746</v>
      </c>
      <c r="T1704" s="27">
        <f>COUNTIF($A$2:$A$1986,A1704)</f>
        <v>1</v>
      </c>
      <c r="U1704" s="27" t="str">
        <f t="shared" si="184"/>
        <v>Storage Cabinet</v>
      </c>
      <c r="V1704" s="27">
        <f t="shared" si="185"/>
        <v>137.61500000000001</v>
      </c>
      <c r="W1704" s="27">
        <f t="shared" si="186"/>
        <v>98.29</v>
      </c>
      <c r="X1704" s="27">
        <f>RawSalesTable3[[#This Row],[Revenue]]-RawSalesTable3[[#This Row],[Total_Cost]]</f>
        <v>39.325000000000003</v>
      </c>
      <c r="Y1704" s="28">
        <f>RawSalesTable3[[#This Row],[Profit]]/RawSalesTable3[[#This Row],[Revenue]]</f>
        <v>0.28576099989100023</v>
      </c>
      <c r="Z1704" s="27" t="str">
        <f>TEXT(RawSalesTable3[[#This Row],[Order_Date_Clean]],"MMM YYYY")</f>
        <v>Mar 2025</v>
      </c>
      <c r="AA1704" s="27"/>
      <c r="AB1704" s="27">
        <f t="shared" si="187"/>
        <v>0</v>
      </c>
      <c r="AC1704" s="27">
        <f t="shared" si="188"/>
        <v>0</v>
      </c>
    </row>
    <row r="1705" spans="1:29">
      <c r="A1705" t="s">
        <v>1816</v>
      </c>
      <c r="B1705" s="3">
        <v>45756</v>
      </c>
      <c r="C1705" t="s">
        <v>78</v>
      </c>
      <c r="D1705" t="s">
        <v>55</v>
      </c>
      <c r="E1705" t="s">
        <v>79</v>
      </c>
      <c r="F1705" t="s">
        <v>92</v>
      </c>
      <c r="G1705" s="6">
        <v>4</v>
      </c>
      <c r="H1705" s="4">
        <v>51.65</v>
      </c>
      <c r="I1705" s="4">
        <v>26.99</v>
      </c>
      <c r="J1705" s="5">
        <v>0</v>
      </c>
      <c r="K1705" s="6">
        <v>1</v>
      </c>
      <c r="L1705" s="6">
        <v>3</v>
      </c>
      <c r="M1705" t="s">
        <v>126</v>
      </c>
      <c r="N1705" t="s">
        <v>69</v>
      </c>
      <c r="O1705" t="s">
        <v>64</v>
      </c>
      <c r="P1705" t="str">
        <f t="shared" si="182"/>
        <v>Small Business</v>
      </c>
      <c r="Q1705" t="str">
        <f t="shared" si="183"/>
        <v>London</v>
      </c>
      <c r="R1705" t="str">
        <f>PROPER(TRIM(E1705))</f>
        <v>Electronics</v>
      </c>
      <c r="S1705" s="27">
        <f>IF(ISTEXT(B1705),DATEVALUE(B1705),B1705)</f>
        <v>45756</v>
      </c>
      <c r="T1705" s="27">
        <f>COUNTIF($A$2:$A$1986,A1705)</f>
        <v>1</v>
      </c>
      <c r="U1705" s="27" t="str">
        <f t="shared" si="184"/>
        <v>Webcam</v>
      </c>
      <c r="V1705" s="27">
        <f t="shared" si="185"/>
        <v>206.6</v>
      </c>
      <c r="W1705" s="27">
        <f t="shared" si="186"/>
        <v>107.96</v>
      </c>
      <c r="X1705" s="27">
        <f>RawSalesTable3[[#This Row],[Revenue]]-RawSalesTable3[[#This Row],[Total_Cost]]</f>
        <v>98.64</v>
      </c>
      <c r="Y1705" s="28">
        <f>RawSalesTable3[[#This Row],[Profit]]/RawSalesTable3[[#This Row],[Revenue]]</f>
        <v>0.47744433688286547</v>
      </c>
      <c r="Z1705" s="27" t="str">
        <f>TEXT(RawSalesTable3[[#This Row],[Order_Date_Clean]],"MMM YYYY")</f>
        <v>Apr 2025</v>
      </c>
      <c r="AA1705" s="27"/>
      <c r="AB1705" s="27">
        <f t="shared" si="187"/>
        <v>0</v>
      </c>
      <c r="AC1705" s="27">
        <f t="shared" si="188"/>
        <v>0</v>
      </c>
    </row>
    <row r="1706" spans="1:29">
      <c r="A1706" t="s">
        <v>1817</v>
      </c>
      <c r="B1706" s="3">
        <v>46008</v>
      </c>
      <c r="C1706" t="s">
        <v>82</v>
      </c>
      <c r="D1706" t="s">
        <v>55</v>
      </c>
      <c r="E1706" t="s">
        <v>79</v>
      </c>
      <c r="F1706" t="s">
        <v>115</v>
      </c>
      <c r="G1706" s="6">
        <v>4</v>
      </c>
      <c r="H1706" s="4">
        <v>58.38</v>
      </c>
      <c r="I1706" s="4">
        <v>33.68</v>
      </c>
      <c r="J1706" s="5">
        <v>0.15000000000000002</v>
      </c>
      <c r="K1706" s="6">
        <v>5</v>
      </c>
      <c r="L1706" s="6">
        <v>4</v>
      </c>
      <c r="M1706" t="s">
        <v>58</v>
      </c>
      <c r="N1706" t="s">
        <v>59</v>
      </c>
      <c r="O1706" t="s">
        <v>64</v>
      </c>
      <c r="P1706" t="str">
        <f t="shared" si="182"/>
        <v>Small Business</v>
      </c>
      <c r="Q1706" t="str">
        <f t="shared" si="183"/>
        <v>Midlands</v>
      </c>
      <c r="R1706" t="str">
        <f>PROPER(TRIM(E1706))</f>
        <v>Electronics</v>
      </c>
      <c r="S1706" s="27">
        <f>IF(ISTEXT(B1706),DATEVALUE(B1706),B1706)</f>
        <v>46008</v>
      </c>
      <c r="T1706" s="27">
        <f>COUNTIF($A$2:$A$1986,A1706)</f>
        <v>1</v>
      </c>
      <c r="U1706" s="27" t="str">
        <f t="shared" si="184"/>
        <v>Wireless Headset</v>
      </c>
      <c r="V1706" s="27">
        <f t="shared" si="185"/>
        <v>198.49199999999999</v>
      </c>
      <c r="W1706" s="27">
        <f t="shared" si="186"/>
        <v>134.72</v>
      </c>
      <c r="X1706" s="27">
        <f>RawSalesTable3[[#This Row],[Revenue]]-RawSalesTable3[[#This Row],[Total_Cost]]</f>
        <v>63.771999999999991</v>
      </c>
      <c r="Y1706" s="28">
        <f>RawSalesTable3[[#This Row],[Profit]]/RawSalesTable3[[#This Row],[Revenue]]</f>
        <v>0.32128246982246134</v>
      </c>
      <c r="Z1706" s="27" t="str">
        <f>TEXT(RawSalesTable3[[#This Row],[Order_Date_Clean]],"MMM YYYY")</f>
        <v>Dec 2025</v>
      </c>
      <c r="AA1706" s="27"/>
      <c r="AB1706" s="27">
        <f t="shared" si="187"/>
        <v>0</v>
      </c>
      <c r="AC1706" s="27">
        <f t="shared" si="188"/>
        <v>0</v>
      </c>
    </row>
    <row r="1707" spans="1:29">
      <c r="A1707" t="s">
        <v>1818</v>
      </c>
      <c r="B1707" s="3">
        <v>45859</v>
      </c>
      <c r="C1707" t="s">
        <v>54</v>
      </c>
      <c r="D1707" t="s">
        <v>55</v>
      </c>
      <c r="E1707" t="s">
        <v>75</v>
      </c>
      <c r="F1707" t="s">
        <v>97</v>
      </c>
      <c r="G1707" s="6">
        <v>4</v>
      </c>
      <c r="H1707" s="4">
        <v>91.58</v>
      </c>
      <c r="I1707" s="4">
        <v>53.93</v>
      </c>
      <c r="J1707" s="5">
        <v>0.05</v>
      </c>
      <c r="K1707" s="6">
        <v>5</v>
      </c>
      <c r="L1707" s="6">
        <v>4</v>
      </c>
      <c r="M1707" t="s">
        <v>58</v>
      </c>
      <c r="N1707" t="s">
        <v>69</v>
      </c>
      <c r="O1707" t="s">
        <v>64</v>
      </c>
      <c r="P1707" t="str">
        <f t="shared" si="182"/>
        <v>Small Business</v>
      </c>
      <c r="Q1707" t="str">
        <f t="shared" si="183"/>
        <v>North</v>
      </c>
      <c r="R1707" t="str">
        <f>PROPER(TRIM(E1707))</f>
        <v>Furniture</v>
      </c>
      <c r="S1707" s="27">
        <f>IF(ISTEXT(B1707),DATEVALUE(B1707),B1707)</f>
        <v>45859</v>
      </c>
      <c r="T1707" s="27">
        <f>COUNTIF($A$2:$A$1986,A1707)</f>
        <v>1</v>
      </c>
      <c r="U1707" s="27" t="str">
        <f t="shared" si="184"/>
        <v>Side Table</v>
      </c>
      <c r="V1707" s="27">
        <f t="shared" si="185"/>
        <v>348.00399999999996</v>
      </c>
      <c r="W1707" s="27">
        <f t="shared" si="186"/>
        <v>215.72</v>
      </c>
      <c r="X1707" s="27">
        <f>RawSalesTable3[[#This Row],[Revenue]]-RawSalesTable3[[#This Row],[Total_Cost]]</f>
        <v>132.28399999999996</v>
      </c>
      <c r="Y1707" s="28">
        <f>RawSalesTable3[[#This Row],[Profit]]/RawSalesTable3[[#This Row],[Revenue]]</f>
        <v>0.38012206756244177</v>
      </c>
      <c r="Z1707" s="27" t="str">
        <f>TEXT(RawSalesTable3[[#This Row],[Order_Date_Clean]],"MMM YYYY")</f>
        <v>Jul 2025</v>
      </c>
      <c r="AA1707" s="27"/>
      <c r="AB1707" s="27">
        <f t="shared" si="187"/>
        <v>0</v>
      </c>
      <c r="AC1707" s="27">
        <f t="shared" si="188"/>
        <v>0</v>
      </c>
    </row>
    <row r="1708" spans="1:29">
      <c r="A1708" t="s">
        <v>1819</v>
      </c>
      <c r="B1708" s="3">
        <v>45722</v>
      </c>
      <c r="C1708" t="s">
        <v>78</v>
      </c>
      <c r="D1708" t="s">
        <v>62</v>
      </c>
      <c r="E1708" t="s">
        <v>79</v>
      </c>
      <c r="F1708" t="s">
        <v>115</v>
      </c>
      <c r="G1708" s="6">
        <v>1</v>
      </c>
      <c r="H1708" s="4">
        <v>61.8</v>
      </c>
      <c r="I1708" s="4">
        <v>33.590000000000003</v>
      </c>
      <c r="J1708" s="5">
        <v>0.1</v>
      </c>
      <c r="K1708" s="6">
        <v>5</v>
      </c>
      <c r="L1708" s="6">
        <v>5</v>
      </c>
      <c r="M1708" t="s">
        <v>58</v>
      </c>
      <c r="N1708" t="s">
        <v>59</v>
      </c>
      <c r="O1708" t="s">
        <v>60</v>
      </c>
      <c r="P1708" t="str">
        <f t="shared" si="182"/>
        <v>Individual</v>
      </c>
      <c r="Q1708" t="str">
        <f t="shared" si="183"/>
        <v>London</v>
      </c>
      <c r="R1708" t="str">
        <f>PROPER(TRIM(E1708))</f>
        <v>Electronics</v>
      </c>
      <c r="S1708" s="27">
        <f>IF(ISTEXT(B1708),DATEVALUE(B1708),B1708)</f>
        <v>45722</v>
      </c>
      <c r="T1708" s="27">
        <f>COUNTIF($A$2:$A$1986,A1708)</f>
        <v>1</v>
      </c>
      <c r="U1708" s="27" t="str">
        <f t="shared" si="184"/>
        <v>Wireless Headset</v>
      </c>
      <c r="V1708" s="27">
        <f t="shared" si="185"/>
        <v>55.62</v>
      </c>
      <c r="W1708" s="27">
        <f t="shared" si="186"/>
        <v>33.590000000000003</v>
      </c>
      <c r="X1708" s="27">
        <f>RawSalesTable3[[#This Row],[Revenue]]-RawSalesTable3[[#This Row],[Total_Cost]]</f>
        <v>22.029999999999994</v>
      </c>
      <c r="Y1708" s="28">
        <f>RawSalesTable3[[#This Row],[Profit]]/RawSalesTable3[[#This Row],[Revenue]]</f>
        <v>0.39608054656598335</v>
      </c>
      <c r="Z1708" s="27" t="str">
        <f>TEXT(RawSalesTable3[[#This Row],[Order_Date_Clean]],"MMM YYYY")</f>
        <v>Mar 2025</v>
      </c>
      <c r="AA1708" s="27"/>
      <c r="AB1708" s="27">
        <f t="shared" si="187"/>
        <v>0</v>
      </c>
      <c r="AC1708" s="27">
        <f t="shared" si="188"/>
        <v>0</v>
      </c>
    </row>
    <row r="1709" spans="1:29">
      <c r="A1709" t="s">
        <v>1820</v>
      </c>
      <c r="B1709" s="3">
        <v>45711</v>
      </c>
      <c r="C1709" t="s">
        <v>66</v>
      </c>
      <c r="D1709" t="s">
        <v>62</v>
      </c>
      <c r="E1709" t="s">
        <v>56</v>
      </c>
      <c r="F1709" t="s">
        <v>57</v>
      </c>
      <c r="G1709" s="6">
        <v>1</v>
      </c>
      <c r="H1709" s="4">
        <v>108.51</v>
      </c>
      <c r="I1709" s="4">
        <v>65.92</v>
      </c>
      <c r="J1709" s="5">
        <v>0.05</v>
      </c>
      <c r="K1709" s="6">
        <v>6</v>
      </c>
      <c r="L1709" s="6">
        <v>3</v>
      </c>
      <c r="M1709" t="s">
        <v>58</v>
      </c>
      <c r="N1709" t="s">
        <v>59</v>
      </c>
      <c r="O1709" t="s">
        <v>64</v>
      </c>
      <c r="P1709" t="str">
        <f t="shared" si="182"/>
        <v>Individual</v>
      </c>
      <c r="Q1709" t="str">
        <f t="shared" si="183"/>
        <v>South</v>
      </c>
      <c r="R1709" t="str">
        <f>PROPER(TRIM(E1709))</f>
        <v>Home &amp; Kitchen</v>
      </c>
      <c r="S1709" s="27">
        <f>IF(ISTEXT(B1709),DATEVALUE(B1709),B1709)</f>
        <v>45711</v>
      </c>
      <c r="T1709" s="27">
        <f>COUNTIF($A$2:$A$1986,A1709)</f>
        <v>1</v>
      </c>
      <c r="U1709" s="27" t="str">
        <f t="shared" si="184"/>
        <v>Air Fryer</v>
      </c>
      <c r="V1709" s="27">
        <f t="shared" si="185"/>
        <v>103.08450000000001</v>
      </c>
      <c r="W1709" s="27">
        <f t="shared" si="186"/>
        <v>65.92</v>
      </c>
      <c r="X1709" s="27">
        <f>RawSalesTable3[[#This Row],[Revenue]]-RawSalesTable3[[#This Row],[Total_Cost]]</f>
        <v>37.164500000000004</v>
      </c>
      <c r="Y1709" s="28">
        <f>RawSalesTable3[[#This Row],[Profit]]/RawSalesTable3[[#This Row],[Revenue]]</f>
        <v>0.36052461815306863</v>
      </c>
      <c r="Z1709" s="27" t="str">
        <f>TEXT(RawSalesTable3[[#This Row],[Order_Date_Clean]],"MMM YYYY")</f>
        <v>Feb 2025</v>
      </c>
      <c r="AA1709" s="27"/>
      <c r="AB1709" s="27">
        <f t="shared" si="187"/>
        <v>0</v>
      </c>
      <c r="AC1709" s="27">
        <f t="shared" si="188"/>
        <v>0</v>
      </c>
    </row>
    <row r="1710" spans="1:29">
      <c r="A1710" t="s">
        <v>1821</v>
      </c>
      <c r="B1710" s="3">
        <v>45866</v>
      </c>
      <c r="C1710" t="s">
        <v>78</v>
      </c>
      <c r="D1710" t="s">
        <v>55</v>
      </c>
      <c r="E1710" t="s">
        <v>56</v>
      </c>
      <c r="F1710" t="s">
        <v>83</v>
      </c>
      <c r="G1710" s="6">
        <v>6</v>
      </c>
      <c r="H1710" s="4">
        <v>66.099999999999994</v>
      </c>
      <c r="I1710" s="4">
        <v>36.53</v>
      </c>
      <c r="J1710" s="5">
        <v>0.1</v>
      </c>
      <c r="K1710" s="6">
        <v>3</v>
      </c>
      <c r="L1710" s="6">
        <v>5</v>
      </c>
      <c r="M1710" t="s">
        <v>58</v>
      </c>
      <c r="N1710" t="s">
        <v>69</v>
      </c>
      <c r="O1710" t="s">
        <v>64</v>
      </c>
      <c r="P1710" t="str">
        <f t="shared" si="182"/>
        <v>Small Business</v>
      </c>
      <c r="Q1710" t="str">
        <f t="shared" si="183"/>
        <v>London</v>
      </c>
      <c r="R1710" t="str">
        <f>PROPER(TRIM(E1710))</f>
        <v>Home &amp; Kitchen</v>
      </c>
      <c r="S1710" s="27">
        <f>IF(ISTEXT(B1710),DATEVALUE(B1710),B1710)</f>
        <v>45866</v>
      </c>
      <c r="T1710" s="27">
        <f>COUNTIF($A$2:$A$1986,A1710)</f>
        <v>1</v>
      </c>
      <c r="U1710" s="27" t="str">
        <f t="shared" si="184"/>
        <v>Blender</v>
      </c>
      <c r="V1710" s="27">
        <f t="shared" si="185"/>
        <v>356.94</v>
      </c>
      <c r="W1710" s="27">
        <f t="shared" si="186"/>
        <v>219.18</v>
      </c>
      <c r="X1710" s="27">
        <f>RawSalesTable3[[#This Row],[Revenue]]-RawSalesTable3[[#This Row],[Total_Cost]]</f>
        <v>137.76</v>
      </c>
      <c r="Y1710" s="28">
        <f>RawSalesTable3[[#This Row],[Profit]]/RawSalesTable3[[#This Row],[Revenue]]</f>
        <v>0.38594721801983523</v>
      </c>
      <c r="Z1710" s="27" t="str">
        <f>TEXT(RawSalesTable3[[#This Row],[Order_Date_Clean]],"MMM YYYY")</f>
        <v>Jul 2025</v>
      </c>
      <c r="AA1710" s="27"/>
      <c r="AB1710" s="27">
        <f t="shared" si="187"/>
        <v>0</v>
      </c>
      <c r="AC1710" s="27">
        <f t="shared" si="188"/>
        <v>0</v>
      </c>
    </row>
    <row r="1711" spans="1:29">
      <c r="A1711" t="s">
        <v>1822</v>
      </c>
      <c r="B1711" s="3">
        <v>46009</v>
      </c>
      <c r="C1711" t="s">
        <v>66</v>
      </c>
      <c r="D1711" t="s">
        <v>62</v>
      </c>
      <c r="E1711" t="s">
        <v>79</v>
      </c>
      <c r="F1711" t="s">
        <v>85</v>
      </c>
      <c r="G1711" s="6">
        <v>4</v>
      </c>
      <c r="H1711" s="4">
        <v>134.78</v>
      </c>
      <c r="I1711" s="4">
        <v>87.33</v>
      </c>
      <c r="J1711" s="5">
        <v>0.15000000000000002</v>
      </c>
      <c r="K1711" s="6">
        <v>4</v>
      </c>
      <c r="L1711" s="6">
        <v>4</v>
      </c>
      <c r="M1711" t="s">
        <v>58</v>
      </c>
      <c r="N1711" t="s">
        <v>59</v>
      </c>
      <c r="O1711" t="s">
        <v>60</v>
      </c>
      <c r="P1711" t="str">
        <f t="shared" si="182"/>
        <v>Individual</v>
      </c>
      <c r="Q1711" t="str">
        <f t="shared" si="183"/>
        <v>South</v>
      </c>
      <c r="R1711" t="str">
        <f>PROPER(TRIM(E1711))</f>
        <v>Electronics</v>
      </c>
      <c r="S1711" s="27">
        <f>IF(ISTEXT(B1711),DATEVALUE(B1711),B1711)</f>
        <v>46009</v>
      </c>
      <c r="T1711" s="27">
        <f>COUNTIF($A$2:$A$1986,A1711)</f>
        <v>1</v>
      </c>
      <c r="U1711" s="27" t="str">
        <f t="shared" si="184"/>
        <v>SmartHome Hub</v>
      </c>
      <c r="V1711" s="27">
        <f t="shared" si="185"/>
        <v>458.25200000000001</v>
      </c>
      <c r="W1711" s="27">
        <f t="shared" si="186"/>
        <v>349.32</v>
      </c>
      <c r="X1711" s="27">
        <f>RawSalesTable3[[#This Row],[Revenue]]-RawSalesTable3[[#This Row],[Total_Cost]]</f>
        <v>108.93200000000002</v>
      </c>
      <c r="Y1711" s="28">
        <f>RawSalesTable3[[#This Row],[Profit]]/RawSalesTable3[[#This Row],[Revenue]]</f>
        <v>0.23771200125695036</v>
      </c>
      <c r="Z1711" s="27" t="str">
        <f>TEXT(RawSalesTable3[[#This Row],[Order_Date_Clean]],"MMM YYYY")</f>
        <v>Dec 2025</v>
      </c>
      <c r="AA1711" s="27"/>
      <c r="AB1711" s="27">
        <f t="shared" si="187"/>
        <v>0</v>
      </c>
      <c r="AC1711" s="27">
        <f t="shared" si="188"/>
        <v>0</v>
      </c>
    </row>
    <row r="1712" spans="1:29">
      <c r="A1712" t="s">
        <v>1823</v>
      </c>
      <c r="B1712" s="3">
        <v>46014</v>
      </c>
      <c r="C1712" t="s">
        <v>82</v>
      </c>
      <c r="D1712" t="s">
        <v>62</v>
      </c>
      <c r="E1712" t="s">
        <v>67</v>
      </c>
      <c r="F1712" t="s">
        <v>71</v>
      </c>
      <c r="G1712" s="6">
        <v>2</v>
      </c>
      <c r="H1712" s="4">
        <v>69.88</v>
      </c>
      <c r="I1712" s="4">
        <v>37.450000000000003</v>
      </c>
      <c r="J1712" s="5">
        <v>0.05</v>
      </c>
      <c r="K1712" s="6">
        <v>7</v>
      </c>
      <c r="L1712" s="6">
        <v>3</v>
      </c>
      <c r="M1712" t="s">
        <v>58</v>
      </c>
      <c r="N1712" t="s">
        <v>59</v>
      </c>
      <c r="O1712" t="s">
        <v>60</v>
      </c>
      <c r="P1712" t="str">
        <f t="shared" si="182"/>
        <v>Individual</v>
      </c>
      <c r="Q1712" t="str">
        <f t="shared" si="183"/>
        <v>Midlands</v>
      </c>
      <c r="R1712" t="str">
        <f>PROPER(TRIM(E1712))</f>
        <v>Office</v>
      </c>
      <c r="S1712" s="27">
        <f>IF(ISTEXT(B1712),DATEVALUE(B1712),B1712)</f>
        <v>46014</v>
      </c>
      <c r="T1712" s="27">
        <f>COUNTIF($A$2:$A$1986,A1712)</f>
        <v>1</v>
      </c>
      <c r="U1712" s="27" t="str">
        <f t="shared" si="184"/>
        <v>Ergonomic Keyboard</v>
      </c>
      <c r="V1712" s="27">
        <f t="shared" si="185"/>
        <v>132.77199999999999</v>
      </c>
      <c r="W1712" s="27">
        <f t="shared" si="186"/>
        <v>74.900000000000006</v>
      </c>
      <c r="X1712" s="27">
        <f>RawSalesTable3[[#This Row],[Revenue]]-RawSalesTable3[[#This Row],[Total_Cost]]</f>
        <v>57.871999999999986</v>
      </c>
      <c r="Y1712" s="28">
        <f>RawSalesTable3[[#This Row],[Profit]]/RawSalesTable3[[#This Row],[Revenue]]</f>
        <v>0.43587503389268811</v>
      </c>
      <c r="Z1712" s="27" t="str">
        <f>TEXT(RawSalesTable3[[#This Row],[Order_Date_Clean]],"MMM YYYY")</f>
        <v>Dec 2025</v>
      </c>
      <c r="AA1712" s="27"/>
      <c r="AB1712" s="27">
        <f t="shared" si="187"/>
        <v>0</v>
      </c>
      <c r="AC1712" s="27">
        <f t="shared" si="188"/>
        <v>0</v>
      </c>
    </row>
    <row r="1713" spans="1:29">
      <c r="A1713" t="s">
        <v>1824</v>
      </c>
      <c r="B1713" s="3">
        <v>45674</v>
      </c>
      <c r="C1713" t="s">
        <v>54</v>
      </c>
      <c r="D1713" t="s">
        <v>62</v>
      </c>
      <c r="E1713" t="s">
        <v>67</v>
      </c>
      <c r="F1713" t="s">
        <v>94</v>
      </c>
      <c r="G1713" s="6">
        <v>1</v>
      </c>
      <c r="H1713" s="4">
        <v>35.56</v>
      </c>
      <c r="I1713" s="4">
        <v>17.61</v>
      </c>
      <c r="J1713" s="5">
        <v>0.1</v>
      </c>
      <c r="K1713" s="6">
        <v>1</v>
      </c>
      <c r="L1713" s="6">
        <v>5</v>
      </c>
      <c r="M1713" t="s">
        <v>58</v>
      </c>
      <c r="N1713" t="s">
        <v>59</v>
      </c>
      <c r="O1713" t="s">
        <v>64</v>
      </c>
      <c r="P1713" t="str">
        <f t="shared" si="182"/>
        <v>Individual</v>
      </c>
      <c r="Q1713" t="str">
        <f t="shared" si="183"/>
        <v>North</v>
      </c>
      <c r="R1713" t="str">
        <f>PROPER(TRIM(E1713))</f>
        <v>Office</v>
      </c>
      <c r="S1713" s="27">
        <f>IF(ISTEXT(B1713),DATEVALUE(B1713),B1713)</f>
        <v>45674</v>
      </c>
      <c r="T1713" s="27">
        <f>COUNTIF($A$2:$A$1986,A1713)</f>
        <v>1</v>
      </c>
      <c r="U1713" s="27" t="str">
        <f t="shared" si="184"/>
        <v>Wireless Mouse</v>
      </c>
      <c r="V1713" s="27">
        <f t="shared" si="185"/>
        <v>32.004000000000005</v>
      </c>
      <c r="W1713" s="27">
        <f t="shared" si="186"/>
        <v>17.61</v>
      </c>
      <c r="X1713" s="27">
        <f>RawSalesTable3[[#This Row],[Revenue]]-RawSalesTable3[[#This Row],[Total_Cost]]</f>
        <v>14.394000000000005</v>
      </c>
      <c r="Y1713" s="28">
        <f>RawSalesTable3[[#This Row],[Profit]]/RawSalesTable3[[#This Row],[Revenue]]</f>
        <v>0.44975628046494198</v>
      </c>
      <c r="Z1713" s="27" t="str">
        <f>TEXT(RawSalesTable3[[#This Row],[Order_Date_Clean]],"MMM YYYY")</f>
        <v>Jan 2025</v>
      </c>
      <c r="AA1713" s="27"/>
      <c r="AB1713" s="27">
        <f t="shared" si="187"/>
        <v>0</v>
      </c>
      <c r="AC1713" s="27">
        <f t="shared" si="188"/>
        <v>0</v>
      </c>
    </row>
    <row r="1714" spans="1:29">
      <c r="A1714" t="s">
        <v>1825</v>
      </c>
      <c r="B1714" s="3">
        <v>45684</v>
      </c>
      <c r="C1714" t="s">
        <v>78</v>
      </c>
      <c r="D1714" t="s">
        <v>62</v>
      </c>
      <c r="E1714" t="s">
        <v>79</v>
      </c>
      <c r="F1714" t="s">
        <v>92</v>
      </c>
      <c r="G1714" s="6">
        <v>2</v>
      </c>
      <c r="H1714" s="4">
        <v>50.16</v>
      </c>
      <c r="I1714" s="4">
        <v>26.94</v>
      </c>
      <c r="J1714" s="5">
        <v>0</v>
      </c>
      <c r="K1714" s="6">
        <v>6</v>
      </c>
      <c r="L1714" s="6">
        <v>4</v>
      </c>
      <c r="M1714" t="s">
        <v>58</v>
      </c>
      <c r="N1714" t="s">
        <v>59</v>
      </c>
      <c r="O1714" t="s">
        <v>64</v>
      </c>
      <c r="P1714" t="str">
        <f t="shared" si="182"/>
        <v>Individual</v>
      </c>
      <c r="Q1714" t="str">
        <f t="shared" si="183"/>
        <v>London</v>
      </c>
      <c r="R1714" t="str">
        <f>PROPER(TRIM(E1714))</f>
        <v>Electronics</v>
      </c>
      <c r="S1714" s="27">
        <f>IF(ISTEXT(B1714),DATEVALUE(B1714),B1714)</f>
        <v>45684</v>
      </c>
      <c r="T1714" s="27">
        <f>COUNTIF($A$2:$A$1986,A1714)</f>
        <v>1</v>
      </c>
      <c r="U1714" s="27" t="str">
        <f t="shared" si="184"/>
        <v>Webcam</v>
      </c>
      <c r="V1714" s="27">
        <f t="shared" si="185"/>
        <v>100.32</v>
      </c>
      <c r="W1714" s="27">
        <f t="shared" si="186"/>
        <v>53.88</v>
      </c>
      <c r="X1714" s="27">
        <f>RawSalesTable3[[#This Row],[Revenue]]-RawSalesTable3[[#This Row],[Total_Cost]]</f>
        <v>46.439999999999991</v>
      </c>
      <c r="Y1714" s="28">
        <f>RawSalesTable3[[#This Row],[Profit]]/RawSalesTable3[[#This Row],[Revenue]]</f>
        <v>0.46291866028708128</v>
      </c>
      <c r="Z1714" s="27" t="str">
        <f>TEXT(RawSalesTable3[[#This Row],[Order_Date_Clean]],"MMM YYYY")</f>
        <v>Jan 2025</v>
      </c>
      <c r="AA1714" s="27"/>
      <c r="AB1714" s="27">
        <f t="shared" si="187"/>
        <v>0</v>
      </c>
      <c r="AC1714" s="27">
        <f t="shared" si="188"/>
        <v>0</v>
      </c>
    </row>
    <row r="1715" spans="1:29">
      <c r="A1715" t="s">
        <v>1826</v>
      </c>
      <c r="B1715" s="3">
        <v>45768</v>
      </c>
      <c r="C1715" t="s">
        <v>78</v>
      </c>
      <c r="D1715" t="s">
        <v>62</v>
      </c>
      <c r="E1715" t="s">
        <v>56</v>
      </c>
      <c r="F1715" t="s">
        <v>83</v>
      </c>
      <c r="G1715" s="6">
        <v>1</v>
      </c>
      <c r="H1715" s="4">
        <v>64.55</v>
      </c>
      <c r="I1715" s="4">
        <v>36.090000000000003</v>
      </c>
      <c r="J1715" s="5">
        <v>0.1</v>
      </c>
      <c r="K1715" s="6">
        <v>3</v>
      </c>
      <c r="L1715" s="6">
        <v>4</v>
      </c>
      <c r="M1715" t="s">
        <v>58</v>
      </c>
      <c r="N1715" t="s">
        <v>69</v>
      </c>
      <c r="O1715" t="s">
        <v>64</v>
      </c>
      <c r="P1715" t="str">
        <f t="shared" si="182"/>
        <v>Individual</v>
      </c>
      <c r="Q1715" t="str">
        <f t="shared" si="183"/>
        <v>London</v>
      </c>
      <c r="R1715" t="str">
        <f>PROPER(TRIM(E1715))</f>
        <v>Home &amp; Kitchen</v>
      </c>
      <c r="S1715" s="27">
        <f>IF(ISTEXT(B1715),DATEVALUE(B1715),B1715)</f>
        <v>45768</v>
      </c>
      <c r="T1715" s="27">
        <f>COUNTIF($A$2:$A$1986,A1715)</f>
        <v>1</v>
      </c>
      <c r="U1715" s="27" t="str">
        <f t="shared" si="184"/>
        <v>Blender</v>
      </c>
      <c r="V1715" s="27">
        <f t="shared" si="185"/>
        <v>58.094999999999999</v>
      </c>
      <c r="W1715" s="27">
        <f t="shared" si="186"/>
        <v>36.090000000000003</v>
      </c>
      <c r="X1715" s="27">
        <f>RawSalesTable3[[#This Row],[Revenue]]-RawSalesTable3[[#This Row],[Total_Cost]]</f>
        <v>22.004999999999995</v>
      </c>
      <c r="Y1715" s="28">
        <f>RawSalesTable3[[#This Row],[Profit]]/RawSalesTable3[[#This Row],[Revenue]]</f>
        <v>0.37877614252517422</v>
      </c>
      <c r="Z1715" s="27" t="str">
        <f>TEXT(RawSalesTable3[[#This Row],[Order_Date_Clean]],"MMM YYYY")</f>
        <v>Apr 2025</v>
      </c>
      <c r="AA1715" s="27"/>
      <c r="AB1715" s="27">
        <f t="shared" si="187"/>
        <v>0</v>
      </c>
      <c r="AC1715" s="27">
        <f t="shared" si="188"/>
        <v>0</v>
      </c>
    </row>
    <row r="1716" spans="1:29">
      <c r="A1716" t="s">
        <v>1827</v>
      </c>
      <c r="B1716" s="3">
        <v>45916</v>
      </c>
      <c r="C1716" t="s">
        <v>66</v>
      </c>
      <c r="D1716" t="s">
        <v>55</v>
      </c>
      <c r="E1716" t="s">
        <v>75</v>
      </c>
      <c r="F1716" t="s">
        <v>146</v>
      </c>
      <c r="G1716" s="6">
        <v>2</v>
      </c>
      <c r="H1716" s="4">
        <v>180.05</v>
      </c>
      <c r="I1716" s="4">
        <v>116.18</v>
      </c>
      <c r="J1716" s="5">
        <v>0.05</v>
      </c>
      <c r="K1716" s="6">
        <v>4</v>
      </c>
      <c r="L1716" s="6">
        <v>4</v>
      </c>
      <c r="M1716" t="s">
        <v>58</v>
      </c>
      <c r="N1716" t="s">
        <v>69</v>
      </c>
      <c r="O1716" t="s">
        <v>60</v>
      </c>
      <c r="P1716" t="str">
        <f t="shared" si="182"/>
        <v>Small Business</v>
      </c>
      <c r="Q1716" t="str">
        <f t="shared" si="183"/>
        <v>South</v>
      </c>
      <c r="R1716" t="str">
        <f>PROPER(TRIM(E1716))</f>
        <v>Furniture</v>
      </c>
      <c r="S1716" s="27">
        <f>IF(ISTEXT(B1716),DATEVALUE(B1716),B1716)</f>
        <v>45916</v>
      </c>
      <c r="T1716" s="27">
        <f>COUNTIF($A$2:$A$1986,A1716)</f>
        <v>1</v>
      </c>
      <c r="U1716" s="27" t="str">
        <f t="shared" si="184"/>
        <v>Office Chair</v>
      </c>
      <c r="V1716" s="27">
        <f t="shared" si="185"/>
        <v>342.09500000000003</v>
      </c>
      <c r="W1716" s="27">
        <f t="shared" si="186"/>
        <v>232.36</v>
      </c>
      <c r="X1716" s="27">
        <f>RawSalesTable3[[#This Row],[Revenue]]-RawSalesTable3[[#This Row],[Total_Cost]]</f>
        <v>109.73500000000001</v>
      </c>
      <c r="Y1716" s="28">
        <f>RawSalesTable3[[#This Row],[Profit]]/RawSalesTable3[[#This Row],[Revenue]]</f>
        <v>0.32077346935792689</v>
      </c>
      <c r="Z1716" s="27" t="str">
        <f>TEXT(RawSalesTable3[[#This Row],[Order_Date_Clean]],"MMM YYYY")</f>
        <v>Sep 2025</v>
      </c>
      <c r="AA1716" s="27"/>
      <c r="AB1716" s="27">
        <f t="shared" si="187"/>
        <v>0</v>
      </c>
      <c r="AC1716" s="27">
        <f t="shared" si="188"/>
        <v>0</v>
      </c>
    </row>
    <row r="1717" spans="1:29">
      <c r="A1717" t="s">
        <v>1828</v>
      </c>
      <c r="B1717" s="3">
        <v>45877</v>
      </c>
      <c r="C1717" t="s">
        <v>78</v>
      </c>
      <c r="D1717" t="s">
        <v>62</v>
      </c>
      <c r="E1717" t="s">
        <v>79</v>
      </c>
      <c r="F1717" t="s">
        <v>115</v>
      </c>
      <c r="G1717" s="6">
        <v>1</v>
      </c>
      <c r="H1717" s="4">
        <v>61.93</v>
      </c>
      <c r="I1717" s="4">
        <v>34.6</v>
      </c>
      <c r="J1717" s="5">
        <v>0</v>
      </c>
      <c r="K1717" s="6">
        <v>1</v>
      </c>
      <c r="L1717" s="6">
        <v>4</v>
      </c>
      <c r="M1717" t="s">
        <v>58</v>
      </c>
      <c r="N1717" t="s">
        <v>69</v>
      </c>
      <c r="O1717" t="s">
        <v>73</v>
      </c>
      <c r="P1717" t="str">
        <f t="shared" si="182"/>
        <v>Individual</v>
      </c>
      <c r="Q1717" t="str">
        <f t="shared" si="183"/>
        <v>London</v>
      </c>
      <c r="R1717" t="str">
        <f>PROPER(TRIM(E1717))</f>
        <v>Electronics</v>
      </c>
      <c r="S1717" s="27">
        <f>IF(ISTEXT(B1717),DATEVALUE(B1717),B1717)</f>
        <v>45877</v>
      </c>
      <c r="T1717" s="27">
        <f>COUNTIF($A$2:$A$1986,A1717)</f>
        <v>1</v>
      </c>
      <c r="U1717" s="27" t="str">
        <f t="shared" si="184"/>
        <v>Wireless Headset</v>
      </c>
      <c r="V1717" s="27">
        <f t="shared" si="185"/>
        <v>61.93</v>
      </c>
      <c r="W1717" s="27">
        <f t="shared" si="186"/>
        <v>34.6</v>
      </c>
      <c r="X1717" s="27">
        <f>RawSalesTable3[[#This Row],[Revenue]]-RawSalesTable3[[#This Row],[Total_Cost]]</f>
        <v>27.33</v>
      </c>
      <c r="Y1717" s="28">
        <f>RawSalesTable3[[#This Row],[Profit]]/RawSalesTable3[[#This Row],[Revenue]]</f>
        <v>0.44130469885354429</v>
      </c>
      <c r="Z1717" s="27" t="str">
        <f>TEXT(RawSalesTable3[[#This Row],[Order_Date_Clean]],"MMM YYYY")</f>
        <v>Aug 2025</v>
      </c>
      <c r="AA1717" s="27"/>
      <c r="AB1717" s="27">
        <f t="shared" si="187"/>
        <v>0</v>
      </c>
      <c r="AC1717" s="27">
        <f t="shared" si="188"/>
        <v>0</v>
      </c>
    </row>
    <row r="1718" spans="1:29">
      <c r="A1718" t="s">
        <v>1829</v>
      </c>
      <c r="B1718" s="3">
        <v>45675</v>
      </c>
      <c r="C1718" t="s">
        <v>78</v>
      </c>
      <c r="D1718" t="s">
        <v>62</v>
      </c>
      <c r="E1718" t="s">
        <v>67</v>
      </c>
      <c r="F1718" t="s">
        <v>94</v>
      </c>
      <c r="G1718" s="6">
        <v>2</v>
      </c>
      <c r="H1718" s="4">
        <v>35.270000000000003</v>
      </c>
      <c r="I1718" s="4">
        <v>16.510000000000002</v>
      </c>
      <c r="J1718" s="5">
        <v>0</v>
      </c>
      <c r="K1718" s="6">
        <v>3</v>
      </c>
      <c r="L1718" s="6">
        <v>5</v>
      </c>
      <c r="M1718" t="s">
        <v>58</v>
      </c>
      <c r="N1718" t="s">
        <v>59</v>
      </c>
      <c r="O1718" t="s">
        <v>64</v>
      </c>
      <c r="P1718" t="str">
        <f t="shared" si="182"/>
        <v>Individual</v>
      </c>
      <c r="Q1718" t="str">
        <f t="shared" si="183"/>
        <v>London</v>
      </c>
      <c r="R1718" t="str">
        <f>PROPER(TRIM(E1718))</f>
        <v>Office</v>
      </c>
      <c r="S1718" s="27">
        <f>IF(ISTEXT(B1718),DATEVALUE(B1718),B1718)</f>
        <v>45675</v>
      </c>
      <c r="T1718" s="27">
        <f>COUNTIF($A$2:$A$1986,A1718)</f>
        <v>1</v>
      </c>
      <c r="U1718" s="27" t="str">
        <f t="shared" si="184"/>
        <v>Wireless Mouse</v>
      </c>
      <c r="V1718" s="27">
        <f t="shared" si="185"/>
        <v>70.540000000000006</v>
      </c>
      <c r="W1718" s="27">
        <f t="shared" si="186"/>
        <v>33.020000000000003</v>
      </c>
      <c r="X1718" s="27">
        <f>RawSalesTable3[[#This Row],[Revenue]]-RawSalesTable3[[#This Row],[Total_Cost]]</f>
        <v>37.520000000000003</v>
      </c>
      <c r="Y1718" s="28">
        <f>RawSalesTable3[[#This Row],[Profit]]/RawSalesTable3[[#This Row],[Revenue]]</f>
        <v>0.53189679614403174</v>
      </c>
      <c r="Z1718" s="27" t="str">
        <f>TEXT(RawSalesTable3[[#This Row],[Order_Date_Clean]],"MMM YYYY")</f>
        <v>Jan 2025</v>
      </c>
      <c r="AA1718" s="27"/>
      <c r="AB1718" s="27">
        <f t="shared" si="187"/>
        <v>0</v>
      </c>
      <c r="AC1718" s="27">
        <f t="shared" si="188"/>
        <v>0</v>
      </c>
    </row>
    <row r="1719" spans="1:29">
      <c r="A1719" t="s">
        <v>1830</v>
      </c>
      <c r="B1719" s="3">
        <v>45830</v>
      </c>
      <c r="C1719" t="s">
        <v>78</v>
      </c>
      <c r="D1719" t="s">
        <v>62</v>
      </c>
      <c r="E1719" t="s">
        <v>79</v>
      </c>
      <c r="F1719" t="s">
        <v>80</v>
      </c>
      <c r="G1719" s="6">
        <v>1</v>
      </c>
      <c r="H1719" s="4">
        <v>75.72</v>
      </c>
      <c r="I1719" s="4">
        <v>41.91</v>
      </c>
      <c r="J1719" s="5">
        <v>0</v>
      </c>
      <c r="K1719" s="6">
        <v>0</v>
      </c>
      <c r="L1719" s="6">
        <v>4</v>
      </c>
      <c r="M1719" t="s">
        <v>58</v>
      </c>
      <c r="N1719" t="s">
        <v>69</v>
      </c>
      <c r="O1719" t="s">
        <v>60</v>
      </c>
      <c r="P1719" t="str">
        <f t="shared" si="182"/>
        <v>Individual</v>
      </c>
      <c r="Q1719" t="str">
        <f t="shared" si="183"/>
        <v>London</v>
      </c>
      <c r="R1719" t="str">
        <f>PROPER(TRIM(E1719))</f>
        <v>Electronics</v>
      </c>
      <c r="S1719" s="27">
        <f>IF(ISTEXT(B1719),DATEVALUE(B1719),B1719)</f>
        <v>45830</v>
      </c>
      <c r="T1719" s="27">
        <f>COUNTIF($A$2:$A$1986,A1719)</f>
        <v>1</v>
      </c>
      <c r="U1719" s="27" t="str">
        <f t="shared" si="184"/>
        <v>Portable Speaker</v>
      </c>
      <c r="V1719" s="27">
        <f t="shared" si="185"/>
        <v>75.72</v>
      </c>
      <c r="W1719" s="27">
        <f t="shared" si="186"/>
        <v>41.91</v>
      </c>
      <c r="X1719" s="27">
        <f>RawSalesTable3[[#This Row],[Revenue]]-RawSalesTable3[[#This Row],[Total_Cost]]</f>
        <v>33.81</v>
      </c>
      <c r="Y1719" s="28">
        <f>RawSalesTable3[[#This Row],[Profit]]/RawSalesTable3[[#This Row],[Revenue]]</f>
        <v>0.44651347068145802</v>
      </c>
      <c r="Z1719" s="27" t="str">
        <f>TEXT(RawSalesTable3[[#This Row],[Order_Date_Clean]],"MMM YYYY")</f>
        <v>Jun 2025</v>
      </c>
      <c r="AA1719" s="27"/>
      <c r="AB1719" s="27">
        <f t="shared" si="187"/>
        <v>0</v>
      </c>
      <c r="AC1719" s="27">
        <f t="shared" si="188"/>
        <v>0</v>
      </c>
    </row>
    <row r="1720" spans="1:29">
      <c r="A1720" t="s">
        <v>1831</v>
      </c>
      <c r="B1720" s="3">
        <v>45905</v>
      </c>
      <c r="C1720" t="s">
        <v>66</v>
      </c>
      <c r="D1720" t="s">
        <v>62</v>
      </c>
      <c r="E1720" t="s">
        <v>75</v>
      </c>
      <c r="F1720" t="s">
        <v>76</v>
      </c>
      <c r="G1720" s="6">
        <v>3</v>
      </c>
      <c r="H1720" s="4">
        <v>122.85</v>
      </c>
      <c r="I1720" s="4">
        <v>73.400000000000006</v>
      </c>
      <c r="J1720" s="5">
        <v>0.2</v>
      </c>
      <c r="K1720" s="6">
        <v>6</v>
      </c>
      <c r="L1720" s="6">
        <v>3</v>
      </c>
      <c r="M1720" t="s">
        <v>58</v>
      </c>
      <c r="N1720" t="s">
        <v>69</v>
      </c>
      <c r="O1720" t="s">
        <v>73</v>
      </c>
      <c r="P1720" t="str">
        <f t="shared" si="182"/>
        <v>Individual</v>
      </c>
      <c r="Q1720" t="str">
        <f t="shared" si="183"/>
        <v>South</v>
      </c>
      <c r="R1720" t="str">
        <f>PROPER(TRIM(E1720))</f>
        <v>Furniture</v>
      </c>
      <c r="S1720" s="27">
        <f>IF(ISTEXT(B1720),DATEVALUE(B1720),B1720)</f>
        <v>45905</v>
      </c>
      <c r="T1720" s="27">
        <f>COUNTIF($A$2:$A$1986,A1720)</f>
        <v>1</v>
      </c>
      <c r="U1720" s="27" t="str">
        <f t="shared" si="184"/>
        <v>Bookshelf</v>
      </c>
      <c r="V1720" s="27">
        <f t="shared" si="185"/>
        <v>294.83999999999997</v>
      </c>
      <c r="W1720" s="27">
        <f t="shared" si="186"/>
        <v>220.20000000000002</v>
      </c>
      <c r="X1720" s="27">
        <f>RawSalesTable3[[#This Row],[Revenue]]-RawSalesTable3[[#This Row],[Total_Cost]]</f>
        <v>74.639999999999958</v>
      </c>
      <c r="Y1720" s="28">
        <f>RawSalesTable3[[#This Row],[Profit]]/RawSalesTable3[[#This Row],[Revenue]]</f>
        <v>0.25315425315425305</v>
      </c>
      <c r="Z1720" s="27" t="str">
        <f>TEXT(RawSalesTable3[[#This Row],[Order_Date_Clean]],"MMM YYYY")</f>
        <v>Sep 2025</v>
      </c>
      <c r="AA1720" s="27"/>
      <c r="AB1720" s="27">
        <f t="shared" si="187"/>
        <v>0</v>
      </c>
      <c r="AC1720" s="27">
        <f t="shared" si="188"/>
        <v>0</v>
      </c>
    </row>
    <row r="1721" spans="1:29">
      <c r="A1721" t="s">
        <v>1832</v>
      </c>
      <c r="B1721" s="3">
        <v>45835</v>
      </c>
      <c r="C1721" t="s">
        <v>78</v>
      </c>
      <c r="D1721" t="s">
        <v>62</v>
      </c>
      <c r="E1721" t="s">
        <v>56</v>
      </c>
      <c r="F1721" t="s">
        <v>83</v>
      </c>
      <c r="G1721" s="6">
        <v>2</v>
      </c>
      <c r="H1721" s="4">
        <v>64.239999999999995</v>
      </c>
      <c r="I1721" s="4">
        <v>34.909999999999997</v>
      </c>
      <c r="J1721" s="5">
        <v>0.05</v>
      </c>
      <c r="K1721" s="6">
        <v>0</v>
      </c>
      <c r="L1721" s="6">
        <v>4</v>
      </c>
      <c r="M1721" t="s">
        <v>58</v>
      </c>
      <c r="N1721" t="s">
        <v>69</v>
      </c>
      <c r="O1721" t="s">
        <v>64</v>
      </c>
      <c r="P1721" t="str">
        <f t="shared" si="182"/>
        <v>Individual</v>
      </c>
      <c r="Q1721" t="str">
        <f t="shared" si="183"/>
        <v>London</v>
      </c>
      <c r="R1721" t="str">
        <f>PROPER(TRIM(E1721))</f>
        <v>Home &amp; Kitchen</v>
      </c>
      <c r="S1721" s="27">
        <f>IF(ISTEXT(B1721),DATEVALUE(B1721),B1721)</f>
        <v>45835</v>
      </c>
      <c r="T1721" s="27">
        <f>COUNTIF($A$2:$A$1986,A1721)</f>
        <v>1</v>
      </c>
      <c r="U1721" s="27" t="str">
        <f t="shared" si="184"/>
        <v>Blender</v>
      </c>
      <c r="V1721" s="27">
        <f t="shared" si="185"/>
        <v>122.05599999999998</v>
      </c>
      <c r="W1721" s="27">
        <f t="shared" si="186"/>
        <v>69.819999999999993</v>
      </c>
      <c r="X1721" s="27">
        <f>RawSalesTable3[[#This Row],[Revenue]]-RawSalesTable3[[#This Row],[Total_Cost]]</f>
        <v>52.23599999999999</v>
      </c>
      <c r="Y1721" s="28">
        <f>RawSalesTable3[[#This Row],[Profit]]/RawSalesTable3[[#This Row],[Revenue]]</f>
        <v>0.42796749033230647</v>
      </c>
      <c r="Z1721" s="27" t="str">
        <f>TEXT(RawSalesTable3[[#This Row],[Order_Date_Clean]],"MMM YYYY")</f>
        <v>Jun 2025</v>
      </c>
      <c r="AA1721" s="27"/>
      <c r="AB1721" s="27">
        <f t="shared" si="187"/>
        <v>0</v>
      </c>
      <c r="AC1721" s="27">
        <f t="shared" si="188"/>
        <v>0</v>
      </c>
    </row>
    <row r="1722" spans="1:29">
      <c r="A1722" t="s">
        <v>1833</v>
      </c>
      <c r="B1722" s="3">
        <v>45830</v>
      </c>
      <c r="C1722" t="s">
        <v>78</v>
      </c>
      <c r="D1722" t="s">
        <v>62</v>
      </c>
      <c r="E1722" t="s">
        <v>79</v>
      </c>
      <c r="F1722" t="s">
        <v>115</v>
      </c>
      <c r="G1722" s="6">
        <v>2</v>
      </c>
      <c r="H1722" s="4">
        <v>59.7</v>
      </c>
      <c r="I1722" s="4">
        <v>34.049999999999997</v>
      </c>
      <c r="J1722" s="5">
        <v>0</v>
      </c>
      <c r="K1722" s="6">
        <v>3</v>
      </c>
      <c r="L1722" s="6">
        <v>4</v>
      </c>
      <c r="M1722" t="s">
        <v>58</v>
      </c>
      <c r="N1722" t="s">
        <v>87</v>
      </c>
      <c r="O1722" t="s">
        <v>60</v>
      </c>
      <c r="P1722" t="str">
        <f t="shared" si="182"/>
        <v>Individual</v>
      </c>
      <c r="Q1722" t="str">
        <f t="shared" si="183"/>
        <v>London</v>
      </c>
      <c r="R1722" t="str">
        <f>PROPER(TRIM(E1722))</f>
        <v>Electronics</v>
      </c>
      <c r="S1722" s="27">
        <f>IF(ISTEXT(B1722),DATEVALUE(B1722),B1722)</f>
        <v>45830</v>
      </c>
      <c r="T1722" s="27">
        <f>COUNTIF($A$2:$A$1986,A1722)</f>
        <v>1</v>
      </c>
      <c r="U1722" s="27" t="str">
        <f t="shared" si="184"/>
        <v>Wireless Headset</v>
      </c>
      <c r="V1722" s="27">
        <f t="shared" si="185"/>
        <v>119.4</v>
      </c>
      <c r="W1722" s="27">
        <f t="shared" si="186"/>
        <v>68.099999999999994</v>
      </c>
      <c r="X1722" s="27">
        <f>RawSalesTable3[[#This Row],[Revenue]]-RawSalesTable3[[#This Row],[Total_Cost]]</f>
        <v>51.300000000000011</v>
      </c>
      <c r="Y1722" s="28">
        <f>RawSalesTable3[[#This Row],[Profit]]/RawSalesTable3[[#This Row],[Revenue]]</f>
        <v>0.42964824120603023</v>
      </c>
      <c r="Z1722" s="27" t="str">
        <f>TEXT(RawSalesTable3[[#This Row],[Order_Date_Clean]],"MMM YYYY")</f>
        <v>Jun 2025</v>
      </c>
      <c r="AA1722" s="27"/>
      <c r="AB1722" s="27">
        <f t="shared" si="187"/>
        <v>0</v>
      </c>
      <c r="AC1722" s="27">
        <f t="shared" si="188"/>
        <v>0</v>
      </c>
    </row>
    <row r="1723" spans="1:29">
      <c r="A1723" t="s">
        <v>1834</v>
      </c>
      <c r="B1723" s="3">
        <v>45864</v>
      </c>
      <c r="C1723" t="s">
        <v>54</v>
      </c>
      <c r="D1723" t="s">
        <v>62</v>
      </c>
      <c r="E1723" t="s">
        <v>75</v>
      </c>
      <c r="F1723" t="s">
        <v>146</v>
      </c>
      <c r="G1723" s="6">
        <v>2</v>
      </c>
      <c r="H1723" s="4">
        <v>179.76</v>
      </c>
      <c r="I1723" s="4">
        <v>111.82</v>
      </c>
      <c r="J1723" s="5">
        <v>0.05</v>
      </c>
      <c r="K1723" s="6">
        <v>8</v>
      </c>
      <c r="L1723" s="6">
        <v>2</v>
      </c>
      <c r="M1723" t="s">
        <v>126</v>
      </c>
      <c r="N1723" t="s">
        <v>59</v>
      </c>
      <c r="O1723" t="s">
        <v>64</v>
      </c>
      <c r="P1723" t="str">
        <f t="shared" si="182"/>
        <v>Individual</v>
      </c>
      <c r="Q1723" t="str">
        <f t="shared" si="183"/>
        <v>North</v>
      </c>
      <c r="R1723" t="str">
        <f>PROPER(TRIM(E1723))</f>
        <v>Furniture</v>
      </c>
      <c r="S1723" s="27">
        <f>IF(ISTEXT(B1723),DATEVALUE(B1723),B1723)</f>
        <v>45864</v>
      </c>
      <c r="T1723" s="27">
        <f>COUNTIF($A$2:$A$1986,A1723)</f>
        <v>1</v>
      </c>
      <c r="U1723" s="27" t="str">
        <f t="shared" si="184"/>
        <v>Office Chair</v>
      </c>
      <c r="V1723" s="27">
        <f t="shared" si="185"/>
        <v>341.54399999999998</v>
      </c>
      <c r="W1723" s="27">
        <f t="shared" si="186"/>
        <v>223.64</v>
      </c>
      <c r="X1723" s="27">
        <f>RawSalesTable3[[#This Row],[Revenue]]-RawSalesTable3[[#This Row],[Total_Cost]]</f>
        <v>117.904</v>
      </c>
      <c r="Y1723" s="28">
        <f>RawSalesTable3[[#This Row],[Profit]]/RawSalesTable3[[#This Row],[Revenue]]</f>
        <v>0.3452088164336074</v>
      </c>
      <c r="Z1723" s="27" t="str">
        <f>TEXT(RawSalesTable3[[#This Row],[Order_Date_Clean]],"MMM YYYY")</f>
        <v>Jul 2025</v>
      </c>
      <c r="AA1723" s="27"/>
      <c r="AB1723" s="27">
        <f t="shared" si="187"/>
        <v>0</v>
      </c>
      <c r="AC1723" s="27">
        <f t="shared" si="188"/>
        <v>0</v>
      </c>
    </row>
    <row r="1724" spans="1:29">
      <c r="A1724" t="s">
        <v>1835</v>
      </c>
      <c r="B1724" s="3">
        <v>45750</v>
      </c>
      <c r="C1724" t="s">
        <v>82</v>
      </c>
      <c r="D1724" t="s">
        <v>62</v>
      </c>
      <c r="E1724" t="s">
        <v>79</v>
      </c>
      <c r="F1724" t="s">
        <v>80</v>
      </c>
      <c r="G1724" s="6">
        <v>1</v>
      </c>
      <c r="H1724" s="4">
        <v>75.16</v>
      </c>
      <c r="I1724" s="4">
        <v>44.63</v>
      </c>
      <c r="J1724" s="5">
        <v>0.05</v>
      </c>
      <c r="K1724" s="6">
        <v>6</v>
      </c>
      <c r="L1724" s="6">
        <v>3</v>
      </c>
      <c r="M1724" t="s">
        <v>58</v>
      </c>
      <c r="N1724" t="s">
        <v>59</v>
      </c>
      <c r="O1724" t="s">
        <v>64</v>
      </c>
      <c r="P1724" t="str">
        <f t="shared" si="182"/>
        <v>Individual</v>
      </c>
      <c r="Q1724" t="str">
        <f t="shared" si="183"/>
        <v>Midlands</v>
      </c>
      <c r="R1724" t="str">
        <f>PROPER(TRIM(E1724))</f>
        <v>Electronics</v>
      </c>
      <c r="S1724" s="27">
        <f>IF(ISTEXT(B1724),DATEVALUE(B1724),B1724)</f>
        <v>45750</v>
      </c>
      <c r="T1724" s="27">
        <f>COUNTIF($A$2:$A$1986,A1724)</f>
        <v>1</v>
      </c>
      <c r="U1724" s="27" t="str">
        <f t="shared" si="184"/>
        <v>Portable Speaker</v>
      </c>
      <c r="V1724" s="27">
        <f t="shared" si="185"/>
        <v>71.401999999999987</v>
      </c>
      <c r="W1724" s="27">
        <f t="shared" si="186"/>
        <v>44.63</v>
      </c>
      <c r="X1724" s="27">
        <f>RawSalesTable3[[#This Row],[Revenue]]-RawSalesTable3[[#This Row],[Total_Cost]]</f>
        <v>26.771999999999984</v>
      </c>
      <c r="Y1724" s="28">
        <f>RawSalesTable3[[#This Row],[Profit]]/RawSalesTable3[[#This Row],[Revenue]]</f>
        <v>0.37494748046273196</v>
      </c>
      <c r="Z1724" s="27" t="str">
        <f>TEXT(RawSalesTable3[[#This Row],[Order_Date_Clean]],"MMM YYYY")</f>
        <v>Apr 2025</v>
      </c>
      <c r="AA1724" s="27"/>
      <c r="AB1724" s="27">
        <f t="shared" si="187"/>
        <v>0</v>
      </c>
      <c r="AC1724" s="27">
        <f t="shared" si="188"/>
        <v>0</v>
      </c>
    </row>
    <row r="1725" spans="1:29">
      <c r="A1725" t="s">
        <v>1836</v>
      </c>
      <c r="B1725" s="3">
        <v>45881</v>
      </c>
      <c r="C1725" t="s">
        <v>82</v>
      </c>
      <c r="D1725" t="s">
        <v>62</v>
      </c>
      <c r="E1725" t="s">
        <v>79</v>
      </c>
      <c r="F1725" t="s">
        <v>115</v>
      </c>
      <c r="G1725" s="6">
        <v>2</v>
      </c>
      <c r="H1725" s="4">
        <v>62.19</v>
      </c>
      <c r="I1725" s="4">
        <v>33.9</v>
      </c>
      <c r="J1725" s="5">
        <v>0.05</v>
      </c>
      <c r="K1725" s="6">
        <v>1</v>
      </c>
      <c r="L1725" s="6">
        <v>5</v>
      </c>
      <c r="M1725" t="s">
        <v>58</v>
      </c>
      <c r="N1725" t="s">
        <v>59</v>
      </c>
      <c r="O1725" t="s">
        <v>64</v>
      </c>
      <c r="P1725" t="str">
        <f t="shared" si="182"/>
        <v>Individual</v>
      </c>
      <c r="Q1725" t="str">
        <f t="shared" si="183"/>
        <v>Midlands</v>
      </c>
      <c r="R1725" t="str">
        <f>PROPER(TRIM(E1725))</f>
        <v>Electronics</v>
      </c>
      <c r="S1725" s="27">
        <f>IF(ISTEXT(B1725),DATEVALUE(B1725),B1725)</f>
        <v>45881</v>
      </c>
      <c r="T1725" s="27">
        <f>COUNTIF($A$2:$A$1986,A1725)</f>
        <v>1</v>
      </c>
      <c r="U1725" s="27" t="str">
        <f t="shared" si="184"/>
        <v>Wireless Headset</v>
      </c>
      <c r="V1725" s="27">
        <f t="shared" si="185"/>
        <v>118.16099999999999</v>
      </c>
      <c r="W1725" s="27">
        <f t="shared" si="186"/>
        <v>67.8</v>
      </c>
      <c r="X1725" s="27">
        <f>RawSalesTable3[[#This Row],[Revenue]]-RawSalesTable3[[#This Row],[Total_Cost]]</f>
        <v>50.36099999999999</v>
      </c>
      <c r="Y1725" s="28">
        <f>RawSalesTable3[[#This Row],[Profit]]/RawSalesTable3[[#This Row],[Revenue]]</f>
        <v>0.42620661639627283</v>
      </c>
      <c r="Z1725" s="27" t="str">
        <f>TEXT(RawSalesTable3[[#This Row],[Order_Date_Clean]],"MMM YYYY")</f>
        <v>Aug 2025</v>
      </c>
      <c r="AA1725" s="27"/>
      <c r="AB1725" s="27">
        <f t="shared" si="187"/>
        <v>0</v>
      </c>
      <c r="AC1725" s="27">
        <f t="shared" si="188"/>
        <v>0</v>
      </c>
    </row>
    <row r="1726" spans="1:29">
      <c r="A1726" t="s">
        <v>1837</v>
      </c>
      <c r="B1726" s="3">
        <v>45756</v>
      </c>
      <c r="C1726" t="s">
        <v>54</v>
      </c>
      <c r="D1726" t="s">
        <v>62</v>
      </c>
      <c r="E1726" t="s">
        <v>56</v>
      </c>
      <c r="F1726" t="s">
        <v>83</v>
      </c>
      <c r="G1726" s="6">
        <v>3</v>
      </c>
      <c r="H1726" s="4">
        <v>63.58</v>
      </c>
      <c r="I1726" s="4">
        <v>35.619999999999997</v>
      </c>
      <c r="J1726" s="5">
        <v>0.05</v>
      </c>
      <c r="K1726" s="6">
        <v>6</v>
      </c>
      <c r="L1726" s="6">
        <v>4</v>
      </c>
      <c r="M1726" t="s">
        <v>58</v>
      </c>
      <c r="N1726" t="s">
        <v>59</v>
      </c>
      <c r="O1726" t="s">
        <v>60</v>
      </c>
      <c r="P1726" t="str">
        <f t="shared" si="182"/>
        <v>Individual</v>
      </c>
      <c r="Q1726" t="str">
        <f t="shared" si="183"/>
        <v>North</v>
      </c>
      <c r="R1726" t="str">
        <f>PROPER(TRIM(E1726))</f>
        <v>Home &amp; Kitchen</v>
      </c>
      <c r="S1726" s="27">
        <f>IF(ISTEXT(B1726),DATEVALUE(B1726),B1726)</f>
        <v>45756</v>
      </c>
      <c r="T1726" s="27">
        <f>COUNTIF($A$2:$A$1986,A1726)</f>
        <v>1</v>
      </c>
      <c r="U1726" s="27" t="str">
        <f t="shared" si="184"/>
        <v>Blender</v>
      </c>
      <c r="V1726" s="27">
        <f t="shared" si="185"/>
        <v>181.203</v>
      </c>
      <c r="W1726" s="27">
        <f t="shared" si="186"/>
        <v>106.85999999999999</v>
      </c>
      <c r="X1726" s="27">
        <f>RawSalesTable3[[#This Row],[Revenue]]-RawSalesTable3[[#This Row],[Total_Cost]]</f>
        <v>74.343000000000018</v>
      </c>
      <c r="Y1726" s="28">
        <f>RawSalesTable3[[#This Row],[Profit]]/RawSalesTable3[[#This Row],[Revenue]]</f>
        <v>0.41027466432674964</v>
      </c>
      <c r="Z1726" s="27" t="str">
        <f>TEXT(RawSalesTable3[[#This Row],[Order_Date_Clean]],"MMM YYYY")</f>
        <v>Apr 2025</v>
      </c>
      <c r="AA1726" s="27"/>
      <c r="AB1726" s="27">
        <f t="shared" si="187"/>
        <v>0</v>
      </c>
      <c r="AC1726" s="27">
        <f t="shared" si="188"/>
        <v>0</v>
      </c>
    </row>
    <row r="1727" spans="1:29">
      <c r="A1727" t="s">
        <v>1838</v>
      </c>
      <c r="B1727" s="3">
        <v>45933</v>
      </c>
      <c r="C1727" t="s">
        <v>82</v>
      </c>
      <c r="D1727" t="s">
        <v>129</v>
      </c>
      <c r="E1727" t="s">
        <v>56</v>
      </c>
      <c r="F1727" t="s">
        <v>83</v>
      </c>
      <c r="G1727" s="6">
        <v>10</v>
      </c>
      <c r="H1727" s="4">
        <v>65.52</v>
      </c>
      <c r="I1727" s="4">
        <v>34.26</v>
      </c>
      <c r="J1727" s="5">
        <v>0.05</v>
      </c>
      <c r="K1727" s="6">
        <v>3</v>
      </c>
      <c r="L1727" s="6">
        <v>4</v>
      </c>
      <c r="M1727" t="s">
        <v>58</v>
      </c>
      <c r="N1727" t="s">
        <v>69</v>
      </c>
      <c r="O1727" t="s">
        <v>64</v>
      </c>
      <c r="P1727" t="str">
        <f t="shared" si="182"/>
        <v>Corporate</v>
      </c>
      <c r="Q1727" t="str">
        <f t="shared" si="183"/>
        <v>Midlands</v>
      </c>
      <c r="R1727" t="str">
        <f>PROPER(TRIM(E1727))</f>
        <v>Home &amp; Kitchen</v>
      </c>
      <c r="S1727" s="27">
        <f>IF(ISTEXT(B1727),DATEVALUE(B1727),B1727)</f>
        <v>45933</v>
      </c>
      <c r="T1727" s="27">
        <f>COUNTIF($A$2:$A$1986,A1727)</f>
        <v>1</v>
      </c>
      <c r="U1727" s="27" t="str">
        <f t="shared" si="184"/>
        <v>Blender</v>
      </c>
      <c r="V1727" s="27">
        <f t="shared" si="185"/>
        <v>622.43999999999994</v>
      </c>
      <c r="W1727" s="27">
        <f t="shared" si="186"/>
        <v>342.59999999999997</v>
      </c>
      <c r="X1727" s="27">
        <f>RawSalesTable3[[#This Row],[Revenue]]-RawSalesTable3[[#This Row],[Total_Cost]]</f>
        <v>279.83999999999997</v>
      </c>
      <c r="Y1727" s="28">
        <f>RawSalesTable3[[#This Row],[Profit]]/RawSalesTable3[[#This Row],[Revenue]]</f>
        <v>0.44958550221708116</v>
      </c>
      <c r="Z1727" s="27" t="str">
        <f>TEXT(RawSalesTable3[[#This Row],[Order_Date_Clean]],"MMM YYYY")</f>
        <v>Oct 2025</v>
      </c>
      <c r="AA1727" s="27"/>
      <c r="AB1727" s="27">
        <f t="shared" si="187"/>
        <v>0</v>
      </c>
      <c r="AC1727" s="27">
        <f t="shared" si="188"/>
        <v>0</v>
      </c>
    </row>
    <row r="1728" spans="1:29">
      <c r="A1728" t="s">
        <v>1839</v>
      </c>
      <c r="B1728" s="3">
        <v>45928</v>
      </c>
      <c r="C1728" t="s">
        <v>78</v>
      </c>
      <c r="D1728" t="s">
        <v>62</v>
      </c>
      <c r="E1728" t="s">
        <v>56</v>
      </c>
      <c r="F1728" t="s">
        <v>57</v>
      </c>
      <c r="G1728" s="6">
        <v>1</v>
      </c>
      <c r="H1728" s="4">
        <v>111.12</v>
      </c>
      <c r="I1728" s="4">
        <v>68.569999999999993</v>
      </c>
      <c r="J1728" s="5">
        <v>0.1</v>
      </c>
      <c r="K1728" s="6">
        <v>4</v>
      </c>
      <c r="L1728" s="6">
        <v>4</v>
      </c>
      <c r="M1728" t="s">
        <v>58</v>
      </c>
      <c r="N1728" t="s">
        <v>59</v>
      </c>
      <c r="O1728" t="s">
        <v>60</v>
      </c>
      <c r="P1728" t="str">
        <f t="shared" si="182"/>
        <v>Individual</v>
      </c>
      <c r="Q1728" t="str">
        <f t="shared" si="183"/>
        <v>London</v>
      </c>
      <c r="R1728" t="str">
        <f>PROPER(TRIM(E1728))</f>
        <v>Home &amp; Kitchen</v>
      </c>
      <c r="S1728" s="27">
        <f>IF(ISTEXT(B1728),DATEVALUE(B1728),B1728)</f>
        <v>45928</v>
      </c>
      <c r="T1728" s="27">
        <f>COUNTIF($A$2:$A$1986,A1728)</f>
        <v>1</v>
      </c>
      <c r="U1728" s="27" t="str">
        <f t="shared" si="184"/>
        <v>Air Fryer</v>
      </c>
      <c r="V1728" s="27">
        <f t="shared" si="185"/>
        <v>100.00800000000001</v>
      </c>
      <c r="W1728" s="27">
        <f t="shared" si="186"/>
        <v>68.569999999999993</v>
      </c>
      <c r="X1728" s="27">
        <f>RawSalesTable3[[#This Row],[Revenue]]-RawSalesTable3[[#This Row],[Total_Cost]]</f>
        <v>31.438000000000017</v>
      </c>
      <c r="Y1728" s="28">
        <f>RawSalesTable3[[#This Row],[Profit]]/RawSalesTable3[[#This Row],[Revenue]]</f>
        <v>0.31435485161187121</v>
      </c>
      <c r="Z1728" s="27" t="str">
        <f>TEXT(RawSalesTable3[[#This Row],[Order_Date_Clean]],"MMM YYYY")</f>
        <v>Sep 2025</v>
      </c>
      <c r="AA1728" s="27"/>
      <c r="AB1728" s="27">
        <f t="shared" si="187"/>
        <v>0</v>
      </c>
      <c r="AC1728" s="27">
        <f t="shared" si="188"/>
        <v>0</v>
      </c>
    </row>
    <row r="1729" spans="1:29">
      <c r="A1729" t="s">
        <v>1840</v>
      </c>
      <c r="B1729" s="3">
        <v>45882</v>
      </c>
      <c r="C1729" t="s">
        <v>78</v>
      </c>
      <c r="D1729" t="s">
        <v>62</v>
      </c>
      <c r="E1729" t="s">
        <v>56</v>
      </c>
      <c r="F1729" t="s">
        <v>83</v>
      </c>
      <c r="G1729" s="6">
        <v>1</v>
      </c>
      <c r="H1729" s="4">
        <v>63.72</v>
      </c>
      <c r="I1729" s="4">
        <v>36.58</v>
      </c>
      <c r="J1729" s="5">
        <v>0</v>
      </c>
      <c r="K1729" s="6">
        <v>1</v>
      </c>
      <c r="L1729" s="6">
        <v>4</v>
      </c>
      <c r="M1729" t="s">
        <v>58</v>
      </c>
      <c r="N1729" t="s">
        <v>69</v>
      </c>
      <c r="O1729" t="s">
        <v>64</v>
      </c>
      <c r="P1729" t="str">
        <f t="shared" si="182"/>
        <v>Individual</v>
      </c>
      <c r="Q1729" t="str">
        <f t="shared" si="183"/>
        <v>London</v>
      </c>
      <c r="R1729" t="str">
        <f>PROPER(TRIM(E1729))</f>
        <v>Home &amp; Kitchen</v>
      </c>
      <c r="S1729" s="27">
        <f>IF(ISTEXT(B1729),DATEVALUE(B1729),B1729)</f>
        <v>45882</v>
      </c>
      <c r="T1729" s="27">
        <f>COUNTIF($A$2:$A$1986,A1729)</f>
        <v>1</v>
      </c>
      <c r="U1729" s="27" t="str">
        <f t="shared" si="184"/>
        <v>Blender</v>
      </c>
      <c r="V1729" s="27">
        <f t="shared" si="185"/>
        <v>63.72</v>
      </c>
      <c r="W1729" s="27">
        <f t="shared" si="186"/>
        <v>36.58</v>
      </c>
      <c r="X1729" s="27">
        <f>RawSalesTable3[[#This Row],[Revenue]]-RawSalesTable3[[#This Row],[Total_Cost]]</f>
        <v>27.14</v>
      </c>
      <c r="Y1729" s="28">
        <f>RawSalesTable3[[#This Row],[Profit]]/RawSalesTable3[[#This Row],[Revenue]]</f>
        <v>0.42592592592592593</v>
      </c>
      <c r="Z1729" s="27" t="str">
        <f>TEXT(RawSalesTable3[[#This Row],[Order_Date_Clean]],"MMM YYYY")</f>
        <v>Aug 2025</v>
      </c>
      <c r="AA1729" s="27"/>
      <c r="AB1729" s="27">
        <f t="shared" si="187"/>
        <v>0</v>
      </c>
      <c r="AC1729" s="27">
        <f t="shared" si="188"/>
        <v>0</v>
      </c>
    </row>
    <row r="1730" spans="1:29">
      <c r="A1730" t="s">
        <v>1841</v>
      </c>
      <c r="B1730" s="3">
        <v>45722</v>
      </c>
      <c r="C1730" t="s">
        <v>82</v>
      </c>
      <c r="D1730" t="s">
        <v>62</v>
      </c>
      <c r="E1730" t="s">
        <v>79</v>
      </c>
      <c r="F1730" t="s">
        <v>80</v>
      </c>
      <c r="G1730" s="6">
        <v>1</v>
      </c>
      <c r="H1730" s="4">
        <v>76.41</v>
      </c>
      <c r="I1730" s="4">
        <v>42.92</v>
      </c>
      <c r="J1730" s="5">
        <v>0.05</v>
      </c>
      <c r="K1730" s="6">
        <v>4</v>
      </c>
      <c r="L1730" s="6">
        <v>4</v>
      </c>
      <c r="M1730" t="s">
        <v>58</v>
      </c>
      <c r="N1730" t="s">
        <v>87</v>
      </c>
      <c r="O1730" t="s">
        <v>64</v>
      </c>
      <c r="P1730" t="str">
        <f t="shared" ref="P1730:P1793" si="189">IF(TRIM(D1730)="","Unknow",PROPER(TRIM(D1730)))</f>
        <v>Individual</v>
      </c>
      <c r="Q1730" t="str">
        <f t="shared" ref="Q1730:Q1793" si="190">IF(PROPER(TRIM(C1730))="Mid Lands","Midlands",PROPER(TRIM(C1730)))</f>
        <v>Midlands</v>
      </c>
      <c r="R1730" t="str">
        <f>PROPER(TRIM(E1730))</f>
        <v>Electronics</v>
      </c>
      <c r="S1730" s="27">
        <f>IF(ISTEXT(B1730),DATEVALUE(B1730),B1730)</f>
        <v>45722</v>
      </c>
      <c r="T1730" s="27">
        <f>COUNTIF($A$2:$A$1986,A1730)</f>
        <v>1</v>
      </c>
      <c r="U1730" s="27" t="str">
        <f t="shared" ref="U1730:U1793" si="191">TRIM(F1730)</f>
        <v>Portable Speaker</v>
      </c>
      <c r="V1730" s="27">
        <f t="shared" ref="V1730:V1793" si="192">G1730*H1730*(1-J1730)</f>
        <v>72.589499999999987</v>
      </c>
      <c r="W1730" s="27">
        <f t="shared" ref="W1730:W1793" si="193">G1730*I1730</f>
        <v>42.92</v>
      </c>
      <c r="X1730" s="27">
        <f>RawSalesTable3[[#This Row],[Revenue]]-RawSalesTable3[[#This Row],[Total_Cost]]</f>
        <v>29.669499999999985</v>
      </c>
      <c r="Y1730" s="28">
        <f>RawSalesTable3[[#This Row],[Profit]]/RawSalesTable3[[#This Row],[Revenue]]</f>
        <v>0.40872991272842479</v>
      </c>
      <c r="Z1730" s="27" t="str">
        <f>TEXT(RawSalesTable3[[#This Row],[Order_Date_Clean]],"MMM YYYY")</f>
        <v>Mar 2025</v>
      </c>
      <c r="AA1730" s="27"/>
      <c r="AB1730" s="27">
        <f t="shared" ref="AB1730:AB1793" si="194">SUMIF($Z:$Z,AA1730,$V:$V)</f>
        <v>0</v>
      </c>
      <c r="AC1730" s="27">
        <f t="shared" ref="AC1730:AC1793" si="195">SUMIF($Z:$Z,AA1730,$X:$X)</f>
        <v>0</v>
      </c>
    </row>
    <row r="1731" spans="1:29">
      <c r="A1731" t="s">
        <v>1842</v>
      </c>
      <c r="B1731" s="3">
        <v>45765</v>
      </c>
      <c r="C1731" t="s">
        <v>82</v>
      </c>
      <c r="D1731" t="s">
        <v>62</v>
      </c>
      <c r="E1731" t="s">
        <v>75</v>
      </c>
      <c r="F1731" t="s">
        <v>76</v>
      </c>
      <c r="G1731" s="6">
        <v>1</v>
      </c>
      <c r="H1731" s="4">
        <v>119.49</v>
      </c>
      <c r="I1731" s="4">
        <v>73.099999999999994</v>
      </c>
      <c r="J1731" s="5">
        <v>0</v>
      </c>
      <c r="K1731" s="6">
        <v>7</v>
      </c>
      <c r="L1731" s="6">
        <v>3</v>
      </c>
      <c r="M1731" t="s">
        <v>58</v>
      </c>
      <c r="N1731" t="s">
        <v>59</v>
      </c>
      <c r="O1731" t="s">
        <v>64</v>
      </c>
      <c r="P1731" t="str">
        <f t="shared" si="189"/>
        <v>Individual</v>
      </c>
      <c r="Q1731" t="str">
        <f t="shared" si="190"/>
        <v>Midlands</v>
      </c>
      <c r="R1731" t="str">
        <f>PROPER(TRIM(E1731))</f>
        <v>Furniture</v>
      </c>
      <c r="S1731" s="27">
        <f>IF(ISTEXT(B1731),DATEVALUE(B1731),B1731)</f>
        <v>45765</v>
      </c>
      <c r="T1731" s="27">
        <f>COUNTIF($A$2:$A$1986,A1731)</f>
        <v>1</v>
      </c>
      <c r="U1731" s="27" t="str">
        <f t="shared" si="191"/>
        <v>Bookshelf</v>
      </c>
      <c r="V1731" s="27">
        <f t="shared" si="192"/>
        <v>119.49</v>
      </c>
      <c r="W1731" s="27">
        <f t="shared" si="193"/>
        <v>73.099999999999994</v>
      </c>
      <c r="X1731" s="27">
        <f>RawSalesTable3[[#This Row],[Revenue]]-RawSalesTable3[[#This Row],[Total_Cost]]</f>
        <v>46.39</v>
      </c>
      <c r="Y1731" s="28">
        <f>RawSalesTable3[[#This Row],[Profit]]/RawSalesTable3[[#This Row],[Revenue]]</f>
        <v>0.38823332496443219</v>
      </c>
      <c r="Z1731" s="27" t="str">
        <f>TEXT(RawSalesTable3[[#This Row],[Order_Date_Clean]],"MMM YYYY")</f>
        <v>Apr 2025</v>
      </c>
      <c r="AA1731" s="27"/>
      <c r="AB1731" s="27">
        <f t="shared" si="194"/>
        <v>0</v>
      </c>
      <c r="AC1731" s="27">
        <f t="shared" si="195"/>
        <v>0</v>
      </c>
    </row>
    <row r="1732" spans="1:29">
      <c r="A1732" t="s">
        <v>1843</v>
      </c>
      <c r="B1732" s="3">
        <v>45768</v>
      </c>
      <c r="C1732" t="s">
        <v>78</v>
      </c>
      <c r="D1732" t="s">
        <v>62</v>
      </c>
      <c r="E1732" t="s">
        <v>67</v>
      </c>
      <c r="F1732" t="s">
        <v>94</v>
      </c>
      <c r="G1732" s="6">
        <v>1</v>
      </c>
      <c r="H1732" s="4">
        <v>34.43</v>
      </c>
      <c r="I1732" s="4">
        <v>17.739999999999998</v>
      </c>
      <c r="J1732" s="5">
        <v>0.05</v>
      </c>
      <c r="K1732" s="6">
        <v>1</v>
      </c>
      <c r="L1732" s="6">
        <v>4</v>
      </c>
      <c r="M1732" t="s">
        <v>58</v>
      </c>
      <c r="N1732" t="s">
        <v>69</v>
      </c>
      <c r="O1732" t="s">
        <v>64</v>
      </c>
      <c r="P1732" t="str">
        <f t="shared" si="189"/>
        <v>Individual</v>
      </c>
      <c r="Q1732" t="str">
        <f t="shared" si="190"/>
        <v>London</v>
      </c>
      <c r="R1732" t="str">
        <f>PROPER(TRIM(E1732))</f>
        <v>Office</v>
      </c>
      <c r="S1732" s="27">
        <f>IF(ISTEXT(B1732),DATEVALUE(B1732),B1732)</f>
        <v>45768</v>
      </c>
      <c r="T1732" s="27">
        <f>COUNTIF($A$2:$A$1986,A1732)</f>
        <v>1</v>
      </c>
      <c r="U1732" s="27" t="str">
        <f t="shared" si="191"/>
        <v>Wireless Mouse</v>
      </c>
      <c r="V1732" s="27">
        <f t="shared" si="192"/>
        <v>32.708500000000001</v>
      </c>
      <c r="W1732" s="27">
        <f t="shared" si="193"/>
        <v>17.739999999999998</v>
      </c>
      <c r="X1732" s="27">
        <f>RawSalesTable3[[#This Row],[Revenue]]-RawSalesTable3[[#This Row],[Total_Cost]]</f>
        <v>14.968500000000002</v>
      </c>
      <c r="Y1732" s="28">
        <f>RawSalesTable3[[#This Row],[Profit]]/RawSalesTable3[[#This Row],[Revenue]]</f>
        <v>0.4576333369001942</v>
      </c>
      <c r="Z1732" s="27" t="str">
        <f>TEXT(RawSalesTable3[[#This Row],[Order_Date_Clean]],"MMM YYYY")</f>
        <v>Apr 2025</v>
      </c>
      <c r="AA1732" s="27"/>
      <c r="AB1732" s="27">
        <f t="shared" si="194"/>
        <v>0</v>
      </c>
      <c r="AC1732" s="27">
        <f t="shared" si="195"/>
        <v>0</v>
      </c>
    </row>
    <row r="1733" spans="1:29">
      <c r="A1733" t="s">
        <v>1844</v>
      </c>
      <c r="B1733" s="3">
        <v>45725</v>
      </c>
      <c r="C1733" t="s">
        <v>78</v>
      </c>
      <c r="D1733" t="s">
        <v>129</v>
      </c>
      <c r="E1733" t="s">
        <v>75</v>
      </c>
      <c r="F1733" t="s">
        <v>97</v>
      </c>
      <c r="G1733" s="6">
        <v>3</v>
      </c>
      <c r="H1733" s="4">
        <v>92.23</v>
      </c>
      <c r="I1733" s="4">
        <v>56.2</v>
      </c>
      <c r="J1733" s="5">
        <v>0.1</v>
      </c>
      <c r="K1733" s="6">
        <v>6</v>
      </c>
      <c r="L1733" s="6">
        <v>4</v>
      </c>
      <c r="M1733" t="s">
        <v>58</v>
      </c>
      <c r="N1733" t="s">
        <v>59</v>
      </c>
      <c r="O1733" t="s">
        <v>60</v>
      </c>
      <c r="P1733" t="str">
        <f t="shared" si="189"/>
        <v>Corporate</v>
      </c>
      <c r="Q1733" t="str">
        <f t="shared" si="190"/>
        <v>London</v>
      </c>
      <c r="R1733" t="str">
        <f>PROPER(TRIM(E1733))</f>
        <v>Furniture</v>
      </c>
      <c r="S1733" s="27">
        <f>IF(ISTEXT(B1733),DATEVALUE(B1733),B1733)</f>
        <v>45725</v>
      </c>
      <c r="T1733" s="27">
        <f>COUNTIF($A$2:$A$1986,A1733)</f>
        <v>1</v>
      </c>
      <c r="U1733" s="27" t="str">
        <f t="shared" si="191"/>
        <v>Side Table</v>
      </c>
      <c r="V1733" s="27">
        <f t="shared" si="192"/>
        <v>249.02100000000002</v>
      </c>
      <c r="W1733" s="27">
        <f t="shared" si="193"/>
        <v>168.60000000000002</v>
      </c>
      <c r="X1733" s="27">
        <f>RawSalesTable3[[#This Row],[Revenue]]-RawSalesTable3[[#This Row],[Total_Cost]]</f>
        <v>80.420999999999992</v>
      </c>
      <c r="Y1733" s="28">
        <f>RawSalesTable3[[#This Row],[Profit]]/RawSalesTable3[[#This Row],[Revenue]]</f>
        <v>0.32294866697989322</v>
      </c>
      <c r="Z1733" s="27" t="str">
        <f>TEXT(RawSalesTable3[[#This Row],[Order_Date_Clean]],"MMM YYYY")</f>
        <v>Mar 2025</v>
      </c>
      <c r="AA1733" s="27"/>
      <c r="AB1733" s="27">
        <f t="shared" si="194"/>
        <v>0</v>
      </c>
      <c r="AC1733" s="27">
        <f t="shared" si="195"/>
        <v>0</v>
      </c>
    </row>
    <row r="1734" spans="1:29">
      <c r="A1734" t="s">
        <v>1845</v>
      </c>
      <c r="B1734" s="3">
        <v>45868</v>
      </c>
      <c r="C1734" t="s">
        <v>54</v>
      </c>
      <c r="D1734" t="s">
        <v>129</v>
      </c>
      <c r="E1734" t="s">
        <v>67</v>
      </c>
      <c r="F1734" t="s">
        <v>107</v>
      </c>
      <c r="G1734" s="6">
        <v>10</v>
      </c>
      <c r="H1734" s="4">
        <v>45.3</v>
      </c>
      <c r="I1734" s="4">
        <v>21.23</v>
      </c>
      <c r="J1734" s="5">
        <v>0.05</v>
      </c>
      <c r="K1734" s="6">
        <v>0</v>
      </c>
      <c r="L1734" s="6">
        <v>4</v>
      </c>
      <c r="M1734" t="s">
        <v>58</v>
      </c>
      <c r="N1734" t="s">
        <v>69</v>
      </c>
      <c r="O1734" t="s">
        <v>64</v>
      </c>
      <c r="P1734" t="str">
        <f t="shared" si="189"/>
        <v>Corporate</v>
      </c>
      <c r="Q1734" t="str">
        <f t="shared" si="190"/>
        <v>North</v>
      </c>
      <c r="R1734" t="str">
        <f>PROPER(TRIM(E1734))</f>
        <v>Office</v>
      </c>
      <c r="S1734" s="27">
        <f>IF(ISTEXT(B1734),DATEVALUE(B1734),B1734)</f>
        <v>45868</v>
      </c>
      <c r="T1734" s="27">
        <f>COUNTIF($A$2:$A$1986,A1734)</f>
        <v>1</v>
      </c>
      <c r="U1734" s="27" t="str">
        <f t="shared" si="191"/>
        <v>Laptop Stand</v>
      </c>
      <c r="V1734" s="27">
        <f t="shared" si="192"/>
        <v>430.34999999999997</v>
      </c>
      <c r="W1734" s="27">
        <f t="shared" si="193"/>
        <v>212.3</v>
      </c>
      <c r="X1734" s="27">
        <f>RawSalesTable3[[#This Row],[Revenue]]-RawSalesTable3[[#This Row],[Total_Cost]]</f>
        <v>218.04999999999995</v>
      </c>
      <c r="Y1734" s="28">
        <f>RawSalesTable3[[#This Row],[Profit]]/RawSalesTable3[[#This Row],[Revenue]]</f>
        <v>0.50668060880678512</v>
      </c>
      <c r="Z1734" s="27" t="str">
        <f>TEXT(RawSalesTable3[[#This Row],[Order_Date_Clean]],"MMM YYYY")</f>
        <v>Jul 2025</v>
      </c>
      <c r="AA1734" s="27"/>
      <c r="AB1734" s="27">
        <f t="shared" si="194"/>
        <v>0</v>
      </c>
      <c r="AC1734" s="27">
        <f t="shared" si="195"/>
        <v>0</v>
      </c>
    </row>
    <row r="1735" spans="1:29">
      <c r="A1735" t="s">
        <v>1846</v>
      </c>
      <c r="B1735" s="3">
        <v>46010</v>
      </c>
      <c r="C1735" t="s">
        <v>82</v>
      </c>
      <c r="D1735" t="s">
        <v>62</v>
      </c>
      <c r="E1735" t="s">
        <v>56</v>
      </c>
      <c r="F1735" t="s">
        <v>57</v>
      </c>
      <c r="G1735" s="6">
        <v>1</v>
      </c>
      <c r="H1735" s="4">
        <v>109.26</v>
      </c>
      <c r="I1735" s="4">
        <v>65.94</v>
      </c>
      <c r="J1735" s="5">
        <v>0.1</v>
      </c>
      <c r="K1735" s="6">
        <v>4</v>
      </c>
      <c r="L1735" s="6">
        <v>4</v>
      </c>
      <c r="M1735" t="s">
        <v>58</v>
      </c>
      <c r="N1735" t="s">
        <v>59</v>
      </c>
      <c r="O1735" t="s">
        <v>73</v>
      </c>
      <c r="P1735" t="str">
        <f t="shared" si="189"/>
        <v>Individual</v>
      </c>
      <c r="Q1735" t="str">
        <f t="shared" si="190"/>
        <v>Midlands</v>
      </c>
      <c r="R1735" t="str">
        <f>PROPER(TRIM(E1735))</f>
        <v>Home &amp; Kitchen</v>
      </c>
      <c r="S1735" s="27">
        <f>IF(ISTEXT(B1735),DATEVALUE(B1735),B1735)</f>
        <v>46010</v>
      </c>
      <c r="T1735" s="27">
        <f>COUNTIF($A$2:$A$1986,A1735)</f>
        <v>1</v>
      </c>
      <c r="U1735" s="27" t="str">
        <f t="shared" si="191"/>
        <v>Air Fryer</v>
      </c>
      <c r="V1735" s="27">
        <f t="shared" si="192"/>
        <v>98.334000000000003</v>
      </c>
      <c r="W1735" s="27">
        <f t="shared" si="193"/>
        <v>65.94</v>
      </c>
      <c r="X1735" s="27">
        <f>RawSalesTable3[[#This Row],[Revenue]]-RawSalesTable3[[#This Row],[Total_Cost]]</f>
        <v>32.394000000000005</v>
      </c>
      <c r="Y1735" s="28">
        <f>RawSalesTable3[[#This Row],[Profit]]/RawSalesTable3[[#This Row],[Revenue]]</f>
        <v>0.32942827506254202</v>
      </c>
      <c r="Z1735" s="27" t="str">
        <f>TEXT(RawSalesTable3[[#This Row],[Order_Date_Clean]],"MMM YYYY")</f>
        <v>Dec 2025</v>
      </c>
      <c r="AA1735" s="27"/>
      <c r="AB1735" s="27">
        <f t="shared" si="194"/>
        <v>0</v>
      </c>
      <c r="AC1735" s="27">
        <f t="shared" si="195"/>
        <v>0</v>
      </c>
    </row>
    <row r="1736" spans="1:29">
      <c r="A1736" t="s">
        <v>1847</v>
      </c>
      <c r="B1736" s="3">
        <v>45693</v>
      </c>
      <c r="C1736" t="s">
        <v>54</v>
      </c>
      <c r="D1736" t="s">
        <v>62</v>
      </c>
      <c r="E1736" t="s">
        <v>75</v>
      </c>
      <c r="F1736" t="s">
        <v>146</v>
      </c>
      <c r="G1736" s="6">
        <v>1</v>
      </c>
      <c r="H1736" s="4">
        <v>179.59</v>
      </c>
      <c r="I1736" s="4">
        <v>115.75</v>
      </c>
      <c r="J1736" s="5">
        <v>0</v>
      </c>
      <c r="K1736" s="6">
        <v>3</v>
      </c>
      <c r="L1736" s="6">
        <v>4</v>
      </c>
      <c r="M1736" t="s">
        <v>58</v>
      </c>
      <c r="N1736" t="s">
        <v>59</v>
      </c>
      <c r="O1736" t="s">
        <v>60</v>
      </c>
      <c r="P1736" t="str">
        <f t="shared" si="189"/>
        <v>Individual</v>
      </c>
      <c r="Q1736" t="str">
        <f t="shared" si="190"/>
        <v>North</v>
      </c>
      <c r="R1736" t="str">
        <f>PROPER(TRIM(E1736))</f>
        <v>Furniture</v>
      </c>
      <c r="S1736" s="27">
        <f>IF(ISTEXT(B1736),DATEVALUE(B1736),B1736)</f>
        <v>45693</v>
      </c>
      <c r="T1736" s="27">
        <f>COUNTIF($A$2:$A$1986,A1736)</f>
        <v>1</v>
      </c>
      <c r="U1736" s="27" t="str">
        <f t="shared" si="191"/>
        <v>Office Chair</v>
      </c>
      <c r="V1736" s="27">
        <f t="shared" si="192"/>
        <v>179.59</v>
      </c>
      <c r="W1736" s="27">
        <f t="shared" si="193"/>
        <v>115.75</v>
      </c>
      <c r="X1736" s="27">
        <f>RawSalesTable3[[#This Row],[Revenue]]-RawSalesTable3[[#This Row],[Total_Cost]]</f>
        <v>63.84</v>
      </c>
      <c r="Y1736" s="28">
        <f>RawSalesTable3[[#This Row],[Profit]]/RawSalesTable3[[#This Row],[Revenue]]</f>
        <v>0.35547636282643802</v>
      </c>
      <c r="Z1736" s="27" t="str">
        <f>TEXT(RawSalesTable3[[#This Row],[Order_Date_Clean]],"MMM YYYY")</f>
        <v>Feb 2025</v>
      </c>
      <c r="AA1736" s="27"/>
      <c r="AB1736" s="27">
        <f t="shared" si="194"/>
        <v>0</v>
      </c>
      <c r="AC1736" s="27">
        <f t="shared" si="195"/>
        <v>0</v>
      </c>
    </row>
    <row r="1737" spans="1:29">
      <c r="A1737" t="s">
        <v>1848</v>
      </c>
      <c r="B1737" s="3">
        <v>45693</v>
      </c>
      <c r="C1737" t="s">
        <v>78</v>
      </c>
      <c r="D1737" t="s">
        <v>55</v>
      </c>
      <c r="E1737" t="s">
        <v>56</v>
      </c>
      <c r="F1737" t="s">
        <v>57</v>
      </c>
      <c r="G1737" s="6">
        <v>1</v>
      </c>
      <c r="H1737" s="4">
        <v>108.4</v>
      </c>
      <c r="I1737" s="4">
        <v>65.12</v>
      </c>
      <c r="J1737" s="5">
        <v>0</v>
      </c>
      <c r="K1737" s="6">
        <v>0</v>
      </c>
      <c r="L1737" s="6">
        <v>4</v>
      </c>
      <c r="M1737" t="s">
        <v>58</v>
      </c>
      <c r="N1737" t="s">
        <v>69</v>
      </c>
      <c r="O1737" t="s">
        <v>64</v>
      </c>
      <c r="P1737" t="str">
        <f t="shared" si="189"/>
        <v>Small Business</v>
      </c>
      <c r="Q1737" t="str">
        <f t="shared" si="190"/>
        <v>London</v>
      </c>
      <c r="R1737" t="str">
        <f>PROPER(TRIM(E1737))</f>
        <v>Home &amp; Kitchen</v>
      </c>
      <c r="S1737" s="27">
        <f>IF(ISTEXT(B1737),DATEVALUE(B1737),B1737)</f>
        <v>45693</v>
      </c>
      <c r="T1737" s="27">
        <f>COUNTIF($A$2:$A$1986,A1737)</f>
        <v>1</v>
      </c>
      <c r="U1737" s="27" t="str">
        <f t="shared" si="191"/>
        <v>Air Fryer</v>
      </c>
      <c r="V1737" s="27">
        <f t="shared" si="192"/>
        <v>108.4</v>
      </c>
      <c r="W1737" s="27">
        <f t="shared" si="193"/>
        <v>65.12</v>
      </c>
      <c r="X1737" s="27">
        <f>RawSalesTable3[[#This Row],[Revenue]]-RawSalesTable3[[#This Row],[Total_Cost]]</f>
        <v>43.28</v>
      </c>
      <c r="Y1737" s="28">
        <f>RawSalesTable3[[#This Row],[Profit]]/RawSalesTable3[[#This Row],[Revenue]]</f>
        <v>0.39926199261992618</v>
      </c>
      <c r="Z1737" s="27" t="str">
        <f>TEXT(RawSalesTable3[[#This Row],[Order_Date_Clean]],"MMM YYYY")</f>
        <v>Feb 2025</v>
      </c>
      <c r="AA1737" s="27"/>
      <c r="AB1737" s="27">
        <f t="shared" si="194"/>
        <v>0</v>
      </c>
      <c r="AC1737" s="27">
        <f t="shared" si="195"/>
        <v>0</v>
      </c>
    </row>
    <row r="1738" spans="1:29">
      <c r="A1738" t="s">
        <v>1849</v>
      </c>
      <c r="B1738" s="3">
        <v>45961</v>
      </c>
      <c r="C1738" t="s">
        <v>78</v>
      </c>
      <c r="D1738" t="s">
        <v>55</v>
      </c>
      <c r="E1738" t="s">
        <v>67</v>
      </c>
      <c r="F1738" t="s">
        <v>68</v>
      </c>
      <c r="G1738" s="6">
        <v>4</v>
      </c>
      <c r="H1738" s="4">
        <v>40.770000000000003</v>
      </c>
      <c r="I1738" s="4">
        <v>19.11</v>
      </c>
      <c r="J1738" s="5">
        <v>0.1</v>
      </c>
      <c r="K1738" s="6">
        <v>0</v>
      </c>
      <c r="L1738" s="6">
        <v>4</v>
      </c>
      <c r="M1738" t="s">
        <v>58</v>
      </c>
      <c r="N1738" t="s">
        <v>69</v>
      </c>
      <c r="O1738" t="s">
        <v>64</v>
      </c>
      <c r="P1738" t="str">
        <f t="shared" si="189"/>
        <v>Small Business</v>
      </c>
      <c r="Q1738" t="str">
        <f t="shared" si="190"/>
        <v>London</v>
      </c>
      <c r="R1738" t="str">
        <f>PROPER(TRIM(E1738))</f>
        <v>Office</v>
      </c>
      <c r="S1738" s="27">
        <f>IF(ISTEXT(B1738),DATEVALUE(B1738),B1738)</f>
        <v>45961</v>
      </c>
      <c r="T1738" s="27">
        <f>COUNTIF($A$2:$A$1986,A1738)</f>
        <v>1</v>
      </c>
      <c r="U1738" s="27" t="str">
        <f t="shared" si="191"/>
        <v>Desk Lamp</v>
      </c>
      <c r="V1738" s="27">
        <f t="shared" si="192"/>
        <v>146.77200000000002</v>
      </c>
      <c r="W1738" s="27">
        <f t="shared" si="193"/>
        <v>76.44</v>
      </c>
      <c r="X1738" s="27">
        <f>RawSalesTable3[[#This Row],[Revenue]]-RawSalesTable3[[#This Row],[Total_Cost]]</f>
        <v>70.332000000000022</v>
      </c>
      <c r="Y1738" s="28">
        <f>RawSalesTable3[[#This Row],[Profit]]/RawSalesTable3[[#This Row],[Revenue]]</f>
        <v>0.47919221649905985</v>
      </c>
      <c r="Z1738" s="27" t="str">
        <f>TEXT(RawSalesTable3[[#This Row],[Order_Date_Clean]],"MMM YYYY")</f>
        <v>Oct 2025</v>
      </c>
      <c r="AA1738" s="27"/>
      <c r="AB1738" s="27">
        <f t="shared" si="194"/>
        <v>0</v>
      </c>
      <c r="AC1738" s="27">
        <f t="shared" si="195"/>
        <v>0</v>
      </c>
    </row>
    <row r="1739" spans="1:29">
      <c r="A1739" t="s">
        <v>1850</v>
      </c>
      <c r="B1739" s="3">
        <v>45787</v>
      </c>
      <c r="C1739" t="s">
        <v>82</v>
      </c>
      <c r="D1739" t="s">
        <v>62</v>
      </c>
      <c r="E1739" t="s">
        <v>67</v>
      </c>
      <c r="F1739" t="s">
        <v>68</v>
      </c>
      <c r="G1739" s="6">
        <v>1</v>
      </c>
      <c r="H1739" s="4">
        <v>39.43</v>
      </c>
      <c r="I1739" s="4">
        <v>19.63</v>
      </c>
      <c r="J1739" s="5">
        <v>0</v>
      </c>
      <c r="K1739" s="6">
        <v>2</v>
      </c>
      <c r="L1739" s="6">
        <v>5</v>
      </c>
      <c r="M1739" t="s">
        <v>58</v>
      </c>
      <c r="N1739" t="s">
        <v>69</v>
      </c>
      <c r="O1739" t="s">
        <v>64</v>
      </c>
      <c r="P1739" t="str">
        <f t="shared" si="189"/>
        <v>Individual</v>
      </c>
      <c r="Q1739" t="str">
        <f t="shared" si="190"/>
        <v>Midlands</v>
      </c>
      <c r="R1739" t="str">
        <f>PROPER(TRIM(E1739))</f>
        <v>Office</v>
      </c>
      <c r="S1739" s="27">
        <f>IF(ISTEXT(B1739),DATEVALUE(B1739),B1739)</f>
        <v>45787</v>
      </c>
      <c r="T1739" s="27">
        <f>COUNTIF($A$2:$A$1986,A1739)</f>
        <v>1</v>
      </c>
      <c r="U1739" s="27" t="str">
        <f t="shared" si="191"/>
        <v>Desk Lamp</v>
      </c>
      <c r="V1739" s="27">
        <f t="shared" si="192"/>
        <v>39.43</v>
      </c>
      <c r="W1739" s="27">
        <f t="shared" si="193"/>
        <v>19.63</v>
      </c>
      <c r="X1739" s="27">
        <f>RawSalesTable3[[#This Row],[Revenue]]-RawSalesTable3[[#This Row],[Total_Cost]]</f>
        <v>19.8</v>
      </c>
      <c r="Y1739" s="28">
        <f>RawSalesTable3[[#This Row],[Profit]]/RawSalesTable3[[#This Row],[Revenue]]</f>
        <v>0.50215571899568856</v>
      </c>
      <c r="Z1739" s="27" t="str">
        <f>TEXT(RawSalesTable3[[#This Row],[Order_Date_Clean]],"MMM YYYY")</f>
        <v>May 2025</v>
      </c>
      <c r="AA1739" s="27"/>
      <c r="AB1739" s="27">
        <f t="shared" si="194"/>
        <v>0</v>
      </c>
      <c r="AC1739" s="27">
        <f t="shared" si="195"/>
        <v>0</v>
      </c>
    </row>
    <row r="1740" spans="1:29">
      <c r="A1740" t="s">
        <v>1851</v>
      </c>
      <c r="B1740" s="3">
        <v>45783</v>
      </c>
      <c r="C1740" t="s">
        <v>54</v>
      </c>
      <c r="D1740" t="s">
        <v>62</v>
      </c>
      <c r="E1740" t="s">
        <v>56</v>
      </c>
      <c r="F1740" t="s">
        <v>57</v>
      </c>
      <c r="G1740" s="6">
        <v>2</v>
      </c>
      <c r="H1740" s="4">
        <v>107.76</v>
      </c>
      <c r="I1740" s="4">
        <v>70.09</v>
      </c>
      <c r="J1740" s="5">
        <v>0.1</v>
      </c>
      <c r="K1740" s="6">
        <v>3</v>
      </c>
      <c r="L1740" s="6">
        <v>4</v>
      </c>
      <c r="M1740" t="s">
        <v>58</v>
      </c>
      <c r="N1740" t="s">
        <v>59</v>
      </c>
      <c r="O1740" t="s">
        <v>73</v>
      </c>
      <c r="P1740" t="str">
        <f t="shared" si="189"/>
        <v>Individual</v>
      </c>
      <c r="Q1740" t="str">
        <f t="shared" si="190"/>
        <v>North</v>
      </c>
      <c r="R1740" t="str">
        <f>PROPER(TRIM(E1740))</f>
        <v>Home &amp; Kitchen</v>
      </c>
      <c r="S1740" s="27">
        <f>IF(ISTEXT(B1740),DATEVALUE(B1740),B1740)</f>
        <v>45783</v>
      </c>
      <c r="T1740" s="27">
        <f>COUNTIF($A$2:$A$1986,A1740)</f>
        <v>1</v>
      </c>
      <c r="U1740" s="27" t="str">
        <f t="shared" si="191"/>
        <v>Air Fryer</v>
      </c>
      <c r="V1740" s="27">
        <f t="shared" si="192"/>
        <v>193.96800000000002</v>
      </c>
      <c r="W1740" s="27">
        <f t="shared" si="193"/>
        <v>140.18</v>
      </c>
      <c r="X1740" s="27">
        <f>RawSalesTable3[[#This Row],[Revenue]]-RawSalesTable3[[#This Row],[Total_Cost]]</f>
        <v>53.788000000000011</v>
      </c>
      <c r="Y1740" s="28">
        <f>RawSalesTable3[[#This Row],[Profit]]/RawSalesTable3[[#This Row],[Revenue]]</f>
        <v>0.27730347273777123</v>
      </c>
      <c r="Z1740" s="27" t="str">
        <f>TEXT(RawSalesTable3[[#This Row],[Order_Date_Clean]],"MMM YYYY")</f>
        <v>May 2025</v>
      </c>
      <c r="AA1740" s="27"/>
      <c r="AB1740" s="27">
        <f t="shared" si="194"/>
        <v>0</v>
      </c>
      <c r="AC1740" s="27">
        <f t="shared" si="195"/>
        <v>0</v>
      </c>
    </row>
    <row r="1741" spans="1:29">
      <c r="A1741" t="s">
        <v>1852</v>
      </c>
      <c r="B1741" s="3">
        <v>46016</v>
      </c>
      <c r="C1741" t="s">
        <v>78</v>
      </c>
      <c r="D1741" t="s">
        <v>62</v>
      </c>
      <c r="E1741" t="s">
        <v>56</v>
      </c>
      <c r="F1741" t="s">
        <v>63</v>
      </c>
      <c r="G1741" s="6">
        <v>2</v>
      </c>
      <c r="H1741" s="4">
        <v>39.28</v>
      </c>
      <c r="I1741" s="4">
        <v>20.72</v>
      </c>
      <c r="J1741" s="5">
        <v>0.1</v>
      </c>
      <c r="K1741" s="6">
        <v>6</v>
      </c>
      <c r="L1741" s="6">
        <v>4</v>
      </c>
      <c r="M1741" t="s">
        <v>58</v>
      </c>
      <c r="N1741" t="s">
        <v>59</v>
      </c>
      <c r="O1741" t="s">
        <v>64</v>
      </c>
      <c r="P1741" t="str">
        <f t="shared" si="189"/>
        <v>Individual</v>
      </c>
      <c r="Q1741" t="str">
        <f t="shared" si="190"/>
        <v>London</v>
      </c>
      <c r="R1741" t="str">
        <f>PROPER(TRIM(E1741))</f>
        <v>Home &amp; Kitchen</v>
      </c>
      <c r="S1741" s="27">
        <f>IF(ISTEXT(B1741),DATEVALUE(B1741),B1741)</f>
        <v>46016</v>
      </c>
      <c r="T1741" s="27">
        <f>COUNTIF($A$2:$A$1986,A1741)</f>
        <v>1</v>
      </c>
      <c r="U1741" s="27" t="str">
        <f t="shared" si="191"/>
        <v>Electric Kettle</v>
      </c>
      <c r="V1741" s="27">
        <f t="shared" si="192"/>
        <v>70.704000000000008</v>
      </c>
      <c r="W1741" s="27">
        <f t="shared" si="193"/>
        <v>41.44</v>
      </c>
      <c r="X1741" s="27">
        <f>RawSalesTable3[[#This Row],[Revenue]]-RawSalesTable3[[#This Row],[Total_Cost]]</f>
        <v>29.26400000000001</v>
      </c>
      <c r="Y1741" s="28">
        <f>RawSalesTable3[[#This Row],[Profit]]/RawSalesTable3[[#This Row],[Revenue]]</f>
        <v>0.41389454627743844</v>
      </c>
      <c r="Z1741" s="27" t="str">
        <f>TEXT(RawSalesTable3[[#This Row],[Order_Date_Clean]],"MMM YYYY")</f>
        <v>Dec 2025</v>
      </c>
      <c r="AA1741" s="27"/>
      <c r="AB1741" s="27">
        <f t="shared" si="194"/>
        <v>0</v>
      </c>
      <c r="AC1741" s="27">
        <f t="shared" si="195"/>
        <v>0</v>
      </c>
    </row>
    <row r="1742" spans="1:29">
      <c r="A1742" t="s">
        <v>1853</v>
      </c>
      <c r="B1742" s="3">
        <v>45663</v>
      </c>
      <c r="C1742" t="s">
        <v>66</v>
      </c>
      <c r="D1742" t="s">
        <v>55</v>
      </c>
      <c r="E1742" t="s">
        <v>67</v>
      </c>
      <c r="F1742" t="s">
        <v>107</v>
      </c>
      <c r="G1742" s="6">
        <v>3</v>
      </c>
      <c r="H1742" s="4">
        <v>44.26</v>
      </c>
      <c r="I1742" s="4">
        <v>21.68</v>
      </c>
      <c r="J1742" s="5">
        <v>0.05</v>
      </c>
      <c r="K1742" s="6">
        <v>4</v>
      </c>
      <c r="L1742" s="6">
        <v>4</v>
      </c>
      <c r="M1742" t="s">
        <v>58</v>
      </c>
      <c r="N1742" t="s">
        <v>59</v>
      </c>
      <c r="O1742" t="s">
        <v>73</v>
      </c>
      <c r="P1742" t="str">
        <f t="shared" si="189"/>
        <v>Small Business</v>
      </c>
      <c r="Q1742" t="str">
        <f t="shared" si="190"/>
        <v>South</v>
      </c>
      <c r="R1742" t="str">
        <f>PROPER(TRIM(E1742))</f>
        <v>Office</v>
      </c>
      <c r="S1742" s="27">
        <f>IF(ISTEXT(B1742),DATEVALUE(B1742),B1742)</f>
        <v>45663</v>
      </c>
      <c r="T1742" s="27">
        <f>COUNTIF($A$2:$A$1986,A1742)</f>
        <v>1</v>
      </c>
      <c r="U1742" s="27" t="str">
        <f t="shared" si="191"/>
        <v>Laptop Stand</v>
      </c>
      <c r="V1742" s="27">
        <f t="shared" si="192"/>
        <v>126.14099999999999</v>
      </c>
      <c r="W1742" s="27">
        <f t="shared" si="193"/>
        <v>65.039999999999992</v>
      </c>
      <c r="X1742" s="27">
        <f>RawSalesTable3[[#This Row],[Revenue]]-RawSalesTable3[[#This Row],[Total_Cost]]</f>
        <v>61.100999999999999</v>
      </c>
      <c r="Y1742" s="28">
        <f>RawSalesTable3[[#This Row],[Profit]]/RawSalesTable3[[#This Row],[Revenue]]</f>
        <v>0.48438651984683812</v>
      </c>
      <c r="Z1742" s="27" t="str">
        <f>TEXT(RawSalesTable3[[#This Row],[Order_Date_Clean]],"MMM YYYY")</f>
        <v>Jan 2025</v>
      </c>
      <c r="AA1742" s="27"/>
      <c r="AB1742" s="27">
        <f t="shared" si="194"/>
        <v>0</v>
      </c>
      <c r="AC1742" s="27">
        <f t="shared" si="195"/>
        <v>0</v>
      </c>
    </row>
    <row r="1743" spans="1:29">
      <c r="A1743" t="s">
        <v>1854</v>
      </c>
      <c r="B1743" s="3">
        <v>45970</v>
      </c>
      <c r="C1743" t="s">
        <v>82</v>
      </c>
      <c r="D1743" t="s">
        <v>62</v>
      </c>
      <c r="E1743" t="s">
        <v>79</v>
      </c>
      <c r="F1743" t="s">
        <v>115</v>
      </c>
      <c r="G1743" s="6">
        <v>3</v>
      </c>
      <c r="H1743" s="4">
        <v>61.39</v>
      </c>
      <c r="I1743" s="4">
        <v>33.31</v>
      </c>
      <c r="J1743" s="5">
        <v>0.05</v>
      </c>
      <c r="K1743" s="6">
        <v>0</v>
      </c>
      <c r="L1743" s="6">
        <v>5</v>
      </c>
      <c r="M1743" t="s">
        <v>58</v>
      </c>
      <c r="N1743" t="s">
        <v>69</v>
      </c>
      <c r="O1743" t="s">
        <v>60</v>
      </c>
      <c r="P1743" t="str">
        <f t="shared" si="189"/>
        <v>Individual</v>
      </c>
      <c r="Q1743" t="str">
        <f t="shared" si="190"/>
        <v>Midlands</v>
      </c>
      <c r="R1743" t="str">
        <f>PROPER(TRIM(E1743))</f>
        <v>Electronics</v>
      </c>
      <c r="S1743" s="27">
        <f>IF(ISTEXT(B1743),DATEVALUE(B1743),B1743)</f>
        <v>45970</v>
      </c>
      <c r="T1743" s="27">
        <f>COUNTIF($A$2:$A$1986,A1743)</f>
        <v>1</v>
      </c>
      <c r="U1743" s="27" t="str">
        <f t="shared" si="191"/>
        <v>Wireless Headset</v>
      </c>
      <c r="V1743" s="27">
        <f t="shared" si="192"/>
        <v>174.9615</v>
      </c>
      <c r="W1743" s="27">
        <f t="shared" si="193"/>
        <v>99.93</v>
      </c>
      <c r="X1743" s="27">
        <f>RawSalesTable3[[#This Row],[Revenue]]-RawSalesTable3[[#This Row],[Total_Cost]]</f>
        <v>75.031499999999994</v>
      </c>
      <c r="Y1743" s="28">
        <f>RawSalesTable3[[#This Row],[Profit]]/RawSalesTable3[[#This Row],[Revenue]]</f>
        <v>0.42884577464184975</v>
      </c>
      <c r="Z1743" s="27" t="str">
        <f>TEXT(RawSalesTable3[[#This Row],[Order_Date_Clean]],"MMM YYYY")</f>
        <v>Nov 2025</v>
      </c>
      <c r="AA1743" s="27"/>
      <c r="AB1743" s="27">
        <f t="shared" si="194"/>
        <v>0</v>
      </c>
      <c r="AC1743" s="27">
        <f t="shared" si="195"/>
        <v>0</v>
      </c>
    </row>
    <row r="1744" spans="1:29">
      <c r="A1744" t="s">
        <v>1855</v>
      </c>
      <c r="B1744" s="3">
        <v>45815</v>
      </c>
      <c r="C1744" t="s">
        <v>66</v>
      </c>
      <c r="D1744" t="s">
        <v>62</v>
      </c>
      <c r="E1744" t="s">
        <v>79</v>
      </c>
      <c r="F1744" t="s">
        <v>80</v>
      </c>
      <c r="G1744" s="6">
        <v>1</v>
      </c>
      <c r="H1744" s="4">
        <v>74.459999999999994</v>
      </c>
      <c r="I1744" s="4">
        <v>42.16</v>
      </c>
      <c r="J1744" s="5">
        <v>0.15000000000000002</v>
      </c>
      <c r="K1744" s="6">
        <v>6</v>
      </c>
      <c r="L1744" s="6">
        <v>2</v>
      </c>
      <c r="M1744" t="s">
        <v>126</v>
      </c>
      <c r="N1744" t="s">
        <v>59</v>
      </c>
      <c r="O1744" t="s">
        <v>64</v>
      </c>
      <c r="P1744" t="str">
        <f t="shared" si="189"/>
        <v>Individual</v>
      </c>
      <c r="Q1744" t="str">
        <f t="shared" si="190"/>
        <v>South</v>
      </c>
      <c r="R1744" t="str">
        <f>PROPER(TRIM(E1744))</f>
        <v>Electronics</v>
      </c>
      <c r="S1744" s="27">
        <f>IF(ISTEXT(B1744),DATEVALUE(B1744),B1744)</f>
        <v>45815</v>
      </c>
      <c r="T1744" s="27">
        <f>COUNTIF($A$2:$A$1986,A1744)</f>
        <v>1</v>
      </c>
      <c r="U1744" s="27" t="str">
        <f t="shared" si="191"/>
        <v>Portable Speaker</v>
      </c>
      <c r="V1744" s="27">
        <f t="shared" si="192"/>
        <v>63.29099999999999</v>
      </c>
      <c r="W1744" s="27">
        <f t="shared" si="193"/>
        <v>42.16</v>
      </c>
      <c r="X1744" s="27">
        <f>RawSalesTable3[[#This Row],[Revenue]]-RawSalesTable3[[#This Row],[Total_Cost]]</f>
        <v>21.130999999999993</v>
      </c>
      <c r="Y1744" s="28">
        <f>RawSalesTable3[[#This Row],[Profit]]/RawSalesTable3[[#This Row],[Revenue]]</f>
        <v>0.3338705345151759</v>
      </c>
      <c r="Z1744" s="27" t="str">
        <f>TEXT(RawSalesTable3[[#This Row],[Order_Date_Clean]],"MMM YYYY")</f>
        <v>Jun 2025</v>
      </c>
      <c r="AA1744" s="27"/>
      <c r="AB1744" s="27">
        <f t="shared" si="194"/>
        <v>0</v>
      </c>
      <c r="AC1744" s="27">
        <f t="shared" si="195"/>
        <v>0</v>
      </c>
    </row>
    <row r="1745" spans="1:29">
      <c r="A1745" t="s">
        <v>1856</v>
      </c>
      <c r="B1745" s="3">
        <v>45728</v>
      </c>
      <c r="C1745" t="s">
        <v>66</v>
      </c>
      <c r="D1745" t="s">
        <v>62</v>
      </c>
      <c r="E1745" t="s">
        <v>79</v>
      </c>
      <c r="F1745" t="s">
        <v>80</v>
      </c>
      <c r="G1745" s="6">
        <v>1</v>
      </c>
      <c r="H1745" s="4">
        <v>74.02</v>
      </c>
      <c r="I1745" s="4">
        <v>44.32</v>
      </c>
      <c r="J1745" s="5">
        <v>0</v>
      </c>
      <c r="K1745" s="6">
        <v>8</v>
      </c>
      <c r="L1745" s="6">
        <v>3</v>
      </c>
      <c r="M1745" t="s">
        <v>58</v>
      </c>
      <c r="N1745" t="s">
        <v>87</v>
      </c>
      <c r="O1745" t="s">
        <v>73</v>
      </c>
      <c r="P1745" t="str">
        <f t="shared" si="189"/>
        <v>Individual</v>
      </c>
      <c r="Q1745" t="str">
        <f t="shared" si="190"/>
        <v>South</v>
      </c>
      <c r="R1745" t="str">
        <f>PROPER(TRIM(E1745))</f>
        <v>Electronics</v>
      </c>
      <c r="S1745" s="27">
        <f>IF(ISTEXT(B1745),DATEVALUE(B1745),B1745)</f>
        <v>45728</v>
      </c>
      <c r="T1745" s="27">
        <f>COUNTIF($A$2:$A$1986,A1745)</f>
        <v>1</v>
      </c>
      <c r="U1745" s="27" t="str">
        <f t="shared" si="191"/>
        <v>Portable Speaker</v>
      </c>
      <c r="V1745" s="27">
        <f t="shared" si="192"/>
        <v>74.02</v>
      </c>
      <c r="W1745" s="27">
        <f t="shared" si="193"/>
        <v>44.32</v>
      </c>
      <c r="X1745" s="27">
        <f>RawSalesTable3[[#This Row],[Revenue]]-RawSalesTable3[[#This Row],[Total_Cost]]</f>
        <v>29.699999999999996</v>
      </c>
      <c r="Y1745" s="28">
        <f>RawSalesTable3[[#This Row],[Profit]]/RawSalesTable3[[#This Row],[Revenue]]</f>
        <v>0.4012429073223453</v>
      </c>
      <c r="Z1745" s="27" t="str">
        <f>TEXT(RawSalesTable3[[#This Row],[Order_Date_Clean]],"MMM YYYY")</f>
        <v>Mar 2025</v>
      </c>
      <c r="AA1745" s="27"/>
      <c r="AB1745" s="27">
        <f t="shared" si="194"/>
        <v>0</v>
      </c>
      <c r="AC1745" s="27">
        <f t="shared" si="195"/>
        <v>0</v>
      </c>
    </row>
    <row r="1746" spans="1:29">
      <c r="A1746" t="s">
        <v>1857</v>
      </c>
      <c r="B1746" s="3">
        <v>45891</v>
      </c>
      <c r="C1746" t="s">
        <v>66</v>
      </c>
      <c r="D1746" t="s">
        <v>62</v>
      </c>
      <c r="E1746" t="s">
        <v>75</v>
      </c>
      <c r="F1746" t="s">
        <v>146</v>
      </c>
      <c r="G1746" s="6">
        <v>2</v>
      </c>
      <c r="H1746" s="4">
        <v>179.9</v>
      </c>
      <c r="I1746" s="4">
        <v>113.38</v>
      </c>
      <c r="J1746" s="5">
        <v>0.15000000000000002</v>
      </c>
      <c r="K1746" s="6">
        <v>6</v>
      </c>
      <c r="L1746" s="6">
        <v>4</v>
      </c>
      <c r="M1746" t="s">
        <v>58</v>
      </c>
      <c r="N1746" t="s">
        <v>59</v>
      </c>
      <c r="O1746" t="s">
        <v>64</v>
      </c>
      <c r="P1746" t="str">
        <f t="shared" si="189"/>
        <v>Individual</v>
      </c>
      <c r="Q1746" t="str">
        <f t="shared" si="190"/>
        <v>South</v>
      </c>
      <c r="R1746" t="str">
        <f>PROPER(TRIM(E1746))</f>
        <v>Furniture</v>
      </c>
      <c r="S1746" s="27">
        <f>IF(ISTEXT(B1746),DATEVALUE(B1746),B1746)</f>
        <v>45891</v>
      </c>
      <c r="T1746" s="27">
        <f>COUNTIF($A$2:$A$1986,A1746)</f>
        <v>1</v>
      </c>
      <c r="U1746" s="27" t="str">
        <f t="shared" si="191"/>
        <v>Office Chair</v>
      </c>
      <c r="V1746" s="27">
        <f t="shared" si="192"/>
        <v>305.83</v>
      </c>
      <c r="W1746" s="27">
        <f t="shared" si="193"/>
        <v>226.76</v>
      </c>
      <c r="X1746" s="27">
        <f>RawSalesTable3[[#This Row],[Revenue]]-RawSalesTable3[[#This Row],[Total_Cost]]</f>
        <v>79.069999999999993</v>
      </c>
      <c r="Y1746" s="28">
        <f>RawSalesTable3[[#This Row],[Profit]]/RawSalesTable3[[#This Row],[Revenue]]</f>
        <v>0.25854232743681127</v>
      </c>
      <c r="Z1746" s="27" t="str">
        <f>TEXT(RawSalesTable3[[#This Row],[Order_Date_Clean]],"MMM YYYY")</f>
        <v>Aug 2025</v>
      </c>
      <c r="AA1746" s="27"/>
      <c r="AB1746" s="27">
        <f t="shared" si="194"/>
        <v>0</v>
      </c>
      <c r="AC1746" s="27">
        <f t="shared" si="195"/>
        <v>0</v>
      </c>
    </row>
    <row r="1747" spans="1:29">
      <c r="A1747" t="s">
        <v>1858</v>
      </c>
      <c r="B1747" s="3">
        <v>45811</v>
      </c>
      <c r="C1747" t="s">
        <v>78</v>
      </c>
      <c r="D1747" t="s">
        <v>62</v>
      </c>
      <c r="E1747" t="s">
        <v>67</v>
      </c>
      <c r="F1747" t="s">
        <v>107</v>
      </c>
      <c r="G1747" s="6">
        <v>2</v>
      </c>
      <c r="H1747" s="4">
        <v>43.83</v>
      </c>
      <c r="I1747" s="4">
        <v>20.88</v>
      </c>
      <c r="J1747" s="5">
        <v>0</v>
      </c>
      <c r="K1747" s="6">
        <v>1</v>
      </c>
      <c r="L1747" s="6">
        <v>5</v>
      </c>
      <c r="M1747" t="s">
        <v>58</v>
      </c>
      <c r="N1747" t="s">
        <v>69</v>
      </c>
      <c r="O1747" t="s">
        <v>64</v>
      </c>
      <c r="P1747" t="str">
        <f t="shared" si="189"/>
        <v>Individual</v>
      </c>
      <c r="Q1747" t="str">
        <f t="shared" si="190"/>
        <v>London</v>
      </c>
      <c r="R1747" t="str">
        <f>PROPER(TRIM(E1747))</f>
        <v>Office</v>
      </c>
      <c r="S1747" s="27">
        <f>IF(ISTEXT(B1747),DATEVALUE(B1747),B1747)</f>
        <v>45811</v>
      </c>
      <c r="T1747" s="27">
        <f>COUNTIF($A$2:$A$1986,A1747)</f>
        <v>1</v>
      </c>
      <c r="U1747" s="27" t="str">
        <f t="shared" si="191"/>
        <v>Laptop Stand</v>
      </c>
      <c r="V1747" s="27">
        <f t="shared" si="192"/>
        <v>87.66</v>
      </c>
      <c r="W1747" s="27">
        <f t="shared" si="193"/>
        <v>41.76</v>
      </c>
      <c r="X1747" s="27">
        <f>RawSalesTable3[[#This Row],[Revenue]]-RawSalesTable3[[#This Row],[Total_Cost]]</f>
        <v>45.9</v>
      </c>
      <c r="Y1747" s="28">
        <f>RawSalesTable3[[#This Row],[Profit]]/RawSalesTable3[[#This Row],[Revenue]]</f>
        <v>0.52361396303901442</v>
      </c>
      <c r="Z1747" s="27" t="str">
        <f>TEXT(RawSalesTable3[[#This Row],[Order_Date_Clean]],"MMM YYYY")</f>
        <v>Jun 2025</v>
      </c>
      <c r="AA1747" s="27"/>
      <c r="AB1747" s="27">
        <f t="shared" si="194"/>
        <v>0</v>
      </c>
      <c r="AC1747" s="27">
        <f t="shared" si="195"/>
        <v>0</v>
      </c>
    </row>
    <row r="1748" spans="1:29">
      <c r="A1748" t="s">
        <v>1859</v>
      </c>
      <c r="B1748" s="3">
        <v>45881</v>
      </c>
      <c r="C1748" t="s">
        <v>66</v>
      </c>
      <c r="D1748" t="s">
        <v>62</v>
      </c>
      <c r="E1748" t="s">
        <v>75</v>
      </c>
      <c r="F1748" t="s">
        <v>76</v>
      </c>
      <c r="G1748" s="6">
        <v>1</v>
      </c>
      <c r="H1748" s="4">
        <v>119.09</v>
      </c>
      <c r="I1748" s="4">
        <v>74.349999999999994</v>
      </c>
      <c r="J1748" s="5">
        <v>0.05</v>
      </c>
      <c r="K1748" s="6">
        <v>7</v>
      </c>
      <c r="L1748" s="6">
        <v>4</v>
      </c>
      <c r="M1748" t="s">
        <v>58</v>
      </c>
      <c r="N1748" t="s">
        <v>69</v>
      </c>
      <c r="O1748" t="s">
        <v>64</v>
      </c>
      <c r="P1748" t="str">
        <f t="shared" si="189"/>
        <v>Individual</v>
      </c>
      <c r="Q1748" t="str">
        <f t="shared" si="190"/>
        <v>South</v>
      </c>
      <c r="R1748" t="str">
        <f>PROPER(TRIM(E1748))</f>
        <v>Furniture</v>
      </c>
      <c r="S1748" s="27">
        <f>IF(ISTEXT(B1748),DATEVALUE(B1748),B1748)</f>
        <v>45881</v>
      </c>
      <c r="T1748" s="27">
        <f>COUNTIF($A$2:$A$1986,A1748)</f>
        <v>1</v>
      </c>
      <c r="U1748" s="27" t="str">
        <f t="shared" si="191"/>
        <v>Bookshelf</v>
      </c>
      <c r="V1748" s="27">
        <f t="shared" si="192"/>
        <v>113.13549999999999</v>
      </c>
      <c r="W1748" s="27">
        <f t="shared" si="193"/>
        <v>74.349999999999994</v>
      </c>
      <c r="X1748" s="27">
        <f>RawSalesTable3[[#This Row],[Revenue]]-RawSalesTable3[[#This Row],[Total_Cost]]</f>
        <v>38.785499999999999</v>
      </c>
      <c r="Y1748" s="28">
        <f>RawSalesTable3[[#This Row],[Profit]]/RawSalesTable3[[#This Row],[Revenue]]</f>
        <v>0.342823428543649</v>
      </c>
      <c r="Z1748" s="27" t="str">
        <f>TEXT(RawSalesTable3[[#This Row],[Order_Date_Clean]],"MMM YYYY")</f>
        <v>Aug 2025</v>
      </c>
      <c r="AA1748" s="27"/>
      <c r="AB1748" s="27">
        <f t="shared" si="194"/>
        <v>0</v>
      </c>
      <c r="AC1748" s="27">
        <f t="shared" si="195"/>
        <v>0</v>
      </c>
    </row>
    <row r="1749" spans="1:29">
      <c r="A1749" t="s">
        <v>1860</v>
      </c>
      <c r="B1749" s="3">
        <v>45952</v>
      </c>
      <c r="C1749" t="s">
        <v>78</v>
      </c>
      <c r="D1749" t="s">
        <v>62</v>
      </c>
      <c r="E1749" t="s">
        <v>79</v>
      </c>
      <c r="F1749" t="s">
        <v>80</v>
      </c>
      <c r="G1749" s="6">
        <v>2</v>
      </c>
      <c r="H1749" s="4">
        <v>75.52</v>
      </c>
      <c r="I1749" s="4">
        <v>42.02</v>
      </c>
      <c r="J1749" s="5">
        <v>0.05</v>
      </c>
      <c r="K1749" s="6">
        <v>5</v>
      </c>
      <c r="L1749" s="6">
        <v>5</v>
      </c>
      <c r="M1749" t="s">
        <v>58</v>
      </c>
      <c r="N1749" t="s">
        <v>59</v>
      </c>
      <c r="O1749" t="s">
        <v>64</v>
      </c>
      <c r="P1749" t="str">
        <f t="shared" si="189"/>
        <v>Individual</v>
      </c>
      <c r="Q1749" t="str">
        <f t="shared" si="190"/>
        <v>London</v>
      </c>
      <c r="R1749" t="str">
        <f>PROPER(TRIM(E1749))</f>
        <v>Electronics</v>
      </c>
      <c r="S1749" s="27">
        <f>IF(ISTEXT(B1749),DATEVALUE(B1749),B1749)</f>
        <v>45952</v>
      </c>
      <c r="T1749" s="27">
        <f>COUNTIF($A$2:$A$1986,A1749)</f>
        <v>1</v>
      </c>
      <c r="U1749" s="27" t="str">
        <f t="shared" si="191"/>
        <v>Portable Speaker</v>
      </c>
      <c r="V1749" s="27">
        <f t="shared" si="192"/>
        <v>143.488</v>
      </c>
      <c r="W1749" s="27">
        <f t="shared" si="193"/>
        <v>84.04</v>
      </c>
      <c r="X1749" s="27">
        <f>RawSalesTable3[[#This Row],[Revenue]]-RawSalesTable3[[#This Row],[Total_Cost]]</f>
        <v>59.447999999999993</v>
      </c>
      <c r="Y1749" s="28">
        <f>RawSalesTable3[[#This Row],[Profit]]/RawSalesTable3[[#This Row],[Revenue]]</f>
        <v>0.41430642283675284</v>
      </c>
      <c r="Z1749" s="27" t="str">
        <f>TEXT(RawSalesTable3[[#This Row],[Order_Date_Clean]],"MMM YYYY")</f>
        <v>Oct 2025</v>
      </c>
      <c r="AA1749" s="27"/>
      <c r="AB1749" s="27">
        <f t="shared" si="194"/>
        <v>0</v>
      </c>
      <c r="AC1749" s="27">
        <f t="shared" si="195"/>
        <v>0</v>
      </c>
    </row>
    <row r="1750" spans="1:29">
      <c r="A1750" t="s">
        <v>1861</v>
      </c>
      <c r="B1750" s="3">
        <v>45792</v>
      </c>
      <c r="C1750" t="s">
        <v>78</v>
      </c>
      <c r="D1750" t="s">
        <v>62</v>
      </c>
      <c r="E1750" t="s">
        <v>67</v>
      </c>
      <c r="F1750" t="s">
        <v>71</v>
      </c>
      <c r="G1750" s="6">
        <v>1</v>
      </c>
      <c r="H1750" s="4">
        <v>72.52</v>
      </c>
      <c r="I1750" s="4">
        <v>39.58</v>
      </c>
      <c r="J1750" s="5">
        <v>0.05</v>
      </c>
      <c r="K1750" s="6">
        <v>5</v>
      </c>
      <c r="L1750" s="6">
        <v>4</v>
      </c>
      <c r="M1750" t="s">
        <v>58</v>
      </c>
      <c r="N1750" t="s">
        <v>59</v>
      </c>
      <c r="O1750" t="s">
        <v>64</v>
      </c>
      <c r="P1750" t="str">
        <f t="shared" si="189"/>
        <v>Individual</v>
      </c>
      <c r="Q1750" t="str">
        <f t="shared" si="190"/>
        <v>London</v>
      </c>
      <c r="R1750" t="str">
        <f>PROPER(TRIM(E1750))</f>
        <v>Office</v>
      </c>
      <c r="S1750" s="27">
        <f>IF(ISTEXT(B1750),DATEVALUE(B1750),B1750)</f>
        <v>45792</v>
      </c>
      <c r="T1750" s="27">
        <f>COUNTIF($A$2:$A$1986,A1750)</f>
        <v>1</v>
      </c>
      <c r="U1750" s="27" t="str">
        <f t="shared" si="191"/>
        <v>Ergonomic Keyboard</v>
      </c>
      <c r="V1750" s="27">
        <f t="shared" si="192"/>
        <v>68.893999999999991</v>
      </c>
      <c r="W1750" s="27">
        <f t="shared" si="193"/>
        <v>39.58</v>
      </c>
      <c r="X1750" s="27">
        <f>RawSalesTable3[[#This Row],[Revenue]]-RawSalesTable3[[#This Row],[Total_Cost]]</f>
        <v>29.313999999999993</v>
      </c>
      <c r="Y1750" s="28">
        <f>RawSalesTable3[[#This Row],[Profit]]/RawSalesTable3[[#This Row],[Revenue]]</f>
        <v>0.42549423752431265</v>
      </c>
      <c r="Z1750" s="27" t="str">
        <f>TEXT(RawSalesTable3[[#This Row],[Order_Date_Clean]],"MMM YYYY")</f>
        <v>May 2025</v>
      </c>
      <c r="AA1750" s="27"/>
      <c r="AB1750" s="27">
        <f t="shared" si="194"/>
        <v>0</v>
      </c>
      <c r="AC1750" s="27">
        <f t="shared" si="195"/>
        <v>0</v>
      </c>
    </row>
    <row r="1751" spans="1:29">
      <c r="A1751" t="s">
        <v>1862</v>
      </c>
      <c r="B1751" s="3">
        <v>45819</v>
      </c>
      <c r="C1751" t="s">
        <v>78</v>
      </c>
      <c r="D1751" t="s">
        <v>129</v>
      </c>
      <c r="E1751" t="s">
        <v>79</v>
      </c>
      <c r="F1751" t="s">
        <v>80</v>
      </c>
      <c r="G1751" s="6">
        <v>5</v>
      </c>
      <c r="H1751" s="4">
        <v>76.59</v>
      </c>
      <c r="I1751" s="4">
        <v>43.71</v>
      </c>
      <c r="J1751" s="5">
        <v>0.1</v>
      </c>
      <c r="K1751" s="6">
        <v>1</v>
      </c>
      <c r="L1751" s="6">
        <v>4</v>
      </c>
      <c r="M1751" t="s">
        <v>58</v>
      </c>
      <c r="N1751" t="s">
        <v>59</v>
      </c>
      <c r="O1751" t="s">
        <v>60</v>
      </c>
      <c r="P1751" t="str">
        <f t="shared" si="189"/>
        <v>Corporate</v>
      </c>
      <c r="Q1751" t="str">
        <f t="shared" si="190"/>
        <v>London</v>
      </c>
      <c r="R1751" t="str">
        <f>PROPER(TRIM(E1751))</f>
        <v>Electronics</v>
      </c>
      <c r="S1751" s="27">
        <f>IF(ISTEXT(B1751),DATEVALUE(B1751),B1751)</f>
        <v>45819</v>
      </c>
      <c r="T1751" s="27">
        <f>COUNTIF($A$2:$A$1986,A1751)</f>
        <v>1</v>
      </c>
      <c r="U1751" s="27" t="str">
        <f t="shared" si="191"/>
        <v>Portable Speaker</v>
      </c>
      <c r="V1751" s="27">
        <f t="shared" si="192"/>
        <v>344.65500000000003</v>
      </c>
      <c r="W1751" s="27">
        <f t="shared" si="193"/>
        <v>218.55</v>
      </c>
      <c r="X1751" s="27">
        <f>RawSalesTable3[[#This Row],[Revenue]]-RawSalesTable3[[#This Row],[Total_Cost]]</f>
        <v>126.10500000000002</v>
      </c>
      <c r="Y1751" s="28">
        <f>RawSalesTable3[[#This Row],[Profit]]/RawSalesTable3[[#This Row],[Revenue]]</f>
        <v>0.365887626757192</v>
      </c>
      <c r="Z1751" s="27" t="str">
        <f>TEXT(RawSalesTable3[[#This Row],[Order_Date_Clean]],"MMM YYYY")</f>
        <v>Jun 2025</v>
      </c>
      <c r="AA1751" s="27"/>
      <c r="AB1751" s="27">
        <f t="shared" si="194"/>
        <v>0</v>
      </c>
      <c r="AC1751" s="27">
        <f t="shared" si="195"/>
        <v>0</v>
      </c>
    </row>
    <row r="1752" spans="1:29">
      <c r="A1752" t="s">
        <v>1863</v>
      </c>
      <c r="B1752" s="3">
        <v>45853</v>
      </c>
      <c r="C1752" t="s">
        <v>82</v>
      </c>
      <c r="D1752" t="s">
        <v>62</v>
      </c>
      <c r="E1752" t="s">
        <v>56</v>
      </c>
      <c r="F1752" t="s">
        <v>63</v>
      </c>
      <c r="G1752" s="6">
        <v>1</v>
      </c>
      <c r="H1752" s="4">
        <v>40.630000000000003</v>
      </c>
      <c r="I1752" s="4">
        <v>20.5</v>
      </c>
      <c r="J1752" s="5">
        <v>0</v>
      </c>
      <c r="K1752" s="6">
        <v>2</v>
      </c>
      <c r="L1752" s="6">
        <v>4</v>
      </c>
      <c r="M1752" t="s">
        <v>58</v>
      </c>
      <c r="N1752" t="s">
        <v>59</v>
      </c>
      <c r="O1752" t="s">
        <v>64</v>
      </c>
      <c r="P1752" t="str">
        <f t="shared" si="189"/>
        <v>Individual</v>
      </c>
      <c r="Q1752" t="str">
        <f t="shared" si="190"/>
        <v>Midlands</v>
      </c>
      <c r="R1752" t="str">
        <f>PROPER(TRIM(E1752))</f>
        <v>Home &amp; Kitchen</v>
      </c>
      <c r="S1752" s="27">
        <f>IF(ISTEXT(B1752),DATEVALUE(B1752),B1752)</f>
        <v>45853</v>
      </c>
      <c r="T1752" s="27">
        <f>COUNTIF($A$2:$A$1986,A1752)</f>
        <v>1</v>
      </c>
      <c r="U1752" s="27" t="str">
        <f t="shared" si="191"/>
        <v>Electric Kettle</v>
      </c>
      <c r="V1752" s="27">
        <f t="shared" si="192"/>
        <v>40.630000000000003</v>
      </c>
      <c r="W1752" s="27">
        <f t="shared" si="193"/>
        <v>20.5</v>
      </c>
      <c r="X1752" s="27">
        <f>RawSalesTable3[[#This Row],[Revenue]]-RawSalesTable3[[#This Row],[Total_Cost]]</f>
        <v>20.130000000000003</v>
      </c>
      <c r="Y1752" s="28">
        <f>RawSalesTable3[[#This Row],[Profit]]/RawSalesTable3[[#This Row],[Revenue]]</f>
        <v>0.49544671425055381</v>
      </c>
      <c r="Z1752" s="27" t="str">
        <f>TEXT(RawSalesTable3[[#This Row],[Order_Date_Clean]],"MMM YYYY")</f>
        <v>Jul 2025</v>
      </c>
      <c r="AA1752" s="27"/>
      <c r="AB1752" s="27">
        <f t="shared" si="194"/>
        <v>0</v>
      </c>
      <c r="AC1752" s="27">
        <f t="shared" si="195"/>
        <v>0</v>
      </c>
    </row>
    <row r="1753" spans="1:29">
      <c r="A1753" t="s">
        <v>1864</v>
      </c>
      <c r="B1753" s="3">
        <v>45777</v>
      </c>
      <c r="C1753" t="s">
        <v>82</v>
      </c>
      <c r="D1753" t="s">
        <v>55</v>
      </c>
      <c r="E1753" t="s">
        <v>75</v>
      </c>
      <c r="F1753" t="s">
        <v>76</v>
      </c>
      <c r="G1753" s="6">
        <v>2</v>
      </c>
      <c r="H1753" s="4">
        <v>118.37</v>
      </c>
      <c r="I1753" s="4">
        <v>72.959999999999994</v>
      </c>
      <c r="J1753" s="5">
        <v>0.1</v>
      </c>
      <c r="K1753" s="6">
        <v>4</v>
      </c>
      <c r="L1753" s="6">
        <v>4</v>
      </c>
      <c r="M1753" t="s">
        <v>58</v>
      </c>
      <c r="N1753" t="s">
        <v>59</v>
      </c>
      <c r="O1753" t="s">
        <v>64</v>
      </c>
      <c r="P1753" t="str">
        <f t="shared" si="189"/>
        <v>Small Business</v>
      </c>
      <c r="Q1753" t="str">
        <f t="shared" si="190"/>
        <v>Midlands</v>
      </c>
      <c r="R1753" t="str">
        <f>PROPER(TRIM(E1753))</f>
        <v>Furniture</v>
      </c>
      <c r="S1753" s="27">
        <f>IF(ISTEXT(B1753),DATEVALUE(B1753),B1753)</f>
        <v>45777</v>
      </c>
      <c r="T1753" s="27">
        <f>COUNTIF($A$2:$A$1986,A1753)</f>
        <v>1</v>
      </c>
      <c r="U1753" s="27" t="str">
        <f t="shared" si="191"/>
        <v>Bookshelf</v>
      </c>
      <c r="V1753" s="27">
        <f t="shared" si="192"/>
        <v>213.066</v>
      </c>
      <c r="W1753" s="27">
        <f t="shared" si="193"/>
        <v>145.91999999999999</v>
      </c>
      <c r="X1753" s="27">
        <f>RawSalesTable3[[#This Row],[Revenue]]-RawSalesTable3[[#This Row],[Total_Cost]]</f>
        <v>67.146000000000015</v>
      </c>
      <c r="Y1753" s="28">
        <f>RawSalesTable3[[#This Row],[Profit]]/RawSalesTable3[[#This Row],[Revenue]]</f>
        <v>0.31514178705189949</v>
      </c>
      <c r="Z1753" s="27" t="str">
        <f>TEXT(RawSalesTable3[[#This Row],[Order_Date_Clean]],"MMM YYYY")</f>
        <v>Apr 2025</v>
      </c>
      <c r="AA1753" s="27"/>
      <c r="AB1753" s="27">
        <f t="shared" si="194"/>
        <v>0</v>
      </c>
      <c r="AC1753" s="27">
        <f t="shared" si="195"/>
        <v>0</v>
      </c>
    </row>
    <row r="1754" spans="1:29">
      <c r="A1754" t="s">
        <v>1865</v>
      </c>
      <c r="B1754" s="3">
        <v>45841</v>
      </c>
      <c r="C1754" t="s">
        <v>54</v>
      </c>
      <c r="D1754" t="s">
        <v>62</v>
      </c>
      <c r="E1754" t="s">
        <v>79</v>
      </c>
      <c r="F1754" t="s">
        <v>80</v>
      </c>
      <c r="G1754" s="6">
        <v>1</v>
      </c>
      <c r="H1754" s="4">
        <v>74.400000000000006</v>
      </c>
      <c r="I1754" s="4">
        <v>43.91</v>
      </c>
      <c r="J1754" s="5">
        <v>0.05</v>
      </c>
      <c r="K1754" s="6">
        <v>3</v>
      </c>
      <c r="L1754" s="6">
        <v>5</v>
      </c>
      <c r="M1754" t="s">
        <v>58</v>
      </c>
      <c r="N1754" t="s">
        <v>59</v>
      </c>
      <c r="O1754" t="s">
        <v>64</v>
      </c>
      <c r="P1754" t="str">
        <f t="shared" si="189"/>
        <v>Individual</v>
      </c>
      <c r="Q1754" t="str">
        <f t="shared" si="190"/>
        <v>North</v>
      </c>
      <c r="R1754" t="str">
        <f>PROPER(TRIM(E1754))</f>
        <v>Electronics</v>
      </c>
      <c r="S1754" s="27">
        <f>IF(ISTEXT(B1754),DATEVALUE(B1754),B1754)</f>
        <v>45841</v>
      </c>
      <c r="T1754" s="27">
        <f>COUNTIF($A$2:$A$1986,A1754)</f>
        <v>1</v>
      </c>
      <c r="U1754" s="27" t="str">
        <f t="shared" si="191"/>
        <v>Portable Speaker</v>
      </c>
      <c r="V1754" s="27">
        <f t="shared" si="192"/>
        <v>70.680000000000007</v>
      </c>
      <c r="W1754" s="27">
        <f t="shared" si="193"/>
        <v>43.91</v>
      </c>
      <c r="X1754" s="27">
        <f>RawSalesTable3[[#This Row],[Revenue]]-RawSalesTable3[[#This Row],[Total_Cost]]</f>
        <v>26.77000000000001</v>
      </c>
      <c r="Y1754" s="28">
        <f>RawSalesTable3[[#This Row],[Profit]]/RawSalesTable3[[#This Row],[Revenue]]</f>
        <v>0.37874929258630458</v>
      </c>
      <c r="Z1754" s="27" t="str">
        <f>TEXT(RawSalesTable3[[#This Row],[Order_Date_Clean]],"MMM YYYY")</f>
        <v>Jul 2025</v>
      </c>
      <c r="AA1754" s="27"/>
      <c r="AB1754" s="27">
        <f t="shared" si="194"/>
        <v>0</v>
      </c>
      <c r="AC1754" s="27">
        <f t="shared" si="195"/>
        <v>0</v>
      </c>
    </row>
    <row r="1755" spans="1:29">
      <c r="A1755" t="s">
        <v>1866</v>
      </c>
      <c r="B1755" s="3">
        <v>45663</v>
      </c>
      <c r="C1755" t="s">
        <v>82</v>
      </c>
      <c r="D1755" t="s">
        <v>62</v>
      </c>
      <c r="E1755" t="s">
        <v>79</v>
      </c>
      <c r="F1755" t="s">
        <v>115</v>
      </c>
      <c r="G1755" s="6">
        <v>2</v>
      </c>
      <c r="H1755" s="4">
        <v>60.75</v>
      </c>
      <c r="I1755" s="4">
        <v>35.299999999999997</v>
      </c>
      <c r="J1755" s="5">
        <v>0.05</v>
      </c>
      <c r="K1755" s="6">
        <v>4</v>
      </c>
      <c r="L1755" s="6">
        <v>4</v>
      </c>
      <c r="M1755" t="s">
        <v>58</v>
      </c>
      <c r="N1755" t="s">
        <v>59</v>
      </c>
      <c r="O1755" t="s">
        <v>64</v>
      </c>
      <c r="P1755" t="str">
        <f t="shared" si="189"/>
        <v>Individual</v>
      </c>
      <c r="Q1755" t="str">
        <f t="shared" si="190"/>
        <v>Midlands</v>
      </c>
      <c r="R1755" t="str">
        <f>PROPER(TRIM(E1755))</f>
        <v>Electronics</v>
      </c>
      <c r="S1755" s="27">
        <f>IF(ISTEXT(B1755),DATEVALUE(B1755),B1755)</f>
        <v>45663</v>
      </c>
      <c r="T1755" s="27">
        <f>COUNTIF($A$2:$A$1986,A1755)</f>
        <v>1</v>
      </c>
      <c r="U1755" s="27" t="str">
        <f t="shared" si="191"/>
        <v>Wireless Headset</v>
      </c>
      <c r="V1755" s="27">
        <f t="shared" si="192"/>
        <v>115.425</v>
      </c>
      <c r="W1755" s="27">
        <f t="shared" si="193"/>
        <v>70.599999999999994</v>
      </c>
      <c r="X1755" s="27">
        <f>RawSalesTable3[[#This Row],[Revenue]]-RawSalesTable3[[#This Row],[Total_Cost]]</f>
        <v>44.825000000000003</v>
      </c>
      <c r="Y1755" s="28">
        <f>RawSalesTable3[[#This Row],[Profit]]/RawSalesTable3[[#This Row],[Revenue]]</f>
        <v>0.38834741173922466</v>
      </c>
      <c r="Z1755" s="27" t="str">
        <f>TEXT(RawSalesTable3[[#This Row],[Order_Date_Clean]],"MMM YYYY")</f>
        <v>Jan 2025</v>
      </c>
      <c r="AA1755" s="27"/>
      <c r="AB1755" s="27">
        <f t="shared" si="194"/>
        <v>0</v>
      </c>
      <c r="AC1755" s="27">
        <f t="shared" si="195"/>
        <v>0</v>
      </c>
    </row>
    <row r="1756" spans="1:29">
      <c r="A1756" t="s">
        <v>1867</v>
      </c>
      <c r="B1756" s="3">
        <v>45672</v>
      </c>
      <c r="C1756" t="s">
        <v>82</v>
      </c>
      <c r="D1756" t="s">
        <v>55</v>
      </c>
      <c r="E1756" t="s">
        <v>79</v>
      </c>
      <c r="F1756" t="s">
        <v>115</v>
      </c>
      <c r="G1756" s="6">
        <v>2</v>
      </c>
      <c r="H1756" s="4">
        <v>59.95</v>
      </c>
      <c r="I1756" s="4">
        <v>34.479999999999997</v>
      </c>
      <c r="J1756" s="5">
        <v>0</v>
      </c>
      <c r="K1756" s="6">
        <v>4</v>
      </c>
      <c r="L1756" s="6">
        <v>5</v>
      </c>
      <c r="M1756" t="s">
        <v>58</v>
      </c>
      <c r="N1756" t="s">
        <v>59</v>
      </c>
      <c r="O1756" t="s">
        <v>73</v>
      </c>
      <c r="P1756" t="str">
        <f t="shared" si="189"/>
        <v>Small Business</v>
      </c>
      <c r="Q1756" t="str">
        <f t="shared" si="190"/>
        <v>Midlands</v>
      </c>
      <c r="R1756" t="str">
        <f>PROPER(TRIM(E1756))</f>
        <v>Electronics</v>
      </c>
      <c r="S1756" s="27">
        <f>IF(ISTEXT(B1756),DATEVALUE(B1756),B1756)</f>
        <v>45672</v>
      </c>
      <c r="T1756" s="27">
        <f>COUNTIF($A$2:$A$1986,A1756)</f>
        <v>1</v>
      </c>
      <c r="U1756" s="27" t="str">
        <f t="shared" si="191"/>
        <v>Wireless Headset</v>
      </c>
      <c r="V1756" s="27">
        <f t="shared" si="192"/>
        <v>119.9</v>
      </c>
      <c r="W1756" s="27">
        <f t="shared" si="193"/>
        <v>68.959999999999994</v>
      </c>
      <c r="X1756" s="27">
        <f>RawSalesTable3[[#This Row],[Revenue]]-RawSalesTable3[[#This Row],[Total_Cost]]</f>
        <v>50.940000000000012</v>
      </c>
      <c r="Y1756" s="28">
        <f>RawSalesTable3[[#This Row],[Profit]]/RawSalesTable3[[#This Row],[Revenue]]</f>
        <v>0.42485404503753138</v>
      </c>
      <c r="Z1756" s="27" t="str">
        <f>TEXT(RawSalesTable3[[#This Row],[Order_Date_Clean]],"MMM YYYY")</f>
        <v>Jan 2025</v>
      </c>
      <c r="AA1756" s="27"/>
      <c r="AB1756" s="27">
        <f t="shared" si="194"/>
        <v>0</v>
      </c>
      <c r="AC1756" s="27">
        <f t="shared" si="195"/>
        <v>0</v>
      </c>
    </row>
    <row r="1757" spans="1:29">
      <c r="A1757" t="s">
        <v>1868</v>
      </c>
      <c r="B1757" s="3">
        <v>45799</v>
      </c>
      <c r="C1757" t="s">
        <v>54</v>
      </c>
      <c r="D1757" t="s">
        <v>62</v>
      </c>
      <c r="E1757" t="s">
        <v>56</v>
      </c>
      <c r="F1757" t="s">
        <v>63</v>
      </c>
      <c r="G1757" s="6">
        <v>2</v>
      </c>
      <c r="H1757" s="4">
        <v>39.61</v>
      </c>
      <c r="I1757" s="4">
        <v>19.57</v>
      </c>
      <c r="J1757" s="5">
        <v>0.05</v>
      </c>
      <c r="K1757" s="6">
        <v>2</v>
      </c>
      <c r="L1757" s="6">
        <v>4</v>
      </c>
      <c r="M1757" t="s">
        <v>58</v>
      </c>
      <c r="N1757" t="s">
        <v>59</v>
      </c>
      <c r="O1757" t="s">
        <v>60</v>
      </c>
      <c r="P1757" t="str">
        <f t="shared" si="189"/>
        <v>Individual</v>
      </c>
      <c r="Q1757" t="str">
        <f t="shared" si="190"/>
        <v>North</v>
      </c>
      <c r="R1757" t="str">
        <f>PROPER(TRIM(E1757))</f>
        <v>Home &amp; Kitchen</v>
      </c>
      <c r="S1757" s="27">
        <f>IF(ISTEXT(B1757),DATEVALUE(B1757),B1757)</f>
        <v>45799</v>
      </c>
      <c r="T1757" s="27">
        <f>COUNTIF($A$2:$A$1986,A1757)</f>
        <v>1</v>
      </c>
      <c r="U1757" s="27" t="str">
        <f t="shared" si="191"/>
        <v>Electric Kettle</v>
      </c>
      <c r="V1757" s="27">
        <f t="shared" si="192"/>
        <v>75.259</v>
      </c>
      <c r="W1757" s="27">
        <f t="shared" si="193"/>
        <v>39.14</v>
      </c>
      <c r="X1757" s="27">
        <f>RawSalesTable3[[#This Row],[Revenue]]-RawSalesTable3[[#This Row],[Total_Cost]]</f>
        <v>36.119</v>
      </c>
      <c r="Y1757" s="28">
        <f>RawSalesTable3[[#This Row],[Profit]]/RawSalesTable3[[#This Row],[Revenue]]</f>
        <v>0.47992931078010603</v>
      </c>
      <c r="Z1757" s="27" t="str">
        <f>TEXT(RawSalesTable3[[#This Row],[Order_Date_Clean]],"MMM YYYY")</f>
        <v>May 2025</v>
      </c>
      <c r="AA1757" s="27"/>
      <c r="AB1757" s="27">
        <f t="shared" si="194"/>
        <v>0</v>
      </c>
      <c r="AC1757" s="27">
        <f t="shared" si="195"/>
        <v>0</v>
      </c>
    </row>
    <row r="1758" spans="1:29">
      <c r="A1758" t="s">
        <v>1869</v>
      </c>
      <c r="B1758" s="3">
        <v>45741</v>
      </c>
      <c r="C1758" t="s">
        <v>78</v>
      </c>
      <c r="D1758" t="s">
        <v>129</v>
      </c>
      <c r="E1758" t="s">
        <v>67</v>
      </c>
      <c r="F1758" t="s">
        <v>107</v>
      </c>
      <c r="G1758" s="6">
        <v>4</v>
      </c>
      <c r="H1758" s="4">
        <v>45.19</v>
      </c>
      <c r="I1758" s="4">
        <v>21.42</v>
      </c>
      <c r="J1758" s="5">
        <v>0.05</v>
      </c>
      <c r="K1758" s="6">
        <v>3</v>
      </c>
      <c r="L1758" s="6">
        <v>5</v>
      </c>
      <c r="M1758" t="s">
        <v>58</v>
      </c>
      <c r="N1758" t="s">
        <v>59</v>
      </c>
      <c r="O1758" t="s">
        <v>64</v>
      </c>
      <c r="P1758" t="str">
        <f t="shared" si="189"/>
        <v>Corporate</v>
      </c>
      <c r="Q1758" t="str">
        <f t="shared" si="190"/>
        <v>London</v>
      </c>
      <c r="R1758" t="str">
        <f>PROPER(TRIM(E1758))</f>
        <v>Office</v>
      </c>
      <c r="S1758" s="27">
        <f>IF(ISTEXT(B1758),DATEVALUE(B1758),B1758)</f>
        <v>45741</v>
      </c>
      <c r="T1758" s="27">
        <f>COUNTIF($A$2:$A$1986,A1758)</f>
        <v>1</v>
      </c>
      <c r="U1758" s="27" t="str">
        <f t="shared" si="191"/>
        <v>Laptop Stand</v>
      </c>
      <c r="V1758" s="27">
        <f t="shared" si="192"/>
        <v>171.72199999999998</v>
      </c>
      <c r="W1758" s="27">
        <f t="shared" si="193"/>
        <v>85.68</v>
      </c>
      <c r="X1758" s="27">
        <f>RawSalesTable3[[#This Row],[Revenue]]-RawSalesTable3[[#This Row],[Total_Cost]]</f>
        <v>86.041999999999973</v>
      </c>
      <c r="Y1758" s="28">
        <f>RawSalesTable3[[#This Row],[Profit]]/RawSalesTable3[[#This Row],[Revenue]]</f>
        <v>0.5010540291867086</v>
      </c>
      <c r="Z1758" s="27" t="str">
        <f>TEXT(RawSalesTable3[[#This Row],[Order_Date_Clean]],"MMM YYYY")</f>
        <v>Mar 2025</v>
      </c>
      <c r="AA1758" s="27"/>
      <c r="AB1758" s="27">
        <f t="shared" si="194"/>
        <v>0</v>
      </c>
      <c r="AC1758" s="27">
        <f t="shared" si="195"/>
        <v>0</v>
      </c>
    </row>
    <row r="1759" spans="1:29">
      <c r="A1759" t="s">
        <v>1870</v>
      </c>
      <c r="B1759" s="3">
        <v>45998</v>
      </c>
      <c r="C1759" t="s">
        <v>78</v>
      </c>
      <c r="D1759" t="s">
        <v>62</v>
      </c>
      <c r="E1759" t="s">
        <v>67</v>
      </c>
      <c r="F1759" t="s">
        <v>107</v>
      </c>
      <c r="G1759" s="6">
        <v>2</v>
      </c>
      <c r="H1759" s="4">
        <v>44.78</v>
      </c>
      <c r="I1759" s="4">
        <v>20.72</v>
      </c>
      <c r="J1759" s="5">
        <v>0</v>
      </c>
      <c r="K1759" s="6">
        <v>0</v>
      </c>
      <c r="L1759" s="6">
        <v>4</v>
      </c>
      <c r="M1759" t="s">
        <v>58</v>
      </c>
      <c r="N1759" t="s">
        <v>69</v>
      </c>
      <c r="O1759" t="s">
        <v>64</v>
      </c>
      <c r="P1759" t="str">
        <f t="shared" si="189"/>
        <v>Individual</v>
      </c>
      <c r="Q1759" t="str">
        <f t="shared" si="190"/>
        <v>London</v>
      </c>
      <c r="R1759" t="str">
        <f>PROPER(TRIM(E1759))</f>
        <v>Office</v>
      </c>
      <c r="S1759" s="27">
        <f>IF(ISTEXT(B1759),DATEVALUE(B1759),B1759)</f>
        <v>45998</v>
      </c>
      <c r="T1759" s="27">
        <f>COUNTIF($A$2:$A$1986,A1759)</f>
        <v>1</v>
      </c>
      <c r="U1759" s="27" t="str">
        <f t="shared" si="191"/>
        <v>Laptop Stand</v>
      </c>
      <c r="V1759" s="27">
        <f t="shared" si="192"/>
        <v>89.56</v>
      </c>
      <c r="W1759" s="27">
        <f t="shared" si="193"/>
        <v>41.44</v>
      </c>
      <c r="X1759" s="27">
        <f>RawSalesTable3[[#This Row],[Revenue]]-RawSalesTable3[[#This Row],[Total_Cost]]</f>
        <v>48.120000000000005</v>
      </c>
      <c r="Y1759" s="28">
        <f>RawSalesTable3[[#This Row],[Profit]]/RawSalesTable3[[#This Row],[Revenue]]</f>
        <v>0.53729343456900402</v>
      </c>
      <c r="Z1759" s="27" t="str">
        <f>TEXT(RawSalesTable3[[#This Row],[Order_Date_Clean]],"MMM YYYY")</f>
        <v>Dec 2025</v>
      </c>
      <c r="AA1759" s="27"/>
      <c r="AB1759" s="27">
        <f t="shared" si="194"/>
        <v>0</v>
      </c>
      <c r="AC1759" s="27">
        <f t="shared" si="195"/>
        <v>0</v>
      </c>
    </row>
    <row r="1760" spans="1:29">
      <c r="A1760" t="s">
        <v>1871</v>
      </c>
      <c r="B1760" s="3">
        <v>45932</v>
      </c>
      <c r="C1760" t="s">
        <v>66</v>
      </c>
      <c r="D1760" t="s">
        <v>62</v>
      </c>
      <c r="E1760" t="s">
        <v>75</v>
      </c>
      <c r="F1760" t="s">
        <v>97</v>
      </c>
      <c r="G1760" s="6">
        <v>2</v>
      </c>
      <c r="H1760" s="4">
        <v>92.43</v>
      </c>
      <c r="I1760" s="4">
        <v>53.95</v>
      </c>
      <c r="J1760" s="5">
        <v>0.05</v>
      </c>
      <c r="K1760" s="6">
        <v>7</v>
      </c>
      <c r="L1760" s="6">
        <v>4</v>
      </c>
      <c r="M1760" t="s">
        <v>58</v>
      </c>
      <c r="N1760" t="s">
        <v>59</v>
      </c>
      <c r="O1760" t="s">
        <v>64</v>
      </c>
      <c r="P1760" t="str">
        <f t="shared" si="189"/>
        <v>Individual</v>
      </c>
      <c r="Q1760" t="str">
        <f t="shared" si="190"/>
        <v>South</v>
      </c>
      <c r="R1760" t="str">
        <f>PROPER(TRIM(E1760))</f>
        <v>Furniture</v>
      </c>
      <c r="S1760" s="27">
        <f>IF(ISTEXT(B1760),DATEVALUE(B1760),B1760)</f>
        <v>45932</v>
      </c>
      <c r="T1760" s="27">
        <f>COUNTIF($A$2:$A$1986,A1760)</f>
        <v>1</v>
      </c>
      <c r="U1760" s="27" t="str">
        <f t="shared" si="191"/>
        <v>Side Table</v>
      </c>
      <c r="V1760" s="27">
        <f t="shared" si="192"/>
        <v>175.61700000000002</v>
      </c>
      <c r="W1760" s="27">
        <f t="shared" si="193"/>
        <v>107.9</v>
      </c>
      <c r="X1760" s="27">
        <f>RawSalesTable3[[#This Row],[Revenue]]-RawSalesTable3[[#This Row],[Total_Cost]]</f>
        <v>67.717000000000013</v>
      </c>
      <c r="Y1760" s="28">
        <f>RawSalesTable3[[#This Row],[Profit]]/RawSalesTable3[[#This Row],[Revenue]]</f>
        <v>0.38559478865941227</v>
      </c>
      <c r="Z1760" s="27" t="str">
        <f>TEXT(RawSalesTable3[[#This Row],[Order_Date_Clean]],"MMM YYYY")</f>
        <v>Oct 2025</v>
      </c>
      <c r="AA1760" s="27"/>
      <c r="AB1760" s="27">
        <f t="shared" si="194"/>
        <v>0</v>
      </c>
      <c r="AC1760" s="27">
        <f t="shared" si="195"/>
        <v>0</v>
      </c>
    </row>
    <row r="1761" spans="1:29">
      <c r="A1761" t="s">
        <v>1872</v>
      </c>
      <c r="B1761" s="3">
        <v>45786</v>
      </c>
      <c r="C1761" t="s">
        <v>66</v>
      </c>
      <c r="D1761" t="s">
        <v>55</v>
      </c>
      <c r="E1761" t="s">
        <v>79</v>
      </c>
      <c r="F1761" t="s">
        <v>92</v>
      </c>
      <c r="G1761" s="6">
        <v>5</v>
      </c>
      <c r="H1761" s="4">
        <v>49.62</v>
      </c>
      <c r="I1761" s="4">
        <v>26.04</v>
      </c>
      <c r="J1761" s="5">
        <v>0.05</v>
      </c>
      <c r="K1761" s="6">
        <v>5</v>
      </c>
      <c r="L1761" s="6">
        <v>4</v>
      </c>
      <c r="M1761" t="s">
        <v>58</v>
      </c>
      <c r="N1761" t="s">
        <v>59</v>
      </c>
      <c r="O1761" t="s">
        <v>60</v>
      </c>
      <c r="P1761" t="str">
        <f t="shared" si="189"/>
        <v>Small Business</v>
      </c>
      <c r="Q1761" t="str">
        <f t="shared" si="190"/>
        <v>South</v>
      </c>
      <c r="R1761" t="str">
        <f>PROPER(TRIM(E1761))</f>
        <v>Electronics</v>
      </c>
      <c r="S1761" s="27">
        <f>IF(ISTEXT(B1761),DATEVALUE(B1761),B1761)</f>
        <v>45786</v>
      </c>
      <c r="T1761" s="27">
        <f>COUNTIF($A$2:$A$1986,A1761)</f>
        <v>1</v>
      </c>
      <c r="U1761" s="27" t="str">
        <f t="shared" si="191"/>
        <v>Webcam</v>
      </c>
      <c r="V1761" s="27">
        <f t="shared" si="192"/>
        <v>235.69499999999999</v>
      </c>
      <c r="W1761" s="27">
        <f t="shared" si="193"/>
        <v>130.19999999999999</v>
      </c>
      <c r="X1761" s="27">
        <f>RawSalesTable3[[#This Row],[Revenue]]-RawSalesTable3[[#This Row],[Total_Cost]]</f>
        <v>105.495</v>
      </c>
      <c r="Y1761" s="28">
        <f>RawSalesTable3[[#This Row],[Profit]]/RawSalesTable3[[#This Row],[Revenue]]</f>
        <v>0.44759116654999048</v>
      </c>
      <c r="Z1761" s="27" t="str">
        <f>TEXT(RawSalesTable3[[#This Row],[Order_Date_Clean]],"MMM YYYY")</f>
        <v>May 2025</v>
      </c>
      <c r="AA1761" s="27"/>
      <c r="AB1761" s="27">
        <f t="shared" si="194"/>
        <v>0</v>
      </c>
      <c r="AC1761" s="27">
        <f t="shared" si="195"/>
        <v>0</v>
      </c>
    </row>
    <row r="1762" spans="1:29">
      <c r="A1762" t="s">
        <v>1873</v>
      </c>
      <c r="B1762" s="3">
        <v>45896</v>
      </c>
      <c r="C1762" t="s">
        <v>78</v>
      </c>
      <c r="D1762" t="s">
        <v>129</v>
      </c>
      <c r="E1762" t="s">
        <v>56</v>
      </c>
      <c r="F1762" t="s">
        <v>83</v>
      </c>
      <c r="G1762" s="6">
        <v>5</v>
      </c>
      <c r="H1762" s="4">
        <v>64.489999999999995</v>
      </c>
      <c r="I1762" s="4">
        <v>35.700000000000003</v>
      </c>
      <c r="J1762" s="5">
        <v>0.1</v>
      </c>
      <c r="K1762" s="6">
        <v>2</v>
      </c>
      <c r="L1762" s="6">
        <v>4</v>
      </c>
      <c r="M1762" t="s">
        <v>58</v>
      </c>
      <c r="N1762" t="s">
        <v>59</v>
      </c>
      <c r="O1762" t="s">
        <v>64</v>
      </c>
      <c r="P1762" t="str">
        <f t="shared" si="189"/>
        <v>Corporate</v>
      </c>
      <c r="Q1762" t="str">
        <f t="shared" si="190"/>
        <v>London</v>
      </c>
      <c r="R1762" t="str">
        <f>PROPER(TRIM(E1762))</f>
        <v>Home &amp; Kitchen</v>
      </c>
      <c r="S1762" s="27">
        <f>IF(ISTEXT(B1762),DATEVALUE(B1762),B1762)</f>
        <v>45896</v>
      </c>
      <c r="T1762" s="27">
        <f>COUNTIF($A$2:$A$1986,A1762)</f>
        <v>1</v>
      </c>
      <c r="U1762" s="27" t="str">
        <f t="shared" si="191"/>
        <v>Blender</v>
      </c>
      <c r="V1762" s="27">
        <f t="shared" si="192"/>
        <v>290.20499999999998</v>
      </c>
      <c r="W1762" s="27">
        <f t="shared" si="193"/>
        <v>178.5</v>
      </c>
      <c r="X1762" s="27">
        <f>RawSalesTable3[[#This Row],[Revenue]]-RawSalesTable3[[#This Row],[Total_Cost]]</f>
        <v>111.70499999999998</v>
      </c>
      <c r="Y1762" s="28">
        <f>RawSalesTable3[[#This Row],[Profit]]/RawSalesTable3[[#This Row],[Revenue]]</f>
        <v>0.38491755827776913</v>
      </c>
      <c r="Z1762" s="27" t="str">
        <f>TEXT(RawSalesTable3[[#This Row],[Order_Date_Clean]],"MMM YYYY")</f>
        <v>Aug 2025</v>
      </c>
      <c r="AA1762" s="27"/>
      <c r="AB1762" s="27">
        <f t="shared" si="194"/>
        <v>0</v>
      </c>
      <c r="AC1762" s="27">
        <f t="shared" si="195"/>
        <v>0</v>
      </c>
    </row>
    <row r="1763" spans="1:29">
      <c r="A1763" t="s">
        <v>1874</v>
      </c>
      <c r="B1763" s="3">
        <v>45984</v>
      </c>
      <c r="C1763" t="s">
        <v>66</v>
      </c>
      <c r="D1763" t="s">
        <v>129</v>
      </c>
      <c r="E1763" t="s">
        <v>56</v>
      </c>
      <c r="F1763" t="s">
        <v>83</v>
      </c>
      <c r="G1763" s="6">
        <v>5</v>
      </c>
      <c r="H1763" s="4">
        <v>65</v>
      </c>
      <c r="I1763" s="4">
        <v>34.99</v>
      </c>
      <c r="J1763" s="5">
        <v>0.2</v>
      </c>
      <c r="K1763" s="6">
        <v>1</v>
      </c>
      <c r="L1763" s="6">
        <v>4</v>
      </c>
      <c r="M1763" t="s">
        <v>58</v>
      </c>
      <c r="N1763" t="s">
        <v>69</v>
      </c>
      <c r="O1763" t="s">
        <v>64</v>
      </c>
      <c r="P1763" t="str">
        <f t="shared" si="189"/>
        <v>Corporate</v>
      </c>
      <c r="Q1763" t="str">
        <f t="shared" si="190"/>
        <v>South</v>
      </c>
      <c r="R1763" t="str">
        <f>PROPER(TRIM(E1763))</f>
        <v>Home &amp; Kitchen</v>
      </c>
      <c r="S1763" s="27">
        <f>IF(ISTEXT(B1763),DATEVALUE(B1763),B1763)</f>
        <v>45984</v>
      </c>
      <c r="T1763" s="27">
        <f>COUNTIF($A$2:$A$1986,A1763)</f>
        <v>1</v>
      </c>
      <c r="U1763" s="27" t="str">
        <f t="shared" si="191"/>
        <v>Blender</v>
      </c>
      <c r="V1763" s="27">
        <f t="shared" si="192"/>
        <v>260</v>
      </c>
      <c r="W1763" s="27">
        <f t="shared" si="193"/>
        <v>174.95000000000002</v>
      </c>
      <c r="X1763" s="27">
        <f>RawSalesTable3[[#This Row],[Revenue]]-RawSalesTable3[[#This Row],[Total_Cost]]</f>
        <v>85.049999999999983</v>
      </c>
      <c r="Y1763" s="28">
        <f>RawSalesTable3[[#This Row],[Profit]]/RawSalesTable3[[#This Row],[Revenue]]</f>
        <v>0.32711538461538453</v>
      </c>
      <c r="Z1763" s="27" t="str">
        <f>TEXT(RawSalesTable3[[#This Row],[Order_Date_Clean]],"MMM YYYY")</f>
        <v>Nov 2025</v>
      </c>
      <c r="AA1763" s="27"/>
      <c r="AB1763" s="27">
        <f t="shared" si="194"/>
        <v>0</v>
      </c>
      <c r="AC1763" s="27">
        <f t="shared" si="195"/>
        <v>0</v>
      </c>
    </row>
    <row r="1764" spans="1:29">
      <c r="A1764" t="s">
        <v>1875</v>
      </c>
      <c r="B1764" s="3">
        <v>45831</v>
      </c>
      <c r="C1764" t="s">
        <v>54</v>
      </c>
      <c r="D1764" t="s">
        <v>62</v>
      </c>
      <c r="E1764" t="s">
        <v>67</v>
      </c>
      <c r="F1764" t="s">
        <v>107</v>
      </c>
      <c r="G1764" s="6">
        <v>1</v>
      </c>
      <c r="H1764" s="4">
        <v>44.02</v>
      </c>
      <c r="I1764" s="4">
        <v>21.18</v>
      </c>
      <c r="J1764" s="5">
        <v>0.05</v>
      </c>
      <c r="K1764" s="6">
        <v>3</v>
      </c>
      <c r="L1764" s="6">
        <v>4</v>
      </c>
      <c r="M1764" t="s">
        <v>58</v>
      </c>
      <c r="N1764" t="s">
        <v>59</v>
      </c>
      <c r="O1764" t="s">
        <v>73</v>
      </c>
      <c r="P1764" t="str">
        <f t="shared" si="189"/>
        <v>Individual</v>
      </c>
      <c r="Q1764" t="str">
        <f t="shared" si="190"/>
        <v>North</v>
      </c>
      <c r="R1764" t="str">
        <f>PROPER(TRIM(E1764))</f>
        <v>Office</v>
      </c>
      <c r="S1764" s="27">
        <f>IF(ISTEXT(B1764),DATEVALUE(B1764),B1764)</f>
        <v>45831</v>
      </c>
      <c r="T1764" s="27">
        <f>COUNTIF($A$2:$A$1986,A1764)</f>
        <v>1</v>
      </c>
      <c r="U1764" s="27" t="str">
        <f t="shared" si="191"/>
        <v>Laptop Stand</v>
      </c>
      <c r="V1764" s="27">
        <f t="shared" si="192"/>
        <v>41.819000000000003</v>
      </c>
      <c r="W1764" s="27">
        <f t="shared" si="193"/>
        <v>21.18</v>
      </c>
      <c r="X1764" s="27">
        <f>RawSalesTable3[[#This Row],[Revenue]]-RawSalesTable3[[#This Row],[Total_Cost]]</f>
        <v>20.639000000000003</v>
      </c>
      <c r="Y1764" s="28">
        <f>RawSalesTable3[[#This Row],[Profit]]/RawSalesTable3[[#This Row],[Revenue]]</f>
        <v>0.49353164829383778</v>
      </c>
      <c r="Z1764" s="27" t="str">
        <f>TEXT(RawSalesTable3[[#This Row],[Order_Date_Clean]],"MMM YYYY")</f>
        <v>Jun 2025</v>
      </c>
      <c r="AA1764" s="27"/>
      <c r="AB1764" s="27">
        <f t="shared" si="194"/>
        <v>0</v>
      </c>
      <c r="AC1764" s="27">
        <f t="shared" si="195"/>
        <v>0</v>
      </c>
    </row>
    <row r="1765" spans="1:29">
      <c r="A1765" t="s">
        <v>1876</v>
      </c>
      <c r="B1765" s="3">
        <v>45967</v>
      </c>
      <c r="C1765" t="s">
        <v>82</v>
      </c>
      <c r="D1765" t="s">
        <v>62</v>
      </c>
      <c r="E1765" t="s">
        <v>67</v>
      </c>
      <c r="F1765" t="s">
        <v>107</v>
      </c>
      <c r="G1765" s="6">
        <v>1</v>
      </c>
      <c r="H1765" s="4">
        <v>45.67</v>
      </c>
      <c r="I1765" s="4">
        <v>20.91</v>
      </c>
      <c r="J1765" s="5">
        <v>0.05</v>
      </c>
      <c r="K1765" s="6">
        <v>3</v>
      </c>
      <c r="L1765" s="6">
        <v>5</v>
      </c>
      <c r="M1765" t="s">
        <v>58</v>
      </c>
      <c r="N1765" t="s">
        <v>59</v>
      </c>
      <c r="O1765" t="s">
        <v>73</v>
      </c>
      <c r="P1765" t="str">
        <f t="shared" si="189"/>
        <v>Individual</v>
      </c>
      <c r="Q1765" t="str">
        <f t="shared" si="190"/>
        <v>Midlands</v>
      </c>
      <c r="R1765" t="str">
        <f>PROPER(TRIM(E1765))</f>
        <v>Office</v>
      </c>
      <c r="S1765" s="27">
        <f>IF(ISTEXT(B1765),DATEVALUE(B1765),B1765)</f>
        <v>45967</v>
      </c>
      <c r="T1765" s="27">
        <f>COUNTIF($A$2:$A$1986,A1765)</f>
        <v>1</v>
      </c>
      <c r="U1765" s="27" t="str">
        <f t="shared" si="191"/>
        <v>Laptop Stand</v>
      </c>
      <c r="V1765" s="27">
        <f t="shared" si="192"/>
        <v>43.386499999999998</v>
      </c>
      <c r="W1765" s="27">
        <f t="shared" si="193"/>
        <v>20.91</v>
      </c>
      <c r="X1765" s="27">
        <f>RawSalesTable3[[#This Row],[Revenue]]-RawSalesTable3[[#This Row],[Total_Cost]]</f>
        <v>22.476499999999998</v>
      </c>
      <c r="Y1765" s="28">
        <f>RawSalesTable3[[#This Row],[Profit]]/RawSalesTable3[[#This Row],[Revenue]]</f>
        <v>0.51805285054106687</v>
      </c>
      <c r="Z1765" s="27" t="str">
        <f>TEXT(RawSalesTable3[[#This Row],[Order_Date_Clean]],"MMM YYYY")</f>
        <v>Nov 2025</v>
      </c>
      <c r="AA1765" s="27"/>
      <c r="AB1765" s="27">
        <f t="shared" si="194"/>
        <v>0</v>
      </c>
      <c r="AC1765" s="27">
        <f t="shared" si="195"/>
        <v>0</v>
      </c>
    </row>
    <row r="1766" spans="1:29">
      <c r="A1766" t="s">
        <v>1877</v>
      </c>
      <c r="B1766" s="3">
        <v>45812</v>
      </c>
      <c r="C1766" t="s">
        <v>78</v>
      </c>
      <c r="D1766" t="s">
        <v>62</v>
      </c>
      <c r="E1766" t="s">
        <v>56</v>
      </c>
      <c r="F1766" t="s">
        <v>83</v>
      </c>
      <c r="G1766" s="6">
        <v>1</v>
      </c>
      <c r="H1766" s="4">
        <v>65.2</v>
      </c>
      <c r="I1766" s="4">
        <v>35.78</v>
      </c>
      <c r="J1766" s="5">
        <v>0.05</v>
      </c>
      <c r="K1766" s="6">
        <v>3</v>
      </c>
      <c r="L1766" s="6">
        <v>4</v>
      </c>
      <c r="M1766" t="s">
        <v>58</v>
      </c>
      <c r="N1766" t="s">
        <v>69</v>
      </c>
      <c r="O1766" t="s">
        <v>64</v>
      </c>
      <c r="P1766" t="str">
        <f t="shared" si="189"/>
        <v>Individual</v>
      </c>
      <c r="Q1766" t="str">
        <f t="shared" si="190"/>
        <v>London</v>
      </c>
      <c r="R1766" t="str">
        <f>PROPER(TRIM(E1766))</f>
        <v>Home &amp; Kitchen</v>
      </c>
      <c r="S1766" s="27">
        <f>IF(ISTEXT(B1766),DATEVALUE(B1766),B1766)</f>
        <v>45812</v>
      </c>
      <c r="T1766" s="27">
        <f>COUNTIF($A$2:$A$1986,A1766)</f>
        <v>1</v>
      </c>
      <c r="U1766" s="27" t="str">
        <f t="shared" si="191"/>
        <v>Blender</v>
      </c>
      <c r="V1766" s="27">
        <f t="shared" si="192"/>
        <v>61.94</v>
      </c>
      <c r="W1766" s="27">
        <f t="shared" si="193"/>
        <v>35.78</v>
      </c>
      <c r="X1766" s="27">
        <f>RawSalesTable3[[#This Row],[Revenue]]-RawSalesTable3[[#This Row],[Total_Cost]]</f>
        <v>26.159999999999997</v>
      </c>
      <c r="Y1766" s="28">
        <f>RawSalesTable3[[#This Row],[Profit]]/RawSalesTable3[[#This Row],[Revenue]]</f>
        <v>0.4223442040684533</v>
      </c>
      <c r="Z1766" s="27" t="str">
        <f>TEXT(RawSalesTable3[[#This Row],[Order_Date_Clean]],"MMM YYYY")</f>
        <v>Jun 2025</v>
      </c>
      <c r="AA1766" s="27"/>
      <c r="AB1766" s="27">
        <f t="shared" si="194"/>
        <v>0</v>
      </c>
      <c r="AC1766" s="27">
        <f t="shared" si="195"/>
        <v>0</v>
      </c>
    </row>
    <row r="1767" spans="1:29">
      <c r="A1767" t="s">
        <v>1878</v>
      </c>
      <c r="B1767" s="3">
        <v>45791</v>
      </c>
      <c r="C1767" t="s">
        <v>66</v>
      </c>
      <c r="D1767" t="s">
        <v>62</v>
      </c>
      <c r="E1767" t="s">
        <v>67</v>
      </c>
      <c r="F1767" t="s">
        <v>107</v>
      </c>
      <c r="G1767" s="6">
        <v>1</v>
      </c>
      <c r="H1767" s="4">
        <v>45.93</v>
      </c>
      <c r="I1767" s="4">
        <v>21.86</v>
      </c>
      <c r="J1767" s="5">
        <v>0.05</v>
      </c>
      <c r="K1767" s="6">
        <v>1</v>
      </c>
      <c r="L1767" s="6">
        <v>4</v>
      </c>
      <c r="M1767" t="s">
        <v>58</v>
      </c>
      <c r="N1767" t="s">
        <v>87</v>
      </c>
      <c r="O1767" t="s">
        <v>64</v>
      </c>
      <c r="P1767" t="str">
        <f t="shared" si="189"/>
        <v>Individual</v>
      </c>
      <c r="Q1767" t="str">
        <f t="shared" si="190"/>
        <v>South</v>
      </c>
      <c r="R1767" t="str">
        <f>PROPER(TRIM(E1767))</f>
        <v>Office</v>
      </c>
      <c r="S1767" s="27">
        <f>IF(ISTEXT(B1767),DATEVALUE(B1767),B1767)</f>
        <v>45791</v>
      </c>
      <c r="T1767" s="27">
        <f>COUNTIF($A$2:$A$1986,A1767)</f>
        <v>1</v>
      </c>
      <c r="U1767" s="27" t="str">
        <f t="shared" si="191"/>
        <v>Laptop Stand</v>
      </c>
      <c r="V1767" s="27">
        <f t="shared" si="192"/>
        <v>43.633499999999998</v>
      </c>
      <c r="W1767" s="27">
        <f t="shared" si="193"/>
        <v>21.86</v>
      </c>
      <c r="X1767" s="27">
        <f>RawSalesTable3[[#This Row],[Revenue]]-RawSalesTable3[[#This Row],[Total_Cost]]</f>
        <v>21.773499999999999</v>
      </c>
      <c r="Y1767" s="28">
        <f>RawSalesTable3[[#This Row],[Profit]]/RawSalesTable3[[#This Row],[Revenue]]</f>
        <v>0.49900878911845253</v>
      </c>
      <c r="Z1767" s="27" t="str">
        <f>TEXT(RawSalesTable3[[#This Row],[Order_Date_Clean]],"MMM YYYY")</f>
        <v>May 2025</v>
      </c>
      <c r="AA1767" s="27"/>
      <c r="AB1767" s="27">
        <f t="shared" si="194"/>
        <v>0</v>
      </c>
      <c r="AC1767" s="27">
        <f t="shared" si="195"/>
        <v>0</v>
      </c>
    </row>
    <row r="1768" spans="1:29">
      <c r="A1768" t="s">
        <v>1879</v>
      </c>
      <c r="B1768" s="3">
        <v>45947</v>
      </c>
      <c r="C1768" t="s">
        <v>78</v>
      </c>
      <c r="D1768" t="s">
        <v>62</v>
      </c>
      <c r="E1768" t="s">
        <v>67</v>
      </c>
      <c r="F1768" t="s">
        <v>71</v>
      </c>
      <c r="G1768" s="6">
        <v>1</v>
      </c>
      <c r="H1768" s="4">
        <v>68.87</v>
      </c>
      <c r="I1768" s="4">
        <v>37.979999999999997</v>
      </c>
      <c r="J1768" s="5">
        <v>0.05</v>
      </c>
      <c r="K1768" s="6">
        <v>6</v>
      </c>
      <c r="L1768" s="6">
        <v>4</v>
      </c>
      <c r="M1768" t="s">
        <v>58</v>
      </c>
      <c r="N1768" t="s">
        <v>59</v>
      </c>
      <c r="O1768" t="s">
        <v>60</v>
      </c>
      <c r="P1768" t="str">
        <f t="shared" si="189"/>
        <v>Individual</v>
      </c>
      <c r="Q1768" t="str">
        <f t="shared" si="190"/>
        <v>London</v>
      </c>
      <c r="R1768" t="str">
        <f>PROPER(TRIM(E1768))</f>
        <v>Office</v>
      </c>
      <c r="S1768" s="27">
        <f>IF(ISTEXT(B1768),DATEVALUE(B1768),B1768)</f>
        <v>45947</v>
      </c>
      <c r="T1768" s="27">
        <f>COUNTIF($A$2:$A$1986,A1768)</f>
        <v>1</v>
      </c>
      <c r="U1768" s="27" t="str">
        <f t="shared" si="191"/>
        <v>Ergonomic Keyboard</v>
      </c>
      <c r="V1768" s="27">
        <f t="shared" si="192"/>
        <v>65.426500000000004</v>
      </c>
      <c r="W1768" s="27">
        <f t="shared" si="193"/>
        <v>37.979999999999997</v>
      </c>
      <c r="X1768" s="27">
        <f>RawSalesTable3[[#This Row],[Revenue]]-RawSalesTable3[[#This Row],[Total_Cost]]</f>
        <v>27.446500000000007</v>
      </c>
      <c r="Y1768" s="28">
        <f>RawSalesTable3[[#This Row],[Profit]]/RawSalesTable3[[#This Row],[Revenue]]</f>
        <v>0.4195012724201968</v>
      </c>
      <c r="Z1768" s="27" t="str">
        <f>TEXT(RawSalesTable3[[#This Row],[Order_Date_Clean]],"MMM YYYY")</f>
        <v>Oct 2025</v>
      </c>
      <c r="AA1768" s="27"/>
      <c r="AB1768" s="27">
        <f t="shared" si="194"/>
        <v>0</v>
      </c>
      <c r="AC1768" s="27">
        <f t="shared" si="195"/>
        <v>0</v>
      </c>
    </row>
    <row r="1769" spans="1:29">
      <c r="A1769" t="s">
        <v>1880</v>
      </c>
      <c r="B1769" s="3">
        <v>45661</v>
      </c>
      <c r="C1769" t="s">
        <v>78</v>
      </c>
      <c r="D1769" t="s">
        <v>62</v>
      </c>
      <c r="E1769" t="s">
        <v>75</v>
      </c>
      <c r="F1769" t="s">
        <v>97</v>
      </c>
      <c r="G1769" s="6">
        <v>1</v>
      </c>
      <c r="H1769" s="4">
        <v>90.91</v>
      </c>
      <c r="I1769" s="4">
        <v>55.69</v>
      </c>
      <c r="J1769" s="5">
        <v>0</v>
      </c>
      <c r="K1769" s="6">
        <v>6</v>
      </c>
      <c r="L1769" s="6">
        <v>4</v>
      </c>
      <c r="M1769" t="s">
        <v>58</v>
      </c>
      <c r="N1769" t="s">
        <v>87</v>
      </c>
      <c r="O1769" t="s">
        <v>64</v>
      </c>
      <c r="P1769" t="str">
        <f t="shared" si="189"/>
        <v>Individual</v>
      </c>
      <c r="Q1769" t="str">
        <f t="shared" si="190"/>
        <v>London</v>
      </c>
      <c r="R1769" t="str">
        <f>PROPER(TRIM(E1769))</f>
        <v>Furniture</v>
      </c>
      <c r="S1769" s="27">
        <f>IF(ISTEXT(B1769),DATEVALUE(B1769),B1769)</f>
        <v>45661</v>
      </c>
      <c r="T1769" s="27">
        <f>COUNTIF($A$2:$A$1986,A1769)</f>
        <v>1</v>
      </c>
      <c r="U1769" s="27" t="str">
        <f t="shared" si="191"/>
        <v>Side Table</v>
      </c>
      <c r="V1769" s="27">
        <f t="shared" si="192"/>
        <v>90.91</v>
      </c>
      <c r="W1769" s="27">
        <f t="shared" si="193"/>
        <v>55.69</v>
      </c>
      <c r="X1769" s="27">
        <f>RawSalesTable3[[#This Row],[Revenue]]-RawSalesTable3[[#This Row],[Total_Cost]]</f>
        <v>35.22</v>
      </c>
      <c r="Y1769" s="28">
        <f>RawSalesTable3[[#This Row],[Profit]]/RawSalesTable3[[#This Row],[Revenue]]</f>
        <v>0.38741612583874163</v>
      </c>
      <c r="Z1769" s="27" t="str">
        <f>TEXT(RawSalesTable3[[#This Row],[Order_Date_Clean]],"MMM YYYY")</f>
        <v>Jan 2025</v>
      </c>
      <c r="AA1769" s="27"/>
      <c r="AB1769" s="27">
        <f t="shared" si="194"/>
        <v>0</v>
      </c>
      <c r="AC1769" s="27">
        <f t="shared" si="195"/>
        <v>0</v>
      </c>
    </row>
    <row r="1770" spans="1:29">
      <c r="A1770" t="s">
        <v>1881</v>
      </c>
      <c r="B1770" s="3">
        <v>45851</v>
      </c>
      <c r="C1770" t="s">
        <v>66</v>
      </c>
      <c r="D1770" t="s">
        <v>62</v>
      </c>
      <c r="E1770" t="s">
        <v>79</v>
      </c>
      <c r="F1770" t="s">
        <v>115</v>
      </c>
      <c r="G1770" s="6">
        <v>2</v>
      </c>
      <c r="H1770" s="4">
        <v>61.04</v>
      </c>
      <c r="I1770" s="4">
        <v>35.159999999999997</v>
      </c>
      <c r="J1770" s="5">
        <v>0.1</v>
      </c>
      <c r="K1770" s="6">
        <v>7</v>
      </c>
      <c r="L1770" s="6">
        <v>4</v>
      </c>
      <c r="M1770" t="s">
        <v>58</v>
      </c>
      <c r="N1770" t="s">
        <v>59</v>
      </c>
      <c r="O1770" t="s">
        <v>64</v>
      </c>
      <c r="P1770" t="str">
        <f t="shared" si="189"/>
        <v>Individual</v>
      </c>
      <c r="Q1770" t="str">
        <f t="shared" si="190"/>
        <v>South</v>
      </c>
      <c r="R1770" t="str">
        <f>PROPER(TRIM(E1770))</f>
        <v>Electronics</v>
      </c>
      <c r="S1770" s="27">
        <f>IF(ISTEXT(B1770),DATEVALUE(B1770),B1770)</f>
        <v>45851</v>
      </c>
      <c r="T1770" s="27">
        <f>COUNTIF($A$2:$A$1986,A1770)</f>
        <v>1</v>
      </c>
      <c r="U1770" s="27" t="str">
        <f t="shared" si="191"/>
        <v>Wireless Headset</v>
      </c>
      <c r="V1770" s="27">
        <f t="shared" si="192"/>
        <v>109.872</v>
      </c>
      <c r="W1770" s="27">
        <f t="shared" si="193"/>
        <v>70.319999999999993</v>
      </c>
      <c r="X1770" s="27">
        <f>RawSalesTable3[[#This Row],[Revenue]]-RawSalesTable3[[#This Row],[Total_Cost]]</f>
        <v>39.552000000000007</v>
      </c>
      <c r="Y1770" s="28">
        <f>RawSalesTable3[[#This Row],[Profit]]/RawSalesTable3[[#This Row],[Revenue]]</f>
        <v>0.35998252512013984</v>
      </c>
      <c r="Z1770" s="27" t="str">
        <f>TEXT(RawSalesTable3[[#This Row],[Order_Date_Clean]],"MMM YYYY")</f>
        <v>Jul 2025</v>
      </c>
      <c r="AA1770" s="27"/>
      <c r="AB1770" s="27">
        <f t="shared" si="194"/>
        <v>0</v>
      </c>
      <c r="AC1770" s="27">
        <f t="shared" si="195"/>
        <v>0</v>
      </c>
    </row>
    <row r="1771" spans="1:29">
      <c r="A1771" t="s">
        <v>1882</v>
      </c>
      <c r="B1771" s="3">
        <v>45755</v>
      </c>
      <c r="C1771" t="s">
        <v>78</v>
      </c>
      <c r="D1771" t="s">
        <v>62</v>
      </c>
      <c r="E1771" t="s">
        <v>67</v>
      </c>
      <c r="F1771" t="s">
        <v>94</v>
      </c>
      <c r="G1771" s="6">
        <v>2</v>
      </c>
      <c r="H1771" s="4">
        <v>35.68</v>
      </c>
      <c r="I1771" s="4">
        <v>16.62</v>
      </c>
      <c r="J1771" s="5">
        <v>0.05</v>
      </c>
      <c r="K1771" s="6">
        <v>3</v>
      </c>
      <c r="L1771" s="6">
        <v>5</v>
      </c>
      <c r="M1771" t="s">
        <v>58</v>
      </c>
      <c r="N1771" t="s">
        <v>59</v>
      </c>
      <c r="O1771" t="s">
        <v>64</v>
      </c>
      <c r="P1771" t="str">
        <f t="shared" si="189"/>
        <v>Individual</v>
      </c>
      <c r="Q1771" t="str">
        <f t="shared" si="190"/>
        <v>London</v>
      </c>
      <c r="R1771" t="str">
        <f>PROPER(TRIM(E1771))</f>
        <v>Office</v>
      </c>
      <c r="S1771" s="27">
        <f>IF(ISTEXT(B1771),DATEVALUE(B1771),B1771)</f>
        <v>45755</v>
      </c>
      <c r="T1771" s="27">
        <f>COUNTIF($A$2:$A$1986,A1771)</f>
        <v>1</v>
      </c>
      <c r="U1771" s="27" t="str">
        <f t="shared" si="191"/>
        <v>Wireless Mouse</v>
      </c>
      <c r="V1771" s="27">
        <f t="shared" si="192"/>
        <v>67.792000000000002</v>
      </c>
      <c r="W1771" s="27">
        <f t="shared" si="193"/>
        <v>33.24</v>
      </c>
      <c r="X1771" s="27">
        <f>RawSalesTable3[[#This Row],[Revenue]]-RawSalesTable3[[#This Row],[Total_Cost]]</f>
        <v>34.552</v>
      </c>
      <c r="Y1771" s="28">
        <f>RawSalesTable3[[#This Row],[Profit]]/RawSalesTable3[[#This Row],[Revenue]]</f>
        <v>0.50967665801274487</v>
      </c>
      <c r="Z1771" s="27" t="str">
        <f>TEXT(RawSalesTable3[[#This Row],[Order_Date_Clean]],"MMM YYYY")</f>
        <v>Apr 2025</v>
      </c>
      <c r="AA1771" s="27"/>
      <c r="AB1771" s="27">
        <f t="shared" si="194"/>
        <v>0</v>
      </c>
      <c r="AC1771" s="27">
        <f t="shared" si="195"/>
        <v>0</v>
      </c>
    </row>
    <row r="1772" spans="1:29">
      <c r="A1772" t="s">
        <v>1883</v>
      </c>
      <c r="B1772" s="3">
        <v>45735</v>
      </c>
      <c r="C1772" t="s">
        <v>78</v>
      </c>
      <c r="D1772" t="s">
        <v>62</v>
      </c>
      <c r="E1772" t="s">
        <v>75</v>
      </c>
      <c r="F1772" t="s">
        <v>146</v>
      </c>
      <c r="G1772" s="6">
        <v>1</v>
      </c>
      <c r="H1772" s="4">
        <v>177.83</v>
      </c>
      <c r="I1772" s="4">
        <v>115.56</v>
      </c>
      <c r="J1772" s="5">
        <v>0</v>
      </c>
      <c r="K1772" s="6">
        <v>5</v>
      </c>
      <c r="L1772" s="6">
        <v>4</v>
      </c>
      <c r="M1772" t="s">
        <v>58</v>
      </c>
      <c r="N1772" t="s">
        <v>59</v>
      </c>
      <c r="O1772" t="s">
        <v>73</v>
      </c>
      <c r="P1772" t="str">
        <f t="shared" si="189"/>
        <v>Individual</v>
      </c>
      <c r="Q1772" t="str">
        <f t="shared" si="190"/>
        <v>London</v>
      </c>
      <c r="R1772" t="str">
        <f>PROPER(TRIM(E1772))</f>
        <v>Furniture</v>
      </c>
      <c r="S1772" s="27">
        <f>IF(ISTEXT(B1772),DATEVALUE(B1772),B1772)</f>
        <v>45735</v>
      </c>
      <c r="T1772" s="27">
        <f>COUNTIF($A$2:$A$1986,A1772)</f>
        <v>1</v>
      </c>
      <c r="U1772" s="27" t="str">
        <f t="shared" si="191"/>
        <v>Office Chair</v>
      </c>
      <c r="V1772" s="27">
        <f t="shared" si="192"/>
        <v>177.83</v>
      </c>
      <c r="W1772" s="27">
        <f t="shared" si="193"/>
        <v>115.56</v>
      </c>
      <c r="X1772" s="27">
        <f>RawSalesTable3[[#This Row],[Revenue]]-RawSalesTable3[[#This Row],[Total_Cost]]</f>
        <v>62.27000000000001</v>
      </c>
      <c r="Y1772" s="28">
        <f>RawSalesTable3[[#This Row],[Profit]]/RawSalesTable3[[#This Row],[Revenue]]</f>
        <v>0.35016588877017379</v>
      </c>
      <c r="Z1772" s="27" t="str">
        <f>TEXT(RawSalesTable3[[#This Row],[Order_Date_Clean]],"MMM YYYY")</f>
        <v>Mar 2025</v>
      </c>
      <c r="AA1772" s="27"/>
      <c r="AB1772" s="27">
        <f t="shared" si="194"/>
        <v>0</v>
      </c>
      <c r="AC1772" s="27">
        <f t="shared" si="195"/>
        <v>0</v>
      </c>
    </row>
    <row r="1773" spans="1:29">
      <c r="A1773" t="s">
        <v>1884</v>
      </c>
      <c r="B1773" s="3" t="s">
        <v>1885</v>
      </c>
      <c r="C1773" t="s">
        <v>54</v>
      </c>
      <c r="D1773" t="s">
        <v>55</v>
      </c>
      <c r="E1773" t="s">
        <v>79</v>
      </c>
      <c r="F1773" t="s">
        <v>85</v>
      </c>
      <c r="G1773" s="6">
        <v>3</v>
      </c>
      <c r="H1773" s="4">
        <v>129.4</v>
      </c>
      <c r="I1773" s="4">
        <v>81.94</v>
      </c>
      <c r="J1773" s="5">
        <v>0.1</v>
      </c>
      <c r="K1773" s="6">
        <v>2</v>
      </c>
      <c r="L1773" s="6">
        <v>4</v>
      </c>
      <c r="M1773" t="s">
        <v>58</v>
      </c>
      <c r="N1773" t="s">
        <v>59</v>
      </c>
      <c r="O1773" t="s">
        <v>64</v>
      </c>
      <c r="P1773" t="str">
        <f t="shared" si="189"/>
        <v>Small Business</v>
      </c>
      <c r="Q1773" t="str">
        <f t="shared" si="190"/>
        <v>North</v>
      </c>
      <c r="R1773" t="str">
        <f>PROPER(TRIM(E1773))</f>
        <v>Electronics</v>
      </c>
      <c r="S1773" s="27">
        <f>IF(ISTEXT(B1773),DATEVALUE(B1773),B1773)</f>
        <v>45803</v>
      </c>
      <c r="T1773" s="27">
        <f>COUNTIF($A$2:$A$1986,A1773)</f>
        <v>1</v>
      </c>
      <c r="U1773" s="27" t="str">
        <f t="shared" si="191"/>
        <v>SmartHome Hub</v>
      </c>
      <c r="V1773" s="27">
        <f t="shared" si="192"/>
        <v>349.38000000000005</v>
      </c>
      <c r="W1773" s="27">
        <f t="shared" si="193"/>
        <v>245.82</v>
      </c>
      <c r="X1773" s="27">
        <f>RawSalesTable3[[#This Row],[Revenue]]-RawSalesTable3[[#This Row],[Total_Cost]]</f>
        <v>103.56000000000006</v>
      </c>
      <c r="Y1773" s="28">
        <f>RawSalesTable3[[#This Row],[Profit]]/RawSalesTable3[[#This Row],[Revenue]]</f>
        <v>0.29641078481882205</v>
      </c>
      <c r="Z1773" s="27" t="str">
        <f>TEXT(RawSalesTable3[[#This Row],[Order_Date_Clean]],"MMM YYYY")</f>
        <v>May 2025</v>
      </c>
      <c r="AA1773" s="27"/>
      <c r="AB1773" s="27">
        <f t="shared" si="194"/>
        <v>0</v>
      </c>
      <c r="AC1773" s="27">
        <f t="shared" si="195"/>
        <v>0</v>
      </c>
    </row>
    <row r="1774" spans="1:29">
      <c r="A1774" t="s">
        <v>1886</v>
      </c>
      <c r="B1774" s="3">
        <v>45734</v>
      </c>
      <c r="C1774" t="s">
        <v>78</v>
      </c>
      <c r="D1774" t="s">
        <v>62</v>
      </c>
      <c r="E1774" t="s">
        <v>67</v>
      </c>
      <c r="F1774" t="s">
        <v>107</v>
      </c>
      <c r="G1774" s="6">
        <v>1</v>
      </c>
      <c r="H1774" s="4">
        <v>45.45</v>
      </c>
      <c r="I1774" s="4">
        <v>20.86</v>
      </c>
      <c r="J1774" s="5">
        <v>0</v>
      </c>
      <c r="K1774" s="6">
        <v>0</v>
      </c>
      <c r="L1774" s="6">
        <v>4</v>
      </c>
      <c r="M1774" t="s">
        <v>58</v>
      </c>
      <c r="N1774" t="s">
        <v>69</v>
      </c>
      <c r="O1774" t="s">
        <v>73</v>
      </c>
      <c r="P1774" t="str">
        <f t="shared" si="189"/>
        <v>Individual</v>
      </c>
      <c r="Q1774" t="str">
        <f t="shared" si="190"/>
        <v>London</v>
      </c>
      <c r="R1774" t="str">
        <f>PROPER(TRIM(E1774))</f>
        <v>Office</v>
      </c>
      <c r="S1774" s="27">
        <f>IF(ISTEXT(B1774),DATEVALUE(B1774),B1774)</f>
        <v>45734</v>
      </c>
      <c r="T1774" s="27">
        <f>COUNTIF($A$2:$A$1986,A1774)</f>
        <v>1</v>
      </c>
      <c r="U1774" s="27" t="str">
        <f t="shared" si="191"/>
        <v>Laptop Stand</v>
      </c>
      <c r="V1774" s="27">
        <f t="shared" si="192"/>
        <v>45.45</v>
      </c>
      <c r="W1774" s="27">
        <f t="shared" si="193"/>
        <v>20.86</v>
      </c>
      <c r="X1774" s="27">
        <f>RawSalesTable3[[#This Row],[Revenue]]-RawSalesTable3[[#This Row],[Total_Cost]]</f>
        <v>24.590000000000003</v>
      </c>
      <c r="Y1774" s="28">
        <f>RawSalesTable3[[#This Row],[Profit]]/RawSalesTable3[[#This Row],[Revenue]]</f>
        <v>0.54103410341034108</v>
      </c>
      <c r="Z1774" s="27" t="str">
        <f>TEXT(RawSalesTable3[[#This Row],[Order_Date_Clean]],"MMM YYYY")</f>
        <v>Mar 2025</v>
      </c>
      <c r="AA1774" s="27"/>
      <c r="AB1774" s="27">
        <f t="shared" si="194"/>
        <v>0</v>
      </c>
      <c r="AC1774" s="27">
        <f t="shared" si="195"/>
        <v>0</v>
      </c>
    </row>
    <row r="1775" spans="1:29">
      <c r="A1775" t="s">
        <v>1887</v>
      </c>
      <c r="B1775" s="3">
        <v>45973</v>
      </c>
      <c r="C1775" t="s">
        <v>78</v>
      </c>
      <c r="D1775" t="s">
        <v>62</v>
      </c>
      <c r="E1775" t="s">
        <v>67</v>
      </c>
      <c r="F1775" t="s">
        <v>107</v>
      </c>
      <c r="G1775" s="6">
        <v>3</v>
      </c>
      <c r="H1775" s="4">
        <v>46.21</v>
      </c>
      <c r="I1775" s="4">
        <v>20.59</v>
      </c>
      <c r="J1775" s="5">
        <v>0.05</v>
      </c>
      <c r="K1775" s="6">
        <v>0</v>
      </c>
      <c r="L1775" s="6">
        <v>5</v>
      </c>
      <c r="M1775" t="s">
        <v>58</v>
      </c>
      <c r="N1775" t="s">
        <v>69</v>
      </c>
      <c r="O1775" t="s">
        <v>64</v>
      </c>
      <c r="P1775" t="str">
        <f t="shared" si="189"/>
        <v>Individual</v>
      </c>
      <c r="Q1775" t="str">
        <f t="shared" si="190"/>
        <v>London</v>
      </c>
      <c r="R1775" t="str">
        <f>PROPER(TRIM(E1775))</f>
        <v>Office</v>
      </c>
      <c r="S1775" s="27">
        <f>IF(ISTEXT(B1775),DATEVALUE(B1775),B1775)</f>
        <v>45973</v>
      </c>
      <c r="T1775" s="27">
        <f>COUNTIF($A$2:$A$1986,A1775)</f>
        <v>1</v>
      </c>
      <c r="U1775" s="27" t="str">
        <f t="shared" si="191"/>
        <v>Laptop Stand</v>
      </c>
      <c r="V1775" s="27">
        <f t="shared" si="192"/>
        <v>131.6985</v>
      </c>
      <c r="W1775" s="27">
        <f t="shared" si="193"/>
        <v>61.769999999999996</v>
      </c>
      <c r="X1775" s="27">
        <f>RawSalesTable3[[#This Row],[Revenue]]-RawSalesTable3[[#This Row],[Total_Cost]]</f>
        <v>69.9285</v>
      </c>
      <c r="Y1775" s="28">
        <f>RawSalesTable3[[#This Row],[Profit]]/RawSalesTable3[[#This Row],[Revenue]]</f>
        <v>0.53097415688105787</v>
      </c>
      <c r="Z1775" s="27" t="str">
        <f>TEXT(RawSalesTable3[[#This Row],[Order_Date_Clean]],"MMM YYYY")</f>
        <v>Nov 2025</v>
      </c>
      <c r="AA1775" s="27"/>
      <c r="AB1775" s="27">
        <f t="shared" si="194"/>
        <v>0</v>
      </c>
      <c r="AC1775" s="27">
        <f t="shared" si="195"/>
        <v>0</v>
      </c>
    </row>
    <row r="1776" spans="1:29">
      <c r="A1776" t="s">
        <v>1888</v>
      </c>
      <c r="B1776" s="3">
        <v>45916</v>
      </c>
      <c r="C1776" t="s">
        <v>78</v>
      </c>
      <c r="D1776" t="s">
        <v>62</v>
      </c>
      <c r="E1776" t="s">
        <v>79</v>
      </c>
      <c r="F1776" t="s">
        <v>85</v>
      </c>
      <c r="G1776" s="6">
        <v>4</v>
      </c>
      <c r="H1776" s="4">
        <v>133.85</v>
      </c>
      <c r="I1776" s="4">
        <v>85.2</v>
      </c>
      <c r="J1776" s="5">
        <v>0</v>
      </c>
      <c r="K1776" s="6">
        <v>2</v>
      </c>
      <c r="L1776" s="6">
        <v>4</v>
      </c>
      <c r="M1776" t="s">
        <v>58</v>
      </c>
      <c r="N1776" t="s">
        <v>59</v>
      </c>
      <c r="O1776" t="s">
        <v>64</v>
      </c>
      <c r="P1776" t="str">
        <f t="shared" si="189"/>
        <v>Individual</v>
      </c>
      <c r="Q1776" t="str">
        <f t="shared" si="190"/>
        <v>London</v>
      </c>
      <c r="R1776" t="str">
        <f>PROPER(TRIM(E1776))</f>
        <v>Electronics</v>
      </c>
      <c r="S1776" s="27">
        <f>IF(ISTEXT(B1776),DATEVALUE(B1776),B1776)</f>
        <v>45916</v>
      </c>
      <c r="T1776" s="27">
        <f>COUNTIF($A$2:$A$1986,A1776)</f>
        <v>1</v>
      </c>
      <c r="U1776" s="27" t="str">
        <f t="shared" si="191"/>
        <v>SmartHome Hub</v>
      </c>
      <c r="V1776" s="27">
        <f t="shared" si="192"/>
        <v>535.4</v>
      </c>
      <c r="W1776" s="27">
        <f t="shared" si="193"/>
        <v>340.8</v>
      </c>
      <c r="X1776" s="27">
        <f>RawSalesTable3[[#This Row],[Revenue]]-RawSalesTable3[[#This Row],[Total_Cost]]</f>
        <v>194.59999999999997</v>
      </c>
      <c r="Y1776" s="28">
        <f>RawSalesTable3[[#This Row],[Profit]]/RawSalesTable3[[#This Row],[Revenue]]</f>
        <v>0.36346656705267083</v>
      </c>
      <c r="Z1776" s="27" t="str">
        <f>TEXT(RawSalesTable3[[#This Row],[Order_Date_Clean]],"MMM YYYY")</f>
        <v>Sep 2025</v>
      </c>
      <c r="AA1776" s="27"/>
      <c r="AB1776" s="27">
        <f t="shared" si="194"/>
        <v>0</v>
      </c>
      <c r="AC1776" s="27">
        <f t="shared" si="195"/>
        <v>0</v>
      </c>
    </row>
    <row r="1777" spans="1:29">
      <c r="A1777" t="s">
        <v>1889</v>
      </c>
      <c r="B1777" s="3">
        <v>45943</v>
      </c>
      <c r="C1777" t="s">
        <v>82</v>
      </c>
      <c r="D1777" t="s">
        <v>62</v>
      </c>
      <c r="E1777" t="s">
        <v>79</v>
      </c>
      <c r="F1777" t="s">
        <v>80</v>
      </c>
      <c r="G1777" s="6">
        <v>1</v>
      </c>
      <c r="H1777" s="4">
        <v>73.69</v>
      </c>
      <c r="I1777" s="4">
        <v>42.96</v>
      </c>
      <c r="J1777" s="5">
        <v>0</v>
      </c>
      <c r="K1777" s="6">
        <v>6</v>
      </c>
      <c r="L1777" s="6">
        <v>3</v>
      </c>
      <c r="M1777" t="s">
        <v>126</v>
      </c>
      <c r="N1777" t="s">
        <v>87</v>
      </c>
      <c r="O1777" t="s">
        <v>64</v>
      </c>
      <c r="P1777" t="str">
        <f t="shared" si="189"/>
        <v>Individual</v>
      </c>
      <c r="Q1777" t="str">
        <f t="shared" si="190"/>
        <v>Midlands</v>
      </c>
      <c r="R1777" t="str">
        <f>PROPER(TRIM(E1777))</f>
        <v>Electronics</v>
      </c>
      <c r="S1777" s="27">
        <f>IF(ISTEXT(B1777),DATEVALUE(B1777),B1777)</f>
        <v>45943</v>
      </c>
      <c r="T1777" s="27">
        <f>COUNTIF($A$2:$A$1986,A1777)</f>
        <v>1</v>
      </c>
      <c r="U1777" s="27" t="str">
        <f t="shared" si="191"/>
        <v>Portable Speaker</v>
      </c>
      <c r="V1777" s="27">
        <f t="shared" si="192"/>
        <v>73.69</v>
      </c>
      <c r="W1777" s="27">
        <f t="shared" si="193"/>
        <v>42.96</v>
      </c>
      <c r="X1777" s="27">
        <f>RawSalesTable3[[#This Row],[Revenue]]-RawSalesTable3[[#This Row],[Total_Cost]]</f>
        <v>30.729999999999997</v>
      </c>
      <c r="Y1777" s="28">
        <f>RawSalesTable3[[#This Row],[Profit]]/RawSalesTable3[[#This Row],[Revenue]]</f>
        <v>0.41701723436015736</v>
      </c>
      <c r="Z1777" s="27" t="str">
        <f>TEXT(RawSalesTable3[[#This Row],[Order_Date_Clean]],"MMM YYYY")</f>
        <v>Oct 2025</v>
      </c>
      <c r="AA1777" s="27"/>
      <c r="AB1777" s="27">
        <f t="shared" si="194"/>
        <v>0</v>
      </c>
      <c r="AC1777" s="27">
        <f t="shared" si="195"/>
        <v>0</v>
      </c>
    </row>
    <row r="1778" spans="1:29">
      <c r="A1778" t="s">
        <v>1890</v>
      </c>
      <c r="B1778" s="3">
        <v>45787</v>
      </c>
      <c r="C1778" t="s">
        <v>66</v>
      </c>
      <c r="D1778" t="s">
        <v>129</v>
      </c>
      <c r="E1778" t="s">
        <v>67</v>
      </c>
      <c r="F1778" t="s">
        <v>71</v>
      </c>
      <c r="G1778" s="6">
        <v>8</v>
      </c>
      <c r="H1778" s="4">
        <v>72.33</v>
      </c>
      <c r="I1778" s="4">
        <v>38.729999999999997</v>
      </c>
      <c r="J1778" s="5">
        <v>0.1</v>
      </c>
      <c r="K1778" s="6">
        <v>2</v>
      </c>
      <c r="L1778" s="6">
        <v>4</v>
      </c>
      <c r="M1778" t="s">
        <v>58</v>
      </c>
      <c r="N1778" t="s">
        <v>69</v>
      </c>
      <c r="O1778" t="s">
        <v>60</v>
      </c>
      <c r="P1778" t="str">
        <f t="shared" si="189"/>
        <v>Corporate</v>
      </c>
      <c r="Q1778" t="str">
        <f t="shared" si="190"/>
        <v>South</v>
      </c>
      <c r="R1778" t="str">
        <f>PROPER(TRIM(E1778))</f>
        <v>Office</v>
      </c>
      <c r="S1778" s="27">
        <f>IF(ISTEXT(B1778),DATEVALUE(B1778),B1778)</f>
        <v>45787</v>
      </c>
      <c r="T1778" s="27">
        <f>COUNTIF($A$2:$A$1986,A1778)</f>
        <v>1</v>
      </c>
      <c r="U1778" s="27" t="str">
        <f t="shared" si="191"/>
        <v>Ergonomic Keyboard</v>
      </c>
      <c r="V1778" s="27">
        <f t="shared" si="192"/>
        <v>520.77599999999995</v>
      </c>
      <c r="W1778" s="27">
        <f t="shared" si="193"/>
        <v>309.83999999999997</v>
      </c>
      <c r="X1778" s="27">
        <f>RawSalesTable3[[#This Row],[Revenue]]-RawSalesTable3[[#This Row],[Total_Cost]]</f>
        <v>210.93599999999998</v>
      </c>
      <c r="Y1778" s="28">
        <f>RawSalesTable3[[#This Row],[Profit]]/RawSalesTable3[[#This Row],[Revenue]]</f>
        <v>0.40504170699110559</v>
      </c>
      <c r="Z1778" s="27" t="str">
        <f>TEXT(RawSalesTable3[[#This Row],[Order_Date_Clean]],"MMM YYYY")</f>
        <v>May 2025</v>
      </c>
      <c r="AA1778" s="27"/>
      <c r="AB1778" s="27">
        <f t="shared" si="194"/>
        <v>0</v>
      </c>
      <c r="AC1778" s="27">
        <f t="shared" si="195"/>
        <v>0</v>
      </c>
    </row>
    <row r="1779" spans="1:29">
      <c r="A1779" t="s">
        <v>1891</v>
      </c>
      <c r="B1779" s="3">
        <v>45837</v>
      </c>
      <c r="C1779" t="s">
        <v>66</v>
      </c>
      <c r="D1779" t="s">
        <v>62</v>
      </c>
      <c r="E1779" t="s">
        <v>67</v>
      </c>
      <c r="F1779" t="s">
        <v>94</v>
      </c>
      <c r="G1779" s="6">
        <v>1</v>
      </c>
      <c r="H1779" s="4">
        <v>34.29</v>
      </c>
      <c r="I1779" s="4">
        <v>16.96</v>
      </c>
      <c r="J1779" s="5">
        <v>0.05</v>
      </c>
      <c r="K1779" s="6">
        <v>3</v>
      </c>
      <c r="L1779" s="6">
        <v>4</v>
      </c>
      <c r="M1779" t="s">
        <v>58</v>
      </c>
      <c r="N1779" t="s">
        <v>59</v>
      </c>
      <c r="O1779" t="s">
        <v>64</v>
      </c>
      <c r="P1779" t="str">
        <f t="shared" si="189"/>
        <v>Individual</v>
      </c>
      <c r="Q1779" t="str">
        <f t="shared" si="190"/>
        <v>South</v>
      </c>
      <c r="R1779" t="str">
        <f>PROPER(TRIM(E1779))</f>
        <v>Office</v>
      </c>
      <c r="S1779" s="27">
        <f>IF(ISTEXT(B1779),DATEVALUE(B1779),B1779)</f>
        <v>45837</v>
      </c>
      <c r="T1779" s="27">
        <f>COUNTIF($A$2:$A$1986,A1779)</f>
        <v>1</v>
      </c>
      <c r="U1779" s="27" t="str">
        <f t="shared" si="191"/>
        <v>Wireless Mouse</v>
      </c>
      <c r="V1779" s="27">
        <f t="shared" si="192"/>
        <v>32.575499999999998</v>
      </c>
      <c r="W1779" s="27">
        <f t="shared" si="193"/>
        <v>16.96</v>
      </c>
      <c r="X1779" s="27">
        <f>RawSalesTable3[[#This Row],[Revenue]]-RawSalesTable3[[#This Row],[Total_Cost]]</f>
        <v>15.615499999999997</v>
      </c>
      <c r="Y1779" s="28">
        <f>RawSalesTable3[[#This Row],[Profit]]/RawSalesTable3[[#This Row],[Revenue]]</f>
        <v>0.47936332519838526</v>
      </c>
      <c r="Z1779" s="27" t="str">
        <f>TEXT(RawSalesTable3[[#This Row],[Order_Date_Clean]],"MMM YYYY")</f>
        <v>Jun 2025</v>
      </c>
      <c r="AA1779" s="27"/>
      <c r="AB1779" s="27">
        <f t="shared" si="194"/>
        <v>0</v>
      </c>
      <c r="AC1779" s="27">
        <f t="shared" si="195"/>
        <v>0</v>
      </c>
    </row>
    <row r="1780" spans="1:29">
      <c r="A1780" t="s">
        <v>1892</v>
      </c>
      <c r="B1780" s="3">
        <v>45804</v>
      </c>
      <c r="C1780" t="s">
        <v>82</v>
      </c>
      <c r="D1780" t="s">
        <v>62</v>
      </c>
      <c r="E1780" t="s">
        <v>56</v>
      </c>
      <c r="F1780" t="s">
        <v>89</v>
      </c>
      <c r="G1780" s="6">
        <v>1</v>
      </c>
      <c r="H1780" s="4">
        <v>80.31</v>
      </c>
      <c r="I1780" s="4">
        <v>44.99</v>
      </c>
      <c r="J1780" s="5">
        <v>0</v>
      </c>
      <c r="K1780" s="6">
        <v>0</v>
      </c>
      <c r="L1780" s="6">
        <v>4</v>
      </c>
      <c r="M1780" t="s">
        <v>58</v>
      </c>
      <c r="N1780" t="s">
        <v>69</v>
      </c>
      <c r="O1780" t="s">
        <v>64</v>
      </c>
      <c r="P1780" t="str">
        <f t="shared" si="189"/>
        <v>Individual</v>
      </c>
      <c r="Q1780" t="str">
        <f t="shared" si="190"/>
        <v>Midlands</v>
      </c>
      <c r="R1780" t="str">
        <f>PROPER(TRIM(E1780))</f>
        <v>Home &amp; Kitchen</v>
      </c>
      <c r="S1780" s="27">
        <f>IF(ISTEXT(B1780),DATEVALUE(B1780),B1780)</f>
        <v>45804</v>
      </c>
      <c r="T1780" s="27">
        <f>COUNTIF($A$2:$A$1986,A1780)</f>
        <v>1</v>
      </c>
      <c r="U1780" s="27" t="str">
        <f t="shared" si="191"/>
        <v>Coffee Maker</v>
      </c>
      <c r="V1780" s="27">
        <f t="shared" si="192"/>
        <v>80.31</v>
      </c>
      <c r="W1780" s="27">
        <f t="shared" si="193"/>
        <v>44.99</v>
      </c>
      <c r="X1780" s="27">
        <f>RawSalesTable3[[#This Row],[Revenue]]-RawSalesTable3[[#This Row],[Total_Cost]]</f>
        <v>35.32</v>
      </c>
      <c r="Y1780" s="28">
        <f>RawSalesTable3[[#This Row],[Profit]]/RawSalesTable3[[#This Row],[Revenue]]</f>
        <v>0.43979579130867885</v>
      </c>
      <c r="Z1780" s="27" t="str">
        <f>TEXT(RawSalesTable3[[#This Row],[Order_Date_Clean]],"MMM YYYY")</f>
        <v>May 2025</v>
      </c>
      <c r="AA1780" s="27"/>
      <c r="AB1780" s="27">
        <f t="shared" si="194"/>
        <v>0</v>
      </c>
      <c r="AC1780" s="27">
        <f t="shared" si="195"/>
        <v>0</v>
      </c>
    </row>
    <row r="1781" spans="1:29">
      <c r="A1781" t="s">
        <v>1893</v>
      </c>
      <c r="B1781" s="3" t="s">
        <v>1894</v>
      </c>
      <c r="C1781" t="s">
        <v>54</v>
      </c>
      <c r="D1781" t="s">
        <v>62</v>
      </c>
      <c r="E1781" t="s">
        <v>79</v>
      </c>
      <c r="F1781" t="s">
        <v>80</v>
      </c>
      <c r="G1781" s="6">
        <v>2</v>
      </c>
      <c r="H1781" s="4">
        <v>74.349999999999994</v>
      </c>
      <c r="I1781" s="4">
        <v>43.44</v>
      </c>
      <c r="J1781" s="5">
        <v>0.05</v>
      </c>
      <c r="K1781" s="6">
        <v>6</v>
      </c>
      <c r="L1781" s="6">
        <v>3</v>
      </c>
      <c r="M1781" t="s">
        <v>58</v>
      </c>
      <c r="N1781" t="s">
        <v>59</v>
      </c>
      <c r="O1781" t="s">
        <v>64</v>
      </c>
      <c r="P1781" t="str">
        <f t="shared" si="189"/>
        <v>Individual</v>
      </c>
      <c r="Q1781" t="str">
        <f t="shared" si="190"/>
        <v>North</v>
      </c>
      <c r="R1781" t="str">
        <f>PROPER(TRIM(E1781))</f>
        <v>Electronics</v>
      </c>
      <c r="S1781" s="27">
        <f>IF(ISTEXT(B1781),DATEVALUE(B1781),B1781)</f>
        <v>45916</v>
      </c>
      <c r="T1781" s="27">
        <f>COUNTIF($A$2:$A$1986,A1781)</f>
        <v>1</v>
      </c>
      <c r="U1781" s="27" t="str">
        <f t="shared" si="191"/>
        <v>Portable Speaker</v>
      </c>
      <c r="V1781" s="27">
        <f t="shared" si="192"/>
        <v>141.26499999999999</v>
      </c>
      <c r="W1781" s="27">
        <f t="shared" si="193"/>
        <v>86.88</v>
      </c>
      <c r="X1781" s="27">
        <f>RawSalesTable3[[#This Row],[Revenue]]-RawSalesTable3[[#This Row],[Total_Cost]]</f>
        <v>54.384999999999991</v>
      </c>
      <c r="Y1781" s="28">
        <f>RawSalesTable3[[#This Row],[Profit]]/RawSalesTable3[[#This Row],[Revenue]]</f>
        <v>0.38498566523908961</v>
      </c>
      <c r="Z1781" s="27" t="str">
        <f>TEXT(RawSalesTable3[[#This Row],[Order_Date_Clean]],"MMM YYYY")</f>
        <v>Sep 2025</v>
      </c>
      <c r="AA1781" s="27"/>
      <c r="AB1781" s="27">
        <f t="shared" si="194"/>
        <v>0</v>
      </c>
      <c r="AC1781" s="27">
        <f t="shared" si="195"/>
        <v>0</v>
      </c>
    </row>
    <row r="1782" spans="1:29">
      <c r="A1782" t="s">
        <v>1895</v>
      </c>
      <c r="B1782" s="3">
        <v>45731</v>
      </c>
      <c r="C1782" t="s">
        <v>82</v>
      </c>
      <c r="D1782" t="s">
        <v>55</v>
      </c>
      <c r="E1782" t="s">
        <v>56</v>
      </c>
      <c r="F1782" t="s">
        <v>57</v>
      </c>
      <c r="G1782" s="6">
        <v>3</v>
      </c>
      <c r="H1782" s="4">
        <v>110.79</v>
      </c>
      <c r="I1782" s="4">
        <v>66.540000000000006</v>
      </c>
      <c r="J1782" s="5">
        <v>0</v>
      </c>
      <c r="K1782" s="6">
        <v>3</v>
      </c>
      <c r="L1782" s="6">
        <v>4</v>
      </c>
      <c r="M1782" t="s">
        <v>58</v>
      </c>
      <c r="N1782" t="s">
        <v>59</v>
      </c>
      <c r="O1782" t="s">
        <v>64</v>
      </c>
      <c r="P1782" t="str">
        <f t="shared" si="189"/>
        <v>Small Business</v>
      </c>
      <c r="Q1782" t="str">
        <f t="shared" si="190"/>
        <v>Midlands</v>
      </c>
      <c r="R1782" t="str">
        <f>PROPER(TRIM(E1782))</f>
        <v>Home &amp; Kitchen</v>
      </c>
      <c r="S1782" s="27">
        <f>IF(ISTEXT(B1782),DATEVALUE(B1782),B1782)</f>
        <v>45731</v>
      </c>
      <c r="T1782" s="27">
        <f>COUNTIF($A$2:$A$1986,A1782)</f>
        <v>1</v>
      </c>
      <c r="U1782" s="27" t="str">
        <f t="shared" si="191"/>
        <v>Air Fryer</v>
      </c>
      <c r="V1782" s="27">
        <f t="shared" si="192"/>
        <v>332.37</v>
      </c>
      <c r="W1782" s="27">
        <f t="shared" si="193"/>
        <v>199.62</v>
      </c>
      <c r="X1782" s="27">
        <f>RawSalesTable3[[#This Row],[Revenue]]-RawSalesTable3[[#This Row],[Total_Cost]]</f>
        <v>132.75</v>
      </c>
      <c r="Y1782" s="28">
        <f>RawSalesTable3[[#This Row],[Profit]]/RawSalesTable3[[#This Row],[Revenue]]</f>
        <v>0.39940427836447334</v>
      </c>
      <c r="Z1782" s="27" t="str">
        <f>TEXT(RawSalesTable3[[#This Row],[Order_Date_Clean]],"MMM YYYY")</f>
        <v>Mar 2025</v>
      </c>
      <c r="AA1782" s="27"/>
      <c r="AB1782" s="27">
        <f t="shared" si="194"/>
        <v>0</v>
      </c>
      <c r="AC1782" s="27">
        <f t="shared" si="195"/>
        <v>0</v>
      </c>
    </row>
    <row r="1783" spans="1:29">
      <c r="A1783" t="s">
        <v>1896</v>
      </c>
      <c r="B1783" s="3">
        <v>45810</v>
      </c>
      <c r="C1783" t="s">
        <v>54</v>
      </c>
      <c r="D1783" t="s">
        <v>62</v>
      </c>
      <c r="E1783" t="s">
        <v>67</v>
      </c>
      <c r="F1783" t="s">
        <v>71</v>
      </c>
      <c r="G1783" s="6">
        <v>1</v>
      </c>
      <c r="H1783" s="4">
        <v>71.849999999999994</v>
      </c>
      <c r="I1783" s="4">
        <v>38.47</v>
      </c>
      <c r="J1783" s="5">
        <v>0</v>
      </c>
      <c r="K1783" s="6">
        <v>3</v>
      </c>
      <c r="L1783" s="6">
        <v>4</v>
      </c>
      <c r="M1783" t="s">
        <v>126</v>
      </c>
      <c r="N1783" t="s">
        <v>59</v>
      </c>
      <c r="O1783" t="s">
        <v>64</v>
      </c>
      <c r="P1783" t="str">
        <f t="shared" si="189"/>
        <v>Individual</v>
      </c>
      <c r="Q1783" t="str">
        <f t="shared" si="190"/>
        <v>North</v>
      </c>
      <c r="R1783" t="str">
        <f>PROPER(TRIM(E1783))</f>
        <v>Office</v>
      </c>
      <c r="S1783" s="27">
        <f>IF(ISTEXT(B1783),DATEVALUE(B1783),B1783)</f>
        <v>45810</v>
      </c>
      <c r="T1783" s="27">
        <f>COUNTIF($A$2:$A$1986,A1783)</f>
        <v>1</v>
      </c>
      <c r="U1783" s="27" t="str">
        <f t="shared" si="191"/>
        <v>Ergonomic Keyboard</v>
      </c>
      <c r="V1783" s="27">
        <f t="shared" si="192"/>
        <v>71.849999999999994</v>
      </c>
      <c r="W1783" s="27">
        <f t="shared" si="193"/>
        <v>38.47</v>
      </c>
      <c r="X1783" s="27">
        <f>RawSalesTable3[[#This Row],[Revenue]]-RawSalesTable3[[#This Row],[Total_Cost]]</f>
        <v>33.379999999999995</v>
      </c>
      <c r="Y1783" s="28">
        <f>RawSalesTable3[[#This Row],[Profit]]/RawSalesTable3[[#This Row],[Revenue]]</f>
        <v>0.46457898399443281</v>
      </c>
      <c r="Z1783" s="27" t="str">
        <f>TEXT(RawSalesTable3[[#This Row],[Order_Date_Clean]],"MMM YYYY")</f>
        <v>Jun 2025</v>
      </c>
      <c r="AA1783" s="27"/>
      <c r="AB1783" s="27">
        <f t="shared" si="194"/>
        <v>0</v>
      </c>
      <c r="AC1783" s="27">
        <f t="shared" si="195"/>
        <v>0</v>
      </c>
    </row>
    <row r="1784" spans="1:29">
      <c r="A1784" t="s">
        <v>1897</v>
      </c>
      <c r="B1784" s="3">
        <v>45694</v>
      </c>
      <c r="C1784" t="s">
        <v>78</v>
      </c>
      <c r="D1784" t="s">
        <v>129</v>
      </c>
      <c r="E1784" t="s">
        <v>56</v>
      </c>
      <c r="F1784" t="s">
        <v>83</v>
      </c>
      <c r="G1784" s="6">
        <v>6</v>
      </c>
      <c r="H1784" s="4">
        <v>65.290000000000006</v>
      </c>
      <c r="I1784" s="4">
        <v>34.1</v>
      </c>
      <c r="J1784" s="5">
        <v>0.05</v>
      </c>
      <c r="K1784" s="6">
        <v>2</v>
      </c>
      <c r="L1784" s="6">
        <v>4</v>
      </c>
      <c r="M1784" t="s">
        <v>58</v>
      </c>
      <c r="N1784" t="s">
        <v>69</v>
      </c>
      <c r="O1784" t="s">
        <v>64</v>
      </c>
      <c r="P1784" t="str">
        <f t="shared" si="189"/>
        <v>Corporate</v>
      </c>
      <c r="Q1784" t="str">
        <f t="shared" si="190"/>
        <v>London</v>
      </c>
      <c r="R1784" t="str">
        <f>PROPER(TRIM(E1784))</f>
        <v>Home &amp; Kitchen</v>
      </c>
      <c r="S1784" s="27">
        <f>IF(ISTEXT(B1784),DATEVALUE(B1784),B1784)</f>
        <v>45694</v>
      </c>
      <c r="T1784" s="27">
        <f>COUNTIF($A$2:$A$1986,A1784)</f>
        <v>1</v>
      </c>
      <c r="U1784" s="27" t="str">
        <f t="shared" si="191"/>
        <v>Blender</v>
      </c>
      <c r="V1784" s="27">
        <f t="shared" si="192"/>
        <v>372.15299999999996</v>
      </c>
      <c r="W1784" s="27">
        <f t="shared" si="193"/>
        <v>204.60000000000002</v>
      </c>
      <c r="X1784" s="27">
        <f>RawSalesTable3[[#This Row],[Revenue]]-RawSalesTable3[[#This Row],[Total_Cost]]</f>
        <v>167.55299999999994</v>
      </c>
      <c r="Y1784" s="28">
        <f>RawSalesTable3[[#This Row],[Profit]]/RawSalesTable3[[#This Row],[Revenue]]</f>
        <v>0.45022611667781787</v>
      </c>
      <c r="Z1784" s="27" t="str">
        <f>TEXT(RawSalesTable3[[#This Row],[Order_Date_Clean]],"MMM YYYY")</f>
        <v>Feb 2025</v>
      </c>
      <c r="AA1784" s="27"/>
      <c r="AB1784" s="27">
        <f t="shared" si="194"/>
        <v>0</v>
      </c>
      <c r="AC1784" s="27">
        <f t="shared" si="195"/>
        <v>0</v>
      </c>
    </row>
    <row r="1785" spans="1:29">
      <c r="A1785" t="s">
        <v>1898</v>
      </c>
      <c r="B1785" s="3">
        <v>45774</v>
      </c>
      <c r="C1785" t="s">
        <v>78</v>
      </c>
      <c r="D1785" t="s">
        <v>62</v>
      </c>
      <c r="E1785" t="s">
        <v>56</v>
      </c>
      <c r="F1785" t="s">
        <v>57</v>
      </c>
      <c r="G1785" s="6">
        <v>1</v>
      </c>
      <c r="H1785" s="4">
        <v>111.5</v>
      </c>
      <c r="I1785" s="4">
        <v>65.959999999999994</v>
      </c>
      <c r="J1785" s="5">
        <v>0.1</v>
      </c>
      <c r="K1785" s="6">
        <v>2</v>
      </c>
      <c r="L1785" s="6">
        <v>4</v>
      </c>
      <c r="M1785" t="s">
        <v>58</v>
      </c>
      <c r="N1785" t="s">
        <v>59</v>
      </c>
      <c r="O1785" t="s">
        <v>64</v>
      </c>
      <c r="P1785" t="str">
        <f t="shared" si="189"/>
        <v>Individual</v>
      </c>
      <c r="Q1785" t="str">
        <f t="shared" si="190"/>
        <v>London</v>
      </c>
      <c r="R1785" t="str">
        <f>PROPER(TRIM(E1785))</f>
        <v>Home &amp; Kitchen</v>
      </c>
      <c r="S1785" s="27">
        <f>IF(ISTEXT(B1785),DATEVALUE(B1785),B1785)</f>
        <v>45774</v>
      </c>
      <c r="T1785" s="27">
        <f>COUNTIF($A$2:$A$1986,A1785)</f>
        <v>1</v>
      </c>
      <c r="U1785" s="27" t="str">
        <f t="shared" si="191"/>
        <v>Air Fryer</v>
      </c>
      <c r="V1785" s="27">
        <f t="shared" si="192"/>
        <v>100.35000000000001</v>
      </c>
      <c r="W1785" s="27">
        <f t="shared" si="193"/>
        <v>65.959999999999994</v>
      </c>
      <c r="X1785" s="27">
        <f>RawSalesTable3[[#This Row],[Revenue]]-RawSalesTable3[[#This Row],[Total_Cost]]</f>
        <v>34.390000000000015</v>
      </c>
      <c r="Y1785" s="28">
        <f>RawSalesTable3[[#This Row],[Profit]]/RawSalesTable3[[#This Row],[Revenue]]</f>
        <v>0.34270054808171413</v>
      </c>
      <c r="Z1785" s="27" t="str">
        <f>TEXT(RawSalesTable3[[#This Row],[Order_Date_Clean]],"MMM YYYY")</f>
        <v>Apr 2025</v>
      </c>
      <c r="AA1785" s="27"/>
      <c r="AB1785" s="27">
        <f t="shared" si="194"/>
        <v>0</v>
      </c>
      <c r="AC1785" s="27">
        <f t="shared" si="195"/>
        <v>0</v>
      </c>
    </row>
    <row r="1786" spans="1:29">
      <c r="A1786" t="s">
        <v>1899</v>
      </c>
      <c r="B1786" s="3">
        <v>45953</v>
      </c>
      <c r="C1786" t="s">
        <v>78</v>
      </c>
      <c r="D1786" t="s">
        <v>55</v>
      </c>
      <c r="E1786" t="s">
        <v>79</v>
      </c>
      <c r="F1786" t="s">
        <v>92</v>
      </c>
      <c r="G1786" s="6">
        <v>4</v>
      </c>
      <c r="H1786" s="4">
        <v>51.58</v>
      </c>
      <c r="I1786" s="4">
        <v>27.15</v>
      </c>
      <c r="J1786" s="5">
        <v>0.1</v>
      </c>
      <c r="K1786" s="6">
        <v>0</v>
      </c>
      <c r="L1786" s="6">
        <v>4</v>
      </c>
      <c r="M1786" t="s">
        <v>58</v>
      </c>
      <c r="N1786" t="s">
        <v>69</v>
      </c>
      <c r="O1786" t="s">
        <v>64</v>
      </c>
      <c r="P1786" t="str">
        <f t="shared" si="189"/>
        <v>Small Business</v>
      </c>
      <c r="Q1786" t="str">
        <f t="shared" si="190"/>
        <v>London</v>
      </c>
      <c r="R1786" t="str">
        <f>PROPER(TRIM(E1786))</f>
        <v>Electronics</v>
      </c>
      <c r="S1786" s="27">
        <f>IF(ISTEXT(B1786),DATEVALUE(B1786),B1786)</f>
        <v>45953</v>
      </c>
      <c r="T1786" s="27">
        <f>COUNTIF($A$2:$A$1986,A1786)</f>
        <v>1</v>
      </c>
      <c r="U1786" s="27" t="str">
        <f t="shared" si="191"/>
        <v>Webcam</v>
      </c>
      <c r="V1786" s="27">
        <f t="shared" si="192"/>
        <v>185.68799999999999</v>
      </c>
      <c r="W1786" s="27">
        <f t="shared" si="193"/>
        <v>108.6</v>
      </c>
      <c r="X1786" s="27">
        <f>RawSalesTable3[[#This Row],[Revenue]]-RawSalesTable3[[#This Row],[Total_Cost]]</f>
        <v>77.087999999999994</v>
      </c>
      <c r="Y1786" s="28">
        <f>RawSalesTable3[[#This Row],[Profit]]/RawSalesTable3[[#This Row],[Revenue]]</f>
        <v>0.41514799017707121</v>
      </c>
      <c r="Z1786" s="27" t="str">
        <f>TEXT(RawSalesTable3[[#This Row],[Order_Date_Clean]],"MMM YYYY")</f>
        <v>Oct 2025</v>
      </c>
      <c r="AA1786" s="27"/>
      <c r="AB1786" s="27">
        <f t="shared" si="194"/>
        <v>0</v>
      </c>
      <c r="AC1786" s="27">
        <f t="shared" si="195"/>
        <v>0</v>
      </c>
    </row>
    <row r="1787" spans="1:29">
      <c r="A1787" t="s">
        <v>1900</v>
      </c>
      <c r="B1787" s="3">
        <v>45750</v>
      </c>
      <c r="C1787" t="s">
        <v>78</v>
      </c>
      <c r="D1787" t="s">
        <v>62</v>
      </c>
      <c r="E1787" t="s">
        <v>56</v>
      </c>
      <c r="F1787" t="s">
        <v>57</v>
      </c>
      <c r="G1787" s="6">
        <v>3</v>
      </c>
      <c r="H1787" s="4">
        <v>111.44</v>
      </c>
      <c r="I1787" s="4">
        <v>70.2</v>
      </c>
      <c r="J1787" s="5">
        <v>0.05</v>
      </c>
      <c r="K1787" s="6">
        <v>3</v>
      </c>
      <c r="L1787" s="6">
        <v>5</v>
      </c>
      <c r="M1787" t="s">
        <v>58</v>
      </c>
      <c r="N1787" t="s">
        <v>59</v>
      </c>
      <c r="O1787" t="s">
        <v>64</v>
      </c>
      <c r="P1787" t="str">
        <f t="shared" si="189"/>
        <v>Individual</v>
      </c>
      <c r="Q1787" t="str">
        <f t="shared" si="190"/>
        <v>London</v>
      </c>
      <c r="R1787" t="str">
        <f>PROPER(TRIM(E1787))</f>
        <v>Home &amp; Kitchen</v>
      </c>
      <c r="S1787" s="27">
        <f>IF(ISTEXT(B1787),DATEVALUE(B1787),B1787)</f>
        <v>45750</v>
      </c>
      <c r="T1787" s="27">
        <f>COUNTIF($A$2:$A$1986,A1787)</f>
        <v>1</v>
      </c>
      <c r="U1787" s="27" t="str">
        <f t="shared" si="191"/>
        <v>Air Fryer</v>
      </c>
      <c r="V1787" s="27">
        <f t="shared" si="192"/>
        <v>317.60399999999998</v>
      </c>
      <c r="W1787" s="27">
        <f t="shared" si="193"/>
        <v>210.60000000000002</v>
      </c>
      <c r="X1787" s="27">
        <f>RawSalesTable3[[#This Row],[Revenue]]-RawSalesTable3[[#This Row],[Total_Cost]]</f>
        <v>107.00399999999996</v>
      </c>
      <c r="Y1787" s="28">
        <f>RawSalesTable3[[#This Row],[Profit]]/RawSalesTable3[[#This Row],[Revenue]]</f>
        <v>0.33691011448218527</v>
      </c>
      <c r="Z1787" s="27" t="str">
        <f>TEXT(RawSalesTable3[[#This Row],[Order_Date_Clean]],"MMM YYYY")</f>
        <v>Apr 2025</v>
      </c>
      <c r="AA1787" s="27"/>
      <c r="AB1787" s="27">
        <f t="shared" si="194"/>
        <v>0</v>
      </c>
      <c r="AC1787" s="27">
        <f t="shared" si="195"/>
        <v>0</v>
      </c>
    </row>
    <row r="1788" spans="1:29">
      <c r="A1788" t="s">
        <v>1901</v>
      </c>
      <c r="B1788" s="3">
        <v>45900</v>
      </c>
      <c r="C1788" t="s">
        <v>54</v>
      </c>
      <c r="D1788" t="s">
        <v>62</v>
      </c>
      <c r="E1788" t="s">
        <v>67</v>
      </c>
      <c r="F1788" t="s">
        <v>94</v>
      </c>
      <c r="G1788" s="6">
        <v>1</v>
      </c>
      <c r="H1788" s="4">
        <v>34.67</v>
      </c>
      <c r="I1788" s="4">
        <v>17.309999999999999</v>
      </c>
      <c r="J1788" s="5">
        <v>0.05</v>
      </c>
      <c r="K1788" s="6">
        <v>2</v>
      </c>
      <c r="L1788" s="6">
        <v>5</v>
      </c>
      <c r="M1788" t="s">
        <v>58</v>
      </c>
      <c r="N1788" t="s">
        <v>59</v>
      </c>
      <c r="O1788" t="s">
        <v>60</v>
      </c>
      <c r="P1788" t="str">
        <f t="shared" si="189"/>
        <v>Individual</v>
      </c>
      <c r="Q1788" t="str">
        <f t="shared" si="190"/>
        <v>North</v>
      </c>
      <c r="R1788" t="str">
        <f>PROPER(TRIM(E1788))</f>
        <v>Office</v>
      </c>
      <c r="S1788" s="27">
        <f>IF(ISTEXT(B1788),DATEVALUE(B1788),B1788)</f>
        <v>45900</v>
      </c>
      <c r="T1788" s="27">
        <f>COUNTIF($A$2:$A$1986,A1788)</f>
        <v>1</v>
      </c>
      <c r="U1788" s="27" t="str">
        <f t="shared" si="191"/>
        <v>Wireless Mouse</v>
      </c>
      <c r="V1788" s="27">
        <f t="shared" si="192"/>
        <v>32.936500000000002</v>
      </c>
      <c r="W1788" s="27">
        <f t="shared" si="193"/>
        <v>17.309999999999999</v>
      </c>
      <c r="X1788" s="27">
        <f>RawSalesTable3[[#This Row],[Revenue]]-RawSalesTable3[[#This Row],[Total_Cost]]</f>
        <v>15.626500000000004</v>
      </c>
      <c r="Y1788" s="28">
        <f>RawSalesTable3[[#This Row],[Profit]]/RawSalesTable3[[#This Row],[Revenue]]</f>
        <v>0.47444324685379452</v>
      </c>
      <c r="Z1788" s="27" t="str">
        <f>TEXT(RawSalesTable3[[#This Row],[Order_Date_Clean]],"MMM YYYY")</f>
        <v>Aug 2025</v>
      </c>
      <c r="AA1788" s="27"/>
      <c r="AB1788" s="27">
        <f t="shared" si="194"/>
        <v>0</v>
      </c>
      <c r="AC1788" s="27">
        <f t="shared" si="195"/>
        <v>0</v>
      </c>
    </row>
    <row r="1789" spans="1:29">
      <c r="A1789" t="s">
        <v>1902</v>
      </c>
      <c r="B1789" s="3">
        <v>45886</v>
      </c>
      <c r="C1789" t="s">
        <v>82</v>
      </c>
      <c r="D1789" t="s">
        <v>62</v>
      </c>
      <c r="E1789" t="s">
        <v>67</v>
      </c>
      <c r="F1789" t="s">
        <v>107</v>
      </c>
      <c r="G1789" s="6">
        <v>3</v>
      </c>
      <c r="H1789" s="4">
        <v>45.81</v>
      </c>
      <c r="I1789" s="4">
        <v>20.440000000000001</v>
      </c>
      <c r="J1789" s="5">
        <v>0.05</v>
      </c>
      <c r="K1789" s="6">
        <v>1</v>
      </c>
      <c r="L1789" s="6">
        <v>4</v>
      </c>
      <c r="M1789" t="s">
        <v>58</v>
      </c>
      <c r="N1789" t="s">
        <v>87</v>
      </c>
      <c r="O1789" t="s">
        <v>64</v>
      </c>
      <c r="P1789" t="str">
        <f t="shared" si="189"/>
        <v>Individual</v>
      </c>
      <c r="Q1789" t="str">
        <f t="shared" si="190"/>
        <v>Midlands</v>
      </c>
      <c r="R1789" t="str">
        <f>PROPER(TRIM(E1789))</f>
        <v>Office</v>
      </c>
      <c r="S1789" s="27">
        <f>IF(ISTEXT(B1789),DATEVALUE(B1789),B1789)</f>
        <v>45886</v>
      </c>
      <c r="T1789" s="27">
        <f>COUNTIF($A$2:$A$1986,A1789)</f>
        <v>1</v>
      </c>
      <c r="U1789" s="27" t="str">
        <f t="shared" si="191"/>
        <v>Laptop Stand</v>
      </c>
      <c r="V1789" s="27">
        <f t="shared" si="192"/>
        <v>130.55850000000001</v>
      </c>
      <c r="W1789" s="27">
        <f t="shared" si="193"/>
        <v>61.320000000000007</v>
      </c>
      <c r="X1789" s="27">
        <f>RawSalesTable3[[#This Row],[Revenue]]-RawSalesTable3[[#This Row],[Total_Cost]]</f>
        <v>69.238500000000002</v>
      </c>
      <c r="Y1789" s="28">
        <f>RawSalesTable3[[#This Row],[Profit]]/RawSalesTable3[[#This Row],[Revenue]]</f>
        <v>0.53032548627626697</v>
      </c>
      <c r="Z1789" s="27" t="str">
        <f>TEXT(RawSalesTable3[[#This Row],[Order_Date_Clean]],"MMM YYYY")</f>
        <v>Aug 2025</v>
      </c>
      <c r="AA1789" s="27"/>
      <c r="AB1789" s="27">
        <f t="shared" si="194"/>
        <v>0</v>
      </c>
      <c r="AC1789" s="27">
        <f t="shared" si="195"/>
        <v>0</v>
      </c>
    </row>
    <row r="1790" spans="1:29">
      <c r="A1790" t="s">
        <v>1903</v>
      </c>
      <c r="B1790" s="3">
        <v>45796</v>
      </c>
      <c r="C1790" t="s">
        <v>66</v>
      </c>
      <c r="D1790" t="s">
        <v>62</v>
      </c>
      <c r="E1790" t="s">
        <v>79</v>
      </c>
      <c r="F1790" t="s">
        <v>92</v>
      </c>
      <c r="G1790" s="6">
        <v>1</v>
      </c>
      <c r="H1790" s="4">
        <v>51.31</v>
      </c>
      <c r="I1790" s="4">
        <v>26.25</v>
      </c>
      <c r="J1790" s="5">
        <v>0.1</v>
      </c>
      <c r="K1790" s="6">
        <v>5</v>
      </c>
      <c r="L1790" s="6">
        <v>5</v>
      </c>
      <c r="M1790" t="s">
        <v>58</v>
      </c>
      <c r="N1790" t="s">
        <v>59</v>
      </c>
      <c r="O1790" t="s">
        <v>73</v>
      </c>
      <c r="P1790" t="str">
        <f t="shared" si="189"/>
        <v>Individual</v>
      </c>
      <c r="Q1790" t="str">
        <f t="shared" si="190"/>
        <v>South</v>
      </c>
      <c r="R1790" t="str">
        <f>PROPER(TRIM(E1790))</f>
        <v>Electronics</v>
      </c>
      <c r="S1790" s="27">
        <f>IF(ISTEXT(B1790),DATEVALUE(B1790),B1790)</f>
        <v>45796</v>
      </c>
      <c r="T1790" s="27">
        <f>COUNTIF($A$2:$A$1986,A1790)</f>
        <v>1</v>
      </c>
      <c r="U1790" s="27" t="str">
        <f t="shared" si="191"/>
        <v>Webcam</v>
      </c>
      <c r="V1790" s="27">
        <f t="shared" si="192"/>
        <v>46.179000000000002</v>
      </c>
      <c r="W1790" s="27">
        <f t="shared" si="193"/>
        <v>26.25</v>
      </c>
      <c r="X1790" s="27">
        <f>RawSalesTable3[[#This Row],[Revenue]]-RawSalesTable3[[#This Row],[Total_Cost]]</f>
        <v>19.929000000000002</v>
      </c>
      <c r="Y1790" s="28">
        <f>RawSalesTable3[[#This Row],[Profit]]/RawSalesTable3[[#This Row],[Revenue]]</f>
        <v>0.43155979990904958</v>
      </c>
      <c r="Z1790" s="27" t="str">
        <f>TEXT(RawSalesTable3[[#This Row],[Order_Date_Clean]],"MMM YYYY")</f>
        <v>May 2025</v>
      </c>
      <c r="AA1790" s="27"/>
      <c r="AB1790" s="27">
        <f t="shared" si="194"/>
        <v>0</v>
      </c>
      <c r="AC1790" s="27">
        <f t="shared" si="195"/>
        <v>0</v>
      </c>
    </row>
    <row r="1791" spans="1:29">
      <c r="A1791" t="s">
        <v>1904</v>
      </c>
      <c r="B1791" s="3">
        <v>45898</v>
      </c>
      <c r="C1791" t="s">
        <v>66</v>
      </c>
      <c r="D1791" t="s">
        <v>55</v>
      </c>
      <c r="E1791" t="s">
        <v>56</v>
      </c>
      <c r="F1791" t="s">
        <v>63</v>
      </c>
      <c r="G1791" s="6">
        <v>2</v>
      </c>
      <c r="H1791" s="4">
        <v>40.06</v>
      </c>
      <c r="I1791" s="4">
        <v>20.34</v>
      </c>
      <c r="J1791" s="5">
        <v>0.1</v>
      </c>
      <c r="K1791" s="6">
        <v>0</v>
      </c>
      <c r="L1791" s="6">
        <v>5</v>
      </c>
      <c r="M1791" t="s">
        <v>58</v>
      </c>
      <c r="N1791" t="s">
        <v>69</v>
      </c>
      <c r="O1791" t="s">
        <v>64</v>
      </c>
      <c r="P1791" t="str">
        <f t="shared" si="189"/>
        <v>Small Business</v>
      </c>
      <c r="Q1791" t="str">
        <f t="shared" si="190"/>
        <v>South</v>
      </c>
      <c r="R1791" t="str">
        <f>PROPER(TRIM(E1791))</f>
        <v>Home &amp; Kitchen</v>
      </c>
      <c r="S1791" s="27">
        <f>IF(ISTEXT(B1791),DATEVALUE(B1791),B1791)</f>
        <v>45898</v>
      </c>
      <c r="T1791" s="27">
        <f>COUNTIF($A$2:$A$1986,A1791)</f>
        <v>1</v>
      </c>
      <c r="U1791" s="27" t="str">
        <f t="shared" si="191"/>
        <v>Electric Kettle</v>
      </c>
      <c r="V1791" s="27">
        <f t="shared" si="192"/>
        <v>72.108000000000004</v>
      </c>
      <c r="W1791" s="27">
        <f t="shared" si="193"/>
        <v>40.68</v>
      </c>
      <c r="X1791" s="27">
        <f>RawSalesTable3[[#This Row],[Revenue]]-RawSalesTable3[[#This Row],[Total_Cost]]</f>
        <v>31.428000000000004</v>
      </c>
      <c r="Y1791" s="28">
        <f>RawSalesTable3[[#This Row],[Profit]]/RawSalesTable3[[#This Row],[Revenue]]</f>
        <v>0.43584623065401901</v>
      </c>
      <c r="Z1791" s="27" t="str">
        <f>TEXT(RawSalesTable3[[#This Row],[Order_Date_Clean]],"MMM YYYY")</f>
        <v>Aug 2025</v>
      </c>
      <c r="AA1791" s="27"/>
      <c r="AB1791" s="27">
        <f t="shared" si="194"/>
        <v>0</v>
      </c>
      <c r="AC1791" s="27">
        <f t="shared" si="195"/>
        <v>0</v>
      </c>
    </row>
    <row r="1792" spans="1:29">
      <c r="A1792" t="s">
        <v>1905</v>
      </c>
      <c r="B1792" s="3">
        <v>45966</v>
      </c>
      <c r="C1792" t="s">
        <v>78</v>
      </c>
      <c r="D1792" t="s">
        <v>62</v>
      </c>
      <c r="E1792" t="s">
        <v>79</v>
      </c>
      <c r="F1792" t="s">
        <v>92</v>
      </c>
      <c r="G1792" s="6">
        <v>1</v>
      </c>
      <c r="H1792" s="4">
        <v>51.55</v>
      </c>
      <c r="I1792" s="4">
        <v>25.8</v>
      </c>
      <c r="J1792" s="5">
        <v>0.05</v>
      </c>
      <c r="K1792" s="6">
        <v>2</v>
      </c>
      <c r="L1792" s="6">
        <v>5</v>
      </c>
      <c r="M1792" t="s">
        <v>58</v>
      </c>
      <c r="N1792" t="s">
        <v>87</v>
      </c>
      <c r="O1792" t="s">
        <v>64</v>
      </c>
      <c r="P1792" t="str">
        <f t="shared" si="189"/>
        <v>Individual</v>
      </c>
      <c r="Q1792" t="str">
        <f t="shared" si="190"/>
        <v>London</v>
      </c>
      <c r="R1792" t="str">
        <f>PROPER(TRIM(E1792))</f>
        <v>Electronics</v>
      </c>
      <c r="S1792" s="27">
        <f>IF(ISTEXT(B1792),DATEVALUE(B1792),B1792)</f>
        <v>45966</v>
      </c>
      <c r="T1792" s="27">
        <f>COUNTIF($A$2:$A$1986,A1792)</f>
        <v>1</v>
      </c>
      <c r="U1792" s="27" t="str">
        <f t="shared" si="191"/>
        <v>Webcam</v>
      </c>
      <c r="V1792" s="27">
        <f t="shared" si="192"/>
        <v>48.972499999999997</v>
      </c>
      <c r="W1792" s="27">
        <f t="shared" si="193"/>
        <v>25.8</v>
      </c>
      <c r="X1792" s="27">
        <f>RawSalesTable3[[#This Row],[Revenue]]-RawSalesTable3[[#This Row],[Total_Cost]]</f>
        <v>23.172499999999996</v>
      </c>
      <c r="Y1792" s="28">
        <f>RawSalesTable3[[#This Row],[Profit]]/RawSalesTable3[[#This Row],[Revenue]]</f>
        <v>0.47317371994486696</v>
      </c>
      <c r="Z1792" s="27" t="str">
        <f>TEXT(RawSalesTable3[[#This Row],[Order_Date_Clean]],"MMM YYYY")</f>
        <v>Nov 2025</v>
      </c>
      <c r="AA1792" s="27"/>
      <c r="AB1792" s="27">
        <f t="shared" si="194"/>
        <v>0</v>
      </c>
      <c r="AC1792" s="27">
        <f t="shared" si="195"/>
        <v>0</v>
      </c>
    </row>
    <row r="1793" spans="1:29">
      <c r="A1793" t="s">
        <v>1906</v>
      </c>
      <c r="B1793" s="3">
        <v>45968</v>
      </c>
      <c r="C1793" t="s">
        <v>82</v>
      </c>
      <c r="D1793" t="s">
        <v>55</v>
      </c>
      <c r="E1793" t="s">
        <v>75</v>
      </c>
      <c r="F1793" t="s">
        <v>110</v>
      </c>
      <c r="G1793" s="6">
        <v>1</v>
      </c>
      <c r="H1793" s="4">
        <v>157.16</v>
      </c>
      <c r="I1793" s="4">
        <v>103.29</v>
      </c>
      <c r="J1793" s="5">
        <v>0</v>
      </c>
      <c r="K1793" s="6">
        <v>5</v>
      </c>
      <c r="L1793" s="6">
        <v>4</v>
      </c>
      <c r="M1793" t="s">
        <v>58</v>
      </c>
      <c r="N1793" t="s">
        <v>59</v>
      </c>
      <c r="O1793" t="s">
        <v>64</v>
      </c>
      <c r="P1793" t="str">
        <f t="shared" si="189"/>
        <v>Small Business</v>
      </c>
      <c r="Q1793" t="str">
        <f t="shared" si="190"/>
        <v>Midlands</v>
      </c>
      <c r="R1793" t="str">
        <f>PROPER(TRIM(E1793))</f>
        <v>Furniture</v>
      </c>
      <c r="S1793" s="27">
        <f>IF(ISTEXT(B1793),DATEVALUE(B1793),B1793)</f>
        <v>45968</v>
      </c>
      <c r="T1793" s="27">
        <f>COUNTIF($A$2:$A$1986,A1793)</f>
        <v>1</v>
      </c>
      <c r="U1793" s="27" t="str">
        <f t="shared" si="191"/>
        <v>Storage Cabinet</v>
      </c>
      <c r="V1793" s="27">
        <f t="shared" si="192"/>
        <v>157.16</v>
      </c>
      <c r="W1793" s="27">
        <f t="shared" si="193"/>
        <v>103.29</v>
      </c>
      <c r="X1793" s="27">
        <f>RawSalesTable3[[#This Row],[Revenue]]-RawSalesTable3[[#This Row],[Total_Cost]]</f>
        <v>53.86999999999999</v>
      </c>
      <c r="Y1793" s="28">
        <f>RawSalesTable3[[#This Row],[Profit]]/RawSalesTable3[[#This Row],[Revenue]]</f>
        <v>0.34277169763298543</v>
      </c>
      <c r="Z1793" s="27" t="str">
        <f>TEXT(RawSalesTable3[[#This Row],[Order_Date_Clean]],"MMM YYYY")</f>
        <v>Nov 2025</v>
      </c>
      <c r="AA1793" s="27"/>
      <c r="AB1793" s="27">
        <f t="shared" si="194"/>
        <v>0</v>
      </c>
      <c r="AC1793" s="27">
        <f t="shared" si="195"/>
        <v>0</v>
      </c>
    </row>
    <row r="1794" spans="1:29">
      <c r="A1794" t="s">
        <v>1907</v>
      </c>
      <c r="B1794" s="3">
        <v>45732</v>
      </c>
      <c r="C1794" t="s">
        <v>78</v>
      </c>
      <c r="D1794" t="s">
        <v>62</v>
      </c>
      <c r="E1794" t="s">
        <v>79</v>
      </c>
      <c r="F1794" t="s">
        <v>85</v>
      </c>
      <c r="G1794" s="6">
        <v>1</v>
      </c>
      <c r="H1794" s="4">
        <v>134.62</v>
      </c>
      <c r="I1794" s="4">
        <v>83.59</v>
      </c>
      <c r="J1794" s="5">
        <v>0</v>
      </c>
      <c r="K1794" s="6">
        <v>3</v>
      </c>
      <c r="L1794" s="6">
        <v>3</v>
      </c>
      <c r="M1794" t="s">
        <v>126</v>
      </c>
      <c r="N1794" t="s">
        <v>59</v>
      </c>
      <c r="O1794" t="s">
        <v>64</v>
      </c>
      <c r="P1794" t="str">
        <f t="shared" ref="P1794:P1857" si="196">IF(TRIM(D1794)="","Unknow",PROPER(TRIM(D1794)))</f>
        <v>Individual</v>
      </c>
      <c r="Q1794" t="str">
        <f t="shared" ref="Q1794:Q1857" si="197">IF(PROPER(TRIM(C1794))="Mid Lands","Midlands",PROPER(TRIM(C1794)))</f>
        <v>London</v>
      </c>
      <c r="R1794" t="str">
        <f>PROPER(TRIM(E1794))</f>
        <v>Electronics</v>
      </c>
      <c r="S1794" s="27">
        <f>IF(ISTEXT(B1794),DATEVALUE(B1794),B1794)</f>
        <v>45732</v>
      </c>
      <c r="T1794" s="27">
        <f>COUNTIF($A$2:$A$1986,A1794)</f>
        <v>1</v>
      </c>
      <c r="U1794" s="27" t="str">
        <f t="shared" ref="U1794:U1857" si="198">TRIM(F1794)</f>
        <v>SmartHome Hub</v>
      </c>
      <c r="V1794" s="27">
        <f t="shared" ref="V1794:V1857" si="199">G1794*H1794*(1-J1794)</f>
        <v>134.62</v>
      </c>
      <c r="W1794" s="27">
        <f t="shared" ref="W1794:W1857" si="200">G1794*I1794</f>
        <v>83.59</v>
      </c>
      <c r="X1794" s="27">
        <f>RawSalesTable3[[#This Row],[Revenue]]-RawSalesTable3[[#This Row],[Total_Cost]]</f>
        <v>51.03</v>
      </c>
      <c r="Y1794" s="28">
        <f>RawSalesTable3[[#This Row],[Profit]]/RawSalesTable3[[#This Row],[Revenue]]</f>
        <v>0.37906700341702571</v>
      </c>
      <c r="Z1794" s="27" t="str">
        <f>TEXT(RawSalesTable3[[#This Row],[Order_Date_Clean]],"MMM YYYY")</f>
        <v>Mar 2025</v>
      </c>
      <c r="AA1794" s="27"/>
      <c r="AB1794" s="27">
        <f t="shared" ref="AB1794:AB1857" si="201">SUMIF($Z:$Z,AA1794,$V:$V)</f>
        <v>0</v>
      </c>
      <c r="AC1794" s="27">
        <f t="shared" ref="AC1794:AC1857" si="202">SUMIF($Z:$Z,AA1794,$X:$X)</f>
        <v>0</v>
      </c>
    </row>
    <row r="1795" spans="1:29">
      <c r="A1795" t="s">
        <v>1908</v>
      </c>
      <c r="B1795" s="3">
        <v>45685</v>
      </c>
      <c r="C1795" t="s">
        <v>78</v>
      </c>
      <c r="D1795" t="s">
        <v>62</v>
      </c>
      <c r="E1795" t="s">
        <v>79</v>
      </c>
      <c r="F1795" t="s">
        <v>85</v>
      </c>
      <c r="G1795" s="6">
        <v>1</v>
      </c>
      <c r="H1795" s="4">
        <v>129.44999999999999</v>
      </c>
      <c r="I1795" s="4">
        <v>87.43</v>
      </c>
      <c r="J1795" s="5">
        <v>0.1</v>
      </c>
      <c r="K1795" s="6">
        <v>3</v>
      </c>
      <c r="L1795" s="6">
        <v>4</v>
      </c>
      <c r="M1795" t="s">
        <v>58</v>
      </c>
      <c r="N1795" t="s">
        <v>59</v>
      </c>
      <c r="O1795" t="s">
        <v>64</v>
      </c>
      <c r="P1795" t="str">
        <f t="shared" si="196"/>
        <v>Individual</v>
      </c>
      <c r="Q1795" t="str">
        <f t="shared" si="197"/>
        <v>London</v>
      </c>
      <c r="R1795" t="str">
        <f>PROPER(TRIM(E1795))</f>
        <v>Electronics</v>
      </c>
      <c r="S1795" s="27">
        <f>IF(ISTEXT(B1795),DATEVALUE(B1795),B1795)</f>
        <v>45685</v>
      </c>
      <c r="T1795" s="27">
        <f>COUNTIF($A$2:$A$1986,A1795)</f>
        <v>1</v>
      </c>
      <c r="U1795" s="27" t="str">
        <f t="shared" si="198"/>
        <v>SmartHome Hub</v>
      </c>
      <c r="V1795" s="27">
        <f t="shared" si="199"/>
        <v>116.505</v>
      </c>
      <c r="W1795" s="27">
        <f t="shared" si="200"/>
        <v>87.43</v>
      </c>
      <c r="X1795" s="27">
        <f>RawSalesTable3[[#This Row],[Revenue]]-RawSalesTable3[[#This Row],[Total_Cost]]</f>
        <v>29.074999999999989</v>
      </c>
      <c r="Y1795" s="28">
        <f>RawSalesTable3[[#This Row],[Profit]]/RawSalesTable3[[#This Row],[Revenue]]</f>
        <v>0.2495601047165357</v>
      </c>
      <c r="Z1795" s="27" t="str">
        <f>TEXT(RawSalesTable3[[#This Row],[Order_Date_Clean]],"MMM YYYY")</f>
        <v>Jan 2025</v>
      </c>
      <c r="AA1795" s="27"/>
      <c r="AB1795" s="27">
        <f t="shared" si="201"/>
        <v>0</v>
      </c>
      <c r="AC1795" s="27">
        <f t="shared" si="202"/>
        <v>0</v>
      </c>
    </row>
    <row r="1796" spans="1:29">
      <c r="A1796" t="s">
        <v>1909</v>
      </c>
      <c r="B1796" s="3">
        <v>46017</v>
      </c>
      <c r="C1796" t="s">
        <v>54</v>
      </c>
      <c r="D1796" t="s">
        <v>62</v>
      </c>
      <c r="E1796" t="s">
        <v>56</v>
      </c>
      <c r="F1796" t="s">
        <v>89</v>
      </c>
      <c r="G1796" s="6">
        <v>1</v>
      </c>
      <c r="H1796" s="4">
        <v>80.27</v>
      </c>
      <c r="I1796" s="4">
        <v>45.49</v>
      </c>
      <c r="J1796" s="5">
        <v>0.1</v>
      </c>
      <c r="K1796" s="6">
        <v>4</v>
      </c>
      <c r="L1796" s="6">
        <v>3</v>
      </c>
      <c r="M1796" t="s">
        <v>126</v>
      </c>
      <c r="N1796" t="s">
        <v>59</v>
      </c>
      <c r="O1796" t="s">
        <v>64</v>
      </c>
      <c r="P1796" t="str">
        <f t="shared" si="196"/>
        <v>Individual</v>
      </c>
      <c r="Q1796" t="str">
        <f t="shared" si="197"/>
        <v>North</v>
      </c>
      <c r="R1796" t="str">
        <f>PROPER(TRIM(E1796))</f>
        <v>Home &amp; Kitchen</v>
      </c>
      <c r="S1796" s="27">
        <f>IF(ISTEXT(B1796),DATEVALUE(B1796),B1796)</f>
        <v>46017</v>
      </c>
      <c r="T1796" s="27">
        <f>COUNTIF($A$2:$A$1986,A1796)</f>
        <v>1</v>
      </c>
      <c r="U1796" s="27" t="str">
        <f t="shared" si="198"/>
        <v>Coffee Maker</v>
      </c>
      <c r="V1796" s="27">
        <f t="shared" si="199"/>
        <v>72.242999999999995</v>
      </c>
      <c r="W1796" s="27">
        <f t="shared" si="200"/>
        <v>45.49</v>
      </c>
      <c r="X1796" s="27">
        <f>RawSalesTable3[[#This Row],[Revenue]]-RawSalesTable3[[#This Row],[Total_Cost]]</f>
        <v>26.752999999999993</v>
      </c>
      <c r="Y1796" s="28">
        <f>RawSalesTable3[[#This Row],[Profit]]/RawSalesTable3[[#This Row],[Revenue]]</f>
        <v>0.37031961574131744</v>
      </c>
      <c r="Z1796" s="27" t="str">
        <f>TEXT(RawSalesTable3[[#This Row],[Order_Date_Clean]],"MMM YYYY")</f>
        <v>Dec 2025</v>
      </c>
      <c r="AA1796" s="27"/>
      <c r="AB1796" s="27">
        <f t="shared" si="201"/>
        <v>0</v>
      </c>
      <c r="AC1796" s="27">
        <f t="shared" si="202"/>
        <v>0</v>
      </c>
    </row>
    <row r="1797" spans="1:29">
      <c r="A1797" t="s">
        <v>1910</v>
      </c>
      <c r="B1797" s="3">
        <v>45942</v>
      </c>
      <c r="C1797" t="s">
        <v>78</v>
      </c>
      <c r="D1797" t="s">
        <v>62</v>
      </c>
      <c r="E1797" t="s">
        <v>67</v>
      </c>
      <c r="F1797" t="s">
        <v>107</v>
      </c>
      <c r="G1797" s="6">
        <v>1</v>
      </c>
      <c r="H1797" s="4">
        <v>44.62</v>
      </c>
      <c r="I1797" s="4">
        <v>20.71</v>
      </c>
      <c r="J1797" s="5">
        <v>0.1</v>
      </c>
      <c r="K1797" s="6">
        <v>4</v>
      </c>
      <c r="L1797" s="6">
        <v>5</v>
      </c>
      <c r="M1797" t="s">
        <v>58</v>
      </c>
      <c r="N1797" t="s">
        <v>59</v>
      </c>
      <c r="O1797" t="s">
        <v>64</v>
      </c>
      <c r="P1797" t="str">
        <f t="shared" si="196"/>
        <v>Individual</v>
      </c>
      <c r="Q1797" t="str">
        <f t="shared" si="197"/>
        <v>London</v>
      </c>
      <c r="R1797" t="str">
        <f>PROPER(TRIM(E1797))</f>
        <v>Office</v>
      </c>
      <c r="S1797" s="27">
        <f>IF(ISTEXT(B1797),DATEVALUE(B1797),B1797)</f>
        <v>45942</v>
      </c>
      <c r="T1797" s="27">
        <f>COUNTIF($A$2:$A$1986,A1797)</f>
        <v>1</v>
      </c>
      <c r="U1797" s="27" t="str">
        <f t="shared" si="198"/>
        <v>Laptop Stand</v>
      </c>
      <c r="V1797" s="27">
        <f t="shared" si="199"/>
        <v>40.158000000000001</v>
      </c>
      <c r="W1797" s="27">
        <f t="shared" si="200"/>
        <v>20.71</v>
      </c>
      <c r="X1797" s="27">
        <f>RawSalesTable3[[#This Row],[Revenue]]-RawSalesTable3[[#This Row],[Total_Cost]]</f>
        <v>19.448</v>
      </c>
      <c r="Y1797" s="28">
        <f>RawSalesTable3[[#This Row],[Profit]]/RawSalesTable3[[#This Row],[Revenue]]</f>
        <v>0.48428706608894867</v>
      </c>
      <c r="Z1797" s="27" t="str">
        <f>TEXT(RawSalesTable3[[#This Row],[Order_Date_Clean]],"MMM YYYY")</f>
        <v>Oct 2025</v>
      </c>
      <c r="AA1797" s="27"/>
      <c r="AB1797" s="27">
        <f t="shared" si="201"/>
        <v>0</v>
      </c>
      <c r="AC1797" s="27">
        <f t="shared" si="202"/>
        <v>0</v>
      </c>
    </row>
    <row r="1798" spans="1:29">
      <c r="A1798" t="s">
        <v>1911</v>
      </c>
      <c r="B1798" s="3">
        <v>45835</v>
      </c>
      <c r="C1798" t="s">
        <v>78</v>
      </c>
      <c r="D1798" t="s">
        <v>62</v>
      </c>
      <c r="E1798" t="s">
        <v>75</v>
      </c>
      <c r="F1798" t="s">
        <v>97</v>
      </c>
      <c r="G1798" s="6">
        <v>1</v>
      </c>
      <c r="H1798" s="4">
        <v>87.8</v>
      </c>
      <c r="I1798" s="4">
        <v>55.17</v>
      </c>
      <c r="J1798" s="5">
        <v>0.05</v>
      </c>
      <c r="K1798" s="6">
        <v>5</v>
      </c>
      <c r="L1798" s="6">
        <v>4</v>
      </c>
      <c r="M1798" t="s">
        <v>58</v>
      </c>
      <c r="N1798" t="s">
        <v>69</v>
      </c>
      <c r="O1798" t="s">
        <v>60</v>
      </c>
      <c r="P1798" t="str">
        <f t="shared" si="196"/>
        <v>Individual</v>
      </c>
      <c r="Q1798" t="str">
        <f t="shared" si="197"/>
        <v>London</v>
      </c>
      <c r="R1798" t="str">
        <f>PROPER(TRIM(E1798))</f>
        <v>Furniture</v>
      </c>
      <c r="S1798" s="27">
        <f>IF(ISTEXT(B1798),DATEVALUE(B1798),B1798)</f>
        <v>45835</v>
      </c>
      <c r="T1798" s="27">
        <f>COUNTIF($A$2:$A$1986,A1798)</f>
        <v>1</v>
      </c>
      <c r="U1798" s="27" t="str">
        <f t="shared" si="198"/>
        <v>Side Table</v>
      </c>
      <c r="V1798" s="27">
        <f t="shared" si="199"/>
        <v>83.41</v>
      </c>
      <c r="W1798" s="27">
        <f t="shared" si="200"/>
        <v>55.17</v>
      </c>
      <c r="X1798" s="27">
        <f>RawSalesTable3[[#This Row],[Revenue]]-RawSalesTable3[[#This Row],[Total_Cost]]</f>
        <v>28.239999999999995</v>
      </c>
      <c r="Y1798" s="28">
        <f>RawSalesTable3[[#This Row],[Profit]]/RawSalesTable3[[#This Row],[Revenue]]</f>
        <v>0.33856851696439272</v>
      </c>
      <c r="Z1798" s="27" t="str">
        <f>TEXT(RawSalesTable3[[#This Row],[Order_Date_Clean]],"MMM YYYY")</f>
        <v>Jun 2025</v>
      </c>
      <c r="AA1798" s="27"/>
      <c r="AB1798" s="27">
        <f t="shared" si="201"/>
        <v>0</v>
      </c>
      <c r="AC1798" s="27">
        <f t="shared" si="202"/>
        <v>0</v>
      </c>
    </row>
    <row r="1799" spans="1:29">
      <c r="A1799" t="s">
        <v>1912</v>
      </c>
      <c r="B1799" s="3">
        <v>45796</v>
      </c>
      <c r="C1799" t="s">
        <v>66</v>
      </c>
      <c r="D1799" t="s">
        <v>62</v>
      </c>
      <c r="E1799" t="s">
        <v>67</v>
      </c>
      <c r="F1799" t="s">
        <v>68</v>
      </c>
      <c r="G1799" s="6">
        <v>1</v>
      </c>
      <c r="H1799" s="4">
        <v>38.99</v>
      </c>
      <c r="I1799" s="4">
        <v>19.78</v>
      </c>
      <c r="J1799" s="5">
        <v>0.15000000000000002</v>
      </c>
      <c r="K1799" s="6">
        <v>4</v>
      </c>
      <c r="L1799" s="6">
        <v>4</v>
      </c>
      <c r="M1799" t="s">
        <v>58</v>
      </c>
      <c r="N1799" t="s">
        <v>59</v>
      </c>
      <c r="O1799" t="s">
        <v>64</v>
      </c>
      <c r="P1799" t="str">
        <f t="shared" si="196"/>
        <v>Individual</v>
      </c>
      <c r="Q1799" t="str">
        <f t="shared" si="197"/>
        <v>South</v>
      </c>
      <c r="R1799" t="str">
        <f>PROPER(TRIM(E1799))</f>
        <v>Office</v>
      </c>
      <c r="S1799" s="27">
        <f>IF(ISTEXT(B1799),DATEVALUE(B1799),B1799)</f>
        <v>45796</v>
      </c>
      <c r="T1799" s="27">
        <f>COUNTIF($A$2:$A$1986,A1799)</f>
        <v>1</v>
      </c>
      <c r="U1799" s="27" t="str">
        <f t="shared" si="198"/>
        <v>Desk Lamp</v>
      </c>
      <c r="V1799" s="27">
        <f t="shared" si="199"/>
        <v>33.141500000000001</v>
      </c>
      <c r="W1799" s="27">
        <f t="shared" si="200"/>
        <v>19.78</v>
      </c>
      <c r="X1799" s="27">
        <f>RawSalesTable3[[#This Row],[Revenue]]-RawSalesTable3[[#This Row],[Total_Cost]]</f>
        <v>13.361499999999999</v>
      </c>
      <c r="Y1799" s="28">
        <f>RawSalesTable3[[#This Row],[Profit]]/RawSalesTable3[[#This Row],[Revenue]]</f>
        <v>0.40316521581702697</v>
      </c>
      <c r="Z1799" s="27" t="str">
        <f>TEXT(RawSalesTable3[[#This Row],[Order_Date_Clean]],"MMM YYYY")</f>
        <v>May 2025</v>
      </c>
      <c r="AA1799" s="27"/>
      <c r="AB1799" s="27">
        <f t="shared" si="201"/>
        <v>0</v>
      </c>
      <c r="AC1799" s="27">
        <f t="shared" si="202"/>
        <v>0</v>
      </c>
    </row>
    <row r="1800" spans="1:29">
      <c r="A1800" t="s">
        <v>1913</v>
      </c>
      <c r="B1800" s="3">
        <v>46005</v>
      </c>
      <c r="C1800" t="s">
        <v>66</v>
      </c>
      <c r="D1800" t="s">
        <v>129</v>
      </c>
      <c r="E1800" t="s">
        <v>67</v>
      </c>
      <c r="F1800" t="s">
        <v>68</v>
      </c>
      <c r="G1800" s="6">
        <v>4</v>
      </c>
      <c r="H1800" s="4">
        <v>40.770000000000003</v>
      </c>
      <c r="I1800" s="4">
        <v>18.97</v>
      </c>
      <c r="J1800" s="5">
        <v>0.2</v>
      </c>
      <c r="K1800" s="6">
        <v>4</v>
      </c>
      <c r="L1800" s="6">
        <v>4</v>
      </c>
      <c r="M1800" t="s">
        <v>58</v>
      </c>
      <c r="N1800" t="s">
        <v>59</v>
      </c>
      <c r="O1800" t="s">
        <v>64</v>
      </c>
      <c r="P1800" t="str">
        <f t="shared" si="196"/>
        <v>Corporate</v>
      </c>
      <c r="Q1800" t="str">
        <f t="shared" si="197"/>
        <v>South</v>
      </c>
      <c r="R1800" t="str">
        <f>PROPER(TRIM(E1800))</f>
        <v>Office</v>
      </c>
      <c r="S1800" s="27">
        <f>IF(ISTEXT(B1800),DATEVALUE(B1800),B1800)</f>
        <v>46005</v>
      </c>
      <c r="T1800" s="27">
        <f>COUNTIF($A$2:$A$1986,A1800)</f>
        <v>1</v>
      </c>
      <c r="U1800" s="27" t="str">
        <f t="shared" si="198"/>
        <v>Desk Lamp</v>
      </c>
      <c r="V1800" s="27">
        <f t="shared" si="199"/>
        <v>130.46400000000003</v>
      </c>
      <c r="W1800" s="27">
        <f t="shared" si="200"/>
        <v>75.88</v>
      </c>
      <c r="X1800" s="27">
        <f>RawSalesTable3[[#This Row],[Revenue]]-RawSalesTable3[[#This Row],[Total_Cost]]</f>
        <v>54.584000000000032</v>
      </c>
      <c r="Y1800" s="28">
        <f>RawSalesTable3[[#This Row],[Profit]]/RawSalesTable3[[#This Row],[Revenue]]</f>
        <v>0.41838361540348312</v>
      </c>
      <c r="Z1800" s="27" t="str">
        <f>TEXT(RawSalesTable3[[#This Row],[Order_Date_Clean]],"MMM YYYY")</f>
        <v>Dec 2025</v>
      </c>
      <c r="AA1800" s="27"/>
      <c r="AB1800" s="27">
        <f t="shared" si="201"/>
        <v>0</v>
      </c>
      <c r="AC1800" s="27">
        <f t="shared" si="202"/>
        <v>0</v>
      </c>
    </row>
    <row r="1801" spans="1:29">
      <c r="A1801" t="s">
        <v>1914</v>
      </c>
      <c r="B1801" s="3">
        <v>45861</v>
      </c>
      <c r="C1801" t="s">
        <v>82</v>
      </c>
      <c r="D1801" t="s">
        <v>55</v>
      </c>
      <c r="E1801" t="s">
        <v>56</v>
      </c>
      <c r="F1801" t="s">
        <v>89</v>
      </c>
      <c r="G1801" s="6">
        <v>3</v>
      </c>
      <c r="H1801" s="4">
        <v>81.180000000000007</v>
      </c>
      <c r="I1801" s="4">
        <v>44.91</v>
      </c>
      <c r="J1801" s="5">
        <v>0.05</v>
      </c>
      <c r="K1801" s="6">
        <v>0</v>
      </c>
      <c r="L1801" s="6">
        <v>5</v>
      </c>
      <c r="M1801" t="s">
        <v>58</v>
      </c>
      <c r="N1801" t="s">
        <v>69</v>
      </c>
      <c r="O1801" t="s">
        <v>64</v>
      </c>
      <c r="P1801" t="str">
        <f t="shared" si="196"/>
        <v>Small Business</v>
      </c>
      <c r="Q1801" t="str">
        <f t="shared" si="197"/>
        <v>Midlands</v>
      </c>
      <c r="R1801" t="str">
        <f>PROPER(TRIM(E1801))</f>
        <v>Home &amp; Kitchen</v>
      </c>
      <c r="S1801" s="27">
        <f>IF(ISTEXT(B1801),DATEVALUE(B1801),B1801)</f>
        <v>45861</v>
      </c>
      <c r="T1801" s="27">
        <f>COUNTIF($A$2:$A$1986,A1801)</f>
        <v>1</v>
      </c>
      <c r="U1801" s="27" t="str">
        <f t="shared" si="198"/>
        <v>Coffee Maker</v>
      </c>
      <c r="V1801" s="27">
        <f t="shared" si="199"/>
        <v>231.363</v>
      </c>
      <c r="W1801" s="27">
        <f t="shared" si="200"/>
        <v>134.72999999999999</v>
      </c>
      <c r="X1801" s="27">
        <f>RawSalesTable3[[#This Row],[Revenue]]-RawSalesTable3[[#This Row],[Total_Cost]]</f>
        <v>96.63300000000001</v>
      </c>
      <c r="Y1801" s="28">
        <f>RawSalesTable3[[#This Row],[Profit]]/RawSalesTable3[[#This Row],[Revenue]]</f>
        <v>0.4176683393628195</v>
      </c>
      <c r="Z1801" s="27" t="str">
        <f>TEXT(RawSalesTable3[[#This Row],[Order_Date_Clean]],"MMM YYYY")</f>
        <v>Jul 2025</v>
      </c>
      <c r="AA1801" s="27"/>
      <c r="AB1801" s="27">
        <f t="shared" si="201"/>
        <v>0</v>
      </c>
      <c r="AC1801" s="27">
        <f t="shared" si="202"/>
        <v>0</v>
      </c>
    </row>
    <row r="1802" spans="1:29">
      <c r="A1802" t="s">
        <v>1915</v>
      </c>
      <c r="B1802" s="3">
        <v>45993</v>
      </c>
      <c r="C1802" t="s">
        <v>78</v>
      </c>
      <c r="D1802" t="s">
        <v>62</v>
      </c>
      <c r="E1802" t="s">
        <v>56</v>
      </c>
      <c r="F1802" t="s">
        <v>57</v>
      </c>
      <c r="G1802" s="6">
        <v>1</v>
      </c>
      <c r="H1802" s="4">
        <v>111.14</v>
      </c>
      <c r="I1802" s="4">
        <v>66.19</v>
      </c>
      <c r="J1802" s="5">
        <v>0.1</v>
      </c>
      <c r="K1802" s="6">
        <v>3</v>
      </c>
      <c r="L1802" s="6">
        <v>4</v>
      </c>
      <c r="M1802" t="s">
        <v>58</v>
      </c>
      <c r="N1802" t="s">
        <v>59</v>
      </c>
      <c r="O1802" t="s">
        <v>64</v>
      </c>
      <c r="P1802" t="str">
        <f t="shared" si="196"/>
        <v>Individual</v>
      </c>
      <c r="Q1802" t="str">
        <f t="shared" si="197"/>
        <v>London</v>
      </c>
      <c r="R1802" t="str">
        <f>PROPER(TRIM(E1802))</f>
        <v>Home &amp; Kitchen</v>
      </c>
      <c r="S1802" s="27">
        <f>IF(ISTEXT(B1802),DATEVALUE(B1802),B1802)</f>
        <v>45993</v>
      </c>
      <c r="T1802" s="27">
        <f>COUNTIF($A$2:$A$1986,A1802)</f>
        <v>1</v>
      </c>
      <c r="U1802" s="27" t="str">
        <f t="shared" si="198"/>
        <v>Air Fryer</v>
      </c>
      <c r="V1802" s="27">
        <f t="shared" si="199"/>
        <v>100.026</v>
      </c>
      <c r="W1802" s="27">
        <f t="shared" si="200"/>
        <v>66.19</v>
      </c>
      <c r="X1802" s="27">
        <f>RawSalesTable3[[#This Row],[Revenue]]-RawSalesTable3[[#This Row],[Total_Cost]]</f>
        <v>33.835999999999999</v>
      </c>
      <c r="Y1802" s="28">
        <f>RawSalesTable3[[#This Row],[Profit]]/RawSalesTable3[[#This Row],[Revenue]]</f>
        <v>0.33827204926719051</v>
      </c>
      <c r="Z1802" s="27" t="str">
        <f>TEXT(RawSalesTable3[[#This Row],[Order_Date_Clean]],"MMM YYYY")</f>
        <v>Dec 2025</v>
      </c>
      <c r="AA1802" s="27"/>
      <c r="AB1802" s="27">
        <f t="shared" si="201"/>
        <v>0</v>
      </c>
      <c r="AC1802" s="27">
        <f t="shared" si="202"/>
        <v>0</v>
      </c>
    </row>
    <row r="1803" spans="1:29">
      <c r="A1803" t="s">
        <v>1916</v>
      </c>
      <c r="B1803" s="3">
        <v>45782</v>
      </c>
      <c r="C1803" t="s">
        <v>66</v>
      </c>
      <c r="D1803" t="s">
        <v>62</v>
      </c>
      <c r="E1803" t="s">
        <v>56</v>
      </c>
      <c r="F1803" t="s">
        <v>89</v>
      </c>
      <c r="G1803" s="6">
        <v>3</v>
      </c>
      <c r="H1803" s="4">
        <v>81.11</v>
      </c>
      <c r="I1803" s="4">
        <v>44.5</v>
      </c>
      <c r="J1803" s="5">
        <v>0</v>
      </c>
      <c r="K1803" s="6">
        <v>8</v>
      </c>
      <c r="L1803" s="6">
        <v>3</v>
      </c>
      <c r="M1803" t="s">
        <v>58</v>
      </c>
      <c r="N1803" t="s">
        <v>87</v>
      </c>
      <c r="O1803" t="s">
        <v>64</v>
      </c>
      <c r="P1803" t="str">
        <f t="shared" si="196"/>
        <v>Individual</v>
      </c>
      <c r="Q1803" t="str">
        <f t="shared" si="197"/>
        <v>South</v>
      </c>
      <c r="R1803" t="str">
        <f>PROPER(TRIM(E1803))</f>
        <v>Home &amp; Kitchen</v>
      </c>
      <c r="S1803" s="27">
        <f>IF(ISTEXT(B1803),DATEVALUE(B1803),B1803)</f>
        <v>45782</v>
      </c>
      <c r="T1803" s="27">
        <f>COUNTIF($A$2:$A$1986,A1803)</f>
        <v>1</v>
      </c>
      <c r="U1803" s="27" t="str">
        <f t="shared" si="198"/>
        <v>Coffee Maker</v>
      </c>
      <c r="V1803" s="27">
        <f t="shared" si="199"/>
        <v>243.32999999999998</v>
      </c>
      <c r="W1803" s="27">
        <f t="shared" si="200"/>
        <v>133.5</v>
      </c>
      <c r="X1803" s="27">
        <f>RawSalesTable3[[#This Row],[Revenue]]-RawSalesTable3[[#This Row],[Total_Cost]]</f>
        <v>109.82999999999998</v>
      </c>
      <c r="Y1803" s="28">
        <f>RawSalesTable3[[#This Row],[Profit]]/RawSalesTable3[[#This Row],[Revenue]]</f>
        <v>0.45136234742941683</v>
      </c>
      <c r="Z1803" s="27" t="str">
        <f>TEXT(RawSalesTable3[[#This Row],[Order_Date_Clean]],"MMM YYYY")</f>
        <v>May 2025</v>
      </c>
      <c r="AA1803" s="27"/>
      <c r="AB1803" s="27">
        <f t="shared" si="201"/>
        <v>0</v>
      </c>
      <c r="AC1803" s="27">
        <f t="shared" si="202"/>
        <v>0</v>
      </c>
    </row>
    <row r="1804" spans="1:29">
      <c r="A1804" t="s">
        <v>1917</v>
      </c>
      <c r="B1804" s="3">
        <v>45978</v>
      </c>
      <c r="C1804" t="s">
        <v>66</v>
      </c>
      <c r="D1804" t="s">
        <v>55</v>
      </c>
      <c r="E1804" t="s">
        <v>67</v>
      </c>
      <c r="F1804" t="s">
        <v>71</v>
      </c>
      <c r="G1804" s="6">
        <v>6</v>
      </c>
      <c r="H1804" s="4">
        <v>70.67</v>
      </c>
      <c r="I1804" s="4">
        <v>39.18</v>
      </c>
      <c r="J1804" s="5">
        <v>0.1</v>
      </c>
      <c r="K1804" s="6">
        <v>3</v>
      </c>
      <c r="L1804" s="6">
        <v>5</v>
      </c>
      <c r="M1804" t="s">
        <v>58</v>
      </c>
      <c r="N1804" t="s">
        <v>87</v>
      </c>
      <c r="O1804" t="s">
        <v>64</v>
      </c>
      <c r="P1804" t="str">
        <f t="shared" si="196"/>
        <v>Small Business</v>
      </c>
      <c r="Q1804" t="str">
        <f t="shared" si="197"/>
        <v>South</v>
      </c>
      <c r="R1804" t="str">
        <f>PROPER(TRIM(E1804))</f>
        <v>Office</v>
      </c>
      <c r="S1804" s="27">
        <f>IF(ISTEXT(B1804),DATEVALUE(B1804),B1804)</f>
        <v>45978</v>
      </c>
      <c r="T1804" s="27">
        <f>COUNTIF($A$2:$A$1986,A1804)</f>
        <v>1</v>
      </c>
      <c r="U1804" s="27" t="str">
        <f t="shared" si="198"/>
        <v>Ergonomic Keyboard</v>
      </c>
      <c r="V1804" s="27">
        <f t="shared" si="199"/>
        <v>381.61799999999999</v>
      </c>
      <c r="W1804" s="27">
        <f t="shared" si="200"/>
        <v>235.07999999999998</v>
      </c>
      <c r="X1804" s="27">
        <f>RawSalesTable3[[#This Row],[Revenue]]-RawSalesTable3[[#This Row],[Total_Cost]]</f>
        <v>146.53800000000001</v>
      </c>
      <c r="Y1804" s="28">
        <f>RawSalesTable3[[#This Row],[Profit]]/RawSalesTable3[[#This Row],[Revenue]]</f>
        <v>0.38399132116409607</v>
      </c>
      <c r="Z1804" s="27" t="str">
        <f>TEXT(RawSalesTable3[[#This Row],[Order_Date_Clean]],"MMM YYYY")</f>
        <v>Nov 2025</v>
      </c>
      <c r="AA1804" s="27"/>
      <c r="AB1804" s="27">
        <f t="shared" si="201"/>
        <v>0</v>
      </c>
      <c r="AC1804" s="27">
        <f t="shared" si="202"/>
        <v>0</v>
      </c>
    </row>
    <row r="1805" spans="1:29">
      <c r="A1805" t="s">
        <v>1918</v>
      </c>
      <c r="B1805" s="3">
        <v>45981</v>
      </c>
      <c r="C1805" t="s">
        <v>66</v>
      </c>
      <c r="D1805" t="s">
        <v>62</v>
      </c>
      <c r="E1805" t="s">
        <v>67</v>
      </c>
      <c r="F1805" t="s">
        <v>107</v>
      </c>
      <c r="G1805" s="6">
        <v>1</v>
      </c>
      <c r="H1805" s="4">
        <v>45.16</v>
      </c>
      <c r="I1805" s="4">
        <v>20.69</v>
      </c>
      <c r="J1805" s="5">
        <v>0.15000000000000002</v>
      </c>
      <c r="K1805" s="6">
        <v>3</v>
      </c>
      <c r="L1805" s="6">
        <v>5</v>
      </c>
      <c r="M1805" t="s">
        <v>58</v>
      </c>
      <c r="N1805" t="s">
        <v>59</v>
      </c>
      <c r="O1805" t="s">
        <v>73</v>
      </c>
      <c r="P1805" t="str">
        <f t="shared" si="196"/>
        <v>Individual</v>
      </c>
      <c r="Q1805" t="str">
        <f t="shared" si="197"/>
        <v>South</v>
      </c>
      <c r="R1805" t="str">
        <f>PROPER(TRIM(E1805))</f>
        <v>Office</v>
      </c>
      <c r="S1805" s="27">
        <f>IF(ISTEXT(B1805),DATEVALUE(B1805),B1805)</f>
        <v>45981</v>
      </c>
      <c r="T1805" s="27">
        <f>COUNTIF($A$2:$A$1986,A1805)</f>
        <v>1</v>
      </c>
      <c r="U1805" s="27" t="str">
        <f t="shared" si="198"/>
        <v>Laptop Stand</v>
      </c>
      <c r="V1805" s="27">
        <f t="shared" si="199"/>
        <v>38.385999999999996</v>
      </c>
      <c r="W1805" s="27">
        <f t="shared" si="200"/>
        <v>20.69</v>
      </c>
      <c r="X1805" s="27">
        <f>RawSalesTable3[[#This Row],[Revenue]]-RawSalesTable3[[#This Row],[Total_Cost]]</f>
        <v>17.695999999999994</v>
      </c>
      <c r="Y1805" s="28">
        <f>RawSalesTable3[[#This Row],[Profit]]/RawSalesTable3[[#This Row],[Revenue]]</f>
        <v>0.4610014067628822</v>
      </c>
      <c r="Z1805" s="27" t="str">
        <f>TEXT(RawSalesTable3[[#This Row],[Order_Date_Clean]],"MMM YYYY")</f>
        <v>Nov 2025</v>
      </c>
      <c r="AA1805" s="27"/>
      <c r="AB1805" s="27">
        <f t="shared" si="201"/>
        <v>0</v>
      </c>
      <c r="AC1805" s="27">
        <f t="shared" si="202"/>
        <v>0</v>
      </c>
    </row>
    <row r="1806" spans="1:29">
      <c r="A1806" t="s">
        <v>1919</v>
      </c>
      <c r="B1806" s="3">
        <v>45681</v>
      </c>
      <c r="C1806" t="s">
        <v>54</v>
      </c>
      <c r="D1806" t="s">
        <v>62</v>
      </c>
      <c r="E1806" t="s">
        <v>79</v>
      </c>
      <c r="F1806" t="s">
        <v>92</v>
      </c>
      <c r="G1806" s="6">
        <v>3</v>
      </c>
      <c r="H1806" s="4">
        <v>50.32</v>
      </c>
      <c r="I1806" s="4">
        <v>26.16</v>
      </c>
      <c r="J1806" s="5">
        <v>0.1</v>
      </c>
      <c r="K1806" s="6">
        <v>2</v>
      </c>
      <c r="L1806" s="6">
        <v>4</v>
      </c>
      <c r="M1806" t="s">
        <v>126</v>
      </c>
      <c r="N1806" t="s">
        <v>59</v>
      </c>
      <c r="O1806" t="s">
        <v>64</v>
      </c>
      <c r="P1806" t="str">
        <f t="shared" si="196"/>
        <v>Individual</v>
      </c>
      <c r="Q1806" t="str">
        <f t="shared" si="197"/>
        <v>North</v>
      </c>
      <c r="R1806" t="str">
        <f>PROPER(TRIM(E1806))</f>
        <v>Electronics</v>
      </c>
      <c r="S1806" s="27">
        <f>IF(ISTEXT(B1806),DATEVALUE(B1806),B1806)</f>
        <v>45681</v>
      </c>
      <c r="T1806" s="27">
        <f>COUNTIF($A$2:$A$1986,A1806)</f>
        <v>1</v>
      </c>
      <c r="U1806" s="27" t="str">
        <f t="shared" si="198"/>
        <v>Webcam</v>
      </c>
      <c r="V1806" s="27">
        <f t="shared" si="199"/>
        <v>135.864</v>
      </c>
      <c r="W1806" s="27">
        <f t="shared" si="200"/>
        <v>78.48</v>
      </c>
      <c r="X1806" s="27">
        <f>RawSalesTable3[[#This Row],[Revenue]]-RawSalesTable3[[#This Row],[Total_Cost]]</f>
        <v>57.384</v>
      </c>
      <c r="Y1806" s="28">
        <f>RawSalesTable3[[#This Row],[Profit]]/RawSalesTable3[[#This Row],[Revenue]]</f>
        <v>0.42236354001059884</v>
      </c>
      <c r="Z1806" s="27" t="str">
        <f>TEXT(RawSalesTable3[[#This Row],[Order_Date_Clean]],"MMM YYYY")</f>
        <v>Jan 2025</v>
      </c>
      <c r="AA1806" s="27"/>
      <c r="AB1806" s="27">
        <f t="shared" si="201"/>
        <v>0</v>
      </c>
      <c r="AC1806" s="27">
        <f t="shared" si="202"/>
        <v>0</v>
      </c>
    </row>
    <row r="1807" spans="1:29">
      <c r="A1807" t="s">
        <v>1920</v>
      </c>
      <c r="B1807" s="3">
        <v>45908</v>
      </c>
      <c r="C1807" t="s">
        <v>66</v>
      </c>
      <c r="D1807" t="s">
        <v>55</v>
      </c>
      <c r="E1807" t="s">
        <v>56</v>
      </c>
      <c r="F1807" t="s">
        <v>83</v>
      </c>
      <c r="G1807" s="6">
        <v>2</v>
      </c>
      <c r="H1807" s="4">
        <v>63.07</v>
      </c>
      <c r="I1807" s="4">
        <v>36.43</v>
      </c>
      <c r="J1807" s="5">
        <v>0.1</v>
      </c>
      <c r="K1807" s="6">
        <v>1</v>
      </c>
      <c r="L1807" s="6">
        <v>5</v>
      </c>
      <c r="M1807" t="s">
        <v>58</v>
      </c>
      <c r="N1807" t="s">
        <v>69</v>
      </c>
      <c r="O1807" t="s">
        <v>73</v>
      </c>
      <c r="P1807" t="str">
        <f t="shared" si="196"/>
        <v>Small Business</v>
      </c>
      <c r="Q1807" t="str">
        <f t="shared" si="197"/>
        <v>South</v>
      </c>
      <c r="R1807" t="str">
        <f>PROPER(TRIM(E1807))</f>
        <v>Home &amp; Kitchen</v>
      </c>
      <c r="S1807" s="27">
        <f>IF(ISTEXT(B1807),DATEVALUE(B1807),B1807)</f>
        <v>45908</v>
      </c>
      <c r="T1807" s="27">
        <f>COUNTIF($A$2:$A$1986,A1807)</f>
        <v>1</v>
      </c>
      <c r="U1807" s="27" t="str">
        <f t="shared" si="198"/>
        <v>Blender</v>
      </c>
      <c r="V1807" s="27">
        <f t="shared" si="199"/>
        <v>113.526</v>
      </c>
      <c r="W1807" s="27">
        <f t="shared" si="200"/>
        <v>72.86</v>
      </c>
      <c r="X1807" s="27">
        <f>RawSalesTable3[[#This Row],[Revenue]]-RawSalesTable3[[#This Row],[Total_Cost]]</f>
        <v>40.665999999999997</v>
      </c>
      <c r="Y1807" s="28">
        <f>RawSalesTable3[[#This Row],[Profit]]/RawSalesTable3[[#This Row],[Revenue]]</f>
        <v>0.35820869228194419</v>
      </c>
      <c r="Z1807" s="27" t="str">
        <f>TEXT(RawSalesTable3[[#This Row],[Order_Date_Clean]],"MMM YYYY")</f>
        <v>Sep 2025</v>
      </c>
      <c r="AA1807" s="27"/>
      <c r="AB1807" s="27">
        <f t="shared" si="201"/>
        <v>0</v>
      </c>
      <c r="AC1807" s="27">
        <f t="shared" si="202"/>
        <v>0</v>
      </c>
    </row>
    <row r="1808" spans="1:29">
      <c r="A1808" t="s">
        <v>1921</v>
      </c>
      <c r="B1808" s="3">
        <v>45887</v>
      </c>
      <c r="C1808" t="s">
        <v>54</v>
      </c>
      <c r="D1808" t="s">
        <v>62</v>
      </c>
      <c r="E1808" t="s">
        <v>56</v>
      </c>
      <c r="F1808" t="s">
        <v>89</v>
      </c>
      <c r="G1808" s="6">
        <v>4</v>
      </c>
      <c r="H1808" s="4">
        <v>82.1</v>
      </c>
      <c r="I1808" s="4">
        <v>45.95</v>
      </c>
      <c r="J1808" s="5">
        <v>0</v>
      </c>
      <c r="K1808" s="6">
        <v>4</v>
      </c>
      <c r="L1808" s="6">
        <v>4</v>
      </c>
      <c r="M1808" t="s">
        <v>58</v>
      </c>
      <c r="N1808" t="s">
        <v>87</v>
      </c>
      <c r="O1808" t="s">
        <v>64</v>
      </c>
      <c r="P1808" t="str">
        <f t="shared" si="196"/>
        <v>Individual</v>
      </c>
      <c r="Q1808" t="str">
        <f t="shared" si="197"/>
        <v>North</v>
      </c>
      <c r="R1808" t="str">
        <f>PROPER(TRIM(E1808))</f>
        <v>Home &amp; Kitchen</v>
      </c>
      <c r="S1808" s="27">
        <f>IF(ISTEXT(B1808),DATEVALUE(B1808),B1808)</f>
        <v>45887</v>
      </c>
      <c r="T1808" s="27">
        <f>COUNTIF($A$2:$A$1986,A1808)</f>
        <v>1</v>
      </c>
      <c r="U1808" s="27" t="str">
        <f t="shared" si="198"/>
        <v>Coffee Maker</v>
      </c>
      <c r="V1808" s="27">
        <f t="shared" si="199"/>
        <v>328.4</v>
      </c>
      <c r="W1808" s="27">
        <f t="shared" si="200"/>
        <v>183.8</v>
      </c>
      <c r="X1808" s="27">
        <f>RawSalesTable3[[#This Row],[Revenue]]-RawSalesTable3[[#This Row],[Total_Cost]]</f>
        <v>144.59999999999997</v>
      </c>
      <c r="Y1808" s="28">
        <f>RawSalesTable3[[#This Row],[Profit]]/RawSalesTable3[[#This Row],[Revenue]]</f>
        <v>0.44031668696711318</v>
      </c>
      <c r="Z1808" s="27" t="str">
        <f>TEXT(RawSalesTable3[[#This Row],[Order_Date_Clean]],"MMM YYYY")</f>
        <v>Aug 2025</v>
      </c>
      <c r="AA1808" s="27"/>
      <c r="AB1808" s="27">
        <f t="shared" si="201"/>
        <v>0</v>
      </c>
      <c r="AC1808" s="27">
        <f t="shared" si="202"/>
        <v>0</v>
      </c>
    </row>
    <row r="1809" spans="1:33">
      <c r="A1809" t="s">
        <v>1922</v>
      </c>
      <c r="B1809" s="3">
        <v>45712</v>
      </c>
      <c r="C1809" t="s">
        <v>82</v>
      </c>
      <c r="D1809" t="s">
        <v>62</v>
      </c>
      <c r="E1809" t="s">
        <v>67</v>
      </c>
      <c r="F1809" t="s">
        <v>107</v>
      </c>
      <c r="G1809" s="6">
        <v>1</v>
      </c>
      <c r="H1809" s="4">
        <v>44.13</v>
      </c>
      <c r="I1809" s="4">
        <v>21.25</v>
      </c>
      <c r="J1809" s="5">
        <v>0.05</v>
      </c>
      <c r="K1809" s="6">
        <v>0</v>
      </c>
      <c r="L1809" s="6">
        <v>4</v>
      </c>
      <c r="M1809" t="s">
        <v>58</v>
      </c>
      <c r="N1809" t="s">
        <v>69</v>
      </c>
      <c r="O1809" t="s">
        <v>73</v>
      </c>
      <c r="P1809" t="str">
        <f t="shared" si="196"/>
        <v>Individual</v>
      </c>
      <c r="Q1809" t="str">
        <f t="shared" si="197"/>
        <v>Midlands</v>
      </c>
      <c r="R1809" t="str">
        <f>PROPER(TRIM(E1809))</f>
        <v>Office</v>
      </c>
      <c r="S1809" s="27">
        <f>IF(ISTEXT(B1809),DATEVALUE(B1809),B1809)</f>
        <v>45712</v>
      </c>
      <c r="T1809" s="27">
        <f>COUNTIF($A$2:$A$1986,A1809)</f>
        <v>1</v>
      </c>
      <c r="U1809" s="27" t="str">
        <f t="shared" si="198"/>
        <v>Laptop Stand</v>
      </c>
      <c r="V1809" s="27">
        <f t="shared" si="199"/>
        <v>41.923499999999997</v>
      </c>
      <c r="W1809" s="27">
        <f t="shared" si="200"/>
        <v>21.25</v>
      </c>
      <c r="X1809" s="27">
        <f>RawSalesTable3[[#This Row],[Revenue]]-RawSalesTable3[[#This Row],[Total_Cost]]</f>
        <v>20.673499999999997</v>
      </c>
      <c r="Y1809" s="28">
        <f>RawSalesTable3[[#This Row],[Profit]]/RawSalesTable3[[#This Row],[Revenue]]</f>
        <v>0.49312438131358305</v>
      </c>
      <c r="Z1809" s="27" t="str">
        <f>TEXT(RawSalesTable3[[#This Row],[Order_Date_Clean]],"MMM YYYY")</f>
        <v>Feb 2025</v>
      </c>
      <c r="AA1809" s="27"/>
      <c r="AB1809" s="27">
        <f t="shared" si="201"/>
        <v>0</v>
      </c>
      <c r="AC1809" s="27">
        <f t="shared" si="202"/>
        <v>0</v>
      </c>
    </row>
    <row r="1810" spans="1:33">
      <c r="A1810" t="s">
        <v>1923</v>
      </c>
      <c r="B1810" s="3">
        <v>45909</v>
      </c>
      <c r="C1810" t="s">
        <v>66</v>
      </c>
      <c r="D1810" t="s">
        <v>62</v>
      </c>
      <c r="E1810" t="s">
        <v>79</v>
      </c>
      <c r="F1810" t="s">
        <v>92</v>
      </c>
      <c r="G1810" s="6">
        <v>1</v>
      </c>
      <c r="H1810" s="4">
        <v>49.54</v>
      </c>
      <c r="I1810" s="4">
        <v>26.55</v>
      </c>
      <c r="J1810" s="5">
        <v>0.05</v>
      </c>
      <c r="K1810" s="6">
        <v>0</v>
      </c>
      <c r="L1810" s="6">
        <v>3</v>
      </c>
      <c r="M1810" t="s">
        <v>126</v>
      </c>
      <c r="N1810" t="s">
        <v>69</v>
      </c>
      <c r="O1810" t="s">
        <v>64</v>
      </c>
      <c r="P1810" t="str">
        <f t="shared" si="196"/>
        <v>Individual</v>
      </c>
      <c r="Q1810" t="str">
        <f t="shared" si="197"/>
        <v>South</v>
      </c>
      <c r="R1810" t="str">
        <f>PROPER(TRIM(E1810))</f>
        <v>Electronics</v>
      </c>
      <c r="S1810" s="27">
        <f>IF(ISTEXT(B1810),DATEVALUE(B1810),B1810)</f>
        <v>45909</v>
      </c>
      <c r="T1810" s="27">
        <f>COUNTIF($A$2:$A$1986,A1810)</f>
        <v>1</v>
      </c>
      <c r="U1810" s="27" t="str">
        <f t="shared" si="198"/>
        <v>Webcam</v>
      </c>
      <c r="V1810" s="27">
        <f t="shared" si="199"/>
        <v>47.062999999999995</v>
      </c>
      <c r="W1810" s="27">
        <f t="shared" si="200"/>
        <v>26.55</v>
      </c>
      <c r="X1810" s="27">
        <f>RawSalesTable3[[#This Row],[Revenue]]-RawSalesTable3[[#This Row],[Total_Cost]]</f>
        <v>20.512999999999995</v>
      </c>
      <c r="Y1810" s="28">
        <f>RawSalesTable3[[#This Row],[Profit]]/RawSalesTable3[[#This Row],[Revenue]]</f>
        <v>0.43586256719716115</v>
      </c>
      <c r="Z1810" s="27" t="str">
        <f>TEXT(RawSalesTable3[[#This Row],[Order_Date_Clean]],"MMM YYYY")</f>
        <v>Sep 2025</v>
      </c>
      <c r="AA1810" s="27"/>
      <c r="AB1810" s="27">
        <f t="shared" si="201"/>
        <v>0</v>
      </c>
      <c r="AC1810" s="27">
        <f t="shared" si="202"/>
        <v>0</v>
      </c>
    </row>
    <row r="1811" spans="1:33">
      <c r="A1811" t="s">
        <v>1924</v>
      </c>
      <c r="B1811" s="3">
        <v>45827</v>
      </c>
      <c r="C1811" t="s">
        <v>78</v>
      </c>
      <c r="D1811" t="s">
        <v>62</v>
      </c>
      <c r="E1811" t="s">
        <v>56</v>
      </c>
      <c r="F1811" t="s">
        <v>83</v>
      </c>
      <c r="G1811" s="6">
        <v>3</v>
      </c>
      <c r="H1811" s="4">
        <v>67.52</v>
      </c>
      <c r="I1811" s="4">
        <v>34.479999999999997</v>
      </c>
      <c r="J1811" s="5">
        <v>0</v>
      </c>
      <c r="K1811" s="6">
        <v>1</v>
      </c>
      <c r="L1811" s="6">
        <v>5</v>
      </c>
      <c r="M1811" t="s">
        <v>58</v>
      </c>
      <c r="N1811" t="s">
        <v>87</v>
      </c>
      <c r="O1811" t="s">
        <v>64</v>
      </c>
      <c r="P1811" t="str">
        <f t="shared" si="196"/>
        <v>Individual</v>
      </c>
      <c r="Q1811" t="str">
        <f t="shared" si="197"/>
        <v>London</v>
      </c>
      <c r="R1811" t="str">
        <f>PROPER(TRIM(E1811))</f>
        <v>Home &amp; Kitchen</v>
      </c>
      <c r="S1811" s="27">
        <f>IF(ISTEXT(B1811),DATEVALUE(B1811),B1811)</f>
        <v>45827</v>
      </c>
      <c r="T1811" s="27">
        <f>COUNTIF($A$2:$A$1986,A1811)</f>
        <v>1</v>
      </c>
      <c r="U1811" s="27" t="str">
        <f t="shared" si="198"/>
        <v>Blender</v>
      </c>
      <c r="V1811" s="27">
        <f t="shared" si="199"/>
        <v>202.56</v>
      </c>
      <c r="W1811" s="27">
        <f t="shared" si="200"/>
        <v>103.44</v>
      </c>
      <c r="X1811" s="27">
        <f>RawSalesTable3[[#This Row],[Revenue]]-RawSalesTable3[[#This Row],[Total_Cost]]</f>
        <v>99.12</v>
      </c>
      <c r="Y1811" s="28">
        <f>RawSalesTable3[[#This Row],[Profit]]/RawSalesTable3[[#This Row],[Revenue]]</f>
        <v>0.48933649289099529</v>
      </c>
      <c r="Z1811" s="27" t="str">
        <f>TEXT(RawSalesTable3[[#This Row],[Order_Date_Clean]],"MMM YYYY")</f>
        <v>Jun 2025</v>
      </c>
      <c r="AA1811" s="27"/>
      <c r="AB1811" s="27">
        <f t="shared" si="201"/>
        <v>0</v>
      </c>
      <c r="AC1811" s="27">
        <f t="shared" si="202"/>
        <v>0</v>
      </c>
    </row>
    <row r="1812" spans="1:33">
      <c r="A1812" t="s">
        <v>1925</v>
      </c>
      <c r="B1812" s="3">
        <v>45826</v>
      </c>
      <c r="C1812" t="s">
        <v>82</v>
      </c>
      <c r="D1812" t="s">
        <v>62</v>
      </c>
      <c r="E1812" t="s">
        <v>56</v>
      </c>
      <c r="F1812" t="s">
        <v>83</v>
      </c>
      <c r="G1812" s="6">
        <v>2</v>
      </c>
      <c r="H1812" s="4">
        <v>64.97</v>
      </c>
      <c r="I1812" s="4">
        <v>36.36</v>
      </c>
      <c r="J1812" s="5">
        <v>0</v>
      </c>
      <c r="K1812" s="6">
        <v>4</v>
      </c>
      <c r="L1812" s="6">
        <v>4</v>
      </c>
      <c r="M1812" t="s">
        <v>58</v>
      </c>
      <c r="N1812" t="s">
        <v>69</v>
      </c>
      <c r="O1812" t="s">
        <v>73</v>
      </c>
      <c r="P1812" t="str">
        <f t="shared" si="196"/>
        <v>Individual</v>
      </c>
      <c r="Q1812" t="str">
        <f t="shared" si="197"/>
        <v>Midlands</v>
      </c>
      <c r="R1812" t="str">
        <f>PROPER(TRIM(E1812))</f>
        <v>Home &amp; Kitchen</v>
      </c>
      <c r="S1812" s="27">
        <f>IF(ISTEXT(B1812),DATEVALUE(B1812),B1812)</f>
        <v>45826</v>
      </c>
      <c r="T1812" s="27">
        <f>COUNTIF($A$2:$A$1986,A1812)</f>
        <v>1</v>
      </c>
      <c r="U1812" s="27" t="str">
        <f t="shared" si="198"/>
        <v>Blender</v>
      </c>
      <c r="V1812" s="27">
        <f t="shared" si="199"/>
        <v>129.94</v>
      </c>
      <c r="W1812" s="27">
        <f t="shared" si="200"/>
        <v>72.72</v>
      </c>
      <c r="X1812" s="27">
        <f>RawSalesTable3[[#This Row],[Revenue]]-RawSalesTable3[[#This Row],[Total_Cost]]</f>
        <v>57.22</v>
      </c>
      <c r="Y1812" s="28">
        <f>RawSalesTable3[[#This Row],[Profit]]/RawSalesTable3[[#This Row],[Revenue]]</f>
        <v>0.44035708788671696</v>
      </c>
      <c r="Z1812" s="27" t="str">
        <f>TEXT(RawSalesTable3[[#This Row],[Order_Date_Clean]],"MMM YYYY")</f>
        <v>Jun 2025</v>
      </c>
      <c r="AA1812" s="27"/>
      <c r="AB1812" s="27">
        <f t="shared" si="201"/>
        <v>0</v>
      </c>
      <c r="AC1812" s="27">
        <f t="shared" si="202"/>
        <v>0</v>
      </c>
    </row>
    <row r="1813" spans="1:33">
      <c r="A1813" t="s">
        <v>1926</v>
      </c>
      <c r="B1813" s="3">
        <v>45806</v>
      </c>
      <c r="C1813" t="s">
        <v>66</v>
      </c>
      <c r="D1813" t="s">
        <v>62</v>
      </c>
      <c r="E1813" t="s">
        <v>56</v>
      </c>
      <c r="F1813" t="s">
        <v>63</v>
      </c>
      <c r="G1813" s="6">
        <v>1</v>
      </c>
      <c r="H1813" s="4">
        <v>41.03</v>
      </c>
      <c r="I1813" s="4">
        <v>20.71</v>
      </c>
      <c r="J1813" s="5">
        <v>0.1</v>
      </c>
      <c r="K1813" s="6">
        <v>0</v>
      </c>
      <c r="L1813" s="6">
        <v>4</v>
      </c>
      <c r="M1813" t="s">
        <v>58</v>
      </c>
      <c r="N1813" t="s">
        <v>69</v>
      </c>
      <c r="O1813" t="s">
        <v>64</v>
      </c>
      <c r="P1813" t="str">
        <f t="shared" si="196"/>
        <v>Individual</v>
      </c>
      <c r="Q1813" t="str">
        <f t="shared" si="197"/>
        <v>South</v>
      </c>
      <c r="R1813" t="str">
        <f>PROPER(TRIM(E1813))</f>
        <v>Home &amp; Kitchen</v>
      </c>
      <c r="S1813" s="27">
        <f>IF(ISTEXT(B1813),DATEVALUE(B1813),B1813)</f>
        <v>45806</v>
      </c>
      <c r="T1813" s="27">
        <f>COUNTIF($A$2:$A$1986,A1813)</f>
        <v>1</v>
      </c>
      <c r="U1813" s="27" t="str">
        <f t="shared" si="198"/>
        <v>Electric Kettle</v>
      </c>
      <c r="V1813" s="27">
        <f t="shared" si="199"/>
        <v>36.927</v>
      </c>
      <c r="W1813" s="27">
        <f t="shared" si="200"/>
        <v>20.71</v>
      </c>
      <c r="X1813" s="27">
        <f>RawSalesTable3[[#This Row],[Revenue]]-RawSalesTable3[[#This Row],[Total_Cost]]</f>
        <v>16.216999999999999</v>
      </c>
      <c r="Y1813" s="28">
        <f>RawSalesTable3[[#This Row],[Profit]]/RawSalesTable3[[#This Row],[Revenue]]</f>
        <v>0.43916375551764286</v>
      </c>
      <c r="Z1813" s="27" t="str">
        <f>TEXT(RawSalesTable3[[#This Row],[Order_Date_Clean]],"MMM YYYY")</f>
        <v>May 2025</v>
      </c>
      <c r="AA1813" s="27"/>
      <c r="AB1813" s="27">
        <f t="shared" si="201"/>
        <v>0</v>
      </c>
      <c r="AC1813" s="27">
        <f t="shared" si="202"/>
        <v>0</v>
      </c>
    </row>
    <row r="1814" spans="1:33">
      <c r="A1814" t="s">
        <v>1927</v>
      </c>
      <c r="B1814" s="3">
        <v>45998</v>
      </c>
      <c r="C1814" t="s">
        <v>66</v>
      </c>
      <c r="D1814" t="s">
        <v>55</v>
      </c>
      <c r="E1814" t="s">
        <v>56</v>
      </c>
      <c r="F1814" t="s">
        <v>63</v>
      </c>
      <c r="G1814" s="6">
        <v>2</v>
      </c>
      <c r="H1814" s="4">
        <v>38.94</v>
      </c>
      <c r="I1814" s="4">
        <v>19.47</v>
      </c>
      <c r="J1814" s="5">
        <v>0.15000000000000002</v>
      </c>
      <c r="K1814" s="6">
        <v>4</v>
      </c>
      <c r="L1814" s="6">
        <v>5</v>
      </c>
      <c r="M1814" t="s">
        <v>58</v>
      </c>
      <c r="N1814" t="s">
        <v>59</v>
      </c>
      <c r="O1814" t="s">
        <v>60</v>
      </c>
      <c r="P1814" t="str">
        <f t="shared" si="196"/>
        <v>Small Business</v>
      </c>
      <c r="Q1814" t="str">
        <f t="shared" si="197"/>
        <v>South</v>
      </c>
      <c r="R1814" t="str">
        <f>PROPER(TRIM(E1814))</f>
        <v>Home &amp; Kitchen</v>
      </c>
      <c r="S1814" s="27">
        <f>IF(ISTEXT(B1814),DATEVALUE(B1814),B1814)</f>
        <v>45998</v>
      </c>
      <c r="T1814" s="27">
        <f>COUNTIF($A$2:$A$1986,A1814)</f>
        <v>1</v>
      </c>
      <c r="U1814" s="27" t="str">
        <f t="shared" si="198"/>
        <v>Electric Kettle</v>
      </c>
      <c r="V1814" s="27">
        <f t="shared" si="199"/>
        <v>66.197999999999993</v>
      </c>
      <c r="W1814" s="27">
        <f t="shared" si="200"/>
        <v>38.94</v>
      </c>
      <c r="X1814" s="27">
        <f>RawSalesTable3[[#This Row],[Revenue]]-RawSalesTable3[[#This Row],[Total_Cost]]</f>
        <v>27.257999999999996</v>
      </c>
      <c r="Y1814" s="28">
        <f>RawSalesTable3[[#This Row],[Profit]]/RawSalesTable3[[#This Row],[Revenue]]</f>
        <v>0.41176470588235292</v>
      </c>
      <c r="Z1814" s="27" t="str">
        <f>TEXT(RawSalesTable3[[#This Row],[Order_Date_Clean]],"MMM YYYY")</f>
        <v>Dec 2025</v>
      </c>
      <c r="AA1814" s="27"/>
      <c r="AB1814" s="27">
        <f t="shared" si="201"/>
        <v>0</v>
      </c>
      <c r="AC1814" s="27">
        <f t="shared" si="202"/>
        <v>0</v>
      </c>
    </row>
    <row r="1815" spans="1:33">
      <c r="A1815" t="s">
        <v>1928</v>
      </c>
      <c r="B1815" s="3">
        <v>45979</v>
      </c>
      <c r="C1815" t="s">
        <v>82</v>
      </c>
      <c r="D1815" t="s">
        <v>62</v>
      </c>
      <c r="E1815" t="s">
        <v>67</v>
      </c>
      <c r="F1815" t="s">
        <v>94</v>
      </c>
      <c r="G1815" s="6">
        <v>1</v>
      </c>
      <c r="H1815" s="4">
        <v>36.03</v>
      </c>
      <c r="I1815" s="4">
        <v>16.59</v>
      </c>
      <c r="J1815" s="5">
        <v>0.1</v>
      </c>
      <c r="K1815" s="6">
        <v>2</v>
      </c>
      <c r="L1815" s="6">
        <v>4</v>
      </c>
      <c r="M1815" t="s">
        <v>58</v>
      </c>
      <c r="N1815" t="s">
        <v>87</v>
      </c>
      <c r="O1815" t="s">
        <v>64</v>
      </c>
      <c r="P1815" t="str">
        <f t="shared" si="196"/>
        <v>Individual</v>
      </c>
      <c r="Q1815" t="str">
        <f t="shared" si="197"/>
        <v>Midlands</v>
      </c>
      <c r="R1815" t="str">
        <f>PROPER(TRIM(E1815))</f>
        <v>Office</v>
      </c>
      <c r="S1815" s="27">
        <f>IF(ISTEXT(B1815),DATEVALUE(B1815),B1815)</f>
        <v>45979</v>
      </c>
      <c r="T1815" s="27">
        <f>COUNTIF($A$2:$A$1986,A1815)</f>
        <v>1</v>
      </c>
      <c r="U1815" s="27" t="str">
        <f t="shared" si="198"/>
        <v>Wireless Mouse</v>
      </c>
      <c r="V1815" s="27">
        <f t="shared" si="199"/>
        <v>32.427</v>
      </c>
      <c r="W1815" s="27">
        <f t="shared" si="200"/>
        <v>16.59</v>
      </c>
      <c r="X1815" s="27">
        <f>RawSalesTable3[[#This Row],[Revenue]]-RawSalesTable3[[#This Row],[Total_Cost]]</f>
        <v>15.837</v>
      </c>
      <c r="Y1815" s="28">
        <f>RawSalesTable3[[#This Row],[Profit]]/RawSalesTable3[[#This Row],[Revenue]]</f>
        <v>0.48838930520862245</v>
      </c>
      <c r="Z1815" s="27" t="str">
        <f>TEXT(RawSalesTable3[[#This Row],[Order_Date_Clean]],"MMM YYYY")</f>
        <v>Nov 2025</v>
      </c>
      <c r="AA1815" s="27"/>
      <c r="AB1815" s="27">
        <f t="shared" si="201"/>
        <v>0</v>
      </c>
      <c r="AC1815" s="27">
        <f t="shared" si="202"/>
        <v>0</v>
      </c>
    </row>
    <row r="1816" spans="1:33">
      <c r="A1816" t="s">
        <v>1929</v>
      </c>
      <c r="B1816" s="3">
        <v>45795</v>
      </c>
      <c r="C1816" t="s">
        <v>66</v>
      </c>
      <c r="D1816" t="s">
        <v>129</v>
      </c>
      <c r="E1816" t="s">
        <v>56</v>
      </c>
      <c r="F1816" t="s">
        <v>63</v>
      </c>
      <c r="G1816" s="6">
        <v>3</v>
      </c>
      <c r="H1816" s="4">
        <v>41.44</v>
      </c>
      <c r="I1816" s="4">
        <v>20.89</v>
      </c>
      <c r="J1816" s="5">
        <v>0.15000000000000002</v>
      </c>
      <c r="K1816" s="6">
        <v>4</v>
      </c>
      <c r="L1816" s="6">
        <v>4</v>
      </c>
      <c r="M1816" t="s">
        <v>58</v>
      </c>
      <c r="N1816" t="s">
        <v>59</v>
      </c>
      <c r="O1816" t="s">
        <v>64</v>
      </c>
      <c r="P1816" t="str">
        <f t="shared" si="196"/>
        <v>Corporate</v>
      </c>
      <c r="Q1816" t="str">
        <f t="shared" si="197"/>
        <v>South</v>
      </c>
      <c r="R1816" t="str">
        <f>PROPER(TRIM(E1816))</f>
        <v>Home &amp; Kitchen</v>
      </c>
      <c r="S1816" s="27">
        <f>IF(ISTEXT(B1816),DATEVALUE(B1816),B1816)</f>
        <v>45795</v>
      </c>
      <c r="T1816" s="27">
        <f>COUNTIF($A$2:$A$1986,A1816)</f>
        <v>1</v>
      </c>
      <c r="U1816" s="27" t="str">
        <f t="shared" si="198"/>
        <v>Electric Kettle</v>
      </c>
      <c r="V1816" s="27">
        <f t="shared" si="199"/>
        <v>105.672</v>
      </c>
      <c r="W1816" s="27">
        <f t="shared" si="200"/>
        <v>62.67</v>
      </c>
      <c r="X1816" s="27">
        <f>RawSalesTable3[[#This Row],[Revenue]]-RawSalesTable3[[#This Row],[Total_Cost]]</f>
        <v>43.001999999999995</v>
      </c>
      <c r="Y1816" s="28">
        <f>RawSalesTable3[[#This Row],[Profit]]/RawSalesTable3[[#This Row],[Revenue]]</f>
        <v>0.4069384510560981</v>
      </c>
      <c r="Z1816" s="27" t="str">
        <f>TEXT(RawSalesTable3[[#This Row],[Order_Date_Clean]],"MMM YYYY")</f>
        <v>May 2025</v>
      </c>
      <c r="AA1816" s="27"/>
      <c r="AB1816" s="27">
        <f t="shared" si="201"/>
        <v>0</v>
      </c>
      <c r="AC1816" s="27">
        <f t="shared" si="202"/>
        <v>0</v>
      </c>
    </row>
    <row r="1817" spans="1:33">
      <c r="A1817" t="s">
        <v>1930</v>
      </c>
      <c r="B1817" s="3">
        <v>45738</v>
      </c>
      <c r="C1817" t="s">
        <v>54</v>
      </c>
      <c r="D1817" t="s">
        <v>62</v>
      </c>
      <c r="E1817" t="s">
        <v>75</v>
      </c>
      <c r="F1817" t="s">
        <v>97</v>
      </c>
      <c r="G1817" s="6">
        <v>1</v>
      </c>
      <c r="H1817" s="4">
        <v>90.55</v>
      </c>
      <c r="I1817" s="4">
        <v>55.86</v>
      </c>
      <c r="J1817" s="5">
        <v>0.05</v>
      </c>
      <c r="K1817" s="6">
        <v>4</v>
      </c>
      <c r="L1817" s="6">
        <v>4</v>
      </c>
      <c r="M1817" t="s">
        <v>58</v>
      </c>
      <c r="N1817" t="s">
        <v>59</v>
      </c>
      <c r="O1817" t="s">
        <v>64</v>
      </c>
      <c r="P1817" t="str">
        <f t="shared" si="196"/>
        <v>Individual</v>
      </c>
      <c r="Q1817" t="str">
        <f t="shared" si="197"/>
        <v>North</v>
      </c>
      <c r="R1817" t="str">
        <f>PROPER(TRIM(E1817))</f>
        <v>Furniture</v>
      </c>
      <c r="S1817" s="27">
        <f>IF(ISTEXT(B1817),DATEVALUE(B1817),B1817)</f>
        <v>45738</v>
      </c>
      <c r="T1817" s="27">
        <f>COUNTIF($A$2:$A$1986,A1817)</f>
        <v>1</v>
      </c>
      <c r="U1817" s="27" t="str">
        <f t="shared" si="198"/>
        <v>Side Table</v>
      </c>
      <c r="V1817" s="27">
        <f t="shared" si="199"/>
        <v>86.022499999999994</v>
      </c>
      <c r="W1817" s="27">
        <f t="shared" si="200"/>
        <v>55.86</v>
      </c>
      <c r="X1817" s="27">
        <f>RawSalesTable3[[#This Row],[Revenue]]-RawSalesTable3[[#This Row],[Total_Cost]]</f>
        <v>30.162499999999994</v>
      </c>
      <c r="Y1817" s="28">
        <f>RawSalesTable3[[#This Row],[Profit]]/RawSalesTable3[[#This Row],[Revenue]]</f>
        <v>0.35063500828271671</v>
      </c>
      <c r="Z1817" s="27" t="str">
        <f>TEXT(RawSalesTable3[[#This Row],[Order_Date_Clean]],"MMM YYYY")</f>
        <v>Mar 2025</v>
      </c>
      <c r="AA1817" s="27"/>
      <c r="AB1817" s="27">
        <f t="shared" si="201"/>
        <v>0</v>
      </c>
      <c r="AC1817" s="27">
        <f t="shared" si="202"/>
        <v>0</v>
      </c>
    </row>
    <row r="1818" spans="1:33">
      <c r="A1818" t="s">
        <v>1931</v>
      </c>
      <c r="B1818" s="3">
        <v>46000</v>
      </c>
      <c r="C1818" t="s">
        <v>54</v>
      </c>
      <c r="D1818" t="s">
        <v>62</v>
      </c>
      <c r="E1818" t="s">
        <v>79</v>
      </c>
      <c r="F1818" t="s">
        <v>115</v>
      </c>
      <c r="G1818" s="6">
        <v>3</v>
      </c>
      <c r="H1818" s="4">
        <v>61.5</v>
      </c>
      <c r="I1818" s="4">
        <v>35.06</v>
      </c>
      <c r="J1818" s="5">
        <v>0.1</v>
      </c>
      <c r="K1818" s="6">
        <v>3</v>
      </c>
      <c r="L1818" s="6">
        <v>5</v>
      </c>
      <c r="M1818" t="s">
        <v>58</v>
      </c>
      <c r="N1818" t="s">
        <v>69</v>
      </c>
      <c r="O1818" t="s">
        <v>73</v>
      </c>
      <c r="P1818" t="str">
        <f t="shared" si="196"/>
        <v>Individual</v>
      </c>
      <c r="Q1818" t="str">
        <f t="shared" si="197"/>
        <v>North</v>
      </c>
      <c r="R1818" t="str">
        <f>PROPER(TRIM(E1818))</f>
        <v>Electronics</v>
      </c>
      <c r="S1818" s="27">
        <f>IF(ISTEXT(B1818),DATEVALUE(B1818),B1818)</f>
        <v>46000</v>
      </c>
      <c r="T1818" s="27">
        <f>COUNTIF($A$2:$A$1986,A1818)</f>
        <v>1</v>
      </c>
      <c r="U1818" s="27" t="str">
        <f t="shared" si="198"/>
        <v>Wireless Headset</v>
      </c>
      <c r="V1818" s="27">
        <f t="shared" si="199"/>
        <v>166.05</v>
      </c>
      <c r="W1818" s="27">
        <f t="shared" si="200"/>
        <v>105.18</v>
      </c>
      <c r="X1818" s="27">
        <f>RawSalesTable3[[#This Row],[Revenue]]-RawSalesTable3[[#This Row],[Total_Cost]]</f>
        <v>60.870000000000005</v>
      </c>
      <c r="Y1818" s="28">
        <f>RawSalesTable3[[#This Row],[Profit]]/RawSalesTable3[[#This Row],[Revenue]]</f>
        <v>0.36657633242999099</v>
      </c>
      <c r="Z1818" s="27" t="str">
        <f>TEXT(RawSalesTable3[[#This Row],[Order_Date_Clean]],"MMM YYYY")</f>
        <v>Dec 2025</v>
      </c>
      <c r="AA1818" s="27"/>
      <c r="AB1818" s="27">
        <f t="shared" si="201"/>
        <v>0</v>
      </c>
      <c r="AC1818" s="27">
        <f t="shared" si="202"/>
        <v>0</v>
      </c>
    </row>
    <row r="1819" spans="1:33">
      <c r="A1819" t="s">
        <v>1932</v>
      </c>
      <c r="B1819" s="3">
        <v>45775</v>
      </c>
      <c r="C1819" t="s">
        <v>78</v>
      </c>
      <c r="D1819" t="s">
        <v>62</v>
      </c>
      <c r="E1819" t="s">
        <v>67</v>
      </c>
      <c r="F1819" t="s">
        <v>94</v>
      </c>
      <c r="G1819" s="6">
        <v>1</v>
      </c>
      <c r="H1819" s="4">
        <v>34.99</v>
      </c>
      <c r="I1819" s="4">
        <v>16.5</v>
      </c>
      <c r="J1819" s="5">
        <v>0.05</v>
      </c>
      <c r="K1819" s="6">
        <v>4</v>
      </c>
      <c r="L1819" s="6">
        <v>4</v>
      </c>
      <c r="M1819" t="s">
        <v>58</v>
      </c>
      <c r="N1819" t="s">
        <v>59</v>
      </c>
      <c r="O1819" t="s">
        <v>60</v>
      </c>
      <c r="P1819" t="str">
        <f t="shared" si="196"/>
        <v>Individual</v>
      </c>
      <c r="Q1819" t="str">
        <f t="shared" si="197"/>
        <v>London</v>
      </c>
      <c r="R1819" t="str">
        <f>PROPER(TRIM(E1819))</f>
        <v>Office</v>
      </c>
      <c r="S1819" s="27">
        <f>IF(ISTEXT(B1819),DATEVALUE(B1819),B1819)</f>
        <v>45775</v>
      </c>
      <c r="T1819" s="27">
        <f>COUNTIF($A$2:$A$1986,A1819)</f>
        <v>1</v>
      </c>
      <c r="U1819" s="27" t="str">
        <f t="shared" si="198"/>
        <v>Wireless Mouse</v>
      </c>
      <c r="V1819" s="27">
        <f t="shared" si="199"/>
        <v>33.240499999999997</v>
      </c>
      <c r="W1819" s="27">
        <f t="shared" si="200"/>
        <v>16.5</v>
      </c>
      <c r="X1819" s="27">
        <f>RawSalesTable3[[#This Row],[Revenue]]-RawSalesTable3[[#This Row],[Total_Cost]]</f>
        <v>16.740499999999997</v>
      </c>
      <c r="Y1819" s="28">
        <f>RawSalesTable3[[#This Row],[Profit]]/RawSalesTable3[[#This Row],[Revenue]]</f>
        <v>0.50361757494622517</v>
      </c>
      <c r="Z1819" s="27" t="str">
        <f>TEXT(RawSalesTable3[[#This Row],[Order_Date_Clean]],"MMM YYYY")</f>
        <v>Apr 2025</v>
      </c>
      <c r="AA1819" s="27"/>
      <c r="AB1819" s="27">
        <f t="shared" si="201"/>
        <v>0</v>
      </c>
      <c r="AC1819" s="27">
        <f t="shared" si="202"/>
        <v>0</v>
      </c>
    </row>
    <row r="1820" spans="1:33">
      <c r="A1820" t="s">
        <v>1933</v>
      </c>
      <c r="B1820" s="3">
        <v>45856</v>
      </c>
      <c r="C1820" t="s">
        <v>82</v>
      </c>
      <c r="D1820" t="s">
        <v>62</v>
      </c>
      <c r="E1820" t="s">
        <v>56</v>
      </c>
      <c r="F1820" t="s">
        <v>83</v>
      </c>
      <c r="G1820" s="6">
        <v>1</v>
      </c>
      <c r="H1820" s="4">
        <v>66.2</v>
      </c>
      <c r="I1820" s="4">
        <v>34.409999999999997</v>
      </c>
      <c r="J1820" s="5">
        <v>0.05</v>
      </c>
      <c r="K1820" s="6">
        <v>3</v>
      </c>
      <c r="L1820" s="6">
        <v>4</v>
      </c>
      <c r="M1820" t="s">
        <v>58</v>
      </c>
      <c r="N1820" t="s">
        <v>59</v>
      </c>
      <c r="O1820" t="s">
        <v>64</v>
      </c>
      <c r="P1820" t="str">
        <f t="shared" si="196"/>
        <v>Individual</v>
      </c>
      <c r="Q1820" t="str">
        <f t="shared" si="197"/>
        <v>Midlands</v>
      </c>
      <c r="R1820" t="str">
        <f>PROPER(TRIM(E1820))</f>
        <v>Home &amp; Kitchen</v>
      </c>
      <c r="S1820" s="27">
        <f>IF(ISTEXT(B1820),DATEVALUE(B1820),B1820)</f>
        <v>45856</v>
      </c>
      <c r="T1820" s="27">
        <f>COUNTIF($A$2:$A$1986,A1820)</f>
        <v>1</v>
      </c>
      <c r="U1820" s="27" t="str">
        <f t="shared" si="198"/>
        <v>Blender</v>
      </c>
      <c r="V1820" s="27">
        <f t="shared" si="199"/>
        <v>62.89</v>
      </c>
      <c r="W1820" s="27">
        <f t="shared" si="200"/>
        <v>34.409999999999997</v>
      </c>
      <c r="X1820" s="27">
        <f>RawSalesTable3[[#This Row],[Revenue]]-RawSalesTable3[[#This Row],[Total_Cost]]</f>
        <v>28.480000000000004</v>
      </c>
      <c r="Y1820" s="28">
        <f>RawSalesTable3[[#This Row],[Profit]]/RawSalesTable3[[#This Row],[Revenue]]</f>
        <v>0.45285418985530296</v>
      </c>
      <c r="Z1820" s="27" t="str">
        <f>TEXT(RawSalesTable3[[#This Row],[Order_Date_Clean]],"MMM YYYY")</f>
        <v>Jul 2025</v>
      </c>
      <c r="AA1820" s="27"/>
      <c r="AB1820" s="27">
        <f t="shared" si="201"/>
        <v>0</v>
      </c>
      <c r="AC1820" s="27">
        <f t="shared" si="202"/>
        <v>0</v>
      </c>
    </row>
    <row r="1821" spans="1:33">
      <c r="A1821" t="s">
        <v>1934</v>
      </c>
      <c r="B1821" s="3">
        <v>45976</v>
      </c>
      <c r="C1821" t="s">
        <v>54</v>
      </c>
      <c r="D1821" t="s">
        <v>129</v>
      </c>
      <c r="E1821" t="s">
        <v>67</v>
      </c>
      <c r="F1821" t="s">
        <v>107</v>
      </c>
      <c r="G1821" s="6">
        <v>5</v>
      </c>
      <c r="H1821" s="4">
        <v>43.81</v>
      </c>
      <c r="I1821" s="4">
        <v>20.7</v>
      </c>
      <c r="J1821" s="5">
        <v>0.2</v>
      </c>
      <c r="K1821" s="6">
        <v>3</v>
      </c>
      <c r="L1821" s="6">
        <v>3</v>
      </c>
      <c r="M1821" t="s">
        <v>126</v>
      </c>
      <c r="N1821" t="s">
        <v>59</v>
      </c>
      <c r="O1821" t="s">
        <v>73</v>
      </c>
      <c r="P1821" t="str">
        <f t="shared" si="196"/>
        <v>Corporate</v>
      </c>
      <c r="Q1821" t="str">
        <f t="shared" si="197"/>
        <v>North</v>
      </c>
      <c r="R1821" t="str">
        <f>PROPER(TRIM(E1821))</f>
        <v>Office</v>
      </c>
      <c r="S1821" s="27">
        <f>IF(ISTEXT(B1821),DATEVALUE(B1821),B1821)</f>
        <v>45976</v>
      </c>
      <c r="T1821" s="27">
        <f>COUNTIF($A$2:$A$1986,A1821)</f>
        <v>1</v>
      </c>
      <c r="U1821" s="27" t="str">
        <f t="shared" si="198"/>
        <v>Laptop Stand</v>
      </c>
      <c r="V1821" s="27">
        <f t="shared" si="199"/>
        <v>175.24</v>
      </c>
      <c r="W1821" s="27">
        <f t="shared" si="200"/>
        <v>103.5</v>
      </c>
      <c r="X1821" s="27">
        <f>RawSalesTable3[[#This Row],[Revenue]]-RawSalesTable3[[#This Row],[Total_Cost]]</f>
        <v>71.740000000000009</v>
      </c>
      <c r="Y1821" s="28">
        <f>RawSalesTable3[[#This Row],[Profit]]/RawSalesTable3[[#This Row],[Revenue]]</f>
        <v>0.40938141976717646</v>
      </c>
      <c r="Z1821" s="27" t="str">
        <f>TEXT(RawSalesTable3[[#This Row],[Order_Date_Clean]],"MMM YYYY")</f>
        <v>Nov 2025</v>
      </c>
      <c r="AA1821" s="27"/>
      <c r="AB1821" s="27">
        <f t="shared" si="201"/>
        <v>0</v>
      </c>
      <c r="AC1821" s="27">
        <f t="shared" si="202"/>
        <v>0</v>
      </c>
      <c r="AG1821">
        <f>SUBTOTAL(103,$A$2:$A$1986)</f>
        <v>1985</v>
      </c>
    </row>
    <row r="1822" spans="1:33">
      <c r="A1822" t="s">
        <v>1935</v>
      </c>
      <c r="B1822" s="3">
        <v>45995</v>
      </c>
      <c r="C1822" t="s">
        <v>54</v>
      </c>
      <c r="D1822" t="s">
        <v>55</v>
      </c>
      <c r="E1822" t="s">
        <v>75</v>
      </c>
      <c r="F1822" t="s">
        <v>146</v>
      </c>
      <c r="G1822" s="6">
        <v>2</v>
      </c>
      <c r="H1822" s="4">
        <v>187</v>
      </c>
      <c r="I1822" s="4">
        <v>113.45</v>
      </c>
      <c r="J1822" s="5">
        <v>0.05</v>
      </c>
      <c r="K1822" s="6">
        <v>4</v>
      </c>
      <c r="L1822" s="6">
        <v>5</v>
      </c>
      <c r="M1822" t="s">
        <v>58</v>
      </c>
      <c r="N1822" t="s">
        <v>59</v>
      </c>
      <c r="O1822" t="s">
        <v>64</v>
      </c>
      <c r="P1822" t="str">
        <f t="shared" si="196"/>
        <v>Small Business</v>
      </c>
      <c r="Q1822" t="str">
        <f t="shared" si="197"/>
        <v>North</v>
      </c>
      <c r="R1822" t="str">
        <f>PROPER(TRIM(E1822))</f>
        <v>Furniture</v>
      </c>
      <c r="S1822" s="27">
        <f>IF(ISTEXT(B1822),DATEVALUE(B1822),B1822)</f>
        <v>45995</v>
      </c>
      <c r="T1822" s="27">
        <f>COUNTIF($A$2:$A$1986,A1822)</f>
        <v>1</v>
      </c>
      <c r="U1822" s="27" t="str">
        <f t="shared" si="198"/>
        <v>Office Chair</v>
      </c>
      <c r="V1822" s="27">
        <f t="shared" si="199"/>
        <v>355.3</v>
      </c>
      <c r="W1822" s="27">
        <f t="shared" si="200"/>
        <v>226.9</v>
      </c>
      <c r="X1822" s="27">
        <f>RawSalesTable3[[#This Row],[Revenue]]-RawSalesTable3[[#This Row],[Total_Cost]]</f>
        <v>128.4</v>
      </c>
      <c r="Y1822" s="28">
        <f>RawSalesTable3[[#This Row],[Profit]]/RawSalesTable3[[#This Row],[Revenue]]</f>
        <v>0.3613847452856741</v>
      </c>
      <c r="Z1822" s="27" t="str">
        <f>TEXT(RawSalesTable3[[#This Row],[Order_Date_Clean]],"MMM YYYY")</f>
        <v>Dec 2025</v>
      </c>
      <c r="AA1822" s="27"/>
      <c r="AB1822" s="27">
        <f t="shared" si="201"/>
        <v>0</v>
      </c>
      <c r="AC1822" s="27">
        <f t="shared" si="202"/>
        <v>0</v>
      </c>
    </row>
    <row r="1823" spans="1:33">
      <c r="A1823" t="s">
        <v>1936</v>
      </c>
      <c r="B1823" s="3">
        <v>45919</v>
      </c>
      <c r="C1823" t="s">
        <v>78</v>
      </c>
      <c r="D1823" t="s">
        <v>129</v>
      </c>
      <c r="E1823" t="s">
        <v>79</v>
      </c>
      <c r="F1823" t="s">
        <v>115</v>
      </c>
      <c r="G1823" s="6">
        <v>3</v>
      </c>
      <c r="H1823" s="4">
        <v>58.49</v>
      </c>
      <c r="I1823" s="4">
        <v>34.74</v>
      </c>
      <c r="J1823" s="5">
        <v>0.05</v>
      </c>
      <c r="K1823" s="6">
        <v>2</v>
      </c>
      <c r="L1823" s="6">
        <v>5</v>
      </c>
      <c r="M1823" t="s">
        <v>58</v>
      </c>
      <c r="N1823" t="s">
        <v>59</v>
      </c>
      <c r="O1823" t="s">
        <v>64</v>
      </c>
      <c r="P1823" t="str">
        <f t="shared" si="196"/>
        <v>Corporate</v>
      </c>
      <c r="Q1823" t="str">
        <f t="shared" si="197"/>
        <v>London</v>
      </c>
      <c r="R1823" t="str">
        <f>PROPER(TRIM(E1823))</f>
        <v>Electronics</v>
      </c>
      <c r="S1823" s="27">
        <f>IF(ISTEXT(B1823),DATEVALUE(B1823),B1823)</f>
        <v>45919</v>
      </c>
      <c r="T1823" s="27">
        <f>COUNTIF($A$2:$A$1986,A1823)</f>
        <v>1</v>
      </c>
      <c r="U1823" s="27" t="str">
        <f t="shared" si="198"/>
        <v>Wireless Headset</v>
      </c>
      <c r="V1823" s="27">
        <f t="shared" si="199"/>
        <v>166.69649999999999</v>
      </c>
      <c r="W1823" s="27">
        <f t="shared" si="200"/>
        <v>104.22</v>
      </c>
      <c r="X1823" s="27">
        <f>RawSalesTable3[[#This Row],[Revenue]]-RawSalesTable3[[#This Row],[Total_Cost]]</f>
        <v>62.476499999999987</v>
      </c>
      <c r="Y1823" s="28">
        <f>RawSalesTable3[[#This Row],[Profit]]/RawSalesTable3[[#This Row],[Revenue]]</f>
        <v>0.37479191224770764</v>
      </c>
      <c r="Z1823" s="27" t="str">
        <f>TEXT(RawSalesTable3[[#This Row],[Order_Date_Clean]],"MMM YYYY")</f>
        <v>Sep 2025</v>
      </c>
      <c r="AA1823" s="27"/>
      <c r="AB1823" s="27">
        <f t="shared" si="201"/>
        <v>0</v>
      </c>
      <c r="AC1823" s="27">
        <f t="shared" si="202"/>
        <v>0</v>
      </c>
    </row>
    <row r="1824" spans="1:33">
      <c r="A1824" t="s">
        <v>1937</v>
      </c>
      <c r="B1824" s="3">
        <v>46004</v>
      </c>
      <c r="C1824" t="s">
        <v>78</v>
      </c>
      <c r="D1824" t="s">
        <v>62</v>
      </c>
      <c r="E1824" t="s">
        <v>56</v>
      </c>
      <c r="F1824" t="s">
        <v>89</v>
      </c>
      <c r="G1824" s="6">
        <v>1</v>
      </c>
      <c r="H1824" s="4">
        <v>81.150000000000006</v>
      </c>
      <c r="I1824" s="4">
        <v>45.75</v>
      </c>
      <c r="J1824" s="5">
        <v>0.05</v>
      </c>
      <c r="K1824" s="6">
        <v>4</v>
      </c>
      <c r="L1824" s="6">
        <v>5</v>
      </c>
      <c r="M1824" t="s">
        <v>58</v>
      </c>
      <c r="N1824" t="s">
        <v>59</v>
      </c>
      <c r="O1824" t="s">
        <v>60</v>
      </c>
      <c r="P1824" t="str">
        <f t="shared" si="196"/>
        <v>Individual</v>
      </c>
      <c r="Q1824" t="str">
        <f t="shared" si="197"/>
        <v>London</v>
      </c>
      <c r="R1824" t="str">
        <f>PROPER(TRIM(E1824))</f>
        <v>Home &amp; Kitchen</v>
      </c>
      <c r="S1824" s="27">
        <f>IF(ISTEXT(B1824),DATEVALUE(B1824),B1824)</f>
        <v>46004</v>
      </c>
      <c r="T1824" s="27">
        <f>COUNTIF($A$2:$A$1986,A1824)</f>
        <v>1</v>
      </c>
      <c r="U1824" s="27" t="str">
        <f t="shared" si="198"/>
        <v>Coffee Maker</v>
      </c>
      <c r="V1824" s="27">
        <f t="shared" si="199"/>
        <v>77.092500000000001</v>
      </c>
      <c r="W1824" s="27">
        <f t="shared" si="200"/>
        <v>45.75</v>
      </c>
      <c r="X1824" s="27">
        <f>RawSalesTable3[[#This Row],[Revenue]]-RawSalesTable3[[#This Row],[Total_Cost]]</f>
        <v>31.342500000000001</v>
      </c>
      <c r="Y1824" s="28">
        <f>RawSalesTable3[[#This Row],[Profit]]/RawSalesTable3[[#This Row],[Revenue]]</f>
        <v>0.40655705807957976</v>
      </c>
      <c r="Z1824" s="27" t="str">
        <f>TEXT(RawSalesTable3[[#This Row],[Order_Date_Clean]],"MMM YYYY")</f>
        <v>Dec 2025</v>
      </c>
      <c r="AA1824" s="27"/>
      <c r="AB1824" s="27">
        <f t="shared" si="201"/>
        <v>0</v>
      </c>
      <c r="AC1824" s="27">
        <f t="shared" si="202"/>
        <v>0</v>
      </c>
    </row>
    <row r="1825" spans="1:29">
      <c r="A1825" t="s">
        <v>1938</v>
      </c>
      <c r="B1825" s="3">
        <v>46017</v>
      </c>
      <c r="C1825" t="s">
        <v>78</v>
      </c>
      <c r="D1825" t="s">
        <v>62</v>
      </c>
      <c r="E1825" t="s">
        <v>56</v>
      </c>
      <c r="F1825" t="s">
        <v>83</v>
      </c>
      <c r="G1825" s="6">
        <v>2</v>
      </c>
      <c r="H1825" s="4">
        <v>64.77</v>
      </c>
      <c r="I1825" s="4">
        <v>35.01</v>
      </c>
      <c r="J1825" s="5">
        <v>0.2</v>
      </c>
      <c r="K1825" s="6">
        <v>5</v>
      </c>
      <c r="L1825" s="6">
        <v>5</v>
      </c>
      <c r="M1825" t="s">
        <v>58</v>
      </c>
      <c r="N1825" t="s">
        <v>59</v>
      </c>
      <c r="O1825" t="s">
        <v>60</v>
      </c>
      <c r="P1825" t="str">
        <f t="shared" si="196"/>
        <v>Individual</v>
      </c>
      <c r="Q1825" t="str">
        <f t="shared" si="197"/>
        <v>London</v>
      </c>
      <c r="R1825" t="str">
        <f>PROPER(TRIM(E1825))</f>
        <v>Home &amp; Kitchen</v>
      </c>
      <c r="S1825" s="27">
        <f>IF(ISTEXT(B1825),DATEVALUE(B1825),B1825)</f>
        <v>46017</v>
      </c>
      <c r="T1825" s="27">
        <f>COUNTIF($A$2:$A$1986,A1825)</f>
        <v>1</v>
      </c>
      <c r="U1825" s="27" t="str">
        <f t="shared" si="198"/>
        <v>Blender</v>
      </c>
      <c r="V1825" s="27">
        <f t="shared" si="199"/>
        <v>103.63200000000001</v>
      </c>
      <c r="W1825" s="27">
        <f t="shared" si="200"/>
        <v>70.02</v>
      </c>
      <c r="X1825" s="27">
        <f>RawSalesTable3[[#This Row],[Revenue]]-RawSalesTable3[[#This Row],[Total_Cost]]</f>
        <v>33.612000000000009</v>
      </c>
      <c r="Y1825" s="28">
        <f>RawSalesTable3[[#This Row],[Profit]]/RawSalesTable3[[#This Row],[Revenue]]</f>
        <v>0.32433997220935623</v>
      </c>
      <c r="Z1825" s="27" t="str">
        <f>TEXT(RawSalesTable3[[#This Row],[Order_Date_Clean]],"MMM YYYY")</f>
        <v>Dec 2025</v>
      </c>
      <c r="AA1825" s="27"/>
      <c r="AB1825" s="27">
        <f t="shared" si="201"/>
        <v>0</v>
      </c>
      <c r="AC1825" s="27">
        <f t="shared" si="202"/>
        <v>0</v>
      </c>
    </row>
    <row r="1826" spans="1:29">
      <c r="A1826" t="s">
        <v>1939</v>
      </c>
      <c r="B1826" s="3">
        <v>45790</v>
      </c>
      <c r="C1826" t="s">
        <v>54</v>
      </c>
      <c r="D1826" t="s">
        <v>62</v>
      </c>
      <c r="E1826" t="s">
        <v>56</v>
      </c>
      <c r="F1826" t="s">
        <v>63</v>
      </c>
      <c r="G1826" s="6">
        <v>1</v>
      </c>
      <c r="H1826" s="4">
        <v>39.81</v>
      </c>
      <c r="I1826" s="4">
        <v>20.7</v>
      </c>
      <c r="J1826" s="5">
        <v>0.05</v>
      </c>
      <c r="K1826" s="6">
        <v>5</v>
      </c>
      <c r="L1826" s="6">
        <v>5</v>
      </c>
      <c r="M1826" t="s">
        <v>58</v>
      </c>
      <c r="N1826" t="s">
        <v>59</v>
      </c>
      <c r="O1826" t="s">
        <v>64</v>
      </c>
      <c r="P1826" t="str">
        <f t="shared" si="196"/>
        <v>Individual</v>
      </c>
      <c r="Q1826" t="str">
        <f t="shared" si="197"/>
        <v>North</v>
      </c>
      <c r="R1826" t="str">
        <f>PROPER(TRIM(E1826))</f>
        <v>Home &amp; Kitchen</v>
      </c>
      <c r="S1826" s="27">
        <f>IF(ISTEXT(B1826),DATEVALUE(B1826),B1826)</f>
        <v>45790</v>
      </c>
      <c r="T1826" s="27">
        <f>COUNTIF($A$2:$A$1986,A1826)</f>
        <v>1</v>
      </c>
      <c r="U1826" s="27" t="str">
        <f t="shared" si="198"/>
        <v>Electric Kettle</v>
      </c>
      <c r="V1826" s="27">
        <f t="shared" si="199"/>
        <v>37.819499999999998</v>
      </c>
      <c r="W1826" s="27">
        <f t="shared" si="200"/>
        <v>20.7</v>
      </c>
      <c r="X1826" s="27">
        <f>RawSalesTable3[[#This Row],[Revenue]]-RawSalesTable3[[#This Row],[Total_Cost]]</f>
        <v>17.119499999999999</v>
      </c>
      <c r="Y1826" s="28">
        <f>RawSalesTable3[[#This Row],[Profit]]/RawSalesTable3[[#This Row],[Revenue]]</f>
        <v>0.45266330861063736</v>
      </c>
      <c r="Z1826" s="27" t="str">
        <f>TEXT(RawSalesTable3[[#This Row],[Order_Date_Clean]],"MMM YYYY")</f>
        <v>May 2025</v>
      </c>
      <c r="AA1826" s="27"/>
      <c r="AB1826" s="27">
        <f t="shared" si="201"/>
        <v>0</v>
      </c>
      <c r="AC1826" s="27">
        <f t="shared" si="202"/>
        <v>0</v>
      </c>
    </row>
    <row r="1827" spans="1:29">
      <c r="A1827" t="s">
        <v>1940</v>
      </c>
      <c r="B1827" s="3">
        <v>45694</v>
      </c>
      <c r="C1827" t="s">
        <v>78</v>
      </c>
      <c r="D1827" t="s">
        <v>62</v>
      </c>
      <c r="E1827" t="s">
        <v>79</v>
      </c>
      <c r="F1827" t="s">
        <v>80</v>
      </c>
      <c r="G1827" s="6">
        <v>2</v>
      </c>
      <c r="H1827" s="4">
        <v>76.489999999999995</v>
      </c>
      <c r="I1827" s="4">
        <v>43.96</v>
      </c>
      <c r="J1827" s="5">
        <v>0</v>
      </c>
      <c r="K1827" s="6">
        <v>2</v>
      </c>
      <c r="L1827" s="6">
        <v>4</v>
      </c>
      <c r="M1827" t="s">
        <v>58</v>
      </c>
      <c r="N1827" t="s">
        <v>59</v>
      </c>
      <c r="O1827" t="s">
        <v>64</v>
      </c>
      <c r="P1827" t="str">
        <f t="shared" si="196"/>
        <v>Individual</v>
      </c>
      <c r="Q1827" t="str">
        <f t="shared" si="197"/>
        <v>London</v>
      </c>
      <c r="R1827" t="str">
        <f>PROPER(TRIM(E1827))</f>
        <v>Electronics</v>
      </c>
      <c r="S1827" s="27">
        <f>IF(ISTEXT(B1827),DATEVALUE(B1827),B1827)</f>
        <v>45694</v>
      </c>
      <c r="T1827" s="27">
        <f>COUNTIF($A$2:$A$1986,A1827)</f>
        <v>1</v>
      </c>
      <c r="U1827" s="27" t="str">
        <f t="shared" si="198"/>
        <v>Portable Speaker</v>
      </c>
      <c r="V1827" s="27">
        <f t="shared" si="199"/>
        <v>152.97999999999999</v>
      </c>
      <c r="W1827" s="27">
        <f t="shared" si="200"/>
        <v>87.92</v>
      </c>
      <c r="X1827" s="27">
        <f>RawSalesTable3[[#This Row],[Revenue]]-RawSalesTable3[[#This Row],[Total_Cost]]</f>
        <v>65.059999999999988</v>
      </c>
      <c r="Y1827" s="28">
        <f>RawSalesTable3[[#This Row],[Profit]]/RawSalesTable3[[#This Row],[Revenue]]</f>
        <v>0.42528435089554184</v>
      </c>
      <c r="Z1827" s="27" t="str">
        <f>TEXT(RawSalesTable3[[#This Row],[Order_Date_Clean]],"MMM YYYY")</f>
        <v>Feb 2025</v>
      </c>
      <c r="AA1827" s="27"/>
      <c r="AB1827" s="27">
        <f t="shared" si="201"/>
        <v>0</v>
      </c>
      <c r="AC1827" s="27">
        <f t="shared" si="202"/>
        <v>0</v>
      </c>
    </row>
    <row r="1828" spans="1:29">
      <c r="A1828" t="s">
        <v>1941</v>
      </c>
      <c r="B1828" s="3">
        <v>46009</v>
      </c>
      <c r="C1828" t="s">
        <v>78</v>
      </c>
      <c r="D1828" t="s">
        <v>62</v>
      </c>
      <c r="E1828" t="s">
        <v>56</v>
      </c>
      <c r="F1828" t="s">
        <v>57</v>
      </c>
      <c r="G1828" s="6">
        <v>3</v>
      </c>
      <c r="H1828" s="4">
        <v>111.56</v>
      </c>
      <c r="I1828" s="4">
        <v>65.97</v>
      </c>
      <c r="J1828" s="5">
        <v>0.1</v>
      </c>
      <c r="K1828" s="6">
        <v>5</v>
      </c>
      <c r="L1828" s="6">
        <v>5</v>
      </c>
      <c r="M1828" t="s">
        <v>58</v>
      </c>
      <c r="N1828" t="s">
        <v>59</v>
      </c>
      <c r="O1828" t="s">
        <v>64</v>
      </c>
      <c r="P1828" t="str">
        <f t="shared" si="196"/>
        <v>Individual</v>
      </c>
      <c r="Q1828" t="str">
        <f t="shared" si="197"/>
        <v>London</v>
      </c>
      <c r="R1828" t="str">
        <f>PROPER(TRIM(E1828))</f>
        <v>Home &amp; Kitchen</v>
      </c>
      <c r="S1828" s="27">
        <f>IF(ISTEXT(B1828),DATEVALUE(B1828),B1828)</f>
        <v>46009</v>
      </c>
      <c r="T1828" s="27">
        <f>COUNTIF($A$2:$A$1986,A1828)</f>
        <v>1</v>
      </c>
      <c r="U1828" s="27" t="str">
        <f t="shared" si="198"/>
        <v>Air Fryer</v>
      </c>
      <c r="V1828" s="27">
        <f t="shared" si="199"/>
        <v>301.21199999999999</v>
      </c>
      <c r="W1828" s="27">
        <f t="shared" si="200"/>
        <v>197.91</v>
      </c>
      <c r="X1828" s="27">
        <f>RawSalesTable3[[#This Row],[Revenue]]-RawSalesTable3[[#This Row],[Total_Cost]]</f>
        <v>103.30199999999999</v>
      </c>
      <c r="Y1828" s="28">
        <f>RawSalesTable3[[#This Row],[Profit]]/RawSalesTable3[[#This Row],[Revenue]]</f>
        <v>0.34295446396557905</v>
      </c>
      <c r="Z1828" s="27" t="str">
        <f>TEXT(RawSalesTable3[[#This Row],[Order_Date_Clean]],"MMM YYYY")</f>
        <v>Dec 2025</v>
      </c>
      <c r="AA1828" s="27"/>
      <c r="AB1828" s="27">
        <f t="shared" si="201"/>
        <v>0</v>
      </c>
      <c r="AC1828" s="27">
        <f t="shared" si="202"/>
        <v>0</v>
      </c>
    </row>
    <row r="1829" spans="1:29">
      <c r="A1829" t="s">
        <v>1942</v>
      </c>
      <c r="B1829" s="3">
        <v>45678</v>
      </c>
      <c r="C1829" t="s">
        <v>78</v>
      </c>
      <c r="D1829" t="s">
        <v>62</v>
      </c>
      <c r="E1829" t="s">
        <v>79</v>
      </c>
      <c r="F1829" t="s">
        <v>80</v>
      </c>
      <c r="G1829" s="6">
        <v>1</v>
      </c>
      <c r="H1829" s="4">
        <v>75.650000000000006</v>
      </c>
      <c r="I1829" s="4">
        <v>45</v>
      </c>
      <c r="J1829" s="5">
        <v>0.05</v>
      </c>
      <c r="K1829" s="6">
        <v>3</v>
      </c>
      <c r="L1829" s="6">
        <v>4</v>
      </c>
      <c r="M1829" t="s">
        <v>58</v>
      </c>
      <c r="N1829" t="s">
        <v>59</v>
      </c>
      <c r="O1829" t="s">
        <v>64</v>
      </c>
      <c r="P1829" t="str">
        <f t="shared" si="196"/>
        <v>Individual</v>
      </c>
      <c r="Q1829" t="str">
        <f t="shared" si="197"/>
        <v>London</v>
      </c>
      <c r="R1829" t="str">
        <f>PROPER(TRIM(E1829))</f>
        <v>Electronics</v>
      </c>
      <c r="S1829" s="27">
        <f>IF(ISTEXT(B1829),DATEVALUE(B1829),B1829)</f>
        <v>45678</v>
      </c>
      <c r="T1829" s="27">
        <f>COUNTIF($A$2:$A$1986,A1829)</f>
        <v>1</v>
      </c>
      <c r="U1829" s="27" t="str">
        <f t="shared" si="198"/>
        <v>Portable Speaker</v>
      </c>
      <c r="V1829" s="27">
        <f t="shared" si="199"/>
        <v>71.867500000000007</v>
      </c>
      <c r="W1829" s="27">
        <f t="shared" si="200"/>
        <v>45</v>
      </c>
      <c r="X1829" s="27">
        <f>RawSalesTable3[[#This Row],[Revenue]]-RawSalesTable3[[#This Row],[Total_Cost]]</f>
        <v>26.867500000000007</v>
      </c>
      <c r="Y1829" s="28">
        <f>RawSalesTable3[[#This Row],[Profit]]/RawSalesTable3[[#This Row],[Revenue]]</f>
        <v>0.37384770584756677</v>
      </c>
      <c r="Z1829" s="27" t="str">
        <f>TEXT(RawSalesTable3[[#This Row],[Order_Date_Clean]],"MMM YYYY")</f>
        <v>Jan 2025</v>
      </c>
      <c r="AA1829" s="27"/>
      <c r="AB1829" s="27">
        <f t="shared" si="201"/>
        <v>0</v>
      </c>
      <c r="AC1829" s="27">
        <f t="shared" si="202"/>
        <v>0</v>
      </c>
    </row>
    <row r="1830" spans="1:29">
      <c r="A1830" t="s">
        <v>1943</v>
      </c>
      <c r="B1830" s="3">
        <v>46012</v>
      </c>
      <c r="C1830" t="s">
        <v>78</v>
      </c>
      <c r="D1830" t="s">
        <v>55</v>
      </c>
      <c r="E1830" t="s">
        <v>56</v>
      </c>
      <c r="F1830" t="s">
        <v>83</v>
      </c>
      <c r="G1830" s="6">
        <v>3</v>
      </c>
      <c r="H1830" s="4">
        <v>64.849999999999994</v>
      </c>
      <c r="I1830" s="4">
        <v>36.25</v>
      </c>
      <c r="J1830" s="5">
        <v>0.1</v>
      </c>
      <c r="K1830" s="6">
        <v>0</v>
      </c>
      <c r="L1830" s="6">
        <v>4</v>
      </c>
      <c r="M1830" t="s">
        <v>58</v>
      </c>
      <c r="N1830" t="s">
        <v>69</v>
      </c>
      <c r="O1830" t="s">
        <v>60</v>
      </c>
      <c r="P1830" t="str">
        <f t="shared" si="196"/>
        <v>Small Business</v>
      </c>
      <c r="Q1830" t="str">
        <f t="shared" si="197"/>
        <v>London</v>
      </c>
      <c r="R1830" t="str">
        <f>PROPER(TRIM(E1830))</f>
        <v>Home &amp; Kitchen</v>
      </c>
      <c r="S1830" s="27">
        <f>IF(ISTEXT(B1830),DATEVALUE(B1830),B1830)</f>
        <v>46012</v>
      </c>
      <c r="T1830" s="27">
        <f>COUNTIF($A$2:$A$1986,A1830)</f>
        <v>1</v>
      </c>
      <c r="U1830" s="27" t="str">
        <f t="shared" si="198"/>
        <v>Blender</v>
      </c>
      <c r="V1830" s="27">
        <f t="shared" si="199"/>
        <v>175.095</v>
      </c>
      <c r="W1830" s="27">
        <f t="shared" si="200"/>
        <v>108.75</v>
      </c>
      <c r="X1830" s="27">
        <f>RawSalesTable3[[#This Row],[Revenue]]-RawSalesTable3[[#This Row],[Total_Cost]]</f>
        <v>66.344999999999999</v>
      </c>
      <c r="Y1830" s="28">
        <f>RawSalesTable3[[#This Row],[Profit]]/RawSalesTable3[[#This Row],[Revenue]]</f>
        <v>0.37890859247836889</v>
      </c>
      <c r="Z1830" s="27" t="str">
        <f>TEXT(RawSalesTable3[[#This Row],[Order_Date_Clean]],"MMM YYYY")</f>
        <v>Dec 2025</v>
      </c>
      <c r="AA1830" s="27"/>
      <c r="AB1830" s="27">
        <f t="shared" si="201"/>
        <v>0</v>
      </c>
      <c r="AC1830" s="27">
        <f t="shared" si="202"/>
        <v>0</v>
      </c>
    </row>
    <row r="1831" spans="1:29">
      <c r="A1831" t="s">
        <v>1944</v>
      </c>
      <c r="B1831" s="3">
        <v>45924</v>
      </c>
      <c r="C1831" t="s">
        <v>82</v>
      </c>
      <c r="D1831" t="s">
        <v>55</v>
      </c>
      <c r="E1831" t="s">
        <v>79</v>
      </c>
      <c r="F1831" t="s">
        <v>115</v>
      </c>
      <c r="G1831" s="6">
        <v>3</v>
      </c>
      <c r="H1831" s="4">
        <v>60.17</v>
      </c>
      <c r="I1831" s="4">
        <v>34.340000000000003</v>
      </c>
      <c r="J1831" s="5">
        <v>0.1</v>
      </c>
      <c r="K1831" s="6">
        <v>2</v>
      </c>
      <c r="L1831" s="6">
        <v>4</v>
      </c>
      <c r="M1831" t="s">
        <v>58</v>
      </c>
      <c r="N1831" t="s">
        <v>69</v>
      </c>
      <c r="O1831" t="s">
        <v>64</v>
      </c>
      <c r="P1831" t="str">
        <f t="shared" si="196"/>
        <v>Small Business</v>
      </c>
      <c r="Q1831" t="str">
        <f t="shared" si="197"/>
        <v>Midlands</v>
      </c>
      <c r="R1831" t="str">
        <f>PROPER(TRIM(E1831))</f>
        <v>Electronics</v>
      </c>
      <c r="S1831" s="27">
        <f>IF(ISTEXT(B1831),DATEVALUE(B1831),B1831)</f>
        <v>45924</v>
      </c>
      <c r="T1831" s="27">
        <f>COUNTIF($A$2:$A$1986,A1831)</f>
        <v>1</v>
      </c>
      <c r="U1831" s="27" t="str">
        <f t="shared" si="198"/>
        <v>Wireless Headset</v>
      </c>
      <c r="V1831" s="27">
        <f t="shared" si="199"/>
        <v>162.459</v>
      </c>
      <c r="W1831" s="27">
        <f t="shared" si="200"/>
        <v>103.02000000000001</v>
      </c>
      <c r="X1831" s="27">
        <f>RawSalesTable3[[#This Row],[Revenue]]-RawSalesTable3[[#This Row],[Total_Cost]]</f>
        <v>59.438999999999993</v>
      </c>
      <c r="Y1831" s="28">
        <f>RawSalesTable3[[#This Row],[Profit]]/RawSalesTable3[[#This Row],[Revenue]]</f>
        <v>0.36587077354901848</v>
      </c>
      <c r="Z1831" s="27" t="str">
        <f>TEXT(RawSalesTable3[[#This Row],[Order_Date_Clean]],"MMM YYYY")</f>
        <v>Sep 2025</v>
      </c>
      <c r="AA1831" s="27"/>
      <c r="AB1831" s="27">
        <f t="shared" si="201"/>
        <v>0</v>
      </c>
      <c r="AC1831" s="27">
        <f t="shared" si="202"/>
        <v>0</v>
      </c>
    </row>
    <row r="1832" spans="1:29">
      <c r="A1832" t="s">
        <v>1945</v>
      </c>
      <c r="B1832" s="3">
        <v>45864</v>
      </c>
      <c r="C1832" t="s">
        <v>54</v>
      </c>
      <c r="D1832" t="s">
        <v>62</v>
      </c>
      <c r="E1832" t="s">
        <v>79</v>
      </c>
      <c r="F1832" t="s">
        <v>115</v>
      </c>
      <c r="G1832" s="6">
        <v>1</v>
      </c>
      <c r="H1832" s="4">
        <v>59.85</v>
      </c>
      <c r="I1832" s="4">
        <v>33.880000000000003</v>
      </c>
      <c r="J1832" s="5">
        <v>0.05</v>
      </c>
      <c r="K1832" s="6">
        <v>2</v>
      </c>
      <c r="L1832" s="6">
        <v>5</v>
      </c>
      <c r="M1832" t="s">
        <v>58</v>
      </c>
      <c r="N1832" t="s">
        <v>59</v>
      </c>
      <c r="O1832" t="s">
        <v>64</v>
      </c>
      <c r="P1832" t="str">
        <f t="shared" si="196"/>
        <v>Individual</v>
      </c>
      <c r="Q1832" t="str">
        <f t="shared" si="197"/>
        <v>North</v>
      </c>
      <c r="R1832" t="str">
        <f>PROPER(TRIM(E1832))</f>
        <v>Electronics</v>
      </c>
      <c r="S1832" s="27">
        <f>IF(ISTEXT(B1832),DATEVALUE(B1832),B1832)</f>
        <v>45864</v>
      </c>
      <c r="T1832" s="27">
        <f>COUNTIF($A$2:$A$1986,A1832)</f>
        <v>1</v>
      </c>
      <c r="U1832" s="27" t="str">
        <f t="shared" si="198"/>
        <v>Wireless Headset</v>
      </c>
      <c r="V1832" s="27">
        <f t="shared" si="199"/>
        <v>56.857500000000002</v>
      </c>
      <c r="W1832" s="27">
        <f t="shared" si="200"/>
        <v>33.880000000000003</v>
      </c>
      <c r="X1832" s="27">
        <f>RawSalesTable3[[#This Row],[Revenue]]-RawSalesTable3[[#This Row],[Total_Cost]]</f>
        <v>22.977499999999999</v>
      </c>
      <c r="Y1832" s="28">
        <f>RawSalesTable3[[#This Row],[Profit]]/RawSalesTable3[[#This Row],[Revenue]]</f>
        <v>0.40412434595260077</v>
      </c>
      <c r="Z1832" s="27" t="str">
        <f>TEXT(RawSalesTable3[[#This Row],[Order_Date_Clean]],"MMM YYYY")</f>
        <v>Jul 2025</v>
      </c>
      <c r="AA1832" s="27"/>
      <c r="AB1832" s="27">
        <f t="shared" si="201"/>
        <v>0</v>
      </c>
      <c r="AC1832" s="27">
        <f t="shared" si="202"/>
        <v>0</v>
      </c>
    </row>
    <row r="1833" spans="1:29">
      <c r="A1833" t="s">
        <v>1946</v>
      </c>
      <c r="B1833" s="3">
        <v>45795</v>
      </c>
      <c r="C1833" t="s">
        <v>54</v>
      </c>
      <c r="D1833" t="s">
        <v>62</v>
      </c>
      <c r="E1833" t="s">
        <v>79</v>
      </c>
      <c r="F1833" t="s">
        <v>80</v>
      </c>
      <c r="G1833" s="6">
        <v>1</v>
      </c>
      <c r="H1833" s="4">
        <v>72.94</v>
      </c>
      <c r="I1833" s="4">
        <v>43.26</v>
      </c>
      <c r="J1833" s="5">
        <v>0.05</v>
      </c>
      <c r="K1833" s="6">
        <v>5</v>
      </c>
      <c r="L1833" s="6">
        <v>4</v>
      </c>
      <c r="M1833" t="s">
        <v>58</v>
      </c>
      <c r="N1833" t="s">
        <v>59</v>
      </c>
      <c r="O1833" t="s">
        <v>60</v>
      </c>
      <c r="P1833" t="str">
        <f t="shared" si="196"/>
        <v>Individual</v>
      </c>
      <c r="Q1833" t="str">
        <f t="shared" si="197"/>
        <v>North</v>
      </c>
      <c r="R1833" t="str">
        <f>PROPER(TRIM(E1833))</f>
        <v>Electronics</v>
      </c>
      <c r="S1833" s="27">
        <f>IF(ISTEXT(B1833),DATEVALUE(B1833),B1833)</f>
        <v>45795</v>
      </c>
      <c r="T1833" s="27">
        <f>COUNTIF($A$2:$A$1986,A1833)</f>
        <v>1</v>
      </c>
      <c r="U1833" s="27" t="str">
        <f t="shared" si="198"/>
        <v>Portable Speaker</v>
      </c>
      <c r="V1833" s="27">
        <f t="shared" si="199"/>
        <v>69.292999999999992</v>
      </c>
      <c r="W1833" s="27">
        <f t="shared" si="200"/>
        <v>43.26</v>
      </c>
      <c r="X1833" s="27">
        <f>RawSalesTable3[[#This Row],[Revenue]]-RawSalesTable3[[#This Row],[Total_Cost]]</f>
        <v>26.032999999999994</v>
      </c>
      <c r="Y1833" s="28">
        <f>RawSalesTable3[[#This Row],[Profit]]/RawSalesTable3[[#This Row],[Revenue]]</f>
        <v>0.37569451459743403</v>
      </c>
      <c r="Z1833" s="27" t="str">
        <f>TEXT(RawSalesTable3[[#This Row],[Order_Date_Clean]],"MMM YYYY")</f>
        <v>May 2025</v>
      </c>
      <c r="AA1833" s="27"/>
      <c r="AB1833" s="27">
        <f t="shared" si="201"/>
        <v>0</v>
      </c>
      <c r="AC1833" s="27">
        <f t="shared" si="202"/>
        <v>0</v>
      </c>
    </row>
    <row r="1834" spans="1:29">
      <c r="A1834" t="s">
        <v>1947</v>
      </c>
      <c r="B1834" s="3">
        <v>45740</v>
      </c>
      <c r="C1834" t="s">
        <v>54</v>
      </c>
      <c r="D1834" t="s">
        <v>62</v>
      </c>
      <c r="E1834" t="s">
        <v>67</v>
      </c>
      <c r="F1834" t="s">
        <v>94</v>
      </c>
      <c r="G1834" s="6">
        <v>2</v>
      </c>
      <c r="H1834" s="4">
        <v>35.6</v>
      </c>
      <c r="I1834" s="4">
        <v>17.670000000000002</v>
      </c>
      <c r="J1834" s="5">
        <v>0.1</v>
      </c>
      <c r="K1834" s="6">
        <v>3</v>
      </c>
      <c r="L1834" s="6">
        <v>4</v>
      </c>
      <c r="M1834" t="s">
        <v>58</v>
      </c>
      <c r="N1834" t="s">
        <v>59</v>
      </c>
      <c r="O1834" t="s">
        <v>73</v>
      </c>
      <c r="P1834" t="str">
        <f t="shared" si="196"/>
        <v>Individual</v>
      </c>
      <c r="Q1834" t="str">
        <f t="shared" si="197"/>
        <v>North</v>
      </c>
      <c r="R1834" t="str">
        <f>PROPER(TRIM(E1834))</f>
        <v>Office</v>
      </c>
      <c r="S1834" s="27">
        <f>IF(ISTEXT(B1834),DATEVALUE(B1834),B1834)</f>
        <v>45740</v>
      </c>
      <c r="T1834" s="27">
        <f>COUNTIF($A$2:$A$1986,A1834)</f>
        <v>1</v>
      </c>
      <c r="U1834" s="27" t="str">
        <f t="shared" si="198"/>
        <v>Wireless Mouse</v>
      </c>
      <c r="V1834" s="27">
        <f t="shared" si="199"/>
        <v>64.08</v>
      </c>
      <c r="W1834" s="27">
        <f t="shared" si="200"/>
        <v>35.340000000000003</v>
      </c>
      <c r="X1834" s="27">
        <f>RawSalesTable3[[#This Row],[Revenue]]-RawSalesTable3[[#This Row],[Total_Cost]]</f>
        <v>28.739999999999995</v>
      </c>
      <c r="Y1834" s="28">
        <f>RawSalesTable3[[#This Row],[Profit]]/RawSalesTable3[[#This Row],[Revenue]]</f>
        <v>0.44850187265917596</v>
      </c>
      <c r="Z1834" s="27" t="str">
        <f>TEXT(RawSalesTable3[[#This Row],[Order_Date_Clean]],"MMM YYYY")</f>
        <v>Mar 2025</v>
      </c>
      <c r="AA1834" s="27"/>
      <c r="AB1834" s="27">
        <f t="shared" si="201"/>
        <v>0</v>
      </c>
      <c r="AC1834" s="27">
        <f t="shared" si="202"/>
        <v>0</v>
      </c>
    </row>
    <row r="1835" spans="1:29">
      <c r="A1835" t="s">
        <v>1948</v>
      </c>
      <c r="B1835" s="3">
        <v>45802</v>
      </c>
      <c r="C1835" t="s">
        <v>66</v>
      </c>
      <c r="D1835" t="s">
        <v>62</v>
      </c>
      <c r="E1835" t="s">
        <v>75</v>
      </c>
      <c r="F1835" t="s">
        <v>146</v>
      </c>
      <c r="G1835" s="6">
        <v>2</v>
      </c>
      <c r="H1835" s="4">
        <v>181.44</v>
      </c>
      <c r="I1835" s="4">
        <v>114.4</v>
      </c>
      <c r="J1835" s="5">
        <v>0.1</v>
      </c>
      <c r="K1835" s="6">
        <v>3</v>
      </c>
      <c r="L1835" s="6">
        <v>4</v>
      </c>
      <c r="M1835" t="s">
        <v>58</v>
      </c>
      <c r="N1835" t="s">
        <v>59</v>
      </c>
      <c r="O1835" t="s">
        <v>73</v>
      </c>
      <c r="P1835" t="str">
        <f t="shared" si="196"/>
        <v>Individual</v>
      </c>
      <c r="Q1835" t="str">
        <f t="shared" si="197"/>
        <v>South</v>
      </c>
      <c r="R1835" t="str">
        <f>PROPER(TRIM(E1835))</f>
        <v>Furniture</v>
      </c>
      <c r="S1835" s="27">
        <f>IF(ISTEXT(B1835),DATEVALUE(B1835),B1835)</f>
        <v>45802</v>
      </c>
      <c r="T1835" s="27">
        <f>COUNTIF($A$2:$A$1986,A1835)</f>
        <v>1</v>
      </c>
      <c r="U1835" s="27" t="str">
        <f t="shared" si="198"/>
        <v>Office Chair</v>
      </c>
      <c r="V1835" s="27">
        <f t="shared" si="199"/>
        <v>326.59199999999998</v>
      </c>
      <c r="W1835" s="27">
        <f t="shared" si="200"/>
        <v>228.8</v>
      </c>
      <c r="X1835" s="27">
        <f>RawSalesTable3[[#This Row],[Revenue]]-RawSalesTable3[[#This Row],[Total_Cost]]</f>
        <v>97.791999999999973</v>
      </c>
      <c r="Y1835" s="28">
        <f>RawSalesTable3[[#This Row],[Profit]]/RawSalesTable3[[#This Row],[Revenue]]</f>
        <v>0.29943170683911419</v>
      </c>
      <c r="Z1835" s="27" t="str">
        <f>TEXT(RawSalesTable3[[#This Row],[Order_Date_Clean]],"MMM YYYY")</f>
        <v>May 2025</v>
      </c>
      <c r="AA1835" s="27"/>
      <c r="AB1835" s="27">
        <f t="shared" si="201"/>
        <v>0</v>
      </c>
      <c r="AC1835" s="27">
        <f t="shared" si="202"/>
        <v>0</v>
      </c>
    </row>
    <row r="1836" spans="1:29">
      <c r="A1836" t="s">
        <v>1949</v>
      </c>
      <c r="B1836" s="3">
        <v>45754</v>
      </c>
      <c r="C1836" t="s">
        <v>54</v>
      </c>
      <c r="D1836" t="s">
        <v>62</v>
      </c>
      <c r="E1836" t="s">
        <v>75</v>
      </c>
      <c r="F1836" t="s">
        <v>146</v>
      </c>
      <c r="G1836" s="6">
        <v>1</v>
      </c>
      <c r="H1836" s="4">
        <v>176.68</v>
      </c>
      <c r="I1836" s="4">
        <v>118.72</v>
      </c>
      <c r="J1836" s="5">
        <v>0.05</v>
      </c>
      <c r="K1836" s="6">
        <v>0</v>
      </c>
      <c r="L1836" s="6">
        <v>4</v>
      </c>
      <c r="M1836" t="s">
        <v>58</v>
      </c>
      <c r="N1836" t="s">
        <v>69</v>
      </c>
      <c r="O1836" t="s">
        <v>64</v>
      </c>
      <c r="P1836" t="str">
        <f t="shared" si="196"/>
        <v>Individual</v>
      </c>
      <c r="Q1836" t="str">
        <f t="shared" si="197"/>
        <v>North</v>
      </c>
      <c r="R1836" t="str">
        <f>PROPER(TRIM(E1836))</f>
        <v>Furniture</v>
      </c>
      <c r="S1836" s="27">
        <f>IF(ISTEXT(B1836),DATEVALUE(B1836),B1836)</f>
        <v>45754</v>
      </c>
      <c r="T1836" s="27">
        <f>COUNTIF($A$2:$A$1986,A1836)</f>
        <v>1</v>
      </c>
      <c r="U1836" s="27" t="str">
        <f t="shared" si="198"/>
        <v>Office Chair</v>
      </c>
      <c r="V1836" s="27">
        <f t="shared" si="199"/>
        <v>167.846</v>
      </c>
      <c r="W1836" s="27">
        <f t="shared" si="200"/>
        <v>118.72</v>
      </c>
      <c r="X1836" s="27">
        <f>RawSalesTable3[[#This Row],[Revenue]]-RawSalesTable3[[#This Row],[Total_Cost]]</f>
        <v>49.126000000000005</v>
      </c>
      <c r="Y1836" s="28">
        <f>RawSalesTable3[[#This Row],[Profit]]/RawSalesTable3[[#This Row],[Revenue]]</f>
        <v>0.29268496121444659</v>
      </c>
      <c r="Z1836" s="27" t="str">
        <f>TEXT(RawSalesTable3[[#This Row],[Order_Date_Clean]],"MMM YYYY")</f>
        <v>Apr 2025</v>
      </c>
      <c r="AA1836" s="27"/>
      <c r="AB1836" s="27">
        <f t="shared" si="201"/>
        <v>0</v>
      </c>
      <c r="AC1836" s="27">
        <f t="shared" si="202"/>
        <v>0</v>
      </c>
    </row>
    <row r="1837" spans="1:29">
      <c r="A1837" t="s">
        <v>1950</v>
      </c>
      <c r="B1837" s="3">
        <v>45760</v>
      </c>
      <c r="C1837" t="s">
        <v>66</v>
      </c>
      <c r="D1837" t="s">
        <v>62</v>
      </c>
      <c r="E1837" t="s">
        <v>79</v>
      </c>
      <c r="F1837" t="s">
        <v>80</v>
      </c>
      <c r="G1837" s="6">
        <v>1</v>
      </c>
      <c r="H1837" s="4">
        <v>75.510000000000005</v>
      </c>
      <c r="I1837" s="4">
        <v>44.82</v>
      </c>
      <c r="J1837" s="5">
        <v>0.1</v>
      </c>
      <c r="K1837" s="6">
        <v>0</v>
      </c>
      <c r="L1837" s="6">
        <v>4</v>
      </c>
      <c r="M1837" t="s">
        <v>58</v>
      </c>
      <c r="N1837" t="s">
        <v>69</v>
      </c>
      <c r="O1837" t="s">
        <v>64</v>
      </c>
      <c r="P1837" t="str">
        <f t="shared" si="196"/>
        <v>Individual</v>
      </c>
      <c r="Q1837" t="str">
        <f t="shared" si="197"/>
        <v>South</v>
      </c>
      <c r="R1837" t="str">
        <f>PROPER(TRIM(E1837))</f>
        <v>Electronics</v>
      </c>
      <c r="S1837" s="27">
        <f>IF(ISTEXT(B1837),DATEVALUE(B1837),B1837)</f>
        <v>45760</v>
      </c>
      <c r="T1837" s="27">
        <f>COUNTIF($A$2:$A$1986,A1837)</f>
        <v>1</v>
      </c>
      <c r="U1837" s="27" t="str">
        <f t="shared" si="198"/>
        <v>Portable Speaker</v>
      </c>
      <c r="V1837" s="27">
        <f t="shared" si="199"/>
        <v>67.959000000000003</v>
      </c>
      <c r="W1837" s="27">
        <f t="shared" si="200"/>
        <v>44.82</v>
      </c>
      <c r="X1837" s="27">
        <f>RawSalesTable3[[#This Row],[Revenue]]-RawSalesTable3[[#This Row],[Total_Cost]]</f>
        <v>23.139000000000003</v>
      </c>
      <c r="Y1837" s="28">
        <f>RawSalesTable3[[#This Row],[Profit]]/RawSalesTable3[[#This Row],[Revenue]]</f>
        <v>0.34048470401271358</v>
      </c>
      <c r="Z1837" s="27" t="str">
        <f>TEXT(RawSalesTable3[[#This Row],[Order_Date_Clean]],"MMM YYYY")</f>
        <v>Apr 2025</v>
      </c>
      <c r="AA1837" s="27"/>
      <c r="AB1837" s="27">
        <f t="shared" si="201"/>
        <v>0</v>
      </c>
      <c r="AC1837" s="27">
        <f t="shared" si="202"/>
        <v>0</v>
      </c>
    </row>
    <row r="1838" spans="1:29">
      <c r="A1838" t="s">
        <v>1951</v>
      </c>
      <c r="B1838" s="3">
        <v>46000</v>
      </c>
      <c r="C1838" t="s">
        <v>78</v>
      </c>
      <c r="D1838" t="s">
        <v>62</v>
      </c>
      <c r="E1838" t="s">
        <v>56</v>
      </c>
      <c r="F1838" t="s">
        <v>89</v>
      </c>
      <c r="G1838" s="6">
        <v>1</v>
      </c>
      <c r="H1838" s="4">
        <v>79.41</v>
      </c>
      <c r="I1838" s="4">
        <v>46.99</v>
      </c>
      <c r="J1838" s="5">
        <v>0.15000000000000002</v>
      </c>
      <c r="K1838" s="6">
        <v>4</v>
      </c>
      <c r="L1838" s="6">
        <v>5</v>
      </c>
      <c r="M1838" t="s">
        <v>58</v>
      </c>
      <c r="N1838" t="s">
        <v>59</v>
      </c>
      <c r="O1838" t="s">
        <v>60</v>
      </c>
      <c r="P1838" t="str">
        <f t="shared" si="196"/>
        <v>Individual</v>
      </c>
      <c r="Q1838" t="str">
        <f t="shared" si="197"/>
        <v>London</v>
      </c>
      <c r="R1838" t="str">
        <f>PROPER(TRIM(E1838))</f>
        <v>Home &amp; Kitchen</v>
      </c>
      <c r="S1838" s="27">
        <f>IF(ISTEXT(B1838),DATEVALUE(B1838),B1838)</f>
        <v>46000</v>
      </c>
      <c r="T1838" s="27">
        <f>COUNTIF($A$2:$A$1986,A1838)</f>
        <v>1</v>
      </c>
      <c r="U1838" s="27" t="str">
        <f t="shared" si="198"/>
        <v>Coffee Maker</v>
      </c>
      <c r="V1838" s="27">
        <f t="shared" si="199"/>
        <v>67.498499999999993</v>
      </c>
      <c r="W1838" s="27">
        <f t="shared" si="200"/>
        <v>46.99</v>
      </c>
      <c r="X1838" s="27">
        <f>RawSalesTable3[[#This Row],[Revenue]]-RawSalesTable3[[#This Row],[Total_Cost]]</f>
        <v>20.508499999999991</v>
      </c>
      <c r="Y1838" s="28">
        <f>RawSalesTable3[[#This Row],[Profit]]/RawSalesTable3[[#This Row],[Revenue]]</f>
        <v>0.30383638154921949</v>
      </c>
      <c r="Z1838" s="27" t="str">
        <f>TEXT(RawSalesTable3[[#This Row],[Order_Date_Clean]],"MMM YYYY")</f>
        <v>Dec 2025</v>
      </c>
      <c r="AA1838" s="27"/>
      <c r="AB1838" s="27">
        <f t="shared" si="201"/>
        <v>0</v>
      </c>
      <c r="AC1838" s="27">
        <f t="shared" si="202"/>
        <v>0</v>
      </c>
    </row>
    <row r="1839" spans="1:29">
      <c r="A1839" t="s">
        <v>1952</v>
      </c>
      <c r="B1839" s="3">
        <v>45901</v>
      </c>
      <c r="C1839" t="s">
        <v>78</v>
      </c>
      <c r="D1839" t="s">
        <v>62</v>
      </c>
      <c r="E1839" t="s">
        <v>75</v>
      </c>
      <c r="F1839" t="s">
        <v>97</v>
      </c>
      <c r="G1839" s="6">
        <v>1</v>
      </c>
      <c r="H1839" s="4">
        <v>89.26</v>
      </c>
      <c r="I1839" s="4">
        <v>55.87</v>
      </c>
      <c r="J1839" s="5">
        <v>0</v>
      </c>
      <c r="K1839" s="6">
        <v>5</v>
      </c>
      <c r="L1839" s="6">
        <v>5</v>
      </c>
      <c r="M1839" t="s">
        <v>58</v>
      </c>
      <c r="N1839" t="s">
        <v>59</v>
      </c>
      <c r="O1839" t="s">
        <v>64</v>
      </c>
      <c r="P1839" t="str">
        <f t="shared" si="196"/>
        <v>Individual</v>
      </c>
      <c r="Q1839" t="str">
        <f t="shared" si="197"/>
        <v>London</v>
      </c>
      <c r="R1839" t="str">
        <f>PROPER(TRIM(E1839))</f>
        <v>Furniture</v>
      </c>
      <c r="S1839" s="27">
        <f>IF(ISTEXT(B1839),DATEVALUE(B1839),B1839)</f>
        <v>45901</v>
      </c>
      <c r="T1839" s="27">
        <f>COUNTIF($A$2:$A$1986,A1839)</f>
        <v>1</v>
      </c>
      <c r="U1839" s="27" t="str">
        <f t="shared" si="198"/>
        <v>Side Table</v>
      </c>
      <c r="V1839" s="27">
        <f t="shared" si="199"/>
        <v>89.26</v>
      </c>
      <c r="W1839" s="27">
        <f t="shared" si="200"/>
        <v>55.87</v>
      </c>
      <c r="X1839" s="27">
        <f>RawSalesTable3[[#This Row],[Revenue]]-RawSalesTable3[[#This Row],[Total_Cost]]</f>
        <v>33.390000000000008</v>
      </c>
      <c r="Y1839" s="28">
        <f>RawSalesTable3[[#This Row],[Profit]]/RawSalesTable3[[#This Row],[Revenue]]</f>
        <v>0.37407573381133774</v>
      </c>
      <c r="Z1839" s="27" t="str">
        <f>TEXT(RawSalesTable3[[#This Row],[Order_Date_Clean]],"MMM YYYY")</f>
        <v>Sep 2025</v>
      </c>
      <c r="AA1839" s="27"/>
      <c r="AB1839" s="27">
        <f t="shared" si="201"/>
        <v>0</v>
      </c>
      <c r="AC1839" s="27">
        <f t="shared" si="202"/>
        <v>0</v>
      </c>
    </row>
    <row r="1840" spans="1:29">
      <c r="A1840" t="s">
        <v>1953</v>
      </c>
      <c r="B1840" s="3">
        <v>45943</v>
      </c>
      <c r="C1840" t="s">
        <v>78</v>
      </c>
      <c r="D1840" t="s">
        <v>55</v>
      </c>
      <c r="E1840" t="s">
        <v>75</v>
      </c>
      <c r="F1840" t="s">
        <v>110</v>
      </c>
      <c r="G1840" s="6">
        <v>3</v>
      </c>
      <c r="H1840" s="4">
        <v>164.31</v>
      </c>
      <c r="I1840" s="4">
        <v>104.69</v>
      </c>
      <c r="J1840" s="5">
        <v>0</v>
      </c>
      <c r="K1840" s="6">
        <v>6</v>
      </c>
      <c r="L1840" s="6">
        <v>4</v>
      </c>
      <c r="M1840" t="s">
        <v>58</v>
      </c>
      <c r="N1840" t="s">
        <v>59</v>
      </c>
      <c r="O1840" t="s">
        <v>60</v>
      </c>
      <c r="P1840" t="str">
        <f t="shared" si="196"/>
        <v>Small Business</v>
      </c>
      <c r="Q1840" t="str">
        <f t="shared" si="197"/>
        <v>London</v>
      </c>
      <c r="R1840" t="str">
        <f>PROPER(TRIM(E1840))</f>
        <v>Furniture</v>
      </c>
      <c r="S1840" s="27">
        <f>IF(ISTEXT(B1840),DATEVALUE(B1840),B1840)</f>
        <v>45943</v>
      </c>
      <c r="T1840" s="27">
        <f>COUNTIF($A$2:$A$1986,A1840)</f>
        <v>1</v>
      </c>
      <c r="U1840" s="27" t="str">
        <f t="shared" si="198"/>
        <v>Storage Cabinet</v>
      </c>
      <c r="V1840" s="27">
        <f t="shared" si="199"/>
        <v>492.93</v>
      </c>
      <c r="W1840" s="27">
        <f t="shared" si="200"/>
        <v>314.07</v>
      </c>
      <c r="X1840" s="27">
        <f>RawSalesTable3[[#This Row],[Revenue]]-RawSalesTable3[[#This Row],[Total_Cost]]</f>
        <v>178.86</v>
      </c>
      <c r="Y1840" s="28">
        <f>RawSalesTable3[[#This Row],[Profit]]/RawSalesTable3[[#This Row],[Revenue]]</f>
        <v>0.36285070902562233</v>
      </c>
      <c r="Z1840" s="27" t="str">
        <f>TEXT(RawSalesTable3[[#This Row],[Order_Date_Clean]],"MMM YYYY")</f>
        <v>Oct 2025</v>
      </c>
      <c r="AA1840" s="27"/>
      <c r="AB1840" s="27">
        <f t="shared" si="201"/>
        <v>0</v>
      </c>
      <c r="AC1840" s="27">
        <f t="shared" si="202"/>
        <v>0</v>
      </c>
    </row>
    <row r="1841" spans="1:29">
      <c r="A1841" t="s">
        <v>1954</v>
      </c>
      <c r="B1841" s="3">
        <v>45912</v>
      </c>
      <c r="C1841" t="s">
        <v>54</v>
      </c>
      <c r="D1841" t="s">
        <v>62</v>
      </c>
      <c r="E1841" t="s">
        <v>79</v>
      </c>
      <c r="F1841" t="s">
        <v>80</v>
      </c>
      <c r="G1841" s="6">
        <v>2</v>
      </c>
      <c r="H1841" s="4">
        <v>72.91</v>
      </c>
      <c r="I1841" s="4">
        <v>42.95</v>
      </c>
      <c r="J1841" s="5">
        <v>0.05</v>
      </c>
      <c r="K1841" s="6">
        <v>2</v>
      </c>
      <c r="L1841" s="6">
        <v>4</v>
      </c>
      <c r="M1841" t="s">
        <v>58</v>
      </c>
      <c r="N1841" t="s">
        <v>59</v>
      </c>
      <c r="O1841" t="s">
        <v>73</v>
      </c>
      <c r="P1841" t="str">
        <f t="shared" si="196"/>
        <v>Individual</v>
      </c>
      <c r="Q1841" t="str">
        <f t="shared" si="197"/>
        <v>North</v>
      </c>
      <c r="R1841" t="str">
        <f>PROPER(TRIM(E1841))</f>
        <v>Electronics</v>
      </c>
      <c r="S1841" s="27">
        <f>IF(ISTEXT(B1841),DATEVALUE(B1841),B1841)</f>
        <v>45912</v>
      </c>
      <c r="T1841" s="27">
        <f>COUNTIF($A$2:$A$1986,A1841)</f>
        <v>1</v>
      </c>
      <c r="U1841" s="27" t="str">
        <f t="shared" si="198"/>
        <v>Portable Speaker</v>
      </c>
      <c r="V1841" s="27">
        <f t="shared" si="199"/>
        <v>138.529</v>
      </c>
      <c r="W1841" s="27">
        <f t="shared" si="200"/>
        <v>85.9</v>
      </c>
      <c r="X1841" s="27">
        <f>RawSalesTable3[[#This Row],[Revenue]]-RawSalesTable3[[#This Row],[Total_Cost]]</f>
        <v>52.628999999999991</v>
      </c>
      <c r="Y1841" s="28">
        <f>RawSalesTable3[[#This Row],[Profit]]/RawSalesTable3[[#This Row],[Revenue]]</f>
        <v>0.37991323116459363</v>
      </c>
      <c r="Z1841" s="27" t="str">
        <f>TEXT(RawSalesTable3[[#This Row],[Order_Date_Clean]],"MMM YYYY")</f>
        <v>Sep 2025</v>
      </c>
      <c r="AA1841" s="27"/>
      <c r="AB1841" s="27">
        <f t="shared" si="201"/>
        <v>0</v>
      </c>
      <c r="AC1841" s="27">
        <f t="shared" si="202"/>
        <v>0</v>
      </c>
    </row>
    <row r="1842" spans="1:29">
      <c r="A1842" t="s">
        <v>1955</v>
      </c>
      <c r="B1842" s="3">
        <v>45740</v>
      </c>
      <c r="C1842" t="s">
        <v>54</v>
      </c>
      <c r="D1842" t="s">
        <v>62</v>
      </c>
      <c r="E1842" t="s">
        <v>67</v>
      </c>
      <c r="F1842" t="s">
        <v>71</v>
      </c>
      <c r="G1842" s="6">
        <v>2</v>
      </c>
      <c r="H1842" s="4">
        <v>69.209999999999994</v>
      </c>
      <c r="I1842" s="4">
        <v>38.01</v>
      </c>
      <c r="J1842" s="5">
        <v>0.05</v>
      </c>
      <c r="K1842" s="6">
        <v>3</v>
      </c>
      <c r="L1842" s="6">
        <v>4</v>
      </c>
      <c r="M1842" t="s">
        <v>58</v>
      </c>
      <c r="N1842" t="s">
        <v>59</v>
      </c>
      <c r="O1842" t="s">
        <v>64</v>
      </c>
      <c r="P1842" t="str">
        <f t="shared" si="196"/>
        <v>Individual</v>
      </c>
      <c r="Q1842" t="str">
        <f t="shared" si="197"/>
        <v>North</v>
      </c>
      <c r="R1842" t="str">
        <f>PROPER(TRIM(E1842))</f>
        <v>Office</v>
      </c>
      <c r="S1842" s="27">
        <f>IF(ISTEXT(B1842),DATEVALUE(B1842),B1842)</f>
        <v>45740</v>
      </c>
      <c r="T1842" s="27">
        <f>COUNTIF($A$2:$A$1986,A1842)</f>
        <v>1</v>
      </c>
      <c r="U1842" s="27" t="str">
        <f t="shared" si="198"/>
        <v>Ergonomic Keyboard</v>
      </c>
      <c r="V1842" s="27">
        <f t="shared" si="199"/>
        <v>131.499</v>
      </c>
      <c r="W1842" s="27">
        <f t="shared" si="200"/>
        <v>76.02</v>
      </c>
      <c r="X1842" s="27">
        <f>RawSalesTable3[[#This Row],[Revenue]]-RawSalesTable3[[#This Row],[Total_Cost]]</f>
        <v>55.478999999999999</v>
      </c>
      <c r="Y1842" s="28">
        <f>RawSalesTable3[[#This Row],[Profit]]/RawSalesTable3[[#This Row],[Revenue]]</f>
        <v>0.42189674446193509</v>
      </c>
      <c r="Z1842" s="27" t="str">
        <f>TEXT(RawSalesTable3[[#This Row],[Order_Date_Clean]],"MMM YYYY")</f>
        <v>Mar 2025</v>
      </c>
      <c r="AA1842" s="27"/>
      <c r="AB1842" s="27">
        <f t="shared" si="201"/>
        <v>0</v>
      </c>
      <c r="AC1842" s="27">
        <f t="shared" si="202"/>
        <v>0</v>
      </c>
    </row>
    <row r="1843" spans="1:29">
      <c r="A1843" t="s">
        <v>1956</v>
      </c>
      <c r="B1843" s="3">
        <v>46015</v>
      </c>
      <c r="C1843" t="s">
        <v>78</v>
      </c>
      <c r="D1843" t="s">
        <v>62</v>
      </c>
      <c r="E1843" t="s">
        <v>79</v>
      </c>
      <c r="F1843" t="s">
        <v>92</v>
      </c>
      <c r="G1843" s="6">
        <v>1</v>
      </c>
      <c r="H1843" s="4">
        <v>48.9</v>
      </c>
      <c r="I1843" s="4">
        <v>26.27</v>
      </c>
      <c r="J1843" s="5">
        <v>0.05</v>
      </c>
      <c r="K1843" s="6">
        <v>6</v>
      </c>
      <c r="L1843" s="6">
        <v>3</v>
      </c>
      <c r="M1843" t="s">
        <v>58</v>
      </c>
      <c r="N1843" t="s">
        <v>59</v>
      </c>
      <c r="O1843" t="s">
        <v>64</v>
      </c>
      <c r="P1843" t="str">
        <f t="shared" si="196"/>
        <v>Individual</v>
      </c>
      <c r="Q1843" t="str">
        <f t="shared" si="197"/>
        <v>London</v>
      </c>
      <c r="R1843" t="str">
        <f>PROPER(TRIM(E1843))</f>
        <v>Electronics</v>
      </c>
      <c r="S1843" s="27">
        <f>IF(ISTEXT(B1843),DATEVALUE(B1843),B1843)</f>
        <v>46015</v>
      </c>
      <c r="T1843" s="27">
        <f>COUNTIF($A$2:$A$1986,A1843)</f>
        <v>1</v>
      </c>
      <c r="U1843" s="27" t="str">
        <f t="shared" si="198"/>
        <v>Webcam</v>
      </c>
      <c r="V1843" s="27">
        <f t="shared" si="199"/>
        <v>46.454999999999998</v>
      </c>
      <c r="W1843" s="27">
        <f t="shared" si="200"/>
        <v>26.27</v>
      </c>
      <c r="X1843" s="27">
        <f>RawSalesTable3[[#This Row],[Revenue]]-RawSalesTable3[[#This Row],[Total_Cost]]</f>
        <v>20.184999999999999</v>
      </c>
      <c r="Y1843" s="28">
        <f>RawSalesTable3[[#This Row],[Profit]]/RawSalesTable3[[#This Row],[Revenue]]</f>
        <v>0.43450651167796789</v>
      </c>
      <c r="Z1843" s="27" t="str">
        <f>TEXT(RawSalesTable3[[#This Row],[Order_Date_Clean]],"MMM YYYY")</f>
        <v>Dec 2025</v>
      </c>
      <c r="AA1843" s="27"/>
      <c r="AB1843" s="27">
        <f t="shared" si="201"/>
        <v>0</v>
      </c>
      <c r="AC1843" s="27">
        <f t="shared" si="202"/>
        <v>0</v>
      </c>
    </row>
    <row r="1844" spans="1:29">
      <c r="A1844" t="s">
        <v>1957</v>
      </c>
      <c r="B1844" s="3">
        <v>46021</v>
      </c>
      <c r="C1844" t="s">
        <v>54</v>
      </c>
      <c r="D1844" t="s">
        <v>62</v>
      </c>
      <c r="E1844" t="s">
        <v>56</v>
      </c>
      <c r="F1844" t="s">
        <v>63</v>
      </c>
      <c r="G1844" s="6">
        <v>1</v>
      </c>
      <c r="H1844" s="4">
        <v>40.36</v>
      </c>
      <c r="I1844" s="4">
        <v>20.09</v>
      </c>
      <c r="J1844" s="5">
        <v>0.15000000000000002</v>
      </c>
      <c r="K1844" s="6">
        <v>2</v>
      </c>
      <c r="L1844" s="6">
        <v>5</v>
      </c>
      <c r="M1844" t="s">
        <v>58</v>
      </c>
      <c r="N1844" t="s">
        <v>69</v>
      </c>
      <c r="O1844" t="s">
        <v>73</v>
      </c>
      <c r="P1844" t="str">
        <f t="shared" si="196"/>
        <v>Individual</v>
      </c>
      <c r="Q1844" t="str">
        <f t="shared" si="197"/>
        <v>North</v>
      </c>
      <c r="R1844" t="str">
        <f>PROPER(TRIM(E1844))</f>
        <v>Home &amp; Kitchen</v>
      </c>
      <c r="S1844" s="27">
        <f>IF(ISTEXT(B1844),DATEVALUE(B1844),B1844)</f>
        <v>46021</v>
      </c>
      <c r="T1844" s="27">
        <f>COUNTIF($A$2:$A$1986,A1844)</f>
        <v>1</v>
      </c>
      <c r="U1844" s="27" t="str">
        <f t="shared" si="198"/>
        <v>Electric Kettle</v>
      </c>
      <c r="V1844" s="27">
        <f t="shared" si="199"/>
        <v>34.305999999999997</v>
      </c>
      <c r="W1844" s="27">
        <f t="shared" si="200"/>
        <v>20.09</v>
      </c>
      <c r="X1844" s="27">
        <f>RawSalesTable3[[#This Row],[Revenue]]-RawSalesTable3[[#This Row],[Total_Cost]]</f>
        <v>14.215999999999998</v>
      </c>
      <c r="Y1844" s="28">
        <f>RawSalesTable3[[#This Row],[Profit]]/RawSalesTable3[[#This Row],[Revenue]]</f>
        <v>0.41438815367574183</v>
      </c>
      <c r="Z1844" s="27" t="str">
        <f>TEXT(RawSalesTable3[[#This Row],[Order_Date_Clean]],"MMM YYYY")</f>
        <v>Dec 2025</v>
      </c>
      <c r="AA1844" s="27"/>
      <c r="AB1844" s="27">
        <f t="shared" si="201"/>
        <v>0</v>
      </c>
      <c r="AC1844" s="27">
        <f t="shared" si="202"/>
        <v>0</v>
      </c>
    </row>
    <row r="1845" spans="1:29">
      <c r="A1845" t="s">
        <v>1958</v>
      </c>
      <c r="B1845" s="3">
        <v>45916</v>
      </c>
      <c r="C1845" t="s">
        <v>78</v>
      </c>
      <c r="D1845" t="s">
        <v>62</v>
      </c>
      <c r="E1845" t="s">
        <v>56</v>
      </c>
      <c r="F1845" t="s">
        <v>63</v>
      </c>
      <c r="G1845" s="6">
        <v>1</v>
      </c>
      <c r="H1845" s="4">
        <v>39.35</v>
      </c>
      <c r="I1845" s="4">
        <v>19.489999999999998</v>
      </c>
      <c r="J1845" s="5">
        <v>0.1</v>
      </c>
      <c r="K1845" s="6">
        <v>1</v>
      </c>
      <c r="L1845" s="6">
        <v>4</v>
      </c>
      <c r="M1845" t="s">
        <v>58</v>
      </c>
      <c r="N1845" t="s">
        <v>69</v>
      </c>
      <c r="O1845" t="s">
        <v>64</v>
      </c>
      <c r="P1845" t="str">
        <f t="shared" si="196"/>
        <v>Individual</v>
      </c>
      <c r="Q1845" t="str">
        <f t="shared" si="197"/>
        <v>London</v>
      </c>
      <c r="R1845" t="str">
        <f>PROPER(TRIM(E1845))</f>
        <v>Home &amp; Kitchen</v>
      </c>
      <c r="S1845" s="27">
        <f>IF(ISTEXT(B1845),DATEVALUE(B1845),B1845)</f>
        <v>45916</v>
      </c>
      <c r="T1845" s="27">
        <f>COUNTIF($A$2:$A$1986,A1845)</f>
        <v>1</v>
      </c>
      <c r="U1845" s="27" t="str">
        <f t="shared" si="198"/>
        <v>Electric Kettle</v>
      </c>
      <c r="V1845" s="27">
        <f t="shared" si="199"/>
        <v>35.414999999999999</v>
      </c>
      <c r="W1845" s="27">
        <f t="shared" si="200"/>
        <v>19.489999999999998</v>
      </c>
      <c r="X1845" s="27">
        <f>RawSalesTable3[[#This Row],[Revenue]]-RawSalesTable3[[#This Row],[Total_Cost]]</f>
        <v>15.925000000000001</v>
      </c>
      <c r="Y1845" s="28">
        <f>RawSalesTable3[[#This Row],[Profit]]/RawSalesTable3[[#This Row],[Revenue]]</f>
        <v>0.44966821968092618</v>
      </c>
      <c r="Z1845" s="27" t="str">
        <f>TEXT(RawSalesTable3[[#This Row],[Order_Date_Clean]],"MMM YYYY")</f>
        <v>Sep 2025</v>
      </c>
      <c r="AA1845" s="27"/>
      <c r="AB1845" s="27">
        <f t="shared" si="201"/>
        <v>0</v>
      </c>
      <c r="AC1845" s="27">
        <f t="shared" si="202"/>
        <v>0</v>
      </c>
    </row>
    <row r="1846" spans="1:29">
      <c r="A1846" t="s">
        <v>1959</v>
      </c>
      <c r="B1846" s="3">
        <v>45666</v>
      </c>
      <c r="C1846" t="s">
        <v>54</v>
      </c>
      <c r="D1846" t="s">
        <v>55</v>
      </c>
      <c r="E1846" t="s">
        <v>67</v>
      </c>
      <c r="F1846" t="s">
        <v>68</v>
      </c>
      <c r="G1846" s="6">
        <v>4</v>
      </c>
      <c r="H1846" s="4">
        <v>40.39</v>
      </c>
      <c r="I1846" s="4">
        <v>19.309999999999999</v>
      </c>
      <c r="J1846" s="5">
        <v>0</v>
      </c>
      <c r="K1846" s="6">
        <v>5</v>
      </c>
      <c r="L1846" s="6">
        <v>5</v>
      </c>
      <c r="M1846" t="s">
        <v>58</v>
      </c>
      <c r="N1846" t="s">
        <v>59</v>
      </c>
      <c r="O1846" t="s">
        <v>60</v>
      </c>
      <c r="P1846" t="str">
        <f t="shared" si="196"/>
        <v>Small Business</v>
      </c>
      <c r="Q1846" t="str">
        <f t="shared" si="197"/>
        <v>North</v>
      </c>
      <c r="R1846" t="str">
        <f>PROPER(TRIM(E1846))</f>
        <v>Office</v>
      </c>
      <c r="S1846" s="27">
        <f>IF(ISTEXT(B1846),DATEVALUE(B1846),B1846)</f>
        <v>45666</v>
      </c>
      <c r="T1846" s="27">
        <f>COUNTIF($A$2:$A$1986,A1846)</f>
        <v>1</v>
      </c>
      <c r="U1846" s="27" t="str">
        <f t="shared" si="198"/>
        <v>Desk Lamp</v>
      </c>
      <c r="V1846" s="27">
        <f t="shared" si="199"/>
        <v>161.56</v>
      </c>
      <c r="W1846" s="27">
        <f t="shared" si="200"/>
        <v>77.239999999999995</v>
      </c>
      <c r="X1846" s="27">
        <f>RawSalesTable3[[#This Row],[Revenue]]-RawSalesTable3[[#This Row],[Total_Cost]]</f>
        <v>84.320000000000007</v>
      </c>
      <c r="Y1846" s="28">
        <f>RawSalesTable3[[#This Row],[Profit]]/RawSalesTable3[[#This Row],[Revenue]]</f>
        <v>0.52191136419905926</v>
      </c>
      <c r="Z1846" s="27" t="str">
        <f>TEXT(RawSalesTable3[[#This Row],[Order_Date_Clean]],"MMM YYYY")</f>
        <v>Jan 2025</v>
      </c>
      <c r="AA1846" s="27"/>
      <c r="AB1846" s="27">
        <f t="shared" si="201"/>
        <v>0</v>
      </c>
      <c r="AC1846" s="27">
        <f t="shared" si="202"/>
        <v>0</v>
      </c>
    </row>
    <row r="1847" spans="1:29">
      <c r="A1847" t="s">
        <v>1960</v>
      </c>
      <c r="B1847" s="3">
        <v>45702</v>
      </c>
      <c r="C1847" t="s">
        <v>66</v>
      </c>
      <c r="D1847" t="s">
        <v>55</v>
      </c>
      <c r="E1847" t="s">
        <v>56</v>
      </c>
      <c r="F1847" t="s">
        <v>57</v>
      </c>
      <c r="G1847" s="6">
        <v>2</v>
      </c>
      <c r="H1847" s="4">
        <v>110.45</v>
      </c>
      <c r="I1847" s="4">
        <v>69.25</v>
      </c>
      <c r="J1847" s="5">
        <v>0</v>
      </c>
      <c r="K1847" s="6">
        <v>6</v>
      </c>
      <c r="L1847" s="6">
        <v>4</v>
      </c>
      <c r="M1847" t="s">
        <v>58</v>
      </c>
      <c r="N1847" t="s">
        <v>87</v>
      </c>
      <c r="O1847" t="s">
        <v>64</v>
      </c>
      <c r="P1847" t="str">
        <f t="shared" si="196"/>
        <v>Small Business</v>
      </c>
      <c r="Q1847" t="str">
        <f t="shared" si="197"/>
        <v>South</v>
      </c>
      <c r="R1847" t="str">
        <f>PROPER(TRIM(E1847))</f>
        <v>Home &amp; Kitchen</v>
      </c>
      <c r="S1847" s="27">
        <f>IF(ISTEXT(B1847),DATEVALUE(B1847),B1847)</f>
        <v>45702</v>
      </c>
      <c r="T1847" s="27">
        <f>COUNTIF($A$2:$A$1986,A1847)</f>
        <v>1</v>
      </c>
      <c r="U1847" s="27" t="str">
        <f t="shared" si="198"/>
        <v>Air Fryer</v>
      </c>
      <c r="V1847" s="27">
        <f t="shared" si="199"/>
        <v>220.9</v>
      </c>
      <c r="W1847" s="27">
        <f t="shared" si="200"/>
        <v>138.5</v>
      </c>
      <c r="X1847" s="27">
        <f>RawSalesTable3[[#This Row],[Revenue]]-RawSalesTable3[[#This Row],[Total_Cost]]</f>
        <v>82.4</v>
      </c>
      <c r="Y1847" s="28">
        <f>RawSalesTable3[[#This Row],[Profit]]/RawSalesTable3[[#This Row],[Revenue]]</f>
        <v>0.37301946582163875</v>
      </c>
      <c r="Z1847" s="27" t="str">
        <f>TEXT(RawSalesTable3[[#This Row],[Order_Date_Clean]],"MMM YYYY")</f>
        <v>Feb 2025</v>
      </c>
      <c r="AA1847" s="27"/>
      <c r="AB1847" s="27">
        <f t="shared" si="201"/>
        <v>0</v>
      </c>
      <c r="AC1847" s="27">
        <f t="shared" si="202"/>
        <v>0</v>
      </c>
    </row>
    <row r="1848" spans="1:29">
      <c r="A1848" t="s">
        <v>1961</v>
      </c>
      <c r="B1848" s="3">
        <v>45864</v>
      </c>
      <c r="C1848" t="s">
        <v>78</v>
      </c>
      <c r="D1848" t="s">
        <v>62</v>
      </c>
      <c r="E1848" t="s">
        <v>75</v>
      </c>
      <c r="F1848" t="s">
        <v>76</v>
      </c>
      <c r="G1848" s="6">
        <v>1</v>
      </c>
      <c r="H1848" s="4">
        <v>124.01</v>
      </c>
      <c r="I1848" s="4">
        <v>70.760000000000005</v>
      </c>
      <c r="J1848" s="5">
        <v>0.1</v>
      </c>
      <c r="K1848" s="6">
        <v>6</v>
      </c>
      <c r="L1848" s="6">
        <v>4</v>
      </c>
      <c r="M1848" t="s">
        <v>58</v>
      </c>
      <c r="N1848" t="s">
        <v>59</v>
      </c>
      <c r="O1848" t="s">
        <v>64</v>
      </c>
      <c r="P1848" t="str">
        <f t="shared" si="196"/>
        <v>Individual</v>
      </c>
      <c r="Q1848" t="str">
        <f t="shared" si="197"/>
        <v>London</v>
      </c>
      <c r="R1848" t="str">
        <f>PROPER(TRIM(E1848))</f>
        <v>Furniture</v>
      </c>
      <c r="S1848" s="27">
        <f>IF(ISTEXT(B1848),DATEVALUE(B1848),B1848)</f>
        <v>45864</v>
      </c>
      <c r="T1848" s="27">
        <f>COUNTIF($A$2:$A$1986,A1848)</f>
        <v>1</v>
      </c>
      <c r="U1848" s="27" t="str">
        <f t="shared" si="198"/>
        <v>Bookshelf</v>
      </c>
      <c r="V1848" s="27">
        <f t="shared" si="199"/>
        <v>111.60900000000001</v>
      </c>
      <c r="W1848" s="27">
        <f t="shared" si="200"/>
        <v>70.760000000000005</v>
      </c>
      <c r="X1848" s="27">
        <f>RawSalesTable3[[#This Row],[Revenue]]-RawSalesTable3[[#This Row],[Total_Cost]]</f>
        <v>40.849000000000004</v>
      </c>
      <c r="Y1848" s="28">
        <f>RawSalesTable3[[#This Row],[Profit]]/RawSalesTable3[[#This Row],[Revenue]]</f>
        <v>0.36600094974419628</v>
      </c>
      <c r="Z1848" s="27" t="str">
        <f>TEXT(RawSalesTable3[[#This Row],[Order_Date_Clean]],"MMM YYYY")</f>
        <v>Jul 2025</v>
      </c>
      <c r="AA1848" s="27"/>
      <c r="AB1848" s="27">
        <f t="shared" si="201"/>
        <v>0</v>
      </c>
      <c r="AC1848" s="27">
        <f t="shared" si="202"/>
        <v>0</v>
      </c>
    </row>
    <row r="1849" spans="1:29">
      <c r="A1849" t="s">
        <v>1962</v>
      </c>
      <c r="B1849" s="3">
        <v>45870</v>
      </c>
      <c r="C1849" t="s">
        <v>54</v>
      </c>
      <c r="D1849" t="s">
        <v>55</v>
      </c>
      <c r="E1849" t="s">
        <v>67</v>
      </c>
      <c r="F1849" t="s">
        <v>68</v>
      </c>
      <c r="G1849" s="6">
        <v>3</v>
      </c>
      <c r="H1849" s="4">
        <v>39.85</v>
      </c>
      <c r="I1849" s="4">
        <v>19.25</v>
      </c>
      <c r="J1849" s="5">
        <v>0</v>
      </c>
      <c r="K1849" s="6">
        <v>2</v>
      </c>
      <c r="L1849" s="6">
        <v>4</v>
      </c>
      <c r="M1849" t="s">
        <v>58</v>
      </c>
      <c r="N1849" t="s">
        <v>59</v>
      </c>
      <c r="O1849" t="s">
        <v>64</v>
      </c>
      <c r="P1849" t="str">
        <f t="shared" si="196"/>
        <v>Small Business</v>
      </c>
      <c r="Q1849" t="str">
        <f t="shared" si="197"/>
        <v>North</v>
      </c>
      <c r="R1849" t="str">
        <f>PROPER(TRIM(E1849))</f>
        <v>Office</v>
      </c>
      <c r="S1849" s="27">
        <f>IF(ISTEXT(B1849),DATEVALUE(B1849),B1849)</f>
        <v>45870</v>
      </c>
      <c r="T1849" s="27">
        <f>COUNTIF($A$2:$A$1986,A1849)</f>
        <v>1</v>
      </c>
      <c r="U1849" s="27" t="str">
        <f t="shared" si="198"/>
        <v>Desk Lamp</v>
      </c>
      <c r="V1849" s="27">
        <f t="shared" si="199"/>
        <v>119.55000000000001</v>
      </c>
      <c r="W1849" s="27">
        <f t="shared" si="200"/>
        <v>57.75</v>
      </c>
      <c r="X1849" s="27">
        <f>RawSalesTable3[[#This Row],[Revenue]]-RawSalesTable3[[#This Row],[Total_Cost]]</f>
        <v>61.800000000000011</v>
      </c>
      <c r="Y1849" s="28">
        <f>RawSalesTable3[[#This Row],[Profit]]/RawSalesTable3[[#This Row],[Revenue]]</f>
        <v>0.51693851944792979</v>
      </c>
      <c r="Z1849" s="27" t="str">
        <f>TEXT(RawSalesTable3[[#This Row],[Order_Date_Clean]],"MMM YYYY")</f>
        <v>Aug 2025</v>
      </c>
      <c r="AA1849" s="27"/>
      <c r="AB1849" s="27">
        <f t="shared" si="201"/>
        <v>0</v>
      </c>
      <c r="AC1849" s="27">
        <f t="shared" si="202"/>
        <v>0</v>
      </c>
    </row>
    <row r="1850" spans="1:29">
      <c r="A1850" t="s">
        <v>1963</v>
      </c>
      <c r="B1850" s="3">
        <v>45920</v>
      </c>
      <c r="C1850" t="s">
        <v>54</v>
      </c>
      <c r="D1850" t="s">
        <v>55</v>
      </c>
      <c r="E1850" t="s">
        <v>79</v>
      </c>
      <c r="F1850" t="s">
        <v>115</v>
      </c>
      <c r="G1850" s="6">
        <v>5</v>
      </c>
      <c r="H1850" s="4">
        <v>59.26</v>
      </c>
      <c r="I1850" s="4">
        <v>34.799999999999997</v>
      </c>
      <c r="J1850" s="5">
        <v>0.1</v>
      </c>
      <c r="K1850" s="6">
        <v>0</v>
      </c>
      <c r="L1850" s="6"/>
      <c r="M1850" t="s">
        <v>58</v>
      </c>
      <c r="N1850" t="s">
        <v>69</v>
      </c>
      <c r="O1850" t="s">
        <v>64</v>
      </c>
      <c r="P1850" t="str">
        <f t="shared" si="196"/>
        <v>Small Business</v>
      </c>
      <c r="Q1850" t="str">
        <f t="shared" si="197"/>
        <v>North</v>
      </c>
      <c r="R1850" t="str">
        <f>PROPER(TRIM(E1850))</f>
        <v>Electronics</v>
      </c>
      <c r="S1850" s="27">
        <f>IF(ISTEXT(B1850),DATEVALUE(B1850),B1850)</f>
        <v>45920</v>
      </c>
      <c r="T1850" s="27">
        <f>COUNTIF($A$2:$A$1986,A1850)</f>
        <v>1</v>
      </c>
      <c r="U1850" s="27" t="str">
        <f t="shared" si="198"/>
        <v>Wireless Headset</v>
      </c>
      <c r="V1850" s="27">
        <f t="shared" si="199"/>
        <v>266.67</v>
      </c>
      <c r="W1850" s="27">
        <f t="shared" si="200"/>
        <v>174</v>
      </c>
      <c r="X1850" s="27">
        <f>RawSalesTable3[[#This Row],[Revenue]]-RawSalesTable3[[#This Row],[Total_Cost]]</f>
        <v>92.670000000000016</v>
      </c>
      <c r="Y1850" s="28">
        <f>RawSalesTable3[[#This Row],[Profit]]/RawSalesTable3[[#This Row],[Revenue]]</f>
        <v>0.3475081561480482</v>
      </c>
      <c r="Z1850" s="27" t="str">
        <f>TEXT(RawSalesTable3[[#This Row],[Order_Date_Clean]],"MMM YYYY")</f>
        <v>Sep 2025</v>
      </c>
      <c r="AA1850" s="27"/>
      <c r="AB1850" s="27">
        <f t="shared" si="201"/>
        <v>0</v>
      </c>
      <c r="AC1850" s="27">
        <f t="shared" si="202"/>
        <v>0</v>
      </c>
    </row>
    <row r="1851" spans="1:29">
      <c r="A1851" t="s">
        <v>1964</v>
      </c>
      <c r="B1851" s="3">
        <v>45665</v>
      </c>
      <c r="C1851" t="s">
        <v>82</v>
      </c>
      <c r="D1851" t="s">
        <v>62</v>
      </c>
      <c r="E1851" t="s">
        <v>56</v>
      </c>
      <c r="F1851" t="s">
        <v>63</v>
      </c>
      <c r="G1851" s="6">
        <v>1</v>
      </c>
      <c r="H1851" s="4">
        <v>40.56</v>
      </c>
      <c r="I1851" s="4">
        <v>20.85</v>
      </c>
      <c r="J1851" s="5">
        <v>0.05</v>
      </c>
      <c r="K1851" s="6">
        <v>5</v>
      </c>
      <c r="L1851" s="6">
        <v>4</v>
      </c>
      <c r="M1851" t="s">
        <v>58</v>
      </c>
      <c r="N1851" t="s">
        <v>87</v>
      </c>
      <c r="O1851" t="s">
        <v>64</v>
      </c>
      <c r="P1851" t="str">
        <f t="shared" si="196"/>
        <v>Individual</v>
      </c>
      <c r="Q1851" t="str">
        <f t="shared" si="197"/>
        <v>Midlands</v>
      </c>
      <c r="R1851" t="str">
        <f>PROPER(TRIM(E1851))</f>
        <v>Home &amp; Kitchen</v>
      </c>
      <c r="S1851" s="27">
        <f>IF(ISTEXT(B1851),DATEVALUE(B1851),B1851)</f>
        <v>45665</v>
      </c>
      <c r="T1851" s="27">
        <f>COUNTIF($A$2:$A$1986,A1851)</f>
        <v>1</v>
      </c>
      <c r="U1851" s="27" t="str">
        <f t="shared" si="198"/>
        <v>Electric Kettle</v>
      </c>
      <c r="V1851" s="27">
        <f t="shared" si="199"/>
        <v>38.532000000000004</v>
      </c>
      <c r="W1851" s="27">
        <f t="shared" si="200"/>
        <v>20.85</v>
      </c>
      <c r="X1851" s="27">
        <f>RawSalesTable3[[#This Row],[Revenue]]-RawSalesTable3[[#This Row],[Total_Cost]]</f>
        <v>17.682000000000002</v>
      </c>
      <c r="Y1851" s="28">
        <f>RawSalesTable3[[#This Row],[Profit]]/RawSalesTable3[[#This Row],[Revenue]]</f>
        <v>0.45889131111803177</v>
      </c>
      <c r="Z1851" s="27" t="str">
        <f>TEXT(RawSalesTable3[[#This Row],[Order_Date_Clean]],"MMM YYYY")</f>
        <v>Jan 2025</v>
      </c>
      <c r="AA1851" s="27"/>
      <c r="AB1851" s="27">
        <f t="shared" si="201"/>
        <v>0</v>
      </c>
      <c r="AC1851" s="27">
        <f t="shared" si="202"/>
        <v>0</v>
      </c>
    </row>
    <row r="1852" spans="1:29">
      <c r="A1852" t="s">
        <v>1965</v>
      </c>
      <c r="B1852" s="3">
        <v>45790</v>
      </c>
      <c r="C1852" t="s">
        <v>66</v>
      </c>
      <c r="D1852" t="s">
        <v>55</v>
      </c>
      <c r="E1852" t="s">
        <v>75</v>
      </c>
      <c r="F1852" t="s">
        <v>146</v>
      </c>
      <c r="G1852" s="6">
        <v>3</v>
      </c>
      <c r="H1852" s="4">
        <v>175.64</v>
      </c>
      <c r="I1852" s="4">
        <v>117.07</v>
      </c>
      <c r="J1852" s="5">
        <v>0.15000000000000002</v>
      </c>
      <c r="K1852" s="6">
        <v>6</v>
      </c>
      <c r="L1852" s="6">
        <v>4</v>
      </c>
      <c r="M1852" t="s">
        <v>58</v>
      </c>
      <c r="N1852" t="s">
        <v>59</v>
      </c>
      <c r="O1852" t="s">
        <v>73</v>
      </c>
      <c r="P1852" t="str">
        <f t="shared" si="196"/>
        <v>Small Business</v>
      </c>
      <c r="Q1852" t="str">
        <f t="shared" si="197"/>
        <v>South</v>
      </c>
      <c r="R1852" t="str">
        <f>PROPER(TRIM(E1852))</f>
        <v>Furniture</v>
      </c>
      <c r="S1852" s="27">
        <f>IF(ISTEXT(B1852),DATEVALUE(B1852),B1852)</f>
        <v>45790</v>
      </c>
      <c r="T1852" s="27">
        <f>COUNTIF($A$2:$A$1986,A1852)</f>
        <v>1</v>
      </c>
      <c r="U1852" s="27" t="str">
        <f t="shared" si="198"/>
        <v>Office Chair</v>
      </c>
      <c r="V1852" s="27">
        <f t="shared" si="199"/>
        <v>447.88199999999995</v>
      </c>
      <c r="W1852" s="27">
        <f t="shared" si="200"/>
        <v>351.21</v>
      </c>
      <c r="X1852" s="27">
        <f>RawSalesTable3[[#This Row],[Revenue]]-RawSalesTable3[[#This Row],[Total_Cost]]</f>
        <v>96.671999999999969</v>
      </c>
      <c r="Y1852" s="28">
        <f>RawSalesTable3[[#This Row],[Profit]]/RawSalesTable3[[#This Row],[Revenue]]</f>
        <v>0.21584256567578064</v>
      </c>
      <c r="Z1852" s="27" t="str">
        <f>TEXT(RawSalesTable3[[#This Row],[Order_Date_Clean]],"MMM YYYY")</f>
        <v>May 2025</v>
      </c>
      <c r="AA1852" s="27"/>
      <c r="AB1852" s="27">
        <f t="shared" si="201"/>
        <v>0</v>
      </c>
      <c r="AC1852" s="27">
        <f t="shared" si="202"/>
        <v>0</v>
      </c>
    </row>
    <row r="1853" spans="1:29">
      <c r="A1853" t="s">
        <v>1966</v>
      </c>
      <c r="B1853" s="3">
        <v>45903</v>
      </c>
      <c r="C1853" t="s">
        <v>66</v>
      </c>
      <c r="D1853" t="s">
        <v>55</v>
      </c>
      <c r="E1853" t="s">
        <v>79</v>
      </c>
      <c r="F1853" t="s">
        <v>92</v>
      </c>
      <c r="G1853" s="6">
        <v>1</v>
      </c>
      <c r="H1853" s="4">
        <v>51.33</v>
      </c>
      <c r="I1853" s="4">
        <v>26.54</v>
      </c>
      <c r="J1853" s="5">
        <v>0</v>
      </c>
      <c r="K1853" s="6">
        <v>5</v>
      </c>
      <c r="L1853" s="6">
        <v>5</v>
      </c>
      <c r="M1853" t="s">
        <v>58</v>
      </c>
      <c r="N1853" t="s">
        <v>59</v>
      </c>
      <c r="O1853" t="s">
        <v>60</v>
      </c>
      <c r="P1853" t="str">
        <f t="shared" si="196"/>
        <v>Small Business</v>
      </c>
      <c r="Q1853" t="str">
        <f t="shared" si="197"/>
        <v>South</v>
      </c>
      <c r="R1853" t="str">
        <f>PROPER(TRIM(E1853))</f>
        <v>Electronics</v>
      </c>
      <c r="S1853" s="27">
        <f>IF(ISTEXT(B1853),DATEVALUE(B1853),B1853)</f>
        <v>45903</v>
      </c>
      <c r="T1853" s="27">
        <f>COUNTIF($A$2:$A$1986,A1853)</f>
        <v>1</v>
      </c>
      <c r="U1853" s="27" t="str">
        <f t="shared" si="198"/>
        <v>Webcam</v>
      </c>
      <c r="V1853" s="27">
        <f t="shared" si="199"/>
        <v>51.33</v>
      </c>
      <c r="W1853" s="27">
        <f t="shared" si="200"/>
        <v>26.54</v>
      </c>
      <c r="X1853" s="27">
        <f>RawSalesTable3[[#This Row],[Revenue]]-RawSalesTable3[[#This Row],[Total_Cost]]</f>
        <v>24.79</v>
      </c>
      <c r="Y1853" s="28">
        <f>RawSalesTable3[[#This Row],[Profit]]/RawSalesTable3[[#This Row],[Revenue]]</f>
        <v>0.4829534385349698</v>
      </c>
      <c r="Z1853" s="27" t="str">
        <f>TEXT(RawSalesTable3[[#This Row],[Order_Date_Clean]],"MMM YYYY")</f>
        <v>Sep 2025</v>
      </c>
      <c r="AA1853" s="27"/>
      <c r="AB1853" s="27">
        <f t="shared" si="201"/>
        <v>0</v>
      </c>
      <c r="AC1853" s="27">
        <f t="shared" si="202"/>
        <v>0</v>
      </c>
    </row>
    <row r="1854" spans="1:29">
      <c r="A1854" t="s">
        <v>1967</v>
      </c>
      <c r="B1854" s="3">
        <v>46018</v>
      </c>
      <c r="C1854" t="s">
        <v>78</v>
      </c>
      <c r="D1854" t="s">
        <v>55</v>
      </c>
      <c r="E1854" t="s">
        <v>67</v>
      </c>
      <c r="F1854" t="s">
        <v>68</v>
      </c>
      <c r="G1854" s="6">
        <v>3</v>
      </c>
      <c r="H1854" s="4">
        <v>40.92</v>
      </c>
      <c r="I1854" s="4">
        <v>19.829999999999998</v>
      </c>
      <c r="J1854" s="5">
        <v>0.1</v>
      </c>
      <c r="K1854" s="6">
        <v>2</v>
      </c>
      <c r="L1854" s="6">
        <v>4</v>
      </c>
      <c r="M1854" t="s">
        <v>58</v>
      </c>
      <c r="N1854" t="s">
        <v>59</v>
      </c>
      <c r="O1854" t="s">
        <v>64</v>
      </c>
      <c r="P1854" t="str">
        <f t="shared" si="196"/>
        <v>Small Business</v>
      </c>
      <c r="Q1854" t="str">
        <f t="shared" si="197"/>
        <v>London</v>
      </c>
      <c r="R1854" t="str">
        <f>PROPER(TRIM(E1854))</f>
        <v>Office</v>
      </c>
      <c r="S1854" s="27">
        <f>IF(ISTEXT(B1854),DATEVALUE(B1854),B1854)</f>
        <v>46018</v>
      </c>
      <c r="T1854" s="27">
        <f>COUNTIF($A$2:$A$1986,A1854)</f>
        <v>1</v>
      </c>
      <c r="U1854" s="27" t="str">
        <f t="shared" si="198"/>
        <v>Desk Lamp</v>
      </c>
      <c r="V1854" s="27">
        <f t="shared" si="199"/>
        <v>110.48400000000001</v>
      </c>
      <c r="W1854" s="27">
        <f t="shared" si="200"/>
        <v>59.489999999999995</v>
      </c>
      <c r="X1854" s="27">
        <f>RawSalesTable3[[#This Row],[Revenue]]-RawSalesTable3[[#This Row],[Total_Cost]]</f>
        <v>50.994000000000014</v>
      </c>
      <c r="Y1854" s="28">
        <f>RawSalesTable3[[#This Row],[Profit]]/RawSalesTable3[[#This Row],[Revenue]]</f>
        <v>0.4615509938090584</v>
      </c>
      <c r="Z1854" s="27" t="str">
        <f>TEXT(RawSalesTable3[[#This Row],[Order_Date_Clean]],"MMM YYYY")</f>
        <v>Dec 2025</v>
      </c>
      <c r="AA1854" s="27"/>
      <c r="AB1854" s="27">
        <f t="shared" si="201"/>
        <v>0</v>
      </c>
      <c r="AC1854" s="27">
        <f t="shared" si="202"/>
        <v>0</v>
      </c>
    </row>
    <row r="1855" spans="1:29">
      <c r="A1855" t="s">
        <v>1968</v>
      </c>
      <c r="B1855" s="3">
        <v>45754</v>
      </c>
      <c r="C1855" t="s">
        <v>54</v>
      </c>
      <c r="D1855" t="s">
        <v>55</v>
      </c>
      <c r="E1855" t="s">
        <v>56</v>
      </c>
      <c r="F1855" t="s">
        <v>63</v>
      </c>
      <c r="G1855" s="6">
        <v>3</v>
      </c>
      <c r="H1855" s="4">
        <v>39.56</v>
      </c>
      <c r="I1855" s="4">
        <v>19.79</v>
      </c>
      <c r="J1855" s="5">
        <v>0.1</v>
      </c>
      <c r="K1855" s="6">
        <v>0</v>
      </c>
      <c r="L1855" s="6">
        <v>4</v>
      </c>
      <c r="M1855" t="s">
        <v>58</v>
      </c>
      <c r="N1855" t="s">
        <v>69</v>
      </c>
      <c r="O1855" t="s">
        <v>60</v>
      </c>
      <c r="P1855" t="str">
        <f t="shared" si="196"/>
        <v>Small Business</v>
      </c>
      <c r="Q1855" t="str">
        <f t="shared" si="197"/>
        <v>North</v>
      </c>
      <c r="R1855" t="str">
        <f>PROPER(TRIM(E1855))</f>
        <v>Home &amp; Kitchen</v>
      </c>
      <c r="S1855" s="27">
        <f>IF(ISTEXT(B1855),DATEVALUE(B1855),B1855)</f>
        <v>45754</v>
      </c>
      <c r="T1855" s="27">
        <f>COUNTIF($A$2:$A$1986,A1855)</f>
        <v>1</v>
      </c>
      <c r="U1855" s="27" t="str">
        <f t="shared" si="198"/>
        <v>Electric Kettle</v>
      </c>
      <c r="V1855" s="27">
        <f t="shared" si="199"/>
        <v>106.81200000000001</v>
      </c>
      <c r="W1855" s="27">
        <f t="shared" si="200"/>
        <v>59.37</v>
      </c>
      <c r="X1855" s="27">
        <f>RawSalesTable3[[#This Row],[Revenue]]-RawSalesTable3[[#This Row],[Total_Cost]]</f>
        <v>47.442000000000014</v>
      </c>
      <c r="Y1855" s="28">
        <f>RawSalesTable3[[#This Row],[Profit]]/RawSalesTable3[[#This Row],[Revenue]]</f>
        <v>0.44416357712616567</v>
      </c>
      <c r="Z1855" s="27" t="str">
        <f>TEXT(RawSalesTable3[[#This Row],[Order_Date_Clean]],"MMM YYYY")</f>
        <v>Apr 2025</v>
      </c>
      <c r="AA1855" s="27"/>
      <c r="AB1855" s="27">
        <f t="shared" si="201"/>
        <v>0</v>
      </c>
      <c r="AC1855" s="27">
        <f t="shared" si="202"/>
        <v>0</v>
      </c>
    </row>
    <row r="1856" spans="1:29">
      <c r="A1856" t="s">
        <v>1969</v>
      </c>
      <c r="B1856" s="3">
        <v>45994</v>
      </c>
      <c r="C1856" t="s">
        <v>66</v>
      </c>
      <c r="D1856" t="s">
        <v>55</v>
      </c>
      <c r="E1856" t="s">
        <v>75</v>
      </c>
      <c r="F1856" t="s">
        <v>110</v>
      </c>
      <c r="G1856" s="6">
        <v>1</v>
      </c>
      <c r="H1856" s="4">
        <v>157.9</v>
      </c>
      <c r="I1856" s="4">
        <v>104.11</v>
      </c>
      <c r="J1856" s="5">
        <v>0.1</v>
      </c>
      <c r="K1856" s="6">
        <v>7</v>
      </c>
      <c r="L1856" s="6">
        <v>3</v>
      </c>
      <c r="M1856" t="s">
        <v>58</v>
      </c>
      <c r="N1856" t="s">
        <v>59</v>
      </c>
      <c r="O1856" t="s">
        <v>64</v>
      </c>
      <c r="P1856" t="str">
        <f t="shared" si="196"/>
        <v>Small Business</v>
      </c>
      <c r="Q1856" t="str">
        <f t="shared" si="197"/>
        <v>South</v>
      </c>
      <c r="R1856" t="str">
        <f>PROPER(TRIM(E1856))</f>
        <v>Furniture</v>
      </c>
      <c r="S1856" s="27">
        <f>IF(ISTEXT(B1856),DATEVALUE(B1856),B1856)</f>
        <v>45994</v>
      </c>
      <c r="T1856" s="27">
        <f>COUNTIF($A$2:$A$1986,A1856)</f>
        <v>1</v>
      </c>
      <c r="U1856" s="27" t="str">
        <f t="shared" si="198"/>
        <v>Storage Cabinet</v>
      </c>
      <c r="V1856" s="27">
        <f t="shared" si="199"/>
        <v>142.11000000000001</v>
      </c>
      <c r="W1856" s="27">
        <f t="shared" si="200"/>
        <v>104.11</v>
      </c>
      <c r="X1856" s="27">
        <f>RawSalesTable3[[#This Row],[Revenue]]-RawSalesTable3[[#This Row],[Total_Cost]]</f>
        <v>38.000000000000014</v>
      </c>
      <c r="Y1856" s="28">
        <f>RawSalesTable3[[#This Row],[Profit]]/RawSalesTable3[[#This Row],[Revenue]]</f>
        <v>0.26739849412427003</v>
      </c>
      <c r="Z1856" s="27" t="str">
        <f>TEXT(RawSalesTable3[[#This Row],[Order_Date_Clean]],"MMM YYYY")</f>
        <v>Dec 2025</v>
      </c>
      <c r="AA1856" s="27"/>
      <c r="AB1856" s="27">
        <f t="shared" si="201"/>
        <v>0</v>
      </c>
      <c r="AC1856" s="27">
        <f t="shared" si="202"/>
        <v>0</v>
      </c>
    </row>
    <row r="1857" spans="1:29">
      <c r="A1857" t="s">
        <v>1970</v>
      </c>
      <c r="B1857" s="3">
        <v>45955</v>
      </c>
      <c r="C1857" t="s">
        <v>66</v>
      </c>
      <c r="D1857" t="s">
        <v>129</v>
      </c>
      <c r="E1857" t="s">
        <v>67</v>
      </c>
      <c r="F1857" t="s">
        <v>94</v>
      </c>
      <c r="G1857" s="6">
        <v>5</v>
      </c>
      <c r="H1857" s="4">
        <v>34.6</v>
      </c>
      <c r="I1857" s="4">
        <v>17.739999999999998</v>
      </c>
      <c r="J1857" s="5">
        <v>0.15000000000000002</v>
      </c>
      <c r="K1857" s="6">
        <v>5</v>
      </c>
      <c r="L1857" s="6">
        <v>4</v>
      </c>
      <c r="M1857" t="s">
        <v>58</v>
      </c>
      <c r="N1857" t="s">
        <v>87</v>
      </c>
      <c r="O1857" t="s">
        <v>60</v>
      </c>
      <c r="P1857" t="str">
        <f t="shared" si="196"/>
        <v>Corporate</v>
      </c>
      <c r="Q1857" t="str">
        <f t="shared" si="197"/>
        <v>South</v>
      </c>
      <c r="R1857" t="str">
        <f>PROPER(TRIM(E1857))</f>
        <v>Office</v>
      </c>
      <c r="S1857" s="27">
        <f>IF(ISTEXT(B1857),DATEVALUE(B1857),B1857)</f>
        <v>45955</v>
      </c>
      <c r="T1857" s="27">
        <f>COUNTIF($A$2:$A$1986,A1857)</f>
        <v>1</v>
      </c>
      <c r="U1857" s="27" t="str">
        <f t="shared" si="198"/>
        <v>Wireless Mouse</v>
      </c>
      <c r="V1857" s="27">
        <f t="shared" si="199"/>
        <v>147.04999999999998</v>
      </c>
      <c r="W1857" s="27">
        <f t="shared" si="200"/>
        <v>88.699999999999989</v>
      </c>
      <c r="X1857" s="27">
        <f>RawSalesTable3[[#This Row],[Revenue]]-RawSalesTable3[[#This Row],[Total_Cost]]</f>
        <v>58.349999999999994</v>
      </c>
      <c r="Y1857" s="28">
        <f>RawSalesTable3[[#This Row],[Profit]]/RawSalesTable3[[#This Row],[Revenue]]</f>
        <v>0.3968038082284937</v>
      </c>
      <c r="Z1857" s="27" t="str">
        <f>TEXT(RawSalesTable3[[#This Row],[Order_Date_Clean]],"MMM YYYY")</f>
        <v>Oct 2025</v>
      </c>
      <c r="AA1857" s="27"/>
      <c r="AB1857" s="27">
        <f t="shared" si="201"/>
        <v>0</v>
      </c>
      <c r="AC1857" s="27">
        <f t="shared" si="202"/>
        <v>0</v>
      </c>
    </row>
    <row r="1858" spans="1:29">
      <c r="A1858" t="s">
        <v>1971</v>
      </c>
      <c r="B1858" s="3">
        <v>46009</v>
      </c>
      <c r="C1858" t="s">
        <v>66</v>
      </c>
      <c r="D1858" t="s">
        <v>62</v>
      </c>
      <c r="E1858" t="s">
        <v>79</v>
      </c>
      <c r="F1858" t="s">
        <v>92</v>
      </c>
      <c r="G1858" s="6">
        <v>1</v>
      </c>
      <c r="H1858" s="4">
        <v>51.11</v>
      </c>
      <c r="I1858" s="4">
        <v>25.45</v>
      </c>
      <c r="J1858" s="5">
        <v>0.25</v>
      </c>
      <c r="K1858" s="6">
        <v>1</v>
      </c>
      <c r="L1858" s="6">
        <v>4</v>
      </c>
      <c r="M1858" t="s">
        <v>58</v>
      </c>
      <c r="N1858" t="s">
        <v>59</v>
      </c>
      <c r="O1858" t="s">
        <v>60</v>
      </c>
      <c r="P1858" t="str">
        <f t="shared" ref="P1858:P1921" si="203">IF(TRIM(D1858)="","Unknow",PROPER(TRIM(D1858)))</f>
        <v>Individual</v>
      </c>
      <c r="Q1858" t="str">
        <f t="shared" ref="Q1858:Q1921" si="204">IF(PROPER(TRIM(C1858))="Mid Lands","Midlands",PROPER(TRIM(C1858)))</f>
        <v>South</v>
      </c>
      <c r="R1858" t="str">
        <f>PROPER(TRIM(E1858))</f>
        <v>Electronics</v>
      </c>
      <c r="S1858" s="27">
        <f>IF(ISTEXT(B1858),DATEVALUE(B1858),B1858)</f>
        <v>46009</v>
      </c>
      <c r="T1858" s="27">
        <f>COUNTIF($A$2:$A$1986,A1858)</f>
        <v>1</v>
      </c>
      <c r="U1858" s="27" t="str">
        <f t="shared" ref="U1858:U1921" si="205">TRIM(F1858)</f>
        <v>Webcam</v>
      </c>
      <c r="V1858" s="27">
        <f t="shared" ref="V1858:V1921" si="206">G1858*H1858*(1-J1858)</f>
        <v>38.332499999999996</v>
      </c>
      <c r="W1858" s="27">
        <f t="shared" ref="W1858:W1921" si="207">G1858*I1858</f>
        <v>25.45</v>
      </c>
      <c r="X1858" s="27">
        <f>RawSalesTable3[[#This Row],[Revenue]]-RawSalesTable3[[#This Row],[Total_Cost]]</f>
        <v>12.882499999999997</v>
      </c>
      <c r="Y1858" s="28">
        <f>RawSalesTable3[[#This Row],[Profit]]/RawSalesTable3[[#This Row],[Revenue]]</f>
        <v>0.33607252331572418</v>
      </c>
      <c r="Z1858" s="27" t="str">
        <f>TEXT(RawSalesTable3[[#This Row],[Order_Date_Clean]],"MMM YYYY")</f>
        <v>Dec 2025</v>
      </c>
      <c r="AA1858" s="27"/>
      <c r="AB1858" s="27">
        <f t="shared" ref="AB1858:AB1921" si="208">SUMIF($Z:$Z,AA1858,$V:$V)</f>
        <v>0</v>
      </c>
      <c r="AC1858" s="27">
        <f t="shared" ref="AC1858:AC1921" si="209">SUMIF($Z:$Z,AA1858,$X:$X)</f>
        <v>0</v>
      </c>
    </row>
    <row r="1859" spans="1:29">
      <c r="A1859" t="s">
        <v>1972</v>
      </c>
      <c r="B1859" s="3">
        <v>45802</v>
      </c>
      <c r="C1859" t="s">
        <v>82</v>
      </c>
      <c r="D1859" t="s">
        <v>55</v>
      </c>
      <c r="E1859" t="s">
        <v>79</v>
      </c>
      <c r="F1859" t="s">
        <v>80</v>
      </c>
      <c r="G1859" s="6">
        <v>2</v>
      </c>
      <c r="H1859" s="4">
        <v>77.150000000000006</v>
      </c>
      <c r="I1859" s="4">
        <v>42.02</v>
      </c>
      <c r="J1859" s="5">
        <v>0</v>
      </c>
      <c r="K1859" s="6">
        <v>7</v>
      </c>
      <c r="L1859" s="6">
        <v>3</v>
      </c>
      <c r="M1859" t="s">
        <v>126</v>
      </c>
      <c r="N1859" t="s">
        <v>59</v>
      </c>
      <c r="O1859" t="s">
        <v>64</v>
      </c>
      <c r="P1859" t="str">
        <f t="shared" si="203"/>
        <v>Small Business</v>
      </c>
      <c r="Q1859" t="str">
        <f t="shared" si="204"/>
        <v>Midlands</v>
      </c>
      <c r="R1859" t="str">
        <f>PROPER(TRIM(E1859))</f>
        <v>Electronics</v>
      </c>
      <c r="S1859" s="27">
        <f>IF(ISTEXT(B1859),DATEVALUE(B1859),B1859)</f>
        <v>45802</v>
      </c>
      <c r="T1859" s="27">
        <f>COUNTIF($A$2:$A$1986,A1859)</f>
        <v>1</v>
      </c>
      <c r="U1859" s="27" t="str">
        <f t="shared" si="205"/>
        <v>Portable Speaker</v>
      </c>
      <c r="V1859" s="27">
        <f t="shared" si="206"/>
        <v>154.30000000000001</v>
      </c>
      <c r="W1859" s="27">
        <f t="shared" si="207"/>
        <v>84.04</v>
      </c>
      <c r="X1859" s="27">
        <f>RawSalesTable3[[#This Row],[Revenue]]-RawSalesTable3[[#This Row],[Total_Cost]]</f>
        <v>70.260000000000005</v>
      </c>
      <c r="Y1859" s="28">
        <f>RawSalesTable3[[#This Row],[Profit]]/RawSalesTable3[[#This Row],[Revenue]]</f>
        <v>0.45534672715489305</v>
      </c>
      <c r="Z1859" s="27" t="str">
        <f>TEXT(RawSalesTable3[[#This Row],[Order_Date_Clean]],"MMM YYYY")</f>
        <v>May 2025</v>
      </c>
      <c r="AA1859" s="27"/>
      <c r="AB1859" s="27">
        <f t="shared" si="208"/>
        <v>0</v>
      </c>
      <c r="AC1859" s="27">
        <f t="shared" si="209"/>
        <v>0</v>
      </c>
    </row>
    <row r="1860" spans="1:29">
      <c r="A1860" t="s">
        <v>1973</v>
      </c>
      <c r="B1860" s="3">
        <v>46018</v>
      </c>
      <c r="C1860" t="s">
        <v>54</v>
      </c>
      <c r="D1860" t="s">
        <v>62</v>
      </c>
      <c r="E1860" t="s">
        <v>56</v>
      </c>
      <c r="F1860" t="s">
        <v>89</v>
      </c>
      <c r="G1860" s="6">
        <v>1</v>
      </c>
      <c r="H1860" s="4">
        <v>81.2</v>
      </c>
      <c r="I1860" s="4">
        <v>44.73</v>
      </c>
      <c r="J1860" s="5">
        <v>0.1</v>
      </c>
      <c r="K1860" s="6">
        <v>4</v>
      </c>
      <c r="L1860" s="6">
        <v>3</v>
      </c>
      <c r="M1860" t="s">
        <v>126</v>
      </c>
      <c r="N1860" t="s">
        <v>59</v>
      </c>
      <c r="O1860" t="s">
        <v>64</v>
      </c>
      <c r="P1860" t="str">
        <f t="shared" si="203"/>
        <v>Individual</v>
      </c>
      <c r="Q1860" t="str">
        <f t="shared" si="204"/>
        <v>North</v>
      </c>
      <c r="R1860" t="str">
        <f>PROPER(TRIM(E1860))</f>
        <v>Home &amp; Kitchen</v>
      </c>
      <c r="S1860" s="27">
        <f>IF(ISTEXT(B1860),DATEVALUE(B1860),B1860)</f>
        <v>46018</v>
      </c>
      <c r="T1860" s="27">
        <f>COUNTIF($A$2:$A$1986,A1860)</f>
        <v>1</v>
      </c>
      <c r="U1860" s="27" t="str">
        <f t="shared" si="205"/>
        <v>Coffee Maker</v>
      </c>
      <c r="V1860" s="27">
        <f t="shared" si="206"/>
        <v>73.08</v>
      </c>
      <c r="W1860" s="27">
        <f t="shared" si="207"/>
        <v>44.73</v>
      </c>
      <c r="X1860" s="27">
        <f>RawSalesTable3[[#This Row],[Revenue]]-RawSalesTable3[[#This Row],[Total_Cost]]</f>
        <v>28.35</v>
      </c>
      <c r="Y1860" s="28">
        <f>RawSalesTable3[[#This Row],[Profit]]/RawSalesTable3[[#This Row],[Revenue]]</f>
        <v>0.38793103448275867</v>
      </c>
      <c r="Z1860" s="27" t="str">
        <f>TEXT(RawSalesTable3[[#This Row],[Order_Date_Clean]],"MMM YYYY")</f>
        <v>Dec 2025</v>
      </c>
      <c r="AA1860" s="27"/>
      <c r="AB1860" s="27">
        <f t="shared" si="208"/>
        <v>0</v>
      </c>
      <c r="AC1860" s="27">
        <f t="shared" si="209"/>
        <v>0</v>
      </c>
    </row>
    <row r="1861" spans="1:29">
      <c r="A1861" t="s">
        <v>1974</v>
      </c>
      <c r="B1861" s="3">
        <v>45681</v>
      </c>
      <c r="C1861" t="s">
        <v>78</v>
      </c>
      <c r="D1861" t="s">
        <v>62</v>
      </c>
      <c r="E1861" t="s">
        <v>75</v>
      </c>
      <c r="F1861" t="s">
        <v>146</v>
      </c>
      <c r="G1861" s="6">
        <v>2</v>
      </c>
      <c r="H1861" s="4">
        <v>180.14</v>
      </c>
      <c r="I1861" s="4">
        <v>118.4</v>
      </c>
      <c r="J1861" s="5">
        <v>0</v>
      </c>
      <c r="K1861" s="6">
        <v>6</v>
      </c>
      <c r="L1861" s="6">
        <v>3</v>
      </c>
      <c r="M1861" t="s">
        <v>58</v>
      </c>
      <c r="N1861" t="s">
        <v>59</v>
      </c>
      <c r="O1861" t="s">
        <v>60</v>
      </c>
      <c r="P1861" t="str">
        <f t="shared" si="203"/>
        <v>Individual</v>
      </c>
      <c r="Q1861" t="str">
        <f t="shared" si="204"/>
        <v>London</v>
      </c>
      <c r="R1861" t="str">
        <f>PROPER(TRIM(E1861))</f>
        <v>Furniture</v>
      </c>
      <c r="S1861" s="27">
        <f>IF(ISTEXT(B1861),DATEVALUE(B1861),B1861)</f>
        <v>45681</v>
      </c>
      <c r="T1861" s="27">
        <f>COUNTIF($A$2:$A$1986,A1861)</f>
        <v>1</v>
      </c>
      <c r="U1861" s="27" t="str">
        <f t="shared" si="205"/>
        <v>Office Chair</v>
      </c>
      <c r="V1861" s="27">
        <f t="shared" si="206"/>
        <v>360.28</v>
      </c>
      <c r="W1861" s="27">
        <f t="shared" si="207"/>
        <v>236.8</v>
      </c>
      <c r="X1861" s="27">
        <f>RawSalesTable3[[#This Row],[Revenue]]-RawSalesTable3[[#This Row],[Total_Cost]]</f>
        <v>123.47999999999996</v>
      </c>
      <c r="Y1861" s="28">
        <f>RawSalesTable3[[#This Row],[Profit]]/RawSalesTable3[[#This Row],[Revenue]]</f>
        <v>0.34273342955479064</v>
      </c>
      <c r="Z1861" s="27" t="str">
        <f>TEXT(RawSalesTable3[[#This Row],[Order_Date_Clean]],"MMM YYYY")</f>
        <v>Jan 2025</v>
      </c>
      <c r="AA1861" s="27"/>
      <c r="AB1861" s="27">
        <f t="shared" si="208"/>
        <v>0</v>
      </c>
      <c r="AC1861" s="27">
        <f t="shared" si="209"/>
        <v>0</v>
      </c>
    </row>
    <row r="1862" spans="1:29">
      <c r="A1862" t="s">
        <v>1975</v>
      </c>
      <c r="B1862" s="3">
        <v>45730</v>
      </c>
      <c r="C1862" t="s">
        <v>78</v>
      </c>
      <c r="D1862" t="s">
        <v>55</v>
      </c>
      <c r="E1862" t="s">
        <v>56</v>
      </c>
      <c r="F1862" t="s">
        <v>57</v>
      </c>
      <c r="G1862" s="6">
        <v>3</v>
      </c>
      <c r="H1862" s="4">
        <v>112.96</v>
      </c>
      <c r="I1862" s="4">
        <v>67.23</v>
      </c>
      <c r="J1862" s="5">
        <v>0.05</v>
      </c>
      <c r="K1862" s="6">
        <v>4</v>
      </c>
      <c r="L1862" s="6">
        <v>5</v>
      </c>
      <c r="M1862" t="s">
        <v>58</v>
      </c>
      <c r="N1862" t="s">
        <v>59</v>
      </c>
      <c r="O1862" t="s">
        <v>73</v>
      </c>
      <c r="P1862" t="str">
        <f t="shared" si="203"/>
        <v>Small Business</v>
      </c>
      <c r="Q1862" t="str">
        <f t="shared" si="204"/>
        <v>London</v>
      </c>
      <c r="R1862" t="str">
        <f>PROPER(TRIM(E1862))</f>
        <v>Home &amp; Kitchen</v>
      </c>
      <c r="S1862" s="27">
        <f>IF(ISTEXT(B1862),DATEVALUE(B1862),B1862)</f>
        <v>45730</v>
      </c>
      <c r="T1862" s="27">
        <f>COUNTIF($A$2:$A$1986,A1862)</f>
        <v>1</v>
      </c>
      <c r="U1862" s="27" t="str">
        <f t="shared" si="205"/>
        <v>Air Fryer</v>
      </c>
      <c r="V1862" s="27">
        <f t="shared" si="206"/>
        <v>321.93599999999998</v>
      </c>
      <c r="W1862" s="27">
        <f t="shared" si="207"/>
        <v>201.69</v>
      </c>
      <c r="X1862" s="27">
        <f>RawSalesTable3[[#This Row],[Revenue]]-RawSalesTable3[[#This Row],[Total_Cost]]</f>
        <v>120.24599999999998</v>
      </c>
      <c r="Y1862" s="28">
        <f>RawSalesTable3[[#This Row],[Profit]]/RawSalesTable3[[#This Row],[Revenue]]</f>
        <v>0.37350902042642015</v>
      </c>
      <c r="Z1862" s="27" t="str">
        <f>TEXT(RawSalesTable3[[#This Row],[Order_Date_Clean]],"MMM YYYY")</f>
        <v>Mar 2025</v>
      </c>
      <c r="AA1862" s="27"/>
      <c r="AB1862" s="27">
        <f t="shared" si="208"/>
        <v>0</v>
      </c>
      <c r="AC1862" s="27">
        <f t="shared" si="209"/>
        <v>0</v>
      </c>
    </row>
    <row r="1863" spans="1:29">
      <c r="A1863" t="s">
        <v>1976</v>
      </c>
      <c r="B1863" s="3">
        <v>45958</v>
      </c>
      <c r="C1863" t="s">
        <v>82</v>
      </c>
      <c r="D1863" t="s">
        <v>129</v>
      </c>
      <c r="E1863" t="s">
        <v>79</v>
      </c>
      <c r="F1863" t="s">
        <v>115</v>
      </c>
      <c r="G1863" s="6">
        <v>2</v>
      </c>
      <c r="H1863" s="4">
        <v>58.88</v>
      </c>
      <c r="I1863" s="4">
        <v>34.409999999999997</v>
      </c>
      <c r="J1863" s="5">
        <v>0.1</v>
      </c>
      <c r="K1863" s="6">
        <v>4</v>
      </c>
      <c r="L1863" s="6">
        <v>5</v>
      </c>
      <c r="M1863" t="s">
        <v>58</v>
      </c>
      <c r="N1863" t="s">
        <v>59</v>
      </c>
      <c r="O1863" t="s">
        <v>64</v>
      </c>
      <c r="P1863" t="str">
        <f t="shared" si="203"/>
        <v>Corporate</v>
      </c>
      <c r="Q1863" t="str">
        <f t="shared" si="204"/>
        <v>Midlands</v>
      </c>
      <c r="R1863" t="str">
        <f>PROPER(TRIM(E1863))</f>
        <v>Electronics</v>
      </c>
      <c r="S1863" s="27">
        <f>IF(ISTEXT(B1863),DATEVALUE(B1863),B1863)</f>
        <v>45958</v>
      </c>
      <c r="T1863" s="27">
        <f>COUNTIF($A$2:$A$1986,A1863)</f>
        <v>1</v>
      </c>
      <c r="U1863" s="27" t="str">
        <f t="shared" si="205"/>
        <v>Wireless Headset</v>
      </c>
      <c r="V1863" s="27">
        <f t="shared" si="206"/>
        <v>105.98400000000001</v>
      </c>
      <c r="W1863" s="27">
        <f t="shared" si="207"/>
        <v>68.819999999999993</v>
      </c>
      <c r="X1863" s="27">
        <f>RawSalesTable3[[#This Row],[Revenue]]-RawSalesTable3[[#This Row],[Total_Cost]]</f>
        <v>37.164000000000016</v>
      </c>
      <c r="Y1863" s="28">
        <f>RawSalesTable3[[#This Row],[Profit]]/RawSalesTable3[[#This Row],[Revenue]]</f>
        <v>0.35065670289855083</v>
      </c>
      <c r="Z1863" s="27" t="str">
        <f>TEXT(RawSalesTable3[[#This Row],[Order_Date_Clean]],"MMM YYYY")</f>
        <v>Oct 2025</v>
      </c>
      <c r="AA1863" s="27"/>
      <c r="AB1863" s="27">
        <f t="shared" si="208"/>
        <v>0</v>
      </c>
      <c r="AC1863" s="27">
        <f t="shared" si="209"/>
        <v>0</v>
      </c>
    </row>
    <row r="1864" spans="1:29">
      <c r="A1864" t="s">
        <v>1977</v>
      </c>
      <c r="B1864" s="3">
        <v>45740</v>
      </c>
      <c r="C1864" t="s">
        <v>54</v>
      </c>
      <c r="D1864" t="s">
        <v>62</v>
      </c>
      <c r="E1864" t="s">
        <v>79</v>
      </c>
      <c r="F1864" t="s">
        <v>80</v>
      </c>
      <c r="G1864" s="6">
        <v>3</v>
      </c>
      <c r="H1864" s="4">
        <v>73.010000000000005</v>
      </c>
      <c r="I1864" s="4">
        <v>42.06</v>
      </c>
      <c r="J1864" s="5">
        <v>0</v>
      </c>
      <c r="K1864" s="6">
        <v>3</v>
      </c>
      <c r="L1864" s="6">
        <v>4</v>
      </c>
      <c r="M1864" t="s">
        <v>58</v>
      </c>
      <c r="N1864" t="s">
        <v>69</v>
      </c>
      <c r="O1864" t="s">
        <v>64</v>
      </c>
      <c r="P1864" t="str">
        <f t="shared" si="203"/>
        <v>Individual</v>
      </c>
      <c r="Q1864" t="str">
        <f t="shared" si="204"/>
        <v>North</v>
      </c>
      <c r="R1864" t="str">
        <f>PROPER(TRIM(E1864))</f>
        <v>Electronics</v>
      </c>
      <c r="S1864" s="27">
        <f>IF(ISTEXT(B1864),DATEVALUE(B1864),B1864)</f>
        <v>45740</v>
      </c>
      <c r="T1864" s="27">
        <f>COUNTIF($A$2:$A$1986,A1864)</f>
        <v>1</v>
      </c>
      <c r="U1864" s="27" t="str">
        <f t="shared" si="205"/>
        <v>Portable Speaker</v>
      </c>
      <c r="V1864" s="27">
        <f t="shared" si="206"/>
        <v>219.03000000000003</v>
      </c>
      <c r="W1864" s="27">
        <f t="shared" si="207"/>
        <v>126.18</v>
      </c>
      <c r="X1864" s="27">
        <f>RawSalesTable3[[#This Row],[Revenue]]-RawSalesTable3[[#This Row],[Total_Cost]]</f>
        <v>92.850000000000023</v>
      </c>
      <c r="Y1864" s="28">
        <f>RawSalesTable3[[#This Row],[Profit]]/RawSalesTable3[[#This Row],[Revenue]]</f>
        <v>0.4239145322558554</v>
      </c>
      <c r="Z1864" s="27" t="str">
        <f>TEXT(RawSalesTable3[[#This Row],[Order_Date_Clean]],"MMM YYYY")</f>
        <v>Mar 2025</v>
      </c>
      <c r="AA1864" s="27"/>
      <c r="AB1864" s="27">
        <f t="shared" si="208"/>
        <v>0</v>
      </c>
      <c r="AC1864" s="27">
        <f t="shared" si="209"/>
        <v>0</v>
      </c>
    </row>
    <row r="1865" spans="1:29">
      <c r="A1865" t="s">
        <v>1978</v>
      </c>
      <c r="B1865" s="3">
        <v>45679</v>
      </c>
      <c r="C1865" t="s">
        <v>54</v>
      </c>
      <c r="D1865" t="s">
        <v>62</v>
      </c>
      <c r="E1865" t="s">
        <v>67</v>
      </c>
      <c r="F1865" t="s">
        <v>68</v>
      </c>
      <c r="G1865" s="6">
        <v>3</v>
      </c>
      <c r="H1865" s="4">
        <v>40.72</v>
      </c>
      <c r="I1865" s="4">
        <v>18.63</v>
      </c>
      <c r="J1865" s="5">
        <v>0</v>
      </c>
      <c r="K1865" s="6">
        <v>4</v>
      </c>
      <c r="L1865" s="6">
        <v>3</v>
      </c>
      <c r="M1865" t="s">
        <v>126</v>
      </c>
      <c r="N1865" t="s">
        <v>59</v>
      </c>
      <c r="O1865" t="s">
        <v>64</v>
      </c>
      <c r="P1865" t="str">
        <f t="shared" si="203"/>
        <v>Individual</v>
      </c>
      <c r="Q1865" t="str">
        <f t="shared" si="204"/>
        <v>North</v>
      </c>
      <c r="R1865" t="str">
        <f>PROPER(TRIM(E1865))</f>
        <v>Office</v>
      </c>
      <c r="S1865" s="27">
        <f>IF(ISTEXT(B1865),DATEVALUE(B1865),B1865)</f>
        <v>45679</v>
      </c>
      <c r="T1865" s="27">
        <f>COUNTIF($A$2:$A$1986,A1865)</f>
        <v>1</v>
      </c>
      <c r="U1865" s="27" t="str">
        <f t="shared" si="205"/>
        <v>Desk Lamp</v>
      </c>
      <c r="V1865" s="27">
        <f t="shared" si="206"/>
        <v>122.16</v>
      </c>
      <c r="W1865" s="27">
        <f t="shared" si="207"/>
        <v>55.89</v>
      </c>
      <c r="X1865" s="27">
        <f>RawSalesTable3[[#This Row],[Revenue]]-RawSalesTable3[[#This Row],[Total_Cost]]</f>
        <v>66.27</v>
      </c>
      <c r="Y1865" s="28">
        <f>RawSalesTable3[[#This Row],[Profit]]/RawSalesTable3[[#This Row],[Revenue]]</f>
        <v>0.54248526522593321</v>
      </c>
      <c r="Z1865" s="27" t="str">
        <f>TEXT(RawSalesTable3[[#This Row],[Order_Date_Clean]],"MMM YYYY")</f>
        <v>Jan 2025</v>
      </c>
      <c r="AA1865" s="27"/>
      <c r="AB1865" s="27">
        <f t="shared" si="208"/>
        <v>0</v>
      </c>
      <c r="AC1865" s="27">
        <f t="shared" si="209"/>
        <v>0</v>
      </c>
    </row>
    <row r="1866" spans="1:29">
      <c r="A1866" t="s">
        <v>1979</v>
      </c>
      <c r="B1866" s="3">
        <v>45918</v>
      </c>
      <c r="C1866" t="s">
        <v>78</v>
      </c>
      <c r="D1866" t="s">
        <v>62</v>
      </c>
      <c r="E1866" t="s">
        <v>75</v>
      </c>
      <c r="F1866" t="s">
        <v>146</v>
      </c>
      <c r="G1866" s="6">
        <v>4</v>
      </c>
      <c r="H1866" s="4">
        <v>181.64</v>
      </c>
      <c r="I1866" s="4">
        <v>113.29</v>
      </c>
      <c r="J1866" s="5">
        <v>0</v>
      </c>
      <c r="K1866" s="6">
        <v>6</v>
      </c>
      <c r="L1866" s="6">
        <v>4</v>
      </c>
      <c r="M1866" t="s">
        <v>58</v>
      </c>
      <c r="N1866" t="s">
        <v>87</v>
      </c>
      <c r="O1866" t="s">
        <v>64</v>
      </c>
      <c r="P1866" t="str">
        <f t="shared" si="203"/>
        <v>Individual</v>
      </c>
      <c r="Q1866" t="str">
        <f t="shared" si="204"/>
        <v>London</v>
      </c>
      <c r="R1866" t="str">
        <f>PROPER(TRIM(E1866))</f>
        <v>Furniture</v>
      </c>
      <c r="S1866" s="27">
        <f>IF(ISTEXT(B1866),DATEVALUE(B1866),B1866)</f>
        <v>45918</v>
      </c>
      <c r="T1866" s="27">
        <f>COUNTIF($A$2:$A$1986,A1866)</f>
        <v>1</v>
      </c>
      <c r="U1866" s="27" t="str">
        <f t="shared" si="205"/>
        <v>Office Chair</v>
      </c>
      <c r="V1866" s="27">
        <f t="shared" si="206"/>
        <v>726.56</v>
      </c>
      <c r="W1866" s="27">
        <f t="shared" si="207"/>
        <v>453.16</v>
      </c>
      <c r="X1866" s="27">
        <f>RawSalesTable3[[#This Row],[Revenue]]-RawSalesTable3[[#This Row],[Total_Cost]]</f>
        <v>273.39999999999992</v>
      </c>
      <c r="Y1866" s="28">
        <f>RawSalesTable3[[#This Row],[Profit]]/RawSalesTable3[[#This Row],[Revenue]]</f>
        <v>0.3762937678925346</v>
      </c>
      <c r="Z1866" s="27" t="str">
        <f>TEXT(RawSalesTable3[[#This Row],[Order_Date_Clean]],"MMM YYYY")</f>
        <v>Sep 2025</v>
      </c>
      <c r="AA1866" s="27"/>
      <c r="AB1866" s="27">
        <f t="shared" si="208"/>
        <v>0</v>
      </c>
      <c r="AC1866" s="27">
        <f t="shared" si="209"/>
        <v>0</v>
      </c>
    </row>
    <row r="1867" spans="1:29">
      <c r="A1867" t="s">
        <v>1980</v>
      </c>
      <c r="B1867" s="3">
        <v>45968</v>
      </c>
      <c r="C1867" t="s">
        <v>78</v>
      </c>
      <c r="D1867" t="s">
        <v>62</v>
      </c>
      <c r="E1867" t="s">
        <v>79</v>
      </c>
      <c r="F1867" t="s">
        <v>85</v>
      </c>
      <c r="G1867" s="6">
        <v>1</v>
      </c>
      <c r="H1867" s="4">
        <v>129.66</v>
      </c>
      <c r="I1867" s="4">
        <v>87.53</v>
      </c>
      <c r="J1867" s="5">
        <v>0.1</v>
      </c>
      <c r="K1867" s="6">
        <v>6</v>
      </c>
      <c r="L1867" s="6">
        <v>2</v>
      </c>
      <c r="M1867" t="s">
        <v>126</v>
      </c>
      <c r="N1867" t="s">
        <v>87</v>
      </c>
      <c r="O1867" t="s">
        <v>64</v>
      </c>
      <c r="P1867" t="str">
        <f t="shared" si="203"/>
        <v>Individual</v>
      </c>
      <c r="Q1867" t="str">
        <f t="shared" si="204"/>
        <v>London</v>
      </c>
      <c r="R1867" t="str">
        <f>PROPER(TRIM(E1867))</f>
        <v>Electronics</v>
      </c>
      <c r="S1867" s="27">
        <f>IF(ISTEXT(B1867),DATEVALUE(B1867),B1867)</f>
        <v>45968</v>
      </c>
      <c r="T1867" s="27">
        <f>COUNTIF($A$2:$A$1986,A1867)</f>
        <v>1</v>
      </c>
      <c r="U1867" s="27" t="str">
        <f t="shared" si="205"/>
        <v>SmartHome Hub</v>
      </c>
      <c r="V1867" s="27">
        <f t="shared" si="206"/>
        <v>116.694</v>
      </c>
      <c r="W1867" s="27">
        <f t="shared" si="207"/>
        <v>87.53</v>
      </c>
      <c r="X1867" s="27">
        <f>RawSalesTable3[[#This Row],[Revenue]]-RawSalesTable3[[#This Row],[Total_Cost]]</f>
        <v>29.164000000000001</v>
      </c>
      <c r="Y1867" s="28">
        <f>RawSalesTable3[[#This Row],[Profit]]/RawSalesTable3[[#This Row],[Revenue]]</f>
        <v>0.24991859050165391</v>
      </c>
      <c r="Z1867" s="27" t="str">
        <f>TEXT(RawSalesTable3[[#This Row],[Order_Date_Clean]],"MMM YYYY")</f>
        <v>Nov 2025</v>
      </c>
      <c r="AA1867" s="27"/>
      <c r="AB1867" s="27">
        <f t="shared" si="208"/>
        <v>0</v>
      </c>
      <c r="AC1867" s="27">
        <f t="shared" si="209"/>
        <v>0</v>
      </c>
    </row>
    <row r="1868" spans="1:29">
      <c r="A1868" t="s">
        <v>1981</v>
      </c>
      <c r="B1868" s="3">
        <v>45884</v>
      </c>
      <c r="C1868" t="s">
        <v>78</v>
      </c>
      <c r="D1868" t="s">
        <v>62</v>
      </c>
      <c r="E1868" t="s">
        <v>67</v>
      </c>
      <c r="F1868" t="s">
        <v>68</v>
      </c>
      <c r="G1868" s="6">
        <v>2</v>
      </c>
      <c r="H1868" s="4">
        <v>38.99</v>
      </c>
      <c r="I1868" s="4">
        <v>18.579999999999998</v>
      </c>
      <c r="J1868" s="5">
        <v>0</v>
      </c>
      <c r="K1868" s="6">
        <v>4</v>
      </c>
      <c r="L1868" s="6">
        <v>5</v>
      </c>
      <c r="M1868" t="s">
        <v>58</v>
      </c>
      <c r="N1868" t="s">
        <v>59</v>
      </c>
      <c r="O1868" t="s">
        <v>64</v>
      </c>
      <c r="P1868" t="str">
        <f t="shared" si="203"/>
        <v>Individual</v>
      </c>
      <c r="Q1868" t="str">
        <f t="shared" si="204"/>
        <v>London</v>
      </c>
      <c r="R1868" t="str">
        <f>PROPER(TRIM(E1868))</f>
        <v>Office</v>
      </c>
      <c r="S1868" s="27">
        <f>IF(ISTEXT(B1868),DATEVALUE(B1868),B1868)</f>
        <v>45884</v>
      </c>
      <c r="T1868" s="27">
        <f>COUNTIF($A$2:$A$1986,A1868)</f>
        <v>1</v>
      </c>
      <c r="U1868" s="27" t="str">
        <f t="shared" si="205"/>
        <v>Desk Lamp</v>
      </c>
      <c r="V1868" s="27">
        <f t="shared" si="206"/>
        <v>77.98</v>
      </c>
      <c r="W1868" s="27">
        <f t="shared" si="207"/>
        <v>37.159999999999997</v>
      </c>
      <c r="X1868" s="27">
        <f>RawSalesTable3[[#This Row],[Revenue]]-RawSalesTable3[[#This Row],[Total_Cost]]</f>
        <v>40.820000000000007</v>
      </c>
      <c r="Y1868" s="28">
        <f>RawSalesTable3[[#This Row],[Profit]]/RawSalesTable3[[#This Row],[Revenue]]</f>
        <v>0.52346755578353432</v>
      </c>
      <c r="Z1868" s="27" t="str">
        <f>TEXT(RawSalesTable3[[#This Row],[Order_Date_Clean]],"MMM YYYY")</f>
        <v>Aug 2025</v>
      </c>
      <c r="AA1868" s="27"/>
      <c r="AB1868" s="27">
        <f t="shared" si="208"/>
        <v>0</v>
      </c>
      <c r="AC1868" s="27">
        <f t="shared" si="209"/>
        <v>0</v>
      </c>
    </row>
    <row r="1869" spans="1:29">
      <c r="A1869" t="s">
        <v>1982</v>
      </c>
      <c r="B1869" s="3">
        <v>45719</v>
      </c>
      <c r="C1869" t="s">
        <v>54</v>
      </c>
      <c r="D1869" t="s">
        <v>62</v>
      </c>
      <c r="E1869" t="s">
        <v>79</v>
      </c>
      <c r="F1869" t="s">
        <v>115</v>
      </c>
      <c r="G1869" s="6">
        <v>1</v>
      </c>
      <c r="H1869" s="4">
        <v>60.81</v>
      </c>
      <c r="I1869" s="4">
        <v>35.08</v>
      </c>
      <c r="J1869" s="5">
        <v>0</v>
      </c>
      <c r="K1869" s="6">
        <v>0</v>
      </c>
      <c r="L1869" s="6">
        <v>4</v>
      </c>
      <c r="M1869" t="s">
        <v>58</v>
      </c>
      <c r="N1869" t="s">
        <v>69</v>
      </c>
      <c r="O1869" t="s">
        <v>64</v>
      </c>
      <c r="P1869" t="str">
        <f t="shared" si="203"/>
        <v>Individual</v>
      </c>
      <c r="Q1869" t="str">
        <f t="shared" si="204"/>
        <v>North</v>
      </c>
      <c r="R1869" t="str">
        <f>PROPER(TRIM(E1869))</f>
        <v>Electronics</v>
      </c>
      <c r="S1869" s="27">
        <f>IF(ISTEXT(B1869),DATEVALUE(B1869),B1869)</f>
        <v>45719</v>
      </c>
      <c r="T1869" s="27">
        <f>COUNTIF($A$2:$A$1986,A1869)</f>
        <v>1</v>
      </c>
      <c r="U1869" s="27" t="str">
        <f t="shared" si="205"/>
        <v>Wireless Headset</v>
      </c>
      <c r="V1869" s="27">
        <f t="shared" si="206"/>
        <v>60.81</v>
      </c>
      <c r="W1869" s="27">
        <f t="shared" si="207"/>
        <v>35.08</v>
      </c>
      <c r="X1869" s="27">
        <f>RawSalesTable3[[#This Row],[Revenue]]-RawSalesTable3[[#This Row],[Total_Cost]]</f>
        <v>25.730000000000004</v>
      </c>
      <c r="Y1869" s="28">
        <f>RawSalesTable3[[#This Row],[Profit]]/RawSalesTable3[[#This Row],[Revenue]]</f>
        <v>0.42312119717151792</v>
      </c>
      <c r="Z1869" s="27" t="str">
        <f>TEXT(RawSalesTable3[[#This Row],[Order_Date_Clean]],"MMM YYYY")</f>
        <v>Mar 2025</v>
      </c>
      <c r="AA1869" s="27"/>
      <c r="AB1869" s="27">
        <f t="shared" si="208"/>
        <v>0</v>
      </c>
      <c r="AC1869" s="27">
        <f t="shared" si="209"/>
        <v>0</v>
      </c>
    </row>
    <row r="1870" spans="1:29">
      <c r="A1870" t="s">
        <v>1983</v>
      </c>
      <c r="B1870" s="3">
        <v>46003</v>
      </c>
      <c r="C1870" t="s">
        <v>82</v>
      </c>
      <c r="D1870" t="s">
        <v>62</v>
      </c>
      <c r="E1870" t="s">
        <v>67</v>
      </c>
      <c r="F1870" t="s">
        <v>107</v>
      </c>
      <c r="G1870" s="6">
        <v>2</v>
      </c>
      <c r="H1870" s="4">
        <v>43.72</v>
      </c>
      <c r="I1870" s="4">
        <v>20.94</v>
      </c>
      <c r="J1870" s="5">
        <v>0.1</v>
      </c>
      <c r="K1870" s="6">
        <v>2</v>
      </c>
      <c r="L1870" s="6">
        <v>4</v>
      </c>
      <c r="M1870" t="s">
        <v>58</v>
      </c>
      <c r="N1870" t="s">
        <v>87</v>
      </c>
      <c r="O1870" t="s">
        <v>64</v>
      </c>
      <c r="P1870" t="str">
        <f t="shared" si="203"/>
        <v>Individual</v>
      </c>
      <c r="Q1870" t="str">
        <f t="shared" si="204"/>
        <v>Midlands</v>
      </c>
      <c r="R1870" t="str">
        <f>PROPER(TRIM(E1870))</f>
        <v>Office</v>
      </c>
      <c r="S1870" s="27">
        <f>IF(ISTEXT(B1870),DATEVALUE(B1870),B1870)</f>
        <v>46003</v>
      </c>
      <c r="T1870" s="27">
        <f>COUNTIF($A$2:$A$1986,A1870)</f>
        <v>1</v>
      </c>
      <c r="U1870" s="27" t="str">
        <f t="shared" si="205"/>
        <v>Laptop Stand</v>
      </c>
      <c r="V1870" s="27">
        <f t="shared" si="206"/>
        <v>78.695999999999998</v>
      </c>
      <c r="W1870" s="27">
        <f t="shared" si="207"/>
        <v>41.88</v>
      </c>
      <c r="X1870" s="27">
        <f>RawSalesTable3[[#This Row],[Revenue]]-RawSalesTable3[[#This Row],[Total_Cost]]</f>
        <v>36.815999999999995</v>
      </c>
      <c r="Y1870" s="28">
        <f>RawSalesTable3[[#This Row],[Profit]]/RawSalesTable3[[#This Row],[Revenue]]</f>
        <v>0.4678255565721256</v>
      </c>
      <c r="Z1870" s="27" t="str">
        <f>TEXT(RawSalesTable3[[#This Row],[Order_Date_Clean]],"MMM YYYY")</f>
        <v>Dec 2025</v>
      </c>
      <c r="AA1870" s="27"/>
      <c r="AB1870" s="27">
        <f t="shared" si="208"/>
        <v>0</v>
      </c>
      <c r="AC1870" s="27">
        <f t="shared" si="209"/>
        <v>0</v>
      </c>
    </row>
    <row r="1871" spans="1:29">
      <c r="A1871" t="s">
        <v>1984</v>
      </c>
      <c r="B1871" s="3">
        <v>45678</v>
      </c>
      <c r="C1871" t="s">
        <v>78</v>
      </c>
      <c r="D1871" t="s">
        <v>62</v>
      </c>
      <c r="E1871" t="s">
        <v>56</v>
      </c>
      <c r="F1871" t="s">
        <v>83</v>
      </c>
      <c r="G1871" s="6">
        <v>2</v>
      </c>
      <c r="H1871" s="4">
        <v>66.45</v>
      </c>
      <c r="I1871" s="4">
        <v>35.020000000000003</v>
      </c>
      <c r="J1871" s="5">
        <v>0.1</v>
      </c>
      <c r="K1871" s="6">
        <v>4</v>
      </c>
      <c r="L1871" s="6">
        <v>5</v>
      </c>
      <c r="M1871" t="s">
        <v>58</v>
      </c>
      <c r="N1871" t="s">
        <v>59</v>
      </c>
      <c r="O1871" t="s">
        <v>64</v>
      </c>
      <c r="P1871" t="str">
        <f t="shared" si="203"/>
        <v>Individual</v>
      </c>
      <c r="Q1871" t="str">
        <f t="shared" si="204"/>
        <v>London</v>
      </c>
      <c r="R1871" t="str">
        <f>PROPER(TRIM(E1871))</f>
        <v>Home &amp; Kitchen</v>
      </c>
      <c r="S1871" s="27">
        <f>IF(ISTEXT(B1871),DATEVALUE(B1871),B1871)</f>
        <v>45678</v>
      </c>
      <c r="T1871" s="27">
        <f>COUNTIF($A$2:$A$1986,A1871)</f>
        <v>1</v>
      </c>
      <c r="U1871" s="27" t="str">
        <f t="shared" si="205"/>
        <v>Blender</v>
      </c>
      <c r="V1871" s="27">
        <f t="shared" si="206"/>
        <v>119.61000000000001</v>
      </c>
      <c r="W1871" s="27">
        <f t="shared" si="207"/>
        <v>70.040000000000006</v>
      </c>
      <c r="X1871" s="27">
        <f>RawSalesTable3[[#This Row],[Revenue]]-RawSalesTable3[[#This Row],[Total_Cost]]</f>
        <v>49.570000000000007</v>
      </c>
      <c r="Y1871" s="28">
        <f>RawSalesTable3[[#This Row],[Profit]]/RawSalesTable3[[#This Row],[Revenue]]</f>
        <v>0.4144302315859878</v>
      </c>
      <c r="Z1871" s="27" t="str">
        <f>TEXT(RawSalesTable3[[#This Row],[Order_Date_Clean]],"MMM YYYY")</f>
        <v>Jan 2025</v>
      </c>
      <c r="AA1871" s="27"/>
      <c r="AB1871" s="27">
        <f t="shared" si="208"/>
        <v>0</v>
      </c>
      <c r="AC1871" s="27">
        <f t="shared" si="209"/>
        <v>0</v>
      </c>
    </row>
    <row r="1872" spans="1:29">
      <c r="A1872" t="s">
        <v>1985</v>
      </c>
      <c r="B1872" s="3">
        <v>45922</v>
      </c>
      <c r="C1872" t="s">
        <v>78</v>
      </c>
      <c r="D1872" t="s">
        <v>55</v>
      </c>
      <c r="E1872" t="s">
        <v>75</v>
      </c>
      <c r="F1872" t="s">
        <v>110</v>
      </c>
      <c r="G1872" s="6">
        <v>5</v>
      </c>
      <c r="H1872" s="4">
        <v>156.35</v>
      </c>
      <c r="I1872" s="4">
        <v>100.47</v>
      </c>
      <c r="J1872" s="5">
        <v>0.1</v>
      </c>
      <c r="K1872" s="6">
        <v>8</v>
      </c>
      <c r="L1872" s="6">
        <v>3</v>
      </c>
      <c r="M1872" t="s">
        <v>58</v>
      </c>
      <c r="N1872" t="s">
        <v>59</v>
      </c>
      <c r="O1872" t="s">
        <v>64</v>
      </c>
      <c r="P1872" t="str">
        <f t="shared" si="203"/>
        <v>Small Business</v>
      </c>
      <c r="Q1872" t="str">
        <f t="shared" si="204"/>
        <v>London</v>
      </c>
      <c r="R1872" t="str">
        <f>PROPER(TRIM(E1872))</f>
        <v>Furniture</v>
      </c>
      <c r="S1872" s="27">
        <f>IF(ISTEXT(B1872),DATEVALUE(B1872),B1872)</f>
        <v>45922</v>
      </c>
      <c r="T1872" s="27">
        <f>COUNTIF($A$2:$A$1986,A1872)</f>
        <v>1</v>
      </c>
      <c r="U1872" s="27" t="str">
        <f t="shared" si="205"/>
        <v>Storage Cabinet</v>
      </c>
      <c r="V1872" s="27">
        <f t="shared" si="206"/>
        <v>703.57500000000005</v>
      </c>
      <c r="W1872" s="27">
        <f t="shared" si="207"/>
        <v>502.35</v>
      </c>
      <c r="X1872" s="27">
        <f>RawSalesTable3[[#This Row],[Revenue]]-RawSalesTable3[[#This Row],[Total_Cost]]</f>
        <v>201.22500000000002</v>
      </c>
      <c r="Y1872" s="28">
        <f>RawSalesTable3[[#This Row],[Profit]]/RawSalesTable3[[#This Row],[Revenue]]</f>
        <v>0.28600362434708454</v>
      </c>
      <c r="Z1872" s="27" t="str">
        <f>TEXT(RawSalesTable3[[#This Row],[Order_Date_Clean]],"MMM YYYY")</f>
        <v>Sep 2025</v>
      </c>
      <c r="AA1872" s="27"/>
      <c r="AB1872" s="27">
        <f t="shared" si="208"/>
        <v>0</v>
      </c>
      <c r="AC1872" s="27">
        <f t="shared" si="209"/>
        <v>0</v>
      </c>
    </row>
    <row r="1873" spans="1:29">
      <c r="A1873" t="s">
        <v>1986</v>
      </c>
      <c r="B1873" s="3">
        <v>46007</v>
      </c>
      <c r="C1873" t="s">
        <v>82</v>
      </c>
      <c r="D1873" t="s">
        <v>62</v>
      </c>
      <c r="E1873" t="s">
        <v>67</v>
      </c>
      <c r="F1873" t="s">
        <v>107</v>
      </c>
      <c r="G1873" s="6">
        <v>1</v>
      </c>
      <c r="H1873" s="4">
        <v>46.78</v>
      </c>
      <c r="I1873" s="4">
        <v>21.53</v>
      </c>
      <c r="J1873" s="5">
        <v>0.1</v>
      </c>
      <c r="K1873" s="6">
        <v>3</v>
      </c>
      <c r="L1873" s="6">
        <v>4</v>
      </c>
      <c r="M1873" t="s">
        <v>58</v>
      </c>
      <c r="N1873" t="s">
        <v>59</v>
      </c>
      <c r="O1873" t="s">
        <v>64</v>
      </c>
      <c r="P1873" t="str">
        <f t="shared" si="203"/>
        <v>Individual</v>
      </c>
      <c r="Q1873" t="str">
        <f t="shared" si="204"/>
        <v>Midlands</v>
      </c>
      <c r="R1873" t="str">
        <f>PROPER(TRIM(E1873))</f>
        <v>Office</v>
      </c>
      <c r="S1873" s="27">
        <f>IF(ISTEXT(B1873),DATEVALUE(B1873),B1873)</f>
        <v>46007</v>
      </c>
      <c r="T1873" s="27">
        <f>COUNTIF($A$2:$A$1986,A1873)</f>
        <v>1</v>
      </c>
      <c r="U1873" s="27" t="str">
        <f t="shared" si="205"/>
        <v>Laptop Stand</v>
      </c>
      <c r="V1873" s="27">
        <f t="shared" si="206"/>
        <v>42.102000000000004</v>
      </c>
      <c r="W1873" s="27">
        <f t="shared" si="207"/>
        <v>21.53</v>
      </c>
      <c r="X1873" s="27">
        <f>RawSalesTable3[[#This Row],[Revenue]]-RawSalesTable3[[#This Row],[Total_Cost]]</f>
        <v>20.572000000000003</v>
      </c>
      <c r="Y1873" s="28">
        <f>RawSalesTable3[[#This Row],[Profit]]/RawSalesTable3[[#This Row],[Revenue]]</f>
        <v>0.48862286827229112</v>
      </c>
      <c r="Z1873" s="27" t="str">
        <f>TEXT(RawSalesTable3[[#This Row],[Order_Date_Clean]],"MMM YYYY")</f>
        <v>Dec 2025</v>
      </c>
      <c r="AA1873" s="27"/>
      <c r="AB1873" s="27">
        <f t="shared" si="208"/>
        <v>0</v>
      </c>
      <c r="AC1873" s="27">
        <f t="shared" si="209"/>
        <v>0</v>
      </c>
    </row>
    <row r="1874" spans="1:29">
      <c r="A1874" t="s">
        <v>1987</v>
      </c>
      <c r="B1874" s="3">
        <v>45700</v>
      </c>
      <c r="C1874" t="s">
        <v>54</v>
      </c>
      <c r="D1874" t="s">
        <v>62</v>
      </c>
      <c r="E1874" t="s">
        <v>56</v>
      </c>
      <c r="F1874" t="s">
        <v>89</v>
      </c>
      <c r="G1874" s="6">
        <v>3</v>
      </c>
      <c r="H1874" s="4">
        <v>82.93</v>
      </c>
      <c r="I1874" s="4">
        <v>46.09</v>
      </c>
      <c r="J1874" s="5">
        <v>0.05</v>
      </c>
      <c r="K1874" s="6">
        <v>0</v>
      </c>
      <c r="L1874" s="6">
        <v>4</v>
      </c>
      <c r="M1874" t="s">
        <v>58</v>
      </c>
      <c r="N1874" t="s">
        <v>69</v>
      </c>
      <c r="O1874" t="s">
        <v>64</v>
      </c>
      <c r="P1874" t="str">
        <f t="shared" si="203"/>
        <v>Individual</v>
      </c>
      <c r="Q1874" t="str">
        <f t="shared" si="204"/>
        <v>North</v>
      </c>
      <c r="R1874" t="str">
        <f>PROPER(TRIM(E1874))</f>
        <v>Home &amp; Kitchen</v>
      </c>
      <c r="S1874" s="27">
        <f>IF(ISTEXT(B1874),DATEVALUE(B1874),B1874)</f>
        <v>45700</v>
      </c>
      <c r="T1874" s="27">
        <f>COUNTIF($A$2:$A$1986,A1874)</f>
        <v>1</v>
      </c>
      <c r="U1874" s="27" t="str">
        <f t="shared" si="205"/>
        <v>Coffee Maker</v>
      </c>
      <c r="V1874" s="27">
        <f t="shared" si="206"/>
        <v>236.35050000000001</v>
      </c>
      <c r="W1874" s="27">
        <f t="shared" si="207"/>
        <v>138.27000000000001</v>
      </c>
      <c r="X1874" s="27">
        <f>RawSalesTable3[[#This Row],[Revenue]]-RawSalesTable3[[#This Row],[Total_Cost]]</f>
        <v>98.080500000000001</v>
      </c>
      <c r="Y1874" s="28">
        <f>RawSalesTable3[[#This Row],[Profit]]/RawSalesTable3[[#This Row],[Revenue]]</f>
        <v>0.41497902479580112</v>
      </c>
      <c r="Z1874" s="27" t="str">
        <f>TEXT(RawSalesTable3[[#This Row],[Order_Date_Clean]],"MMM YYYY")</f>
        <v>Feb 2025</v>
      </c>
      <c r="AA1874" s="27"/>
      <c r="AB1874" s="27">
        <f t="shared" si="208"/>
        <v>0</v>
      </c>
      <c r="AC1874" s="27">
        <f t="shared" si="209"/>
        <v>0</v>
      </c>
    </row>
    <row r="1875" spans="1:29">
      <c r="A1875" t="s">
        <v>1988</v>
      </c>
      <c r="B1875" s="3">
        <v>45874</v>
      </c>
      <c r="C1875" t="s">
        <v>66</v>
      </c>
      <c r="D1875" t="s">
        <v>62</v>
      </c>
      <c r="E1875" t="s">
        <v>75</v>
      </c>
      <c r="F1875" t="s">
        <v>97</v>
      </c>
      <c r="G1875" s="6">
        <v>2</v>
      </c>
      <c r="H1875" s="4">
        <v>90.13</v>
      </c>
      <c r="I1875" s="4">
        <v>53.57</v>
      </c>
      <c r="J1875" s="5">
        <v>0.15000000000000002</v>
      </c>
      <c r="K1875" s="6">
        <v>8</v>
      </c>
      <c r="L1875" s="6">
        <v>4</v>
      </c>
      <c r="M1875" t="s">
        <v>58</v>
      </c>
      <c r="N1875" t="s">
        <v>59</v>
      </c>
      <c r="O1875" t="s">
        <v>64</v>
      </c>
      <c r="P1875" t="str">
        <f t="shared" si="203"/>
        <v>Individual</v>
      </c>
      <c r="Q1875" t="str">
        <f t="shared" si="204"/>
        <v>South</v>
      </c>
      <c r="R1875" t="str">
        <f>PROPER(TRIM(E1875))</f>
        <v>Furniture</v>
      </c>
      <c r="S1875" s="27">
        <f>IF(ISTEXT(B1875),DATEVALUE(B1875),B1875)</f>
        <v>45874</v>
      </c>
      <c r="T1875" s="27">
        <f>COUNTIF($A$2:$A$1986,A1875)</f>
        <v>1</v>
      </c>
      <c r="U1875" s="27" t="str">
        <f t="shared" si="205"/>
        <v>Side Table</v>
      </c>
      <c r="V1875" s="27">
        <f t="shared" si="206"/>
        <v>153.22099999999998</v>
      </c>
      <c r="W1875" s="27">
        <f t="shared" si="207"/>
        <v>107.14</v>
      </c>
      <c r="X1875" s="27">
        <f>RawSalesTable3[[#This Row],[Revenue]]-RawSalesTable3[[#This Row],[Total_Cost]]</f>
        <v>46.080999999999975</v>
      </c>
      <c r="Y1875" s="28">
        <f>RawSalesTable3[[#This Row],[Profit]]/RawSalesTable3[[#This Row],[Revenue]]</f>
        <v>0.30074859190319853</v>
      </c>
      <c r="Z1875" s="27" t="str">
        <f>TEXT(RawSalesTable3[[#This Row],[Order_Date_Clean]],"MMM YYYY")</f>
        <v>Aug 2025</v>
      </c>
      <c r="AA1875" s="27"/>
      <c r="AB1875" s="27">
        <f t="shared" si="208"/>
        <v>0</v>
      </c>
      <c r="AC1875" s="27">
        <f t="shared" si="209"/>
        <v>0</v>
      </c>
    </row>
    <row r="1876" spans="1:29">
      <c r="A1876" t="s">
        <v>1989</v>
      </c>
      <c r="B1876" s="3">
        <v>45724</v>
      </c>
      <c r="C1876" t="s">
        <v>82</v>
      </c>
      <c r="D1876" t="s">
        <v>62</v>
      </c>
      <c r="E1876" t="s">
        <v>79</v>
      </c>
      <c r="F1876" t="s">
        <v>80</v>
      </c>
      <c r="G1876" s="6">
        <v>1</v>
      </c>
      <c r="H1876" s="4">
        <v>75.290000000000006</v>
      </c>
      <c r="I1876" s="4">
        <v>43.07</v>
      </c>
      <c r="J1876" s="5">
        <v>0</v>
      </c>
      <c r="K1876" s="6">
        <v>2</v>
      </c>
      <c r="L1876" s="6">
        <v>4</v>
      </c>
      <c r="M1876" t="s">
        <v>58</v>
      </c>
      <c r="N1876" t="s">
        <v>87</v>
      </c>
      <c r="O1876" t="s">
        <v>73</v>
      </c>
      <c r="P1876" t="str">
        <f t="shared" si="203"/>
        <v>Individual</v>
      </c>
      <c r="Q1876" t="str">
        <f t="shared" si="204"/>
        <v>Midlands</v>
      </c>
      <c r="R1876" t="str">
        <f>PROPER(TRIM(E1876))</f>
        <v>Electronics</v>
      </c>
      <c r="S1876" s="27">
        <f>IF(ISTEXT(B1876),DATEVALUE(B1876),B1876)</f>
        <v>45724</v>
      </c>
      <c r="T1876" s="27">
        <f>COUNTIF($A$2:$A$1986,A1876)</f>
        <v>1</v>
      </c>
      <c r="U1876" s="27" t="str">
        <f t="shared" si="205"/>
        <v>Portable Speaker</v>
      </c>
      <c r="V1876" s="27">
        <f t="shared" si="206"/>
        <v>75.290000000000006</v>
      </c>
      <c r="W1876" s="27">
        <f t="shared" si="207"/>
        <v>43.07</v>
      </c>
      <c r="X1876" s="27">
        <f>RawSalesTable3[[#This Row],[Revenue]]-RawSalesTable3[[#This Row],[Total_Cost]]</f>
        <v>32.220000000000006</v>
      </c>
      <c r="Y1876" s="28">
        <f>RawSalesTable3[[#This Row],[Profit]]/RawSalesTable3[[#This Row],[Revenue]]</f>
        <v>0.42794527825740475</v>
      </c>
      <c r="Z1876" s="27" t="str">
        <f>TEXT(RawSalesTable3[[#This Row],[Order_Date_Clean]],"MMM YYYY")</f>
        <v>Mar 2025</v>
      </c>
      <c r="AA1876" s="27"/>
      <c r="AB1876" s="27">
        <f t="shared" si="208"/>
        <v>0</v>
      </c>
      <c r="AC1876" s="27">
        <f t="shared" si="209"/>
        <v>0</v>
      </c>
    </row>
    <row r="1877" spans="1:29">
      <c r="A1877" t="s">
        <v>1990</v>
      </c>
      <c r="B1877" s="3">
        <v>45839</v>
      </c>
      <c r="C1877" t="s">
        <v>82</v>
      </c>
      <c r="D1877" t="s">
        <v>62</v>
      </c>
      <c r="E1877" t="s">
        <v>67</v>
      </c>
      <c r="F1877" t="s">
        <v>94</v>
      </c>
      <c r="G1877" s="6">
        <v>1</v>
      </c>
      <c r="H1877" s="4">
        <v>34.119999999999997</v>
      </c>
      <c r="I1877" s="4">
        <v>16.98</v>
      </c>
      <c r="J1877" s="5">
        <v>0</v>
      </c>
      <c r="K1877" s="6">
        <v>1</v>
      </c>
      <c r="L1877" s="6">
        <v>4</v>
      </c>
      <c r="M1877" t="s">
        <v>58</v>
      </c>
      <c r="N1877" t="s">
        <v>69</v>
      </c>
      <c r="O1877" t="s">
        <v>64</v>
      </c>
      <c r="P1877" t="str">
        <f t="shared" si="203"/>
        <v>Individual</v>
      </c>
      <c r="Q1877" t="str">
        <f t="shared" si="204"/>
        <v>Midlands</v>
      </c>
      <c r="R1877" t="str">
        <f>PROPER(TRIM(E1877))</f>
        <v>Office</v>
      </c>
      <c r="S1877" s="27">
        <f>IF(ISTEXT(B1877),DATEVALUE(B1877),B1877)</f>
        <v>45839</v>
      </c>
      <c r="T1877" s="27">
        <f>COUNTIF($A$2:$A$1986,A1877)</f>
        <v>1</v>
      </c>
      <c r="U1877" s="27" t="str">
        <f t="shared" si="205"/>
        <v>Wireless Mouse</v>
      </c>
      <c r="V1877" s="27">
        <f t="shared" si="206"/>
        <v>34.119999999999997</v>
      </c>
      <c r="W1877" s="27">
        <f t="shared" si="207"/>
        <v>16.98</v>
      </c>
      <c r="X1877" s="27">
        <f>RawSalesTable3[[#This Row],[Revenue]]-RawSalesTable3[[#This Row],[Total_Cost]]</f>
        <v>17.139999999999997</v>
      </c>
      <c r="Y1877" s="28">
        <f>RawSalesTable3[[#This Row],[Profit]]/RawSalesTable3[[#This Row],[Revenue]]</f>
        <v>0.50234466588511129</v>
      </c>
      <c r="Z1877" s="27" t="str">
        <f>TEXT(RawSalesTable3[[#This Row],[Order_Date_Clean]],"MMM YYYY")</f>
        <v>Jul 2025</v>
      </c>
      <c r="AA1877" s="27"/>
      <c r="AB1877" s="27">
        <f t="shared" si="208"/>
        <v>0</v>
      </c>
      <c r="AC1877" s="27">
        <f t="shared" si="209"/>
        <v>0</v>
      </c>
    </row>
    <row r="1878" spans="1:29">
      <c r="A1878" t="s">
        <v>1991</v>
      </c>
      <c r="B1878" s="3">
        <v>45832</v>
      </c>
      <c r="C1878" t="s">
        <v>66</v>
      </c>
      <c r="D1878" t="s">
        <v>62</v>
      </c>
      <c r="E1878" t="s">
        <v>56</v>
      </c>
      <c r="F1878" t="s">
        <v>89</v>
      </c>
      <c r="G1878" s="6">
        <v>1</v>
      </c>
      <c r="H1878" s="4">
        <v>81.93</v>
      </c>
      <c r="I1878" s="4">
        <v>45.34</v>
      </c>
      <c r="J1878" s="5">
        <v>0.05</v>
      </c>
      <c r="K1878" s="6">
        <v>6</v>
      </c>
      <c r="L1878" s="6">
        <v>3</v>
      </c>
      <c r="M1878" t="s">
        <v>58</v>
      </c>
      <c r="N1878" t="s">
        <v>59</v>
      </c>
      <c r="O1878" t="s">
        <v>60</v>
      </c>
      <c r="P1878" t="str">
        <f t="shared" si="203"/>
        <v>Individual</v>
      </c>
      <c r="Q1878" t="str">
        <f t="shared" si="204"/>
        <v>South</v>
      </c>
      <c r="R1878" t="str">
        <f>PROPER(TRIM(E1878))</f>
        <v>Home &amp; Kitchen</v>
      </c>
      <c r="S1878" s="27">
        <f>IF(ISTEXT(B1878),DATEVALUE(B1878),B1878)</f>
        <v>45832</v>
      </c>
      <c r="T1878" s="27">
        <f>COUNTIF($A$2:$A$1986,A1878)</f>
        <v>1</v>
      </c>
      <c r="U1878" s="27" t="str">
        <f t="shared" si="205"/>
        <v>Coffee Maker</v>
      </c>
      <c r="V1878" s="27">
        <f t="shared" si="206"/>
        <v>77.833500000000001</v>
      </c>
      <c r="W1878" s="27">
        <f t="shared" si="207"/>
        <v>45.34</v>
      </c>
      <c r="X1878" s="27">
        <f>RawSalesTable3[[#This Row],[Revenue]]-RawSalesTable3[[#This Row],[Total_Cost]]</f>
        <v>32.493499999999997</v>
      </c>
      <c r="Y1878" s="28">
        <f>RawSalesTable3[[#This Row],[Profit]]/RawSalesTable3[[#This Row],[Revenue]]</f>
        <v>0.41747448078269633</v>
      </c>
      <c r="Z1878" s="27" t="str">
        <f>TEXT(RawSalesTable3[[#This Row],[Order_Date_Clean]],"MMM YYYY")</f>
        <v>Jun 2025</v>
      </c>
      <c r="AA1878" s="27"/>
      <c r="AB1878" s="27">
        <f t="shared" si="208"/>
        <v>0</v>
      </c>
      <c r="AC1878" s="27">
        <f t="shared" si="209"/>
        <v>0</v>
      </c>
    </row>
    <row r="1879" spans="1:29">
      <c r="A1879" t="s">
        <v>1992</v>
      </c>
      <c r="B1879" s="3">
        <v>45680</v>
      </c>
      <c r="C1879" t="s">
        <v>54</v>
      </c>
      <c r="D1879" t="s">
        <v>55</v>
      </c>
      <c r="E1879" t="s">
        <v>56</v>
      </c>
      <c r="F1879" t="s">
        <v>57</v>
      </c>
      <c r="G1879" s="6">
        <v>1</v>
      </c>
      <c r="H1879" s="4">
        <v>113.03</v>
      </c>
      <c r="I1879" s="4">
        <v>68.38</v>
      </c>
      <c r="J1879" s="5">
        <v>0</v>
      </c>
      <c r="K1879" s="6">
        <v>0</v>
      </c>
      <c r="L1879" s="6">
        <v>4</v>
      </c>
      <c r="M1879" t="s">
        <v>58</v>
      </c>
      <c r="N1879" t="s">
        <v>69</v>
      </c>
      <c r="O1879" t="s">
        <v>60</v>
      </c>
      <c r="P1879" t="str">
        <f t="shared" si="203"/>
        <v>Small Business</v>
      </c>
      <c r="Q1879" t="str">
        <f t="shared" si="204"/>
        <v>North</v>
      </c>
      <c r="R1879" t="str">
        <f>PROPER(TRIM(E1879))</f>
        <v>Home &amp; Kitchen</v>
      </c>
      <c r="S1879" s="27">
        <f>IF(ISTEXT(B1879),DATEVALUE(B1879),B1879)</f>
        <v>45680</v>
      </c>
      <c r="T1879" s="27">
        <f>COUNTIF($A$2:$A$1986,A1879)</f>
        <v>1</v>
      </c>
      <c r="U1879" s="27" t="str">
        <f t="shared" si="205"/>
        <v>Air Fryer</v>
      </c>
      <c r="V1879" s="27">
        <f t="shared" si="206"/>
        <v>113.03</v>
      </c>
      <c r="W1879" s="27">
        <f t="shared" si="207"/>
        <v>68.38</v>
      </c>
      <c r="X1879" s="27">
        <f>RawSalesTable3[[#This Row],[Revenue]]-RawSalesTable3[[#This Row],[Total_Cost]]</f>
        <v>44.650000000000006</v>
      </c>
      <c r="Y1879" s="28">
        <f>RawSalesTable3[[#This Row],[Profit]]/RawSalesTable3[[#This Row],[Revenue]]</f>
        <v>0.39502786870742285</v>
      </c>
      <c r="Z1879" s="27" t="str">
        <f>TEXT(RawSalesTable3[[#This Row],[Order_Date_Clean]],"MMM YYYY")</f>
        <v>Jan 2025</v>
      </c>
      <c r="AA1879" s="27"/>
      <c r="AB1879" s="27">
        <f t="shared" si="208"/>
        <v>0</v>
      </c>
      <c r="AC1879" s="27">
        <f t="shared" si="209"/>
        <v>0</v>
      </c>
    </row>
    <row r="1880" spans="1:29">
      <c r="A1880" t="s">
        <v>1993</v>
      </c>
      <c r="B1880" s="3">
        <v>45732</v>
      </c>
      <c r="C1880" t="s">
        <v>82</v>
      </c>
      <c r="D1880" t="s">
        <v>62</v>
      </c>
      <c r="E1880" t="s">
        <v>67</v>
      </c>
      <c r="F1880" t="s">
        <v>107</v>
      </c>
      <c r="G1880" s="6">
        <v>1</v>
      </c>
      <c r="H1880" s="4">
        <v>44.23</v>
      </c>
      <c r="I1880" s="4">
        <v>21.38</v>
      </c>
      <c r="J1880" s="5">
        <v>0</v>
      </c>
      <c r="K1880" s="6">
        <v>2</v>
      </c>
      <c r="L1880" s="6">
        <v>4</v>
      </c>
      <c r="M1880" t="s">
        <v>126</v>
      </c>
      <c r="N1880" t="s">
        <v>59</v>
      </c>
      <c r="O1880" t="s">
        <v>64</v>
      </c>
      <c r="P1880" t="str">
        <f t="shared" si="203"/>
        <v>Individual</v>
      </c>
      <c r="Q1880" t="str">
        <f t="shared" si="204"/>
        <v>Midlands</v>
      </c>
      <c r="R1880" t="str">
        <f>PROPER(TRIM(E1880))</f>
        <v>Office</v>
      </c>
      <c r="S1880" s="27">
        <f>IF(ISTEXT(B1880),DATEVALUE(B1880),B1880)</f>
        <v>45732</v>
      </c>
      <c r="T1880" s="27">
        <f>COUNTIF($A$2:$A$1986,A1880)</f>
        <v>1</v>
      </c>
      <c r="U1880" s="27" t="str">
        <f t="shared" si="205"/>
        <v>Laptop Stand</v>
      </c>
      <c r="V1880" s="27">
        <f t="shared" si="206"/>
        <v>44.23</v>
      </c>
      <c r="W1880" s="27">
        <f t="shared" si="207"/>
        <v>21.38</v>
      </c>
      <c r="X1880" s="27">
        <f>RawSalesTable3[[#This Row],[Revenue]]-RawSalesTable3[[#This Row],[Total_Cost]]</f>
        <v>22.849999999999998</v>
      </c>
      <c r="Y1880" s="28">
        <f>RawSalesTable3[[#This Row],[Profit]]/RawSalesTable3[[#This Row],[Revenue]]</f>
        <v>0.51661768030748356</v>
      </c>
      <c r="Z1880" s="27" t="str">
        <f>TEXT(RawSalesTable3[[#This Row],[Order_Date_Clean]],"MMM YYYY")</f>
        <v>Mar 2025</v>
      </c>
      <c r="AA1880" s="27"/>
      <c r="AB1880" s="27">
        <f t="shared" si="208"/>
        <v>0</v>
      </c>
      <c r="AC1880" s="27">
        <f t="shared" si="209"/>
        <v>0</v>
      </c>
    </row>
    <row r="1881" spans="1:29">
      <c r="A1881" t="s">
        <v>1994</v>
      </c>
      <c r="B1881" s="3">
        <v>45998</v>
      </c>
      <c r="C1881" t="s">
        <v>54</v>
      </c>
      <c r="D1881" t="s">
        <v>55</v>
      </c>
      <c r="E1881" t="s">
        <v>79</v>
      </c>
      <c r="F1881" t="s">
        <v>85</v>
      </c>
      <c r="G1881" s="6">
        <v>3</v>
      </c>
      <c r="H1881" s="4">
        <v>129.05000000000001</v>
      </c>
      <c r="I1881" s="4">
        <v>88.19</v>
      </c>
      <c r="J1881" s="5">
        <v>0.05</v>
      </c>
      <c r="K1881" s="6">
        <v>3</v>
      </c>
      <c r="L1881" s="6">
        <v>4</v>
      </c>
      <c r="M1881" t="s">
        <v>58</v>
      </c>
      <c r="N1881" t="s">
        <v>59</v>
      </c>
      <c r="O1881" t="s">
        <v>60</v>
      </c>
      <c r="P1881" t="str">
        <f t="shared" si="203"/>
        <v>Small Business</v>
      </c>
      <c r="Q1881" t="str">
        <f t="shared" si="204"/>
        <v>North</v>
      </c>
      <c r="R1881" t="str">
        <f>PROPER(TRIM(E1881))</f>
        <v>Electronics</v>
      </c>
      <c r="S1881" s="27">
        <f>IF(ISTEXT(B1881),DATEVALUE(B1881),B1881)</f>
        <v>45998</v>
      </c>
      <c r="T1881" s="27">
        <f>COUNTIF($A$2:$A$1986,A1881)</f>
        <v>1</v>
      </c>
      <c r="U1881" s="27" t="str">
        <f t="shared" si="205"/>
        <v>SmartHome Hub</v>
      </c>
      <c r="V1881" s="27">
        <f t="shared" si="206"/>
        <v>367.79250000000002</v>
      </c>
      <c r="W1881" s="27">
        <f t="shared" si="207"/>
        <v>264.57</v>
      </c>
      <c r="X1881" s="27">
        <f>RawSalesTable3[[#This Row],[Revenue]]-RawSalesTable3[[#This Row],[Total_Cost]]</f>
        <v>103.22250000000003</v>
      </c>
      <c r="Y1881" s="28">
        <f>RawSalesTable3[[#This Row],[Profit]]/RawSalesTable3[[#This Row],[Revenue]]</f>
        <v>0.28065417320907854</v>
      </c>
      <c r="Z1881" s="27" t="str">
        <f>TEXT(RawSalesTable3[[#This Row],[Order_Date_Clean]],"MMM YYYY")</f>
        <v>Dec 2025</v>
      </c>
      <c r="AA1881" s="27"/>
      <c r="AB1881" s="27">
        <f t="shared" si="208"/>
        <v>0</v>
      </c>
      <c r="AC1881" s="27">
        <f t="shared" si="209"/>
        <v>0</v>
      </c>
    </row>
    <row r="1882" spans="1:29">
      <c r="A1882" t="s">
        <v>1995</v>
      </c>
      <c r="B1882" s="3">
        <v>45989</v>
      </c>
      <c r="C1882" t="s">
        <v>66</v>
      </c>
      <c r="D1882" t="s">
        <v>62</v>
      </c>
      <c r="E1882" t="s">
        <v>56</v>
      </c>
      <c r="F1882" t="s">
        <v>89</v>
      </c>
      <c r="G1882" s="6">
        <v>1</v>
      </c>
      <c r="H1882" s="4">
        <v>80.62</v>
      </c>
      <c r="I1882" s="4">
        <v>43.85</v>
      </c>
      <c r="J1882" s="5">
        <v>0.2</v>
      </c>
      <c r="K1882" s="6">
        <v>4</v>
      </c>
      <c r="L1882" s="6">
        <v>4</v>
      </c>
      <c r="M1882" t="s">
        <v>58</v>
      </c>
      <c r="N1882" t="s">
        <v>59</v>
      </c>
      <c r="O1882" t="s">
        <v>60</v>
      </c>
      <c r="P1882" t="str">
        <f t="shared" si="203"/>
        <v>Individual</v>
      </c>
      <c r="Q1882" t="str">
        <f t="shared" si="204"/>
        <v>South</v>
      </c>
      <c r="R1882" t="str">
        <f>PROPER(TRIM(E1882))</f>
        <v>Home &amp; Kitchen</v>
      </c>
      <c r="S1882" s="27">
        <f>IF(ISTEXT(B1882),DATEVALUE(B1882),B1882)</f>
        <v>45989</v>
      </c>
      <c r="T1882" s="27">
        <f>COUNTIF($A$2:$A$1986,A1882)</f>
        <v>1</v>
      </c>
      <c r="U1882" s="27" t="str">
        <f t="shared" si="205"/>
        <v>Coffee Maker</v>
      </c>
      <c r="V1882" s="27">
        <f t="shared" si="206"/>
        <v>64.496000000000009</v>
      </c>
      <c r="W1882" s="27">
        <f t="shared" si="207"/>
        <v>43.85</v>
      </c>
      <c r="X1882" s="27">
        <f>RawSalesTable3[[#This Row],[Revenue]]-RawSalesTable3[[#This Row],[Total_Cost]]</f>
        <v>20.646000000000008</v>
      </c>
      <c r="Y1882" s="28">
        <f>RawSalesTable3[[#This Row],[Profit]]/RawSalesTable3[[#This Row],[Revenue]]</f>
        <v>0.32011287521706783</v>
      </c>
      <c r="Z1882" s="27" t="str">
        <f>TEXT(RawSalesTable3[[#This Row],[Order_Date_Clean]],"MMM YYYY")</f>
        <v>Nov 2025</v>
      </c>
      <c r="AA1882" s="27"/>
      <c r="AB1882" s="27">
        <f t="shared" si="208"/>
        <v>0</v>
      </c>
      <c r="AC1882" s="27">
        <f t="shared" si="209"/>
        <v>0</v>
      </c>
    </row>
    <row r="1883" spans="1:29">
      <c r="A1883" t="s">
        <v>1996</v>
      </c>
      <c r="B1883" s="3">
        <v>45893</v>
      </c>
      <c r="C1883" t="s">
        <v>54</v>
      </c>
      <c r="D1883" t="s">
        <v>129</v>
      </c>
      <c r="E1883" t="s">
        <v>56</v>
      </c>
      <c r="F1883" t="s">
        <v>63</v>
      </c>
      <c r="G1883" s="6">
        <v>8</v>
      </c>
      <c r="H1883" s="4">
        <v>40.53</v>
      </c>
      <c r="I1883" s="4">
        <v>20.72</v>
      </c>
      <c r="J1883" s="5">
        <v>0.05</v>
      </c>
      <c r="K1883" s="6">
        <v>2</v>
      </c>
      <c r="L1883" s="6">
        <v>4</v>
      </c>
      <c r="M1883" t="s">
        <v>58</v>
      </c>
      <c r="N1883" t="s">
        <v>69</v>
      </c>
      <c r="O1883" t="s">
        <v>64</v>
      </c>
      <c r="P1883" t="str">
        <f t="shared" si="203"/>
        <v>Corporate</v>
      </c>
      <c r="Q1883" t="str">
        <f t="shared" si="204"/>
        <v>North</v>
      </c>
      <c r="R1883" t="str">
        <f>PROPER(TRIM(E1883))</f>
        <v>Home &amp; Kitchen</v>
      </c>
      <c r="S1883" s="27">
        <f>IF(ISTEXT(B1883),DATEVALUE(B1883),B1883)</f>
        <v>45893</v>
      </c>
      <c r="T1883" s="27">
        <f>COUNTIF($A$2:$A$1986,A1883)</f>
        <v>1</v>
      </c>
      <c r="U1883" s="27" t="str">
        <f t="shared" si="205"/>
        <v>Electric Kettle</v>
      </c>
      <c r="V1883" s="27">
        <f t="shared" si="206"/>
        <v>308.02800000000002</v>
      </c>
      <c r="W1883" s="27">
        <f t="shared" si="207"/>
        <v>165.76</v>
      </c>
      <c r="X1883" s="27">
        <f>RawSalesTable3[[#This Row],[Revenue]]-RawSalesTable3[[#This Row],[Total_Cost]]</f>
        <v>142.26800000000003</v>
      </c>
      <c r="Y1883" s="28">
        <f>RawSalesTable3[[#This Row],[Profit]]/RawSalesTable3[[#This Row],[Revenue]]</f>
        <v>0.46186710299063727</v>
      </c>
      <c r="Z1883" s="27" t="str">
        <f>TEXT(RawSalesTable3[[#This Row],[Order_Date_Clean]],"MMM YYYY")</f>
        <v>Aug 2025</v>
      </c>
      <c r="AA1883" s="27"/>
      <c r="AB1883" s="27">
        <f t="shared" si="208"/>
        <v>0</v>
      </c>
      <c r="AC1883" s="27">
        <f t="shared" si="209"/>
        <v>0</v>
      </c>
    </row>
    <row r="1884" spans="1:29">
      <c r="A1884" t="s">
        <v>1997</v>
      </c>
      <c r="B1884" s="3">
        <v>45728</v>
      </c>
      <c r="C1884" t="s">
        <v>54</v>
      </c>
      <c r="D1884" t="s">
        <v>62</v>
      </c>
      <c r="E1884" t="s">
        <v>67</v>
      </c>
      <c r="F1884" t="s">
        <v>107</v>
      </c>
      <c r="G1884" s="6">
        <v>2</v>
      </c>
      <c r="H1884" s="4">
        <v>46.38</v>
      </c>
      <c r="I1884" s="4">
        <v>21.25</v>
      </c>
      <c r="J1884" s="5">
        <v>0</v>
      </c>
      <c r="K1884" s="6">
        <v>3</v>
      </c>
      <c r="L1884" s="6">
        <v>4</v>
      </c>
      <c r="M1884" t="s">
        <v>58</v>
      </c>
      <c r="N1884" t="s">
        <v>59</v>
      </c>
      <c r="O1884" t="s">
        <v>64</v>
      </c>
      <c r="P1884" t="str">
        <f t="shared" si="203"/>
        <v>Individual</v>
      </c>
      <c r="Q1884" t="str">
        <f t="shared" si="204"/>
        <v>North</v>
      </c>
      <c r="R1884" t="str">
        <f>PROPER(TRIM(E1884))</f>
        <v>Office</v>
      </c>
      <c r="S1884" s="27">
        <f>IF(ISTEXT(B1884),DATEVALUE(B1884),B1884)</f>
        <v>45728</v>
      </c>
      <c r="T1884" s="27">
        <f>COUNTIF($A$2:$A$1986,A1884)</f>
        <v>1</v>
      </c>
      <c r="U1884" s="27" t="str">
        <f t="shared" si="205"/>
        <v>Laptop Stand</v>
      </c>
      <c r="V1884" s="27">
        <f t="shared" si="206"/>
        <v>92.76</v>
      </c>
      <c r="W1884" s="27">
        <f t="shared" si="207"/>
        <v>42.5</v>
      </c>
      <c r="X1884" s="27">
        <f>RawSalesTable3[[#This Row],[Revenue]]-RawSalesTable3[[#This Row],[Total_Cost]]</f>
        <v>50.260000000000005</v>
      </c>
      <c r="Y1884" s="28">
        <f>RawSalesTable3[[#This Row],[Profit]]/RawSalesTable3[[#This Row],[Revenue]]</f>
        <v>0.541828374299267</v>
      </c>
      <c r="Z1884" s="27" t="str">
        <f>TEXT(RawSalesTable3[[#This Row],[Order_Date_Clean]],"MMM YYYY")</f>
        <v>Mar 2025</v>
      </c>
      <c r="AA1884" s="27"/>
      <c r="AB1884" s="27">
        <f t="shared" si="208"/>
        <v>0</v>
      </c>
      <c r="AC1884" s="27">
        <f t="shared" si="209"/>
        <v>0</v>
      </c>
    </row>
    <row r="1885" spans="1:29">
      <c r="A1885" t="s">
        <v>1998</v>
      </c>
      <c r="B1885" s="3">
        <v>45733</v>
      </c>
      <c r="C1885" t="s">
        <v>82</v>
      </c>
      <c r="D1885" t="s">
        <v>62</v>
      </c>
      <c r="E1885" t="s">
        <v>67</v>
      </c>
      <c r="F1885" t="s">
        <v>107</v>
      </c>
      <c r="G1885" s="6">
        <v>2</v>
      </c>
      <c r="H1885" s="4">
        <v>46.09</v>
      </c>
      <c r="I1885" s="4">
        <v>20.53</v>
      </c>
      <c r="J1885" s="5">
        <v>0</v>
      </c>
      <c r="K1885" s="6">
        <v>2</v>
      </c>
      <c r="L1885" s="6">
        <v>4</v>
      </c>
      <c r="M1885" t="s">
        <v>58</v>
      </c>
      <c r="N1885" t="s">
        <v>69</v>
      </c>
      <c r="O1885" t="s">
        <v>73</v>
      </c>
      <c r="P1885" t="str">
        <f t="shared" si="203"/>
        <v>Individual</v>
      </c>
      <c r="Q1885" t="str">
        <f t="shared" si="204"/>
        <v>Midlands</v>
      </c>
      <c r="R1885" t="str">
        <f>PROPER(TRIM(E1885))</f>
        <v>Office</v>
      </c>
      <c r="S1885" s="27">
        <f>IF(ISTEXT(B1885),DATEVALUE(B1885),B1885)</f>
        <v>45733</v>
      </c>
      <c r="T1885" s="27">
        <f>COUNTIF($A$2:$A$1986,A1885)</f>
        <v>1</v>
      </c>
      <c r="U1885" s="27" t="str">
        <f t="shared" si="205"/>
        <v>Laptop Stand</v>
      </c>
      <c r="V1885" s="27">
        <f t="shared" si="206"/>
        <v>92.18</v>
      </c>
      <c r="W1885" s="27">
        <f t="shared" si="207"/>
        <v>41.06</v>
      </c>
      <c r="X1885" s="27">
        <f>RawSalesTable3[[#This Row],[Revenue]]-RawSalesTable3[[#This Row],[Total_Cost]]</f>
        <v>51.120000000000005</v>
      </c>
      <c r="Y1885" s="28">
        <f>RawSalesTable3[[#This Row],[Profit]]/RawSalesTable3[[#This Row],[Revenue]]</f>
        <v>0.55456715122586242</v>
      </c>
      <c r="Z1885" s="27" t="str">
        <f>TEXT(RawSalesTable3[[#This Row],[Order_Date_Clean]],"MMM YYYY")</f>
        <v>Mar 2025</v>
      </c>
      <c r="AA1885" s="27"/>
      <c r="AB1885" s="27">
        <f t="shared" si="208"/>
        <v>0</v>
      </c>
      <c r="AC1885" s="27">
        <f t="shared" si="209"/>
        <v>0</v>
      </c>
    </row>
    <row r="1886" spans="1:29">
      <c r="A1886" t="s">
        <v>1999</v>
      </c>
      <c r="B1886" s="3">
        <v>45869</v>
      </c>
      <c r="C1886" t="s">
        <v>78</v>
      </c>
      <c r="D1886" t="s">
        <v>62</v>
      </c>
      <c r="E1886" t="s">
        <v>56</v>
      </c>
      <c r="F1886" t="s">
        <v>89</v>
      </c>
      <c r="G1886" s="6">
        <v>1</v>
      </c>
      <c r="H1886" s="4">
        <v>78.900000000000006</v>
      </c>
      <c r="I1886" s="4">
        <v>44.79</v>
      </c>
      <c r="J1886" s="5">
        <v>0</v>
      </c>
      <c r="K1886" s="6">
        <v>1</v>
      </c>
      <c r="L1886" s="6">
        <v>4</v>
      </c>
      <c r="M1886" t="s">
        <v>58</v>
      </c>
      <c r="N1886" t="s">
        <v>59</v>
      </c>
      <c r="O1886" t="s">
        <v>64</v>
      </c>
      <c r="P1886" t="str">
        <f t="shared" si="203"/>
        <v>Individual</v>
      </c>
      <c r="Q1886" t="str">
        <f t="shared" si="204"/>
        <v>London</v>
      </c>
      <c r="R1886" t="str">
        <f>PROPER(TRIM(E1886))</f>
        <v>Home &amp; Kitchen</v>
      </c>
      <c r="S1886" s="27">
        <f>IF(ISTEXT(B1886),DATEVALUE(B1886),B1886)</f>
        <v>45869</v>
      </c>
      <c r="T1886" s="27">
        <f>COUNTIF($A$2:$A$1986,A1886)</f>
        <v>1</v>
      </c>
      <c r="U1886" s="27" t="str">
        <f t="shared" si="205"/>
        <v>Coffee Maker</v>
      </c>
      <c r="V1886" s="27">
        <f t="shared" si="206"/>
        <v>78.900000000000006</v>
      </c>
      <c r="W1886" s="27">
        <f t="shared" si="207"/>
        <v>44.79</v>
      </c>
      <c r="X1886" s="27">
        <f>RawSalesTable3[[#This Row],[Revenue]]-RawSalesTable3[[#This Row],[Total_Cost]]</f>
        <v>34.110000000000007</v>
      </c>
      <c r="Y1886" s="28">
        <f>RawSalesTable3[[#This Row],[Profit]]/RawSalesTable3[[#This Row],[Revenue]]</f>
        <v>0.43231939163498107</v>
      </c>
      <c r="Z1886" s="27" t="str">
        <f>TEXT(RawSalesTable3[[#This Row],[Order_Date_Clean]],"MMM YYYY")</f>
        <v>Jul 2025</v>
      </c>
      <c r="AA1886" s="27"/>
      <c r="AB1886" s="27">
        <f t="shared" si="208"/>
        <v>0</v>
      </c>
      <c r="AC1886" s="27">
        <f t="shared" si="209"/>
        <v>0</v>
      </c>
    </row>
    <row r="1887" spans="1:29">
      <c r="A1887" t="s">
        <v>2000</v>
      </c>
      <c r="B1887" s="3">
        <v>45983</v>
      </c>
      <c r="C1887" t="s">
        <v>66</v>
      </c>
      <c r="D1887" t="s">
        <v>62</v>
      </c>
      <c r="E1887" t="s">
        <v>79</v>
      </c>
      <c r="F1887" t="s">
        <v>85</v>
      </c>
      <c r="G1887" s="6">
        <v>1</v>
      </c>
      <c r="H1887" s="4">
        <v>133.27000000000001</v>
      </c>
      <c r="I1887" s="4">
        <v>86.41</v>
      </c>
      <c r="J1887" s="5">
        <v>0.1</v>
      </c>
      <c r="K1887" s="6">
        <v>2</v>
      </c>
      <c r="L1887" s="6">
        <v>4</v>
      </c>
      <c r="M1887" t="s">
        <v>58</v>
      </c>
      <c r="N1887" t="s">
        <v>59</v>
      </c>
      <c r="O1887" t="s">
        <v>64</v>
      </c>
      <c r="P1887" t="str">
        <f t="shared" si="203"/>
        <v>Individual</v>
      </c>
      <c r="Q1887" t="str">
        <f t="shared" si="204"/>
        <v>South</v>
      </c>
      <c r="R1887" t="str">
        <f>PROPER(TRIM(E1887))</f>
        <v>Electronics</v>
      </c>
      <c r="S1887" s="27">
        <f>IF(ISTEXT(B1887),DATEVALUE(B1887),B1887)</f>
        <v>45983</v>
      </c>
      <c r="T1887" s="27">
        <f>COUNTIF($A$2:$A$1986,A1887)</f>
        <v>1</v>
      </c>
      <c r="U1887" s="27" t="str">
        <f t="shared" si="205"/>
        <v>SmartHome Hub</v>
      </c>
      <c r="V1887" s="27">
        <f t="shared" si="206"/>
        <v>119.94300000000001</v>
      </c>
      <c r="W1887" s="27">
        <f t="shared" si="207"/>
        <v>86.41</v>
      </c>
      <c r="X1887" s="27">
        <f>RawSalesTable3[[#This Row],[Revenue]]-RawSalesTable3[[#This Row],[Total_Cost]]</f>
        <v>33.533000000000015</v>
      </c>
      <c r="Y1887" s="28">
        <f>RawSalesTable3[[#This Row],[Profit]]/RawSalesTable3[[#This Row],[Revenue]]</f>
        <v>0.27957446453732199</v>
      </c>
      <c r="Z1887" s="27" t="str">
        <f>TEXT(RawSalesTable3[[#This Row],[Order_Date_Clean]],"MMM YYYY")</f>
        <v>Nov 2025</v>
      </c>
      <c r="AA1887" s="27"/>
      <c r="AB1887" s="27">
        <f t="shared" si="208"/>
        <v>0</v>
      </c>
      <c r="AC1887" s="27">
        <f t="shared" si="209"/>
        <v>0</v>
      </c>
    </row>
    <row r="1888" spans="1:29">
      <c r="A1888" t="s">
        <v>2001</v>
      </c>
      <c r="B1888" s="3">
        <v>45876</v>
      </c>
      <c r="C1888" t="s">
        <v>54</v>
      </c>
      <c r="D1888" t="s">
        <v>62</v>
      </c>
      <c r="E1888" t="s">
        <v>75</v>
      </c>
      <c r="F1888" t="s">
        <v>146</v>
      </c>
      <c r="G1888" s="6">
        <v>2</v>
      </c>
      <c r="H1888" s="4">
        <v>183.58</v>
      </c>
      <c r="I1888" s="4">
        <v>115.11</v>
      </c>
      <c r="J1888" s="5">
        <v>0.05</v>
      </c>
      <c r="K1888" s="6">
        <v>2</v>
      </c>
      <c r="L1888" s="6">
        <v>4</v>
      </c>
      <c r="M1888" t="s">
        <v>58</v>
      </c>
      <c r="N1888" t="s">
        <v>69</v>
      </c>
      <c r="O1888" t="s">
        <v>64</v>
      </c>
      <c r="P1888" t="str">
        <f t="shared" si="203"/>
        <v>Individual</v>
      </c>
      <c r="Q1888" t="str">
        <f t="shared" si="204"/>
        <v>North</v>
      </c>
      <c r="R1888" t="str">
        <f>PROPER(TRIM(E1888))</f>
        <v>Furniture</v>
      </c>
      <c r="S1888" s="27">
        <f>IF(ISTEXT(B1888),DATEVALUE(B1888),B1888)</f>
        <v>45876</v>
      </c>
      <c r="T1888" s="27">
        <f>COUNTIF($A$2:$A$1986,A1888)</f>
        <v>1</v>
      </c>
      <c r="U1888" s="27" t="str">
        <f t="shared" si="205"/>
        <v>Office Chair</v>
      </c>
      <c r="V1888" s="27">
        <f t="shared" si="206"/>
        <v>348.80200000000002</v>
      </c>
      <c r="W1888" s="27">
        <f t="shared" si="207"/>
        <v>230.22</v>
      </c>
      <c r="X1888" s="27">
        <f>RawSalesTable3[[#This Row],[Revenue]]-RawSalesTable3[[#This Row],[Total_Cost]]</f>
        <v>118.58200000000002</v>
      </c>
      <c r="Y1888" s="28">
        <f>RawSalesTable3[[#This Row],[Profit]]/RawSalesTable3[[#This Row],[Revenue]]</f>
        <v>0.33996938090951317</v>
      </c>
      <c r="Z1888" s="27" t="str">
        <f>TEXT(RawSalesTable3[[#This Row],[Order_Date_Clean]],"MMM YYYY")</f>
        <v>Aug 2025</v>
      </c>
      <c r="AA1888" s="27"/>
      <c r="AB1888" s="27">
        <f t="shared" si="208"/>
        <v>0</v>
      </c>
      <c r="AC1888" s="27">
        <f t="shared" si="209"/>
        <v>0</v>
      </c>
    </row>
    <row r="1889" spans="1:29">
      <c r="A1889" t="s">
        <v>2002</v>
      </c>
      <c r="B1889" s="3">
        <v>45814</v>
      </c>
      <c r="C1889" t="s">
        <v>82</v>
      </c>
      <c r="D1889" t="s">
        <v>62</v>
      </c>
      <c r="E1889" t="s">
        <v>67</v>
      </c>
      <c r="F1889" t="s">
        <v>107</v>
      </c>
      <c r="G1889" s="6">
        <v>1</v>
      </c>
      <c r="H1889" s="4">
        <v>43.72</v>
      </c>
      <c r="I1889" s="4">
        <v>20.94</v>
      </c>
      <c r="J1889" s="5">
        <v>0</v>
      </c>
      <c r="K1889" s="6">
        <v>2</v>
      </c>
      <c r="L1889" s="6">
        <v>5</v>
      </c>
      <c r="M1889" t="s">
        <v>58</v>
      </c>
      <c r="N1889" t="s">
        <v>59</v>
      </c>
      <c r="O1889" t="s">
        <v>64</v>
      </c>
      <c r="P1889" t="str">
        <f t="shared" si="203"/>
        <v>Individual</v>
      </c>
      <c r="Q1889" t="str">
        <f t="shared" si="204"/>
        <v>Midlands</v>
      </c>
      <c r="R1889" t="str">
        <f>PROPER(TRIM(E1889))</f>
        <v>Office</v>
      </c>
      <c r="S1889" s="27">
        <f>IF(ISTEXT(B1889),DATEVALUE(B1889),B1889)</f>
        <v>45814</v>
      </c>
      <c r="T1889" s="27">
        <f>COUNTIF($A$2:$A$1986,A1889)</f>
        <v>1</v>
      </c>
      <c r="U1889" s="27" t="str">
        <f t="shared" si="205"/>
        <v>Laptop Stand</v>
      </c>
      <c r="V1889" s="27">
        <f t="shared" si="206"/>
        <v>43.72</v>
      </c>
      <c r="W1889" s="27">
        <f t="shared" si="207"/>
        <v>20.94</v>
      </c>
      <c r="X1889" s="27">
        <f>RawSalesTable3[[#This Row],[Revenue]]-RawSalesTable3[[#This Row],[Total_Cost]]</f>
        <v>22.779999999999998</v>
      </c>
      <c r="Y1889" s="28">
        <f>RawSalesTable3[[#This Row],[Profit]]/RawSalesTable3[[#This Row],[Revenue]]</f>
        <v>0.52104300091491307</v>
      </c>
      <c r="Z1889" s="27" t="str">
        <f>TEXT(RawSalesTable3[[#This Row],[Order_Date_Clean]],"MMM YYYY")</f>
        <v>Jun 2025</v>
      </c>
      <c r="AA1889" s="27"/>
      <c r="AB1889" s="27">
        <f t="shared" si="208"/>
        <v>0</v>
      </c>
      <c r="AC1889" s="27">
        <f t="shared" si="209"/>
        <v>0</v>
      </c>
    </row>
    <row r="1890" spans="1:29">
      <c r="A1890" t="s">
        <v>2003</v>
      </c>
      <c r="B1890" s="3">
        <v>46013</v>
      </c>
      <c r="C1890" t="s">
        <v>82</v>
      </c>
      <c r="D1890" t="s">
        <v>55</v>
      </c>
      <c r="E1890" t="s">
        <v>75</v>
      </c>
      <c r="F1890" t="s">
        <v>110</v>
      </c>
      <c r="G1890" s="6">
        <v>2</v>
      </c>
      <c r="H1890" s="4">
        <v>161.44999999999999</v>
      </c>
      <c r="I1890" s="4">
        <v>105.88</v>
      </c>
      <c r="J1890" s="5">
        <v>0.1</v>
      </c>
      <c r="K1890" s="6">
        <v>0</v>
      </c>
      <c r="L1890" s="6">
        <v>4</v>
      </c>
      <c r="M1890" t="s">
        <v>58</v>
      </c>
      <c r="N1890" t="s">
        <v>69</v>
      </c>
      <c r="O1890" t="s">
        <v>64</v>
      </c>
      <c r="P1890" t="str">
        <f t="shared" si="203"/>
        <v>Small Business</v>
      </c>
      <c r="Q1890" t="str">
        <f t="shared" si="204"/>
        <v>Midlands</v>
      </c>
      <c r="R1890" t="str">
        <f>PROPER(TRIM(E1890))</f>
        <v>Furniture</v>
      </c>
      <c r="S1890" s="27">
        <f>IF(ISTEXT(B1890),DATEVALUE(B1890),B1890)</f>
        <v>46013</v>
      </c>
      <c r="T1890" s="27">
        <f>COUNTIF($A$2:$A$1986,A1890)</f>
        <v>1</v>
      </c>
      <c r="U1890" s="27" t="str">
        <f t="shared" si="205"/>
        <v>Storage Cabinet</v>
      </c>
      <c r="V1890" s="27">
        <f t="shared" si="206"/>
        <v>290.61</v>
      </c>
      <c r="W1890" s="27">
        <f t="shared" si="207"/>
        <v>211.76</v>
      </c>
      <c r="X1890" s="27">
        <f>RawSalesTable3[[#This Row],[Revenue]]-RawSalesTable3[[#This Row],[Total_Cost]]</f>
        <v>78.850000000000023</v>
      </c>
      <c r="Y1890" s="28">
        <f>RawSalesTable3[[#This Row],[Profit]]/RawSalesTable3[[#This Row],[Revenue]]</f>
        <v>0.27132583187089232</v>
      </c>
      <c r="Z1890" s="27" t="str">
        <f>TEXT(RawSalesTable3[[#This Row],[Order_Date_Clean]],"MMM YYYY")</f>
        <v>Dec 2025</v>
      </c>
      <c r="AA1890" s="27"/>
      <c r="AB1890" s="27">
        <f t="shared" si="208"/>
        <v>0</v>
      </c>
      <c r="AC1890" s="27">
        <f t="shared" si="209"/>
        <v>0</v>
      </c>
    </row>
    <row r="1891" spans="1:29">
      <c r="A1891" t="s">
        <v>2004</v>
      </c>
      <c r="B1891" s="3">
        <v>45846</v>
      </c>
      <c r="C1891" t="s">
        <v>66</v>
      </c>
      <c r="D1891" t="s">
        <v>62</v>
      </c>
      <c r="E1891" t="s">
        <v>75</v>
      </c>
      <c r="F1891" t="s">
        <v>76</v>
      </c>
      <c r="G1891" s="6">
        <v>2</v>
      </c>
      <c r="H1891" s="4">
        <v>117.41</v>
      </c>
      <c r="I1891" s="4">
        <v>70.39</v>
      </c>
      <c r="J1891" s="5">
        <v>0.1</v>
      </c>
      <c r="K1891" s="6">
        <v>3</v>
      </c>
      <c r="L1891" s="6">
        <v>4</v>
      </c>
      <c r="M1891" t="s">
        <v>58</v>
      </c>
      <c r="N1891" t="s">
        <v>59</v>
      </c>
      <c r="O1891" t="s">
        <v>64</v>
      </c>
      <c r="P1891" t="str">
        <f t="shared" si="203"/>
        <v>Individual</v>
      </c>
      <c r="Q1891" t="str">
        <f t="shared" si="204"/>
        <v>South</v>
      </c>
      <c r="R1891" t="str">
        <f>PROPER(TRIM(E1891))</f>
        <v>Furniture</v>
      </c>
      <c r="S1891" s="27">
        <f>IF(ISTEXT(B1891),DATEVALUE(B1891),B1891)</f>
        <v>45846</v>
      </c>
      <c r="T1891" s="27">
        <f>COUNTIF($A$2:$A$1986,A1891)</f>
        <v>1</v>
      </c>
      <c r="U1891" s="27" t="str">
        <f t="shared" si="205"/>
        <v>Bookshelf</v>
      </c>
      <c r="V1891" s="27">
        <f t="shared" si="206"/>
        <v>211.33799999999999</v>
      </c>
      <c r="W1891" s="27">
        <f t="shared" si="207"/>
        <v>140.78</v>
      </c>
      <c r="X1891" s="27">
        <f>RawSalesTable3[[#This Row],[Revenue]]-RawSalesTable3[[#This Row],[Total_Cost]]</f>
        <v>70.557999999999993</v>
      </c>
      <c r="Y1891" s="28">
        <f>RawSalesTable3[[#This Row],[Profit]]/RawSalesTable3[[#This Row],[Revenue]]</f>
        <v>0.33386329008507698</v>
      </c>
      <c r="Z1891" s="27" t="str">
        <f>TEXT(RawSalesTable3[[#This Row],[Order_Date_Clean]],"MMM YYYY")</f>
        <v>Jul 2025</v>
      </c>
      <c r="AA1891" s="27"/>
      <c r="AB1891" s="27">
        <f t="shared" si="208"/>
        <v>0</v>
      </c>
      <c r="AC1891" s="27">
        <f t="shared" si="209"/>
        <v>0</v>
      </c>
    </row>
    <row r="1892" spans="1:29">
      <c r="A1892" t="s">
        <v>2005</v>
      </c>
      <c r="B1892" s="3">
        <v>46013</v>
      </c>
      <c r="C1892" t="s">
        <v>78</v>
      </c>
      <c r="D1892" t="s">
        <v>55</v>
      </c>
      <c r="E1892" t="s">
        <v>67</v>
      </c>
      <c r="F1892" t="s">
        <v>68</v>
      </c>
      <c r="G1892" s="6">
        <v>3</v>
      </c>
      <c r="H1892" s="4">
        <v>40.39</v>
      </c>
      <c r="I1892" s="4">
        <v>19.52</v>
      </c>
      <c r="J1892" s="5">
        <v>0.15000000000000002</v>
      </c>
      <c r="K1892" s="6">
        <v>5</v>
      </c>
      <c r="L1892" s="6">
        <v>5</v>
      </c>
      <c r="M1892" t="s">
        <v>58</v>
      </c>
      <c r="N1892" t="s">
        <v>59</v>
      </c>
      <c r="O1892" t="s">
        <v>73</v>
      </c>
      <c r="P1892" t="str">
        <f t="shared" si="203"/>
        <v>Small Business</v>
      </c>
      <c r="Q1892" t="str">
        <f t="shared" si="204"/>
        <v>London</v>
      </c>
      <c r="R1892" t="str">
        <f>PROPER(TRIM(E1892))</f>
        <v>Office</v>
      </c>
      <c r="S1892" s="27">
        <f>IF(ISTEXT(B1892),DATEVALUE(B1892),B1892)</f>
        <v>46013</v>
      </c>
      <c r="T1892" s="27">
        <f>COUNTIF($A$2:$A$1986,A1892)</f>
        <v>1</v>
      </c>
      <c r="U1892" s="27" t="str">
        <f t="shared" si="205"/>
        <v>Desk Lamp</v>
      </c>
      <c r="V1892" s="27">
        <f t="shared" si="206"/>
        <v>102.9945</v>
      </c>
      <c r="W1892" s="27">
        <f t="shared" si="207"/>
        <v>58.56</v>
      </c>
      <c r="X1892" s="27">
        <f>RawSalesTable3[[#This Row],[Revenue]]-RawSalesTable3[[#This Row],[Total_Cost]]</f>
        <v>44.4345</v>
      </c>
      <c r="Y1892" s="28">
        <f>RawSalesTable3[[#This Row],[Profit]]/RawSalesTable3[[#This Row],[Revenue]]</f>
        <v>0.43142594992936517</v>
      </c>
      <c r="Z1892" s="27" t="str">
        <f>TEXT(RawSalesTable3[[#This Row],[Order_Date_Clean]],"MMM YYYY")</f>
        <v>Dec 2025</v>
      </c>
      <c r="AA1892" s="27"/>
      <c r="AB1892" s="27">
        <f t="shared" si="208"/>
        <v>0</v>
      </c>
      <c r="AC1892" s="27">
        <f t="shared" si="209"/>
        <v>0</v>
      </c>
    </row>
    <row r="1893" spans="1:29">
      <c r="A1893" t="s">
        <v>2006</v>
      </c>
      <c r="B1893" s="3">
        <v>45828</v>
      </c>
      <c r="C1893" t="s">
        <v>54</v>
      </c>
      <c r="D1893" t="s">
        <v>55</v>
      </c>
      <c r="E1893" t="s">
        <v>79</v>
      </c>
      <c r="F1893" t="s">
        <v>80</v>
      </c>
      <c r="G1893" s="6">
        <v>2</v>
      </c>
      <c r="H1893" s="4">
        <v>74.03</v>
      </c>
      <c r="I1893" s="4">
        <v>44.01</v>
      </c>
      <c r="J1893" s="5">
        <v>0</v>
      </c>
      <c r="K1893" s="6">
        <v>0</v>
      </c>
      <c r="L1893" s="6">
        <v>5</v>
      </c>
      <c r="M1893" t="s">
        <v>58</v>
      </c>
      <c r="N1893" t="s">
        <v>69</v>
      </c>
      <c r="O1893" t="s">
        <v>64</v>
      </c>
      <c r="P1893" t="str">
        <f t="shared" si="203"/>
        <v>Small Business</v>
      </c>
      <c r="Q1893" t="str">
        <f t="shared" si="204"/>
        <v>North</v>
      </c>
      <c r="R1893" t="str">
        <f>PROPER(TRIM(E1893))</f>
        <v>Electronics</v>
      </c>
      <c r="S1893" s="27">
        <f>IF(ISTEXT(B1893),DATEVALUE(B1893),B1893)</f>
        <v>45828</v>
      </c>
      <c r="T1893" s="27">
        <f>COUNTIF($A$2:$A$1986,A1893)</f>
        <v>1</v>
      </c>
      <c r="U1893" s="27" t="str">
        <f t="shared" si="205"/>
        <v>Portable Speaker</v>
      </c>
      <c r="V1893" s="27">
        <f t="shared" si="206"/>
        <v>148.06</v>
      </c>
      <c r="W1893" s="27">
        <f t="shared" si="207"/>
        <v>88.02</v>
      </c>
      <c r="X1893" s="27">
        <f>RawSalesTable3[[#This Row],[Revenue]]-RawSalesTable3[[#This Row],[Total_Cost]]</f>
        <v>60.040000000000006</v>
      </c>
      <c r="Y1893" s="28">
        <f>RawSalesTable3[[#This Row],[Profit]]/RawSalesTable3[[#This Row],[Revenue]]</f>
        <v>0.40551127921113067</v>
      </c>
      <c r="Z1893" s="27" t="str">
        <f>TEXT(RawSalesTable3[[#This Row],[Order_Date_Clean]],"MMM YYYY")</f>
        <v>Jun 2025</v>
      </c>
      <c r="AA1893" s="27"/>
      <c r="AB1893" s="27">
        <f t="shared" si="208"/>
        <v>0</v>
      </c>
      <c r="AC1893" s="27">
        <f t="shared" si="209"/>
        <v>0</v>
      </c>
    </row>
    <row r="1894" spans="1:29">
      <c r="A1894" t="s">
        <v>2007</v>
      </c>
      <c r="B1894" s="3">
        <v>45801</v>
      </c>
      <c r="C1894" t="s">
        <v>78</v>
      </c>
      <c r="D1894" t="s">
        <v>55</v>
      </c>
      <c r="E1894" t="s">
        <v>56</v>
      </c>
      <c r="F1894" t="s">
        <v>83</v>
      </c>
      <c r="G1894" s="6">
        <v>3</v>
      </c>
      <c r="H1894" s="4">
        <v>65.5</v>
      </c>
      <c r="I1894" s="4">
        <v>35.28</v>
      </c>
      <c r="J1894" s="5">
        <v>0</v>
      </c>
      <c r="K1894" s="6">
        <v>7</v>
      </c>
      <c r="L1894" s="6">
        <v>4</v>
      </c>
      <c r="M1894" t="s">
        <v>58</v>
      </c>
      <c r="N1894" t="s">
        <v>59</v>
      </c>
      <c r="O1894" t="s">
        <v>60</v>
      </c>
      <c r="P1894" t="str">
        <f t="shared" si="203"/>
        <v>Small Business</v>
      </c>
      <c r="Q1894" t="str">
        <f t="shared" si="204"/>
        <v>London</v>
      </c>
      <c r="R1894" t="str">
        <f>PROPER(TRIM(E1894))</f>
        <v>Home &amp; Kitchen</v>
      </c>
      <c r="S1894" s="27">
        <f>IF(ISTEXT(B1894),DATEVALUE(B1894),B1894)</f>
        <v>45801</v>
      </c>
      <c r="T1894" s="27">
        <f>COUNTIF($A$2:$A$1986,A1894)</f>
        <v>1</v>
      </c>
      <c r="U1894" s="27" t="str">
        <f t="shared" si="205"/>
        <v>Blender</v>
      </c>
      <c r="V1894" s="27">
        <f t="shared" si="206"/>
        <v>196.5</v>
      </c>
      <c r="W1894" s="27">
        <f t="shared" si="207"/>
        <v>105.84</v>
      </c>
      <c r="X1894" s="27">
        <f>RawSalesTable3[[#This Row],[Revenue]]-RawSalesTable3[[#This Row],[Total_Cost]]</f>
        <v>90.66</v>
      </c>
      <c r="Y1894" s="28">
        <f>RawSalesTable3[[#This Row],[Profit]]/RawSalesTable3[[#This Row],[Revenue]]</f>
        <v>0.46137404580152669</v>
      </c>
      <c r="Z1894" s="27" t="str">
        <f>TEXT(RawSalesTable3[[#This Row],[Order_Date_Clean]],"MMM YYYY")</f>
        <v>May 2025</v>
      </c>
      <c r="AA1894" s="27"/>
      <c r="AB1894" s="27">
        <f t="shared" si="208"/>
        <v>0</v>
      </c>
      <c r="AC1894" s="27">
        <f t="shared" si="209"/>
        <v>0</v>
      </c>
    </row>
    <row r="1895" spans="1:29">
      <c r="A1895" t="s">
        <v>2008</v>
      </c>
      <c r="B1895" s="3">
        <v>45896</v>
      </c>
      <c r="C1895" t="s">
        <v>66</v>
      </c>
      <c r="D1895" t="s">
        <v>62</v>
      </c>
      <c r="E1895" t="s">
        <v>79</v>
      </c>
      <c r="F1895" t="s">
        <v>80</v>
      </c>
      <c r="G1895" s="6">
        <v>3</v>
      </c>
      <c r="H1895" s="4">
        <v>73.39</v>
      </c>
      <c r="I1895" s="4">
        <v>43.11</v>
      </c>
      <c r="J1895" s="5">
        <v>0.1</v>
      </c>
      <c r="K1895" s="6">
        <v>3</v>
      </c>
      <c r="L1895" s="6">
        <v>4</v>
      </c>
      <c r="M1895" t="s">
        <v>126</v>
      </c>
      <c r="N1895" t="s">
        <v>59</v>
      </c>
      <c r="O1895" t="s">
        <v>64</v>
      </c>
      <c r="P1895" t="str">
        <f t="shared" si="203"/>
        <v>Individual</v>
      </c>
      <c r="Q1895" t="str">
        <f t="shared" si="204"/>
        <v>South</v>
      </c>
      <c r="R1895" t="str">
        <f>PROPER(TRIM(E1895))</f>
        <v>Electronics</v>
      </c>
      <c r="S1895" s="27">
        <f>IF(ISTEXT(B1895),DATEVALUE(B1895),B1895)</f>
        <v>45896</v>
      </c>
      <c r="T1895" s="27">
        <f>COUNTIF($A$2:$A$1986,A1895)</f>
        <v>1</v>
      </c>
      <c r="U1895" s="27" t="str">
        <f t="shared" si="205"/>
        <v>Portable Speaker</v>
      </c>
      <c r="V1895" s="27">
        <f t="shared" si="206"/>
        <v>198.15300000000002</v>
      </c>
      <c r="W1895" s="27">
        <f t="shared" si="207"/>
        <v>129.32999999999998</v>
      </c>
      <c r="X1895" s="27">
        <f>RawSalesTable3[[#This Row],[Revenue]]-RawSalesTable3[[#This Row],[Total_Cost]]</f>
        <v>68.823000000000036</v>
      </c>
      <c r="Y1895" s="28">
        <f>RawSalesTable3[[#This Row],[Profit]]/RawSalesTable3[[#This Row],[Revenue]]</f>
        <v>0.34732252350456483</v>
      </c>
      <c r="Z1895" s="27" t="str">
        <f>TEXT(RawSalesTable3[[#This Row],[Order_Date_Clean]],"MMM YYYY")</f>
        <v>Aug 2025</v>
      </c>
      <c r="AA1895" s="27"/>
      <c r="AB1895" s="27">
        <f t="shared" si="208"/>
        <v>0</v>
      </c>
      <c r="AC1895" s="27">
        <f t="shared" si="209"/>
        <v>0</v>
      </c>
    </row>
    <row r="1896" spans="1:29">
      <c r="A1896" t="s">
        <v>2009</v>
      </c>
      <c r="B1896" s="3">
        <v>45810</v>
      </c>
      <c r="C1896" t="s">
        <v>66</v>
      </c>
      <c r="D1896" t="s">
        <v>55</v>
      </c>
      <c r="E1896" t="s">
        <v>79</v>
      </c>
      <c r="F1896" t="s">
        <v>80</v>
      </c>
      <c r="G1896" s="6">
        <v>5</v>
      </c>
      <c r="H1896" s="4">
        <v>77.84</v>
      </c>
      <c r="I1896" s="4">
        <v>44.1</v>
      </c>
      <c r="J1896" s="5">
        <v>0.15000000000000002</v>
      </c>
      <c r="K1896" s="6">
        <v>0</v>
      </c>
      <c r="L1896" s="6">
        <v>4</v>
      </c>
      <c r="M1896" t="s">
        <v>58</v>
      </c>
      <c r="N1896" t="s">
        <v>69</v>
      </c>
      <c r="O1896" t="s">
        <v>64</v>
      </c>
      <c r="P1896" t="str">
        <f t="shared" si="203"/>
        <v>Small Business</v>
      </c>
      <c r="Q1896" t="str">
        <f t="shared" si="204"/>
        <v>South</v>
      </c>
      <c r="R1896" t="str">
        <f>PROPER(TRIM(E1896))</f>
        <v>Electronics</v>
      </c>
      <c r="S1896" s="27">
        <f>IF(ISTEXT(B1896),DATEVALUE(B1896),B1896)</f>
        <v>45810</v>
      </c>
      <c r="T1896" s="27">
        <f>COUNTIF($A$2:$A$1986,A1896)</f>
        <v>1</v>
      </c>
      <c r="U1896" s="27" t="str">
        <f t="shared" si="205"/>
        <v>Portable Speaker</v>
      </c>
      <c r="V1896" s="27">
        <f t="shared" si="206"/>
        <v>330.82000000000005</v>
      </c>
      <c r="W1896" s="27">
        <f t="shared" si="207"/>
        <v>220.5</v>
      </c>
      <c r="X1896" s="27">
        <f>RawSalesTable3[[#This Row],[Revenue]]-RawSalesTable3[[#This Row],[Total_Cost]]</f>
        <v>110.32000000000005</v>
      </c>
      <c r="Y1896" s="28">
        <f>RawSalesTable3[[#This Row],[Profit]]/RawSalesTable3[[#This Row],[Revenue]]</f>
        <v>0.33347439695302594</v>
      </c>
      <c r="Z1896" s="27" t="str">
        <f>TEXT(RawSalesTable3[[#This Row],[Order_Date_Clean]],"MMM YYYY")</f>
        <v>Jun 2025</v>
      </c>
      <c r="AA1896" s="27"/>
      <c r="AB1896" s="27">
        <f t="shared" si="208"/>
        <v>0</v>
      </c>
      <c r="AC1896" s="27">
        <f t="shared" si="209"/>
        <v>0</v>
      </c>
    </row>
    <row r="1897" spans="1:29">
      <c r="A1897" t="s">
        <v>2010</v>
      </c>
      <c r="B1897" s="3">
        <v>46007</v>
      </c>
      <c r="C1897" t="s">
        <v>78</v>
      </c>
      <c r="D1897" t="s">
        <v>62</v>
      </c>
      <c r="E1897" t="s">
        <v>56</v>
      </c>
      <c r="F1897" t="s">
        <v>57</v>
      </c>
      <c r="G1897" s="6">
        <v>1</v>
      </c>
      <c r="H1897" s="4">
        <v>109.81</v>
      </c>
      <c r="I1897" s="4">
        <v>67.13</v>
      </c>
      <c r="J1897" s="5">
        <v>0.05</v>
      </c>
      <c r="K1897" s="6">
        <v>2</v>
      </c>
      <c r="L1897" s="6">
        <v>5</v>
      </c>
      <c r="M1897" t="s">
        <v>58</v>
      </c>
      <c r="N1897" t="s">
        <v>59</v>
      </c>
      <c r="O1897" t="s">
        <v>64</v>
      </c>
      <c r="P1897" t="str">
        <f t="shared" si="203"/>
        <v>Individual</v>
      </c>
      <c r="Q1897" t="str">
        <f t="shared" si="204"/>
        <v>London</v>
      </c>
      <c r="R1897" t="str">
        <f>PROPER(TRIM(E1897))</f>
        <v>Home &amp; Kitchen</v>
      </c>
      <c r="S1897" s="27">
        <f>IF(ISTEXT(B1897),DATEVALUE(B1897),B1897)</f>
        <v>46007</v>
      </c>
      <c r="T1897" s="27">
        <f>COUNTIF($A$2:$A$1986,A1897)</f>
        <v>1</v>
      </c>
      <c r="U1897" s="27" t="str">
        <f t="shared" si="205"/>
        <v>Air Fryer</v>
      </c>
      <c r="V1897" s="27">
        <f t="shared" si="206"/>
        <v>104.31949999999999</v>
      </c>
      <c r="W1897" s="27">
        <f t="shared" si="207"/>
        <v>67.13</v>
      </c>
      <c r="X1897" s="27">
        <f>RawSalesTable3[[#This Row],[Revenue]]-RawSalesTable3[[#This Row],[Total_Cost]]</f>
        <v>37.189499999999995</v>
      </c>
      <c r="Y1897" s="28">
        <f>RawSalesTable3[[#This Row],[Profit]]/RawSalesTable3[[#This Row],[Revenue]]</f>
        <v>0.35649614885040665</v>
      </c>
      <c r="Z1897" s="27" t="str">
        <f>TEXT(RawSalesTable3[[#This Row],[Order_Date_Clean]],"MMM YYYY")</f>
        <v>Dec 2025</v>
      </c>
      <c r="AA1897" s="27"/>
      <c r="AB1897" s="27">
        <f t="shared" si="208"/>
        <v>0</v>
      </c>
      <c r="AC1897" s="27">
        <f t="shared" si="209"/>
        <v>0</v>
      </c>
    </row>
    <row r="1898" spans="1:29">
      <c r="A1898" t="s">
        <v>2011</v>
      </c>
      <c r="B1898" s="3">
        <v>45677</v>
      </c>
      <c r="C1898" t="s">
        <v>78</v>
      </c>
      <c r="D1898" t="s">
        <v>62</v>
      </c>
      <c r="E1898" t="s">
        <v>79</v>
      </c>
      <c r="F1898" t="s">
        <v>115</v>
      </c>
      <c r="G1898" s="6">
        <v>3</v>
      </c>
      <c r="H1898" s="4">
        <v>59.94</v>
      </c>
      <c r="I1898" s="4">
        <v>33.74</v>
      </c>
      <c r="J1898" s="5">
        <v>0.1</v>
      </c>
      <c r="K1898" s="6">
        <v>5</v>
      </c>
      <c r="L1898" s="6">
        <v>4</v>
      </c>
      <c r="M1898" t="s">
        <v>58</v>
      </c>
      <c r="N1898" t="s">
        <v>59</v>
      </c>
      <c r="O1898" t="s">
        <v>64</v>
      </c>
      <c r="P1898" t="str">
        <f t="shared" si="203"/>
        <v>Individual</v>
      </c>
      <c r="Q1898" t="str">
        <f t="shared" si="204"/>
        <v>London</v>
      </c>
      <c r="R1898" t="str">
        <f>PROPER(TRIM(E1898))</f>
        <v>Electronics</v>
      </c>
      <c r="S1898" s="27">
        <f>IF(ISTEXT(B1898),DATEVALUE(B1898),B1898)</f>
        <v>45677</v>
      </c>
      <c r="T1898" s="27">
        <f>COUNTIF($A$2:$A$1986,A1898)</f>
        <v>1</v>
      </c>
      <c r="U1898" s="27" t="str">
        <f t="shared" si="205"/>
        <v>Wireless Headset</v>
      </c>
      <c r="V1898" s="27">
        <f t="shared" si="206"/>
        <v>161.83799999999999</v>
      </c>
      <c r="W1898" s="27">
        <f t="shared" si="207"/>
        <v>101.22</v>
      </c>
      <c r="X1898" s="27">
        <f>RawSalesTable3[[#This Row],[Revenue]]-RawSalesTable3[[#This Row],[Total_Cost]]</f>
        <v>60.617999999999995</v>
      </c>
      <c r="Y1898" s="28">
        <f>RawSalesTable3[[#This Row],[Profit]]/RawSalesTable3[[#This Row],[Revenue]]</f>
        <v>0.37455974493011529</v>
      </c>
      <c r="Z1898" s="27" t="str">
        <f>TEXT(RawSalesTable3[[#This Row],[Order_Date_Clean]],"MMM YYYY")</f>
        <v>Jan 2025</v>
      </c>
      <c r="AA1898" s="27"/>
      <c r="AB1898" s="27">
        <f t="shared" si="208"/>
        <v>0</v>
      </c>
      <c r="AC1898" s="27">
        <f t="shared" si="209"/>
        <v>0</v>
      </c>
    </row>
    <row r="1899" spans="1:29">
      <c r="A1899" t="s">
        <v>2012</v>
      </c>
      <c r="B1899" s="3">
        <v>45980</v>
      </c>
      <c r="C1899" t="s">
        <v>82</v>
      </c>
      <c r="D1899" t="s">
        <v>55</v>
      </c>
      <c r="E1899" t="s">
        <v>56</v>
      </c>
      <c r="F1899" t="s">
        <v>63</v>
      </c>
      <c r="G1899" s="6">
        <v>3</v>
      </c>
      <c r="H1899" s="4">
        <v>39.380000000000003</v>
      </c>
      <c r="I1899" s="4">
        <v>19.579999999999998</v>
      </c>
      <c r="J1899" s="5">
        <v>0.05</v>
      </c>
      <c r="K1899" s="6">
        <v>4</v>
      </c>
      <c r="L1899" s="6">
        <v>4</v>
      </c>
      <c r="M1899" t="s">
        <v>58</v>
      </c>
      <c r="N1899" t="s">
        <v>59</v>
      </c>
      <c r="O1899" t="s">
        <v>60</v>
      </c>
      <c r="P1899" t="str">
        <f t="shared" si="203"/>
        <v>Small Business</v>
      </c>
      <c r="Q1899" t="str">
        <f t="shared" si="204"/>
        <v>Midlands</v>
      </c>
      <c r="R1899" t="str">
        <f>PROPER(TRIM(E1899))</f>
        <v>Home &amp; Kitchen</v>
      </c>
      <c r="S1899" s="27">
        <f>IF(ISTEXT(B1899),DATEVALUE(B1899),B1899)</f>
        <v>45980</v>
      </c>
      <c r="T1899" s="27">
        <f>COUNTIF($A$2:$A$1986,A1899)</f>
        <v>1</v>
      </c>
      <c r="U1899" s="27" t="str">
        <f t="shared" si="205"/>
        <v>Electric Kettle</v>
      </c>
      <c r="V1899" s="27">
        <f t="shared" si="206"/>
        <v>112.233</v>
      </c>
      <c r="W1899" s="27">
        <f t="shared" si="207"/>
        <v>58.739999999999995</v>
      </c>
      <c r="X1899" s="27">
        <f>RawSalesTable3[[#This Row],[Revenue]]-RawSalesTable3[[#This Row],[Total_Cost]]</f>
        <v>53.493000000000009</v>
      </c>
      <c r="Y1899" s="28">
        <f>RawSalesTable3[[#This Row],[Profit]]/RawSalesTable3[[#This Row],[Revenue]]</f>
        <v>0.4766245221993532</v>
      </c>
      <c r="Z1899" s="27" t="str">
        <f>TEXT(RawSalesTable3[[#This Row],[Order_Date_Clean]],"MMM YYYY")</f>
        <v>Nov 2025</v>
      </c>
      <c r="AA1899" s="27"/>
      <c r="AB1899" s="27">
        <f t="shared" si="208"/>
        <v>0</v>
      </c>
      <c r="AC1899" s="27">
        <f t="shared" si="209"/>
        <v>0</v>
      </c>
    </row>
    <row r="1900" spans="1:29">
      <c r="A1900" t="s">
        <v>2013</v>
      </c>
      <c r="B1900" s="3">
        <v>45902</v>
      </c>
      <c r="C1900" t="s">
        <v>66</v>
      </c>
      <c r="D1900" t="s">
        <v>62</v>
      </c>
      <c r="E1900" t="s">
        <v>75</v>
      </c>
      <c r="F1900" t="s">
        <v>76</v>
      </c>
      <c r="G1900" s="6">
        <v>2</v>
      </c>
      <c r="H1900" s="4">
        <v>121.59</v>
      </c>
      <c r="I1900" s="4">
        <v>70.45</v>
      </c>
      <c r="J1900" s="5">
        <v>0.1</v>
      </c>
      <c r="K1900" s="6">
        <v>5</v>
      </c>
      <c r="L1900" s="6">
        <v>4</v>
      </c>
      <c r="M1900" t="s">
        <v>58</v>
      </c>
      <c r="N1900" t="s">
        <v>69</v>
      </c>
      <c r="O1900" t="s">
        <v>73</v>
      </c>
      <c r="P1900" t="str">
        <f t="shared" si="203"/>
        <v>Individual</v>
      </c>
      <c r="Q1900" t="str">
        <f t="shared" si="204"/>
        <v>South</v>
      </c>
      <c r="R1900" t="str">
        <f>PROPER(TRIM(E1900))</f>
        <v>Furniture</v>
      </c>
      <c r="S1900" s="27">
        <f>IF(ISTEXT(B1900),DATEVALUE(B1900),B1900)</f>
        <v>45902</v>
      </c>
      <c r="T1900" s="27">
        <f>COUNTIF($A$2:$A$1986,A1900)</f>
        <v>1</v>
      </c>
      <c r="U1900" s="27" t="str">
        <f t="shared" si="205"/>
        <v>Bookshelf</v>
      </c>
      <c r="V1900" s="27">
        <f t="shared" si="206"/>
        <v>218.86200000000002</v>
      </c>
      <c r="W1900" s="27">
        <f t="shared" si="207"/>
        <v>140.9</v>
      </c>
      <c r="X1900" s="27">
        <f>RawSalesTable3[[#This Row],[Revenue]]-RawSalesTable3[[#This Row],[Total_Cost]]</f>
        <v>77.962000000000018</v>
      </c>
      <c r="Y1900" s="28">
        <f>RawSalesTable3[[#This Row],[Profit]]/RawSalesTable3[[#This Row],[Revenue]]</f>
        <v>0.35621533203571204</v>
      </c>
      <c r="Z1900" s="27" t="str">
        <f>TEXT(RawSalesTable3[[#This Row],[Order_Date_Clean]],"MMM YYYY")</f>
        <v>Sep 2025</v>
      </c>
      <c r="AA1900" s="27"/>
      <c r="AB1900" s="27">
        <f t="shared" si="208"/>
        <v>0</v>
      </c>
      <c r="AC1900" s="27">
        <f t="shared" si="209"/>
        <v>0</v>
      </c>
    </row>
    <row r="1901" spans="1:29">
      <c r="A1901" t="s">
        <v>2014</v>
      </c>
      <c r="B1901" s="3">
        <v>46000</v>
      </c>
      <c r="C1901" t="s">
        <v>78</v>
      </c>
      <c r="D1901" t="s">
        <v>62</v>
      </c>
      <c r="E1901" t="s">
        <v>75</v>
      </c>
      <c r="F1901" t="s">
        <v>110</v>
      </c>
      <c r="G1901" s="6">
        <v>2</v>
      </c>
      <c r="H1901" s="4">
        <v>164.28</v>
      </c>
      <c r="I1901" s="4">
        <v>103.46</v>
      </c>
      <c r="J1901" s="5">
        <v>0.05</v>
      </c>
      <c r="K1901" s="6">
        <v>4</v>
      </c>
      <c r="L1901" s="6">
        <v>4</v>
      </c>
      <c r="M1901" t="s">
        <v>58</v>
      </c>
      <c r="N1901" t="s">
        <v>59</v>
      </c>
      <c r="O1901" t="s">
        <v>64</v>
      </c>
      <c r="P1901" t="str">
        <f t="shared" si="203"/>
        <v>Individual</v>
      </c>
      <c r="Q1901" t="str">
        <f t="shared" si="204"/>
        <v>London</v>
      </c>
      <c r="R1901" t="str">
        <f>PROPER(TRIM(E1901))</f>
        <v>Furniture</v>
      </c>
      <c r="S1901" s="27">
        <f>IF(ISTEXT(B1901),DATEVALUE(B1901),B1901)</f>
        <v>46000</v>
      </c>
      <c r="T1901" s="27">
        <f>COUNTIF($A$2:$A$1986,A1901)</f>
        <v>1</v>
      </c>
      <c r="U1901" s="27" t="str">
        <f t="shared" si="205"/>
        <v>Storage Cabinet</v>
      </c>
      <c r="V1901" s="27">
        <f t="shared" si="206"/>
        <v>312.13200000000001</v>
      </c>
      <c r="W1901" s="27">
        <f t="shared" si="207"/>
        <v>206.92</v>
      </c>
      <c r="X1901" s="27">
        <f>RawSalesTable3[[#This Row],[Revenue]]-RawSalesTable3[[#This Row],[Total_Cost]]</f>
        <v>105.21200000000002</v>
      </c>
      <c r="Y1901" s="28">
        <f>RawSalesTable3[[#This Row],[Profit]]/RawSalesTable3[[#This Row],[Revenue]]</f>
        <v>0.33707533992029021</v>
      </c>
      <c r="Z1901" s="27" t="str">
        <f>TEXT(RawSalesTable3[[#This Row],[Order_Date_Clean]],"MMM YYYY")</f>
        <v>Dec 2025</v>
      </c>
      <c r="AA1901" s="27"/>
      <c r="AB1901" s="27">
        <f t="shared" si="208"/>
        <v>0</v>
      </c>
      <c r="AC1901" s="27">
        <f t="shared" si="209"/>
        <v>0</v>
      </c>
    </row>
    <row r="1902" spans="1:29">
      <c r="A1902" t="s">
        <v>2015</v>
      </c>
      <c r="B1902" s="3">
        <v>45699</v>
      </c>
      <c r="C1902" t="s">
        <v>82</v>
      </c>
      <c r="D1902" t="s">
        <v>62</v>
      </c>
      <c r="E1902" t="s">
        <v>79</v>
      </c>
      <c r="F1902" t="s">
        <v>80</v>
      </c>
      <c r="G1902" s="6">
        <v>1</v>
      </c>
      <c r="H1902" s="4">
        <v>74.31</v>
      </c>
      <c r="I1902" s="4">
        <v>42.48</v>
      </c>
      <c r="J1902" s="5">
        <v>0.05</v>
      </c>
      <c r="K1902" s="6">
        <v>4</v>
      </c>
      <c r="L1902" s="6">
        <v>5</v>
      </c>
      <c r="M1902" t="s">
        <v>58</v>
      </c>
      <c r="N1902" t="s">
        <v>59</v>
      </c>
      <c r="O1902" t="s">
        <v>64</v>
      </c>
      <c r="P1902" t="str">
        <f t="shared" si="203"/>
        <v>Individual</v>
      </c>
      <c r="Q1902" t="str">
        <f t="shared" si="204"/>
        <v>Midlands</v>
      </c>
      <c r="R1902" t="str">
        <f>PROPER(TRIM(E1902))</f>
        <v>Electronics</v>
      </c>
      <c r="S1902" s="27">
        <f>IF(ISTEXT(B1902),DATEVALUE(B1902),B1902)</f>
        <v>45699</v>
      </c>
      <c r="T1902" s="27">
        <f>COUNTIF($A$2:$A$1986,A1902)</f>
        <v>1</v>
      </c>
      <c r="U1902" s="27" t="str">
        <f t="shared" si="205"/>
        <v>Portable Speaker</v>
      </c>
      <c r="V1902" s="27">
        <f t="shared" si="206"/>
        <v>70.594499999999996</v>
      </c>
      <c r="W1902" s="27">
        <f t="shared" si="207"/>
        <v>42.48</v>
      </c>
      <c r="X1902" s="27">
        <f>RawSalesTable3[[#This Row],[Revenue]]-RawSalesTable3[[#This Row],[Total_Cost]]</f>
        <v>28.1145</v>
      </c>
      <c r="Y1902" s="28">
        <f>RawSalesTable3[[#This Row],[Profit]]/RawSalesTable3[[#This Row],[Revenue]]</f>
        <v>0.39825340501030537</v>
      </c>
      <c r="Z1902" s="27" t="str">
        <f>TEXT(RawSalesTable3[[#This Row],[Order_Date_Clean]],"MMM YYYY")</f>
        <v>Feb 2025</v>
      </c>
      <c r="AA1902" s="27"/>
      <c r="AB1902" s="27">
        <f t="shared" si="208"/>
        <v>0</v>
      </c>
      <c r="AC1902" s="27">
        <f t="shared" si="209"/>
        <v>0</v>
      </c>
    </row>
    <row r="1903" spans="1:29">
      <c r="A1903" t="s">
        <v>2016</v>
      </c>
      <c r="B1903" s="3">
        <v>45832</v>
      </c>
      <c r="C1903" t="s">
        <v>54</v>
      </c>
      <c r="D1903" t="s">
        <v>55</v>
      </c>
      <c r="E1903" t="s">
        <v>75</v>
      </c>
      <c r="F1903" t="s">
        <v>110</v>
      </c>
      <c r="G1903" s="6">
        <v>3</v>
      </c>
      <c r="H1903" s="4">
        <v>162.96</v>
      </c>
      <c r="I1903" s="4">
        <v>98.37</v>
      </c>
      <c r="J1903" s="5">
        <v>0.05</v>
      </c>
      <c r="K1903" s="6">
        <v>10</v>
      </c>
      <c r="L1903" s="6">
        <v>3</v>
      </c>
      <c r="M1903" t="s">
        <v>58</v>
      </c>
      <c r="N1903" t="s">
        <v>59</v>
      </c>
      <c r="O1903" t="s">
        <v>60</v>
      </c>
      <c r="P1903" t="str">
        <f t="shared" si="203"/>
        <v>Small Business</v>
      </c>
      <c r="Q1903" t="str">
        <f t="shared" si="204"/>
        <v>North</v>
      </c>
      <c r="R1903" t="str">
        <f>PROPER(TRIM(E1903))</f>
        <v>Furniture</v>
      </c>
      <c r="S1903" s="27">
        <f>IF(ISTEXT(B1903),DATEVALUE(B1903),B1903)</f>
        <v>45832</v>
      </c>
      <c r="T1903" s="27">
        <f>COUNTIF($A$2:$A$1986,A1903)</f>
        <v>1</v>
      </c>
      <c r="U1903" s="27" t="str">
        <f t="shared" si="205"/>
        <v>Storage Cabinet</v>
      </c>
      <c r="V1903" s="27">
        <f t="shared" si="206"/>
        <v>464.43599999999998</v>
      </c>
      <c r="W1903" s="27">
        <f t="shared" si="207"/>
        <v>295.11</v>
      </c>
      <c r="X1903" s="27">
        <f>RawSalesTable3[[#This Row],[Revenue]]-RawSalesTable3[[#This Row],[Total_Cost]]</f>
        <v>169.32599999999996</v>
      </c>
      <c r="Y1903" s="28">
        <f>RawSalesTable3[[#This Row],[Profit]]/RawSalesTable3[[#This Row],[Revenue]]</f>
        <v>0.36458414076428181</v>
      </c>
      <c r="Z1903" s="27" t="str">
        <f>TEXT(RawSalesTable3[[#This Row],[Order_Date_Clean]],"MMM YYYY")</f>
        <v>Jun 2025</v>
      </c>
      <c r="AA1903" s="27"/>
      <c r="AB1903" s="27">
        <f t="shared" si="208"/>
        <v>0</v>
      </c>
      <c r="AC1903" s="27">
        <f t="shared" si="209"/>
        <v>0</v>
      </c>
    </row>
    <row r="1904" spans="1:29">
      <c r="A1904" t="s">
        <v>2017</v>
      </c>
      <c r="B1904" s="3">
        <v>45934</v>
      </c>
      <c r="C1904" t="s">
        <v>54</v>
      </c>
      <c r="D1904" t="s">
        <v>62</v>
      </c>
      <c r="E1904" t="s">
        <v>79</v>
      </c>
      <c r="F1904" t="s">
        <v>92</v>
      </c>
      <c r="G1904" s="6">
        <v>2</v>
      </c>
      <c r="H1904" s="4">
        <v>50.47</v>
      </c>
      <c r="I1904" s="4">
        <v>26.56</v>
      </c>
      <c r="J1904" s="5">
        <v>0.05</v>
      </c>
      <c r="K1904" s="6">
        <v>2</v>
      </c>
      <c r="L1904" s="6">
        <v>5</v>
      </c>
      <c r="M1904" t="s">
        <v>58</v>
      </c>
      <c r="N1904" t="s">
        <v>59</v>
      </c>
      <c r="O1904" t="s">
        <v>64</v>
      </c>
      <c r="P1904" t="str">
        <f t="shared" si="203"/>
        <v>Individual</v>
      </c>
      <c r="Q1904" t="str">
        <f t="shared" si="204"/>
        <v>North</v>
      </c>
      <c r="R1904" t="str">
        <f>PROPER(TRIM(E1904))</f>
        <v>Electronics</v>
      </c>
      <c r="S1904" s="27">
        <f>IF(ISTEXT(B1904),DATEVALUE(B1904),B1904)</f>
        <v>45934</v>
      </c>
      <c r="T1904" s="27">
        <f>COUNTIF($A$2:$A$1986,A1904)</f>
        <v>1</v>
      </c>
      <c r="U1904" s="27" t="str">
        <f t="shared" si="205"/>
        <v>Webcam</v>
      </c>
      <c r="V1904" s="27">
        <f t="shared" si="206"/>
        <v>95.892999999999986</v>
      </c>
      <c r="W1904" s="27">
        <f t="shared" si="207"/>
        <v>53.12</v>
      </c>
      <c r="X1904" s="27">
        <f>RawSalesTable3[[#This Row],[Revenue]]-RawSalesTable3[[#This Row],[Total_Cost]]</f>
        <v>42.772999999999989</v>
      </c>
      <c r="Y1904" s="28">
        <f>RawSalesTable3[[#This Row],[Profit]]/RawSalesTable3[[#This Row],[Revenue]]</f>
        <v>0.44604924238474125</v>
      </c>
      <c r="Z1904" s="27" t="str">
        <f>TEXT(RawSalesTable3[[#This Row],[Order_Date_Clean]],"MMM YYYY")</f>
        <v>Oct 2025</v>
      </c>
      <c r="AA1904" s="27"/>
      <c r="AB1904" s="27">
        <f t="shared" si="208"/>
        <v>0</v>
      </c>
      <c r="AC1904" s="27">
        <f t="shared" si="209"/>
        <v>0</v>
      </c>
    </row>
    <row r="1905" spans="1:29">
      <c r="A1905" t="s">
        <v>2018</v>
      </c>
      <c r="B1905" s="3">
        <v>45996</v>
      </c>
      <c r="C1905" t="s">
        <v>54</v>
      </c>
      <c r="D1905" t="s">
        <v>55</v>
      </c>
      <c r="E1905" t="s">
        <v>79</v>
      </c>
      <c r="F1905" t="s">
        <v>85</v>
      </c>
      <c r="G1905" s="6">
        <v>2</v>
      </c>
      <c r="H1905" s="4">
        <v>131.82</v>
      </c>
      <c r="I1905" s="4">
        <v>85.13</v>
      </c>
      <c r="J1905" s="5">
        <v>0.05</v>
      </c>
      <c r="K1905" s="6">
        <v>3</v>
      </c>
      <c r="L1905" s="6">
        <v>4</v>
      </c>
      <c r="M1905" t="s">
        <v>58</v>
      </c>
      <c r="N1905" t="s">
        <v>59</v>
      </c>
      <c r="O1905" t="s">
        <v>64</v>
      </c>
      <c r="P1905" t="str">
        <f t="shared" si="203"/>
        <v>Small Business</v>
      </c>
      <c r="Q1905" t="str">
        <f t="shared" si="204"/>
        <v>North</v>
      </c>
      <c r="R1905" t="str">
        <f>PROPER(TRIM(E1905))</f>
        <v>Electronics</v>
      </c>
      <c r="S1905" s="27">
        <f>IF(ISTEXT(B1905),DATEVALUE(B1905),B1905)</f>
        <v>45996</v>
      </c>
      <c r="T1905" s="27">
        <f>COUNTIF($A$2:$A$1986,A1905)</f>
        <v>1</v>
      </c>
      <c r="U1905" s="27" t="str">
        <f t="shared" si="205"/>
        <v>SmartHome Hub</v>
      </c>
      <c r="V1905" s="27">
        <f t="shared" si="206"/>
        <v>250.45799999999997</v>
      </c>
      <c r="W1905" s="27">
        <f t="shared" si="207"/>
        <v>170.26</v>
      </c>
      <c r="X1905" s="27">
        <f>RawSalesTable3[[#This Row],[Revenue]]-RawSalesTable3[[#This Row],[Total_Cost]]</f>
        <v>80.197999999999979</v>
      </c>
      <c r="Y1905" s="28">
        <f>RawSalesTable3[[#This Row],[Profit]]/RawSalesTable3[[#This Row],[Revenue]]</f>
        <v>0.32020538373699381</v>
      </c>
      <c r="Z1905" s="27" t="str">
        <f>TEXT(RawSalesTable3[[#This Row],[Order_Date_Clean]],"MMM YYYY")</f>
        <v>Dec 2025</v>
      </c>
      <c r="AA1905" s="27"/>
      <c r="AB1905" s="27">
        <f t="shared" si="208"/>
        <v>0</v>
      </c>
      <c r="AC1905" s="27">
        <f t="shared" si="209"/>
        <v>0</v>
      </c>
    </row>
    <row r="1906" spans="1:29">
      <c r="A1906" t="s">
        <v>2019</v>
      </c>
      <c r="B1906" s="3">
        <v>46015</v>
      </c>
      <c r="C1906" t="s">
        <v>54</v>
      </c>
      <c r="D1906" t="s">
        <v>62</v>
      </c>
      <c r="E1906" t="s">
        <v>56</v>
      </c>
      <c r="F1906" t="s">
        <v>89</v>
      </c>
      <c r="G1906" s="6">
        <v>3</v>
      </c>
      <c r="H1906" s="4">
        <v>79.239999999999995</v>
      </c>
      <c r="I1906" s="4">
        <v>45.2</v>
      </c>
      <c r="J1906" s="5">
        <v>0.15000000000000002</v>
      </c>
      <c r="K1906" s="6">
        <v>4</v>
      </c>
      <c r="L1906" s="6">
        <v>5</v>
      </c>
      <c r="M1906" t="s">
        <v>58</v>
      </c>
      <c r="N1906" t="s">
        <v>69</v>
      </c>
      <c r="O1906" t="s">
        <v>60</v>
      </c>
      <c r="P1906" t="str">
        <f t="shared" si="203"/>
        <v>Individual</v>
      </c>
      <c r="Q1906" t="str">
        <f t="shared" si="204"/>
        <v>North</v>
      </c>
      <c r="R1906" t="str">
        <f>PROPER(TRIM(E1906))</f>
        <v>Home &amp; Kitchen</v>
      </c>
      <c r="S1906" s="27">
        <f>IF(ISTEXT(B1906),DATEVALUE(B1906),B1906)</f>
        <v>46015</v>
      </c>
      <c r="T1906" s="27">
        <f>COUNTIF($A$2:$A$1986,A1906)</f>
        <v>1</v>
      </c>
      <c r="U1906" s="27" t="str">
        <f t="shared" si="205"/>
        <v>Coffee Maker</v>
      </c>
      <c r="V1906" s="27">
        <f t="shared" si="206"/>
        <v>202.06199999999998</v>
      </c>
      <c r="W1906" s="27">
        <f t="shared" si="207"/>
        <v>135.60000000000002</v>
      </c>
      <c r="X1906" s="27">
        <f>RawSalesTable3[[#This Row],[Revenue]]-RawSalesTable3[[#This Row],[Total_Cost]]</f>
        <v>66.461999999999961</v>
      </c>
      <c r="Y1906" s="28">
        <f>RawSalesTable3[[#This Row],[Profit]]/RawSalesTable3[[#This Row],[Revenue]]</f>
        <v>0.32891884669061955</v>
      </c>
      <c r="Z1906" s="27" t="str">
        <f>TEXT(RawSalesTable3[[#This Row],[Order_Date_Clean]],"MMM YYYY")</f>
        <v>Dec 2025</v>
      </c>
      <c r="AA1906" s="27"/>
      <c r="AB1906" s="27">
        <f t="shared" si="208"/>
        <v>0</v>
      </c>
      <c r="AC1906" s="27">
        <f t="shared" si="209"/>
        <v>0</v>
      </c>
    </row>
    <row r="1907" spans="1:29">
      <c r="A1907" t="s">
        <v>2020</v>
      </c>
      <c r="B1907" s="3">
        <v>45886</v>
      </c>
      <c r="C1907" t="s">
        <v>82</v>
      </c>
      <c r="D1907" t="s">
        <v>62</v>
      </c>
      <c r="E1907" t="s">
        <v>56</v>
      </c>
      <c r="F1907" t="s">
        <v>57</v>
      </c>
      <c r="G1907" s="6">
        <v>2</v>
      </c>
      <c r="H1907" s="4">
        <v>110.97</v>
      </c>
      <c r="I1907" s="4">
        <v>66.709999999999994</v>
      </c>
      <c r="J1907" s="5">
        <v>0.1</v>
      </c>
      <c r="K1907" s="6">
        <v>1</v>
      </c>
      <c r="L1907" s="6">
        <v>4</v>
      </c>
      <c r="M1907" t="s">
        <v>58</v>
      </c>
      <c r="N1907" t="s">
        <v>69</v>
      </c>
      <c r="O1907" t="s">
        <v>73</v>
      </c>
      <c r="P1907" t="str">
        <f t="shared" si="203"/>
        <v>Individual</v>
      </c>
      <c r="Q1907" t="str">
        <f t="shared" si="204"/>
        <v>Midlands</v>
      </c>
      <c r="R1907" t="str">
        <f>PROPER(TRIM(E1907))</f>
        <v>Home &amp; Kitchen</v>
      </c>
      <c r="S1907" s="27">
        <f>IF(ISTEXT(B1907),DATEVALUE(B1907),B1907)</f>
        <v>45886</v>
      </c>
      <c r="T1907" s="27">
        <f>COUNTIF($A$2:$A$1986,A1907)</f>
        <v>1</v>
      </c>
      <c r="U1907" s="27" t="str">
        <f t="shared" si="205"/>
        <v>Air Fryer</v>
      </c>
      <c r="V1907" s="27">
        <f t="shared" si="206"/>
        <v>199.74600000000001</v>
      </c>
      <c r="W1907" s="27">
        <f t="shared" si="207"/>
        <v>133.41999999999999</v>
      </c>
      <c r="X1907" s="27">
        <f>RawSalesTable3[[#This Row],[Revenue]]-RawSalesTable3[[#This Row],[Total_Cost]]</f>
        <v>66.326000000000022</v>
      </c>
      <c r="Y1907" s="28">
        <f>RawSalesTable3[[#This Row],[Profit]]/RawSalesTable3[[#This Row],[Revenue]]</f>
        <v>0.33205170566619618</v>
      </c>
      <c r="Z1907" s="27" t="str">
        <f>TEXT(RawSalesTable3[[#This Row],[Order_Date_Clean]],"MMM YYYY")</f>
        <v>Aug 2025</v>
      </c>
      <c r="AA1907" s="27"/>
      <c r="AB1907" s="27">
        <f t="shared" si="208"/>
        <v>0</v>
      </c>
      <c r="AC1907" s="27">
        <f t="shared" si="209"/>
        <v>0</v>
      </c>
    </row>
    <row r="1908" spans="1:29">
      <c r="A1908" t="s">
        <v>2021</v>
      </c>
      <c r="B1908" s="3">
        <v>45720</v>
      </c>
      <c r="C1908" t="s">
        <v>82</v>
      </c>
      <c r="D1908" t="s">
        <v>62</v>
      </c>
      <c r="E1908" t="s">
        <v>75</v>
      </c>
      <c r="F1908" t="s">
        <v>76</v>
      </c>
      <c r="G1908" s="6">
        <v>1</v>
      </c>
      <c r="H1908" s="4">
        <v>121.64</v>
      </c>
      <c r="I1908" s="4">
        <v>70.73</v>
      </c>
      <c r="J1908" s="5">
        <v>0.05</v>
      </c>
      <c r="K1908" s="6">
        <v>1</v>
      </c>
      <c r="L1908" s="6">
        <v>4</v>
      </c>
      <c r="M1908" t="s">
        <v>58</v>
      </c>
      <c r="N1908" t="s">
        <v>69</v>
      </c>
      <c r="O1908" t="s">
        <v>73</v>
      </c>
      <c r="P1908" t="str">
        <f t="shared" si="203"/>
        <v>Individual</v>
      </c>
      <c r="Q1908" t="str">
        <f t="shared" si="204"/>
        <v>Midlands</v>
      </c>
      <c r="R1908" t="str">
        <f>PROPER(TRIM(E1908))</f>
        <v>Furniture</v>
      </c>
      <c r="S1908" s="27">
        <f>IF(ISTEXT(B1908),DATEVALUE(B1908),B1908)</f>
        <v>45720</v>
      </c>
      <c r="T1908" s="27">
        <f>COUNTIF($A$2:$A$1986,A1908)</f>
        <v>1</v>
      </c>
      <c r="U1908" s="27" t="str">
        <f t="shared" si="205"/>
        <v>Bookshelf</v>
      </c>
      <c r="V1908" s="27">
        <f t="shared" si="206"/>
        <v>115.55799999999999</v>
      </c>
      <c r="W1908" s="27">
        <f t="shared" si="207"/>
        <v>70.73</v>
      </c>
      <c r="X1908" s="27">
        <f>RawSalesTable3[[#This Row],[Revenue]]-RawSalesTable3[[#This Row],[Total_Cost]]</f>
        <v>44.827999999999989</v>
      </c>
      <c r="Y1908" s="28">
        <f>RawSalesTable3[[#This Row],[Profit]]/RawSalesTable3[[#This Row],[Revenue]]</f>
        <v>0.38792640924903504</v>
      </c>
      <c r="Z1908" s="27" t="str">
        <f>TEXT(RawSalesTable3[[#This Row],[Order_Date_Clean]],"MMM YYYY")</f>
        <v>Mar 2025</v>
      </c>
      <c r="AA1908" s="27"/>
      <c r="AB1908" s="27">
        <f t="shared" si="208"/>
        <v>0</v>
      </c>
      <c r="AC1908" s="27">
        <f t="shared" si="209"/>
        <v>0</v>
      </c>
    </row>
    <row r="1909" spans="1:29">
      <c r="A1909" t="s">
        <v>2022</v>
      </c>
      <c r="B1909" s="3">
        <v>45965</v>
      </c>
      <c r="C1909" t="s">
        <v>78</v>
      </c>
      <c r="D1909" t="s">
        <v>55</v>
      </c>
      <c r="E1909" t="s">
        <v>67</v>
      </c>
      <c r="F1909" t="s">
        <v>71</v>
      </c>
      <c r="G1909" s="6">
        <v>2</v>
      </c>
      <c r="H1909" s="4">
        <v>69.41</v>
      </c>
      <c r="I1909" s="4">
        <v>37.74</v>
      </c>
      <c r="J1909" s="5">
        <v>0</v>
      </c>
      <c r="K1909" s="6">
        <v>0</v>
      </c>
      <c r="L1909" s="6">
        <v>4</v>
      </c>
      <c r="M1909" t="s">
        <v>58</v>
      </c>
      <c r="N1909" t="s">
        <v>69</v>
      </c>
      <c r="O1909" t="s">
        <v>64</v>
      </c>
      <c r="P1909" t="str">
        <f t="shared" si="203"/>
        <v>Small Business</v>
      </c>
      <c r="Q1909" t="str">
        <f t="shared" si="204"/>
        <v>London</v>
      </c>
      <c r="R1909" t="str">
        <f>PROPER(TRIM(E1909))</f>
        <v>Office</v>
      </c>
      <c r="S1909" s="27">
        <f>IF(ISTEXT(B1909),DATEVALUE(B1909),B1909)</f>
        <v>45965</v>
      </c>
      <c r="T1909" s="27">
        <f>COUNTIF($A$2:$A$1986,A1909)</f>
        <v>1</v>
      </c>
      <c r="U1909" s="27" t="str">
        <f t="shared" si="205"/>
        <v>Ergonomic Keyboard</v>
      </c>
      <c r="V1909" s="27">
        <f t="shared" si="206"/>
        <v>138.82</v>
      </c>
      <c r="W1909" s="27">
        <f t="shared" si="207"/>
        <v>75.48</v>
      </c>
      <c r="X1909" s="27">
        <f>RawSalesTable3[[#This Row],[Revenue]]-RawSalesTable3[[#This Row],[Total_Cost]]</f>
        <v>63.339999999999989</v>
      </c>
      <c r="Y1909" s="28">
        <f>RawSalesTable3[[#This Row],[Profit]]/RawSalesTable3[[#This Row],[Revenue]]</f>
        <v>0.45627431205878111</v>
      </c>
      <c r="Z1909" s="27" t="str">
        <f>TEXT(RawSalesTable3[[#This Row],[Order_Date_Clean]],"MMM YYYY")</f>
        <v>Nov 2025</v>
      </c>
      <c r="AA1909" s="27"/>
      <c r="AB1909" s="27">
        <f t="shared" si="208"/>
        <v>0</v>
      </c>
      <c r="AC1909" s="27">
        <f t="shared" si="209"/>
        <v>0</v>
      </c>
    </row>
    <row r="1910" spans="1:29">
      <c r="A1910" t="s">
        <v>2023</v>
      </c>
      <c r="B1910" s="3">
        <v>45841</v>
      </c>
      <c r="C1910" t="s">
        <v>82</v>
      </c>
      <c r="D1910" t="s">
        <v>62</v>
      </c>
      <c r="E1910" t="s">
        <v>56</v>
      </c>
      <c r="F1910" t="s">
        <v>83</v>
      </c>
      <c r="G1910" s="6">
        <v>1</v>
      </c>
      <c r="H1910" s="4">
        <v>63.81</v>
      </c>
      <c r="I1910" s="4">
        <v>35.39</v>
      </c>
      <c r="J1910" s="5">
        <v>0.05</v>
      </c>
      <c r="K1910" s="6">
        <v>3</v>
      </c>
      <c r="L1910" s="6">
        <v>4</v>
      </c>
      <c r="M1910" t="s">
        <v>58</v>
      </c>
      <c r="N1910" t="s">
        <v>59</v>
      </c>
      <c r="O1910" t="s">
        <v>64</v>
      </c>
      <c r="P1910" t="str">
        <f t="shared" si="203"/>
        <v>Individual</v>
      </c>
      <c r="Q1910" t="str">
        <f t="shared" si="204"/>
        <v>Midlands</v>
      </c>
      <c r="R1910" t="str">
        <f>PROPER(TRIM(E1910))</f>
        <v>Home &amp; Kitchen</v>
      </c>
      <c r="S1910" s="27">
        <f>IF(ISTEXT(B1910),DATEVALUE(B1910),B1910)</f>
        <v>45841</v>
      </c>
      <c r="T1910" s="27">
        <f>COUNTIF($A$2:$A$1986,A1910)</f>
        <v>1</v>
      </c>
      <c r="U1910" s="27" t="str">
        <f t="shared" si="205"/>
        <v>Blender</v>
      </c>
      <c r="V1910" s="27">
        <f t="shared" si="206"/>
        <v>60.619500000000002</v>
      </c>
      <c r="W1910" s="27">
        <f t="shared" si="207"/>
        <v>35.39</v>
      </c>
      <c r="X1910" s="27">
        <f>RawSalesTable3[[#This Row],[Revenue]]-RawSalesTable3[[#This Row],[Total_Cost]]</f>
        <v>25.229500000000002</v>
      </c>
      <c r="Y1910" s="28">
        <f>RawSalesTable3[[#This Row],[Profit]]/RawSalesTable3[[#This Row],[Revenue]]</f>
        <v>0.41619445887874362</v>
      </c>
      <c r="Z1910" s="27" t="str">
        <f>TEXT(RawSalesTable3[[#This Row],[Order_Date_Clean]],"MMM YYYY")</f>
        <v>Jul 2025</v>
      </c>
      <c r="AA1910" s="27"/>
      <c r="AB1910" s="27">
        <f t="shared" si="208"/>
        <v>0</v>
      </c>
      <c r="AC1910" s="27">
        <f t="shared" si="209"/>
        <v>0</v>
      </c>
    </row>
    <row r="1911" spans="1:29">
      <c r="A1911" t="s">
        <v>2024</v>
      </c>
      <c r="B1911" s="3">
        <v>46017</v>
      </c>
      <c r="C1911" t="s">
        <v>66</v>
      </c>
      <c r="D1911" t="s">
        <v>62</v>
      </c>
      <c r="E1911" t="s">
        <v>75</v>
      </c>
      <c r="F1911" t="s">
        <v>110</v>
      </c>
      <c r="G1911" s="6">
        <v>1</v>
      </c>
      <c r="H1911" s="4">
        <v>161.22999999999999</v>
      </c>
      <c r="I1911" s="4">
        <v>100.83</v>
      </c>
      <c r="J1911" s="5">
        <v>0.15000000000000002</v>
      </c>
      <c r="K1911" s="6">
        <v>4</v>
      </c>
      <c r="L1911" s="6">
        <v>4</v>
      </c>
      <c r="M1911" t="s">
        <v>58</v>
      </c>
      <c r="N1911" t="s">
        <v>59</v>
      </c>
      <c r="O1911" t="s">
        <v>73</v>
      </c>
      <c r="P1911" t="str">
        <f t="shared" si="203"/>
        <v>Individual</v>
      </c>
      <c r="Q1911" t="str">
        <f t="shared" si="204"/>
        <v>South</v>
      </c>
      <c r="R1911" t="str">
        <f>PROPER(TRIM(E1911))</f>
        <v>Furniture</v>
      </c>
      <c r="S1911" s="27">
        <f>IF(ISTEXT(B1911),DATEVALUE(B1911),B1911)</f>
        <v>46017</v>
      </c>
      <c r="T1911" s="27">
        <f>COUNTIF($A$2:$A$1986,A1911)</f>
        <v>1</v>
      </c>
      <c r="U1911" s="27" t="str">
        <f t="shared" si="205"/>
        <v>Storage Cabinet</v>
      </c>
      <c r="V1911" s="27">
        <f t="shared" si="206"/>
        <v>137.04549999999998</v>
      </c>
      <c r="W1911" s="27">
        <f t="shared" si="207"/>
        <v>100.83</v>
      </c>
      <c r="X1911" s="27">
        <f>RawSalesTable3[[#This Row],[Revenue]]-RawSalesTable3[[#This Row],[Total_Cost]]</f>
        <v>36.215499999999977</v>
      </c>
      <c r="Y1911" s="28">
        <f>RawSalesTable3[[#This Row],[Profit]]/RawSalesTable3[[#This Row],[Revenue]]</f>
        <v>0.26425895049454368</v>
      </c>
      <c r="Z1911" s="27" t="str">
        <f>TEXT(RawSalesTable3[[#This Row],[Order_Date_Clean]],"MMM YYYY")</f>
        <v>Dec 2025</v>
      </c>
      <c r="AA1911" s="27"/>
      <c r="AB1911" s="27">
        <f t="shared" si="208"/>
        <v>0</v>
      </c>
      <c r="AC1911" s="27">
        <f t="shared" si="209"/>
        <v>0</v>
      </c>
    </row>
    <row r="1912" spans="1:29">
      <c r="A1912" t="s">
        <v>2025</v>
      </c>
      <c r="B1912" s="3">
        <v>45961</v>
      </c>
      <c r="C1912" t="s">
        <v>82</v>
      </c>
      <c r="D1912" t="s">
        <v>62</v>
      </c>
      <c r="E1912" t="s">
        <v>79</v>
      </c>
      <c r="F1912" t="s">
        <v>85</v>
      </c>
      <c r="G1912" s="6">
        <v>1</v>
      </c>
      <c r="H1912" s="4">
        <v>131.28</v>
      </c>
      <c r="I1912" s="4">
        <v>84.31</v>
      </c>
      <c r="J1912" s="5">
        <v>0</v>
      </c>
      <c r="K1912" s="6">
        <v>2</v>
      </c>
      <c r="L1912" s="6"/>
      <c r="M1912" t="s">
        <v>126</v>
      </c>
      <c r="N1912" t="s">
        <v>59</v>
      </c>
      <c r="O1912" t="s">
        <v>73</v>
      </c>
      <c r="P1912" t="str">
        <f t="shared" si="203"/>
        <v>Individual</v>
      </c>
      <c r="Q1912" t="str">
        <f t="shared" si="204"/>
        <v>Midlands</v>
      </c>
      <c r="R1912" t="str">
        <f>PROPER(TRIM(E1912))</f>
        <v>Electronics</v>
      </c>
      <c r="S1912" s="27">
        <f>IF(ISTEXT(B1912),DATEVALUE(B1912),B1912)</f>
        <v>45961</v>
      </c>
      <c r="T1912" s="27">
        <f>COUNTIF($A$2:$A$1986,A1912)</f>
        <v>1</v>
      </c>
      <c r="U1912" s="27" t="str">
        <f t="shared" si="205"/>
        <v>SmartHome Hub</v>
      </c>
      <c r="V1912" s="27">
        <f t="shared" si="206"/>
        <v>131.28</v>
      </c>
      <c r="W1912" s="27">
        <f t="shared" si="207"/>
        <v>84.31</v>
      </c>
      <c r="X1912" s="27">
        <f>RawSalesTable3[[#This Row],[Revenue]]-RawSalesTable3[[#This Row],[Total_Cost]]</f>
        <v>46.97</v>
      </c>
      <c r="Y1912" s="28">
        <f>RawSalesTable3[[#This Row],[Profit]]/RawSalesTable3[[#This Row],[Revenue]]</f>
        <v>0.35778488726386348</v>
      </c>
      <c r="Z1912" s="27" t="str">
        <f>TEXT(RawSalesTable3[[#This Row],[Order_Date_Clean]],"MMM YYYY")</f>
        <v>Oct 2025</v>
      </c>
      <c r="AA1912" s="27"/>
      <c r="AB1912" s="27">
        <f t="shared" si="208"/>
        <v>0</v>
      </c>
      <c r="AC1912" s="27">
        <f t="shared" si="209"/>
        <v>0</v>
      </c>
    </row>
    <row r="1913" spans="1:29">
      <c r="A1913" t="s">
        <v>2026</v>
      </c>
      <c r="B1913" s="3">
        <v>45766</v>
      </c>
      <c r="C1913" t="s">
        <v>66</v>
      </c>
      <c r="D1913" t="s">
        <v>62</v>
      </c>
      <c r="E1913" t="s">
        <v>56</v>
      </c>
      <c r="F1913" t="s">
        <v>57</v>
      </c>
      <c r="G1913" s="6">
        <v>1</v>
      </c>
      <c r="H1913" s="4">
        <v>110.03</v>
      </c>
      <c r="I1913" s="4">
        <v>66.02</v>
      </c>
      <c r="J1913" s="5">
        <v>0.05</v>
      </c>
      <c r="K1913" s="6">
        <v>1</v>
      </c>
      <c r="L1913" s="6">
        <v>5</v>
      </c>
      <c r="M1913" t="s">
        <v>58</v>
      </c>
      <c r="N1913" t="s">
        <v>69</v>
      </c>
      <c r="O1913" t="s">
        <v>64</v>
      </c>
      <c r="P1913" t="str">
        <f t="shared" si="203"/>
        <v>Individual</v>
      </c>
      <c r="Q1913" t="str">
        <f t="shared" si="204"/>
        <v>South</v>
      </c>
      <c r="R1913" t="str">
        <f>PROPER(TRIM(E1913))</f>
        <v>Home &amp; Kitchen</v>
      </c>
      <c r="S1913" s="27">
        <f>IF(ISTEXT(B1913),DATEVALUE(B1913),B1913)</f>
        <v>45766</v>
      </c>
      <c r="T1913" s="27">
        <f>COUNTIF($A$2:$A$1986,A1913)</f>
        <v>1</v>
      </c>
      <c r="U1913" s="27" t="str">
        <f t="shared" si="205"/>
        <v>Air Fryer</v>
      </c>
      <c r="V1913" s="27">
        <f t="shared" si="206"/>
        <v>104.52849999999999</v>
      </c>
      <c r="W1913" s="27">
        <f t="shared" si="207"/>
        <v>66.02</v>
      </c>
      <c r="X1913" s="27">
        <f>RawSalesTable3[[#This Row],[Revenue]]-RawSalesTable3[[#This Row],[Total_Cost]]</f>
        <v>38.508499999999998</v>
      </c>
      <c r="Y1913" s="28">
        <f>RawSalesTable3[[#This Row],[Profit]]/RawSalesTable3[[#This Row],[Revenue]]</f>
        <v>0.36840191909383563</v>
      </c>
      <c r="Z1913" s="27" t="str">
        <f>TEXT(RawSalesTable3[[#This Row],[Order_Date_Clean]],"MMM YYYY")</f>
        <v>Apr 2025</v>
      </c>
      <c r="AA1913" s="27"/>
      <c r="AB1913" s="27">
        <f t="shared" si="208"/>
        <v>0</v>
      </c>
      <c r="AC1913" s="27">
        <f t="shared" si="209"/>
        <v>0</v>
      </c>
    </row>
    <row r="1914" spans="1:29">
      <c r="A1914" t="s">
        <v>2027</v>
      </c>
      <c r="B1914" s="3">
        <v>45989</v>
      </c>
      <c r="C1914" t="s">
        <v>78</v>
      </c>
      <c r="D1914" t="s">
        <v>62</v>
      </c>
      <c r="E1914" t="s">
        <v>75</v>
      </c>
      <c r="F1914" t="s">
        <v>97</v>
      </c>
      <c r="G1914" s="6">
        <v>2</v>
      </c>
      <c r="H1914" s="4">
        <v>88.07</v>
      </c>
      <c r="I1914" s="4">
        <v>54.96</v>
      </c>
      <c r="J1914" s="5">
        <v>0.05</v>
      </c>
      <c r="K1914" s="6">
        <v>8</v>
      </c>
      <c r="L1914" s="6">
        <v>4</v>
      </c>
      <c r="M1914" t="s">
        <v>58</v>
      </c>
      <c r="N1914" t="s">
        <v>59</v>
      </c>
      <c r="O1914" t="s">
        <v>64</v>
      </c>
      <c r="P1914" t="str">
        <f t="shared" si="203"/>
        <v>Individual</v>
      </c>
      <c r="Q1914" t="str">
        <f t="shared" si="204"/>
        <v>London</v>
      </c>
      <c r="R1914" t="str">
        <f>PROPER(TRIM(E1914))</f>
        <v>Furniture</v>
      </c>
      <c r="S1914" s="27">
        <f>IF(ISTEXT(B1914),DATEVALUE(B1914),B1914)</f>
        <v>45989</v>
      </c>
      <c r="T1914" s="27">
        <f>COUNTIF($A$2:$A$1986,A1914)</f>
        <v>1</v>
      </c>
      <c r="U1914" s="27" t="str">
        <f t="shared" si="205"/>
        <v>Side Table</v>
      </c>
      <c r="V1914" s="27">
        <f t="shared" si="206"/>
        <v>167.33299999999997</v>
      </c>
      <c r="W1914" s="27">
        <f t="shared" si="207"/>
        <v>109.92</v>
      </c>
      <c r="X1914" s="27">
        <f>RawSalesTable3[[#This Row],[Revenue]]-RawSalesTable3[[#This Row],[Total_Cost]]</f>
        <v>57.412999999999968</v>
      </c>
      <c r="Y1914" s="28">
        <f>RawSalesTable3[[#This Row],[Profit]]/RawSalesTable3[[#This Row],[Revenue]]</f>
        <v>0.34310626116785081</v>
      </c>
      <c r="Z1914" s="27" t="str">
        <f>TEXT(RawSalesTable3[[#This Row],[Order_Date_Clean]],"MMM YYYY")</f>
        <v>Nov 2025</v>
      </c>
      <c r="AA1914" s="27"/>
      <c r="AB1914" s="27">
        <f t="shared" si="208"/>
        <v>0</v>
      </c>
      <c r="AC1914" s="27">
        <f t="shared" si="209"/>
        <v>0</v>
      </c>
    </row>
    <row r="1915" spans="1:29">
      <c r="A1915" t="s">
        <v>2028</v>
      </c>
      <c r="B1915" s="3">
        <v>45858</v>
      </c>
      <c r="C1915" t="s">
        <v>66</v>
      </c>
      <c r="D1915" t="s">
        <v>62</v>
      </c>
      <c r="E1915" t="s">
        <v>75</v>
      </c>
      <c r="F1915" t="s">
        <v>97</v>
      </c>
      <c r="G1915" s="6">
        <v>2</v>
      </c>
      <c r="H1915" s="4">
        <v>87.76</v>
      </c>
      <c r="I1915" s="4">
        <v>56.16</v>
      </c>
      <c r="J1915" s="5">
        <v>0.05</v>
      </c>
      <c r="K1915" s="6">
        <v>4</v>
      </c>
      <c r="L1915" s="6">
        <v>4</v>
      </c>
      <c r="M1915" t="s">
        <v>58</v>
      </c>
      <c r="N1915" t="s">
        <v>69</v>
      </c>
      <c r="O1915" t="s">
        <v>64</v>
      </c>
      <c r="P1915" t="str">
        <f t="shared" si="203"/>
        <v>Individual</v>
      </c>
      <c r="Q1915" t="str">
        <f t="shared" si="204"/>
        <v>South</v>
      </c>
      <c r="R1915" t="str">
        <f>PROPER(TRIM(E1915))</f>
        <v>Furniture</v>
      </c>
      <c r="S1915" s="27">
        <f>IF(ISTEXT(B1915),DATEVALUE(B1915),B1915)</f>
        <v>45858</v>
      </c>
      <c r="T1915" s="27">
        <f>COUNTIF($A$2:$A$1986,A1915)</f>
        <v>1</v>
      </c>
      <c r="U1915" s="27" t="str">
        <f t="shared" si="205"/>
        <v>Side Table</v>
      </c>
      <c r="V1915" s="27">
        <f t="shared" si="206"/>
        <v>166.744</v>
      </c>
      <c r="W1915" s="27">
        <f t="shared" si="207"/>
        <v>112.32</v>
      </c>
      <c r="X1915" s="27">
        <f>RawSalesTable3[[#This Row],[Revenue]]-RawSalesTable3[[#This Row],[Total_Cost]]</f>
        <v>54.424000000000007</v>
      </c>
      <c r="Y1915" s="28">
        <f>RawSalesTable3[[#This Row],[Profit]]/RawSalesTable3[[#This Row],[Revenue]]</f>
        <v>0.32639255385501131</v>
      </c>
      <c r="Z1915" s="27" t="str">
        <f>TEXT(RawSalesTable3[[#This Row],[Order_Date_Clean]],"MMM YYYY")</f>
        <v>Jul 2025</v>
      </c>
      <c r="AA1915" s="27"/>
      <c r="AB1915" s="27">
        <f t="shared" si="208"/>
        <v>0</v>
      </c>
      <c r="AC1915" s="27">
        <f t="shared" si="209"/>
        <v>0</v>
      </c>
    </row>
    <row r="1916" spans="1:29">
      <c r="A1916" t="s">
        <v>2029</v>
      </c>
      <c r="B1916" s="3">
        <v>45704</v>
      </c>
      <c r="C1916" t="s">
        <v>82</v>
      </c>
      <c r="D1916" t="s">
        <v>62</v>
      </c>
      <c r="E1916" t="s">
        <v>75</v>
      </c>
      <c r="F1916" t="s">
        <v>97</v>
      </c>
      <c r="G1916" s="6">
        <v>1</v>
      </c>
      <c r="H1916" s="4">
        <v>91.62</v>
      </c>
      <c r="I1916" s="4">
        <v>52.66</v>
      </c>
      <c r="J1916" s="5">
        <v>0.1</v>
      </c>
      <c r="K1916" s="6">
        <v>6</v>
      </c>
      <c r="L1916" s="6">
        <v>4</v>
      </c>
      <c r="M1916" t="s">
        <v>58</v>
      </c>
      <c r="N1916" t="s">
        <v>59</v>
      </c>
      <c r="O1916" t="s">
        <v>64</v>
      </c>
      <c r="P1916" t="str">
        <f t="shared" si="203"/>
        <v>Individual</v>
      </c>
      <c r="Q1916" t="str">
        <f t="shared" si="204"/>
        <v>Midlands</v>
      </c>
      <c r="R1916" t="str">
        <f>PROPER(TRIM(E1916))</f>
        <v>Furniture</v>
      </c>
      <c r="S1916" s="27">
        <f>IF(ISTEXT(B1916),DATEVALUE(B1916),B1916)</f>
        <v>45704</v>
      </c>
      <c r="T1916" s="27">
        <f>COUNTIF($A$2:$A$1986,A1916)</f>
        <v>1</v>
      </c>
      <c r="U1916" s="27" t="str">
        <f t="shared" si="205"/>
        <v>Side Table</v>
      </c>
      <c r="V1916" s="27">
        <f t="shared" si="206"/>
        <v>82.458000000000013</v>
      </c>
      <c r="W1916" s="27">
        <f t="shared" si="207"/>
        <v>52.66</v>
      </c>
      <c r="X1916" s="27">
        <f>RawSalesTable3[[#This Row],[Revenue]]-RawSalesTable3[[#This Row],[Total_Cost]]</f>
        <v>29.798000000000016</v>
      </c>
      <c r="Y1916" s="28">
        <f>RawSalesTable3[[#This Row],[Profit]]/RawSalesTable3[[#This Row],[Revenue]]</f>
        <v>0.3613718499114702</v>
      </c>
      <c r="Z1916" s="27" t="str">
        <f>TEXT(RawSalesTable3[[#This Row],[Order_Date_Clean]],"MMM YYYY")</f>
        <v>Feb 2025</v>
      </c>
      <c r="AA1916" s="27"/>
      <c r="AB1916" s="27">
        <f t="shared" si="208"/>
        <v>0</v>
      </c>
      <c r="AC1916" s="27">
        <f t="shared" si="209"/>
        <v>0</v>
      </c>
    </row>
    <row r="1917" spans="1:29">
      <c r="A1917" t="s">
        <v>2030</v>
      </c>
      <c r="B1917" s="3">
        <v>45842</v>
      </c>
      <c r="C1917" t="s">
        <v>66</v>
      </c>
      <c r="D1917" t="s">
        <v>129</v>
      </c>
      <c r="E1917" t="s">
        <v>56</v>
      </c>
      <c r="F1917" t="s">
        <v>57</v>
      </c>
      <c r="G1917" s="6">
        <v>4</v>
      </c>
      <c r="H1917" s="4">
        <v>107.96</v>
      </c>
      <c r="I1917" s="4">
        <v>68.209999999999994</v>
      </c>
      <c r="J1917" s="5">
        <v>0.05</v>
      </c>
      <c r="K1917" s="6">
        <v>9</v>
      </c>
      <c r="L1917" s="6">
        <v>3</v>
      </c>
      <c r="M1917" t="s">
        <v>58</v>
      </c>
      <c r="N1917" t="s">
        <v>59</v>
      </c>
      <c r="O1917" t="s">
        <v>64</v>
      </c>
      <c r="P1917" t="str">
        <f t="shared" si="203"/>
        <v>Corporate</v>
      </c>
      <c r="Q1917" t="str">
        <f t="shared" si="204"/>
        <v>South</v>
      </c>
      <c r="R1917" t="str">
        <f>PROPER(TRIM(E1917))</f>
        <v>Home &amp; Kitchen</v>
      </c>
      <c r="S1917" s="27">
        <f>IF(ISTEXT(B1917),DATEVALUE(B1917),B1917)</f>
        <v>45842</v>
      </c>
      <c r="T1917" s="27">
        <f>COUNTIF($A$2:$A$1986,A1917)</f>
        <v>1</v>
      </c>
      <c r="U1917" s="27" t="str">
        <f t="shared" si="205"/>
        <v>Air Fryer</v>
      </c>
      <c r="V1917" s="27">
        <f t="shared" si="206"/>
        <v>410.24799999999993</v>
      </c>
      <c r="W1917" s="27">
        <f t="shared" si="207"/>
        <v>272.83999999999997</v>
      </c>
      <c r="X1917" s="27">
        <f>RawSalesTable3[[#This Row],[Revenue]]-RawSalesTable3[[#This Row],[Total_Cost]]</f>
        <v>137.40799999999996</v>
      </c>
      <c r="Y1917" s="28">
        <f>RawSalesTable3[[#This Row],[Profit]]/RawSalesTable3[[#This Row],[Revenue]]</f>
        <v>0.334938866246758</v>
      </c>
      <c r="Z1917" s="27" t="str">
        <f>TEXT(RawSalesTable3[[#This Row],[Order_Date_Clean]],"MMM YYYY")</f>
        <v>Jul 2025</v>
      </c>
      <c r="AA1917" s="27"/>
      <c r="AB1917" s="27">
        <f t="shared" si="208"/>
        <v>0</v>
      </c>
      <c r="AC1917" s="27">
        <f t="shared" si="209"/>
        <v>0</v>
      </c>
    </row>
    <row r="1918" spans="1:29">
      <c r="A1918" t="s">
        <v>2031</v>
      </c>
      <c r="B1918" s="3">
        <v>46020</v>
      </c>
      <c r="C1918" t="s">
        <v>66</v>
      </c>
      <c r="D1918" t="s">
        <v>62</v>
      </c>
      <c r="E1918" t="s">
        <v>79</v>
      </c>
      <c r="F1918" t="s">
        <v>85</v>
      </c>
      <c r="G1918" s="6">
        <v>1</v>
      </c>
      <c r="H1918" s="4">
        <v>134.41999999999999</v>
      </c>
      <c r="I1918" s="4">
        <v>87.27</v>
      </c>
      <c r="J1918" s="5">
        <v>0.15000000000000002</v>
      </c>
      <c r="K1918" s="6">
        <v>3</v>
      </c>
      <c r="L1918" s="6">
        <v>4</v>
      </c>
      <c r="M1918" t="s">
        <v>58</v>
      </c>
      <c r="N1918" t="s">
        <v>59</v>
      </c>
      <c r="O1918" t="s">
        <v>73</v>
      </c>
      <c r="P1918" t="str">
        <f t="shared" si="203"/>
        <v>Individual</v>
      </c>
      <c r="Q1918" t="str">
        <f t="shared" si="204"/>
        <v>South</v>
      </c>
      <c r="R1918" t="str">
        <f>PROPER(TRIM(E1918))</f>
        <v>Electronics</v>
      </c>
      <c r="S1918" s="27">
        <f>IF(ISTEXT(B1918),DATEVALUE(B1918),B1918)</f>
        <v>46020</v>
      </c>
      <c r="T1918" s="27">
        <f>COUNTIF($A$2:$A$1986,A1918)</f>
        <v>1</v>
      </c>
      <c r="U1918" s="27" t="str">
        <f t="shared" si="205"/>
        <v>SmartHome Hub</v>
      </c>
      <c r="V1918" s="27">
        <f t="shared" si="206"/>
        <v>114.25699999999999</v>
      </c>
      <c r="W1918" s="27">
        <f t="shared" si="207"/>
        <v>87.27</v>
      </c>
      <c r="X1918" s="27">
        <f>RawSalesTable3[[#This Row],[Revenue]]-RawSalesTable3[[#This Row],[Total_Cost]]</f>
        <v>26.986999999999995</v>
      </c>
      <c r="Y1918" s="28">
        <f>RawSalesTable3[[#This Row],[Profit]]/RawSalesTable3[[#This Row],[Revenue]]</f>
        <v>0.2361955941430284</v>
      </c>
      <c r="Z1918" s="27" t="str">
        <f>TEXT(RawSalesTable3[[#This Row],[Order_Date_Clean]],"MMM YYYY")</f>
        <v>Dec 2025</v>
      </c>
      <c r="AA1918" s="27"/>
      <c r="AB1918" s="27">
        <f t="shared" si="208"/>
        <v>0</v>
      </c>
      <c r="AC1918" s="27">
        <f t="shared" si="209"/>
        <v>0</v>
      </c>
    </row>
    <row r="1919" spans="1:29">
      <c r="A1919" t="s">
        <v>2032</v>
      </c>
      <c r="B1919" s="3">
        <v>45824</v>
      </c>
      <c r="C1919" t="s">
        <v>54</v>
      </c>
      <c r="D1919" t="s">
        <v>62</v>
      </c>
      <c r="E1919" t="s">
        <v>67</v>
      </c>
      <c r="F1919" t="s">
        <v>71</v>
      </c>
      <c r="G1919" s="6">
        <v>4</v>
      </c>
      <c r="H1919" s="4">
        <v>68.36</v>
      </c>
      <c r="I1919" s="4">
        <v>38.340000000000003</v>
      </c>
      <c r="J1919" s="5">
        <v>0</v>
      </c>
      <c r="K1919" s="6">
        <v>2</v>
      </c>
      <c r="L1919" s="6">
        <v>4</v>
      </c>
      <c r="M1919" t="s">
        <v>58</v>
      </c>
      <c r="N1919" t="s">
        <v>59</v>
      </c>
      <c r="O1919" t="s">
        <v>73</v>
      </c>
      <c r="P1919" t="str">
        <f t="shared" si="203"/>
        <v>Individual</v>
      </c>
      <c r="Q1919" t="str">
        <f t="shared" si="204"/>
        <v>North</v>
      </c>
      <c r="R1919" t="str">
        <f>PROPER(TRIM(E1919))</f>
        <v>Office</v>
      </c>
      <c r="S1919" s="27">
        <f>IF(ISTEXT(B1919),DATEVALUE(B1919),B1919)</f>
        <v>45824</v>
      </c>
      <c r="T1919" s="27">
        <f>COUNTIF($A$2:$A$1986,A1919)</f>
        <v>1</v>
      </c>
      <c r="U1919" s="27" t="str">
        <f t="shared" si="205"/>
        <v>Ergonomic Keyboard</v>
      </c>
      <c r="V1919" s="27">
        <f t="shared" si="206"/>
        <v>273.44</v>
      </c>
      <c r="W1919" s="27">
        <f t="shared" si="207"/>
        <v>153.36000000000001</v>
      </c>
      <c r="X1919" s="27">
        <f>RawSalesTable3[[#This Row],[Revenue]]-RawSalesTable3[[#This Row],[Total_Cost]]</f>
        <v>120.07999999999998</v>
      </c>
      <c r="Y1919" s="28">
        <f>RawSalesTable3[[#This Row],[Profit]]/RawSalesTable3[[#This Row],[Revenue]]</f>
        <v>0.43914569923932117</v>
      </c>
      <c r="Z1919" s="27" t="str">
        <f>TEXT(RawSalesTable3[[#This Row],[Order_Date_Clean]],"MMM YYYY")</f>
        <v>Jun 2025</v>
      </c>
      <c r="AA1919" s="27"/>
      <c r="AB1919" s="27">
        <f t="shared" si="208"/>
        <v>0</v>
      </c>
      <c r="AC1919" s="27">
        <f t="shared" si="209"/>
        <v>0</v>
      </c>
    </row>
    <row r="1920" spans="1:29">
      <c r="A1920" t="s">
        <v>2033</v>
      </c>
      <c r="B1920" s="3" t="s">
        <v>2034</v>
      </c>
      <c r="C1920" t="s">
        <v>54</v>
      </c>
      <c r="D1920" t="s">
        <v>129</v>
      </c>
      <c r="E1920" t="s">
        <v>75</v>
      </c>
      <c r="F1920" t="s">
        <v>110</v>
      </c>
      <c r="G1920" s="6">
        <v>10</v>
      </c>
      <c r="H1920" s="4">
        <v>158.30000000000001</v>
      </c>
      <c r="I1920" s="4">
        <v>105.94</v>
      </c>
      <c r="J1920" s="5">
        <v>0.05</v>
      </c>
      <c r="K1920" s="6">
        <v>5</v>
      </c>
      <c r="L1920" s="6">
        <v>4</v>
      </c>
      <c r="M1920" t="s">
        <v>58</v>
      </c>
      <c r="N1920" t="s">
        <v>59</v>
      </c>
      <c r="O1920" t="s">
        <v>64</v>
      </c>
      <c r="P1920" t="str">
        <f t="shared" si="203"/>
        <v>Corporate</v>
      </c>
      <c r="Q1920" t="str">
        <f t="shared" si="204"/>
        <v>North</v>
      </c>
      <c r="R1920" t="str">
        <f>PROPER(TRIM(E1920))</f>
        <v>Furniture</v>
      </c>
      <c r="S1920" s="27">
        <f>IF(ISTEXT(B1920),DATEVALUE(B1920),B1920)</f>
        <v>45957</v>
      </c>
      <c r="T1920" s="27">
        <f>COUNTIF($A$2:$A$1986,A1920)</f>
        <v>1</v>
      </c>
      <c r="U1920" s="27" t="str">
        <f t="shared" si="205"/>
        <v>Storage Cabinet</v>
      </c>
      <c r="V1920" s="27">
        <f t="shared" si="206"/>
        <v>1503.85</v>
      </c>
      <c r="W1920" s="27">
        <f t="shared" si="207"/>
        <v>1059.4000000000001</v>
      </c>
      <c r="X1920" s="27">
        <f>RawSalesTable3[[#This Row],[Revenue]]-RawSalesTable3[[#This Row],[Total_Cost]]</f>
        <v>444.44999999999982</v>
      </c>
      <c r="Y1920" s="28">
        <f>RawSalesTable3[[#This Row],[Profit]]/RawSalesTable3[[#This Row],[Revenue]]</f>
        <v>0.29554144362802132</v>
      </c>
      <c r="Z1920" s="27" t="str">
        <f>TEXT(RawSalesTable3[[#This Row],[Order_Date_Clean]],"MMM YYYY")</f>
        <v>Oct 2025</v>
      </c>
      <c r="AA1920" s="27"/>
      <c r="AB1920" s="27">
        <f t="shared" si="208"/>
        <v>0</v>
      </c>
      <c r="AC1920" s="27">
        <f t="shared" si="209"/>
        <v>0</v>
      </c>
    </row>
    <row r="1921" spans="1:29">
      <c r="A1921" t="s">
        <v>2035</v>
      </c>
      <c r="B1921" s="3">
        <v>46013</v>
      </c>
      <c r="C1921" t="s">
        <v>66</v>
      </c>
      <c r="D1921" t="s">
        <v>62</v>
      </c>
      <c r="E1921" t="s">
        <v>79</v>
      </c>
      <c r="F1921" t="s">
        <v>115</v>
      </c>
      <c r="G1921" s="6">
        <v>1</v>
      </c>
      <c r="H1921" s="4">
        <v>61.61</v>
      </c>
      <c r="I1921" s="4">
        <v>33.57</v>
      </c>
      <c r="J1921" s="5">
        <v>0.1</v>
      </c>
      <c r="K1921" s="6">
        <v>3</v>
      </c>
      <c r="L1921" s="6">
        <v>3</v>
      </c>
      <c r="M1921" t="s">
        <v>126</v>
      </c>
      <c r="N1921" t="s">
        <v>69</v>
      </c>
      <c r="O1921" t="s">
        <v>64</v>
      </c>
      <c r="P1921" t="str">
        <f t="shared" si="203"/>
        <v>Individual</v>
      </c>
      <c r="Q1921" t="str">
        <f t="shared" si="204"/>
        <v>South</v>
      </c>
      <c r="R1921" t="str">
        <f>PROPER(TRIM(E1921))</f>
        <v>Electronics</v>
      </c>
      <c r="S1921" s="27">
        <f>IF(ISTEXT(B1921),DATEVALUE(B1921),B1921)</f>
        <v>46013</v>
      </c>
      <c r="T1921" s="27">
        <f>COUNTIF($A$2:$A$1986,A1921)</f>
        <v>1</v>
      </c>
      <c r="U1921" s="27" t="str">
        <f t="shared" si="205"/>
        <v>Wireless Headset</v>
      </c>
      <c r="V1921" s="27">
        <f t="shared" si="206"/>
        <v>55.448999999999998</v>
      </c>
      <c r="W1921" s="27">
        <f t="shared" si="207"/>
        <v>33.57</v>
      </c>
      <c r="X1921" s="27">
        <f>RawSalesTable3[[#This Row],[Revenue]]-RawSalesTable3[[#This Row],[Total_Cost]]</f>
        <v>21.878999999999998</v>
      </c>
      <c r="Y1921" s="28">
        <f>RawSalesTable3[[#This Row],[Profit]]/RawSalesTable3[[#This Row],[Revenue]]</f>
        <v>0.39457880214250929</v>
      </c>
      <c r="Z1921" s="27" t="str">
        <f>TEXT(RawSalesTable3[[#This Row],[Order_Date_Clean]],"MMM YYYY")</f>
        <v>Dec 2025</v>
      </c>
      <c r="AA1921" s="27"/>
      <c r="AB1921" s="27">
        <f t="shared" si="208"/>
        <v>0</v>
      </c>
      <c r="AC1921" s="27">
        <f t="shared" si="209"/>
        <v>0</v>
      </c>
    </row>
    <row r="1922" spans="1:29">
      <c r="A1922" t="s">
        <v>2036</v>
      </c>
      <c r="B1922" s="3">
        <v>45782</v>
      </c>
      <c r="C1922" t="s">
        <v>82</v>
      </c>
      <c r="D1922" t="s">
        <v>62</v>
      </c>
      <c r="E1922" t="s">
        <v>56</v>
      </c>
      <c r="F1922" t="s">
        <v>63</v>
      </c>
      <c r="G1922" s="6">
        <v>1</v>
      </c>
      <c r="H1922" s="4">
        <v>41.56</v>
      </c>
      <c r="I1922" s="4">
        <v>19.87</v>
      </c>
      <c r="J1922" s="5">
        <v>0</v>
      </c>
      <c r="K1922" s="6">
        <v>2</v>
      </c>
      <c r="L1922" s="6">
        <v>4</v>
      </c>
      <c r="M1922" t="s">
        <v>58</v>
      </c>
      <c r="N1922" t="s">
        <v>59</v>
      </c>
      <c r="O1922" t="s">
        <v>60</v>
      </c>
      <c r="P1922" t="str">
        <f t="shared" ref="P1922:P1986" si="210">IF(TRIM(D1922)="","Unknow",PROPER(TRIM(D1922)))</f>
        <v>Individual</v>
      </c>
      <c r="Q1922" t="str">
        <f t="shared" ref="Q1922:Q1986" si="211">IF(PROPER(TRIM(C1922))="Mid Lands","Midlands",PROPER(TRIM(C1922)))</f>
        <v>Midlands</v>
      </c>
      <c r="R1922" t="str">
        <f>PROPER(TRIM(E1922))</f>
        <v>Home &amp; Kitchen</v>
      </c>
      <c r="S1922" s="27">
        <f>IF(ISTEXT(B1922),DATEVALUE(B1922),B1922)</f>
        <v>45782</v>
      </c>
      <c r="T1922" s="27">
        <f>COUNTIF($A$2:$A$1986,A1922)</f>
        <v>1</v>
      </c>
      <c r="U1922" s="27" t="str">
        <f t="shared" ref="U1922:U1986" si="212">TRIM(F1922)</f>
        <v>Electric Kettle</v>
      </c>
      <c r="V1922" s="27">
        <f t="shared" ref="V1922:V1986" si="213">G1922*H1922*(1-J1922)</f>
        <v>41.56</v>
      </c>
      <c r="W1922" s="27">
        <f t="shared" ref="W1922:W1986" si="214">G1922*I1922</f>
        <v>19.87</v>
      </c>
      <c r="X1922" s="27">
        <f>RawSalesTable3[[#This Row],[Revenue]]-RawSalesTable3[[#This Row],[Total_Cost]]</f>
        <v>21.69</v>
      </c>
      <c r="Y1922" s="28">
        <f>RawSalesTable3[[#This Row],[Profit]]/RawSalesTable3[[#This Row],[Revenue]]</f>
        <v>0.52189605389797877</v>
      </c>
      <c r="Z1922" s="27" t="str">
        <f>TEXT(RawSalesTable3[[#This Row],[Order_Date_Clean]],"MMM YYYY")</f>
        <v>May 2025</v>
      </c>
      <c r="AA1922" s="27"/>
      <c r="AB1922" s="27">
        <f t="shared" ref="AB1922:AB1985" si="215">SUMIF($Z:$Z,AA1922,$V:$V)</f>
        <v>0</v>
      </c>
      <c r="AC1922" s="27">
        <f t="shared" ref="AC1922:AC1986" si="216">SUMIF($Z:$Z,AA1922,$X:$X)</f>
        <v>0</v>
      </c>
    </row>
    <row r="1923" spans="1:29">
      <c r="A1923" t="s">
        <v>2037</v>
      </c>
      <c r="B1923" s="3">
        <v>45829</v>
      </c>
      <c r="C1923" t="s">
        <v>78</v>
      </c>
      <c r="D1923" t="s">
        <v>62</v>
      </c>
      <c r="E1923" t="s">
        <v>56</v>
      </c>
      <c r="F1923" t="s">
        <v>89</v>
      </c>
      <c r="G1923" s="6">
        <v>1</v>
      </c>
      <c r="H1923" s="4">
        <v>78.849999999999994</v>
      </c>
      <c r="I1923" s="4">
        <v>44.63</v>
      </c>
      <c r="J1923" s="5">
        <v>0</v>
      </c>
      <c r="K1923" s="6">
        <v>1</v>
      </c>
      <c r="L1923" s="6">
        <v>4</v>
      </c>
      <c r="M1923" t="s">
        <v>58</v>
      </c>
      <c r="N1923" t="s">
        <v>69</v>
      </c>
      <c r="O1923" t="s">
        <v>60</v>
      </c>
      <c r="P1923" t="str">
        <f t="shared" si="210"/>
        <v>Individual</v>
      </c>
      <c r="Q1923" t="str">
        <f t="shared" si="211"/>
        <v>London</v>
      </c>
      <c r="R1923" t="str">
        <f>PROPER(TRIM(E1923))</f>
        <v>Home &amp; Kitchen</v>
      </c>
      <c r="S1923" s="27">
        <f>IF(ISTEXT(B1923),DATEVALUE(B1923),B1923)</f>
        <v>45829</v>
      </c>
      <c r="T1923" s="27">
        <f>COUNTIF($A$2:$A$1986,A1923)</f>
        <v>1</v>
      </c>
      <c r="U1923" s="27" t="str">
        <f t="shared" si="212"/>
        <v>Coffee Maker</v>
      </c>
      <c r="V1923" s="27">
        <f t="shared" si="213"/>
        <v>78.849999999999994</v>
      </c>
      <c r="W1923" s="27">
        <f t="shared" si="214"/>
        <v>44.63</v>
      </c>
      <c r="X1923" s="27">
        <f>RawSalesTable3[[#This Row],[Revenue]]-RawSalesTable3[[#This Row],[Total_Cost]]</f>
        <v>34.219999999999992</v>
      </c>
      <c r="Y1923" s="28">
        <f>RawSalesTable3[[#This Row],[Profit]]/RawSalesTable3[[#This Row],[Revenue]]</f>
        <v>0.43398858592263784</v>
      </c>
      <c r="Z1923" s="27" t="str">
        <f>TEXT(RawSalesTable3[[#This Row],[Order_Date_Clean]],"MMM YYYY")</f>
        <v>Jun 2025</v>
      </c>
      <c r="AA1923" s="27"/>
      <c r="AB1923" s="27">
        <f t="shared" si="215"/>
        <v>0</v>
      </c>
      <c r="AC1923" s="27">
        <f t="shared" si="216"/>
        <v>0</v>
      </c>
    </row>
    <row r="1924" spans="1:29">
      <c r="A1924" t="s">
        <v>2038</v>
      </c>
      <c r="B1924" s="3">
        <v>46010</v>
      </c>
      <c r="C1924" t="s">
        <v>82</v>
      </c>
      <c r="D1924" t="s">
        <v>62</v>
      </c>
      <c r="E1924" t="s">
        <v>79</v>
      </c>
      <c r="F1924" t="s">
        <v>80</v>
      </c>
      <c r="G1924" s="6">
        <v>3</v>
      </c>
      <c r="H1924" s="4">
        <v>77.39</v>
      </c>
      <c r="I1924" s="4">
        <v>44.36</v>
      </c>
      <c r="J1924" s="5">
        <v>0.15000000000000002</v>
      </c>
      <c r="K1924" s="6">
        <v>1</v>
      </c>
      <c r="L1924" s="6">
        <v>5</v>
      </c>
      <c r="M1924" t="s">
        <v>58</v>
      </c>
      <c r="N1924" t="s">
        <v>69</v>
      </c>
      <c r="O1924" t="s">
        <v>64</v>
      </c>
      <c r="P1924" t="str">
        <f t="shared" si="210"/>
        <v>Individual</v>
      </c>
      <c r="Q1924" t="str">
        <f t="shared" si="211"/>
        <v>Midlands</v>
      </c>
      <c r="R1924" t="str">
        <f>PROPER(TRIM(E1924))</f>
        <v>Electronics</v>
      </c>
      <c r="S1924" s="27">
        <f>IF(ISTEXT(B1924),DATEVALUE(B1924),B1924)</f>
        <v>46010</v>
      </c>
      <c r="T1924" s="27">
        <f>COUNTIF($A$2:$A$1986,A1924)</f>
        <v>1</v>
      </c>
      <c r="U1924" s="27" t="str">
        <f t="shared" si="212"/>
        <v>Portable Speaker</v>
      </c>
      <c r="V1924" s="27">
        <f t="shared" si="213"/>
        <v>197.34450000000001</v>
      </c>
      <c r="W1924" s="27">
        <f t="shared" si="214"/>
        <v>133.07999999999998</v>
      </c>
      <c r="X1924" s="27">
        <f>RawSalesTable3[[#This Row],[Revenue]]-RawSalesTable3[[#This Row],[Total_Cost]]</f>
        <v>64.264500000000027</v>
      </c>
      <c r="Y1924" s="28">
        <f>RawSalesTable3[[#This Row],[Profit]]/RawSalesTable3[[#This Row],[Revenue]]</f>
        <v>0.32564626832772142</v>
      </c>
      <c r="Z1924" s="27" t="str">
        <f>TEXT(RawSalesTable3[[#This Row],[Order_Date_Clean]],"MMM YYYY")</f>
        <v>Dec 2025</v>
      </c>
      <c r="AA1924" s="27"/>
      <c r="AB1924" s="27">
        <f t="shared" si="215"/>
        <v>0</v>
      </c>
      <c r="AC1924" s="27">
        <f t="shared" si="216"/>
        <v>0</v>
      </c>
    </row>
    <row r="1925" spans="1:29">
      <c r="A1925" t="s">
        <v>2039</v>
      </c>
      <c r="B1925" s="3">
        <v>46005</v>
      </c>
      <c r="C1925" t="s">
        <v>82</v>
      </c>
      <c r="D1925" t="s">
        <v>62</v>
      </c>
      <c r="E1925" t="s">
        <v>67</v>
      </c>
      <c r="F1925" t="s">
        <v>68</v>
      </c>
      <c r="G1925" s="6">
        <v>2</v>
      </c>
      <c r="H1925" s="4">
        <v>41.56</v>
      </c>
      <c r="I1925" s="4">
        <v>19.57</v>
      </c>
      <c r="J1925" s="5">
        <v>0.1</v>
      </c>
      <c r="K1925" s="6">
        <v>0</v>
      </c>
      <c r="L1925" s="6">
        <v>4</v>
      </c>
      <c r="M1925" t="s">
        <v>58</v>
      </c>
      <c r="N1925" t="s">
        <v>69</v>
      </c>
      <c r="O1925" t="s">
        <v>64</v>
      </c>
      <c r="P1925" t="str">
        <f t="shared" si="210"/>
        <v>Individual</v>
      </c>
      <c r="Q1925" t="str">
        <f t="shared" si="211"/>
        <v>Midlands</v>
      </c>
      <c r="R1925" t="str">
        <f>PROPER(TRIM(E1925))</f>
        <v>Office</v>
      </c>
      <c r="S1925" s="27">
        <f>IF(ISTEXT(B1925),DATEVALUE(B1925),B1925)</f>
        <v>46005</v>
      </c>
      <c r="T1925" s="27">
        <f>COUNTIF($A$2:$A$1986,A1925)</f>
        <v>1</v>
      </c>
      <c r="U1925" s="27" t="str">
        <f t="shared" si="212"/>
        <v>Desk Lamp</v>
      </c>
      <c r="V1925" s="27">
        <f t="shared" si="213"/>
        <v>74.808000000000007</v>
      </c>
      <c r="W1925" s="27">
        <f t="shared" si="214"/>
        <v>39.14</v>
      </c>
      <c r="X1925" s="27">
        <f>RawSalesTable3[[#This Row],[Revenue]]-RawSalesTable3[[#This Row],[Total_Cost]]</f>
        <v>35.668000000000006</v>
      </c>
      <c r="Y1925" s="28">
        <f>RawSalesTable3[[#This Row],[Profit]]/RawSalesTable3[[#This Row],[Revenue]]</f>
        <v>0.47679392578333873</v>
      </c>
      <c r="Z1925" s="27" t="str">
        <f>TEXT(RawSalesTable3[[#This Row],[Order_Date_Clean]],"MMM YYYY")</f>
        <v>Dec 2025</v>
      </c>
      <c r="AA1925" s="27"/>
      <c r="AB1925" s="27">
        <f t="shared" si="215"/>
        <v>0</v>
      </c>
      <c r="AC1925" s="27">
        <f t="shared" si="216"/>
        <v>0</v>
      </c>
    </row>
    <row r="1926" spans="1:29">
      <c r="A1926" t="s">
        <v>2040</v>
      </c>
      <c r="B1926" s="3">
        <v>45792</v>
      </c>
      <c r="C1926" t="s">
        <v>78</v>
      </c>
      <c r="D1926" t="s">
        <v>62</v>
      </c>
      <c r="E1926" t="s">
        <v>75</v>
      </c>
      <c r="F1926" t="s">
        <v>97</v>
      </c>
      <c r="G1926" s="6">
        <v>3</v>
      </c>
      <c r="H1926" s="4">
        <v>90.53</v>
      </c>
      <c r="I1926" s="4">
        <v>52.95</v>
      </c>
      <c r="J1926" s="5">
        <v>0.1</v>
      </c>
      <c r="K1926" s="6">
        <v>3</v>
      </c>
      <c r="L1926" s="6">
        <v>4</v>
      </c>
      <c r="M1926" t="s">
        <v>58</v>
      </c>
      <c r="N1926" t="s">
        <v>59</v>
      </c>
      <c r="O1926" t="s">
        <v>64</v>
      </c>
      <c r="P1926" t="str">
        <f t="shared" si="210"/>
        <v>Individual</v>
      </c>
      <c r="Q1926" t="str">
        <f t="shared" si="211"/>
        <v>London</v>
      </c>
      <c r="R1926" t="str">
        <f>PROPER(TRIM(E1926))</f>
        <v>Furniture</v>
      </c>
      <c r="S1926" s="27">
        <f>IF(ISTEXT(B1926),DATEVALUE(B1926),B1926)</f>
        <v>45792</v>
      </c>
      <c r="T1926" s="27">
        <f>COUNTIF($A$2:$A$1986,A1926)</f>
        <v>1</v>
      </c>
      <c r="U1926" s="27" t="str">
        <f t="shared" si="212"/>
        <v>Side Table</v>
      </c>
      <c r="V1926" s="27">
        <f t="shared" si="213"/>
        <v>244.43100000000004</v>
      </c>
      <c r="W1926" s="27">
        <f t="shared" si="214"/>
        <v>158.85000000000002</v>
      </c>
      <c r="X1926" s="27">
        <f>RawSalesTable3[[#This Row],[Revenue]]-RawSalesTable3[[#This Row],[Total_Cost]]</f>
        <v>85.581000000000017</v>
      </c>
      <c r="Y1926" s="28">
        <f>RawSalesTable3[[#This Row],[Profit]]/RawSalesTable3[[#This Row],[Revenue]]</f>
        <v>0.35012334769321407</v>
      </c>
      <c r="Z1926" s="27" t="str">
        <f>TEXT(RawSalesTable3[[#This Row],[Order_Date_Clean]],"MMM YYYY")</f>
        <v>May 2025</v>
      </c>
      <c r="AA1926" s="27"/>
      <c r="AB1926" s="27">
        <f t="shared" si="215"/>
        <v>0</v>
      </c>
      <c r="AC1926" s="27">
        <f t="shared" si="216"/>
        <v>0</v>
      </c>
    </row>
    <row r="1927" spans="1:29">
      <c r="A1927" t="s">
        <v>2041</v>
      </c>
      <c r="B1927" s="3">
        <v>45673</v>
      </c>
      <c r="C1927" t="s">
        <v>78</v>
      </c>
      <c r="D1927" t="s">
        <v>62</v>
      </c>
      <c r="E1927" t="s">
        <v>75</v>
      </c>
      <c r="F1927" t="s">
        <v>97</v>
      </c>
      <c r="G1927" s="6">
        <v>1</v>
      </c>
      <c r="H1927" s="4">
        <v>90.13</v>
      </c>
      <c r="I1927" s="4">
        <v>53</v>
      </c>
      <c r="J1927" s="5">
        <v>0.1</v>
      </c>
      <c r="K1927" s="6">
        <v>8</v>
      </c>
      <c r="L1927" s="6"/>
      <c r="M1927" t="s">
        <v>58</v>
      </c>
      <c r="N1927" t="s">
        <v>59</v>
      </c>
      <c r="O1927" t="s">
        <v>64</v>
      </c>
      <c r="P1927" t="str">
        <f t="shared" si="210"/>
        <v>Individual</v>
      </c>
      <c r="Q1927" t="str">
        <f t="shared" si="211"/>
        <v>London</v>
      </c>
      <c r="R1927" t="str">
        <f>PROPER(TRIM(E1927))</f>
        <v>Furniture</v>
      </c>
      <c r="S1927" s="27">
        <f>IF(ISTEXT(B1927),DATEVALUE(B1927),B1927)</f>
        <v>45673</v>
      </c>
      <c r="T1927" s="27">
        <f>COUNTIF($A$2:$A$1986,A1927)</f>
        <v>1</v>
      </c>
      <c r="U1927" s="27" t="str">
        <f t="shared" si="212"/>
        <v>Side Table</v>
      </c>
      <c r="V1927" s="27">
        <f t="shared" si="213"/>
        <v>81.117000000000004</v>
      </c>
      <c r="W1927" s="27">
        <f t="shared" si="214"/>
        <v>53</v>
      </c>
      <c r="X1927" s="27">
        <f>RawSalesTable3[[#This Row],[Revenue]]-RawSalesTable3[[#This Row],[Total_Cost]]</f>
        <v>28.117000000000004</v>
      </c>
      <c r="Y1927" s="28">
        <f>RawSalesTable3[[#This Row],[Profit]]/RawSalesTable3[[#This Row],[Revenue]]</f>
        <v>0.34662277944204056</v>
      </c>
      <c r="Z1927" s="27" t="str">
        <f>TEXT(RawSalesTable3[[#This Row],[Order_Date_Clean]],"MMM YYYY")</f>
        <v>Jan 2025</v>
      </c>
      <c r="AA1927" s="27"/>
      <c r="AB1927" s="27">
        <f t="shared" si="215"/>
        <v>0</v>
      </c>
      <c r="AC1927" s="27">
        <f t="shared" si="216"/>
        <v>0</v>
      </c>
    </row>
    <row r="1928" spans="1:29">
      <c r="A1928" t="s">
        <v>2042</v>
      </c>
      <c r="B1928" s="3">
        <v>46016</v>
      </c>
      <c r="C1928" t="s">
        <v>66</v>
      </c>
      <c r="D1928" t="s">
        <v>62</v>
      </c>
      <c r="E1928" t="s">
        <v>67</v>
      </c>
      <c r="F1928" t="s">
        <v>68</v>
      </c>
      <c r="G1928" s="6">
        <v>1</v>
      </c>
      <c r="H1928" s="4">
        <v>38.880000000000003</v>
      </c>
      <c r="I1928" s="4">
        <v>18.79</v>
      </c>
      <c r="J1928" s="5">
        <v>0.2</v>
      </c>
      <c r="K1928" s="6">
        <v>0</v>
      </c>
      <c r="L1928" s="6">
        <v>5</v>
      </c>
      <c r="M1928" t="s">
        <v>58</v>
      </c>
      <c r="N1928" t="s">
        <v>69</v>
      </c>
      <c r="O1928" t="s">
        <v>64</v>
      </c>
      <c r="P1928" t="str">
        <f t="shared" si="210"/>
        <v>Individual</v>
      </c>
      <c r="Q1928" t="str">
        <f t="shared" si="211"/>
        <v>South</v>
      </c>
      <c r="R1928" t="str">
        <f>PROPER(TRIM(E1928))</f>
        <v>Office</v>
      </c>
      <c r="S1928" s="27">
        <f>IF(ISTEXT(B1928),DATEVALUE(B1928),B1928)</f>
        <v>46016</v>
      </c>
      <c r="T1928" s="27">
        <f>COUNTIF($A$2:$A$1986,A1928)</f>
        <v>1</v>
      </c>
      <c r="U1928" s="27" t="str">
        <f t="shared" si="212"/>
        <v>Desk Lamp</v>
      </c>
      <c r="V1928" s="27">
        <f t="shared" si="213"/>
        <v>31.104000000000003</v>
      </c>
      <c r="W1928" s="27">
        <f t="shared" si="214"/>
        <v>18.79</v>
      </c>
      <c r="X1928" s="27">
        <f>RawSalesTable3[[#This Row],[Revenue]]-RawSalesTable3[[#This Row],[Total_Cost]]</f>
        <v>12.314000000000004</v>
      </c>
      <c r="Y1928" s="28">
        <f>RawSalesTable3[[#This Row],[Profit]]/RawSalesTable3[[#This Row],[Revenue]]</f>
        <v>0.39589763374485604</v>
      </c>
      <c r="Z1928" s="27" t="str">
        <f>TEXT(RawSalesTable3[[#This Row],[Order_Date_Clean]],"MMM YYYY")</f>
        <v>Dec 2025</v>
      </c>
      <c r="AA1928" s="27"/>
      <c r="AB1928" s="27">
        <f t="shared" si="215"/>
        <v>0</v>
      </c>
      <c r="AC1928" s="27">
        <f t="shared" si="216"/>
        <v>0</v>
      </c>
    </row>
    <row r="1929" spans="1:29">
      <c r="A1929" t="s">
        <v>2043</v>
      </c>
      <c r="B1929" s="3">
        <v>45795</v>
      </c>
      <c r="C1929" t="s">
        <v>66</v>
      </c>
      <c r="D1929" t="s">
        <v>62</v>
      </c>
      <c r="E1929" t="s">
        <v>56</v>
      </c>
      <c r="F1929" t="s">
        <v>89</v>
      </c>
      <c r="G1929" s="6">
        <v>1</v>
      </c>
      <c r="H1929" s="4">
        <v>77.81</v>
      </c>
      <c r="I1929" s="4">
        <v>47.22</v>
      </c>
      <c r="J1929" s="5">
        <v>0</v>
      </c>
      <c r="K1929" s="6">
        <v>4</v>
      </c>
      <c r="L1929" s="6">
        <v>4</v>
      </c>
      <c r="M1929" t="s">
        <v>58</v>
      </c>
      <c r="N1929" t="s">
        <v>69</v>
      </c>
      <c r="O1929" t="s">
        <v>73</v>
      </c>
      <c r="P1929" t="str">
        <f t="shared" si="210"/>
        <v>Individual</v>
      </c>
      <c r="Q1929" t="str">
        <f t="shared" si="211"/>
        <v>South</v>
      </c>
      <c r="R1929" t="str">
        <f>PROPER(TRIM(E1929))</f>
        <v>Home &amp; Kitchen</v>
      </c>
      <c r="S1929" s="27">
        <f>IF(ISTEXT(B1929),DATEVALUE(B1929),B1929)</f>
        <v>45795</v>
      </c>
      <c r="T1929" s="27">
        <f>COUNTIF($A$2:$A$1986,A1929)</f>
        <v>1</v>
      </c>
      <c r="U1929" s="27" t="str">
        <f t="shared" si="212"/>
        <v>Coffee Maker</v>
      </c>
      <c r="V1929" s="27">
        <f t="shared" si="213"/>
        <v>77.81</v>
      </c>
      <c r="W1929" s="27">
        <f t="shared" si="214"/>
        <v>47.22</v>
      </c>
      <c r="X1929" s="27">
        <f>RawSalesTable3[[#This Row],[Revenue]]-RawSalesTable3[[#This Row],[Total_Cost]]</f>
        <v>30.590000000000003</v>
      </c>
      <c r="Y1929" s="28">
        <f>RawSalesTable3[[#This Row],[Profit]]/RawSalesTable3[[#This Row],[Revenue]]</f>
        <v>0.39313712890373992</v>
      </c>
      <c r="Z1929" s="27" t="str">
        <f>TEXT(RawSalesTable3[[#This Row],[Order_Date_Clean]],"MMM YYYY")</f>
        <v>May 2025</v>
      </c>
      <c r="AA1929" s="27"/>
      <c r="AB1929" s="27">
        <f t="shared" si="215"/>
        <v>0</v>
      </c>
      <c r="AC1929" s="27">
        <f t="shared" si="216"/>
        <v>0</v>
      </c>
    </row>
    <row r="1930" spans="1:29">
      <c r="A1930" t="s">
        <v>2044</v>
      </c>
      <c r="B1930" s="3">
        <v>45867</v>
      </c>
      <c r="C1930" t="s">
        <v>78</v>
      </c>
      <c r="D1930" t="s">
        <v>62</v>
      </c>
      <c r="E1930" t="s">
        <v>56</v>
      </c>
      <c r="F1930" t="s">
        <v>89</v>
      </c>
      <c r="G1930" s="6">
        <v>1</v>
      </c>
      <c r="H1930" s="4">
        <v>78.56</v>
      </c>
      <c r="I1930" s="4">
        <v>45.71</v>
      </c>
      <c r="J1930" s="5">
        <v>0</v>
      </c>
      <c r="K1930" s="6">
        <v>4</v>
      </c>
      <c r="L1930" s="6">
        <v>4</v>
      </c>
      <c r="M1930" t="s">
        <v>58</v>
      </c>
      <c r="N1930" t="s">
        <v>59</v>
      </c>
      <c r="O1930" t="s">
        <v>64</v>
      </c>
      <c r="P1930" t="str">
        <f t="shared" si="210"/>
        <v>Individual</v>
      </c>
      <c r="Q1930" t="str">
        <f t="shared" si="211"/>
        <v>London</v>
      </c>
      <c r="R1930" t="str">
        <f>PROPER(TRIM(E1930))</f>
        <v>Home &amp; Kitchen</v>
      </c>
      <c r="S1930" s="27">
        <f>IF(ISTEXT(B1930),DATEVALUE(B1930),B1930)</f>
        <v>45867</v>
      </c>
      <c r="T1930" s="27">
        <f>COUNTIF($A$2:$A$1986,A1930)</f>
        <v>1</v>
      </c>
      <c r="U1930" s="27" t="str">
        <f t="shared" si="212"/>
        <v>Coffee Maker</v>
      </c>
      <c r="V1930" s="27">
        <f t="shared" si="213"/>
        <v>78.56</v>
      </c>
      <c r="W1930" s="27">
        <f t="shared" si="214"/>
        <v>45.71</v>
      </c>
      <c r="X1930" s="27">
        <f>RawSalesTable3[[#This Row],[Revenue]]-RawSalesTable3[[#This Row],[Total_Cost]]</f>
        <v>32.85</v>
      </c>
      <c r="Y1930" s="28">
        <f>RawSalesTable3[[#This Row],[Profit]]/RawSalesTable3[[#This Row],[Revenue]]</f>
        <v>0.41815173116089616</v>
      </c>
      <c r="Z1930" s="27" t="str">
        <f>TEXT(RawSalesTable3[[#This Row],[Order_Date_Clean]],"MMM YYYY")</f>
        <v>Jul 2025</v>
      </c>
      <c r="AA1930" s="27"/>
      <c r="AB1930" s="27">
        <f t="shared" si="215"/>
        <v>0</v>
      </c>
      <c r="AC1930" s="27">
        <f t="shared" si="216"/>
        <v>0</v>
      </c>
    </row>
    <row r="1931" spans="1:29">
      <c r="A1931" t="s">
        <v>2045</v>
      </c>
      <c r="B1931" s="3">
        <v>45989</v>
      </c>
      <c r="C1931" t="s">
        <v>66</v>
      </c>
      <c r="D1931" t="s">
        <v>62</v>
      </c>
      <c r="E1931" t="s">
        <v>67</v>
      </c>
      <c r="F1931" t="s">
        <v>68</v>
      </c>
      <c r="G1931" s="6">
        <v>1</v>
      </c>
      <c r="H1931" s="4">
        <v>41.42</v>
      </c>
      <c r="I1931" s="4">
        <v>19.04</v>
      </c>
      <c r="J1931" s="5">
        <v>0.25</v>
      </c>
      <c r="K1931" s="6">
        <v>2</v>
      </c>
      <c r="L1931" s="6">
        <v>5</v>
      </c>
      <c r="M1931" t="s">
        <v>58</v>
      </c>
      <c r="N1931" t="s">
        <v>59</v>
      </c>
      <c r="O1931" t="s">
        <v>64</v>
      </c>
      <c r="P1931" t="str">
        <f t="shared" si="210"/>
        <v>Individual</v>
      </c>
      <c r="Q1931" t="str">
        <f t="shared" si="211"/>
        <v>South</v>
      </c>
      <c r="R1931" t="str">
        <f>PROPER(TRIM(E1931))</f>
        <v>Office</v>
      </c>
      <c r="S1931" s="27">
        <f>IF(ISTEXT(B1931),DATEVALUE(B1931),B1931)</f>
        <v>45989</v>
      </c>
      <c r="T1931" s="27">
        <f>COUNTIF($A$2:$A$1986,A1931)</f>
        <v>1</v>
      </c>
      <c r="U1931" s="27" t="str">
        <f t="shared" si="212"/>
        <v>Desk Lamp</v>
      </c>
      <c r="V1931" s="27">
        <f t="shared" si="213"/>
        <v>31.065000000000001</v>
      </c>
      <c r="W1931" s="27">
        <f t="shared" si="214"/>
        <v>19.04</v>
      </c>
      <c r="X1931" s="27">
        <f>RawSalesTable3[[#This Row],[Revenue]]-RawSalesTable3[[#This Row],[Total_Cost]]</f>
        <v>12.025000000000002</v>
      </c>
      <c r="Y1931" s="28">
        <f>RawSalesTable3[[#This Row],[Profit]]/RawSalesTable3[[#This Row],[Revenue]]</f>
        <v>0.38709158216642531</v>
      </c>
      <c r="Z1931" s="27" t="str">
        <f>TEXT(RawSalesTable3[[#This Row],[Order_Date_Clean]],"MMM YYYY")</f>
        <v>Nov 2025</v>
      </c>
      <c r="AA1931" s="27"/>
      <c r="AB1931" s="27">
        <f t="shared" si="215"/>
        <v>0</v>
      </c>
      <c r="AC1931" s="27">
        <f t="shared" si="216"/>
        <v>0</v>
      </c>
    </row>
    <row r="1932" spans="1:29">
      <c r="A1932" t="s">
        <v>2046</v>
      </c>
      <c r="B1932" s="3">
        <v>45834</v>
      </c>
      <c r="C1932" t="s">
        <v>66</v>
      </c>
      <c r="D1932" t="s">
        <v>62</v>
      </c>
      <c r="E1932" t="s">
        <v>56</v>
      </c>
      <c r="F1932" t="s">
        <v>57</v>
      </c>
      <c r="G1932" s="6">
        <v>1</v>
      </c>
      <c r="H1932" s="4">
        <v>114.25</v>
      </c>
      <c r="I1932" s="4">
        <v>67.540000000000006</v>
      </c>
      <c r="J1932" s="5">
        <v>0.1</v>
      </c>
      <c r="K1932" s="6">
        <v>2</v>
      </c>
      <c r="L1932" s="6">
        <v>4</v>
      </c>
      <c r="M1932" t="s">
        <v>58</v>
      </c>
      <c r="N1932" t="s">
        <v>59</v>
      </c>
      <c r="O1932" t="s">
        <v>60</v>
      </c>
      <c r="P1932" t="str">
        <f t="shared" si="210"/>
        <v>Individual</v>
      </c>
      <c r="Q1932" t="str">
        <f t="shared" si="211"/>
        <v>South</v>
      </c>
      <c r="R1932" t="str">
        <f>PROPER(TRIM(E1932))</f>
        <v>Home &amp; Kitchen</v>
      </c>
      <c r="S1932" s="27">
        <f>IF(ISTEXT(B1932),DATEVALUE(B1932),B1932)</f>
        <v>45834</v>
      </c>
      <c r="T1932" s="27">
        <f>COUNTIF($A$2:$A$1986,A1932)</f>
        <v>1</v>
      </c>
      <c r="U1932" s="27" t="str">
        <f t="shared" si="212"/>
        <v>Air Fryer</v>
      </c>
      <c r="V1932" s="27">
        <f t="shared" si="213"/>
        <v>102.825</v>
      </c>
      <c r="W1932" s="27">
        <f t="shared" si="214"/>
        <v>67.540000000000006</v>
      </c>
      <c r="X1932" s="27">
        <f>RawSalesTable3[[#This Row],[Revenue]]-RawSalesTable3[[#This Row],[Total_Cost]]</f>
        <v>35.284999999999997</v>
      </c>
      <c r="Y1932" s="28">
        <f>RawSalesTable3[[#This Row],[Profit]]/RawSalesTable3[[#This Row],[Revenue]]</f>
        <v>0.34315584731339649</v>
      </c>
      <c r="Z1932" s="27" t="str">
        <f>TEXT(RawSalesTable3[[#This Row],[Order_Date_Clean]],"MMM YYYY")</f>
        <v>Jun 2025</v>
      </c>
      <c r="AA1932" s="27"/>
      <c r="AB1932" s="27">
        <f t="shared" si="215"/>
        <v>0</v>
      </c>
      <c r="AC1932" s="27">
        <f t="shared" si="216"/>
        <v>0</v>
      </c>
    </row>
    <row r="1933" spans="1:29">
      <c r="A1933" t="s">
        <v>2047</v>
      </c>
      <c r="B1933" s="3">
        <v>45957</v>
      </c>
      <c r="C1933" t="s">
        <v>82</v>
      </c>
      <c r="D1933" t="s">
        <v>62</v>
      </c>
      <c r="E1933" t="s">
        <v>79</v>
      </c>
      <c r="F1933" t="s">
        <v>80</v>
      </c>
      <c r="G1933" s="6">
        <v>1</v>
      </c>
      <c r="H1933" s="4">
        <v>76.67</v>
      </c>
      <c r="I1933" s="4">
        <v>43.41</v>
      </c>
      <c r="J1933" s="5">
        <v>0</v>
      </c>
      <c r="K1933" s="6">
        <v>2</v>
      </c>
      <c r="L1933" s="6">
        <v>4</v>
      </c>
      <c r="M1933" t="s">
        <v>58</v>
      </c>
      <c r="N1933" t="s">
        <v>59</v>
      </c>
      <c r="O1933" t="s">
        <v>60</v>
      </c>
      <c r="P1933" t="str">
        <f t="shared" si="210"/>
        <v>Individual</v>
      </c>
      <c r="Q1933" t="str">
        <f t="shared" si="211"/>
        <v>Midlands</v>
      </c>
      <c r="R1933" t="str">
        <f>PROPER(TRIM(E1933))</f>
        <v>Electronics</v>
      </c>
      <c r="S1933" s="27">
        <f>IF(ISTEXT(B1933),DATEVALUE(B1933),B1933)</f>
        <v>45957</v>
      </c>
      <c r="T1933" s="27">
        <f>COUNTIF($A$2:$A$1986,A1933)</f>
        <v>1</v>
      </c>
      <c r="U1933" s="27" t="str">
        <f t="shared" si="212"/>
        <v>Portable Speaker</v>
      </c>
      <c r="V1933" s="27">
        <f t="shared" si="213"/>
        <v>76.67</v>
      </c>
      <c r="W1933" s="27">
        <f t="shared" si="214"/>
        <v>43.41</v>
      </c>
      <c r="X1933" s="27">
        <f>RawSalesTable3[[#This Row],[Revenue]]-RawSalesTable3[[#This Row],[Total_Cost]]</f>
        <v>33.260000000000005</v>
      </c>
      <c r="Y1933" s="28">
        <f>RawSalesTable3[[#This Row],[Profit]]/RawSalesTable3[[#This Row],[Revenue]]</f>
        <v>0.43380722577279257</v>
      </c>
      <c r="Z1933" s="27" t="str">
        <f>TEXT(RawSalesTable3[[#This Row],[Order_Date_Clean]],"MMM YYYY")</f>
        <v>Oct 2025</v>
      </c>
      <c r="AA1933" s="27"/>
      <c r="AB1933" s="27">
        <f t="shared" si="215"/>
        <v>0</v>
      </c>
      <c r="AC1933" s="27">
        <f t="shared" si="216"/>
        <v>0</v>
      </c>
    </row>
    <row r="1934" spans="1:29">
      <c r="A1934" t="s">
        <v>2048</v>
      </c>
      <c r="B1934" s="3">
        <v>45771</v>
      </c>
      <c r="C1934" t="s">
        <v>78</v>
      </c>
      <c r="D1934" t="s">
        <v>62</v>
      </c>
      <c r="E1934" t="s">
        <v>79</v>
      </c>
      <c r="F1934" t="s">
        <v>80</v>
      </c>
      <c r="G1934" s="6">
        <v>2</v>
      </c>
      <c r="H1934" s="4">
        <v>75.23</v>
      </c>
      <c r="I1934" s="4">
        <v>41.84</v>
      </c>
      <c r="J1934" s="5">
        <v>0</v>
      </c>
      <c r="K1934" s="6">
        <v>3</v>
      </c>
      <c r="L1934" s="6">
        <v>4</v>
      </c>
      <c r="M1934" t="s">
        <v>58</v>
      </c>
      <c r="N1934" t="s">
        <v>87</v>
      </c>
      <c r="O1934" t="s">
        <v>60</v>
      </c>
      <c r="P1934" t="str">
        <f t="shared" si="210"/>
        <v>Individual</v>
      </c>
      <c r="Q1934" t="str">
        <f t="shared" si="211"/>
        <v>London</v>
      </c>
      <c r="R1934" t="str">
        <f>PROPER(TRIM(E1934))</f>
        <v>Electronics</v>
      </c>
      <c r="S1934" s="27">
        <f>IF(ISTEXT(B1934),DATEVALUE(B1934),B1934)</f>
        <v>45771</v>
      </c>
      <c r="T1934" s="27">
        <f>COUNTIF($A$2:$A$1986,A1934)</f>
        <v>1</v>
      </c>
      <c r="U1934" s="27" t="str">
        <f t="shared" si="212"/>
        <v>Portable Speaker</v>
      </c>
      <c r="V1934" s="27">
        <f t="shared" si="213"/>
        <v>150.46</v>
      </c>
      <c r="W1934" s="27">
        <f t="shared" si="214"/>
        <v>83.68</v>
      </c>
      <c r="X1934" s="27">
        <f>RawSalesTable3[[#This Row],[Revenue]]-RawSalesTable3[[#This Row],[Total_Cost]]</f>
        <v>66.78</v>
      </c>
      <c r="Y1934" s="28">
        <f>RawSalesTable3[[#This Row],[Profit]]/RawSalesTable3[[#This Row],[Revenue]]</f>
        <v>0.44383889405822141</v>
      </c>
      <c r="Z1934" s="27" t="str">
        <f>TEXT(RawSalesTable3[[#This Row],[Order_Date_Clean]],"MMM YYYY")</f>
        <v>Apr 2025</v>
      </c>
      <c r="AA1934" s="27"/>
      <c r="AB1934" s="27">
        <f t="shared" si="215"/>
        <v>0</v>
      </c>
      <c r="AC1934" s="27">
        <f t="shared" si="216"/>
        <v>0</v>
      </c>
    </row>
    <row r="1935" spans="1:29">
      <c r="A1935" t="s">
        <v>2049</v>
      </c>
      <c r="B1935" s="3">
        <v>46016</v>
      </c>
      <c r="C1935" t="s">
        <v>78</v>
      </c>
      <c r="D1935" t="s">
        <v>62</v>
      </c>
      <c r="E1935" t="s">
        <v>79</v>
      </c>
      <c r="F1935" t="s">
        <v>115</v>
      </c>
      <c r="G1935" s="6">
        <v>1</v>
      </c>
      <c r="H1935" s="4">
        <v>59.57</v>
      </c>
      <c r="I1935" s="4">
        <v>35.229999999999997</v>
      </c>
      <c r="J1935" s="5">
        <v>0.1</v>
      </c>
      <c r="K1935" s="6">
        <v>2</v>
      </c>
      <c r="L1935" s="6">
        <v>3</v>
      </c>
      <c r="M1935" t="s">
        <v>126</v>
      </c>
      <c r="N1935" t="s">
        <v>87</v>
      </c>
      <c r="O1935" t="s">
        <v>64</v>
      </c>
      <c r="P1935" t="str">
        <f t="shared" si="210"/>
        <v>Individual</v>
      </c>
      <c r="Q1935" t="str">
        <f t="shared" si="211"/>
        <v>London</v>
      </c>
      <c r="R1935" t="str">
        <f>PROPER(TRIM(E1935))</f>
        <v>Electronics</v>
      </c>
      <c r="S1935" s="27">
        <f>IF(ISTEXT(B1935),DATEVALUE(B1935),B1935)</f>
        <v>46016</v>
      </c>
      <c r="T1935" s="27">
        <f>COUNTIF($A$2:$A$1986,A1935)</f>
        <v>1</v>
      </c>
      <c r="U1935" s="27" t="str">
        <f t="shared" si="212"/>
        <v>Wireless Headset</v>
      </c>
      <c r="V1935" s="27">
        <f t="shared" si="213"/>
        <v>53.613</v>
      </c>
      <c r="W1935" s="27">
        <f t="shared" si="214"/>
        <v>35.229999999999997</v>
      </c>
      <c r="X1935" s="27">
        <f>RawSalesTable3[[#This Row],[Revenue]]-RawSalesTable3[[#This Row],[Total_Cost]]</f>
        <v>18.383000000000003</v>
      </c>
      <c r="Y1935" s="28">
        <f>RawSalesTable3[[#This Row],[Profit]]/RawSalesTable3[[#This Row],[Revenue]]</f>
        <v>0.34288325592673424</v>
      </c>
      <c r="Z1935" s="27" t="str">
        <f>TEXT(RawSalesTable3[[#This Row],[Order_Date_Clean]],"MMM YYYY")</f>
        <v>Dec 2025</v>
      </c>
      <c r="AA1935" s="27"/>
      <c r="AB1935" s="27">
        <f t="shared" si="215"/>
        <v>0</v>
      </c>
      <c r="AC1935" s="27">
        <f t="shared" si="216"/>
        <v>0</v>
      </c>
    </row>
    <row r="1936" spans="1:29">
      <c r="A1936" t="s">
        <v>2050</v>
      </c>
      <c r="B1936" s="3">
        <v>45935</v>
      </c>
      <c r="C1936" t="s">
        <v>66</v>
      </c>
      <c r="D1936" t="s">
        <v>62</v>
      </c>
      <c r="E1936" t="s">
        <v>75</v>
      </c>
      <c r="F1936" t="s">
        <v>97</v>
      </c>
      <c r="G1936" s="6">
        <v>1</v>
      </c>
      <c r="H1936" s="4">
        <v>91.71</v>
      </c>
      <c r="I1936" s="4">
        <v>55.59</v>
      </c>
      <c r="J1936" s="5">
        <v>0.1</v>
      </c>
      <c r="K1936" s="6">
        <v>2</v>
      </c>
      <c r="L1936" s="6">
        <v>5</v>
      </c>
      <c r="M1936" t="s">
        <v>58</v>
      </c>
      <c r="N1936" t="s">
        <v>69</v>
      </c>
      <c r="O1936" t="s">
        <v>64</v>
      </c>
      <c r="P1936" t="str">
        <f t="shared" si="210"/>
        <v>Individual</v>
      </c>
      <c r="Q1936" t="str">
        <f t="shared" si="211"/>
        <v>South</v>
      </c>
      <c r="R1936" t="str">
        <f>PROPER(TRIM(E1936))</f>
        <v>Furniture</v>
      </c>
      <c r="S1936" s="27">
        <f>IF(ISTEXT(B1936),DATEVALUE(B1936),B1936)</f>
        <v>45935</v>
      </c>
      <c r="T1936" s="27">
        <f>COUNTIF($A$2:$A$1986,A1936)</f>
        <v>1</v>
      </c>
      <c r="U1936" s="27" t="str">
        <f t="shared" si="212"/>
        <v>Side Table</v>
      </c>
      <c r="V1936" s="27">
        <f t="shared" si="213"/>
        <v>82.539000000000001</v>
      </c>
      <c r="W1936" s="27">
        <f t="shared" si="214"/>
        <v>55.59</v>
      </c>
      <c r="X1936" s="27">
        <f>RawSalesTable3[[#This Row],[Revenue]]-RawSalesTable3[[#This Row],[Total_Cost]]</f>
        <v>26.948999999999998</v>
      </c>
      <c r="Y1936" s="28">
        <f>RawSalesTable3[[#This Row],[Profit]]/RawSalesTable3[[#This Row],[Revenue]]</f>
        <v>0.32650019990549917</v>
      </c>
      <c r="Z1936" s="27" t="str">
        <f>TEXT(RawSalesTable3[[#This Row],[Order_Date_Clean]],"MMM YYYY")</f>
        <v>Oct 2025</v>
      </c>
      <c r="AA1936" s="27"/>
      <c r="AB1936" s="27">
        <f t="shared" si="215"/>
        <v>0</v>
      </c>
      <c r="AC1936" s="27">
        <f t="shared" si="216"/>
        <v>0</v>
      </c>
    </row>
    <row r="1937" spans="1:29">
      <c r="A1937" t="s">
        <v>2051</v>
      </c>
      <c r="B1937" s="3">
        <v>45922</v>
      </c>
      <c r="C1937" t="s">
        <v>66</v>
      </c>
      <c r="D1937" t="s">
        <v>62</v>
      </c>
      <c r="E1937" t="s">
        <v>56</v>
      </c>
      <c r="F1937" t="s">
        <v>63</v>
      </c>
      <c r="G1937" s="6">
        <v>3</v>
      </c>
      <c r="H1937" s="4">
        <v>39.880000000000003</v>
      </c>
      <c r="I1937" s="4">
        <v>19.63</v>
      </c>
      <c r="J1937" s="5">
        <v>0.05</v>
      </c>
      <c r="K1937" s="6">
        <v>4</v>
      </c>
      <c r="L1937" s="6">
        <v>4</v>
      </c>
      <c r="M1937" t="s">
        <v>58</v>
      </c>
      <c r="N1937" t="s">
        <v>69</v>
      </c>
      <c r="O1937" t="s">
        <v>64</v>
      </c>
      <c r="P1937" t="str">
        <f t="shared" si="210"/>
        <v>Individual</v>
      </c>
      <c r="Q1937" t="str">
        <f t="shared" si="211"/>
        <v>South</v>
      </c>
      <c r="R1937" t="str">
        <f>PROPER(TRIM(E1937))</f>
        <v>Home &amp; Kitchen</v>
      </c>
      <c r="S1937" s="27">
        <f>IF(ISTEXT(B1937),DATEVALUE(B1937),B1937)</f>
        <v>45922</v>
      </c>
      <c r="T1937" s="27">
        <f>COUNTIF($A$2:$A$1986,A1937)</f>
        <v>1</v>
      </c>
      <c r="U1937" s="27" t="str">
        <f t="shared" si="212"/>
        <v>Electric Kettle</v>
      </c>
      <c r="V1937" s="27">
        <f t="shared" si="213"/>
        <v>113.65800000000002</v>
      </c>
      <c r="W1937" s="27">
        <f t="shared" si="214"/>
        <v>58.89</v>
      </c>
      <c r="X1937" s="27">
        <f>RawSalesTable3[[#This Row],[Revenue]]-RawSalesTable3[[#This Row],[Total_Cost]]</f>
        <v>54.768000000000015</v>
      </c>
      <c r="Y1937" s="28">
        <f>RawSalesTable3[[#This Row],[Profit]]/RawSalesTable3[[#This Row],[Revenue]]</f>
        <v>0.48186665258934708</v>
      </c>
      <c r="Z1937" s="27" t="str">
        <f>TEXT(RawSalesTable3[[#This Row],[Order_Date_Clean]],"MMM YYYY")</f>
        <v>Sep 2025</v>
      </c>
      <c r="AA1937" s="27"/>
      <c r="AB1937" s="27">
        <f t="shared" si="215"/>
        <v>0</v>
      </c>
      <c r="AC1937" s="27">
        <f t="shared" si="216"/>
        <v>0</v>
      </c>
    </row>
    <row r="1938" spans="1:29">
      <c r="A1938" t="s">
        <v>2052</v>
      </c>
      <c r="B1938" s="3">
        <v>45968</v>
      </c>
      <c r="C1938" t="s">
        <v>66</v>
      </c>
      <c r="D1938" t="s">
        <v>62</v>
      </c>
      <c r="E1938" t="s">
        <v>56</v>
      </c>
      <c r="F1938" t="s">
        <v>89</v>
      </c>
      <c r="G1938" s="6">
        <v>1</v>
      </c>
      <c r="H1938" s="4">
        <v>81.459999999999994</v>
      </c>
      <c r="I1938" s="4">
        <v>43.66</v>
      </c>
      <c r="J1938" s="5">
        <v>0.2</v>
      </c>
      <c r="K1938" s="6">
        <v>0</v>
      </c>
      <c r="L1938" s="6">
        <v>5</v>
      </c>
      <c r="M1938" t="s">
        <v>58</v>
      </c>
      <c r="N1938" t="s">
        <v>69</v>
      </c>
      <c r="O1938" t="s">
        <v>64</v>
      </c>
      <c r="P1938" t="str">
        <f t="shared" si="210"/>
        <v>Individual</v>
      </c>
      <c r="Q1938" t="str">
        <f t="shared" si="211"/>
        <v>South</v>
      </c>
      <c r="R1938" t="str">
        <f>PROPER(TRIM(E1938))</f>
        <v>Home &amp; Kitchen</v>
      </c>
      <c r="S1938" s="27">
        <f>IF(ISTEXT(B1938),DATEVALUE(B1938),B1938)</f>
        <v>45968</v>
      </c>
      <c r="T1938" s="27">
        <f>COUNTIF($A$2:$A$1986,A1938)</f>
        <v>1</v>
      </c>
      <c r="U1938" s="27" t="str">
        <f t="shared" si="212"/>
        <v>Coffee Maker</v>
      </c>
      <c r="V1938" s="27">
        <f t="shared" si="213"/>
        <v>65.167999999999992</v>
      </c>
      <c r="W1938" s="27">
        <f t="shared" si="214"/>
        <v>43.66</v>
      </c>
      <c r="X1938" s="27">
        <f>RawSalesTable3[[#This Row],[Revenue]]-RawSalesTable3[[#This Row],[Total_Cost]]</f>
        <v>21.507999999999996</v>
      </c>
      <c r="Y1938" s="28">
        <f>RawSalesTable3[[#This Row],[Profit]]/RawSalesTable3[[#This Row],[Revenue]]</f>
        <v>0.33003928308372205</v>
      </c>
      <c r="Z1938" s="27" t="str">
        <f>TEXT(RawSalesTable3[[#This Row],[Order_Date_Clean]],"MMM YYYY")</f>
        <v>Nov 2025</v>
      </c>
      <c r="AA1938" s="27"/>
      <c r="AB1938" s="27">
        <f t="shared" si="215"/>
        <v>0</v>
      </c>
      <c r="AC1938" s="27">
        <f t="shared" si="216"/>
        <v>0</v>
      </c>
    </row>
    <row r="1939" spans="1:29">
      <c r="A1939" t="s">
        <v>2053</v>
      </c>
      <c r="B1939" s="3">
        <v>45837</v>
      </c>
      <c r="C1939" t="s">
        <v>82</v>
      </c>
      <c r="D1939" t="s">
        <v>62</v>
      </c>
      <c r="E1939" t="s">
        <v>67</v>
      </c>
      <c r="F1939" t="s">
        <v>68</v>
      </c>
      <c r="G1939" s="6">
        <v>2</v>
      </c>
      <c r="H1939" s="4">
        <v>41.57</v>
      </c>
      <c r="I1939" s="4">
        <v>19.440000000000001</v>
      </c>
      <c r="J1939" s="5">
        <v>0</v>
      </c>
      <c r="K1939" s="6">
        <v>0</v>
      </c>
      <c r="L1939" s="6">
        <v>4</v>
      </c>
      <c r="M1939" t="s">
        <v>58</v>
      </c>
      <c r="N1939" t="s">
        <v>69</v>
      </c>
      <c r="O1939" t="s">
        <v>64</v>
      </c>
      <c r="P1939" t="str">
        <f t="shared" si="210"/>
        <v>Individual</v>
      </c>
      <c r="Q1939" t="str">
        <f t="shared" si="211"/>
        <v>Midlands</v>
      </c>
      <c r="R1939" t="str">
        <f>PROPER(TRIM(E1939))</f>
        <v>Office</v>
      </c>
      <c r="S1939" s="27">
        <f>IF(ISTEXT(B1939),DATEVALUE(B1939),B1939)</f>
        <v>45837</v>
      </c>
      <c r="T1939" s="27">
        <f>COUNTIF($A$2:$A$1986,A1939)</f>
        <v>1</v>
      </c>
      <c r="U1939" s="27" t="str">
        <f t="shared" si="212"/>
        <v>Desk Lamp</v>
      </c>
      <c r="V1939" s="27">
        <f t="shared" si="213"/>
        <v>83.14</v>
      </c>
      <c r="W1939" s="27">
        <f t="shared" si="214"/>
        <v>38.880000000000003</v>
      </c>
      <c r="X1939" s="27">
        <f>RawSalesTable3[[#This Row],[Revenue]]-RawSalesTable3[[#This Row],[Total_Cost]]</f>
        <v>44.26</v>
      </c>
      <c r="Y1939" s="28">
        <f>RawSalesTable3[[#This Row],[Profit]]/RawSalesTable3[[#This Row],[Revenue]]</f>
        <v>0.5323550637478951</v>
      </c>
      <c r="Z1939" s="27" t="str">
        <f>TEXT(RawSalesTable3[[#This Row],[Order_Date_Clean]],"MMM YYYY")</f>
        <v>Jun 2025</v>
      </c>
      <c r="AA1939" s="27"/>
      <c r="AB1939" s="27">
        <f t="shared" si="215"/>
        <v>0</v>
      </c>
      <c r="AC1939" s="27">
        <f t="shared" si="216"/>
        <v>0</v>
      </c>
    </row>
    <row r="1940" spans="1:29">
      <c r="A1940" t="s">
        <v>2054</v>
      </c>
      <c r="B1940" s="3">
        <v>45819</v>
      </c>
      <c r="C1940" t="s">
        <v>82</v>
      </c>
      <c r="D1940" t="s">
        <v>129</v>
      </c>
      <c r="E1940" t="s">
        <v>75</v>
      </c>
      <c r="F1940" t="s">
        <v>76</v>
      </c>
      <c r="G1940" s="6">
        <v>3</v>
      </c>
      <c r="H1940" s="4">
        <v>118.27</v>
      </c>
      <c r="I1940" s="4">
        <v>72.92</v>
      </c>
      <c r="J1940" s="5">
        <v>0.1</v>
      </c>
      <c r="K1940" s="6">
        <v>5</v>
      </c>
      <c r="L1940" s="6">
        <v>4</v>
      </c>
      <c r="M1940" t="s">
        <v>58</v>
      </c>
      <c r="N1940" t="s">
        <v>59</v>
      </c>
      <c r="O1940" t="s">
        <v>64</v>
      </c>
      <c r="P1940" t="str">
        <f t="shared" si="210"/>
        <v>Corporate</v>
      </c>
      <c r="Q1940" t="str">
        <f t="shared" si="211"/>
        <v>Midlands</v>
      </c>
      <c r="R1940" t="str">
        <f>PROPER(TRIM(E1940))</f>
        <v>Furniture</v>
      </c>
      <c r="S1940" s="27">
        <f>IF(ISTEXT(B1940),DATEVALUE(B1940),B1940)</f>
        <v>45819</v>
      </c>
      <c r="T1940" s="27">
        <f>COUNTIF($A$2:$A$1986,A1940)</f>
        <v>1</v>
      </c>
      <c r="U1940" s="27" t="str">
        <f t="shared" si="212"/>
        <v>Bookshelf</v>
      </c>
      <c r="V1940" s="27">
        <f t="shared" si="213"/>
        <v>319.32900000000001</v>
      </c>
      <c r="W1940" s="27">
        <f t="shared" si="214"/>
        <v>218.76</v>
      </c>
      <c r="X1940" s="27">
        <f>RawSalesTable3[[#This Row],[Revenue]]-RawSalesTable3[[#This Row],[Total_Cost]]</f>
        <v>100.56900000000002</v>
      </c>
      <c r="Y1940" s="28">
        <f>RawSalesTable3[[#This Row],[Profit]]/RawSalesTable3[[#This Row],[Revenue]]</f>
        <v>0.31493851169170356</v>
      </c>
      <c r="Z1940" s="27" t="str">
        <f>TEXT(RawSalesTable3[[#This Row],[Order_Date_Clean]],"MMM YYYY")</f>
        <v>Jun 2025</v>
      </c>
      <c r="AA1940" s="27"/>
      <c r="AB1940" s="27">
        <f t="shared" si="215"/>
        <v>0</v>
      </c>
      <c r="AC1940" s="27">
        <f t="shared" si="216"/>
        <v>0</v>
      </c>
    </row>
    <row r="1941" spans="1:29">
      <c r="A1941" t="s">
        <v>2055</v>
      </c>
      <c r="B1941" s="3">
        <v>45676</v>
      </c>
      <c r="C1941" t="s">
        <v>82</v>
      </c>
      <c r="D1941" t="s">
        <v>55</v>
      </c>
      <c r="E1941" t="s">
        <v>79</v>
      </c>
      <c r="F1941" t="s">
        <v>92</v>
      </c>
      <c r="G1941" s="6">
        <v>5</v>
      </c>
      <c r="H1941" s="4">
        <v>50.69</v>
      </c>
      <c r="I1941" s="4">
        <v>26.13</v>
      </c>
      <c r="J1941" s="5">
        <v>0.05</v>
      </c>
      <c r="K1941" s="6">
        <v>4</v>
      </c>
      <c r="L1941" s="6">
        <v>4</v>
      </c>
      <c r="M1941" t="s">
        <v>58</v>
      </c>
      <c r="N1941" t="s">
        <v>59</v>
      </c>
      <c r="O1941" t="s">
        <v>73</v>
      </c>
      <c r="P1941" t="str">
        <f t="shared" si="210"/>
        <v>Small Business</v>
      </c>
      <c r="Q1941" t="str">
        <f t="shared" si="211"/>
        <v>Midlands</v>
      </c>
      <c r="R1941" t="str">
        <f>PROPER(TRIM(E1941))</f>
        <v>Electronics</v>
      </c>
      <c r="S1941" s="27">
        <f>IF(ISTEXT(B1941),DATEVALUE(B1941),B1941)</f>
        <v>45676</v>
      </c>
      <c r="T1941" s="27">
        <f>COUNTIF($A$2:$A$1986,A1941)</f>
        <v>1</v>
      </c>
      <c r="U1941" s="27" t="str">
        <f t="shared" si="212"/>
        <v>Webcam</v>
      </c>
      <c r="V1941" s="27">
        <f t="shared" si="213"/>
        <v>240.77749999999997</v>
      </c>
      <c r="W1941" s="27">
        <f t="shared" si="214"/>
        <v>130.65</v>
      </c>
      <c r="X1941" s="27">
        <f>RawSalesTable3[[#This Row],[Revenue]]-RawSalesTable3[[#This Row],[Total_Cost]]</f>
        <v>110.12749999999997</v>
      </c>
      <c r="Y1941" s="28">
        <f>RawSalesTable3[[#This Row],[Profit]]/RawSalesTable3[[#This Row],[Revenue]]</f>
        <v>0.45738285346429786</v>
      </c>
      <c r="Z1941" s="27" t="str">
        <f>TEXT(RawSalesTable3[[#This Row],[Order_Date_Clean]],"MMM YYYY")</f>
        <v>Jan 2025</v>
      </c>
      <c r="AA1941" s="27"/>
      <c r="AB1941" s="27">
        <f t="shared" si="215"/>
        <v>0</v>
      </c>
      <c r="AC1941" s="27">
        <f t="shared" si="216"/>
        <v>0</v>
      </c>
    </row>
    <row r="1942" spans="1:29">
      <c r="A1942" t="s">
        <v>2056</v>
      </c>
      <c r="B1942" s="3">
        <v>45683</v>
      </c>
      <c r="C1942" t="s">
        <v>54</v>
      </c>
      <c r="D1942" t="s">
        <v>129</v>
      </c>
      <c r="E1942" t="s">
        <v>79</v>
      </c>
      <c r="F1942" t="s">
        <v>80</v>
      </c>
      <c r="G1942" s="6">
        <v>4</v>
      </c>
      <c r="H1942" s="4">
        <v>74.819999999999993</v>
      </c>
      <c r="I1942" s="4">
        <v>42.39</v>
      </c>
      <c r="J1942" s="5">
        <v>0.05</v>
      </c>
      <c r="K1942" s="6">
        <v>5</v>
      </c>
      <c r="L1942" s="6">
        <v>4</v>
      </c>
      <c r="M1942" t="s">
        <v>58</v>
      </c>
      <c r="N1942" t="s">
        <v>59</v>
      </c>
      <c r="O1942" t="s">
        <v>64</v>
      </c>
      <c r="P1942" t="str">
        <f t="shared" si="210"/>
        <v>Corporate</v>
      </c>
      <c r="Q1942" t="str">
        <f t="shared" si="211"/>
        <v>North</v>
      </c>
      <c r="R1942" t="str">
        <f>PROPER(TRIM(E1942))</f>
        <v>Electronics</v>
      </c>
      <c r="S1942" s="27">
        <f>IF(ISTEXT(B1942),DATEVALUE(B1942),B1942)</f>
        <v>45683</v>
      </c>
      <c r="T1942" s="27">
        <f>COUNTIF($A$2:$A$1986,A1942)</f>
        <v>1</v>
      </c>
      <c r="U1942" s="27" t="str">
        <f t="shared" si="212"/>
        <v>Portable Speaker</v>
      </c>
      <c r="V1942" s="27">
        <f t="shared" si="213"/>
        <v>284.31599999999997</v>
      </c>
      <c r="W1942" s="27">
        <f t="shared" si="214"/>
        <v>169.56</v>
      </c>
      <c r="X1942" s="27">
        <f>RawSalesTable3[[#This Row],[Revenue]]-RawSalesTable3[[#This Row],[Total_Cost]]</f>
        <v>114.75599999999997</v>
      </c>
      <c r="Y1942" s="28">
        <f>RawSalesTable3[[#This Row],[Profit]]/RawSalesTable3[[#This Row],[Revenue]]</f>
        <v>0.40362132275355583</v>
      </c>
      <c r="Z1942" s="27" t="str">
        <f>TEXT(RawSalesTable3[[#This Row],[Order_Date_Clean]],"MMM YYYY")</f>
        <v>Jan 2025</v>
      </c>
      <c r="AA1942" s="27"/>
      <c r="AB1942" s="27">
        <f t="shared" si="215"/>
        <v>0</v>
      </c>
      <c r="AC1942" s="27">
        <f t="shared" si="216"/>
        <v>0</v>
      </c>
    </row>
    <row r="1943" spans="1:29">
      <c r="A1943" t="s">
        <v>2057</v>
      </c>
      <c r="B1943" s="3">
        <v>45746</v>
      </c>
      <c r="C1943" t="s">
        <v>54</v>
      </c>
      <c r="D1943" t="s">
        <v>62</v>
      </c>
      <c r="E1943" t="s">
        <v>56</v>
      </c>
      <c r="F1943" t="s">
        <v>63</v>
      </c>
      <c r="G1943" s="6">
        <v>3</v>
      </c>
      <c r="H1943" s="4">
        <v>39.65</v>
      </c>
      <c r="I1943" s="4">
        <v>19.98</v>
      </c>
      <c r="J1943" s="5">
        <v>0</v>
      </c>
      <c r="K1943" s="6">
        <v>2</v>
      </c>
      <c r="L1943" s="6"/>
      <c r="M1943" t="s">
        <v>58</v>
      </c>
      <c r="N1943" t="s">
        <v>69</v>
      </c>
      <c r="O1943" t="s">
        <v>64</v>
      </c>
      <c r="P1943" t="str">
        <f t="shared" si="210"/>
        <v>Individual</v>
      </c>
      <c r="Q1943" t="str">
        <f t="shared" si="211"/>
        <v>North</v>
      </c>
      <c r="R1943" t="str">
        <f>PROPER(TRIM(E1943))</f>
        <v>Home &amp; Kitchen</v>
      </c>
      <c r="S1943" s="27">
        <f>IF(ISTEXT(B1943),DATEVALUE(B1943),B1943)</f>
        <v>45746</v>
      </c>
      <c r="T1943" s="27">
        <f>COUNTIF($A$2:$A$1986,A1943)</f>
        <v>1</v>
      </c>
      <c r="U1943" s="27" t="str">
        <f t="shared" si="212"/>
        <v>Electric Kettle</v>
      </c>
      <c r="V1943" s="27">
        <f t="shared" si="213"/>
        <v>118.94999999999999</v>
      </c>
      <c r="W1943" s="27">
        <f t="shared" si="214"/>
        <v>59.94</v>
      </c>
      <c r="X1943" s="27">
        <f>RawSalesTable3[[#This Row],[Revenue]]-RawSalesTable3[[#This Row],[Total_Cost]]</f>
        <v>59.009999999999991</v>
      </c>
      <c r="Y1943" s="28">
        <f>RawSalesTable3[[#This Row],[Profit]]/RawSalesTable3[[#This Row],[Revenue]]</f>
        <v>0.49609079445145016</v>
      </c>
      <c r="Z1943" s="27" t="str">
        <f>TEXT(RawSalesTable3[[#This Row],[Order_Date_Clean]],"MMM YYYY")</f>
        <v>Mar 2025</v>
      </c>
      <c r="AA1943" s="27"/>
      <c r="AB1943" s="27">
        <f t="shared" si="215"/>
        <v>0</v>
      </c>
      <c r="AC1943" s="27">
        <f t="shared" si="216"/>
        <v>0</v>
      </c>
    </row>
    <row r="1944" spans="1:29">
      <c r="A1944" t="s">
        <v>2058</v>
      </c>
      <c r="B1944" s="3">
        <v>45984</v>
      </c>
      <c r="C1944" t="s">
        <v>54</v>
      </c>
      <c r="D1944" t="s">
        <v>55</v>
      </c>
      <c r="E1944" t="s">
        <v>56</v>
      </c>
      <c r="F1944" t="s">
        <v>57</v>
      </c>
      <c r="G1944" s="6">
        <v>3</v>
      </c>
      <c r="H1944" s="4">
        <v>107</v>
      </c>
      <c r="I1944" s="4">
        <v>68.819999999999993</v>
      </c>
      <c r="J1944" s="5">
        <v>0.15000000000000002</v>
      </c>
      <c r="K1944" s="6">
        <v>2</v>
      </c>
      <c r="L1944" s="6">
        <v>5</v>
      </c>
      <c r="M1944" t="s">
        <v>58</v>
      </c>
      <c r="N1944" t="s">
        <v>59</v>
      </c>
      <c r="O1944" t="s">
        <v>73</v>
      </c>
      <c r="P1944" t="str">
        <f t="shared" si="210"/>
        <v>Small Business</v>
      </c>
      <c r="Q1944" t="str">
        <f t="shared" si="211"/>
        <v>North</v>
      </c>
      <c r="R1944" t="str">
        <f>PROPER(TRIM(E1944))</f>
        <v>Home &amp; Kitchen</v>
      </c>
      <c r="S1944" s="27">
        <f>IF(ISTEXT(B1944),DATEVALUE(B1944),B1944)</f>
        <v>45984</v>
      </c>
      <c r="T1944" s="27">
        <f>COUNTIF($A$2:$A$1986,A1944)</f>
        <v>1</v>
      </c>
      <c r="U1944" s="27" t="str">
        <f t="shared" si="212"/>
        <v>Air Fryer</v>
      </c>
      <c r="V1944" s="27">
        <f t="shared" si="213"/>
        <v>272.84999999999997</v>
      </c>
      <c r="W1944" s="27">
        <f t="shared" si="214"/>
        <v>206.45999999999998</v>
      </c>
      <c r="X1944" s="27">
        <f>RawSalesTable3[[#This Row],[Revenue]]-RawSalesTable3[[#This Row],[Total_Cost]]</f>
        <v>66.389999999999986</v>
      </c>
      <c r="Y1944" s="28">
        <f>RawSalesTable3[[#This Row],[Profit]]/RawSalesTable3[[#This Row],[Revenue]]</f>
        <v>0.24332050577240241</v>
      </c>
      <c r="Z1944" s="27" t="str">
        <f>TEXT(RawSalesTable3[[#This Row],[Order_Date_Clean]],"MMM YYYY")</f>
        <v>Nov 2025</v>
      </c>
      <c r="AA1944" s="27"/>
      <c r="AB1944" s="27">
        <f t="shared" si="215"/>
        <v>0</v>
      </c>
      <c r="AC1944" s="27">
        <f t="shared" si="216"/>
        <v>0</v>
      </c>
    </row>
    <row r="1945" spans="1:29">
      <c r="A1945" t="s">
        <v>2059</v>
      </c>
      <c r="B1945" s="3">
        <v>45905</v>
      </c>
      <c r="C1945" t="s">
        <v>82</v>
      </c>
      <c r="D1945" t="s">
        <v>62</v>
      </c>
      <c r="E1945" t="s">
        <v>56</v>
      </c>
      <c r="F1945" t="s">
        <v>57</v>
      </c>
      <c r="G1945" s="6">
        <v>2</v>
      </c>
      <c r="H1945" s="4">
        <v>113.61</v>
      </c>
      <c r="I1945" s="4">
        <v>69.44</v>
      </c>
      <c r="J1945" s="5">
        <v>0.1</v>
      </c>
      <c r="K1945" s="6">
        <v>3</v>
      </c>
      <c r="L1945" s="6">
        <v>4</v>
      </c>
      <c r="M1945" t="s">
        <v>58</v>
      </c>
      <c r="N1945" t="s">
        <v>87</v>
      </c>
      <c r="O1945" t="s">
        <v>64</v>
      </c>
      <c r="P1945" t="str">
        <f t="shared" si="210"/>
        <v>Individual</v>
      </c>
      <c r="Q1945" t="str">
        <f t="shared" si="211"/>
        <v>Midlands</v>
      </c>
      <c r="R1945" t="str">
        <f>PROPER(TRIM(E1945))</f>
        <v>Home &amp; Kitchen</v>
      </c>
      <c r="S1945" s="27">
        <f>IF(ISTEXT(B1945),DATEVALUE(B1945),B1945)</f>
        <v>45905</v>
      </c>
      <c r="T1945" s="27">
        <f>COUNTIF($A$2:$A$1986,A1945)</f>
        <v>1</v>
      </c>
      <c r="U1945" s="27" t="str">
        <f t="shared" si="212"/>
        <v>Air Fryer</v>
      </c>
      <c r="V1945" s="27">
        <f t="shared" si="213"/>
        <v>204.49799999999999</v>
      </c>
      <c r="W1945" s="27">
        <f t="shared" si="214"/>
        <v>138.88</v>
      </c>
      <c r="X1945" s="27">
        <f>RawSalesTable3[[#This Row],[Revenue]]-RawSalesTable3[[#This Row],[Total_Cost]]</f>
        <v>65.617999999999995</v>
      </c>
      <c r="Y1945" s="28">
        <f>RawSalesTable3[[#This Row],[Profit]]/RawSalesTable3[[#This Row],[Revenue]]</f>
        <v>0.32087355377558702</v>
      </c>
      <c r="Z1945" s="27" t="str">
        <f>TEXT(RawSalesTable3[[#This Row],[Order_Date_Clean]],"MMM YYYY")</f>
        <v>Sep 2025</v>
      </c>
      <c r="AA1945" s="27"/>
      <c r="AB1945" s="27">
        <f t="shared" si="215"/>
        <v>0</v>
      </c>
      <c r="AC1945" s="27">
        <f t="shared" si="216"/>
        <v>0</v>
      </c>
    </row>
    <row r="1946" spans="1:29">
      <c r="A1946" t="s">
        <v>2060</v>
      </c>
      <c r="B1946" s="3">
        <v>45907</v>
      </c>
      <c r="C1946" t="s">
        <v>82</v>
      </c>
      <c r="D1946" t="s">
        <v>62</v>
      </c>
      <c r="E1946" t="s">
        <v>67</v>
      </c>
      <c r="F1946" t="s">
        <v>71</v>
      </c>
      <c r="G1946" s="6">
        <v>3</v>
      </c>
      <c r="H1946" s="4">
        <v>69.87</v>
      </c>
      <c r="I1946" s="4">
        <v>37.92</v>
      </c>
      <c r="J1946" s="5">
        <v>0.05</v>
      </c>
      <c r="K1946" s="6">
        <v>3</v>
      </c>
      <c r="L1946" s="6">
        <v>5</v>
      </c>
      <c r="M1946" t="s">
        <v>58</v>
      </c>
      <c r="N1946" t="s">
        <v>59</v>
      </c>
      <c r="O1946" t="s">
        <v>60</v>
      </c>
      <c r="P1946" t="str">
        <f t="shared" si="210"/>
        <v>Individual</v>
      </c>
      <c r="Q1946" t="str">
        <f t="shared" si="211"/>
        <v>Midlands</v>
      </c>
      <c r="R1946" t="str">
        <f>PROPER(TRIM(E1946))</f>
        <v>Office</v>
      </c>
      <c r="S1946" s="27">
        <f>IF(ISTEXT(B1946),DATEVALUE(B1946),B1946)</f>
        <v>45907</v>
      </c>
      <c r="T1946" s="27">
        <f>COUNTIF($A$2:$A$1986,A1946)</f>
        <v>1</v>
      </c>
      <c r="U1946" s="27" t="str">
        <f t="shared" si="212"/>
        <v>Ergonomic Keyboard</v>
      </c>
      <c r="V1946" s="27">
        <f t="shared" si="213"/>
        <v>199.12950000000001</v>
      </c>
      <c r="W1946" s="27">
        <f t="shared" si="214"/>
        <v>113.76</v>
      </c>
      <c r="X1946" s="27">
        <f>RawSalesTable3[[#This Row],[Revenue]]-RawSalesTable3[[#This Row],[Total_Cost]]</f>
        <v>85.369500000000002</v>
      </c>
      <c r="Y1946" s="28">
        <f>RawSalesTable3[[#This Row],[Profit]]/RawSalesTable3[[#This Row],[Revenue]]</f>
        <v>0.42871347540168581</v>
      </c>
      <c r="Z1946" s="27" t="str">
        <f>TEXT(RawSalesTable3[[#This Row],[Order_Date_Clean]],"MMM YYYY")</f>
        <v>Sep 2025</v>
      </c>
      <c r="AA1946" s="27"/>
      <c r="AB1946" s="27">
        <f t="shared" si="215"/>
        <v>0</v>
      </c>
      <c r="AC1946" s="27">
        <f t="shared" si="216"/>
        <v>0</v>
      </c>
    </row>
    <row r="1947" spans="1:29">
      <c r="A1947" t="s">
        <v>2061</v>
      </c>
      <c r="B1947" s="3">
        <v>45926</v>
      </c>
      <c r="C1947" t="s">
        <v>78</v>
      </c>
      <c r="D1947" t="s">
        <v>62</v>
      </c>
      <c r="E1947" t="s">
        <v>56</v>
      </c>
      <c r="F1947" t="s">
        <v>89</v>
      </c>
      <c r="G1947" s="6">
        <v>1</v>
      </c>
      <c r="H1947" s="4">
        <v>81.33</v>
      </c>
      <c r="I1947" s="4">
        <v>43.75</v>
      </c>
      <c r="J1947" s="5">
        <v>0.1</v>
      </c>
      <c r="K1947" s="6">
        <v>0</v>
      </c>
      <c r="L1947" s="6">
        <v>5</v>
      </c>
      <c r="M1947" t="s">
        <v>58</v>
      </c>
      <c r="N1947" t="s">
        <v>69</v>
      </c>
      <c r="O1947" t="s">
        <v>64</v>
      </c>
      <c r="P1947" t="str">
        <f t="shared" si="210"/>
        <v>Individual</v>
      </c>
      <c r="Q1947" t="str">
        <f t="shared" si="211"/>
        <v>London</v>
      </c>
      <c r="R1947" t="str">
        <f>PROPER(TRIM(E1947))</f>
        <v>Home &amp; Kitchen</v>
      </c>
      <c r="S1947" s="27">
        <f>IF(ISTEXT(B1947),DATEVALUE(B1947),B1947)</f>
        <v>45926</v>
      </c>
      <c r="T1947" s="27">
        <f>COUNTIF($A$2:$A$1986,A1947)</f>
        <v>1</v>
      </c>
      <c r="U1947" s="27" t="str">
        <f t="shared" si="212"/>
        <v>Coffee Maker</v>
      </c>
      <c r="V1947" s="27">
        <f t="shared" si="213"/>
        <v>73.197000000000003</v>
      </c>
      <c r="W1947" s="27">
        <f t="shared" si="214"/>
        <v>43.75</v>
      </c>
      <c r="X1947" s="27">
        <f>RawSalesTable3[[#This Row],[Revenue]]-RawSalesTable3[[#This Row],[Total_Cost]]</f>
        <v>29.447000000000003</v>
      </c>
      <c r="Y1947" s="28">
        <f>RawSalesTable3[[#This Row],[Profit]]/RawSalesTable3[[#This Row],[Revenue]]</f>
        <v>0.40229790838422341</v>
      </c>
      <c r="Z1947" s="27" t="str">
        <f>TEXT(RawSalesTable3[[#This Row],[Order_Date_Clean]],"MMM YYYY")</f>
        <v>Sep 2025</v>
      </c>
      <c r="AA1947" s="27"/>
      <c r="AB1947" s="27">
        <f t="shared" si="215"/>
        <v>0</v>
      </c>
      <c r="AC1947" s="27">
        <f t="shared" si="216"/>
        <v>0</v>
      </c>
    </row>
    <row r="1948" spans="1:29">
      <c r="A1948" t="s">
        <v>2062</v>
      </c>
      <c r="B1948" s="3">
        <v>45702</v>
      </c>
      <c r="C1948" t="s">
        <v>78</v>
      </c>
      <c r="D1948" t="s">
        <v>62</v>
      </c>
      <c r="E1948" t="s">
        <v>56</v>
      </c>
      <c r="F1948" t="s">
        <v>89</v>
      </c>
      <c r="G1948" s="6">
        <v>1</v>
      </c>
      <c r="H1948" s="4">
        <v>81.05</v>
      </c>
      <c r="I1948" s="4">
        <v>44.72</v>
      </c>
      <c r="J1948" s="5">
        <v>0.1</v>
      </c>
      <c r="K1948" s="6">
        <v>1</v>
      </c>
      <c r="L1948" s="6">
        <v>4</v>
      </c>
      <c r="M1948" t="s">
        <v>58</v>
      </c>
      <c r="N1948" t="s">
        <v>69</v>
      </c>
      <c r="O1948" t="s">
        <v>64</v>
      </c>
      <c r="P1948" t="str">
        <f t="shared" si="210"/>
        <v>Individual</v>
      </c>
      <c r="Q1948" t="str">
        <f t="shared" si="211"/>
        <v>London</v>
      </c>
      <c r="R1948" t="str">
        <f>PROPER(TRIM(E1948))</f>
        <v>Home &amp; Kitchen</v>
      </c>
      <c r="S1948" s="27">
        <f>IF(ISTEXT(B1948),DATEVALUE(B1948),B1948)</f>
        <v>45702</v>
      </c>
      <c r="T1948" s="27">
        <f>COUNTIF($A$2:$A$1986,A1948)</f>
        <v>1</v>
      </c>
      <c r="U1948" s="27" t="str">
        <f t="shared" si="212"/>
        <v>Coffee Maker</v>
      </c>
      <c r="V1948" s="27">
        <f t="shared" si="213"/>
        <v>72.944999999999993</v>
      </c>
      <c r="W1948" s="27">
        <f t="shared" si="214"/>
        <v>44.72</v>
      </c>
      <c r="X1948" s="27">
        <f>RawSalesTable3[[#This Row],[Revenue]]-RawSalesTable3[[#This Row],[Total_Cost]]</f>
        <v>28.224999999999994</v>
      </c>
      <c r="Y1948" s="28">
        <f>RawSalesTable3[[#This Row],[Profit]]/RawSalesTable3[[#This Row],[Revenue]]</f>
        <v>0.38693536225923636</v>
      </c>
      <c r="Z1948" s="27" t="str">
        <f>TEXT(RawSalesTable3[[#This Row],[Order_Date_Clean]],"MMM YYYY")</f>
        <v>Feb 2025</v>
      </c>
      <c r="AA1948" s="27"/>
      <c r="AB1948" s="27">
        <f t="shared" si="215"/>
        <v>0</v>
      </c>
      <c r="AC1948" s="27">
        <f t="shared" si="216"/>
        <v>0</v>
      </c>
    </row>
    <row r="1949" spans="1:29">
      <c r="A1949" t="s">
        <v>2063</v>
      </c>
      <c r="B1949" s="3">
        <v>45985</v>
      </c>
      <c r="C1949" t="s">
        <v>82</v>
      </c>
      <c r="D1949" t="s">
        <v>55</v>
      </c>
      <c r="E1949" t="s">
        <v>79</v>
      </c>
      <c r="F1949" t="s">
        <v>92</v>
      </c>
      <c r="G1949" s="6">
        <v>5</v>
      </c>
      <c r="H1949" s="4">
        <v>51.19</v>
      </c>
      <c r="I1949" s="4">
        <v>27.2</v>
      </c>
      <c r="J1949" s="5">
        <v>0.1</v>
      </c>
      <c r="K1949" s="6">
        <v>0</v>
      </c>
      <c r="L1949" s="6">
        <v>4</v>
      </c>
      <c r="M1949" t="s">
        <v>58</v>
      </c>
      <c r="N1949" t="s">
        <v>69</v>
      </c>
      <c r="O1949" t="s">
        <v>64</v>
      </c>
      <c r="P1949" t="str">
        <f t="shared" si="210"/>
        <v>Small Business</v>
      </c>
      <c r="Q1949" t="str">
        <f t="shared" si="211"/>
        <v>Midlands</v>
      </c>
      <c r="R1949" t="str">
        <f>PROPER(TRIM(E1949))</f>
        <v>Electronics</v>
      </c>
      <c r="S1949" s="27">
        <f>IF(ISTEXT(B1949),DATEVALUE(B1949),B1949)</f>
        <v>45985</v>
      </c>
      <c r="T1949" s="27">
        <f>COUNTIF($A$2:$A$1986,A1949)</f>
        <v>1</v>
      </c>
      <c r="U1949" s="27" t="str">
        <f t="shared" si="212"/>
        <v>Webcam</v>
      </c>
      <c r="V1949" s="27">
        <f t="shared" si="213"/>
        <v>230.35499999999999</v>
      </c>
      <c r="W1949" s="27">
        <f t="shared" si="214"/>
        <v>136</v>
      </c>
      <c r="X1949" s="27">
        <f>RawSalesTable3[[#This Row],[Revenue]]-RawSalesTable3[[#This Row],[Total_Cost]]</f>
        <v>94.35499999999999</v>
      </c>
      <c r="Y1949" s="28">
        <f>RawSalesTable3[[#This Row],[Profit]]/RawSalesTable3[[#This Row],[Revenue]]</f>
        <v>0.40960691107204095</v>
      </c>
      <c r="Z1949" s="27" t="str">
        <f>TEXT(RawSalesTable3[[#This Row],[Order_Date_Clean]],"MMM YYYY")</f>
        <v>Nov 2025</v>
      </c>
      <c r="AA1949" s="27"/>
      <c r="AB1949" s="27">
        <f t="shared" si="215"/>
        <v>0</v>
      </c>
      <c r="AC1949" s="27">
        <f t="shared" si="216"/>
        <v>0</v>
      </c>
    </row>
    <row r="1950" spans="1:29">
      <c r="A1950" t="s">
        <v>2064</v>
      </c>
      <c r="B1950" s="3">
        <v>45801</v>
      </c>
      <c r="C1950" t="s">
        <v>78</v>
      </c>
      <c r="D1950" t="s">
        <v>55</v>
      </c>
      <c r="E1950" t="s">
        <v>79</v>
      </c>
      <c r="F1950" t="s">
        <v>115</v>
      </c>
      <c r="G1950" s="6">
        <v>2</v>
      </c>
      <c r="H1950" s="4">
        <v>59.49</v>
      </c>
      <c r="I1950" s="4">
        <v>34.159999999999997</v>
      </c>
      <c r="J1950" s="5">
        <v>0</v>
      </c>
      <c r="K1950" s="6">
        <v>7</v>
      </c>
      <c r="L1950" s="6">
        <v>4</v>
      </c>
      <c r="M1950" t="s">
        <v>58</v>
      </c>
      <c r="N1950" t="s">
        <v>59</v>
      </c>
      <c r="O1950" t="s">
        <v>64</v>
      </c>
      <c r="P1950" t="str">
        <f t="shared" si="210"/>
        <v>Small Business</v>
      </c>
      <c r="Q1950" t="str">
        <f t="shared" si="211"/>
        <v>London</v>
      </c>
      <c r="R1950" t="str">
        <f>PROPER(TRIM(E1950))</f>
        <v>Electronics</v>
      </c>
      <c r="S1950" s="27">
        <f>IF(ISTEXT(B1950),DATEVALUE(B1950),B1950)</f>
        <v>45801</v>
      </c>
      <c r="T1950" s="27">
        <f>COUNTIF($A$2:$A$1986,A1950)</f>
        <v>1</v>
      </c>
      <c r="U1950" s="27" t="str">
        <f t="shared" si="212"/>
        <v>Wireless Headset</v>
      </c>
      <c r="V1950" s="27">
        <f t="shared" si="213"/>
        <v>118.98</v>
      </c>
      <c r="W1950" s="27">
        <f t="shared" si="214"/>
        <v>68.319999999999993</v>
      </c>
      <c r="X1950" s="27">
        <f>RawSalesTable3[[#This Row],[Revenue]]-RawSalesTable3[[#This Row],[Total_Cost]]</f>
        <v>50.660000000000011</v>
      </c>
      <c r="Y1950" s="28">
        <f>RawSalesTable3[[#This Row],[Profit]]/RawSalesTable3[[#This Row],[Revenue]]</f>
        <v>0.42578584636073297</v>
      </c>
      <c r="Z1950" s="27" t="str">
        <f>TEXT(RawSalesTable3[[#This Row],[Order_Date_Clean]],"MMM YYYY")</f>
        <v>May 2025</v>
      </c>
      <c r="AA1950" s="27"/>
      <c r="AB1950" s="27">
        <f t="shared" si="215"/>
        <v>0</v>
      </c>
      <c r="AC1950" s="27">
        <f t="shared" si="216"/>
        <v>0</v>
      </c>
    </row>
    <row r="1951" spans="1:29">
      <c r="A1951" t="s">
        <v>2065</v>
      </c>
      <c r="B1951" s="3">
        <v>45824</v>
      </c>
      <c r="C1951" t="s">
        <v>78</v>
      </c>
      <c r="D1951" t="s">
        <v>62</v>
      </c>
      <c r="E1951" t="s">
        <v>75</v>
      </c>
      <c r="F1951" t="s">
        <v>110</v>
      </c>
      <c r="G1951" s="6">
        <v>2</v>
      </c>
      <c r="H1951" s="4">
        <v>164.94</v>
      </c>
      <c r="I1951" s="4">
        <v>105.81</v>
      </c>
      <c r="J1951" s="5">
        <v>0</v>
      </c>
      <c r="K1951" s="6">
        <v>6</v>
      </c>
      <c r="L1951" s="6">
        <v>4</v>
      </c>
      <c r="M1951" t="s">
        <v>58</v>
      </c>
      <c r="N1951" t="s">
        <v>59</v>
      </c>
      <c r="O1951" t="s">
        <v>64</v>
      </c>
      <c r="P1951" t="str">
        <f t="shared" si="210"/>
        <v>Individual</v>
      </c>
      <c r="Q1951" t="str">
        <f t="shared" si="211"/>
        <v>London</v>
      </c>
      <c r="R1951" t="str">
        <f>PROPER(TRIM(E1951))</f>
        <v>Furniture</v>
      </c>
      <c r="S1951" s="27">
        <f>IF(ISTEXT(B1951),DATEVALUE(B1951),B1951)</f>
        <v>45824</v>
      </c>
      <c r="T1951" s="27">
        <f>COUNTIF($A$2:$A$1986,A1951)</f>
        <v>1</v>
      </c>
      <c r="U1951" s="27" t="str">
        <f t="shared" si="212"/>
        <v>Storage Cabinet</v>
      </c>
      <c r="V1951" s="27">
        <f t="shared" si="213"/>
        <v>329.88</v>
      </c>
      <c r="W1951" s="27">
        <f t="shared" si="214"/>
        <v>211.62</v>
      </c>
      <c r="X1951" s="27">
        <f>RawSalesTable3[[#This Row],[Revenue]]-RawSalesTable3[[#This Row],[Total_Cost]]</f>
        <v>118.25999999999999</v>
      </c>
      <c r="Y1951" s="28">
        <f>RawSalesTable3[[#This Row],[Profit]]/RawSalesTable3[[#This Row],[Revenue]]</f>
        <v>0.35849399781738811</v>
      </c>
      <c r="Z1951" s="27" t="str">
        <f>TEXT(RawSalesTable3[[#This Row],[Order_Date_Clean]],"MMM YYYY")</f>
        <v>Jun 2025</v>
      </c>
      <c r="AA1951" s="27"/>
      <c r="AB1951" s="27">
        <f t="shared" si="215"/>
        <v>0</v>
      </c>
      <c r="AC1951" s="27">
        <f t="shared" si="216"/>
        <v>0</v>
      </c>
    </row>
    <row r="1952" spans="1:29">
      <c r="A1952" t="s">
        <v>2066</v>
      </c>
      <c r="B1952" s="3">
        <v>45989</v>
      </c>
      <c r="C1952" t="s">
        <v>82</v>
      </c>
      <c r="D1952" t="s">
        <v>62</v>
      </c>
      <c r="E1952" t="s">
        <v>75</v>
      </c>
      <c r="F1952" t="s">
        <v>110</v>
      </c>
      <c r="G1952" s="6">
        <v>1</v>
      </c>
      <c r="H1952" s="4">
        <v>162.63</v>
      </c>
      <c r="I1952" s="4">
        <v>104.63</v>
      </c>
      <c r="J1952" s="5">
        <v>0.05</v>
      </c>
      <c r="K1952" s="6">
        <v>9</v>
      </c>
      <c r="L1952" s="6">
        <v>4</v>
      </c>
      <c r="M1952" t="s">
        <v>58</v>
      </c>
      <c r="N1952" t="s">
        <v>59</v>
      </c>
      <c r="O1952" t="s">
        <v>64</v>
      </c>
      <c r="P1952" t="str">
        <f t="shared" si="210"/>
        <v>Individual</v>
      </c>
      <c r="Q1952" t="str">
        <f t="shared" si="211"/>
        <v>Midlands</v>
      </c>
      <c r="R1952" t="str">
        <f>PROPER(TRIM(E1952))</f>
        <v>Furniture</v>
      </c>
      <c r="S1952" s="27">
        <f>IF(ISTEXT(B1952),DATEVALUE(B1952),B1952)</f>
        <v>45989</v>
      </c>
      <c r="T1952" s="27">
        <f>COUNTIF($A$2:$A$1986,A1952)</f>
        <v>1</v>
      </c>
      <c r="U1952" s="27" t="str">
        <f t="shared" si="212"/>
        <v>Storage Cabinet</v>
      </c>
      <c r="V1952" s="27">
        <f t="shared" si="213"/>
        <v>154.49849999999998</v>
      </c>
      <c r="W1952" s="27">
        <f t="shared" si="214"/>
        <v>104.63</v>
      </c>
      <c r="X1952" s="27">
        <f>RawSalesTable3[[#This Row],[Revenue]]-RawSalesTable3[[#This Row],[Total_Cost]]</f>
        <v>49.868499999999983</v>
      </c>
      <c r="Y1952" s="28">
        <f>RawSalesTable3[[#This Row],[Profit]]/RawSalesTable3[[#This Row],[Revenue]]</f>
        <v>0.3227765965365359</v>
      </c>
      <c r="Z1952" s="27" t="str">
        <f>TEXT(RawSalesTable3[[#This Row],[Order_Date_Clean]],"MMM YYYY")</f>
        <v>Nov 2025</v>
      </c>
      <c r="AA1952" s="27"/>
      <c r="AB1952" s="27">
        <f t="shared" si="215"/>
        <v>0</v>
      </c>
      <c r="AC1952" s="27">
        <f t="shared" si="216"/>
        <v>0</v>
      </c>
    </row>
    <row r="1953" spans="1:29">
      <c r="A1953" t="s">
        <v>2067</v>
      </c>
      <c r="B1953" s="3">
        <v>45822</v>
      </c>
      <c r="C1953" t="s">
        <v>82</v>
      </c>
      <c r="D1953" t="s">
        <v>62</v>
      </c>
      <c r="E1953" t="s">
        <v>79</v>
      </c>
      <c r="F1953" t="s">
        <v>115</v>
      </c>
      <c r="G1953" s="6">
        <v>3</v>
      </c>
      <c r="H1953" s="4">
        <v>58.8</v>
      </c>
      <c r="I1953" s="4">
        <v>34.229999999999997</v>
      </c>
      <c r="J1953" s="5">
        <v>0</v>
      </c>
      <c r="K1953" s="6">
        <v>2</v>
      </c>
      <c r="L1953" s="6">
        <v>4</v>
      </c>
      <c r="M1953" t="s">
        <v>58</v>
      </c>
      <c r="N1953" t="s">
        <v>87</v>
      </c>
      <c r="O1953" t="s">
        <v>64</v>
      </c>
      <c r="P1953" t="str">
        <f t="shared" si="210"/>
        <v>Individual</v>
      </c>
      <c r="Q1953" t="str">
        <f t="shared" si="211"/>
        <v>Midlands</v>
      </c>
      <c r="R1953" t="str">
        <f>PROPER(TRIM(E1953))</f>
        <v>Electronics</v>
      </c>
      <c r="S1953" s="27">
        <f>IF(ISTEXT(B1953),DATEVALUE(B1953),B1953)</f>
        <v>45822</v>
      </c>
      <c r="T1953" s="27">
        <f>COUNTIF($A$2:$A$1986,A1953)</f>
        <v>1</v>
      </c>
      <c r="U1953" s="27" t="str">
        <f t="shared" si="212"/>
        <v>Wireless Headset</v>
      </c>
      <c r="V1953" s="27">
        <f t="shared" si="213"/>
        <v>176.39999999999998</v>
      </c>
      <c r="W1953" s="27">
        <f t="shared" si="214"/>
        <v>102.69</v>
      </c>
      <c r="X1953" s="27">
        <f>RawSalesTable3[[#This Row],[Revenue]]-RawSalesTable3[[#This Row],[Total_Cost]]</f>
        <v>73.70999999999998</v>
      </c>
      <c r="Y1953" s="28">
        <f>RawSalesTable3[[#This Row],[Profit]]/RawSalesTable3[[#This Row],[Revenue]]</f>
        <v>0.41785714285714282</v>
      </c>
      <c r="Z1953" s="27" t="str">
        <f>TEXT(RawSalesTable3[[#This Row],[Order_Date_Clean]],"MMM YYYY")</f>
        <v>Jun 2025</v>
      </c>
      <c r="AA1953" s="27"/>
      <c r="AB1953" s="27">
        <f t="shared" si="215"/>
        <v>0</v>
      </c>
      <c r="AC1953" s="27">
        <f t="shared" si="216"/>
        <v>0</v>
      </c>
    </row>
    <row r="1954" spans="1:29">
      <c r="A1954" t="s">
        <v>2068</v>
      </c>
      <c r="B1954" s="3">
        <v>45963</v>
      </c>
      <c r="C1954" t="s">
        <v>82</v>
      </c>
      <c r="D1954" t="s">
        <v>62</v>
      </c>
      <c r="E1954" t="s">
        <v>67</v>
      </c>
      <c r="F1954" t="s">
        <v>71</v>
      </c>
      <c r="G1954" s="6">
        <v>2</v>
      </c>
      <c r="H1954" s="4">
        <v>71.81</v>
      </c>
      <c r="I1954" s="4">
        <v>37.54</v>
      </c>
      <c r="J1954" s="5">
        <v>0.15000000000000002</v>
      </c>
      <c r="K1954" s="6">
        <v>1</v>
      </c>
      <c r="L1954" s="6">
        <v>4</v>
      </c>
      <c r="M1954" t="s">
        <v>58</v>
      </c>
      <c r="N1954" t="s">
        <v>69</v>
      </c>
      <c r="O1954" t="s">
        <v>60</v>
      </c>
      <c r="P1954" t="str">
        <f t="shared" si="210"/>
        <v>Individual</v>
      </c>
      <c r="Q1954" t="str">
        <f t="shared" si="211"/>
        <v>Midlands</v>
      </c>
      <c r="R1954" t="str">
        <f>PROPER(TRIM(E1954))</f>
        <v>Office</v>
      </c>
      <c r="S1954" s="27">
        <f>IF(ISTEXT(B1954),DATEVALUE(B1954),B1954)</f>
        <v>45963</v>
      </c>
      <c r="T1954" s="27">
        <f>COUNTIF($A$2:$A$1986,A1954)</f>
        <v>1</v>
      </c>
      <c r="U1954" s="27" t="str">
        <f t="shared" si="212"/>
        <v>Ergonomic Keyboard</v>
      </c>
      <c r="V1954" s="27">
        <f t="shared" si="213"/>
        <v>122.077</v>
      </c>
      <c r="W1954" s="27">
        <f t="shared" si="214"/>
        <v>75.08</v>
      </c>
      <c r="X1954" s="27">
        <f>RawSalesTable3[[#This Row],[Revenue]]-RawSalesTable3[[#This Row],[Total_Cost]]</f>
        <v>46.997</v>
      </c>
      <c r="Y1954" s="28">
        <f>RawSalesTable3[[#This Row],[Profit]]/RawSalesTable3[[#This Row],[Revenue]]</f>
        <v>0.38497833334698595</v>
      </c>
      <c r="Z1954" s="27" t="str">
        <f>TEXT(RawSalesTable3[[#This Row],[Order_Date_Clean]],"MMM YYYY")</f>
        <v>Nov 2025</v>
      </c>
      <c r="AA1954" s="27"/>
      <c r="AB1954" s="27">
        <f t="shared" si="215"/>
        <v>0</v>
      </c>
      <c r="AC1954" s="27">
        <f t="shared" si="216"/>
        <v>0</v>
      </c>
    </row>
    <row r="1955" spans="1:29">
      <c r="A1955" t="s">
        <v>2069</v>
      </c>
      <c r="B1955" s="3">
        <v>45699</v>
      </c>
      <c r="C1955" t="s">
        <v>66</v>
      </c>
      <c r="D1955" t="s">
        <v>62</v>
      </c>
      <c r="E1955" t="s">
        <v>67</v>
      </c>
      <c r="F1955" t="s">
        <v>68</v>
      </c>
      <c r="G1955" s="6">
        <v>2</v>
      </c>
      <c r="H1955" s="4">
        <v>39.01</v>
      </c>
      <c r="I1955" s="4">
        <v>19.2</v>
      </c>
      <c r="J1955" s="5">
        <v>0.1</v>
      </c>
      <c r="K1955" s="6">
        <v>4</v>
      </c>
      <c r="L1955" s="6">
        <v>5</v>
      </c>
      <c r="M1955" t="s">
        <v>58</v>
      </c>
      <c r="N1955" t="s">
        <v>69</v>
      </c>
      <c r="O1955" t="s">
        <v>73</v>
      </c>
      <c r="P1955" t="str">
        <f t="shared" si="210"/>
        <v>Individual</v>
      </c>
      <c r="Q1955" t="str">
        <f t="shared" si="211"/>
        <v>South</v>
      </c>
      <c r="R1955" t="str">
        <f>PROPER(TRIM(E1955))</f>
        <v>Office</v>
      </c>
      <c r="S1955" s="27">
        <f>IF(ISTEXT(B1955),DATEVALUE(B1955),B1955)</f>
        <v>45699</v>
      </c>
      <c r="T1955" s="27">
        <f>COUNTIF($A$2:$A$1986,A1955)</f>
        <v>1</v>
      </c>
      <c r="U1955" s="27" t="str">
        <f t="shared" si="212"/>
        <v>Desk Lamp</v>
      </c>
      <c r="V1955" s="27">
        <f t="shared" si="213"/>
        <v>70.218000000000004</v>
      </c>
      <c r="W1955" s="27">
        <f t="shared" si="214"/>
        <v>38.4</v>
      </c>
      <c r="X1955" s="27">
        <f>RawSalesTable3[[#This Row],[Revenue]]-RawSalesTable3[[#This Row],[Total_Cost]]</f>
        <v>31.818000000000005</v>
      </c>
      <c r="Y1955" s="28">
        <f>RawSalesTable3[[#This Row],[Profit]]/RawSalesTable3[[#This Row],[Revenue]]</f>
        <v>0.45313167563872514</v>
      </c>
      <c r="Z1955" s="27" t="str">
        <f>TEXT(RawSalesTable3[[#This Row],[Order_Date_Clean]],"MMM YYYY")</f>
        <v>Feb 2025</v>
      </c>
      <c r="AA1955" s="27"/>
      <c r="AB1955" s="27">
        <f t="shared" si="215"/>
        <v>0</v>
      </c>
      <c r="AC1955" s="27">
        <f t="shared" si="216"/>
        <v>0</v>
      </c>
    </row>
    <row r="1956" spans="1:29">
      <c r="A1956" t="s">
        <v>2070</v>
      </c>
      <c r="B1956" s="3">
        <v>45940</v>
      </c>
      <c r="C1956" t="s">
        <v>66</v>
      </c>
      <c r="D1956" t="s">
        <v>62</v>
      </c>
      <c r="E1956" t="s">
        <v>79</v>
      </c>
      <c r="F1956" t="s">
        <v>80</v>
      </c>
      <c r="G1956" s="6">
        <v>1</v>
      </c>
      <c r="H1956" s="4">
        <v>75.58</v>
      </c>
      <c r="I1956" s="4">
        <v>44.85</v>
      </c>
      <c r="J1956" s="5">
        <v>0.1</v>
      </c>
      <c r="K1956" s="6">
        <v>3</v>
      </c>
      <c r="L1956" s="6">
        <v>5</v>
      </c>
      <c r="M1956" t="s">
        <v>58</v>
      </c>
      <c r="N1956" t="s">
        <v>69</v>
      </c>
      <c r="O1956" t="s">
        <v>64</v>
      </c>
      <c r="P1956" t="str">
        <f t="shared" si="210"/>
        <v>Individual</v>
      </c>
      <c r="Q1956" t="str">
        <f t="shared" si="211"/>
        <v>South</v>
      </c>
      <c r="R1956" t="str">
        <f>PROPER(TRIM(E1956))</f>
        <v>Electronics</v>
      </c>
      <c r="S1956" s="27">
        <f>IF(ISTEXT(B1956),DATEVALUE(B1956),B1956)</f>
        <v>45940</v>
      </c>
      <c r="T1956" s="27">
        <f>COUNTIF($A$2:$A$1986,A1956)</f>
        <v>1</v>
      </c>
      <c r="U1956" s="27" t="str">
        <f t="shared" si="212"/>
        <v>Portable Speaker</v>
      </c>
      <c r="V1956" s="27">
        <f t="shared" si="213"/>
        <v>68.022000000000006</v>
      </c>
      <c r="W1956" s="27">
        <f t="shared" si="214"/>
        <v>44.85</v>
      </c>
      <c r="X1956" s="27">
        <f>RawSalesTable3[[#This Row],[Revenue]]-RawSalesTable3[[#This Row],[Total_Cost]]</f>
        <v>23.172000000000004</v>
      </c>
      <c r="Y1956" s="28">
        <f>RawSalesTable3[[#This Row],[Profit]]/RawSalesTable3[[#This Row],[Revenue]]</f>
        <v>0.3406544941342507</v>
      </c>
      <c r="Z1956" s="27" t="str">
        <f>TEXT(RawSalesTable3[[#This Row],[Order_Date_Clean]],"MMM YYYY")</f>
        <v>Oct 2025</v>
      </c>
      <c r="AA1956" s="27"/>
      <c r="AB1956" s="27">
        <f t="shared" si="215"/>
        <v>0</v>
      </c>
      <c r="AC1956" s="27">
        <f t="shared" si="216"/>
        <v>0</v>
      </c>
    </row>
    <row r="1957" spans="1:29">
      <c r="A1957" t="s">
        <v>2071</v>
      </c>
      <c r="B1957" s="3">
        <v>45665</v>
      </c>
      <c r="C1957" t="s">
        <v>82</v>
      </c>
      <c r="D1957" t="s">
        <v>62</v>
      </c>
      <c r="E1957" t="s">
        <v>75</v>
      </c>
      <c r="F1957" t="s">
        <v>97</v>
      </c>
      <c r="G1957" s="6">
        <v>2</v>
      </c>
      <c r="H1957" s="4">
        <v>91.19</v>
      </c>
      <c r="I1957" s="4">
        <v>54.04</v>
      </c>
      <c r="J1957" s="5">
        <v>0.05</v>
      </c>
      <c r="K1957" s="6">
        <v>3</v>
      </c>
      <c r="L1957" s="6">
        <v>4</v>
      </c>
      <c r="M1957" t="s">
        <v>58</v>
      </c>
      <c r="N1957" t="s">
        <v>69</v>
      </c>
      <c r="O1957" t="s">
        <v>64</v>
      </c>
      <c r="P1957" t="str">
        <f t="shared" si="210"/>
        <v>Individual</v>
      </c>
      <c r="Q1957" t="str">
        <f t="shared" si="211"/>
        <v>Midlands</v>
      </c>
      <c r="R1957" t="str">
        <f>PROPER(TRIM(E1957))</f>
        <v>Furniture</v>
      </c>
      <c r="S1957" s="27">
        <f>IF(ISTEXT(B1957),DATEVALUE(B1957),B1957)</f>
        <v>45665</v>
      </c>
      <c r="T1957" s="27">
        <f>COUNTIF($A$2:$A$1986,A1957)</f>
        <v>1</v>
      </c>
      <c r="U1957" s="27" t="str">
        <f t="shared" si="212"/>
        <v>Side Table</v>
      </c>
      <c r="V1957" s="27">
        <f t="shared" si="213"/>
        <v>173.261</v>
      </c>
      <c r="W1957" s="27">
        <f t="shared" si="214"/>
        <v>108.08</v>
      </c>
      <c r="X1957" s="27">
        <f>RawSalesTable3[[#This Row],[Revenue]]-RawSalesTable3[[#This Row],[Total_Cost]]</f>
        <v>65.180999999999997</v>
      </c>
      <c r="Y1957" s="28">
        <f>RawSalesTable3[[#This Row],[Profit]]/RawSalesTable3[[#This Row],[Revenue]]</f>
        <v>0.37620122243320769</v>
      </c>
      <c r="Z1957" s="27" t="str">
        <f>TEXT(RawSalesTable3[[#This Row],[Order_Date_Clean]],"MMM YYYY")</f>
        <v>Jan 2025</v>
      </c>
      <c r="AA1957" s="27"/>
      <c r="AB1957" s="27">
        <f t="shared" si="215"/>
        <v>0</v>
      </c>
      <c r="AC1957" s="27">
        <f t="shared" si="216"/>
        <v>0</v>
      </c>
    </row>
    <row r="1958" spans="1:29">
      <c r="A1958" t="s">
        <v>2072</v>
      </c>
      <c r="B1958" s="3">
        <v>45672</v>
      </c>
      <c r="C1958" t="s">
        <v>82</v>
      </c>
      <c r="D1958" t="s">
        <v>62</v>
      </c>
      <c r="E1958" t="s">
        <v>67</v>
      </c>
      <c r="F1958" t="s">
        <v>71</v>
      </c>
      <c r="G1958" s="6">
        <v>1</v>
      </c>
      <c r="H1958" s="4">
        <v>69.05</v>
      </c>
      <c r="I1958" s="4">
        <v>37.46</v>
      </c>
      <c r="J1958" s="5">
        <v>0</v>
      </c>
      <c r="K1958" s="6">
        <v>0</v>
      </c>
      <c r="L1958" s="6">
        <v>5</v>
      </c>
      <c r="M1958" t="s">
        <v>58</v>
      </c>
      <c r="N1958" t="s">
        <v>69</v>
      </c>
      <c r="O1958" t="s">
        <v>64</v>
      </c>
      <c r="P1958" t="str">
        <f t="shared" si="210"/>
        <v>Individual</v>
      </c>
      <c r="Q1958" t="str">
        <f t="shared" si="211"/>
        <v>Midlands</v>
      </c>
      <c r="R1958" t="str">
        <f>PROPER(TRIM(E1958))</f>
        <v>Office</v>
      </c>
      <c r="S1958" s="27">
        <f>IF(ISTEXT(B1958),DATEVALUE(B1958),B1958)</f>
        <v>45672</v>
      </c>
      <c r="T1958" s="27">
        <f>COUNTIF($A$2:$A$1986,A1958)</f>
        <v>1</v>
      </c>
      <c r="U1958" s="27" t="str">
        <f t="shared" si="212"/>
        <v>Ergonomic Keyboard</v>
      </c>
      <c r="V1958" s="27">
        <f t="shared" si="213"/>
        <v>69.05</v>
      </c>
      <c r="W1958" s="27">
        <f t="shared" si="214"/>
        <v>37.46</v>
      </c>
      <c r="X1958" s="27">
        <f>RawSalesTable3[[#This Row],[Revenue]]-RawSalesTable3[[#This Row],[Total_Cost]]</f>
        <v>31.589999999999996</v>
      </c>
      <c r="Y1958" s="28">
        <f>RawSalesTable3[[#This Row],[Profit]]/RawSalesTable3[[#This Row],[Revenue]]</f>
        <v>0.4574945691527878</v>
      </c>
      <c r="Z1958" s="27" t="str">
        <f>TEXT(RawSalesTable3[[#This Row],[Order_Date_Clean]],"MMM YYYY")</f>
        <v>Jan 2025</v>
      </c>
      <c r="AA1958" s="27"/>
      <c r="AB1958" s="27">
        <f t="shared" si="215"/>
        <v>0</v>
      </c>
      <c r="AC1958" s="27">
        <f t="shared" si="216"/>
        <v>0</v>
      </c>
    </row>
    <row r="1959" spans="1:29">
      <c r="A1959" t="s">
        <v>2073</v>
      </c>
      <c r="B1959" s="3">
        <v>45687</v>
      </c>
      <c r="C1959" t="s">
        <v>78</v>
      </c>
      <c r="D1959" t="s">
        <v>55</v>
      </c>
      <c r="E1959" t="s">
        <v>67</v>
      </c>
      <c r="F1959" t="s">
        <v>107</v>
      </c>
      <c r="G1959" s="6">
        <v>1</v>
      </c>
      <c r="H1959" s="4">
        <v>44.33</v>
      </c>
      <c r="I1959" s="4">
        <v>20.56</v>
      </c>
      <c r="J1959" s="5">
        <v>0.1</v>
      </c>
      <c r="K1959" s="6">
        <v>0</v>
      </c>
      <c r="L1959" s="6">
        <v>3</v>
      </c>
      <c r="M1959" t="s">
        <v>126</v>
      </c>
      <c r="N1959" t="s">
        <v>69</v>
      </c>
      <c r="O1959" t="s">
        <v>73</v>
      </c>
      <c r="P1959" t="str">
        <f t="shared" si="210"/>
        <v>Small Business</v>
      </c>
      <c r="Q1959" t="str">
        <f t="shared" si="211"/>
        <v>London</v>
      </c>
      <c r="R1959" t="str">
        <f>PROPER(TRIM(E1959))</f>
        <v>Office</v>
      </c>
      <c r="S1959" s="27">
        <f>IF(ISTEXT(B1959),DATEVALUE(B1959),B1959)</f>
        <v>45687</v>
      </c>
      <c r="T1959" s="27">
        <f>COUNTIF($A$2:$A$1986,A1959)</f>
        <v>1</v>
      </c>
      <c r="U1959" s="27" t="str">
        <f t="shared" si="212"/>
        <v>Laptop Stand</v>
      </c>
      <c r="V1959" s="27">
        <f t="shared" si="213"/>
        <v>39.896999999999998</v>
      </c>
      <c r="W1959" s="27">
        <f t="shared" si="214"/>
        <v>20.56</v>
      </c>
      <c r="X1959" s="27">
        <f>RawSalesTable3[[#This Row],[Revenue]]-RawSalesTable3[[#This Row],[Total_Cost]]</f>
        <v>19.337</v>
      </c>
      <c r="Y1959" s="28">
        <f>RawSalesTable3[[#This Row],[Profit]]/RawSalesTable3[[#This Row],[Revenue]]</f>
        <v>0.48467303306012982</v>
      </c>
      <c r="Z1959" s="27" t="str">
        <f>TEXT(RawSalesTable3[[#This Row],[Order_Date_Clean]],"MMM YYYY")</f>
        <v>Jan 2025</v>
      </c>
      <c r="AA1959" s="27"/>
      <c r="AB1959" s="27">
        <f t="shared" si="215"/>
        <v>0</v>
      </c>
      <c r="AC1959" s="27">
        <f t="shared" si="216"/>
        <v>0</v>
      </c>
    </row>
    <row r="1960" spans="1:29">
      <c r="A1960" t="s">
        <v>2074</v>
      </c>
      <c r="B1960" s="3">
        <v>45994</v>
      </c>
      <c r="C1960" t="s">
        <v>54</v>
      </c>
      <c r="D1960" t="s">
        <v>55</v>
      </c>
      <c r="E1960" t="s">
        <v>79</v>
      </c>
      <c r="F1960" t="s">
        <v>85</v>
      </c>
      <c r="G1960" s="6">
        <v>3</v>
      </c>
      <c r="H1960" s="4">
        <v>133.09</v>
      </c>
      <c r="I1960" s="4">
        <v>84.01</v>
      </c>
      <c r="J1960" s="5">
        <v>0</v>
      </c>
      <c r="K1960" s="6">
        <v>1</v>
      </c>
      <c r="L1960" s="6">
        <v>4</v>
      </c>
      <c r="M1960" t="s">
        <v>58</v>
      </c>
      <c r="N1960" t="s">
        <v>59</v>
      </c>
      <c r="O1960" t="s">
        <v>64</v>
      </c>
      <c r="P1960" t="str">
        <f t="shared" si="210"/>
        <v>Small Business</v>
      </c>
      <c r="Q1960" t="str">
        <f t="shared" si="211"/>
        <v>North</v>
      </c>
      <c r="R1960" t="str">
        <f>PROPER(TRIM(E1960))</f>
        <v>Electronics</v>
      </c>
      <c r="S1960" s="27">
        <f>IF(ISTEXT(B1960),DATEVALUE(B1960),B1960)</f>
        <v>45994</v>
      </c>
      <c r="T1960" s="27">
        <f>COUNTIF($A$2:$A$1986,A1960)</f>
        <v>1</v>
      </c>
      <c r="U1960" s="27" t="str">
        <f t="shared" si="212"/>
        <v>SmartHome Hub</v>
      </c>
      <c r="V1960" s="27">
        <f t="shared" si="213"/>
        <v>399.27</v>
      </c>
      <c r="W1960" s="27">
        <f t="shared" si="214"/>
        <v>252.03000000000003</v>
      </c>
      <c r="X1960" s="27">
        <f>RawSalesTable3[[#This Row],[Revenue]]-RawSalesTable3[[#This Row],[Total_Cost]]</f>
        <v>147.23999999999995</v>
      </c>
      <c r="Y1960" s="28">
        <f>RawSalesTable3[[#This Row],[Profit]]/RawSalesTable3[[#This Row],[Revenue]]</f>
        <v>0.36877301074460883</v>
      </c>
      <c r="Z1960" s="27" t="str">
        <f>TEXT(RawSalesTable3[[#This Row],[Order_Date_Clean]],"MMM YYYY")</f>
        <v>Dec 2025</v>
      </c>
      <c r="AA1960" s="27"/>
      <c r="AB1960" s="27">
        <f t="shared" si="215"/>
        <v>0</v>
      </c>
      <c r="AC1960" s="27">
        <f t="shared" si="216"/>
        <v>0</v>
      </c>
    </row>
    <row r="1961" spans="1:29">
      <c r="A1961" t="s">
        <v>2075</v>
      </c>
      <c r="B1961" s="3">
        <v>45969</v>
      </c>
      <c r="C1961" t="s">
        <v>66</v>
      </c>
      <c r="D1961" t="s">
        <v>129</v>
      </c>
      <c r="E1961" t="s">
        <v>79</v>
      </c>
      <c r="F1961" t="s">
        <v>85</v>
      </c>
      <c r="G1961" s="6">
        <v>10</v>
      </c>
      <c r="H1961" s="4">
        <v>132.94999999999999</v>
      </c>
      <c r="I1961" s="4">
        <v>87.27</v>
      </c>
      <c r="J1961" s="5">
        <v>0.2</v>
      </c>
      <c r="K1961" s="6">
        <v>0</v>
      </c>
      <c r="L1961" s="6">
        <v>2</v>
      </c>
      <c r="M1961" t="s">
        <v>126</v>
      </c>
      <c r="N1961" t="s">
        <v>69</v>
      </c>
      <c r="O1961" t="s">
        <v>73</v>
      </c>
      <c r="P1961" t="str">
        <f t="shared" si="210"/>
        <v>Corporate</v>
      </c>
      <c r="Q1961" t="str">
        <f t="shared" si="211"/>
        <v>South</v>
      </c>
      <c r="R1961" t="str">
        <f>PROPER(TRIM(E1961))</f>
        <v>Electronics</v>
      </c>
      <c r="S1961" s="27">
        <f>IF(ISTEXT(B1961),DATEVALUE(B1961),B1961)</f>
        <v>45969</v>
      </c>
      <c r="T1961" s="27">
        <f>COUNTIF($A$2:$A$1986,A1961)</f>
        <v>1</v>
      </c>
      <c r="U1961" s="27" t="str">
        <f t="shared" si="212"/>
        <v>SmartHome Hub</v>
      </c>
      <c r="V1961" s="27">
        <f t="shared" si="213"/>
        <v>1063.6000000000001</v>
      </c>
      <c r="W1961" s="27">
        <f t="shared" si="214"/>
        <v>872.69999999999993</v>
      </c>
      <c r="X1961" s="27">
        <f>RawSalesTable3[[#This Row],[Revenue]]-RawSalesTable3[[#This Row],[Total_Cost]]</f>
        <v>190.9000000000002</v>
      </c>
      <c r="Y1961" s="28">
        <f>RawSalesTable3[[#This Row],[Profit]]/RawSalesTable3[[#This Row],[Revenue]]</f>
        <v>0.17948476871004154</v>
      </c>
      <c r="Z1961" s="27" t="str">
        <f>TEXT(RawSalesTable3[[#This Row],[Order_Date_Clean]],"MMM YYYY")</f>
        <v>Nov 2025</v>
      </c>
      <c r="AA1961" s="27"/>
      <c r="AB1961" s="27">
        <f t="shared" si="215"/>
        <v>0</v>
      </c>
      <c r="AC1961" s="27">
        <f t="shared" si="216"/>
        <v>0</v>
      </c>
    </row>
    <row r="1962" spans="1:29">
      <c r="A1962" t="s">
        <v>2076</v>
      </c>
      <c r="B1962" s="3">
        <v>45877</v>
      </c>
      <c r="C1962" t="s">
        <v>66</v>
      </c>
      <c r="D1962" t="s">
        <v>62</v>
      </c>
      <c r="E1962" t="s">
        <v>67</v>
      </c>
      <c r="F1962" t="s">
        <v>71</v>
      </c>
      <c r="G1962" s="6">
        <v>1</v>
      </c>
      <c r="H1962" s="4">
        <v>69.64</v>
      </c>
      <c r="I1962" s="4">
        <v>39.04</v>
      </c>
      <c r="J1962" s="5">
        <v>0.15000000000000002</v>
      </c>
      <c r="K1962" s="6">
        <v>5</v>
      </c>
      <c r="L1962" s="6">
        <v>4</v>
      </c>
      <c r="M1962" t="s">
        <v>58</v>
      </c>
      <c r="N1962" t="s">
        <v>59</v>
      </c>
      <c r="O1962" t="s">
        <v>64</v>
      </c>
      <c r="P1962" t="str">
        <f t="shared" si="210"/>
        <v>Individual</v>
      </c>
      <c r="Q1962" t="str">
        <f t="shared" si="211"/>
        <v>South</v>
      </c>
      <c r="R1962" t="str">
        <f>PROPER(TRIM(E1962))</f>
        <v>Office</v>
      </c>
      <c r="S1962" s="27">
        <f>IF(ISTEXT(B1962),DATEVALUE(B1962),B1962)</f>
        <v>45877</v>
      </c>
      <c r="T1962" s="27">
        <f>COUNTIF($A$2:$A$1986,A1962)</f>
        <v>1</v>
      </c>
      <c r="U1962" s="27" t="str">
        <f t="shared" si="212"/>
        <v>Ergonomic Keyboard</v>
      </c>
      <c r="V1962" s="27">
        <f t="shared" si="213"/>
        <v>59.193999999999996</v>
      </c>
      <c r="W1962" s="27">
        <f t="shared" si="214"/>
        <v>39.04</v>
      </c>
      <c r="X1962" s="27">
        <f>RawSalesTable3[[#This Row],[Revenue]]-RawSalesTable3[[#This Row],[Total_Cost]]</f>
        <v>20.153999999999996</v>
      </c>
      <c r="Y1962" s="28">
        <f>RawSalesTable3[[#This Row],[Profit]]/RawSalesTable3[[#This Row],[Revenue]]</f>
        <v>0.34047369665844507</v>
      </c>
      <c r="Z1962" s="27" t="str">
        <f>TEXT(RawSalesTable3[[#This Row],[Order_Date_Clean]],"MMM YYYY")</f>
        <v>Aug 2025</v>
      </c>
      <c r="AA1962" s="27"/>
      <c r="AB1962" s="27">
        <f t="shared" si="215"/>
        <v>0</v>
      </c>
      <c r="AC1962" s="27">
        <f t="shared" si="216"/>
        <v>0</v>
      </c>
    </row>
    <row r="1963" spans="1:29">
      <c r="A1963" t="s">
        <v>2077</v>
      </c>
      <c r="B1963" s="3">
        <v>45670</v>
      </c>
      <c r="C1963" t="s">
        <v>82</v>
      </c>
      <c r="D1963" t="s">
        <v>55</v>
      </c>
      <c r="E1963" t="s">
        <v>56</v>
      </c>
      <c r="F1963" t="s">
        <v>83</v>
      </c>
      <c r="G1963" s="6">
        <v>1</v>
      </c>
      <c r="H1963" s="4">
        <v>64.31</v>
      </c>
      <c r="I1963" s="4">
        <v>35.049999999999997</v>
      </c>
      <c r="J1963" s="5">
        <v>0</v>
      </c>
      <c r="K1963" s="6">
        <v>0</v>
      </c>
      <c r="L1963" s="6">
        <v>5</v>
      </c>
      <c r="M1963" t="s">
        <v>58</v>
      </c>
      <c r="N1963" t="s">
        <v>69</v>
      </c>
      <c r="O1963" t="s">
        <v>64</v>
      </c>
      <c r="P1963" t="str">
        <f t="shared" si="210"/>
        <v>Small Business</v>
      </c>
      <c r="Q1963" t="str">
        <f t="shared" si="211"/>
        <v>Midlands</v>
      </c>
      <c r="R1963" t="str">
        <f>PROPER(TRIM(E1963))</f>
        <v>Home &amp; Kitchen</v>
      </c>
      <c r="S1963" s="27">
        <f>IF(ISTEXT(B1963),DATEVALUE(B1963),B1963)</f>
        <v>45670</v>
      </c>
      <c r="T1963" s="27">
        <f>COUNTIF($A$2:$A$1986,A1963)</f>
        <v>1</v>
      </c>
      <c r="U1963" s="27" t="str">
        <f t="shared" si="212"/>
        <v>Blender</v>
      </c>
      <c r="V1963" s="27">
        <f t="shared" si="213"/>
        <v>64.31</v>
      </c>
      <c r="W1963" s="27">
        <f t="shared" si="214"/>
        <v>35.049999999999997</v>
      </c>
      <c r="X1963" s="27">
        <f>RawSalesTable3[[#This Row],[Revenue]]-RawSalesTable3[[#This Row],[Total_Cost]]</f>
        <v>29.260000000000005</v>
      </c>
      <c r="Y1963" s="28">
        <f>RawSalesTable3[[#This Row],[Profit]]/RawSalesTable3[[#This Row],[Revenue]]</f>
        <v>0.45498367283470698</v>
      </c>
      <c r="Z1963" s="27" t="str">
        <f>TEXT(RawSalesTable3[[#This Row],[Order_Date_Clean]],"MMM YYYY")</f>
        <v>Jan 2025</v>
      </c>
      <c r="AA1963" s="27"/>
      <c r="AB1963" s="27">
        <f t="shared" si="215"/>
        <v>0</v>
      </c>
      <c r="AC1963" s="27">
        <f t="shared" si="216"/>
        <v>0</v>
      </c>
    </row>
    <row r="1964" spans="1:29">
      <c r="A1964" t="s">
        <v>2078</v>
      </c>
      <c r="B1964" s="3">
        <v>45712</v>
      </c>
      <c r="C1964" t="s">
        <v>66</v>
      </c>
      <c r="D1964" t="s">
        <v>62</v>
      </c>
      <c r="E1964" t="s">
        <v>79</v>
      </c>
      <c r="F1964" t="s">
        <v>85</v>
      </c>
      <c r="G1964" s="6">
        <v>1</v>
      </c>
      <c r="H1964" s="4">
        <v>127.32</v>
      </c>
      <c r="I1964" s="4">
        <v>87.83</v>
      </c>
      <c r="J1964" s="5">
        <v>0.1</v>
      </c>
      <c r="K1964" s="6">
        <v>3</v>
      </c>
      <c r="L1964" s="6">
        <v>4</v>
      </c>
      <c r="M1964" t="s">
        <v>58</v>
      </c>
      <c r="N1964" t="s">
        <v>59</v>
      </c>
      <c r="O1964" t="s">
        <v>60</v>
      </c>
      <c r="P1964" t="str">
        <f t="shared" si="210"/>
        <v>Individual</v>
      </c>
      <c r="Q1964" t="str">
        <f t="shared" si="211"/>
        <v>South</v>
      </c>
      <c r="R1964" t="str">
        <f>PROPER(TRIM(E1964))</f>
        <v>Electronics</v>
      </c>
      <c r="S1964" s="27">
        <f>IF(ISTEXT(B1964),DATEVALUE(B1964),B1964)</f>
        <v>45712</v>
      </c>
      <c r="T1964" s="27">
        <f>COUNTIF($A$2:$A$1986,A1964)</f>
        <v>1</v>
      </c>
      <c r="U1964" s="27" t="str">
        <f t="shared" si="212"/>
        <v>SmartHome Hub</v>
      </c>
      <c r="V1964" s="27">
        <f t="shared" si="213"/>
        <v>114.58799999999999</v>
      </c>
      <c r="W1964" s="27">
        <f t="shared" si="214"/>
        <v>87.83</v>
      </c>
      <c r="X1964" s="27">
        <f>RawSalesTable3[[#This Row],[Revenue]]-RawSalesTable3[[#This Row],[Total_Cost]]</f>
        <v>26.757999999999996</v>
      </c>
      <c r="Y1964" s="28">
        <f>RawSalesTable3[[#This Row],[Profit]]/RawSalesTable3[[#This Row],[Revenue]]</f>
        <v>0.23351485321325091</v>
      </c>
      <c r="Z1964" s="27" t="str">
        <f>TEXT(RawSalesTable3[[#This Row],[Order_Date_Clean]],"MMM YYYY")</f>
        <v>Feb 2025</v>
      </c>
      <c r="AA1964" s="27"/>
      <c r="AB1964" s="27">
        <f t="shared" si="215"/>
        <v>0</v>
      </c>
      <c r="AC1964" s="27">
        <f t="shared" si="216"/>
        <v>0</v>
      </c>
    </row>
    <row r="1965" spans="1:29">
      <c r="A1965" t="s">
        <v>2079</v>
      </c>
      <c r="B1965" s="3">
        <v>45866</v>
      </c>
      <c r="C1965" t="s">
        <v>78</v>
      </c>
      <c r="D1965" t="s">
        <v>62</v>
      </c>
      <c r="E1965" t="s">
        <v>75</v>
      </c>
      <c r="F1965" t="s">
        <v>97</v>
      </c>
      <c r="G1965" s="6">
        <v>3</v>
      </c>
      <c r="H1965" s="4">
        <v>92.93</v>
      </c>
      <c r="I1965" s="4">
        <v>54.99</v>
      </c>
      <c r="J1965" s="5">
        <v>0</v>
      </c>
      <c r="K1965" s="6">
        <v>3</v>
      </c>
      <c r="L1965" s="6">
        <v>3</v>
      </c>
      <c r="M1965" t="s">
        <v>126</v>
      </c>
      <c r="N1965" t="s">
        <v>59</v>
      </c>
      <c r="O1965" t="s">
        <v>60</v>
      </c>
      <c r="P1965" t="str">
        <f t="shared" si="210"/>
        <v>Individual</v>
      </c>
      <c r="Q1965" t="str">
        <f t="shared" si="211"/>
        <v>London</v>
      </c>
      <c r="R1965" t="str">
        <f>PROPER(TRIM(E1965))</f>
        <v>Furniture</v>
      </c>
      <c r="S1965" s="27">
        <f>IF(ISTEXT(B1965),DATEVALUE(B1965),B1965)</f>
        <v>45866</v>
      </c>
      <c r="T1965" s="27">
        <f>COUNTIF($A$2:$A$1986,A1965)</f>
        <v>1</v>
      </c>
      <c r="U1965" s="27" t="str">
        <f t="shared" si="212"/>
        <v>Side Table</v>
      </c>
      <c r="V1965" s="27">
        <f t="shared" si="213"/>
        <v>278.79000000000002</v>
      </c>
      <c r="W1965" s="27">
        <f t="shared" si="214"/>
        <v>164.97</v>
      </c>
      <c r="X1965" s="27">
        <f>RawSalesTable3[[#This Row],[Revenue]]-RawSalesTable3[[#This Row],[Total_Cost]]</f>
        <v>113.82000000000002</v>
      </c>
      <c r="Y1965" s="28">
        <f>RawSalesTable3[[#This Row],[Profit]]/RawSalesTable3[[#This Row],[Revenue]]</f>
        <v>0.40826428494565808</v>
      </c>
      <c r="Z1965" s="27" t="str">
        <f>TEXT(RawSalesTable3[[#This Row],[Order_Date_Clean]],"MMM YYYY")</f>
        <v>Jul 2025</v>
      </c>
      <c r="AA1965" s="27"/>
      <c r="AB1965" s="27">
        <f t="shared" si="215"/>
        <v>0</v>
      </c>
      <c r="AC1965" s="27">
        <f t="shared" si="216"/>
        <v>0</v>
      </c>
    </row>
    <row r="1966" spans="1:29">
      <c r="A1966" t="s">
        <v>2080</v>
      </c>
      <c r="B1966" s="3">
        <v>45818</v>
      </c>
      <c r="C1966" t="s">
        <v>78</v>
      </c>
      <c r="D1966" t="s">
        <v>62</v>
      </c>
      <c r="E1966" t="s">
        <v>75</v>
      </c>
      <c r="F1966" t="s">
        <v>110</v>
      </c>
      <c r="G1966" s="6">
        <v>1</v>
      </c>
      <c r="H1966" s="4">
        <v>160.41999999999999</v>
      </c>
      <c r="I1966" s="4">
        <v>104.94</v>
      </c>
      <c r="J1966" s="5">
        <v>0.05</v>
      </c>
      <c r="K1966" s="6">
        <v>4</v>
      </c>
      <c r="L1966" s="6">
        <v>4</v>
      </c>
      <c r="M1966" t="s">
        <v>58</v>
      </c>
      <c r="N1966" t="s">
        <v>59</v>
      </c>
      <c r="O1966" t="s">
        <v>64</v>
      </c>
      <c r="P1966" t="str">
        <f t="shared" si="210"/>
        <v>Individual</v>
      </c>
      <c r="Q1966" t="str">
        <f t="shared" si="211"/>
        <v>London</v>
      </c>
      <c r="R1966" t="str">
        <f>PROPER(TRIM(E1966))</f>
        <v>Furniture</v>
      </c>
      <c r="S1966" s="27">
        <f>IF(ISTEXT(B1966),DATEVALUE(B1966),B1966)</f>
        <v>45818</v>
      </c>
      <c r="T1966" s="27">
        <f>COUNTIF($A$2:$A$1986,A1966)</f>
        <v>1</v>
      </c>
      <c r="U1966" s="27" t="str">
        <f t="shared" si="212"/>
        <v>Storage Cabinet</v>
      </c>
      <c r="V1966" s="27">
        <f t="shared" si="213"/>
        <v>152.39899999999997</v>
      </c>
      <c r="W1966" s="27">
        <f t="shared" si="214"/>
        <v>104.94</v>
      </c>
      <c r="X1966" s="27">
        <f>RawSalesTable3[[#This Row],[Revenue]]-RawSalesTable3[[#This Row],[Total_Cost]]</f>
        <v>47.458999999999975</v>
      </c>
      <c r="Y1966" s="28">
        <f>RawSalesTable3[[#This Row],[Profit]]/RawSalesTable3[[#This Row],[Revenue]]</f>
        <v>0.31141280454596149</v>
      </c>
      <c r="Z1966" s="27" t="str">
        <f>TEXT(RawSalesTable3[[#This Row],[Order_Date_Clean]],"MMM YYYY")</f>
        <v>Jun 2025</v>
      </c>
      <c r="AA1966" s="27"/>
      <c r="AB1966" s="27">
        <f t="shared" si="215"/>
        <v>0</v>
      </c>
      <c r="AC1966" s="27">
        <f t="shared" si="216"/>
        <v>0</v>
      </c>
    </row>
    <row r="1967" spans="1:29">
      <c r="A1967" t="s">
        <v>2081</v>
      </c>
      <c r="B1967" s="3">
        <v>45922</v>
      </c>
      <c r="C1967" t="s">
        <v>82</v>
      </c>
      <c r="D1967" t="s">
        <v>55</v>
      </c>
      <c r="E1967" t="s">
        <v>75</v>
      </c>
      <c r="F1967" t="s">
        <v>110</v>
      </c>
      <c r="G1967" s="6">
        <v>5</v>
      </c>
      <c r="H1967" s="4">
        <v>166.33</v>
      </c>
      <c r="I1967" s="4">
        <v>101.01</v>
      </c>
      <c r="J1967" s="5">
        <v>0</v>
      </c>
      <c r="K1967" s="6">
        <v>2</v>
      </c>
      <c r="L1967" s="6">
        <v>4</v>
      </c>
      <c r="M1967" t="s">
        <v>58</v>
      </c>
      <c r="N1967" t="s">
        <v>59</v>
      </c>
      <c r="O1967" t="s">
        <v>64</v>
      </c>
      <c r="P1967" t="str">
        <f t="shared" si="210"/>
        <v>Small Business</v>
      </c>
      <c r="Q1967" t="str">
        <f t="shared" si="211"/>
        <v>Midlands</v>
      </c>
      <c r="R1967" t="str">
        <f>PROPER(TRIM(E1967))</f>
        <v>Furniture</v>
      </c>
      <c r="S1967" s="27">
        <f>IF(ISTEXT(B1967),DATEVALUE(B1967),B1967)</f>
        <v>45922</v>
      </c>
      <c r="T1967" s="27">
        <f>COUNTIF($A$2:$A$1986,A1967)</f>
        <v>1</v>
      </c>
      <c r="U1967" s="27" t="str">
        <f t="shared" si="212"/>
        <v>Storage Cabinet</v>
      </c>
      <c r="V1967" s="27">
        <f t="shared" si="213"/>
        <v>831.65000000000009</v>
      </c>
      <c r="W1967" s="27">
        <f t="shared" si="214"/>
        <v>505.05</v>
      </c>
      <c r="X1967" s="27">
        <f>RawSalesTable3[[#This Row],[Revenue]]-RawSalesTable3[[#This Row],[Total_Cost]]</f>
        <v>326.60000000000008</v>
      </c>
      <c r="Y1967" s="28">
        <f>RawSalesTable3[[#This Row],[Profit]]/RawSalesTable3[[#This Row],[Revenue]]</f>
        <v>0.39271328082727114</v>
      </c>
      <c r="Z1967" s="27" t="str">
        <f>TEXT(RawSalesTable3[[#This Row],[Order_Date_Clean]],"MMM YYYY")</f>
        <v>Sep 2025</v>
      </c>
      <c r="AA1967" s="27"/>
      <c r="AB1967" s="27">
        <f t="shared" si="215"/>
        <v>0</v>
      </c>
      <c r="AC1967" s="27">
        <f t="shared" si="216"/>
        <v>0</v>
      </c>
    </row>
    <row r="1968" spans="1:29">
      <c r="A1968" t="s">
        <v>2082</v>
      </c>
      <c r="B1968" s="3">
        <v>46005</v>
      </c>
      <c r="C1968" t="s">
        <v>54</v>
      </c>
      <c r="D1968" t="s">
        <v>55</v>
      </c>
      <c r="E1968" t="s">
        <v>67</v>
      </c>
      <c r="F1968" t="s">
        <v>68</v>
      </c>
      <c r="G1968" s="6">
        <v>4</v>
      </c>
      <c r="H1968" s="4">
        <v>40.31</v>
      </c>
      <c r="I1968" s="4">
        <v>19.28</v>
      </c>
      <c r="J1968" s="5">
        <v>0.05</v>
      </c>
      <c r="K1968" s="6">
        <v>2</v>
      </c>
      <c r="L1968" s="6">
        <v>5</v>
      </c>
      <c r="M1968" t="s">
        <v>58</v>
      </c>
      <c r="N1968" t="s">
        <v>59</v>
      </c>
      <c r="O1968" t="s">
        <v>60</v>
      </c>
      <c r="P1968" t="str">
        <f t="shared" si="210"/>
        <v>Small Business</v>
      </c>
      <c r="Q1968" t="str">
        <f t="shared" si="211"/>
        <v>North</v>
      </c>
      <c r="R1968" t="str">
        <f>PROPER(TRIM(E1968))</f>
        <v>Office</v>
      </c>
      <c r="S1968" s="27">
        <f>IF(ISTEXT(B1968),DATEVALUE(B1968),B1968)</f>
        <v>46005</v>
      </c>
      <c r="T1968" s="27">
        <f>COUNTIF($A$2:$A$1986,A1968)</f>
        <v>1</v>
      </c>
      <c r="U1968" s="27" t="str">
        <f t="shared" si="212"/>
        <v>Desk Lamp</v>
      </c>
      <c r="V1968" s="27">
        <f t="shared" si="213"/>
        <v>153.178</v>
      </c>
      <c r="W1968" s="27">
        <f t="shared" si="214"/>
        <v>77.12</v>
      </c>
      <c r="X1968" s="27">
        <f>RawSalesTable3[[#This Row],[Revenue]]-RawSalesTable3[[#This Row],[Total_Cost]]</f>
        <v>76.057999999999993</v>
      </c>
      <c r="Y1968" s="28">
        <f>RawSalesTable3[[#This Row],[Profit]]/RawSalesTable3[[#This Row],[Revenue]]</f>
        <v>0.49653344475055161</v>
      </c>
      <c r="Z1968" s="27" t="str">
        <f>TEXT(RawSalesTable3[[#This Row],[Order_Date_Clean]],"MMM YYYY")</f>
        <v>Dec 2025</v>
      </c>
      <c r="AA1968" s="27"/>
      <c r="AB1968" s="27">
        <f t="shared" si="215"/>
        <v>0</v>
      </c>
      <c r="AC1968" s="27">
        <f t="shared" si="216"/>
        <v>0</v>
      </c>
    </row>
    <row r="1969" spans="1:29">
      <c r="A1969" t="s">
        <v>2083</v>
      </c>
      <c r="B1969" s="3">
        <v>45911</v>
      </c>
      <c r="C1969" t="s">
        <v>78</v>
      </c>
      <c r="D1969" t="s">
        <v>55</v>
      </c>
      <c r="E1969" t="s">
        <v>79</v>
      </c>
      <c r="F1969" t="s">
        <v>85</v>
      </c>
      <c r="G1969" s="6">
        <v>2</v>
      </c>
      <c r="H1969" s="4">
        <v>128.91999999999999</v>
      </c>
      <c r="I1969" s="4">
        <v>86.97</v>
      </c>
      <c r="J1969" s="5">
        <v>0.1</v>
      </c>
      <c r="K1969" s="6">
        <v>0</v>
      </c>
      <c r="L1969" s="6">
        <v>4</v>
      </c>
      <c r="M1969" t="s">
        <v>58</v>
      </c>
      <c r="N1969" t="s">
        <v>69</v>
      </c>
      <c r="O1969" t="s">
        <v>64</v>
      </c>
      <c r="P1969" t="str">
        <f t="shared" si="210"/>
        <v>Small Business</v>
      </c>
      <c r="Q1969" t="str">
        <f t="shared" si="211"/>
        <v>London</v>
      </c>
      <c r="R1969" t="str">
        <f>PROPER(TRIM(E1969))</f>
        <v>Electronics</v>
      </c>
      <c r="S1969" s="27">
        <f>IF(ISTEXT(B1969),DATEVALUE(B1969),B1969)</f>
        <v>45911</v>
      </c>
      <c r="T1969" s="27">
        <f>COUNTIF($A$2:$A$1986,A1969)</f>
        <v>1</v>
      </c>
      <c r="U1969" s="27" t="str">
        <f t="shared" si="212"/>
        <v>SmartHome Hub</v>
      </c>
      <c r="V1969" s="27">
        <f t="shared" si="213"/>
        <v>232.05599999999998</v>
      </c>
      <c r="W1969" s="27">
        <f t="shared" si="214"/>
        <v>173.94</v>
      </c>
      <c r="X1969" s="27">
        <f>RawSalesTable3[[#This Row],[Revenue]]-RawSalesTable3[[#This Row],[Total_Cost]]</f>
        <v>58.115999999999985</v>
      </c>
      <c r="Y1969" s="28">
        <f>RawSalesTable3[[#This Row],[Profit]]/RawSalesTable3[[#This Row],[Revenue]]</f>
        <v>0.25043954907436133</v>
      </c>
      <c r="Z1969" s="27" t="str">
        <f>TEXT(RawSalesTable3[[#This Row],[Order_Date_Clean]],"MMM YYYY")</f>
        <v>Sep 2025</v>
      </c>
      <c r="AA1969" s="27"/>
      <c r="AB1969" s="27">
        <f t="shared" si="215"/>
        <v>0</v>
      </c>
      <c r="AC1969" s="27">
        <f t="shared" si="216"/>
        <v>0</v>
      </c>
    </row>
    <row r="1970" spans="1:29">
      <c r="A1970" t="s">
        <v>2084</v>
      </c>
      <c r="B1970" s="3">
        <v>45955</v>
      </c>
      <c r="C1970" t="s">
        <v>78</v>
      </c>
      <c r="D1970" t="s">
        <v>62</v>
      </c>
      <c r="E1970" t="s">
        <v>67</v>
      </c>
      <c r="F1970" t="s">
        <v>71</v>
      </c>
      <c r="G1970" s="6">
        <v>1</v>
      </c>
      <c r="H1970" s="4">
        <v>71.5</v>
      </c>
      <c r="I1970" s="4">
        <v>38.24</v>
      </c>
      <c r="J1970" s="5">
        <v>0.1</v>
      </c>
      <c r="K1970" s="6">
        <v>2</v>
      </c>
      <c r="L1970" s="6">
        <v>4</v>
      </c>
      <c r="M1970" t="s">
        <v>58</v>
      </c>
      <c r="N1970" t="s">
        <v>87</v>
      </c>
      <c r="O1970" t="s">
        <v>64</v>
      </c>
      <c r="P1970" t="str">
        <f t="shared" si="210"/>
        <v>Individual</v>
      </c>
      <c r="Q1970" t="str">
        <f t="shared" si="211"/>
        <v>London</v>
      </c>
      <c r="R1970" t="str">
        <f>PROPER(TRIM(E1970))</f>
        <v>Office</v>
      </c>
      <c r="S1970" s="27">
        <f>IF(ISTEXT(B1970),DATEVALUE(B1970),B1970)</f>
        <v>45955</v>
      </c>
      <c r="T1970" s="27">
        <f>COUNTIF($A$2:$A$1986,A1970)</f>
        <v>1</v>
      </c>
      <c r="U1970" s="27" t="str">
        <f t="shared" si="212"/>
        <v>Ergonomic Keyboard</v>
      </c>
      <c r="V1970" s="27">
        <f t="shared" si="213"/>
        <v>64.350000000000009</v>
      </c>
      <c r="W1970" s="27">
        <f t="shared" si="214"/>
        <v>38.24</v>
      </c>
      <c r="X1970" s="27">
        <f>RawSalesTable3[[#This Row],[Revenue]]-RawSalesTable3[[#This Row],[Total_Cost]]</f>
        <v>26.110000000000007</v>
      </c>
      <c r="Y1970" s="28">
        <f>RawSalesTable3[[#This Row],[Profit]]/RawSalesTable3[[#This Row],[Revenue]]</f>
        <v>0.40574980574980579</v>
      </c>
      <c r="Z1970" s="27" t="str">
        <f>TEXT(RawSalesTable3[[#This Row],[Order_Date_Clean]],"MMM YYYY")</f>
        <v>Oct 2025</v>
      </c>
      <c r="AA1970" s="27"/>
      <c r="AB1970" s="27">
        <f t="shared" si="215"/>
        <v>0</v>
      </c>
      <c r="AC1970" s="27">
        <f t="shared" si="216"/>
        <v>0</v>
      </c>
    </row>
    <row r="1971" spans="1:29">
      <c r="A1971" t="s">
        <v>2085</v>
      </c>
      <c r="B1971" s="3">
        <v>45800</v>
      </c>
      <c r="C1971" t="s">
        <v>78</v>
      </c>
      <c r="D1971" t="s">
        <v>55</v>
      </c>
      <c r="E1971" t="s">
        <v>79</v>
      </c>
      <c r="F1971" t="s">
        <v>85</v>
      </c>
      <c r="G1971" s="6">
        <v>4</v>
      </c>
      <c r="H1971" s="4">
        <v>134.55000000000001</v>
      </c>
      <c r="I1971" s="4">
        <v>84.44</v>
      </c>
      <c r="J1971" s="5">
        <v>0.1</v>
      </c>
      <c r="K1971" s="6">
        <v>1</v>
      </c>
      <c r="L1971" s="6">
        <v>4</v>
      </c>
      <c r="M1971" t="s">
        <v>58</v>
      </c>
      <c r="N1971" t="s">
        <v>59</v>
      </c>
      <c r="O1971" t="s">
        <v>64</v>
      </c>
      <c r="P1971" t="str">
        <f t="shared" si="210"/>
        <v>Small Business</v>
      </c>
      <c r="Q1971" t="str">
        <f t="shared" si="211"/>
        <v>London</v>
      </c>
      <c r="R1971" t="str">
        <f>PROPER(TRIM(E1971))</f>
        <v>Electronics</v>
      </c>
      <c r="S1971" s="27">
        <f>IF(ISTEXT(B1971),DATEVALUE(B1971),B1971)</f>
        <v>45800</v>
      </c>
      <c r="T1971" s="27">
        <f>COUNTIF($A$2:$A$1986,A1971)</f>
        <v>1</v>
      </c>
      <c r="U1971" s="27" t="str">
        <f t="shared" si="212"/>
        <v>SmartHome Hub</v>
      </c>
      <c r="V1971" s="27">
        <f t="shared" si="213"/>
        <v>484.38000000000005</v>
      </c>
      <c r="W1971" s="27">
        <f t="shared" si="214"/>
        <v>337.76</v>
      </c>
      <c r="X1971" s="27">
        <f>RawSalesTable3[[#This Row],[Revenue]]-RawSalesTable3[[#This Row],[Total_Cost]]</f>
        <v>146.62000000000006</v>
      </c>
      <c r="Y1971" s="28">
        <f>RawSalesTable3[[#This Row],[Profit]]/RawSalesTable3[[#This Row],[Revenue]]</f>
        <v>0.30269623023246223</v>
      </c>
      <c r="Z1971" s="27" t="str">
        <f>TEXT(RawSalesTable3[[#This Row],[Order_Date_Clean]],"MMM YYYY")</f>
        <v>May 2025</v>
      </c>
      <c r="AA1971" s="27"/>
      <c r="AB1971" s="27">
        <f t="shared" si="215"/>
        <v>0</v>
      </c>
      <c r="AC1971" s="27">
        <f t="shared" si="216"/>
        <v>0</v>
      </c>
    </row>
    <row r="1972" spans="1:29">
      <c r="A1972" t="s">
        <v>2086</v>
      </c>
      <c r="B1972" s="3">
        <v>45703</v>
      </c>
      <c r="C1972" t="s">
        <v>66</v>
      </c>
      <c r="D1972" t="s">
        <v>55</v>
      </c>
      <c r="E1972" t="s">
        <v>67</v>
      </c>
      <c r="F1972" t="s">
        <v>107</v>
      </c>
      <c r="G1972" s="6">
        <v>2</v>
      </c>
      <c r="H1972" s="4">
        <v>44.39</v>
      </c>
      <c r="I1972" s="4">
        <v>20.78</v>
      </c>
      <c r="J1972" s="5">
        <v>0.05</v>
      </c>
      <c r="K1972" s="6">
        <v>4</v>
      </c>
      <c r="L1972" s="6">
        <v>4</v>
      </c>
      <c r="M1972" t="s">
        <v>58</v>
      </c>
      <c r="N1972" t="s">
        <v>69</v>
      </c>
      <c r="O1972" t="s">
        <v>73</v>
      </c>
      <c r="P1972" t="str">
        <f t="shared" si="210"/>
        <v>Small Business</v>
      </c>
      <c r="Q1972" t="str">
        <f t="shared" si="211"/>
        <v>South</v>
      </c>
      <c r="R1972" t="str">
        <f>PROPER(TRIM(E1972))</f>
        <v>Office</v>
      </c>
      <c r="S1972" s="27">
        <f>IF(ISTEXT(B1972),DATEVALUE(B1972),B1972)</f>
        <v>45703</v>
      </c>
      <c r="T1972" s="27">
        <f>COUNTIF($A$2:$A$1986,A1972)</f>
        <v>1</v>
      </c>
      <c r="U1972" s="27" t="str">
        <f t="shared" si="212"/>
        <v>Laptop Stand</v>
      </c>
      <c r="V1972" s="27">
        <f t="shared" si="213"/>
        <v>84.340999999999994</v>
      </c>
      <c r="W1972" s="27">
        <f t="shared" si="214"/>
        <v>41.56</v>
      </c>
      <c r="X1972" s="27">
        <f>RawSalesTable3[[#This Row],[Revenue]]-RawSalesTable3[[#This Row],[Total_Cost]]</f>
        <v>42.780999999999992</v>
      </c>
      <c r="Y1972" s="28">
        <f>RawSalesTable3[[#This Row],[Profit]]/RawSalesTable3[[#This Row],[Revenue]]</f>
        <v>0.50723847239183784</v>
      </c>
      <c r="Z1972" s="27" t="str">
        <f>TEXT(RawSalesTable3[[#This Row],[Order_Date_Clean]],"MMM YYYY")</f>
        <v>Feb 2025</v>
      </c>
      <c r="AA1972" s="27"/>
      <c r="AB1972" s="27">
        <f t="shared" si="215"/>
        <v>0</v>
      </c>
      <c r="AC1972" s="27">
        <f t="shared" si="216"/>
        <v>0</v>
      </c>
    </row>
    <row r="1973" spans="1:29">
      <c r="A1973" t="s">
        <v>2087</v>
      </c>
      <c r="B1973" s="3">
        <v>45936</v>
      </c>
      <c r="C1973" t="s">
        <v>82</v>
      </c>
      <c r="D1973" t="s">
        <v>55</v>
      </c>
      <c r="E1973" t="s">
        <v>79</v>
      </c>
      <c r="F1973" t="s">
        <v>92</v>
      </c>
      <c r="G1973" s="6">
        <v>5</v>
      </c>
      <c r="H1973" s="4">
        <v>49.6</v>
      </c>
      <c r="I1973" s="4">
        <v>26.06</v>
      </c>
      <c r="J1973" s="5">
        <v>0</v>
      </c>
      <c r="K1973" s="6">
        <v>7</v>
      </c>
      <c r="L1973" s="6">
        <v>4</v>
      </c>
      <c r="M1973" t="s">
        <v>58</v>
      </c>
      <c r="N1973" t="s">
        <v>59</v>
      </c>
      <c r="O1973" t="s">
        <v>60</v>
      </c>
      <c r="P1973" t="str">
        <f t="shared" si="210"/>
        <v>Small Business</v>
      </c>
      <c r="Q1973" t="str">
        <f t="shared" si="211"/>
        <v>Midlands</v>
      </c>
      <c r="R1973" t="str">
        <f>PROPER(TRIM(E1973))</f>
        <v>Electronics</v>
      </c>
      <c r="S1973" s="27">
        <f>IF(ISTEXT(B1973),DATEVALUE(B1973),B1973)</f>
        <v>45936</v>
      </c>
      <c r="T1973" s="27">
        <f>COUNTIF($A$2:$A$1986,A1973)</f>
        <v>1</v>
      </c>
      <c r="U1973" s="27" t="str">
        <f t="shared" si="212"/>
        <v>Webcam</v>
      </c>
      <c r="V1973" s="27">
        <f t="shared" si="213"/>
        <v>248</v>
      </c>
      <c r="W1973" s="27">
        <f t="shared" si="214"/>
        <v>130.29999999999998</v>
      </c>
      <c r="X1973" s="27">
        <f>RawSalesTable3[[#This Row],[Revenue]]-RawSalesTable3[[#This Row],[Total_Cost]]</f>
        <v>117.70000000000002</v>
      </c>
      <c r="Y1973" s="28">
        <f>RawSalesTable3[[#This Row],[Profit]]/RawSalesTable3[[#This Row],[Revenue]]</f>
        <v>0.47459677419354845</v>
      </c>
      <c r="Z1973" s="27" t="str">
        <f>TEXT(RawSalesTable3[[#This Row],[Order_Date_Clean]],"MMM YYYY")</f>
        <v>Oct 2025</v>
      </c>
      <c r="AA1973" s="27"/>
      <c r="AB1973" s="27">
        <f t="shared" si="215"/>
        <v>0</v>
      </c>
      <c r="AC1973" s="27">
        <f t="shared" si="216"/>
        <v>0</v>
      </c>
    </row>
    <row r="1974" spans="1:29">
      <c r="A1974" t="s">
        <v>2088</v>
      </c>
      <c r="B1974" s="3">
        <v>45952</v>
      </c>
      <c r="C1974" t="s">
        <v>82</v>
      </c>
      <c r="D1974" t="s">
        <v>55</v>
      </c>
      <c r="E1974" t="s">
        <v>75</v>
      </c>
      <c r="F1974" t="s">
        <v>76</v>
      </c>
      <c r="G1974" s="6">
        <v>4</v>
      </c>
      <c r="H1974" s="4">
        <v>123.5</v>
      </c>
      <c r="I1974" s="4">
        <v>70.59</v>
      </c>
      <c r="J1974" s="5">
        <v>0</v>
      </c>
      <c r="K1974" s="6">
        <v>4</v>
      </c>
      <c r="L1974" s="6">
        <v>5</v>
      </c>
      <c r="M1974" t="s">
        <v>58</v>
      </c>
      <c r="N1974" t="s">
        <v>69</v>
      </c>
      <c r="O1974" t="s">
        <v>60</v>
      </c>
      <c r="P1974" t="str">
        <f t="shared" si="210"/>
        <v>Small Business</v>
      </c>
      <c r="Q1974" t="str">
        <f t="shared" si="211"/>
        <v>Midlands</v>
      </c>
      <c r="R1974" t="str">
        <f>PROPER(TRIM(E1974))</f>
        <v>Furniture</v>
      </c>
      <c r="S1974" s="27">
        <f>IF(ISTEXT(B1974),DATEVALUE(B1974),B1974)</f>
        <v>45952</v>
      </c>
      <c r="T1974" s="27">
        <f>COUNTIF($A$2:$A$1986,A1974)</f>
        <v>1</v>
      </c>
      <c r="U1974" s="27" t="str">
        <f t="shared" si="212"/>
        <v>Bookshelf</v>
      </c>
      <c r="V1974" s="27">
        <f t="shared" si="213"/>
        <v>494</v>
      </c>
      <c r="W1974" s="27">
        <f t="shared" si="214"/>
        <v>282.36</v>
      </c>
      <c r="X1974" s="27">
        <f>RawSalesTable3[[#This Row],[Revenue]]-RawSalesTable3[[#This Row],[Total_Cost]]</f>
        <v>211.64</v>
      </c>
      <c r="Y1974" s="28">
        <f>RawSalesTable3[[#This Row],[Profit]]/RawSalesTable3[[#This Row],[Revenue]]</f>
        <v>0.42842105263157892</v>
      </c>
      <c r="Z1974" s="27" t="str">
        <f>TEXT(RawSalesTable3[[#This Row],[Order_Date_Clean]],"MMM YYYY")</f>
        <v>Oct 2025</v>
      </c>
      <c r="AA1974" s="27"/>
      <c r="AB1974" s="27">
        <f t="shared" si="215"/>
        <v>0</v>
      </c>
      <c r="AC1974" s="27">
        <f t="shared" si="216"/>
        <v>0</v>
      </c>
    </row>
    <row r="1975" spans="1:29">
      <c r="A1975" t="s">
        <v>2089</v>
      </c>
      <c r="B1975" s="3">
        <v>45906</v>
      </c>
      <c r="C1975" t="s">
        <v>82</v>
      </c>
      <c r="D1975" t="s">
        <v>55</v>
      </c>
      <c r="E1975" t="s">
        <v>79</v>
      </c>
      <c r="F1975" t="s">
        <v>85</v>
      </c>
      <c r="G1975" s="6">
        <v>2</v>
      </c>
      <c r="H1975" s="4">
        <v>127.19</v>
      </c>
      <c r="I1975" s="4">
        <v>83.13</v>
      </c>
      <c r="J1975" s="5">
        <v>0.1</v>
      </c>
      <c r="K1975" s="6">
        <v>1</v>
      </c>
      <c r="L1975" s="6">
        <v>4</v>
      </c>
      <c r="M1975" t="s">
        <v>58</v>
      </c>
      <c r="N1975" t="s">
        <v>87</v>
      </c>
      <c r="O1975" t="s">
        <v>60</v>
      </c>
      <c r="P1975" t="str">
        <f t="shared" si="210"/>
        <v>Small Business</v>
      </c>
      <c r="Q1975" t="str">
        <f t="shared" si="211"/>
        <v>Midlands</v>
      </c>
      <c r="R1975" t="str">
        <f>PROPER(TRIM(E1975))</f>
        <v>Electronics</v>
      </c>
      <c r="S1975" s="27">
        <f>IF(ISTEXT(B1975),DATEVALUE(B1975),B1975)</f>
        <v>45906</v>
      </c>
      <c r="T1975" s="27">
        <f>COUNTIF($A$2:$A$1986,A1975)</f>
        <v>1</v>
      </c>
      <c r="U1975" s="27" t="str">
        <f t="shared" si="212"/>
        <v>SmartHome Hub</v>
      </c>
      <c r="V1975" s="27">
        <f t="shared" si="213"/>
        <v>228.94200000000001</v>
      </c>
      <c r="W1975" s="27">
        <f t="shared" si="214"/>
        <v>166.26</v>
      </c>
      <c r="X1975" s="27">
        <f>RawSalesTable3[[#This Row],[Revenue]]-RawSalesTable3[[#This Row],[Total_Cost]]</f>
        <v>62.682000000000016</v>
      </c>
      <c r="Y1975" s="28">
        <f>RawSalesTable3[[#This Row],[Profit]]/RawSalesTable3[[#This Row],[Revenue]]</f>
        <v>0.27378986817621936</v>
      </c>
      <c r="Z1975" s="27" t="str">
        <f>TEXT(RawSalesTable3[[#This Row],[Order_Date_Clean]],"MMM YYYY")</f>
        <v>Sep 2025</v>
      </c>
      <c r="AA1975" s="27"/>
      <c r="AB1975" s="27">
        <f t="shared" si="215"/>
        <v>0</v>
      </c>
      <c r="AC1975" s="27">
        <f t="shared" si="216"/>
        <v>0</v>
      </c>
    </row>
    <row r="1976" spans="1:29">
      <c r="A1976" t="s">
        <v>2090</v>
      </c>
      <c r="B1976" s="3">
        <v>46018</v>
      </c>
      <c r="C1976" t="s">
        <v>54</v>
      </c>
      <c r="D1976" t="s">
        <v>62</v>
      </c>
      <c r="E1976" t="s">
        <v>56</v>
      </c>
      <c r="F1976" t="s">
        <v>57</v>
      </c>
      <c r="G1976" s="6">
        <v>2</v>
      </c>
      <c r="H1976" s="4">
        <v>108.98</v>
      </c>
      <c r="I1976" s="4">
        <v>69.459999999999994</v>
      </c>
      <c r="J1976" s="5">
        <v>0.05</v>
      </c>
      <c r="K1976" s="6">
        <v>2</v>
      </c>
      <c r="L1976" s="6">
        <v>5</v>
      </c>
      <c r="M1976" t="s">
        <v>58</v>
      </c>
      <c r="N1976" t="s">
        <v>59</v>
      </c>
      <c r="O1976" t="s">
        <v>64</v>
      </c>
      <c r="P1976" t="str">
        <f t="shared" si="210"/>
        <v>Individual</v>
      </c>
      <c r="Q1976" t="str">
        <f t="shared" si="211"/>
        <v>North</v>
      </c>
      <c r="R1976" t="str">
        <f>PROPER(TRIM(E1976))</f>
        <v>Home &amp; Kitchen</v>
      </c>
      <c r="S1976" s="27">
        <f>IF(ISTEXT(B1976),DATEVALUE(B1976),B1976)</f>
        <v>46018</v>
      </c>
      <c r="T1976" s="27">
        <f>COUNTIF($A$2:$A$1986,A1976)</f>
        <v>1</v>
      </c>
      <c r="U1976" s="27" t="str">
        <f t="shared" si="212"/>
        <v>Air Fryer</v>
      </c>
      <c r="V1976" s="27">
        <f t="shared" si="213"/>
        <v>207.06200000000001</v>
      </c>
      <c r="W1976" s="27">
        <f t="shared" si="214"/>
        <v>138.91999999999999</v>
      </c>
      <c r="X1976" s="27">
        <f>RawSalesTable3[[#This Row],[Revenue]]-RawSalesTable3[[#This Row],[Total_Cost]]</f>
        <v>68.142000000000024</v>
      </c>
      <c r="Y1976" s="28">
        <f>RawSalesTable3[[#This Row],[Profit]]/RawSalesTable3[[#This Row],[Revenue]]</f>
        <v>0.32908983782635165</v>
      </c>
      <c r="Z1976" s="27" t="str">
        <f>TEXT(RawSalesTable3[[#This Row],[Order_Date_Clean]],"MMM YYYY")</f>
        <v>Dec 2025</v>
      </c>
      <c r="AA1976" s="27"/>
      <c r="AB1976" s="27">
        <f t="shared" si="215"/>
        <v>0</v>
      </c>
      <c r="AC1976" s="27">
        <f t="shared" si="216"/>
        <v>0</v>
      </c>
    </row>
    <row r="1977" spans="1:29">
      <c r="A1977" t="s">
        <v>2091</v>
      </c>
      <c r="B1977" s="3">
        <v>46015</v>
      </c>
      <c r="C1977" t="s">
        <v>78</v>
      </c>
      <c r="D1977" t="s">
        <v>62</v>
      </c>
      <c r="E1977" t="s">
        <v>75</v>
      </c>
      <c r="F1977" t="s">
        <v>97</v>
      </c>
      <c r="G1977" s="6">
        <v>1</v>
      </c>
      <c r="H1977" s="4">
        <v>87.49</v>
      </c>
      <c r="I1977" s="4">
        <v>54.89</v>
      </c>
      <c r="J1977" s="5">
        <v>0.15000000000000002</v>
      </c>
      <c r="K1977" s="6">
        <v>7</v>
      </c>
      <c r="L1977" s="6">
        <v>3</v>
      </c>
      <c r="M1977" t="s">
        <v>58</v>
      </c>
      <c r="N1977" t="s">
        <v>59</v>
      </c>
      <c r="O1977" t="s">
        <v>64</v>
      </c>
      <c r="P1977" t="str">
        <f t="shared" si="210"/>
        <v>Individual</v>
      </c>
      <c r="Q1977" t="str">
        <f t="shared" si="211"/>
        <v>London</v>
      </c>
      <c r="R1977" t="str">
        <f>PROPER(TRIM(E1977))</f>
        <v>Furniture</v>
      </c>
      <c r="S1977" s="27">
        <f>IF(ISTEXT(B1977),DATEVALUE(B1977),B1977)</f>
        <v>46015</v>
      </c>
      <c r="T1977" s="27">
        <f>COUNTIF($A$2:$A$1986,A1977)</f>
        <v>1</v>
      </c>
      <c r="U1977" s="27" t="str">
        <f t="shared" si="212"/>
        <v>Side Table</v>
      </c>
      <c r="V1977" s="27">
        <f t="shared" si="213"/>
        <v>74.366499999999988</v>
      </c>
      <c r="W1977" s="27">
        <f t="shared" si="214"/>
        <v>54.89</v>
      </c>
      <c r="X1977" s="27">
        <f>RawSalesTable3[[#This Row],[Revenue]]-RawSalesTable3[[#This Row],[Total_Cost]]</f>
        <v>19.476499999999987</v>
      </c>
      <c r="Y1977" s="28">
        <f>RawSalesTable3[[#This Row],[Profit]]/RawSalesTable3[[#This Row],[Revenue]]</f>
        <v>0.26189883885889464</v>
      </c>
      <c r="Z1977" s="27" t="str">
        <f>TEXT(RawSalesTable3[[#This Row],[Order_Date_Clean]],"MMM YYYY")</f>
        <v>Dec 2025</v>
      </c>
      <c r="AA1977" s="27"/>
      <c r="AB1977" s="27">
        <f t="shared" si="215"/>
        <v>0</v>
      </c>
      <c r="AC1977" s="27">
        <f t="shared" si="216"/>
        <v>0</v>
      </c>
    </row>
    <row r="1978" spans="1:29">
      <c r="A1978" t="s">
        <v>2092</v>
      </c>
      <c r="B1978" s="3">
        <v>45885</v>
      </c>
      <c r="C1978" t="s">
        <v>78</v>
      </c>
      <c r="D1978" t="s">
        <v>62</v>
      </c>
      <c r="E1978" t="s">
        <v>79</v>
      </c>
      <c r="F1978" t="s">
        <v>115</v>
      </c>
      <c r="G1978" s="6">
        <v>1</v>
      </c>
      <c r="H1978" s="4">
        <v>58.51</v>
      </c>
      <c r="I1978" s="4">
        <v>34.119999999999997</v>
      </c>
      <c r="J1978" s="5">
        <v>0</v>
      </c>
      <c r="K1978" s="6">
        <v>5</v>
      </c>
      <c r="L1978" s="6">
        <v>4</v>
      </c>
      <c r="M1978" t="s">
        <v>58</v>
      </c>
      <c r="N1978" t="s">
        <v>59</v>
      </c>
      <c r="O1978" t="s">
        <v>64</v>
      </c>
      <c r="P1978" t="str">
        <f t="shared" si="210"/>
        <v>Individual</v>
      </c>
      <c r="Q1978" t="str">
        <f t="shared" si="211"/>
        <v>London</v>
      </c>
      <c r="R1978" t="str">
        <f>PROPER(TRIM(E1978))</f>
        <v>Electronics</v>
      </c>
      <c r="S1978" s="27">
        <f>IF(ISTEXT(B1978),DATEVALUE(B1978),B1978)</f>
        <v>45885</v>
      </c>
      <c r="T1978" s="27">
        <f>COUNTIF($A$2:$A$1986,A1978)</f>
        <v>1</v>
      </c>
      <c r="U1978" s="27" t="str">
        <f t="shared" si="212"/>
        <v>Wireless Headset</v>
      </c>
      <c r="V1978" s="27">
        <f t="shared" si="213"/>
        <v>58.51</v>
      </c>
      <c r="W1978" s="27">
        <f t="shared" si="214"/>
        <v>34.119999999999997</v>
      </c>
      <c r="X1978" s="27">
        <f>RawSalesTable3[[#This Row],[Revenue]]-RawSalesTable3[[#This Row],[Total_Cost]]</f>
        <v>24.39</v>
      </c>
      <c r="Y1978" s="28">
        <f>RawSalesTable3[[#This Row],[Profit]]/RawSalesTable3[[#This Row],[Revenue]]</f>
        <v>0.41685182020167494</v>
      </c>
      <c r="Z1978" s="27" t="str">
        <f>TEXT(RawSalesTable3[[#This Row],[Order_Date_Clean]],"MMM YYYY")</f>
        <v>Aug 2025</v>
      </c>
      <c r="AA1978" s="27"/>
      <c r="AB1978" s="27">
        <f t="shared" si="215"/>
        <v>0</v>
      </c>
      <c r="AC1978" s="27">
        <f t="shared" si="216"/>
        <v>0</v>
      </c>
    </row>
    <row r="1979" spans="1:29">
      <c r="A1979" t="s">
        <v>2093</v>
      </c>
      <c r="B1979" s="3">
        <v>45880</v>
      </c>
      <c r="C1979" t="s">
        <v>78</v>
      </c>
      <c r="D1979" t="s">
        <v>62</v>
      </c>
      <c r="E1979" t="s">
        <v>56</v>
      </c>
      <c r="F1979" t="s">
        <v>57</v>
      </c>
      <c r="G1979" s="6">
        <v>2</v>
      </c>
      <c r="H1979" s="4">
        <v>112.05</v>
      </c>
      <c r="I1979" s="4">
        <v>69.64</v>
      </c>
      <c r="J1979" s="5">
        <v>0.05</v>
      </c>
      <c r="K1979" s="6">
        <v>3</v>
      </c>
      <c r="L1979" s="6">
        <v>4</v>
      </c>
      <c r="M1979" t="s">
        <v>58</v>
      </c>
      <c r="N1979" t="s">
        <v>59</v>
      </c>
      <c r="O1979" t="s">
        <v>60</v>
      </c>
      <c r="P1979" t="str">
        <f t="shared" si="210"/>
        <v>Individual</v>
      </c>
      <c r="Q1979" t="str">
        <f t="shared" si="211"/>
        <v>London</v>
      </c>
      <c r="R1979" t="str">
        <f>PROPER(TRIM(E1979))</f>
        <v>Home &amp; Kitchen</v>
      </c>
      <c r="S1979" s="27">
        <f>IF(ISTEXT(B1979),DATEVALUE(B1979),B1979)</f>
        <v>45880</v>
      </c>
      <c r="T1979" s="27">
        <f>COUNTIF($A$2:$A$1986,A1979)</f>
        <v>1</v>
      </c>
      <c r="U1979" s="27" t="str">
        <f t="shared" si="212"/>
        <v>Air Fryer</v>
      </c>
      <c r="V1979" s="27">
        <f t="shared" si="213"/>
        <v>212.89499999999998</v>
      </c>
      <c r="W1979" s="27">
        <f t="shared" si="214"/>
        <v>139.28</v>
      </c>
      <c r="X1979" s="27">
        <f>RawSalesTable3[[#This Row],[Revenue]]-RawSalesTable3[[#This Row],[Total_Cost]]</f>
        <v>73.614999999999981</v>
      </c>
      <c r="Y1979" s="28">
        <f>RawSalesTable3[[#This Row],[Profit]]/RawSalesTable3[[#This Row],[Revenue]]</f>
        <v>0.34578078395453149</v>
      </c>
      <c r="Z1979" s="27" t="str">
        <f>TEXT(RawSalesTable3[[#This Row],[Order_Date_Clean]],"MMM YYYY")</f>
        <v>Aug 2025</v>
      </c>
      <c r="AA1979" s="27"/>
      <c r="AB1979" s="27">
        <f t="shared" si="215"/>
        <v>0</v>
      </c>
      <c r="AC1979" s="27">
        <f t="shared" si="216"/>
        <v>0</v>
      </c>
    </row>
    <row r="1980" spans="1:29">
      <c r="A1980" t="s">
        <v>2094</v>
      </c>
      <c r="B1980" s="3">
        <v>45859</v>
      </c>
      <c r="C1980" t="s">
        <v>66</v>
      </c>
      <c r="D1980" t="s">
        <v>62</v>
      </c>
      <c r="E1980" t="s">
        <v>56</v>
      </c>
      <c r="F1980" t="s">
        <v>83</v>
      </c>
      <c r="G1980" s="6">
        <v>1</v>
      </c>
      <c r="H1980" s="4">
        <v>65.849999999999994</v>
      </c>
      <c r="I1980" s="4">
        <v>34.42</v>
      </c>
      <c r="J1980" s="5">
        <v>0.05</v>
      </c>
      <c r="K1980" s="6">
        <v>3</v>
      </c>
      <c r="L1980" s="6">
        <v>4</v>
      </c>
      <c r="M1980" t="s">
        <v>58</v>
      </c>
      <c r="N1980" t="s">
        <v>59</v>
      </c>
      <c r="O1980" t="s">
        <v>73</v>
      </c>
      <c r="P1980" t="str">
        <f t="shared" si="210"/>
        <v>Individual</v>
      </c>
      <c r="Q1980" t="str">
        <f t="shared" si="211"/>
        <v>South</v>
      </c>
      <c r="R1980" t="str">
        <f>PROPER(TRIM(E1980))</f>
        <v>Home &amp; Kitchen</v>
      </c>
      <c r="S1980" s="27">
        <f>IF(ISTEXT(B1980),DATEVALUE(B1980),B1980)</f>
        <v>45859</v>
      </c>
      <c r="T1980" s="27">
        <f>COUNTIF($A$2:$A$1986,A1980)</f>
        <v>1</v>
      </c>
      <c r="U1980" s="27" t="str">
        <f t="shared" si="212"/>
        <v>Blender</v>
      </c>
      <c r="V1980" s="27">
        <f t="shared" si="213"/>
        <v>62.55749999999999</v>
      </c>
      <c r="W1980" s="27">
        <f t="shared" si="214"/>
        <v>34.42</v>
      </c>
      <c r="X1980" s="27">
        <f>RawSalesTable3[[#This Row],[Revenue]]-RawSalesTable3[[#This Row],[Total_Cost]]</f>
        <v>28.137499999999989</v>
      </c>
      <c r="Y1980" s="28">
        <f>RawSalesTable3[[#This Row],[Profit]]/RawSalesTable3[[#This Row],[Revenue]]</f>
        <v>0.4497861966990368</v>
      </c>
      <c r="Z1980" s="27" t="str">
        <f>TEXT(RawSalesTable3[[#This Row],[Order_Date_Clean]],"MMM YYYY")</f>
        <v>Jul 2025</v>
      </c>
      <c r="AA1980" s="27"/>
      <c r="AB1980" s="27">
        <f t="shared" si="215"/>
        <v>0</v>
      </c>
      <c r="AC1980" s="27">
        <f t="shared" si="216"/>
        <v>0</v>
      </c>
    </row>
    <row r="1981" spans="1:29">
      <c r="A1981" t="s">
        <v>2095</v>
      </c>
      <c r="B1981" s="3">
        <v>45710</v>
      </c>
      <c r="C1981" t="s">
        <v>66</v>
      </c>
      <c r="D1981" t="s">
        <v>62</v>
      </c>
      <c r="E1981" t="s">
        <v>79</v>
      </c>
      <c r="F1981" t="s">
        <v>85</v>
      </c>
      <c r="G1981" s="6">
        <v>1</v>
      </c>
      <c r="H1981" s="4">
        <v>130.18</v>
      </c>
      <c r="I1981" s="4">
        <v>86.03</v>
      </c>
      <c r="J1981" s="5">
        <v>0.1</v>
      </c>
      <c r="K1981" s="6">
        <v>3</v>
      </c>
      <c r="L1981" s="6">
        <v>4</v>
      </c>
      <c r="M1981" t="s">
        <v>58</v>
      </c>
      <c r="N1981" t="s">
        <v>87</v>
      </c>
      <c r="O1981" t="s">
        <v>73</v>
      </c>
      <c r="P1981" t="str">
        <f t="shared" si="210"/>
        <v>Individual</v>
      </c>
      <c r="Q1981" t="str">
        <f t="shared" si="211"/>
        <v>South</v>
      </c>
      <c r="R1981" t="str">
        <f>PROPER(TRIM(E1981))</f>
        <v>Electronics</v>
      </c>
      <c r="S1981" s="27">
        <f>IF(ISTEXT(B1981),DATEVALUE(B1981),B1981)</f>
        <v>45710</v>
      </c>
      <c r="T1981" s="27">
        <f>COUNTIF($A$2:$A$1986,A1981)</f>
        <v>1</v>
      </c>
      <c r="U1981" s="27" t="str">
        <f t="shared" si="212"/>
        <v>SmartHome Hub</v>
      </c>
      <c r="V1981" s="27">
        <f t="shared" si="213"/>
        <v>117.16200000000001</v>
      </c>
      <c r="W1981" s="27">
        <f t="shared" si="214"/>
        <v>86.03</v>
      </c>
      <c r="X1981" s="27">
        <f>RawSalesTable3[[#This Row],[Revenue]]-RawSalesTable3[[#This Row],[Total_Cost]]</f>
        <v>31.132000000000005</v>
      </c>
      <c r="Y1981" s="28">
        <f>RawSalesTable3[[#This Row],[Profit]]/RawSalesTable3[[#This Row],[Revenue]]</f>
        <v>0.2657175534729691</v>
      </c>
      <c r="Z1981" s="27" t="str">
        <f>TEXT(RawSalesTable3[[#This Row],[Order_Date_Clean]],"MMM YYYY")</f>
        <v>Feb 2025</v>
      </c>
      <c r="AA1981" s="27"/>
      <c r="AB1981" s="27">
        <f t="shared" si="215"/>
        <v>0</v>
      </c>
      <c r="AC1981" s="27">
        <f t="shared" si="216"/>
        <v>0</v>
      </c>
    </row>
    <row r="1982" spans="1:29">
      <c r="A1982" t="s">
        <v>2096</v>
      </c>
      <c r="B1982" s="3">
        <v>45983</v>
      </c>
      <c r="C1982" t="s">
        <v>54</v>
      </c>
      <c r="D1982" t="s">
        <v>62</v>
      </c>
      <c r="E1982" t="s">
        <v>79</v>
      </c>
      <c r="F1982" t="s">
        <v>115</v>
      </c>
      <c r="G1982" s="6">
        <v>1</v>
      </c>
      <c r="H1982" s="4">
        <v>59.18</v>
      </c>
      <c r="I1982" s="4">
        <v>35.29</v>
      </c>
      <c r="J1982" s="5">
        <v>0.05</v>
      </c>
      <c r="K1982" s="6">
        <v>2</v>
      </c>
      <c r="L1982" s="6">
        <v>4</v>
      </c>
      <c r="M1982" t="s">
        <v>58</v>
      </c>
      <c r="N1982" t="s">
        <v>59</v>
      </c>
      <c r="O1982" t="s">
        <v>64</v>
      </c>
      <c r="P1982" t="str">
        <f t="shared" si="210"/>
        <v>Individual</v>
      </c>
      <c r="Q1982" t="str">
        <f t="shared" si="211"/>
        <v>North</v>
      </c>
      <c r="R1982" t="str">
        <f>PROPER(TRIM(E1982))</f>
        <v>Electronics</v>
      </c>
      <c r="S1982" s="27">
        <f>IF(ISTEXT(B1982),DATEVALUE(B1982),B1982)</f>
        <v>45983</v>
      </c>
      <c r="T1982" s="27">
        <f>COUNTIF($A$2:$A$1986,A1982)</f>
        <v>1</v>
      </c>
      <c r="U1982" s="27" t="str">
        <f t="shared" si="212"/>
        <v>Wireless Headset</v>
      </c>
      <c r="V1982" s="27">
        <f t="shared" si="213"/>
        <v>56.220999999999997</v>
      </c>
      <c r="W1982" s="27">
        <f t="shared" si="214"/>
        <v>35.29</v>
      </c>
      <c r="X1982" s="27">
        <f>RawSalesTable3[[#This Row],[Revenue]]-RawSalesTable3[[#This Row],[Total_Cost]]</f>
        <v>20.930999999999997</v>
      </c>
      <c r="Y1982" s="28">
        <f>RawSalesTable3[[#This Row],[Profit]]/RawSalesTable3[[#This Row],[Revenue]]</f>
        <v>0.37229860728197645</v>
      </c>
      <c r="Z1982" s="27" t="str">
        <f>TEXT(RawSalesTable3[[#This Row],[Order_Date_Clean]],"MMM YYYY")</f>
        <v>Nov 2025</v>
      </c>
      <c r="AA1982" s="27"/>
      <c r="AB1982" s="27">
        <f t="shared" si="215"/>
        <v>0</v>
      </c>
      <c r="AC1982" s="27">
        <f t="shared" si="216"/>
        <v>0</v>
      </c>
    </row>
    <row r="1983" spans="1:29">
      <c r="A1983" t="s">
        <v>2097</v>
      </c>
      <c r="B1983" s="3">
        <v>45804</v>
      </c>
      <c r="C1983" t="s">
        <v>2098</v>
      </c>
      <c r="D1983" t="s">
        <v>62</v>
      </c>
      <c r="E1983" t="s">
        <v>67</v>
      </c>
      <c r="F1983" t="s">
        <v>94</v>
      </c>
      <c r="G1983" s="6">
        <v>2</v>
      </c>
      <c r="H1983" s="4">
        <v>35.590000000000003</v>
      </c>
      <c r="I1983" s="4">
        <v>16.850000000000001</v>
      </c>
      <c r="J1983" s="5">
        <v>0</v>
      </c>
      <c r="K1983" s="6">
        <v>4</v>
      </c>
      <c r="L1983" s="6">
        <v>4</v>
      </c>
      <c r="M1983" t="s">
        <v>58</v>
      </c>
      <c r="N1983" t="s">
        <v>59</v>
      </c>
      <c r="O1983" t="s">
        <v>60</v>
      </c>
      <c r="P1983" t="str">
        <f t="shared" si="210"/>
        <v>Individual</v>
      </c>
      <c r="Q1983" t="str">
        <f t="shared" si="211"/>
        <v>South</v>
      </c>
      <c r="R1983" t="str">
        <f>PROPER(TRIM(E1983))</f>
        <v>Office</v>
      </c>
      <c r="S1983" s="27">
        <f>IF(ISTEXT(B1983),DATEVALUE(B1983),B1983)</f>
        <v>45804</v>
      </c>
      <c r="T1983" s="27">
        <f>COUNTIF($A$2:$A$1986,A1983)</f>
        <v>1</v>
      </c>
      <c r="U1983" s="27" t="str">
        <f t="shared" si="212"/>
        <v>Wireless Mouse</v>
      </c>
      <c r="V1983" s="27">
        <f t="shared" si="213"/>
        <v>71.180000000000007</v>
      </c>
      <c r="W1983" s="27">
        <f t="shared" si="214"/>
        <v>33.700000000000003</v>
      </c>
      <c r="X1983" s="27">
        <f>RawSalesTable3[[#This Row],[Revenue]]-RawSalesTable3[[#This Row],[Total_Cost]]</f>
        <v>37.480000000000004</v>
      </c>
      <c r="Y1983" s="28">
        <f>RawSalesTable3[[#This Row],[Profit]]/RawSalesTable3[[#This Row],[Revenue]]</f>
        <v>0.5265524023602135</v>
      </c>
      <c r="Z1983" s="27" t="str">
        <f>TEXT(RawSalesTable3[[#This Row],[Order_Date_Clean]],"MMM YYYY")</f>
        <v>May 2025</v>
      </c>
      <c r="AA1983" s="27"/>
      <c r="AB1983" s="27">
        <f t="shared" si="215"/>
        <v>0</v>
      </c>
      <c r="AC1983" s="27">
        <f t="shared" si="216"/>
        <v>0</v>
      </c>
    </row>
    <row r="1984" spans="1:29">
      <c r="A1984" t="s">
        <v>2099</v>
      </c>
      <c r="B1984" s="3">
        <v>46009</v>
      </c>
      <c r="C1984" t="s">
        <v>66</v>
      </c>
      <c r="D1984" t="s">
        <v>62</v>
      </c>
      <c r="E1984" t="s">
        <v>79</v>
      </c>
      <c r="F1984" t="s">
        <v>80</v>
      </c>
      <c r="G1984" s="6">
        <v>2</v>
      </c>
      <c r="H1984" s="4">
        <v>75.010000000000005</v>
      </c>
      <c r="I1984" s="4">
        <v>41.83</v>
      </c>
      <c r="J1984" s="5">
        <v>0.2</v>
      </c>
      <c r="K1984" s="6">
        <v>3</v>
      </c>
      <c r="L1984" s="6">
        <v>4</v>
      </c>
      <c r="M1984" t="s">
        <v>58</v>
      </c>
      <c r="N1984" t="s">
        <v>59</v>
      </c>
      <c r="O1984" t="s">
        <v>64</v>
      </c>
      <c r="P1984" t="str">
        <f t="shared" si="210"/>
        <v>Individual</v>
      </c>
      <c r="Q1984" t="str">
        <f t="shared" si="211"/>
        <v>South</v>
      </c>
      <c r="R1984" t="str">
        <f>PROPER(TRIM(E1984))</f>
        <v>Electronics</v>
      </c>
      <c r="S1984" s="27">
        <f>IF(ISTEXT(B1984),DATEVALUE(B1984),B1984)</f>
        <v>46009</v>
      </c>
      <c r="T1984" s="27">
        <f>COUNTIF($A$2:$A$1986,A1984)</f>
        <v>1</v>
      </c>
      <c r="U1984" s="27" t="str">
        <f t="shared" si="212"/>
        <v>Portable Speaker</v>
      </c>
      <c r="V1984" s="27">
        <f t="shared" si="213"/>
        <v>120.01600000000002</v>
      </c>
      <c r="W1984" s="27">
        <f t="shared" si="214"/>
        <v>83.66</v>
      </c>
      <c r="X1984" s="27">
        <f>RawSalesTable3[[#This Row],[Revenue]]-RawSalesTable3[[#This Row],[Total_Cost]]</f>
        <v>36.356000000000023</v>
      </c>
      <c r="Y1984" s="28">
        <f>RawSalesTable3[[#This Row],[Profit]]/RawSalesTable3[[#This Row],[Revenue]]</f>
        <v>0.30292627649646731</v>
      </c>
      <c r="Z1984" s="27" t="str">
        <f>TEXT(RawSalesTable3[[#This Row],[Order_Date_Clean]],"MMM YYYY")</f>
        <v>Dec 2025</v>
      </c>
      <c r="AA1984" s="27"/>
      <c r="AB1984" s="27">
        <f t="shared" si="215"/>
        <v>0</v>
      </c>
      <c r="AC1984" s="27">
        <f t="shared" si="216"/>
        <v>0</v>
      </c>
    </row>
    <row r="1985" spans="1:29">
      <c r="A1985" t="s">
        <v>2100</v>
      </c>
      <c r="B1985" s="3">
        <v>45754</v>
      </c>
      <c r="C1985" t="s">
        <v>82</v>
      </c>
      <c r="D1985" t="s">
        <v>62</v>
      </c>
      <c r="E1985" t="s">
        <v>56</v>
      </c>
      <c r="F1985" t="s">
        <v>63</v>
      </c>
      <c r="G1985" s="6">
        <v>1</v>
      </c>
      <c r="H1985" s="4">
        <v>39.03</v>
      </c>
      <c r="I1985" s="4">
        <v>19.920000000000002</v>
      </c>
      <c r="J1985" s="5">
        <v>0</v>
      </c>
      <c r="K1985" s="6">
        <v>3</v>
      </c>
      <c r="L1985" s="6">
        <v>4</v>
      </c>
      <c r="M1985" t="s">
        <v>58</v>
      </c>
      <c r="N1985" t="s">
        <v>87</v>
      </c>
      <c r="O1985" t="s">
        <v>64</v>
      </c>
      <c r="P1985" t="str">
        <f t="shared" si="210"/>
        <v>Individual</v>
      </c>
      <c r="Q1985" t="str">
        <f t="shared" si="211"/>
        <v>Midlands</v>
      </c>
      <c r="R1985" t="str">
        <f>PROPER(TRIM(E1985))</f>
        <v>Home &amp; Kitchen</v>
      </c>
      <c r="S1985" s="27">
        <f>IF(ISTEXT(B1985),DATEVALUE(B1985),B1985)</f>
        <v>45754</v>
      </c>
      <c r="T1985" s="27">
        <f>COUNTIF($A$2:$A$1986,A1985)</f>
        <v>1</v>
      </c>
      <c r="U1985" s="27" t="str">
        <f t="shared" si="212"/>
        <v>Electric Kettle</v>
      </c>
      <c r="V1985" s="27">
        <f t="shared" si="213"/>
        <v>39.03</v>
      </c>
      <c r="W1985" s="27">
        <f t="shared" si="214"/>
        <v>19.920000000000002</v>
      </c>
      <c r="X1985" s="27">
        <f>RawSalesTable3[[#This Row],[Revenue]]-RawSalesTable3[[#This Row],[Total_Cost]]</f>
        <v>19.11</v>
      </c>
      <c r="Y1985" s="28">
        <f>RawSalesTable3[[#This Row],[Profit]]/RawSalesTable3[[#This Row],[Revenue]]</f>
        <v>0.48962336664104533</v>
      </c>
      <c r="Z1985" s="27" t="str">
        <f>TEXT(RawSalesTable3[[#This Row],[Order_Date_Clean]],"MMM YYYY")</f>
        <v>Apr 2025</v>
      </c>
      <c r="AA1985" s="27"/>
      <c r="AB1985" s="27">
        <f t="shared" si="215"/>
        <v>0</v>
      </c>
      <c r="AC1985" s="27">
        <f t="shared" si="216"/>
        <v>0</v>
      </c>
    </row>
    <row r="1986" spans="1:29">
      <c r="A1986" t="s">
        <v>2101</v>
      </c>
      <c r="B1986" s="3">
        <v>45856</v>
      </c>
      <c r="C1986" t="s">
        <v>82</v>
      </c>
      <c r="D1986" t="s">
        <v>129</v>
      </c>
      <c r="E1986" t="s">
        <v>56</v>
      </c>
      <c r="F1986" t="s">
        <v>57</v>
      </c>
      <c r="G1986" s="6">
        <v>5</v>
      </c>
      <c r="H1986" s="4">
        <v>111.49</v>
      </c>
      <c r="I1986" s="4">
        <v>69.91</v>
      </c>
      <c r="J1986" s="5">
        <v>0.05</v>
      </c>
      <c r="K1986" s="6">
        <v>3</v>
      </c>
      <c r="L1986" s="6">
        <v>5</v>
      </c>
      <c r="M1986" t="s">
        <v>58</v>
      </c>
      <c r="N1986" t="s">
        <v>87</v>
      </c>
      <c r="O1986" t="s">
        <v>73</v>
      </c>
      <c r="P1986" t="str">
        <f t="shared" si="210"/>
        <v>Corporate</v>
      </c>
      <c r="Q1986" t="str">
        <f t="shared" si="211"/>
        <v>Midlands</v>
      </c>
      <c r="R1986" t="str">
        <f>PROPER(TRIM(E1986))</f>
        <v>Home &amp; Kitchen</v>
      </c>
      <c r="S1986" s="27">
        <f>IF(ISTEXT(B1986),DATEVALUE(B1986),B1986)</f>
        <v>45856</v>
      </c>
      <c r="T1986" s="27">
        <f>COUNTIF($A$2:$A$1986,A1986)</f>
        <v>1</v>
      </c>
      <c r="U1986" s="27" t="str">
        <f t="shared" si="212"/>
        <v>Air Fryer</v>
      </c>
      <c r="V1986" s="27">
        <f t="shared" si="213"/>
        <v>529.57749999999987</v>
      </c>
      <c r="W1986" s="27">
        <f t="shared" si="214"/>
        <v>349.54999999999995</v>
      </c>
      <c r="X1986" s="27">
        <f>RawSalesTable3[[#This Row],[Revenue]]-RawSalesTable3[[#This Row],[Total_Cost]]</f>
        <v>180.02749999999992</v>
      </c>
      <c r="Y1986" s="28">
        <f>RawSalesTable3[[#This Row],[Profit]]/RawSalesTable3[[#This Row],[Revenue]]</f>
        <v>0.33994552261000505</v>
      </c>
      <c r="Z1986" s="27" t="str">
        <f>TEXT(RawSalesTable3[[#This Row],[Order_Date_Clean]],"MMM YYYY")</f>
        <v>Jul 2025</v>
      </c>
      <c r="AA1986" s="27"/>
      <c r="AB1986" s="27">
        <f t="shared" ref="AB1986" si="217">SUMIF($Z:$Z,AA1986,$V:$V)</f>
        <v>0</v>
      </c>
      <c r="AC1986" s="27">
        <f t="shared" si="216"/>
        <v>0</v>
      </c>
    </row>
    <row r="1987" spans="1:29">
      <c r="Y1987" s="29"/>
    </row>
    <row r="1988" spans="1:29">
      <c r="Y1988" s="29"/>
    </row>
    <row r="1989" spans="1:29">
      <c r="Y1989" s="29"/>
    </row>
    <row r="1990" spans="1:29">
      <c r="Y1990" s="29"/>
    </row>
    <row r="1991" spans="1:29">
      <c r="Y1991" s="29"/>
    </row>
  </sheetData>
  <phoneticPr fontId="7" type="noConversion"/>
  <conditionalFormatting sqref="K2:K1986">
    <cfRule type="colorScale" priority="1">
      <colorScale>
        <cfvo type="min"/>
        <cfvo type="percentile" val="50"/>
        <cfvo type="max"/>
        <color rgb="FFE2F0D9"/>
        <color rgb="FFFFF2CC"/>
        <color rgb="FFF4CCCC"/>
      </colorScale>
    </cfRule>
  </conditionalFormatting>
  <conditionalFormatting sqref="L2:L1986">
    <cfRule type="colorScale" priority="2">
      <colorScale>
        <cfvo type="min"/>
        <cfvo type="percentile" val="50"/>
        <cfvo type="max"/>
        <color rgb="FFF4CCCC"/>
        <color rgb="FFFFF2CC"/>
        <color rgb="FFE2F0D9"/>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D741-81EF-7041-989C-575CF4F20F93}">
  <dimension ref="A1:L103"/>
  <sheetViews>
    <sheetView workbookViewId="0">
      <selection activeCell="J16" sqref="J16:K32"/>
    </sheetView>
  </sheetViews>
  <sheetFormatPr baseColWidth="10" defaultRowHeight="14"/>
  <cols>
    <col min="1" max="1" width="18" customWidth="1"/>
    <col min="2" max="2" width="20.5" customWidth="1"/>
    <col min="3" max="3" width="16" customWidth="1"/>
    <col min="4" max="4" width="12.1640625" customWidth="1"/>
    <col min="10" max="10" width="25.1640625" customWidth="1"/>
    <col min="11" max="11" width="21.33203125" customWidth="1"/>
    <col min="12" max="12" width="18.33203125" customWidth="1"/>
  </cols>
  <sheetData>
    <row r="1" spans="1:12" ht="15">
      <c r="A1" s="31" t="s">
        <v>40</v>
      </c>
      <c r="B1" s="31" t="s">
        <v>23</v>
      </c>
      <c r="C1" s="31" t="s">
        <v>27</v>
      </c>
      <c r="D1" s="31" t="s">
        <v>29</v>
      </c>
      <c r="K1" t="s">
        <v>2196</v>
      </c>
    </row>
    <row r="2" spans="1:12">
      <c r="A2" t="s">
        <v>54</v>
      </c>
      <c r="B2" s="32">
        <v>70804.12</v>
      </c>
      <c r="C2" s="32">
        <v>26840.45</v>
      </c>
      <c r="D2" s="28">
        <f>C2/B2</f>
        <v>0.37908034165243493</v>
      </c>
      <c r="J2" s="34" t="s">
        <v>2197</v>
      </c>
      <c r="K2" s="34" t="s">
        <v>2198</v>
      </c>
    </row>
    <row r="3" spans="1:12">
      <c r="A3" t="s">
        <v>66</v>
      </c>
      <c r="B3" s="32">
        <v>94091.64</v>
      </c>
      <c r="C3" s="32">
        <v>32935.14</v>
      </c>
      <c r="D3" s="28">
        <f>C3/B3</f>
        <v>0.35003258525412034</v>
      </c>
      <c r="J3" t="s">
        <v>54</v>
      </c>
      <c r="K3" s="29">
        <v>7.9799999999999996E-2</v>
      </c>
      <c r="L3" t="s">
        <v>2199</v>
      </c>
    </row>
    <row r="4" spans="1:12">
      <c r="A4" t="s">
        <v>82</v>
      </c>
      <c r="B4" s="32">
        <v>71983.33</v>
      </c>
      <c r="C4" s="32">
        <v>27769.32</v>
      </c>
      <c r="D4" s="28">
        <f>C4/B4</f>
        <v>0.38577431747044766</v>
      </c>
      <c r="J4" t="s">
        <v>66</v>
      </c>
      <c r="K4" s="29">
        <v>0.1176</v>
      </c>
      <c r="L4" t="s">
        <v>2200</v>
      </c>
    </row>
    <row r="5" spans="1:12">
      <c r="A5" t="s">
        <v>78</v>
      </c>
      <c r="B5" s="32">
        <v>94673.78</v>
      </c>
      <c r="C5" s="32">
        <v>36002.339999999997</v>
      </c>
      <c r="D5" s="28">
        <f>C5/B5</f>
        <v>0.38027783405289189</v>
      </c>
      <c r="J5" t="s">
        <v>82</v>
      </c>
      <c r="K5" s="29">
        <v>7.7799999999999994E-2</v>
      </c>
      <c r="L5" t="s">
        <v>2201</v>
      </c>
    </row>
    <row r="6" spans="1:12">
      <c r="A6" s="1"/>
      <c r="D6" s="28"/>
      <c r="J6" t="s">
        <v>78</v>
      </c>
      <c r="K6" s="29">
        <v>7.51E-2</v>
      </c>
      <c r="L6" t="s">
        <v>2202</v>
      </c>
    </row>
    <row r="9" spans="1:12">
      <c r="J9" s="34" t="s">
        <v>2181</v>
      </c>
      <c r="K9" s="34" t="s">
        <v>33</v>
      </c>
    </row>
    <row r="10" spans="1:12">
      <c r="J10" t="s">
        <v>79</v>
      </c>
      <c r="K10" s="29">
        <v>0.1169</v>
      </c>
      <c r="L10" t="s">
        <v>2203</v>
      </c>
    </row>
    <row r="11" spans="1:12">
      <c r="J11" t="s">
        <v>67</v>
      </c>
      <c r="K11" s="29">
        <v>8.5999999999999993E-2</v>
      </c>
      <c r="L11" t="s">
        <v>2204</v>
      </c>
    </row>
    <row r="12" spans="1:12">
      <c r="J12" t="s">
        <v>56</v>
      </c>
      <c r="K12" s="29">
        <v>7.17E-2</v>
      </c>
      <c r="L12" t="s">
        <v>2205</v>
      </c>
    </row>
    <row r="13" spans="1:12">
      <c r="B13" t="s">
        <v>2185</v>
      </c>
      <c r="J13" t="s">
        <v>75</v>
      </c>
      <c r="K13" s="29">
        <v>6.9500000000000006E-2</v>
      </c>
      <c r="L13" t="s">
        <v>2206</v>
      </c>
    </row>
    <row r="14" spans="1:12">
      <c r="A14" s="34" t="s">
        <v>2181</v>
      </c>
      <c r="B14" s="34" t="s">
        <v>23</v>
      </c>
      <c r="C14" s="34" t="s">
        <v>27</v>
      </c>
      <c r="D14" s="34" t="s">
        <v>2182</v>
      </c>
    </row>
    <row r="15" spans="1:12">
      <c r="A15" t="s">
        <v>79</v>
      </c>
      <c r="B15" s="32">
        <v>101538.3</v>
      </c>
      <c r="C15" s="32">
        <v>36267.85</v>
      </c>
      <c r="D15" s="28">
        <f>C15/B15</f>
        <v>0.35718393945929761</v>
      </c>
    </row>
    <row r="16" spans="1:12">
      <c r="A16" t="s">
        <v>67</v>
      </c>
      <c r="B16" s="32">
        <v>45243.49</v>
      </c>
      <c r="C16" s="32">
        <v>20811.990000000002</v>
      </c>
      <c r="D16" s="28">
        <f>C16/B16</f>
        <v>0.4599996596195387</v>
      </c>
      <c r="J16" s="34" t="s">
        <v>43</v>
      </c>
      <c r="K16" s="34" t="s">
        <v>33</v>
      </c>
    </row>
    <row r="17" spans="1:12">
      <c r="A17" t="s">
        <v>56</v>
      </c>
      <c r="B17" s="32">
        <v>82171.12</v>
      </c>
      <c r="C17" s="32">
        <v>32331.27</v>
      </c>
      <c r="D17" s="28">
        <f>C17/B17</f>
        <v>0.3934626910281861</v>
      </c>
      <c r="J17" t="s">
        <v>85</v>
      </c>
      <c r="K17" s="29">
        <v>0.1875</v>
      </c>
      <c r="L17" t="s">
        <v>2207</v>
      </c>
    </row>
    <row r="18" spans="1:12">
      <c r="A18" t="s">
        <v>75</v>
      </c>
      <c r="B18" s="33">
        <v>102600</v>
      </c>
      <c r="C18" s="32">
        <v>34136.15</v>
      </c>
      <c r="D18" s="28">
        <f>C18/B18</f>
        <v>0.33271101364522421</v>
      </c>
      <c r="J18" s="38" t="s">
        <v>68</v>
      </c>
      <c r="K18" s="29">
        <v>0.15090000000000001</v>
      </c>
      <c r="L18" t="s">
        <v>2208</v>
      </c>
    </row>
    <row r="19" spans="1:12">
      <c r="J19" s="38" t="s">
        <v>146</v>
      </c>
      <c r="K19" s="29">
        <v>0.10340000000000001</v>
      </c>
      <c r="L19" t="s">
        <v>2209</v>
      </c>
    </row>
    <row r="20" spans="1:12">
      <c r="J20" t="s">
        <v>115</v>
      </c>
      <c r="K20" s="29">
        <v>0.1032</v>
      </c>
      <c r="L20" t="s">
        <v>2210</v>
      </c>
    </row>
    <row r="21" spans="1:12">
      <c r="J21" s="38" t="s">
        <v>63</v>
      </c>
      <c r="K21" s="29">
        <v>9.8500000000000004E-2</v>
      </c>
      <c r="L21" t="s">
        <v>2211</v>
      </c>
    </row>
    <row r="22" spans="1:12">
      <c r="J22" t="s">
        <v>92</v>
      </c>
      <c r="K22" s="29">
        <v>9.2100000000000001E-2</v>
      </c>
      <c r="L22" t="s">
        <v>2212</v>
      </c>
    </row>
    <row r="23" spans="1:12">
      <c r="J23" t="s">
        <v>80</v>
      </c>
      <c r="K23" s="29">
        <v>9.0899999999999995E-2</v>
      </c>
      <c r="L23" t="s">
        <v>2213</v>
      </c>
    </row>
    <row r="24" spans="1:12">
      <c r="B24" t="s">
        <v>2186</v>
      </c>
      <c r="J24" t="s">
        <v>71</v>
      </c>
      <c r="K24" s="29">
        <v>8.2600000000000007E-2</v>
      </c>
      <c r="L24" t="s">
        <v>2214</v>
      </c>
    </row>
    <row r="25" spans="1:12">
      <c r="A25" s="35" t="s">
        <v>43</v>
      </c>
      <c r="B25" s="35" t="s">
        <v>23</v>
      </c>
      <c r="C25" s="35" t="s">
        <v>27</v>
      </c>
      <c r="D25" s="35" t="s">
        <v>29</v>
      </c>
      <c r="J25" s="38" t="s">
        <v>89</v>
      </c>
      <c r="K25" s="29">
        <v>7.8600000000000003E-2</v>
      </c>
      <c r="L25" t="s">
        <v>2215</v>
      </c>
    </row>
    <row r="26" spans="1:12">
      <c r="A26" t="s">
        <v>115</v>
      </c>
      <c r="B26" s="32">
        <v>18553.400000000001</v>
      </c>
      <c r="C26" s="32">
        <v>7351.43</v>
      </c>
      <c r="D26" s="28">
        <f>C26/B26</f>
        <v>0.39623087951534486</v>
      </c>
      <c r="J26" s="38" t="s">
        <v>110</v>
      </c>
      <c r="K26" s="29">
        <v>7.0699999999999999E-2</v>
      </c>
      <c r="L26" t="s">
        <v>2216</v>
      </c>
    </row>
    <row r="27" spans="1:12">
      <c r="A27" t="s">
        <v>2187</v>
      </c>
      <c r="B27" s="32">
        <v>40967.26</v>
      </c>
      <c r="C27" s="32">
        <v>11995.6</v>
      </c>
      <c r="D27" s="28">
        <f>C27/B27</f>
        <v>0.29280942879753247</v>
      </c>
      <c r="J27" s="38" t="s">
        <v>97</v>
      </c>
      <c r="K27" s="29">
        <v>7.0000000000000007E-2</v>
      </c>
      <c r="L27" t="s">
        <v>2217</v>
      </c>
    </row>
    <row r="28" spans="1:12">
      <c r="A28" t="s">
        <v>80</v>
      </c>
      <c r="B28" s="32">
        <v>24888.65</v>
      </c>
      <c r="C28" s="32">
        <v>9431.17</v>
      </c>
      <c r="D28" s="28">
        <f>C28/B28</f>
        <v>0.37893457459524721</v>
      </c>
      <c r="J28" s="38" t="s">
        <v>107</v>
      </c>
      <c r="K28" s="29">
        <v>6.1499999999999999E-2</v>
      </c>
      <c r="L28" t="s">
        <v>2218</v>
      </c>
    </row>
    <row r="29" spans="1:12">
      <c r="A29" t="s">
        <v>92</v>
      </c>
      <c r="B29" s="32">
        <v>17128.96</v>
      </c>
      <c r="C29" s="32">
        <v>7489.65</v>
      </c>
      <c r="D29" s="28">
        <f>C29/B29</f>
        <v>0.4372507145792856</v>
      </c>
      <c r="J29" s="38" t="s">
        <v>83</v>
      </c>
      <c r="K29" s="29">
        <v>5.74E-2</v>
      </c>
      <c r="L29" t="s">
        <v>2219</v>
      </c>
    </row>
    <row r="30" spans="1:12">
      <c r="A30" t="s">
        <v>2188</v>
      </c>
      <c r="B30" s="32">
        <v>17888.55</v>
      </c>
      <c r="C30" s="32">
        <v>7388.14</v>
      </c>
      <c r="D30" s="28">
        <f>C30/B30</f>
        <v>0.41300943899868914</v>
      </c>
      <c r="J30" s="38" t="s">
        <v>94</v>
      </c>
      <c r="K30" s="29">
        <v>5.5599999999999997E-2</v>
      </c>
      <c r="L30" t="s">
        <v>2220</v>
      </c>
    </row>
    <row r="31" spans="1:12">
      <c r="A31" t="s">
        <v>94</v>
      </c>
      <c r="B31" s="32">
        <v>7040.57</v>
      </c>
      <c r="C31" s="32">
        <v>3335.17</v>
      </c>
      <c r="D31" s="28">
        <f>C31/B31</f>
        <v>0.47370738448733557</v>
      </c>
      <c r="J31" s="38" t="s">
        <v>57</v>
      </c>
      <c r="K31" s="29">
        <v>5.1499999999999997E-2</v>
      </c>
      <c r="L31" t="s">
        <v>2221</v>
      </c>
    </row>
    <row r="32" spans="1:12">
      <c r="A32" t="s">
        <v>68</v>
      </c>
      <c r="B32" s="32">
        <v>8794.66</v>
      </c>
      <c r="C32" s="32">
        <v>4327.22</v>
      </c>
      <c r="D32" s="28">
        <f>C32/B32</f>
        <v>0.49202811706194444</v>
      </c>
      <c r="J32" s="38" t="s">
        <v>76</v>
      </c>
      <c r="K32" s="29">
        <v>3.4099999999999998E-2</v>
      </c>
      <c r="L32" t="s">
        <v>2222</v>
      </c>
    </row>
    <row r="33" spans="1:11">
      <c r="A33" t="s">
        <v>107</v>
      </c>
      <c r="B33" s="32">
        <v>11519.71</v>
      </c>
      <c r="C33" s="32">
        <v>5761.46</v>
      </c>
      <c r="D33" s="28">
        <f>C33/B33</f>
        <v>0.50013932642401593</v>
      </c>
    </row>
    <row r="34" spans="1:11">
      <c r="A34" t="s">
        <v>57</v>
      </c>
      <c r="B34" s="32">
        <v>30019.95</v>
      </c>
      <c r="C34" s="32">
        <v>10496.01</v>
      </c>
      <c r="D34" s="28">
        <f>C34/B34</f>
        <v>0.34963449306211369</v>
      </c>
    </row>
    <row r="35" spans="1:11">
      <c r="A35" t="s">
        <v>89</v>
      </c>
      <c r="B35" s="32">
        <v>21897.08</v>
      </c>
      <c r="C35" s="32">
        <v>8858.7800000000007</v>
      </c>
      <c r="D35" s="28">
        <f>C35/B35</f>
        <v>0.40456444420899956</v>
      </c>
    </row>
    <row r="36" spans="1:11">
      <c r="A36" t="s">
        <v>83</v>
      </c>
      <c r="B36" s="32">
        <v>18837.900000000001</v>
      </c>
      <c r="C36" s="32">
        <v>7754.23</v>
      </c>
      <c r="D36" s="28">
        <f>C36/B36</f>
        <v>0.41162921557073767</v>
      </c>
    </row>
    <row r="37" spans="1:11">
      <c r="A37" t="s">
        <v>63</v>
      </c>
      <c r="B37" s="32">
        <v>11416.19</v>
      </c>
      <c r="C37" s="32">
        <v>5222.25</v>
      </c>
      <c r="D37" s="28">
        <f>C37/B37</f>
        <v>0.45744245672155071</v>
      </c>
    </row>
    <row r="38" spans="1:11">
      <c r="A38" t="s">
        <v>146</v>
      </c>
      <c r="B38" s="32">
        <v>28326.44</v>
      </c>
      <c r="C38" s="32">
        <v>9162.1</v>
      </c>
      <c r="D38" s="28">
        <f>C38/B38</f>
        <v>0.32344692802907815</v>
      </c>
    </row>
    <row r="39" spans="1:11">
      <c r="A39" t="s">
        <v>76</v>
      </c>
      <c r="B39" s="32">
        <v>20595.87</v>
      </c>
      <c r="C39" s="32">
        <v>7165.27</v>
      </c>
      <c r="D39" s="28">
        <f>C39/B39</f>
        <v>0.34789838933727979</v>
      </c>
      <c r="K39" t="s">
        <v>2225</v>
      </c>
    </row>
    <row r="40" spans="1:11">
      <c r="A40" t="s">
        <v>97</v>
      </c>
      <c r="B40" s="32">
        <v>17410.91</v>
      </c>
      <c r="C40" s="32">
        <v>6067.23</v>
      </c>
      <c r="D40" s="28">
        <f>C40/B40</f>
        <v>0.34847288280738914</v>
      </c>
      <c r="J40" s="34" t="s">
        <v>2226</v>
      </c>
      <c r="K40" s="34" t="s">
        <v>2227</v>
      </c>
    </row>
    <row r="41" spans="1:11">
      <c r="A41" t="s">
        <v>110</v>
      </c>
      <c r="B41" s="32">
        <v>36266.769999999997</v>
      </c>
      <c r="C41" s="32">
        <v>11741.54</v>
      </c>
      <c r="D41" s="28">
        <f>C41/B41</f>
        <v>0.323754776066355</v>
      </c>
      <c r="J41">
        <v>1</v>
      </c>
      <c r="K41" s="40">
        <v>4.1500000000000004</v>
      </c>
    </row>
    <row r="42" spans="1:11">
      <c r="J42">
        <v>2</v>
      </c>
      <c r="K42">
        <v>4.2699999999999996</v>
      </c>
    </row>
    <row r="43" spans="1:11">
      <c r="J43">
        <v>3</v>
      </c>
      <c r="K43">
        <v>4.24</v>
      </c>
    </row>
    <row r="44" spans="1:11">
      <c r="J44">
        <v>4</v>
      </c>
      <c r="K44">
        <v>4.2300000000000004</v>
      </c>
    </row>
    <row r="45" spans="1:11">
      <c r="J45">
        <v>5</v>
      </c>
      <c r="K45">
        <v>4.24</v>
      </c>
    </row>
    <row r="46" spans="1:11">
      <c r="J46">
        <v>6</v>
      </c>
      <c r="K46">
        <v>3.68</v>
      </c>
    </row>
    <row r="47" spans="1:11">
      <c r="B47" t="s">
        <v>2191</v>
      </c>
      <c r="J47">
        <v>7</v>
      </c>
      <c r="K47">
        <v>3.61</v>
      </c>
    </row>
    <row r="48" spans="1:11">
      <c r="A48" s="36" t="s">
        <v>2192</v>
      </c>
      <c r="B48" s="36" t="s">
        <v>23</v>
      </c>
      <c r="C48" s="36" t="s">
        <v>27</v>
      </c>
      <c r="D48" s="36" t="s">
        <v>29</v>
      </c>
      <c r="J48">
        <v>8</v>
      </c>
      <c r="K48">
        <v>3.19</v>
      </c>
    </row>
    <row r="49" spans="1:11">
      <c r="A49" t="s">
        <v>62</v>
      </c>
      <c r="B49" s="32">
        <v>164250.70000000001</v>
      </c>
      <c r="C49" s="32">
        <v>61819.15</v>
      </c>
      <c r="D49" s="28">
        <f>C49/B49</f>
        <v>0.37637069431058739</v>
      </c>
      <c r="J49">
        <v>9</v>
      </c>
      <c r="K49" s="45">
        <v>3.1</v>
      </c>
    </row>
    <row r="50" spans="1:11">
      <c r="A50" t="s">
        <v>55</v>
      </c>
      <c r="B50" s="32">
        <v>105611.6</v>
      </c>
      <c r="C50" s="32">
        <v>40070.69</v>
      </c>
      <c r="D50" s="28">
        <f>C50/B50</f>
        <v>0.37941561343640284</v>
      </c>
      <c r="J50">
        <v>10</v>
      </c>
      <c r="K50" s="45">
        <v>3</v>
      </c>
    </row>
    <row r="51" spans="1:11">
      <c r="A51" t="s">
        <v>129</v>
      </c>
      <c r="B51" s="32">
        <v>61063.94</v>
      </c>
      <c r="C51" s="32">
        <v>21410.14</v>
      </c>
      <c r="D51" s="28">
        <f>C51/B51</f>
        <v>0.3506183845981769</v>
      </c>
      <c r="J51">
        <v>11</v>
      </c>
      <c r="K51" s="45">
        <v>3</v>
      </c>
    </row>
    <row r="52" spans="1:11">
      <c r="A52" t="s">
        <v>2193</v>
      </c>
      <c r="B52" s="32">
        <v>626.63</v>
      </c>
      <c r="C52" s="32">
        <v>247.28</v>
      </c>
      <c r="D52" s="28">
        <f>C52/B52</f>
        <v>0.39461883408071752</v>
      </c>
    </row>
    <row r="53" spans="1:11">
      <c r="D53" s="28"/>
    </row>
    <row r="58" spans="1:11">
      <c r="J58" s="44"/>
      <c r="K58" s="44"/>
    </row>
    <row r="59" spans="1:11">
      <c r="C59" t="s">
        <v>2230</v>
      </c>
    </row>
    <row r="60" spans="1:11">
      <c r="B60" s="34" t="s">
        <v>40</v>
      </c>
      <c r="C60" s="34" t="s">
        <v>2227</v>
      </c>
    </row>
    <row r="61" spans="1:11">
      <c r="B61" t="s">
        <v>54</v>
      </c>
      <c r="C61">
        <v>4.22</v>
      </c>
    </row>
    <row r="62" spans="1:11">
      <c r="B62" t="s">
        <v>66</v>
      </c>
      <c r="C62">
        <v>4.07</v>
      </c>
    </row>
    <row r="63" spans="1:11">
      <c r="B63" t="s">
        <v>82</v>
      </c>
      <c r="C63">
        <v>4.16</v>
      </c>
    </row>
    <row r="64" spans="1:11">
      <c r="B64" t="s">
        <v>78</v>
      </c>
      <c r="C64">
        <v>4.18</v>
      </c>
    </row>
    <row r="65" spans="2:11">
      <c r="K65" s="44"/>
    </row>
    <row r="68" spans="2:11">
      <c r="B68" s="41" t="s">
        <v>2181</v>
      </c>
      <c r="C68" s="34" t="s">
        <v>2227</v>
      </c>
    </row>
    <row r="69" spans="2:11">
      <c r="B69" t="s">
        <v>79</v>
      </c>
      <c r="C69" s="45">
        <v>4.0999999999999996</v>
      </c>
    </row>
    <row r="70" spans="2:11">
      <c r="B70" t="s">
        <v>67</v>
      </c>
      <c r="C70">
        <v>4.26</v>
      </c>
      <c r="J70" s="44"/>
      <c r="K70" s="44"/>
    </row>
    <row r="71" spans="2:11">
      <c r="B71" t="s">
        <v>56</v>
      </c>
      <c r="C71">
        <v>4.2300000000000004</v>
      </c>
    </row>
    <row r="72" spans="2:11">
      <c r="B72" t="s">
        <v>75</v>
      </c>
      <c r="C72">
        <v>3.99</v>
      </c>
    </row>
    <row r="75" spans="2:11">
      <c r="B75" s="41" t="s">
        <v>43</v>
      </c>
      <c r="C75" s="34" t="s">
        <v>2227</v>
      </c>
    </row>
    <row r="76" spans="2:11">
      <c r="B76" t="s">
        <v>115</v>
      </c>
      <c r="C76">
        <v>4.18</v>
      </c>
    </row>
    <row r="77" spans="2:11">
      <c r="B77" t="s">
        <v>85</v>
      </c>
      <c r="C77">
        <v>3.76</v>
      </c>
    </row>
    <row r="78" spans="2:11">
      <c r="B78" t="s">
        <v>80</v>
      </c>
      <c r="C78">
        <v>4.22</v>
      </c>
    </row>
    <row r="79" spans="2:11">
      <c r="B79" t="s">
        <v>92</v>
      </c>
      <c r="C79" s="45">
        <v>4.2</v>
      </c>
    </row>
    <row r="80" spans="2:11">
      <c r="B80" t="s">
        <v>71</v>
      </c>
      <c r="C80">
        <v>4.28</v>
      </c>
    </row>
    <row r="81" spans="2:3">
      <c r="B81" t="s">
        <v>94</v>
      </c>
      <c r="C81">
        <v>4.29</v>
      </c>
    </row>
    <row r="82" spans="2:3">
      <c r="B82" t="s">
        <v>68</v>
      </c>
      <c r="C82">
        <v>4.16</v>
      </c>
    </row>
    <row r="83" spans="2:3">
      <c r="B83" t="s">
        <v>107</v>
      </c>
      <c r="C83">
        <v>4.29</v>
      </c>
    </row>
    <row r="84" spans="2:3">
      <c r="B84" t="s">
        <v>2231</v>
      </c>
      <c r="C84">
        <v>4.2300000000000004</v>
      </c>
    </row>
    <row r="85" spans="2:3">
      <c r="B85" t="s">
        <v>89</v>
      </c>
      <c r="C85">
        <v>4.26</v>
      </c>
    </row>
    <row r="86" spans="2:3">
      <c r="B86" t="s">
        <v>83</v>
      </c>
      <c r="C86">
        <v>4.3099999999999996</v>
      </c>
    </row>
    <row r="87" spans="2:3">
      <c r="B87" t="s">
        <v>2232</v>
      </c>
      <c r="C87">
        <v>4.13</v>
      </c>
    </row>
    <row r="88" spans="2:3">
      <c r="B88" t="s">
        <v>146</v>
      </c>
      <c r="C88">
        <v>3.96</v>
      </c>
    </row>
    <row r="89" spans="2:3">
      <c r="B89" t="s">
        <v>76</v>
      </c>
      <c r="C89">
        <v>3.99</v>
      </c>
    </row>
    <row r="90" spans="2:3">
      <c r="B90" t="s">
        <v>97</v>
      </c>
      <c r="C90">
        <v>3.94</v>
      </c>
    </row>
    <row r="91" spans="2:3">
      <c r="B91" t="s">
        <v>110</v>
      </c>
      <c r="C91">
        <v>4.07</v>
      </c>
    </row>
    <row r="101" spans="2:11">
      <c r="J101" s="44"/>
      <c r="K101" s="44"/>
    </row>
    <row r="102" spans="2:11">
      <c r="B102" s="42"/>
      <c r="C102" s="42"/>
    </row>
    <row r="103" spans="2:11">
      <c r="C103" s="43"/>
    </row>
  </sheetData>
  <sortState xmlns:xlrd2="http://schemas.microsoft.com/office/spreadsheetml/2017/richdata2" ref="J17:K32">
    <sortCondition descending="1" ref="K17:K3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CE5D-DAF0-2F46-A24C-832F7075C41D}">
  <dimension ref="A1:H4"/>
  <sheetViews>
    <sheetView showGridLines="0" tabSelected="1" workbookViewId="0">
      <selection activeCell="K21" sqref="K21"/>
    </sheetView>
  </sheetViews>
  <sheetFormatPr baseColWidth="10" defaultRowHeight="14"/>
  <cols>
    <col min="1" max="1" width="16" customWidth="1"/>
    <col min="2" max="2" width="16.33203125" customWidth="1"/>
    <col min="3" max="3" width="22.5" customWidth="1"/>
    <col min="4" max="4" width="17.5" customWidth="1"/>
    <col min="5" max="5" width="25" customWidth="1"/>
    <col min="6" max="6" width="15.33203125" customWidth="1"/>
    <col min="7" max="7" width="13.1640625" customWidth="1"/>
  </cols>
  <sheetData>
    <row r="1" spans="1:8" ht="26">
      <c r="A1" s="59" t="s">
        <v>2252</v>
      </c>
      <c r="B1" s="59"/>
      <c r="C1" s="59"/>
      <c r="D1" s="59"/>
      <c r="E1" s="59"/>
      <c r="F1" s="59"/>
      <c r="G1" s="59"/>
      <c r="H1" s="59"/>
    </row>
    <row r="3" spans="1:8" ht="15">
      <c r="A3" s="53" t="s">
        <v>2249</v>
      </c>
      <c r="B3" s="37"/>
      <c r="C3" s="54" t="s">
        <v>2250</v>
      </c>
      <c r="E3" s="54" t="s">
        <v>2251</v>
      </c>
      <c r="G3" s="54" t="s">
        <v>29</v>
      </c>
    </row>
    <row r="4" spans="1:8" ht="21">
      <c r="A4" s="55">
        <v>1985</v>
      </c>
      <c r="C4" s="56">
        <v>331552.88</v>
      </c>
      <c r="E4" s="57">
        <v>123547.26</v>
      </c>
      <c r="G4" s="58">
        <v>0.37259999999999999</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00_Project_Brief</vt:lpstr>
      <vt:lpstr>01_Raw_Data</vt:lpstr>
      <vt:lpstr>02_Data_Dictionary</vt:lpstr>
      <vt:lpstr>03_Management_Questions</vt:lpstr>
      <vt:lpstr>Monthly Analysis</vt:lpstr>
      <vt:lpstr>02_Clean_Data</vt:lpstr>
      <vt:lpstr>04_Analysis</vt:lpstr>
      <vt:lpstr>05_Dashboard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OLAIDE ADISA</cp:lastModifiedBy>
  <dcterms:created xsi:type="dcterms:W3CDTF">2026-08-19T02:08:32Z</dcterms:created>
  <dcterms:modified xsi:type="dcterms:W3CDTF">2026-08-24T16:03:52Z</dcterms:modified>
</cp:coreProperties>
</file>